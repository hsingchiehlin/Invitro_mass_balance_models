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4D5AFC83-2E47-4114-A5FB-C4CAAE1B245B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<sst xmlns="http://schemas.openxmlformats.org/spreadsheetml/2006/main" count="3131" uniqueCount="515">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</sst>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42863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0.95</v>
      </c>
      <c r="K5" s="136">
        <v>1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0.38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0.19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9.5000000000000001E-2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0.02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1.6E-2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5.5999999999999999E-3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3.0999999999999999E-3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2E-3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1.1999999999999999E-3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0.02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5" ht="13.15">
      <c r="A1" s="74" t="s">
        <v>132</v>
      </c>
      <c r="B1" s="75"/>
      <c r="F1" s="74" t="s">
        <v>131</v>
      </c>
      <c r="I1" s="76"/>
    </row>
    <row r="2" spans="1:15" ht="13.15" thickBot="1">
      <c r="B2" s="75"/>
      <c r="I2" s="76"/>
    </row>
    <row r="3" spans="1:15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5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5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5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5" ht="13.15" thickBot="1">
      <c r="B7" s="87"/>
      <c r="I7" s="76"/>
    </row>
    <row r="8" spans="1:15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5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0.04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5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5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5" ht="13.15" thickBot="1">
      <c r="A12" s="76" t="s">
        <v>22</v>
      </c>
      <c r="B12" s="138">
        <f>G13/1000000/G12*1000000</f>
        <v>5.5999999999999999E-3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5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5.5999999999999999E-3</v>
      </c>
      <c r="H13" s="75" t="s">
        <v>16</v>
      </c>
      <c r="K13" s="75"/>
      <c r="L13" s="76"/>
      <c r="M13" s="75"/>
    </row>
    <row r="14" spans="1:15" ht="13.15" thickBot="1">
      <c r="C14" s="76"/>
      <c r="D14" s="76"/>
      <c r="E14" s="76"/>
      <c r="F14" s="102" t="s">
        <v>164</v>
      </c>
      <c r="G14" s="88">
        <v>7.4</v>
      </c>
    </row>
    <row r="15" spans="1:15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  <c r="O15" s="163"/>
    </row>
    <row r="16" spans="1:15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O16" s="163"/>
    </row>
    <row r="17" spans="1:15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O17" s="163"/>
    </row>
    <row r="18" spans="1:15">
      <c r="C18" s="76"/>
      <c r="D18" s="76"/>
      <c r="E18" s="76"/>
      <c r="K18" s="75"/>
    </row>
    <row r="19" spans="1:15" ht="13.15">
      <c r="A19" s="93" t="s">
        <v>15</v>
      </c>
      <c r="C19" s="76"/>
      <c r="D19" s="76"/>
      <c r="E19" s="76"/>
    </row>
    <row r="20" spans="1:15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5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1.3999999999999999E-4</v>
      </c>
      <c r="K21" s="76" t="s">
        <v>125</v>
      </c>
      <c r="M21" s="75"/>
    </row>
    <row r="22" spans="1:15" ht="13.15" thickBot="1">
      <c r="A22" s="75"/>
      <c r="C22" s="76"/>
      <c r="F22" s="102" t="s">
        <v>164</v>
      </c>
      <c r="G22" s="88">
        <v>7.4</v>
      </c>
      <c r="J22" s="95">
        <f>B12*(G9+G10)/B6</f>
        <v>7.0000000000000007E-6</v>
      </c>
      <c r="K22" s="78" t="s">
        <v>126</v>
      </c>
      <c r="L22" s="96"/>
    </row>
    <row r="23" spans="1:15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5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5">
      <c r="C25" s="96"/>
      <c r="F25" s="76" t="s">
        <v>137</v>
      </c>
    </row>
    <row r="26" spans="1:15">
      <c r="B26" s="75"/>
      <c r="F26" s="98" t="s">
        <v>152</v>
      </c>
      <c r="G26" s="76" t="b">
        <v>0</v>
      </c>
    </row>
    <row r="27" spans="1:15" ht="13.15">
      <c r="C27" s="96"/>
      <c r="F27" s="74"/>
      <c r="G27" s="75"/>
      <c r="H27" s="75"/>
      <c r="J27" s="99"/>
    </row>
    <row r="28" spans="1:15" ht="13.15">
      <c r="B28" s="100"/>
      <c r="C28" s="96"/>
      <c r="F28" s="6" t="s">
        <v>269</v>
      </c>
      <c r="G28" s="75"/>
      <c r="H28" s="75"/>
      <c r="J28" s="99"/>
    </row>
    <row r="29" spans="1:15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5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5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5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38100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8.134320386705466E-8</v>
      </c>
      <c r="J2" s="67" t="s">
        <v>231</v>
      </c>
      <c r="K2" s="68">
        <v>9.0383277924588042E-4</v>
      </c>
      <c r="L2" s="67" t="s">
        <v>231</v>
      </c>
      <c r="M2" s="68">
        <v>1.1401880787195336E-3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7.887926429263442E-6</v>
      </c>
      <c r="J3" s="67" t="s">
        <v>231</v>
      </c>
      <c r="K3" s="68">
        <v>8.8819312301935682E-3</v>
      </c>
      <c r="L3" s="67" t="s">
        <v>231</v>
      </c>
      <c r="M3" s="68">
        <v>0.24213975924512118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9.1653371788489309E-15</v>
      </c>
      <c r="J4" s="67" t="s">
        <v>231</v>
      </c>
      <c r="K4" s="68">
        <v>1.0161800564803126E-3</v>
      </c>
      <c r="L4" s="67" t="s">
        <v>231</v>
      </c>
      <c r="M4" s="68">
        <v>3.0600482054775504E-3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1.2214382038462116E-10</v>
      </c>
      <c r="J5" s="67" t="s">
        <v>231</v>
      </c>
      <c r="K5" s="68">
        <v>9.4418019424078728E-4</v>
      </c>
      <c r="L5" s="67" t="s">
        <v>231</v>
      </c>
      <c r="M5" s="68">
        <v>4.5010382427423626E-2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3.5100094173985573E-7</v>
      </c>
      <c r="J6" s="67" t="s">
        <v>231</v>
      </c>
      <c r="K6" s="68">
        <v>9.549665823443493E-4</v>
      </c>
      <c r="L6" s="67" t="s">
        <v>231</v>
      </c>
      <c r="M6" s="68">
        <v>6.3985076851365105E-2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1.5825898999063015E-6</v>
      </c>
      <c r="J7" s="67" t="s">
        <v>231</v>
      </c>
      <c r="K7" s="68">
        <v>1.1458307405865834E-3</v>
      </c>
      <c r="L7" s="67" t="s">
        <v>231</v>
      </c>
      <c r="M7" s="68">
        <v>8.4380094988695073E-2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5.3137715726422756E-9</v>
      </c>
      <c r="J8" s="67" t="s">
        <v>231</v>
      </c>
      <c r="K8" s="68">
        <v>9.2640447034430477E-4</v>
      </c>
      <c r="L8" s="67" t="s">
        <v>231</v>
      </c>
      <c r="M8" s="68">
        <v>7.0301510812417284E-2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4.2020615740951233E-7</v>
      </c>
      <c r="J9" s="67" t="s">
        <v>231</v>
      </c>
      <c r="K9" s="68">
        <v>9.5998373007282443E-4</v>
      </c>
      <c r="L9" s="67" t="s">
        <v>231</v>
      </c>
      <c r="M9" s="68">
        <v>3.954439880237156E-2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2.0939775821065659E-4</v>
      </c>
      <c r="J10" s="67" t="s">
        <v>231</v>
      </c>
      <c r="K10" s="68">
        <v>2.1280764180986428E-2</v>
      </c>
      <c r="L10" s="67" t="s">
        <v>231</v>
      </c>
      <c r="M10" s="68">
        <v>0.68681680066221951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5.2815734664209664E-9</v>
      </c>
      <c r="J11" s="67" t="s">
        <v>231</v>
      </c>
      <c r="K11" s="68">
        <v>9.8672231801832072E-2</v>
      </c>
      <c r="L11" s="67" t="s">
        <v>231</v>
      </c>
      <c r="M11" s="68">
        <v>5.3213160205742911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2.4043992034074995E-8</v>
      </c>
      <c r="J12" s="67" t="s">
        <v>231</v>
      </c>
      <c r="K12" s="68">
        <v>8.1924943989594387E-4</v>
      </c>
      <c r="L12" s="67" t="s">
        <v>231</v>
      </c>
      <c r="M12" s="68">
        <v>6.1601352004797145E-5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9.4541105054596938E-4</v>
      </c>
      <c r="J13" s="67" t="s">
        <v>231</v>
      </c>
      <c r="K13" s="68">
        <v>6.2528760971054123E-3</v>
      </c>
      <c r="L13" s="67" t="s">
        <v>231</v>
      </c>
      <c r="M13" s="68">
        <v>0.18040044896037188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9.3660185920970505E-9</v>
      </c>
      <c r="J14" s="67" t="s">
        <v>231</v>
      </c>
      <c r="K14" s="68">
        <v>1.8729726511592217E-3</v>
      </c>
      <c r="L14" s="67" t="s">
        <v>231</v>
      </c>
      <c r="M14" s="68">
        <v>0.16789726699509908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1.0662756741659047E-6</v>
      </c>
      <c r="J15" s="67" t="s">
        <v>231</v>
      </c>
      <c r="K15" s="68">
        <v>1.622839352585135E-3</v>
      </c>
      <c r="L15" s="67" t="s">
        <v>231</v>
      </c>
      <c r="M15" s="68">
        <v>2.9071505702797516E-2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8.2798325751535273E-5</v>
      </c>
      <c r="J16" s="67" t="s">
        <v>231</v>
      </c>
      <c r="K16" s="68">
        <v>6.9351730236188822E-3</v>
      </c>
      <c r="L16" s="67" t="s">
        <v>231</v>
      </c>
      <c r="M16" s="68">
        <v>0.20289963458554125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1.8629539573399861E-6</v>
      </c>
      <c r="J17" s="67" t="s">
        <v>231</v>
      </c>
      <c r="K17" s="68">
        <v>6.4918840896747414E-3</v>
      </c>
      <c r="L17" s="67" t="s">
        <v>231</v>
      </c>
      <c r="M17" s="68">
        <v>0.18832850928897713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2.5617835093513759E-3</v>
      </c>
      <c r="J18" s="67" t="s">
        <v>231</v>
      </c>
      <c r="K18" s="68">
        <v>0.10909654248425457</v>
      </c>
      <c r="L18" s="67" t="s">
        <v>231</v>
      </c>
      <c r="M18" s="68">
        <v>3.6265947479910494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1.805838847111194E-6</v>
      </c>
      <c r="J19" s="67" t="s">
        <v>231</v>
      </c>
      <c r="K19" s="68">
        <v>1.1365733682154296E-3</v>
      </c>
      <c r="L19" s="67" t="s">
        <v>231</v>
      </c>
      <c r="M19" s="68">
        <v>1.020781488216266E-2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5.0317268307377222E-6</v>
      </c>
      <c r="J20" s="67" t="s">
        <v>231</v>
      </c>
      <c r="K20" s="68">
        <v>1.3365170669221021E-3</v>
      </c>
      <c r="L20" s="67" t="s">
        <v>231</v>
      </c>
      <c r="M20" s="68">
        <v>1.7482821591191893E-2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2.0129210941505003E-6</v>
      </c>
      <c r="J21" s="67" t="s">
        <v>231</v>
      </c>
      <c r="K21" s="68">
        <v>5.8167758728682531E-3</v>
      </c>
      <c r="L21" s="67" t="s">
        <v>231</v>
      </c>
      <c r="M21" s="68">
        <v>0.21905512173277134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4.0234722556760699E-8</v>
      </c>
      <c r="J22" s="67" t="s">
        <v>231</v>
      </c>
      <c r="K22" s="68">
        <v>8.6312208795920656E-4</v>
      </c>
      <c r="L22" s="67" t="s">
        <v>231</v>
      </c>
      <c r="M22" s="68">
        <v>1.8508545336302449E-3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1.0760458079801864E-5</v>
      </c>
      <c r="J23" s="67" t="s">
        <v>231</v>
      </c>
      <c r="K23" s="68">
        <v>2.208519562589654E-3</v>
      </c>
      <c r="L23" s="67" t="s">
        <v>231</v>
      </c>
      <c r="M23" s="68">
        <v>4.8320663892673615E-2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1.5512650215381745E-4</v>
      </c>
      <c r="J24" s="67" t="s">
        <v>231</v>
      </c>
      <c r="K24" s="68">
        <v>9.3292575556219691E-3</v>
      </c>
      <c r="L24" s="67" t="s">
        <v>231</v>
      </c>
      <c r="M24" s="68">
        <v>0.28179114491499296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8.7238990650611279E-4</v>
      </c>
      <c r="J25" s="67" t="s">
        <v>231</v>
      </c>
      <c r="K25" s="68">
        <v>9.9994869842400386E-2</v>
      </c>
      <c r="L25" s="67" t="s">
        <v>231</v>
      </c>
      <c r="M25" s="68">
        <v>3.3148791888059845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1.7116087893673731E-4</v>
      </c>
      <c r="J26" s="67" t="s">
        <v>231</v>
      </c>
      <c r="K26" s="68">
        <v>1.3472722494564764E-2</v>
      </c>
      <c r="L26" s="67" t="s">
        <v>231</v>
      </c>
      <c r="M26" s="68">
        <v>0.42238583860104195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5.0821374292305327E-5</v>
      </c>
      <c r="J27" s="67" t="s">
        <v>231</v>
      </c>
      <c r="K27" s="68">
        <v>7.864435400953905E-3</v>
      </c>
      <c r="L27" s="67" t="s">
        <v>231</v>
      </c>
      <c r="M27" s="68">
        <v>0.25103206547124224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2.3934641697931559E-5</v>
      </c>
      <c r="J28" s="67" t="s">
        <v>231</v>
      </c>
      <c r="K28" s="68">
        <v>3.8879356782144988E-3</v>
      </c>
      <c r="L28" s="67" t="s">
        <v>231</v>
      </c>
      <c r="M28" s="68">
        <v>0.12242620163722982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2.5846298235053597E-7</v>
      </c>
      <c r="J29" s="67" t="s">
        <v>231</v>
      </c>
      <c r="K29" s="68">
        <v>1.0202026119823347E-4</v>
      </c>
      <c r="L29" s="67" t="s">
        <v>231</v>
      </c>
      <c r="M29" s="68">
        <v>1.5165655373359792E-3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5.7467798507744881E-6</v>
      </c>
      <c r="J30" s="67" t="s">
        <v>231</v>
      </c>
      <c r="K30" s="68">
        <v>1.4925914570961673E-3</v>
      </c>
      <c r="L30" s="67" t="s">
        <v>231</v>
      </c>
      <c r="M30" s="68">
        <v>4.6955217952433521E-2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8.9711989441305611E-8</v>
      </c>
      <c r="J31" s="67" t="s">
        <v>231</v>
      </c>
      <c r="K31" s="68">
        <v>2.6123592076089481E-5</v>
      </c>
      <c r="L31" s="67" t="s">
        <v>231</v>
      </c>
      <c r="M31" s="68">
        <v>8.1091696996300029E-4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8.6523384943129711E-5</v>
      </c>
      <c r="J32" s="67" t="s">
        <v>231</v>
      </c>
      <c r="K32" s="68">
        <v>5.5278920014823103E-3</v>
      </c>
      <c r="L32" s="67" t="s">
        <v>231</v>
      </c>
      <c r="M32" s="68">
        <v>0.15654755592485103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2.9317587927585238E-5</v>
      </c>
      <c r="J33" s="67" t="s">
        <v>231</v>
      </c>
      <c r="K33" s="68">
        <v>3.1992454307223838E-3</v>
      </c>
      <c r="L33" s="67" t="s">
        <v>231</v>
      </c>
      <c r="M33" s="68">
        <v>7.9473925796706604E-2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8.1537000195663136E-5</v>
      </c>
      <c r="J34" s="67" t="s">
        <v>231</v>
      </c>
      <c r="K34" s="68">
        <v>1.4987096164897164E-2</v>
      </c>
      <c r="L34" s="67" t="s">
        <v>231</v>
      </c>
      <c r="M34" s="68">
        <v>0.46879238995724842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4.0505579909147065E-4</v>
      </c>
      <c r="J35" s="67" t="s">
        <v>231</v>
      </c>
      <c r="K35" s="68">
        <v>2.0301038465809263E-2</v>
      </c>
      <c r="L35" s="67" t="s">
        <v>231</v>
      </c>
      <c r="M35" s="68">
        <v>0.65163706688570711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8.3533538311570223E-4</v>
      </c>
      <c r="J36" s="67" t="s">
        <v>231</v>
      </c>
      <c r="K36" s="68">
        <v>4.5119268979244058E-2</v>
      </c>
      <c r="L36" s="67" t="s">
        <v>231</v>
      </c>
      <c r="M36" s="68">
        <v>1.4718667698554999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5.5431502971037803E-4</v>
      </c>
      <c r="J37" s="67" t="s">
        <v>231</v>
      </c>
      <c r="K37" s="68">
        <v>0.10637626699960728</v>
      </c>
      <c r="L37" s="67" t="s">
        <v>231</v>
      </c>
      <c r="M37" s="68">
        <v>3.5334602445237886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2.97154865888144E-4</v>
      </c>
      <c r="J38" s="67" t="s">
        <v>231</v>
      </c>
      <c r="K38" s="68">
        <v>6.6152612800184238E-2</v>
      </c>
      <c r="L38" s="67" t="s">
        <v>231</v>
      </c>
      <c r="M38" s="68">
        <v>2.1721531749777916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1.8192058423649845E-4</v>
      </c>
      <c r="J39" s="67" t="s">
        <v>231</v>
      </c>
      <c r="K39" s="68">
        <v>4.9369217527934425E-2</v>
      </c>
      <c r="L39" s="67" t="s">
        <v>231</v>
      </c>
      <c r="M39" s="68">
        <v>1.6135289226223408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2.97154865888144E-4</v>
      </c>
      <c r="J40" s="67" t="s">
        <v>231</v>
      </c>
      <c r="K40" s="68">
        <v>6.6152612800184238E-2</v>
      </c>
      <c r="L40" s="67" t="s">
        <v>231</v>
      </c>
      <c r="M40" s="68">
        <v>2.1721531749777916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8.4565257362779697E-9</v>
      </c>
      <c r="J41" s="67" t="s">
        <v>231</v>
      </c>
      <c r="K41" s="68">
        <v>9.0319248773585781E-4</v>
      </c>
      <c r="L41" s="67" t="s">
        <v>231</v>
      </c>
      <c r="M41" s="68">
        <v>5.4771097310585982E-3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1.0093628415301648E-3</v>
      </c>
      <c r="J42" s="67" t="s">
        <v>231</v>
      </c>
      <c r="K42" s="68">
        <v>0.10870604466148241</v>
      </c>
      <c r="L42" s="67" t="s">
        <v>231</v>
      </c>
      <c r="M42" s="68">
        <v>3.6136137925829361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1.749038294213438E-3</v>
      </c>
      <c r="J43" s="67" t="s">
        <v>231</v>
      </c>
      <c r="K43" s="68">
        <v>9.9676720362328747E-3</v>
      </c>
      <c r="L43" s="67" t="s">
        <v>231</v>
      </c>
      <c r="M43" s="68">
        <v>0.30277770396082404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1.546458423916197E-3</v>
      </c>
      <c r="J44" s="67" t="s">
        <v>231</v>
      </c>
      <c r="K44" s="68">
        <v>3.2108336476975065E-2</v>
      </c>
      <c r="L44" s="67" t="s">
        <v>231</v>
      </c>
      <c r="M44" s="68">
        <v>1.0421539907791975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2.7607390407299432E-3</v>
      </c>
      <c r="J45" s="67" t="s">
        <v>231</v>
      </c>
      <c r="K45" s="68">
        <v>0.12685675885455699</v>
      </c>
      <c r="L45" s="67" t="s">
        <v>231</v>
      </c>
      <c r="M45" s="68">
        <v>4.2434884692330783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4.0166040688170869E-4</v>
      </c>
      <c r="J46" s="67" t="s">
        <v>231</v>
      </c>
      <c r="K46" s="68">
        <v>0.11196566798095514</v>
      </c>
      <c r="L46" s="67" t="s">
        <v>231</v>
      </c>
      <c r="M46" s="68">
        <v>3.7253904715374979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7.7316418566051638E-4</v>
      </c>
      <c r="J47" s="142" t="s">
        <v>231</v>
      </c>
      <c r="K47" s="143">
        <v>8.927531123718753E-2</v>
      </c>
      <c r="L47" s="142" t="s">
        <v>231</v>
      </c>
      <c r="M47" s="143">
        <v>2.9504447877368012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2.1774697666921094E-4</v>
      </c>
      <c r="J48" s="142" t="s">
        <v>231</v>
      </c>
      <c r="K48" s="143">
        <v>1.9086561605719015E-2</v>
      </c>
      <c r="L48" s="142" t="s">
        <v>231</v>
      </c>
      <c r="M48" s="143">
        <v>0.60695951127301073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9.308648442697097E-4</v>
      </c>
      <c r="J49" s="142" t="s">
        <v>231</v>
      </c>
      <c r="K49" s="143">
        <v>3.4326591409737824E-2</v>
      </c>
      <c r="L49" s="142" t="s">
        <v>231</v>
      </c>
      <c r="M49" s="143">
        <v>1.1152156914220548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2.292356396266219E-4</v>
      </c>
      <c r="J50" s="142" t="s">
        <v>231</v>
      </c>
      <c r="K50" s="143">
        <v>3.8250536374579924E-2</v>
      </c>
      <c r="L50" s="142" t="s">
        <v>231</v>
      </c>
      <c r="M50" s="143">
        <v>1.2446649189217922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4.6772237179401008E-4</v>
      </c>
      <c r="J51" s="142" t="s">
        <v>231</v>
      </c>
      <c r="K51" s="143">
        <v>1.993604051491886E-2</v>
      </c>
      <c r="L51" s="142" t="s">
        <v>231</v>
      </c>
      <c r="M51" s="143">
        <v>0.63673227791168208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1.0148335883489576E-2</v>
      </c>
      <c r="J52" s="142" t="s">
        <v>232</v>
      </c>
      <c r="K52" s="143">
        <v>1.9181077748051081E-2</v>
      </c>
      <c r="L52" s="142" t="s">
        <v>231</v>
      </c>
      <c r="M52" s="143">
        <v>0.61023212487408462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2.1913773239018953E-3</v>
      </c>
      <c r="J53" s="142" t="s">
        <v>231</v>
      </c>
      <c r="K53" s="143">
        <v>5.2206265827539726E-2</v>
      </c>
      <c r="L53" s="142" t="s">
        <v>231</v>
      </c>
      <c r="M53" s="143">
        <v>1.7070496490183538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1.0990087970488012E-3</v>
      </c>
      <c r="J54" s="67" t="s">
        <v>231</v>
      </c>
      <c r="K54" s="68">
        <v>3.6253378632842684E-2</v>
      </c>
      <c r="L54" s="67" t="s">
        <v>231</v>
      </c>
      <c r="M54" s="68">
        <v>1.1787468356106203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8.1311950437830101E-4</v>
      </c>
      <c r="J55" s="67" t="s">
        <v>231</v>
      </c>
      <c r="K55" s="68">
        <v>8.8155664279351495E-2</v>
      </c>
      <c r="L55" s="67" t="s">
        <v>231</v>
      </c>
      <c r="M55" s="68">
        <v>2.9125459367576747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6.515250004443399E-4</v>
      </c>
      <c r="J56" s="67" t="s">
        <v>231</v>
      </c>
      <c r="K56" s="68">
        <v>3.2837477888454834E-2</v>
      </c>
      <c r="L56" s="67" t="s">
        <v>231</v>
      </c>
      <c r="M56" s="68">
        <v>1.0661593160791816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1.6189198715906507E-3</v>
      </c>
      <c r="J57" s="67" t="s">
        <v>231</v>
      </c>
      <c r="K57" s="68">
        <v>1.8561149128956702E-2</v>
      </c>
      <c r="L57" s="67" t="s">
        <v>231</v>
      </c>
      <c r="M57" s="68">
        <v>0.58904394786730196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6.6820095254757714E-3</v>
      </c>
      <c r="J58" s="67" t="s">
        <v>231</v>
      </c>
      <c r="K58" s="68">
        <v>3.664755835266461E-2</v>
      </c>
      <c r="L58" s="67" t="s">
        <v>231</v>
      </c>
      <c r="M58" s="68">
        <v>1.1917516113159674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1.0500958882672014E-3</v>
      </c>
      <c r="J59" s="67" t="s">
        <v>231</v>
      </c>
      <c r="K59" s="68">
        <v>1.9183646503190679E-2</v>
      </c>
      <c r="L59" s="67" t="s">
        <v>231</v>
      </c>
      <c r="M59" s="68">
        <v>0.61031384796220867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3.1582051874457155E-3</v>
      </c>
      <c r="J60" s="67" t="s">
        <v>231</v>
      </c>
      <c r="K60" s="68">
        <v>4.7875340634837719E-2</v>
      </c>
      <c r="L60" s="67" t="s">
        <v>231</v>
      </c>
      <c r="M60" s="68">
        <v>1.5632404383416383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2.5325936885950678E-5</v>
      </c>
      <c r="J61" s="67" t="s">
        <v>231</v>
      </c>
      <c r="K61" s="68">
        <v>3.4829546732540267E-2</v>
      </c>
      <c r="L61" s="67" t="s">
        <v>231</v>
      </c>
      <c r="M61" s="68">
        <v>0.79760594581857447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1.2540233147169478E-4</v>
      </c>
      <c r="J62" s="67" t="s">
        <v>231</v>
      </c>
      <c r="K62" s="68">
        <v>1.4609151140150479E-2</v>
      </c>
      <c r="L62" s="67" t="s">
        <v>231</v>
      </c>
      <c r="M62" s="68">
        <v>0.45622616903594676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1.6851840341326429E-6</v>
      </c>
      <c r="J63" s="67" t="s">
        <v>231</v>
      </c>
      <c r="K63" s="68">
        <v>5.6684466544970986E-3</v>
      </c>
      <c r="L63" s="67" t="s">
        <v>231</v>
      </c>
      <c r="M63" s="68">
        <v>0.11156050290773092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1.0529807978567787E-7</v>
      </c>
      <c r="J64" s="67" t="s">
        <v>231</v>
      </c>
      <c r="K64" s="68">
        <v>9.1189088109335848E-4</v>
      </c>
      <c r="L64" s="67" t="s">
        <v>231</v>
      </c>
      <c r="M64" s="68">
        <v>2.2549270545544312E-3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2.01464380517382E-8</v>
      </c>
      <c r="J65" s="67" t="s">
        <v>231</v>
      </c>
      <c r="K65" s="68">
        <v>1.291621952789433E-3</v>
      </c>
      <c r="L65" s="67" t="s">
        <v>231</v>
      </c>
      <c r="M65" s="68">
        <v>9.5791090218298788E-3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1.4551962400263359E-7</v>
      </c>
      <c r="J66" s="67" t="s">
        <v>231</v>
      </c>
      <c r="K66" s="68">
        <v>3.8328713289970576E-2</v>
      </c>
      <c r="L66" s="67" t="s">
        <v>231</v>
      </c>
      <c r="M66" s="68">
        <v>0.88657545338877108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1.9847786451282744E-8</v>
      </c>
      <c r="J67" s="67" t="s">
        <v>231</v>
      </c>
      <c r="K67" s="68">
        <v>1.2239744493716617E-3</v>
      </c>
      <c r="L67" s="67" t="s">
        <v>231</v>
      </c>
      <c r="M67" s="68">
        <v>7.9753556974077582E-3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6.4494373546509653E-9</v>
      </c>
      <c r="J68" s="67" t="s">
        <v>231</v>
      </c>
      <c r="K68" s="68">
        <v>9.3159253828153097E-4</v>
      </c>
      <c r="L68" s="67" t="s">
        <v>231</v>
      </c>
      <c r="M68" s="68">
        <v>1.0586188778690608E-3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3.6383437248811215E-5</v>
      </c>
      <c r="J69" s="67" t="s">
        <v>231</v>
      </c>
      <c r="K69" s="68">
        <v>2.922443633963355E-2</v>
      </c>
      <c r="L69" s="67" t="s">
        <v>231</v>
      </c>
      <c r="M69" s="68">
        <v>0.94729311424320284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2.2303938159781957E-14</v>
      </c>
      <c r="J70" s="67" t="s">
        <v>231</v>
      </c>
      <c r="K70" s="68">
        <v>8.9825331555392501E-4</v>
      </c>
      <c r="L70" s="67" t="s">
        <v>231</v>
      </c>
      <c r="M70" s="68">
        <v>3.718854184370581E-3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1.8894379183973292E-10</v>
      </c>
      <c r="J71" s="67" t="s">
        <v>231</v>
      </c>
      <c r="K71" s="68">
        <v>9.0484948216256985E-4</v>
      </c>
      <c r="L71" s="67" t="s">
        <v>231</v>
      </c>
      <c r="M71" s="68">
        <v>6.6480345717614357E-3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2.8975305963759294E-14</v>
      </c>
      <c r="J72" s="67" t="s">
        <v>231</v>
      </c>
      <c r="K72" s="68">
        <v>6.6790921292046402E-3</v>
      </c>
      <c r="L72" s="67" t="s">
        <v>231</v>
      </c>
      <c r="M72" s="68">
        <v>0.65637416258402548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1.5692272184198155E-11</v>
      </c>
      <c r="J73" s="67" t="s">
        <v>231</v>
      </c>
      <c r="K73" s="68">
        <v>8.1204468311833397E-4</v>
      </c>
      <c r="L73" s="67" t="s">
        <v>231</v>
      </c>
      <c r="M73" s="68">
        <v>7.6667560726217998E-2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1.7801771610626066E-11</v>
      </c>
      <c r="J74" s="67" t="s">
        <v>231</v>
      </c>
      <c r="K74" s="68">
        <v>9.0365807656621626E-4</v>
      </c>
      <c r="L74" s="67" t="s">
        <v>231</v>
      </c>
      <c r="M74" s="68">
        <v>6.0867918192609258E-3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9.719933479368039E-14</v>
      </c>
      <c r="J75" s="67" t="s">
        <v>231</v>
      </c>
      <c r="K75" s="68">
        <v>8.2135382529414849E-4</v>
      </c>
      <c r="L75" s="67" t="s">
        <v>231</v>
      </c>
      <c r="M75" s="68">
        <v>7.70049054559208E-2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8.3722850141377991E-9</v>
      </c>
      <c r="J76" s="67" t="s">
        <v>231</v>
      </c>
      <c r="K76" s="68">
        <v>9.4213644109000609E-4</v>
      </c>
      <c r="L76" s="67" t="s">
        <v>231</v>
      </c>
      <c r="M76" s="68">
        <v>5.3522635285523999E-2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6.597427992029575E-8</v>
      </c>
      <c r="J77" s="67" t="s">
        <v>231</v>
      </c>
      <c r="K77" s="68">
        <v>8.1472479308673351E-4</v>
      </c>
      <c r="L77" s="67" t="s">
        <v>231</v>
      </c>
      <c r="M77" s="68">
        <v>7.6773527714073544E-2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2.8628757769418748E-13</v>
      </c>
      <c r="J78" s="67" t="s">
        <v>231</v>
      </c>
      <c r="K78" s="68">
        <v>5.5964626749517871E-3</v>
      </c>
      <c r="L78" s="67" t="s">
        <v>231</v>
      </c>
      <c r="M78" s="68">
        <v>0.54987734925990994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1.5750055795412242E-16</v>
      </c>
      <c r="J79" s="67" t="s">
        <v>231</v>
      </c>
      <c r="K79" s="68">
        <v>5.5964533626616563E-3</v>
      </c>
      <c r="L79" s="67" t="s">
        <v>231</v>
      </c>
      <c r="M79" s="68">
        <v>0.54987708837265115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2.0692173697639808E-14</v>
      </c>
      <c r="J80" s="67" t="s">
        <v>231</v>
      </c>
      <c r="K80" s="68">
        <v>8.9914666914649134E-4</v>
      </c>
      <c r="L80" s="67" t="s">
        <v>231</v>
      </c>
      <c r="M80" s="68">
        <v>7.3829523046669301E-2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7.0098391746055834E-11</v>
      </c>
      <c r="J81" s="67" t="s">
        <v>231</v>
      </c>
      <c r="K81" s="68">
        <v>9.2790942077104809E-4</v>
      </c>
      <c r="L81" s="67" t="s">
        <v>231</v>
      </c>
      <c r="M81" s="68">
        <v>2.1015650833974671E-2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1.3930780009902858E-15</v>
      </c>
      <c r="J82" s="67" t="s">
        <v>231</v>
      </c>
      <c r="K82" s="68">
        <v>9.426707292929941E-4</v>
      </c>
      <c r="L82" s="67" t="s">
        <v>231</v>
      </c>
      <c r="M82" s="68">
        <v>3.957428761081052E-2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1.7033830333407015E-14</v>
      </c>
      <c r="J83" s="67" t="s">
        <v>231</v>
      </c>
      <c r="K83" s="68">
        <v>1.0859506320857235E-2</v>
      </c>
      <c r="L83" s="67" t="s">
        <v>231</v>
      </c>
      <c r="M83" s="68">
        <v>1.0675536281405846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3.3729692604410784E-2</v>
      </c>
      <c r="J84" s="67" t="s">
        <v>232</v>
      </c>
      <c r="K84" s="68">
        <v>1.1757883781719309E-2</v>
      </c>
      <c r="L84" s="67" t="s">
        <v>231</v>
      </c>
      <c r="M84" s="68">
        <v>0.36182888036202343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5.0954796269830675E-6</v>
      </c>
      <c r="J85" s="67" t="s">
        <v>231</v>
      </c>
      <c r="K85" s="68">
        <v>0.42287605736141726</v>
      </c>
      <c r="L85" s="67" t="s">
        <v>231</v>
      </c>
      <c r="M85" s="68">
        <v>9.9736852834028991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2.6698549160352234E-4</v>
      </c>
      <c r="J86" s="67" t="s">
        <v>231</v>
      </c>
      <c r="K86" s="68">
        <v>0.12294071030480971</v>
      </c>
      <c r="L86" s="67" t="s">
        <v>231</v>
      </c>
      <c r="M86" s="68">
        <v>4.1062207572201803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1.9392025441343719E-4</v>
      </c>
      <c r="J87" s="67" t="s">
        <v>231</v>
      </c>
      <c r="K87" s="68">
        <v>0.14003407988002234</v>
      </c>
      <c r="L87" s="67" t="s">
        <v>231</v>
      </c>
      <c r="M87" s="68">
        <v>4.7136246977415999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2.9791283529828779E-4</v>
      </c>
      <c r="J88" s="67" t="s">
        <v>231</v>
      </c>
      <c r="K88" s="68">
        <v>0.15191326045212517</v>
      </c>
      <c r="L88" s="67" t="s">
        <v>231</v>
      </c>
      <c r="M88" s="68">
        <v>5.1586712555141654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6.509857844414041E-7</v>
      </c>
      <c r="J89" s="67" t="s">
        <v>231</v>
      </c>
      <c r="K89" s="68">
        <v>2.122171167322747</v>
      </c>
      <c r="L89" s="67" t="s">
        <v>232</v>
      </c>
      <c r="M89" s="68">
        <v>49.896713161513389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1.910362775012602E-5</v>
      </c>
      <c r="J90" s="67" t="s">
        <v>231</v>
      </c>
      <c r="K90" s="68">
        <v>9.1272187220641616E-4</v>
      </c>
      <c r="L90" s="67" t="s">
        <v>231</v>
      </c>
      <c r="M90" s="68">
        <v>1.4809957747918567E-3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3.3349747162480833E-5</v>
      </c>
      <c r="J91" s="67" t="s">
        <v>231</v>
      </c>
      <c r="K91" s="68">
        <v>3.1108878228018485E-3</v>
      </c>
      <c r="L91" s="67" t="s">
        <v>231</v>
      </c>
      <c r="M91" s="68">
        <v>7.6537358797991548E-2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2.7722594717826844E-5</v>
      </c>
      <c r="J92" s="67" t="s">
        <v>231</v>
      </c>
      <c r="K92" s="68">
        <v>1.6553500947259277E-2</v>
      </c>
      <c r="L92" s="67" t="s">
        <v>231</v>
      </c>
      <c r="M92" s="68">
        <v>0.52108587221318925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1.289699324818993E-8</v>
      </c>
      <c r="J93" s="67" t="s">
        <v>231</v>
      </c>
      <c r="K93" s="68">
        <v>8.8994878516771502E-4</v>
      </c>
      <c r="L93" s="67" t="s">
        <v>231</v>
      </c>
      <c r="M93" s="68">
        <v>6.2180825389581763E-4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2.1143781671970305E-18</v>
      </c>
      <c r="J94" s="67" t="s">
        <v>231</v>
      </c>
      <c r="K94" s="68">
        <v>8.9367832370497327E-4</v>
      </c>
      <c r="L94" s="67" t="s">
        <v>231</v>
      </c>
      <c r="M94" s="68">
        <v>1.5148131623106203E-4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2.2739484863746557E-6</v>
      </c>
      <c r="J95" s="67" t="s">
        <v>231</v>
      </c>
      <c r="K95" s="68">
        <v>1.0482089475106827E-3</v>
      </c>
      <c r="L95" s="67" t="s">
        <v>231</v>
      </c>
      <c r="M95" s="68">
        <v>6.3780398959577518E-3</v>
      </c>
      <c r="N95" s="67" t="s">
        <v>231</v>
      </c>
      <c r="O95" s="65"/>
      <c r="P95" s="102"/>
    </row>
    <row r="96" spans="1:16">
      <c r="A96" s="65" t="s">
        <v>437</v>
      </c>
      <c r="B96" s="167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2.9632639548048409E-3</v>
      </c>
      <c r="J96" s="67" t="s">
        <v>231</v>
      </c>
      <c r="K96" s="68">
        <v>0.11475103328053253</v>
      </c>
      <c r="L96" s="67" t="s">
        <v>231</v>
      </c>
      <c r="M96" s="68">
        <v>3.8215732425946052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9.8644148540744916E-5</v>
      </c>
      <c r="J97" s="67" t="s">
        <v>231</v>
      </c>
      <c r="K97" s="68">
        <v>4.889850012273698E-3</v>
      </c>
      <c r="L97" s="67" t="s">
        <v>231</v>
      </c>
      <c r="M97" s="68">
        <v>0.13544085015055313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2.686140781693379E-5</v>
      </c>
      <c r="J98" s="67" t="s">
        <v>231</v>
      </c>
      <c r="K98" s="68">
        <v>3.3848372407222094E-3</v>
      </c>
      <c r="L98" s="67" t="s">
        <v>231</v>
      </c>
      <c r="M98" s="68">
        <v>8.5634726331264815E-2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1.7613130282864096E-6</v>
      </c>
      <c r="J99" s="67" t="s">
        <v>231</v>
      </c>
      <c r="K99" s="68">
        <v>1.5056688954395772E-3</v>
      </c>
      <c r="L99" s="67" t="s">
        <v>231</v>
      </c>
      <c r="M99" s="68">
        <v>2.2653597981077276E-2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2.2953205843566633E-3</v>
      </c>
      <c r="J100" s="67" t="s">
        <v>231</v>
      </c>
      <c r="K100" s="68">
        <v>5.6199294677951955E-2</v>
      </c>
      <c r="L100" s="67" t="s">
        <v>231</v>
      </c>
      <c r="M100" s="68">
        <v>1.8399028410559684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1.8517822226372771E-2</v>
      </c>
      <c r="J101" s="67" t="s">
        <v>232</v>
      </c>
      <c r="K101" s="68">
        <v>1.4894318578646801E-2</v>
      </c>
      <c r="L101" s="67" t="s">
        <v>231</v>
      </c>
      <c r="M101" s="68">
        <v>0.46570453553231711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5.6635671148418656E-3</v>
      </c>
      <c r="J102" s="67" t="s">
        <v>231</v>
      </c>
      <c r="K102" s="68">
        <v>1.9900283038964302E-2</v>
      </c>
      <c r="L102" s="67" t="s">
        <v>231</v>
      </c>
      <c r="M102" s="68">
        <v>0.63546581160478421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1.5552157588546271E-9</v>
      </c>
      <c r="J103" s="67" t="s">
        <v>231</v>
      </c>
      <c r="K103" s="68">
        <v>9.1481887055911901E-4</v>
      </c>
      <c r="L103" s="67" t="s">
        <v>231</v>
      </c>
      <c r="M103" s="68">
        <v>1.1862514035575032E-2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2.4611673335388294E-7</v>
      </c>
      <c r="J104" s="67" t="s">
        <v>231</v>
      </c>
      <c r="K104" s="68">
        <v>1.2614096358612942E-3</v>
      </c>
      <c r="L104" s="67" t="s">
        <v>231</v>
      </c>
      <c r="M104" s="68">
        <v>0.11259783635595237</v>
      </c>
      <c r="N104" s="67" t="s">
        <v>231</v>
      </c>
      <c r="O104" s="65"/>
      <c r="P104" s="102"/>
    </row>
    <row r="105" spans="1:16">
      <c r="A105" s="65" t="s">
        <v>455</v>
      </c>
      <c r="B105" s="167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9.7196969731638009E-8</v>
      </c>
      <c r="J105" s="67" t="s">
        <v>231</v>
      </c>
      <c r="K105" s="68">
        <v>9.1943291658097819E-4</v>
      </c>
      <c r="L105" s="67" t="s">
        <v>231</v>
      </c>
      <c r="M105" s="68">
        <v>1.8069009091645613E-3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3.3218686705013084E-8</v>
      </c>
      <c r="J106" s="67" t="s">
        <v>231</v>
      </c>
      <c r="K106" s="68">
        <v>1.0601876364646351E-3</v>
      </c>
      <c r="L106" s="67" t="s">
        <v>231</v>
      </c>
      <c r="M106" s="68">
        <v>6.8565092734061582E-3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8.5261683172454625E-6</v>
      </c>
      <c r="J107" s="67" t="s">
        <v>231</v>
      </c>
      <c r="K107" s="68">
        <v>2.3884784885626006E-2</v>
      </c>
      <c r="L107" s="67" t="s">
        <v>231</v>
      </c>
      <c r="M107" s="68">
        <v>0.69891657298491294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2.6565668129224155E-10</v>
      </c>
      <c r="J108" s="67" t="s">
        <v>231</v>
      </c>
      <c r="K108" s="68">
        <v>8.9056309890155766E-4</v>
      </c>
      <c r="L108" s="67" t="s">
        <v>231</v>
      </c>
      <c r="M108" s="68">
        <v>7.8404073536631594E-5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2.750779135393569E-6</v>
      </c>
      <c r="J109" s="67" t="s">
        <v>231</v>
      </c>
      <c r="K109" s="68">
        <v>1.1885056738862939E-2</v>
      </c>
      <c r="L109" s="67" t="s">
        <v>231</v>
      </c>
      <c r="M109" s="68">
        <v>0.25945644359973163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5.8448593816412612E-6</v>
      </c>
      <c r="J110" s="67" t="s">
        <v>231</v>
      </c>
      <c r="K110" s="68">
        <v>8.8848904738624457E-4</v>
      </c>
      <c r="L110" s="67" t="s">
        <v>231</v>
      </c>
      <c r="M110" s="68">
        <v>2.227538414817324E-4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8.1475167682881345E-14</v>
      </c>
      <c r="J111" s="67" t="s">
        <v>231</v>
      </c>
      <c r="K111" s="68">
        <v>8.8731226559590499E-4</v>
      </c>
      <c r="L111" s="67" t="s">
        <v>231</v>
      </c>
      <c r="M111" s="68">
        <v>3.2452720317346337E-6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9.1909314528999975E-9</v>
      </c>
      <c r="J112" s="67" t="s">
        <v>231</v>
      </c>
      <c r="K112" s="68">
        <v>8.8568831562716897E-4</v>
      </c>
      <c r="L112" s="67" t="s">
        <v>231</v>
      </c>
      <c r="M112" s="68">
        <v>1.6820466717368604E-4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4.2192672486131307E-7</v>
      </c>
      <c r="J113" s="67" t="s">
        <v>231</v>
      </c>
      <c r="K113" s="68">
        <v>9.7129733550953854E-4</v>
      </c>
      <c r="L113" s="67" t="s">
        <v>231</v>
      </c>
      <c r="M113" s="68">
        <v>3.8416430156796707E-3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5.717899547956344E-8</v>
      </c>
      <c r="J114" s="67" t="s">
        <v>231</v>
      </c>
      <c r="K114" s="68">
        <v>8.8531772540092178E-4</v>
      </c>
      <c r="L114" s="67" t="s">
        <v>231</v>
      </c>
      <c r="M114" s="68">
        <v>5.2288115720149979E-5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4.7485980636314678E-11</v>
      </c>
      <c r="J115" s="67" t="s">
        <v>231</v>
      </c>
      <c r="K115" s="68">
        <v>8.9754903196306412E-4</v>
      </c>
      <c r="L115" s="67" t="s">
        <v>231</v>
      </c>
      <c r="M115" s="68">
        <v>3.3993498423716003E-3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9.3540242653765586E-6</v>
      </c>
      <c r="J116" s="67" t="s">
        <v>231</v>
      </c>
      <c r="K116" s="68">
        <v>0.12188426041960214</v>
      </c>
      <c r="L116" s="67" t="s">
        <v>231</v>
      </c>
      <c r="M116" s="68">
        <v>2.8658813336706594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6.745967494652252E-5</v>
      </c>
      <c r="J117" s="67" t="s">
        <v>231</v>
      </c>
      <c r="K117" s="68">
        <v>7.3003977865307105E-3</v>
      </c>
      <c r="L117" s="67" t="s">
        <v>231</v>
      </c>
      <c r="M117" s="68">
        <v>0.21491357389722621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0.97650498791113305</v>
      </c>
      <c r="F2" s="14">
        <v>0.9794820824575694</v>
      </c>
      <c r="G2" s="14">
        <v>2.9127618890318228E-10</v>
      </c>
      <c r="H2" s="14">
        <v>0.17063829219900142</v>
      </c>
      <c r="I2" s="14">
        <v>0.63406483300850081</v>
      </c>
      <c r="J2" s="14">
        <v>0</v>
      </c>
      <c r="K2" s="14">
        <v>1.020947721157849</v>
      </c>
      <c r="L2" s="14">
        <v>0.97948208245756951</v>
      </c>
      <c r="M2" s="14">
        <v>0.80366504865643573</v>
      </c>
      <c r="N2" s="14">
        <v>0.90383277924588046</v>
      </c>
      <c r="O2" s="14">
        <v>175.51528740175752</v>
      </c>
      <c r="P2" s="8">
        <v>0.90383277924588046</v>
      </c>
      <c r="Q2" s="54">
        <v>1.5773703267318022E-2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0.6974921262875875</v>
      </c>
      <c r="F3" s="14">
        <v>0.46875364868395497</v>
      </c>
      <c r="G3" s="14">
        <v>2.2192238685772016E-10</v>
      </c>
      <c r="H3" s="14">
        <v>52.723199244221981</v>
      </c>
      <c r="I3" s="14">
        <v>118.59095422839859</v>
      </c>
      <c r="J3" s="14">
        <v>0</v>
      </c>
      <c r="K3" s="14">
        <v>2.1333167278964993</v>
      </c>
      <c r="L3" s="14">
        <v>0.46875364868395497</v>
      </c>
      <c r="M3" s="14">
        <v>0.38461236874518506</v>
      </c>
      <c r="N3" s="14">
        <v>8.8819312301935689</v>
      </c>
      <c r="O3" s="14">
        <v>2274.5737687402707</v>
      </c>
      <c r="P3" s="8">
        <v>8.8819312301935689</v>
      </c>
      <c r="Q3" s="54">
        <v>0.20335345877284022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0.99983708595296394</v>
      </c>
      <c r="F4" s="14">
        <v>1.0033262069951461</v>
      </c>
      <c r="G4" s="14">
        <v>1.5113694656502427E-19</v>
      </c>
      <c r="H4" s="14">
        <v>0.11987873637564406</v>
      </c>
      <c r="I4" s="14">
        <v>1.2223607988385457E-3</v>
      </c>
      <c r="J4" s="14">
        <v>0</v>
      </c>
      <c r="K4" s="14">
        <v>0.99668481997982694</v>
      </c>
      <c r="L4" s="14">
        <v>1.0033262069951463</v>
      </c>
      <c r="M4" s="14">
        <v>0.82322915283951748</v>
      </c>
      <c r="N4" s="14">
        <v>1.0161800564803125</v>
      </c>
      <c r="O4" s="14">
        <v>300.94172372664451</v>
      </c>
      <c r="P4" s="8">
        <v>1.0161800564803125</v>
      </c>
      <c r="Q4" s="54">
        <v>1.3937966411987523E-5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0.99967971025214908</v>
      </c>
      <c r="F5" s="14">
        <v>0.54969476606662171</v>
      </c>
      <c r="G5" s="14">
        <v>2.5159466298942634E-12</v>
      </c>
      <c r="H5" s="14">
        <v>128.49363104871381</v>
      </c>
      <c r="I5" s="14">
        <v>9.4428367807309552E-2</v>
      </c>
      <c r="J5" s="14">
        <v>0</v>
      </c>
      <c r="K5" s="14">
        <v>1.8191914162755594</v>
      </c>
      <c r="L5" s="14">
        <v>0.54969476606662182</v>
      </c>
      <c r="M5" s="14">
        <v>0.45102455555766319</v>
      </c>
      <c r="N5" s="14">
        <v>0.94418019424078725</v>
      </c>
      <c r="O5" s="14">
        <v>208.7015901349836</v>
      </c>
      <c r="P5" s="8">
        <v>0.94418019424078725</v>
      </c>
      <c r="Q5" s="54">
        <v>1.2697039859997685E-4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0.99916104449219401</v>
      </c>
      <c r="F6" s="14">
        <v>0.32532616040793649</v>
      </c>
      <c r="G6" s="14">
        <v>2.0639225579377022E-13</v>
      </c>
      <c r="H6" s="14">
        <v>191.82225298535968</v>
      </c>
      <c r="I6" s="14">
        <v>0.5150544323745222</v>
      </c>
      <c r="J6" s="14">
        <v>0</v>
      </c>
      <c r="K6" s="14">
        <v>3.0738382635631551</v>
      </c>
      <c r="L6" s="14">
        <v>0.32532616040793649</v>
      </c>
      <c r="M6" s="14">
        <v>0.26693011461471189</v>
      </c>
      <c r="N6" s="14">
        <v>0.95496658234434928</v>
      </c>
      <c r="O6" s="14">
        <v>219.89060525060984</v>
      </c>
      <c r="P6" s="8">
        <v>0.95496658234434928</v>
      </c>
      <c r="Q6" s="54">
        <v>4.7605061319922924E-4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0.99611392898548135</v>
      </c>
      <c r="F7" s="14">
        <v>0.1080315902121371</v>
      </c>
      <c r="G7" s="14">
        <v>1.8002709882945572E-9</v>
      </c>
      <c r="H7" s="14">
        <v>252.01754052039217</v>
      </c>
      <c r="I7" s="14">
        <v>4.7499330465251433</v>
      </c>
      <c r="J7" s="14">
        <v>0</v>
      </c>
      <c r="K7" s="14">
        <v>9.2565516997050779</v>
      </c>
      <c r="L7" s="14">
        <v>0.1080315902121371</v>
      </c>
      <c r="M7" s="14">
        <v>8.8639919769058495E-2</v>
      </c>
      <c r="N7" s="14">
        <v>1.1458307405865835</v>
      </c>
      <c r="O7" s="14">
        <v>236.36196516820044</v>
      </c>
      <c r="P7" s="8">
        <v>1.1458307405865835</v>
      </c>
      <c r="Q7" s="54">
        <v>2.5147075633521771E-3</v>
      </c>
    </row>
    <row r="8" spans="1:20">
      <c r="A8" s="2" t="s">
        <v>289</v>
      </c>
      <c r="B8" s="16" t="s">
        <v>290</v>
      </c>
      <c r="D8" s="14">
        <v>1</v>
      </c>
      <c r="E8" s="14">
        <v>0.99952243469880675</v>
      </c>
      <c r="F8" s="14">
        <v>0.23068156855148217</v>
      </c>
      <c r="G8" s="14">
        <v>1.2787584665032028E-19</v>
      </c>
      <c r="H8" s="14">
        <v>218.74236121399954</v>
      </c>
      <c r="I8" s="14">
        <v>0.30797757586794333</v>
      </c>
      <c r="J8" s="14">
        <v>0</v>
      </c>
      <c r="K8" s="14">
        <v>4.3349800605193378</v>
      </c>
      <c r="L8" s="14">
        <v>0.23068156855148217</v>
      </c>
      <c r="M8" s="14">
        <v>0.18927422699649113</v>
      </c>
      <c r="N8" s="14">
        <v>0.92640447034430473</v>
      </c>
      <c r="O8" s="14">
        <v>322.7778455573627</v>
      </c>
      <c r="P8" s="8">
        <v>0.92640447034430484</v>
      </c>
      <c r="Q8" s="54">
        <v>2.348113558579054E-4</v>
      </c>
    </row>
    <row r="9" spans="1:20">
      <c r="A9" s="2" t="s">
        <v>291</v>
      </c>
      <c r="B9" s="16" t="s">
        <v>292</v>
      </c>
      <c r="D9" s="14">
        <v>1</v>
      </c>
      <c r="E9" s="14">
        <v>0.99901050271414871</v>
      </c>
      <c r="F9" s="14">
        <v>0.61629251534844298</v>
      </c>
      <c r="G9" s="14">
        <v>5.3600517238934282E-15</v>
      </c>
      <c r="H9" s="14">
        <v>109.41752663856403</v>
      </c>
      <c r="I9" s="14">
        <v>0.38399048004327557</v>
      </c>
      <c r="J9" s="14">
        <v>0</v>
      </c>
      <c r="K9" s="14">
        <v>1.622606108455843</v>
      </c>
      <c r="L9" s="14">
        <v>0.61629251534844298</v>
      </c>
      <c r="M9" s="14">
        <v>0.50566800884339747</v>
      </c>
      <c r="N9" s="14">
        <v>0.95998373007282445</v>
      </c>
      <c r="O9" s="14">
        <v>295.99178349335398</v>
      </c>
      <c r="P9" s="8">
        <v>0.95998373007282456</v>
      </c>
      <c r="Q9" s="54">
        <v>5.7719220513210133E-4</v>
      </c>
    </row>
    <row r="10" spans="1:20">
      <c r="A10" s="2" t="s">
        <v>367</v>
      </c>
      <c r="B10" s="16" t="s">
        <v>368</v>
      </c>
      <c r="D10" s="14">
        <v>1</v>
      </c>
      <c r="E10" s="14">
        <v>0.8867268068212053</v>
      </c>
      <c r="F10" s="14">
        <v>1.0374828112699319E-2</v>
      </c>
      <c r="G10" s="14">
        <v>1.6120161848321666E-7</v>
      </c>
      <c r="H10" s="14">
        <v>212.05128578460148</v>
      </c>
      <c r="I10" s="14">
        <v>342.92415798389129</v>
      </c>
      <c r="J10" s="14">
        <v>0</v>
      </c>
      <c r="K10" s="14">
        <v>96.387139057846056</v>
      </c>
      <c r="L10" s="14">
        <v>1.0374828112699321E-2</v>
      </c>
      <c r="M10" s="14">
        <v>8.5125464664697927E-3</v>
      </c>
      <c r="N10" s="14">
        <v>21.280764180986427</v>
      </c>
      <c r="O10" s="14">
        <v>5923.2879021357612</v>
      </c>
      <c r="P10" s="8">
        <v>21.280764180986427</v>
      </c>
      <c r="Q10" s="54">
        <v>7.443858018226035E-2</v>
      </c>
    </row>
    <row r="11" spans="1:20">
      <c r="A11" s="2" t="s">
        <v>369</v>
      </c>
      <c r="B11" s="16" t="s">
        <v>370</v>
      </c>
      <c r="D11" s="14">
        <v>1</v>
      </c>
      <c r="E11" s="14">
        <v>0.96841975972457883</v>
      </c>
      <c r="F11" s="14">
        <v>6.1531934317060339E-4</v>
      </c>
      <c r="G11" s="14">
        <v>6.6297427928905332E-14</v>
      </c>
      <c r="H11" s="14">
        <v>158.9426932527924</v>
      </c>
      <c r="I11" s="14">
        <v>1075.21807158345</v>
      </c>
      <c r="J11" s="14">
        <v>0</v>
      </c>
      <c r="K11" s="14">
        <v>1625.1723777237735</v>
      </c>
      <c r="L11" s="14">
        <v>6.1531934317060339E-4</v>
      </c>
      <c r="M11" s="14">
        <v>5.0486952107148015E-4</v>
      </c>
      <c r="N11" s="14">
        <v>98.672231801832069</v>
      </c>
      <c r="O11" s="14">
        <v>40149.731120165467</v>
      </c>
      <c r="P11" s="8">
        <v>98.672231801832083</v>
      </c>
      <c r="Q11" s="54">
        <v>1.1992136276608768E-2</v>
      </c>
    </row>
    <row r="12" spans="1:20">
      <c r="A12" s="2" t="s">
        <v>371</v>
      </c>
      <c r="B12" s="16" t="s">
        <v>372</v>
      </c>
      <c r="D12" s="14">
        <v>1</v>
      </c>
      <c r="E12" s="14">
        <v>0.92073877245847535</v>
      </c>
      <c r="F12" s="14">
        <v>0.92430336853901784</v>
      </c>
      <c r="G12" s="14">
        <v>8.3278009909814135E-4</v>
      </c>
      <c r="H12" s="14">
        <v>7.3556867221910589E-3</v>
      </c>
      <c r="I12" s="14">
        <v>3.3757692649188542E-2</v>
      </c>
      <c r="J12" s="14">
        <v>0</v>
      </c>
      <c r="K12" s="14">
        <v>1.0818958731921864</v>
      </c>
      <c r="L12" s="14">
        <v>0.92430336853901784</v>
      </c>
      <c r="M12" s="14">
        <v>0.75839091388626412</v>
      </c>
      <c r="N12" s="14">
        <v>0.81924943989594379</v>
      </c>
      <c r="O12" s="14">
        <v>114.85057897901237</v>
      </c>
      <c r="P12" s="8">
        <v>0.8192494398959439</v>
      </c>
      <c r="Q12" s="54">
        <v>2.8325184982468379E-3</v>
      </c>
    </row>
    <row r="13" spans="1:20">
      <c r="A13" s="2" t="s">
        <v>293</v>
      </c>
      <c r="B13" s="16" t="s">
        <v>294</v>
      </c>
      <c r="D13" s="14">
        <v>1</v>
      </c>
      <c r="E13" s="14">
        <v>0.70100464887537672</v>
      </c>
      <c r="F13" s="14">
        <v>0.52647483121671812</v>
      </c>
      <c r="G13" s="14">
        <v>1.9465524114910677E-10</v>
      </c>
      <c r="H13" s="14">
        <v>39.942717987075888</v>
      </c>
      <c r="I13" s="14">
        <v>94.862547828805248</v>
      </c>
      <c r="J13" s="14">
        <v>0</v>
      </c>
      <c r="K13" s="14">
        <v>1.8994260327486763</v>
      </c>
      <c r="L13" s="14">
        <v>0.52647483121671823</v>
      </c>
      <c r="M13" s="14">
        <v>0.4319725990133173</v>
      </c>
      <c r="N13" s="14">
        <v>6.2528760971054123</v>
      </c>
      <c r="O13" s="14">
        <v>2065.7001474397439</v>
      </c>
      <c r="P13" s="8">
        <v>6.2528760971054123</v>
      </c>
      <c r="Q13" s="54">
        <v>0.20123095339263841</v>
      </c>
    </row>
    <row r="14" spans="1:20">
      <c r="A14" s="2" t="s">
        <v>373</v>
      </c>
      <c r="B14" s="16" t="s">
        <v>374</v>
      </c>
      <c r="D14" s="14">
        <v>1</v>
      </c>
      <c r="E14" s="14">
        <v>0.99895589105260441</v>
      </c>
      <c r="F14" s="14">
        <v>8.8400771598994097E-3</v>
      </c>
      <c r="G14" s="14">
        <v>9.5318899240004712E-10</v>
      </c>
      <c r="H14" s="14">
        <v>280.98041896421705</v>
      </c>
      <c r="I14" s="14">
        <v>4.0757104363262275</v>
      </c>
      <c r="J14" s="14">
        <v>0</v>
      </c>
      <c r="K14" s="14">
        <v>113.12118456796125</v>
      </c>
      <c r="L14" s="14">
        <v>8.8400771598994114E-3</v>
      </c>
      <c r="M14" s="14">
        <v>7.2532833096974666E-3</v>
      </c>
      <c r="N14" s="14">
        <v>1.8729726511592217</v>
      </c>
      <c r="O14" s="14">
        <v>498.84753590974708</v>
      </c>
      <c r="P14" s="8">
        <v>1.872972651159222</v>
      </c>
      <c r="Q14" s="54">
        <v>5.2771971772610084E-4</v>
      </c>
    </row>
    <row r="15" spans="1:20">
      <c r="A15" s="2" t="s">
        <v>375</v>
      </c>
      <c r="B15" s="16" t="s">
        <v>376</v>
      </c>
      <c r="D15" s="14">
        <v>1</v>
      </c>
      <c r="E15" s="14">
        <v>0.78739264816762022</v>
      </c>
      <c r="F15" s="14">
        <v>0.76497549938012921</v>
      </c>
      <c r="G15" s="14">
        <v>9.4601062355069551E-4</v>
      </c>
      <c r="H15" s="14">
        <v>5.531813448490241</v>
      </c>
      <c r="I15" s="14">
        <v>15.621570623964535</v>
      </c>
      <c r="J15" s="14">
        <v>0</v>
      </c>
      <c r="K15" s="14">
        <v>1.3072314091239714</v>
      </c>
      <c r="L15" s="14">
        <v>0.76497549938012921</v>
      </c>
      <c r="M15" s="14">
        <v>0.62766239724139605</v>
      </c>
      <c r="N15" s="14">
        <v>1.622839352585135</v>
      </c>
      <c r="O15" s="14">
        <v>242.45219927621918</v>
      </c>
      <c r="P15" s="8">
        <v>1.622839352585135</v>
      </c>
      <c r="Q15" s="54">
        <v>8.5886458787332254E-2</v>
      </c>
    </row>
    <row r="16" spans="1:20">
      <c r="A16" s="2" t="s">
        <v>377</v>
      </c>
      <c r="B16" s="16" t="s">
        <v>378</v>
      </c>
      <c r="D16" s="14">
        <v>1</v>
      </c>
      <c r="E16" s="14">
        <v>0.68973511947933808</v>
      </c>
      <c r="F16" s="14">
        <v>0.49106758190070188</v>
      </c>
      <c r="G16" s="14">
        <v>7.404738954414726E-6</v>
      </c>
      <c r="H16" s="14">
        <v>45.507320517049187</v>
      </c>
      <c r="I16" s="14">
        <v>106.49726034929473</v>
      </c>
      <c r="J16" s="14">
        <v>0</v>
      </c>
      <c r="K16" s="14">
        <v>2.0363795877737427</v>
      </c>
      <c r="L16" s="14">
        <v>0.49106758190070193</v>
      </c>
      <c r="M16" s="14">
        <v>0.4029209509495259</v>
      </c>
      <c r="N16" s="14">
        <v>6.9351730236188827</v>
      </c>
      <c r="O16" s="14">
        <v>1541.2728527690604</v>
      </c>
      <c r="P16" s="8">
        <v>6.9351730236188827</v>
      </c>
      <c r="Q16" s="54">
        <v>0.20832358260923423</v>
      </c>
    </row>
    <row r="17" spans="1:21">
      <c r="A17" s="2" t="s">
        <v>379</v>
      </c>
      <c r="B17" s="16" t="s">
        <v>380</v>
      </c>
      <c r="D17" s="14">
        <v>1</v>
      </c>
      <c r="E17" s="14">
        <v>0.69539124474694347</v>
      </c>
      <c r="F17" s="14">
        <v>0.51236100489947911</v>
      </c>
      <c r="G17" s="14">
        <v>2.2266120571560853E-5</v>
      </c>
      <c r="H17" s="14">
        <v>41.900197375868608</v>
      </c>
      <c r="I17" s="14">
        <v>98.963088267653887</v>
      </c>
      <c r="J17" s="14">
        <v>0</v>
      </c>
      <c r="K17" s="14">
        <v>1.9517488459063967</v>
      </c>
      <c r="L17" s="14">
        <v>0.51236100489947911</v>
      </c>
      <c r="M17" s="14">
        <v>0.42039220452002257</v>
      </c>
      <c r="N17" s="14">
        <v>6.4918840896747412</v>
      </c>
      <c r="O17" s="14">
        <v>834.59661856858474</v>
      </c>
      <c r="P17" s="8">
        <v>6.4918840896747412</v>
      </c>
      <c r="Q17" s="54">
        <v>0.2036447599246167</v>
      </c>
    </row>
    <row r="18" spans="1:21">
      <c r="A18" s="2" t="s">
        <v>381</v>
      </c>
      <c r="B18" s="16" t="s">
        <v>382</v>
      </c>
      <c r="D18" s="14">
        <v>1</v>
      </c>
      <c r="E18" s="14">
        <v>0.90256795610367058</v>
      </c>
      <c r="F18" s="14">
        <v>6.5826236878754917E-4</v>
      </c>
      <c r="G18" s="14">
        <v>4.6895105362843721E-10</v>
      </c>
      <c r="H18" s="14">
        <v>69.103338322687563</v>
      </c>
      <c r="I18" s="14">
        <v>1733.629143027257</v>
      </c>
      <c r="J18" s="14">
        <v>0</v>
      </c>
      <c r="K18" s="14">
        <v>1519.1510975204249</v>
      </c>
      <c r="L18" s="14">
        <v>6.5826236878754917E-4</v>
      </c>
      <c r="M18" s="14">
        <v>5.4010427359018405E-4</v>
      </c>
      <c r="N18" s="14">
        <v>109.09654248425457</v>
      </c>
      <c r="O18" s="14">
        <v>42688.386108663974</v>
      </c>
      <c r="P18" s="8">
        <v>109.09654248425457</v>
      </c>
      <c r="Q18" s="54">
        <v>5.5456977876483904E-2</v>
      </c>
    </row>
    <row r="19" spans="1:21">
      <c r="A19" s="2" t="s">
        <v>383</v>
      </c>
      <c r="B19" s="16" t="s">
        <v>384</v>
      </c>
      <c r="D19" s="14">
        <v>1</v>
      </c>
      <c r="E19" s="14">
        <v>0.91149528423080506</v>
      </c>
      <c r="F19" s="14">
        <v>0.90663563646807299</v>
      </c>
      <c r="G19" s="14">
        <v>1.3078600477640066E-4</v>
      </c>
      <c r="H19" s="14">
        <v>1.7862111069645823</v>
      </c>
      <c r="I19" s="14">
        <v>5.5512393926185597</v>
      </c>
      <c r="J19" s="14">
        <v>0</v>
      </c>
      <c r="K19" s="14">
        <v>1.1029789253548878</v>
      </c>
      <c r="L19" s="14">
        <v>0.90663563646807299</v>
      </c>
      <c r="M19" s="14">
        <v>0.74389453972205388</v>
      </c>
      <c r="N19" s="14">
        <v>1.1365733682154295</v>
      </c>
      <c r="O19" s="14">
        <v>105.84907778190295</v>
      </c>
      <c r="P19" s="8">
        <v>1.1365733682154295</v>
      </c>
      <c r="Q19" s="54">
        <v>5.1688027170743986E-2</v>
      </c>
    </row>
    <row r="20" spans="1:21">
      <c r="A20" s="2" t="s">
        <v>385</v>
      </c>
      <c r="B20" s="16" t="s">
        <v>386</v>
      </c>
      <c r="D20" s="14">
        <v>1</v>
      </c>
      <c r="E20" s="14">
        <v>0.87661550181181802</v>
      </c>
      <c r="F20" s="14">
        <v>0.86519006882486182</v>
      </c>
      <c r="G20" s="14">
        <v>2.4419682519951442E-4</v>
      </c>
      <c r="H20" s="14">
        <v>3.1850153204220755</v>
      </c>
      <c r="I20" s="14">
        <v>9.4529790733945855</v>
      </c>
      <c r="J20" s="14">
        <v>0</v>
      </c>
      <c r="K20" s="14">
        <v>1.1558153936721012</v>
      </c>
      <c r="L20" s="14">
        <v>0.86519006882486182</v>
      </c>
      <c r="M20" s="14">
        <v>0.70988845147079915</v>
      </c>
      <c r="N20" s="14">
        <v>1.3365170669221023</v>
      </c>
      <c r="O20" s="14">
        <v>148.51377647638401</v>
      </c>
      <c r="P20" s="8">
        <v>1.3365170669221023</v>
      </c>
      <c r="Q20" s="54">
        <v>6.8323278283328293E-2</v>
      </c>
    </row>
    <row r="21" spans="1:21">
      <c r="A21" s="2" t="s">
        <v>387</v>
      </c>
      <c r="B21" s="16" t="s">
        <v>388</v>
      </c>
      <c r="D21" s="14">
        <v>1</v>
      </c>
      <c r="E21" s="14">
        <v>0.92873121057907659</v>
      </c>
      <c r="F21" s="14">
        <v>0.10647740566202199</v>
      </c>
      <c r="G21" s="14">
        <v>2.0692032645777599E-5</v>
      </c>
      <c r="H21" s="14">
        <v>224.74884106899964</v>
      </c>
      <c r="I21" s="14">
        <v>83.980457942418653</v>
      </c>
      <c r="J21" s="14">
        <v>0</v>
      </c>
      <c r="K21" s="14">
        <v>9.3916638349940236</v>
      </c>
      <c r="L21" s="14">
        <v>0.106477405662022</v>
      </c>
      <c r="M21" s="14">
        <v>8.7364711345689045E-2</v>
      </c>
      <c r="N21" s="14">
        <v>5.816775872868253</v>
      </c>
      <c r="O21" s="14">
        <v>1148.5223960978365</v>
      </c>
      <c r="P21" s="8">
        <v>5.8167758728682539</v>
      </c>
      <c r="Q21" s="54">
        <v>4.6299706555906386E-2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0.90475172787075075</v>
      </c>
      <c r="F22" s="14">
        <v>0.90688514285985433</v>
      </c>
      <c r="G22" s="14">
        <v>7.2828400992789742E-4</v>
      </c>
      <c r="H22" s="14">
        <v>0.28792030061048801</v>
      </c>
      <c r="I22" s="14">
        <v>1.0235980688243949</v>
      </c>
      <c r="J22" s="14">
        <v>0</v>
      </c>
      <c r="K22" s="14">
        <v>1.102675468744045</v>
      </c>
      <c r="L22" s="14">
        <v>0.90688514285985433</v>
      </c>
      <c r="M22" s="14">
        <v>0.74409925971651047</v>
      </c>
      <c r="N22" s="14">
        <v>0.86312208795920664</v>
      </c>
      <c r="O22" s="14">
        <v>50.130130868670719</v>
      </c>
      <c r="P22" s="8">
        <v>0.86312208795920664</v>
      </c>
      <c r="Q22" s="54">
        <v>1.9967765046811418E-2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0.7658365806423737</v>
      </c>
      <c r="F23" s="14">
        <v>0.72522521016314179</v>
      </c>
      <c r="G23" s="14">
        <v>7.6588114916020127E-4</v>
      </c>
      <c r="H23" s="14">
        <v>9.557248813040264</v>
      </c>
      <c r="I23" s="14">
        <v>25.822011091397783</v>
      </c>
      <c r="J23" s="14">
        <v>0</v>
      </c>
      <c r="K23" s="14">
        <v>1.3788820162154136</v>
      </c>
      <c r="L23" s="14">
        <v>0.72522521016314179</v>
      </c>
      <c r="M23" s="14">
        <v>0.59504728493885783</v>
      </c>
      <c r="N23" s="14">
        <v>2.2085195625896539</v>
      </c>
      <c r="O23" s="14">
        <v>236.64287113148146</v>
      </c>
      <c r="P23" s="8">
        <v>2.2085195625896543</v>
      </c>
      <c r="Q23" s="54">
        <v>0.11132432315625072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0.6659148708361855</v>
      </c>
      <c r="F24" s="14">
        <v>0.38000327680350676</v>
      </c>
      <c r="G24" s="14">
        <v>2.1860285482465034E-5</v>
      </c>
      <c r="H24" s="14">
        <v>65.800219384050862</v>
      </c>
      <c r="I24" s="14">
        <v>147.05659717401315</v>
      </c>
      <c r="J24" s="14">
        <v>0</v>
      </c>
      <c r="K24" s="14">
        <v>2.6315562550190403</v>
      </c>
      <c r="L24" s="14">
        <v>0.38000327680350676</v>
      </c>
      <c r="M24" s="14">
        <v>0.31179268861727732</v>
      </c>
      <c r="N24" s="14">
        <v>9.3292575556219699</v>
      </c>
      <c r="O24" s="14">
        <v>1511.5263091618715</v>
      </c>
      <c r="P24" s="8">
        <v>9.3292575556219699</v>
      </c>
      <c r="Q24" s="54">
        <v>0.22329783500350878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0.89531229304593041</v>
      </c>
      <c r="F25" s="14">
        <v>9.1674321661982855E-4</v>
      </c>
      <c r="G25" s="14">
        <v>2.1572287161113334E-6</v>
      </c>
      <c r="H25" s="14">
        <v>82.350777741471106</v>
      </c>
      <c r="I25" s="14">
        <v>1591.2003875144062</v>
      </c>
      <c r="J25" s="14">
        <v>0</v>
      </c>
      <c r="K25" s="14">
        <v>1090.8179977454886</v>
      </c>
      <c r="L25" s="14">
        <v>9.1674321661982855E-4</v>
      </c>
      <c r="M25" s="14">
        <v>7.5218780923656933E-4</v>
      </c>
      <c r="N25" s="14">
        <v>99.994869842400391</v>
      </c>
      <c r="O25" s="14">
        <v>23337.802672517824</v>
      </c>
      <c r="P25" s="8">
        <v>99.994869842400391</v>
      </c>
      <c r="Q25" s="54">
        <v>6.1083635349386302E-2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0.60164704121526691</v>
      </c>
      <c r="F26" s="14">
        <v>0.13671285382221215</v>
      </c>
      <c r="G26" s="14">
        <v>1.476854928996904E-3</v>
      </c>
      <c r="H26" s="14">
        <v>108.82015724061397</v>
      </c>
      <c r="I26" s="14">
        <v>217.35344091320815</v>
      </c>
      <c r="J26" s="14">
        <v>0</v>
      </c>
      <c r="K26" s="14">
        <v>7.3146011661818351</v>
      </c>
      <c r="L26" s="14">
        <v>0.13671285382221218</v>
      </c>
      <c r="M26" s="14">
        <v>0.11217289656112509</v>
      </c>
      <c r="N26" s="14">
        <v>13.472722494564763</v>
      </c>
      <c r="O26" s="14">
        <v>1726.7988421283655</v>
      </c>
      <c r="P26" s="8">
        <v>13.472722494564763</v>
      </c>
      <c r="Q26" s="54">
        <v>0.17789613796739659</v>
      </c>
    </row>
    <row r="27" spans="1:21">
      <c r="A27" s="2" t="s">
        <v>397</v>
      </c>
      <c r="B27" s="16" t="s">
        <v>398</v>
      </c>
      <c r="D27" s="14">
        <v>1</v>
      </c>
      <c r="E27" s="14">
        <v>0.31873998873699394</v>
      </c>
      <c r="F27" s="14">
        <v>1.6172948344584784E-2</v>
      </c>
      <c r="G27" s="14">
        <v>6.705909485199368E-3</v>
      </c>
      <c r="H27" s="14">
        <v>72.281840008243847</v>
      </c>
      <c r="I27" s="14">
        <v>127.14121876113298</v>
      </c>
      <c r="J27" s="14">
        <v>0</v>
      </c>
      <c r="K27" s="14">
        <v>61.83164496007506</v>
      </c>
      <c r="L27" s="14">
        <v>1.6172948344584784E-2</v>
      </c>
      <c r="M27" s="14">
        <v>1.3269904116731816E-2</v>
      </c>
      <c r="N27" s="14">
        <v>7.8644354009539059</v>
      </c>
      <c r="O27" s="14">
        <v>1427.0018035030862</v>
      </c>
      <c r="P27" s="8">
        <v>7.8644354009539059</v>
      </c>
      <c r="Q27" s="54">
        <v>5.1723317231277523E-2</v>
      </c>
    </row>
    <row r="28" spans="1:21">
      <c r="A28" s="2" t="s">
        <v>399</v>
      </c>
      <c r="B28" s="16" t="s">
        <v>400</v>
      </c>
      <c r="D28" s="14">
        <v>1</v>
      </c>
      <c r="E28" s="14">
        <v>0.1663117944279387</v>
      </c>
      <c r="F28" s="14">
        <v>2.9234412822822357E-2</v>
      </c>
      <c r="G28" s="14">
        <v>8.5153570574576128E-3</v>
      </c>
      <c r="H28" s="14">
        <v>32.208787447184477</v>
      </c>
      <c r="I28" s="14">
        <v>62.810398120765662</v>
      </c>
      <c r="J28" s="14">
        <v>0</v>
      </c>
      <c r="K28" s="14">
        <v>34.20626253246764</v>
      </c>
      <c r="L28" s="14">
        <v>2.923441282282236E-2</v>
      </c>
      <c r="M28" s="14">
        <v>2.3986835721125747E-2</v>
      </c>
      <c r="N28" s="14">
        <v>3.8879356782144989</v>
      </c>
      <c r="O28" s="14">
        <v>571.52654469753134</v>
      </c>
      <c r="P28" s="8">
        <v>3.8879356782144989</v>
      </c>
      <c r="Q28" s="54">
        <v>4.5064187599000195E-2</v>
      </c>
    </row>
    <row r="29" spans="1:21">
      <c r="A29" s="2" t="s">
        <v>297</v>
      </c>
      <c r="B29" s="16" t="s">
        <v>298</v>
      </c>
      <c r="D29" s="14">
        <v>1</v>
      </c>
      <c r="E29" s="14">
        <v>6.0463764980342921E-2</v>
      </c>
      <c r="F29" s="14">
        <v>5.9396544900717635E-2</v>
      </c>
      <c r="G29" s="14">
        <v>1.0351175465212512E-2</v>
      </c>
      <c r="H29" s="14">
        <v>0.28077677588136563</v>
      </c>
      <c r="I29" s="14">
        <v>0.81812253159275705</v>
      </c>
      <c r="J29" s="14">
        <v>0</v>
      </c>
      <c r="K29" s="14">
        <v>16.835996128588242</v>
      </c>
      <c r="L29" s="14">
        <v>5.9396544900717642E-2</v>
      </c>
      <c r="M29" s="14">
        <v>4.8734865091038825E-2</v>
      </c>
      <c r="N29" s="14">
        <v>0.10202026119823347</v>
      </c>
      <c r="O29" s="14">
        <v>8.6645807835659685</v>
      </c>
      <c r="P29" s="8">
        <v>0.10202026119823347</v>
      </c>
      <c r="Q29" s="54">
        <v>5.3434082119252647E-3</v>
      </c>
    </row>
    <row r="30" spans="1:21">
      <c r="A30" s="2" t="s">
        <v>401</v>
      </c>
      <c r="B30" s="16" t="s">
        <v>402</v>
      </c>
      <c r="D30" s="14">
        <v>1</v>
      </c>
      <c r="E30" s="14">
        <v>6.4395739842666763E-2</v>
      </c>
      <c r="F30" s="14">
        <v>1.2027735270765809E-2</v>
      </c>
      <c r="G30" s="14">
        <v>1.0099790107887086E-2</v>
      </c>
      <c r="H30" s="14">
        <v>12.293735379028055</v>
      </c>
      <c r="I30" s="14">
        <v>24.106881414495273</v>
      </c>
      <c r="J30" s="14">
        <v>0</v>
      </c>
      <c r="K30" s="14">
        <v>83.141171424895333</v>
      </c>
      <c r="L30" s="14">
        <v>1.2027735270765809E-2</v>
      </c>
      <c r="M30" s="14">
        <v>9.8687567896633462E-3</v>
      </c>
      <c r="N30" s="14">
        <v>1.4925914570961671</v>
      </c>
      <c r="O30" s="14">
        <v>247.51644133025744</v>
      </c>
      <c r="P30" s="8">
        <v>1.4925914570961674</v>
      </c>
      <c r="Q30" s="54">
        <v>1.7829576659364108E-2</v>
      </c>
    </row>
    <row r="31" spans="1:21">
      <c r="A31" s="2" t="s">
        <v>299</v>
      </c>
      <c r="B31" s="16" t="s">
        <v>300</v>
      </c>
      <c r="D31" s="14">
        <v>1</v>
      </c>
      <c r="E31" s="14">
        <v>1.3154928845579938E-3</v>
      </c>
      <c r="F31" s="14">
        <v>4.4952762829311981E-4</v>
      </c>
      <c r="G31" s="14">
        <v>1.1089318996879326E-2</v>
      </c>
      <c r="H31" s="14">
        <v>0.20131511752007961</v>
      </c>
      <c r="I31" s="14">
        <v>0.4195015402325365</v>
      </c>
      <c r="J31" s="14">
        <v>0</v>
      </c>
      <c r="K31" s="14">
        <v>2224.5573732521243</v>
      </c>
      <c r="L31" s="14">
        <v>4.4952762829311986E-4</v>
      </c>
      <c r="M31" s="14">
        <v>3.6883741901450485E-4</v>
      </c>
      <c r="N31" s="14">
        <v>2.612359207608948E-2</v>
      </c>
      <c r="O31" s="14">
        <v>2.1457918531299898</v>
      </c>
      <c r="P31" s="8">
        <v>2.6123592076089483E-2</v>
      </c>
      <c r="Q31" s="54">
        <v>4.3344456305300782E-4</v>
      </c>
    </row>
    <row r="32" spans="1:21">
      <c r="A32" s="2" t="s">
        <v>343</v>
      </c>
      <c r="B32" s="16" t="s">
        <v>344</v>
      </c>
      <c r="D32" s="14">
        <v>1</v>
      </c>
      <c r="E32" s="14">
        <v>0.71327575658088893</v>
      </c>
      <c r="F32" s="14">
        <v>0.56393141900942279</v>
      </c>
      <c r="G32" s="14">
        <v>2.1805938321179367E-5</v>
      </c>
      <c r="H32" s="14">
        <v>34.162236243024118</v>
      </c>
      <c r="I32" s="14">
        <v>82.490410047043341</v>
      </c>
      <c r="J32" s="14">
        <v>0</v>
      </c>
      <c r="K32" s="14">
        <v>1.7732652700155564</v>
      </c>
      <c r="L32" s="14">
        <v>0.56393141900942279</v>
      </c>
      <c r="M32" s="14">
        <v>0.46270572929723142</v>
      </c>
      <c r="N32" s="14">
        <v>5.5278920014823099</v>
      </c>
      <c r="O32" s="14">
        <v>907.67986664339526</v>
      </c>
      <c r="P32" s="8">
        <v>5.5278920014823099</v>
      </c>
      <c r="Q32" s="54">
        <v>0.19169176776074834</v>
      </c>
    </row>
    <row r="33" spans="1:17">
      <c r="A33" s="2" t="s">
        <v>345</v>
      </c>
      <c r="B33" s="16" t="s">
        <v>346</v>
      </c>
      <c r="D33" s="14">
        <v>1</v>
      </c>
      <c r="E33" s="14">
        <v>0.78350612856237389</v>
      </c>
      <c r="F33" s="14">
        <v>0.71292634973221169</v>
      </c>
      <c r="G33" s="14">
        <v>9.2908009186557346E-7</v>
      </c>
      <c r="H33" s="14">
        <v>16.286383855804242</v>
      </c>
      <c r="I33" s="14">
        <v>42.25536303604374</v>
      </c>
      <c r="J33" s="14">
        <v>0</v>
      </c>
      <c r="K33" s="14">
        <v>1.4026694347538402</v>
      </c>
      <c r="L33" s="14">
        <v>0.71292634973221169</v>
      </c>
      <c r="M33" s="14">
        <v>0.58495606995527971</v>
      </c>
      <c r="N33" s="14">
        <v>3.1992454307223839</v>
      </c>
      <c r="O33" s="14">
        <v>483.59793930799555</v>
      </c>
      <c r="P33" s="8">
        <v>3.1992454307223843</v>
      </c>
      <c r="Q33" s="54">
        <v>0.14577459291161368</v>
      </c>
    </row>
    <row r="34" spans="1:17">
      <c r="A34" s="2" t="s">
        <v>347</v>
      </c>
      <c r="B34" s="16" t="s">
        <v>348</v>
      </c>
      <c r="D34" s="14">
        <v>1</v>
      </c>
      <c r="E34" s="14">
        <v>0.68656183009078975</v>
      </c>
      <c r="F34" s="14">
        <v>0.1745985179858334</v>
      </c>
      <c r="G34" s="14">
        <v>8.039129797715583E-7</v>
      </c>
      <c r="H34" s="14">
        <v>119.61359766924284</v>
      </c>
      <c r="I34" s="14">
        <v>241.56706560002198</v>
      </c>
      <c r="J34" s="14">
        <v>0</v>
      </c>
      <c r="K34" s="14">
        <v>5.7274254760921748</v>
      </c>
      <c r="L34" s="14">
        <v>0.1745985179858334</v>
      </c>
      <c r="M34" s="14">
        <v>0.1432580840073763</v>
      </c>
      <c r="N34" s="14">
        <v>14.987096164897164</v>
      </c>
      <c r="O34" s="14">
        <v>2641.4756990631249</v>
      </c>
      <c r="P34" s="8">
        <v>14.987096164897164</v>
      </c>
      <c r="Q34" s="54">
        <v>0.21010564638761312</v>
      </c>
    </row>
    <row r="35" spans="1:17">
      <c r="A35" s="2" t="s">
        <v>349</v>
      </c>
      <c r="B35" s="16" t="s">
        <v>350</v>
      </c>
      <c r="D35" s="14">
        <v>1</v>
      </c>
      <c r="E35" s="14">
        <v>0.83814816002627035</v>
      </c>
      <c r="F35" s="14">
        <v>2.0809698125265473E-2</v>
      </c>
      <c r="G35" s="14">
        <v>1.4714119129104712E-4</v>
      </c>
      <c r="H35" s="14">
        <v>196.92723366256337</v>
      </c>
      <c r="I35" s="14">
        <v>327.76528292056179</v>
      </c>
      <c r="J35" s="14">
        <v>0</v>
      </c>
      <c r="K35" s="14">
        <v>48.054517368797377</v>
      </c>
      <c r="L35" s="14">
        <v>2.0809698125265477E-2</v>
      </c>
      <c r="M35" s="14">
        <v>1.7074357311780322E-2</v>
      </c>
      <c r="N35" s="14">
        <v>20.301038465809263</v>
      </c>
      <c r="O35" s="14">
        <v>3903.8896969751218</v>
      </c>
      <c r="P35" s="8">
        <v>20.301038465809263</v>
      </c>
      <c r="Q35" s="54">
        <v>9.8392716476317491E-2</v>
      </c>
    </row>
    <row r="36" spans="1:17">
      <c r="A36" s="2" t="s">
        <v>351</v>
      </c>
      <c r="B36" s="16" t="s">
        <v>352</v>
      </c>
      <c r="D36" s="14">
        <v>1</v>
      </c>
      <c r="E36" s="14">
        <v>0.87528558790067801</v>
      </c>
      <c r="F36" s="14">
        <v>4.6375488828371047E-3</v>
      </c>
      <c r="G36" s="14">
        <v>3.9966580134661089E-6</v>
      </c>
      <c r="H36" s="14">
        <v>169.30449956357543</v>
      </c>
      <c r="I36" s="14">
        <v>723.64517572084719</v>
      </c>
      <c r="J36" s="14">
        <v>0</v>
      </c>
      <c r="K36" s="14">
        <v>215.63115026147858</v>
      </c>
      <c r="L36" s="14">
        <v>4.6375488828371055E-3</v>
      </c>
      <c r="M36" s="14">
        <v>3.8051088583678449E-3</v>
      </c>
      <c r="N36" s="14">
        <v>45.119268979244055</v>
      </c>
      <c r="O36" s="14">
        <v>10033.1718429145</v>
      </c>
      <c r="P36" s="8">
        <v>45.119268979244055</v>
      </c>
      <c r="Q36" s="54">
        <v>7.9675660274185878E-2</v>
      </c>
    </row>
    <row r="37" spans="1:17">
      <c r="A37" s="2" t="s">
        <v>353</v>
      </c>
      <c r="B37" s="16" t="s">
        <v>354</v>
      </c>
      <c r="D37" s="14">
        <v>1</v>
      </c>
      <c r="E37" s="14">
        <v>0.89832158668392503</v>
      </c>
      <c r="F37" s="14">
        <v>7.2094180472099666E-4</v>
      </c>
      <c r="G37" s="14">
        <v>2.7563140384685566E-5</v>
      </c>
      <c r="H37" s="14">
        <v>72.477000139509343</v>
      </c>
      <c r="I37" s="14">
        <v>1691.0536265996998</v>
      </c>
      <c r="J37" s="14">
        <v>0</v>
      </c>
      <c r="K37" s="14">
        <v>1387.0745092760965</v>
      </c>
      <c r="L37" s="14">
        <v>7.2094180472099677E-4</v>
      </c>
      <c r="M37" s="14">
        <v>5.9153275077357783E-4</v>
      </c>
      <c r="N37" s="14">
        <v>106.37626699960728</v>
      </c>
      <c r="O37" s="14">
        <v>25146.285756037163</v>
      </c>
      <c r="P37" s="8">
        <v>106.37626699960728</v>
      </c>
      <c r="Q37" s="54">
        <v>5.6905910978518139E-2</v>
      </c>
    </row>
    <row r="38" spans="1:17">
      <c r="A38" s="2" t="s">
        <v>355</v>
      </c>
      <c r="B38" s="16" t="s">
        <v>356</v>
      </c>
      <c r="D38" s="14">
        <v>1</v>
      </c>
      <c r="E38" s="14">
        <v>0.87787237509215876</v>
      </c>
      <c r="F38" s="14">
        <v>2.562066791769567E-3</v>
      </c>
      <c r="G38" s="14">
        <v>1.501477868202624E-6</v>
      </c>
      <c r="H38" s="14">
        <v>134.55208979396866</v>
      </c>
      <c r="I38" s="14">
        <v>1057.6637461328182</v>
      </c>
      <c r="J38" s="14">
        <v>0</v>
      </c>
      <c r="K38" s="14">
        <v>390.309887007013</v>
      </c>
      <c r="L38" s="14">
        <v>2.562066791769567E-3</v>
      </c>
      <c r="M38" s="14">
        <v>2.1021758026469298E-3</v>
      </c>
      <c r="N38" s="14">
        <v>66.152612800184244</v>
      </c>
      <c r="O38" s="14">
        <v>17093.835147567606</v>
      </c>
      <c r="P38" s="8">
        <v>66.152612800184244</v>
      </c>
      <c r="Q38" s="54">
        <v>7.6093510122682145E-2</v>
      </c>
    </row>
    <row r="39" spans="1:17">
      <c r="A39" s="2" t="s">
        <v>357</v>
      </c>
      <c r="B39" s="16" t="s">
        <v>358</v>
      </c>
      <c r="D39" s="14">
        <v>1</v>
      </c>
      <c r="E39" s="14">
        <v>0.85161391677520315</v>
      </c>
      <c r="F39" s="14">
        <v>3.8395184122376694E-3</v>
      </c>
      <c r="G39" s="14">
        <v>3.0227709669034745E-4</v>
      </c>
      <c r="H39" s="14">
        <v>155.51660060801245</v>
      </c>
      <c r="I39" s="14">
        <v>791.10462832187579</v>
      </c>
      <c r="J39" s="14">
        <v>0</v>
      </c>
      <c r="K39" s="14">
        <v>260.44933052351234</v>
      </c>
      <c r="L39" s="14">
        <v>3.8395184122376694E-3</v>
      </c>
      <c r="M39" s="14">
        <v>3.1503248572410077E-3</v>
      </c>
      <c r="N39" s="14">
        <v>49.369217527934431</v>
      </c>
      <c r="O39" s="14">
        <v>11670.38933142842</v>
      </c>
      <c r="P39" s="8">
        <v>49.369217527934431</v>
      </c>
      <c r="Q39" s="54">
        <v>7.713188149640951E-2</v>
      </c>
    </row>
    <row r="40" spans="1:17">
      <c r="A40" s="2" t="s">
        <v>359</v>
      </c>
      <c r="B40" s="16" t="s">
        <v>360</v>
      </c>
      <c r="D40" s="14">
        <v>1</v>
      </c>
      <c r="E40" s="14">
        <v>0.87787237509215876</v>
      </c>
      <c r="F40" s="14">
        <v>2.562066791769567E-3</v>
      </c>
      <c r="G40" s="14">
        <v>1.501477868202624E-6</v>
      </c>
      <c r="H40" s="14">
        <v>134.55208979396866</v>
      </c>
      <c r="I40" s="14">
        <v>1057.6637461328182</v>
      </c>
      <c r="J40" s="14">
        <v>0</v>
      </c>
      <c r="K40" s="14">
        <v>390.309887007013</v>
      </c>
      <c r="L40" s="14">
        <v>2.562066791769567E-3</v>
      </c>
      <c r="M40" s="14">
        <v>2.1021758026469298E-3</v>
      </c>
      <c r="N40" s="14">
        <v>66.152612800184244</v>
      </c>
      <c r="O40" s="14">
        <v>17093.835147567606</v>
      </c>
      <c r="P40" s="8">
        <v>66.152612800184244</v>
      </c>
      <c r="Q40" s="54">
        <v>7.6093510122682145E-2</v>
      </c>
    </row>
    <row r="41" spans="1:17">
      <c r="A41" s="2" t="s">
        <v>313</v>
      </c>
      <c r="B41" s="16" t="s">
        <v>314</v>
      </c>
      <c r="D41" s="14">
        <v>1</v>
      </c>
      <c r="E41" s="14">
        <v>0.99969319152428704</v>
      </c>
      <c r="F41" s="14">
        <v>0.9578783771056667</v>
      </c>
      <c r="G41" s="14">
        <v>6.2350687868007504E-10</v>
      </c>
      <c r="H41" s="14">
        <v>12.942863462614298</v>
      </c>
      <c r="I41" s="14">
        <v>2.8517571228645858E-2</v>
      </c>
      <c r="J41" s="14">
        <v>0</v>
      </c>
      <c r="K41" s="14">
        <v>1.0439738738247839</v>
      </c>
      <c r="L41" s="14">
        <v>0.9578783771056667</v>
      </c>
      <c r="M41" s="14">
        <v>0.7859392084151996</v>
      </c>
      <c r="N41" s="14">
        <v>0.90319248773585781</v>
      </c>
      <c r="O41" s="14">
        <v>166.28676891704879</v>
      </c>
      <c r="P41" s="8">
        <v>0.90319248773585781</v>
      </c>
      <c r="Q41" s="54">
        <v>1.2170615297227927E-4</v>
      </c>
    </row>
    <row r="42" spans="1:17">
      <c r="A42" s="2" t="s">
        <v>315</v>
      </c>
      <c r="B42" s="16" t="s">
        <v>316</v>
      </c>
      <c r="D42" s="14">
        <v>1</v>
      </c>
      <c r="E42" s="14">
        <v>0.89933732373222519</v>
      </c>
      <c r="F42" s="14">
        <v>6.5590619859213269E-4</v>
      </c>
      <c r="G42" s="14">
        <v>3.9771339920407878E-5</v>
      </c>
      <c r="H42" s="14">
        <v>68.855991316569629</v>
      </c>
      <c r="I42" s="14">
        <v>1727.4238280793134</v>
      </c>
      <c r="J42" s="14">
        <v>0</v>
      </c>
      <c r="K42" s="14">
        <v>1524.6082475610783</v>
      </c>
      <c r="L42" s="14">
        <v>6.5590619859213269E-4</v>
      </c>
      <c r="M42" s="14">
        <v>5.3817103594484491E-4</v>
      </c>
      <c r="N42" s="14">
        <v>108.70604466148241</v>
      </c>
      <c r="O42" s="14">
        <v>39667.922757421547</v>
      </c>
      <c r="P42" s="8">
        <v>108.70604466148241</v>
      </c>
      <c r="Q42" s="54">
        <v>5.5258476360073187E-2</v>
      </c>
    </row>
    <row r="43" spans="1:17">
      <c r="A43" s="2" t="s">
        <v>317</v>
      </c>
      <c r="B43" s="16" t="s">
        <v>318</v>
      </c>
      <c r="D43" s="14">
        <v>1</v>
      </c>
      <c r="E43" s="14">
        <v>0.66458082067257684</v>
      </c>
      <c r="F43" s="14">
        <v>0.35483290867041933</v>
      </c>
      <c r="G43" s="14">
        <v>4.9006352434845133E-14</v>
      </c>
      <c r="H43" s="14">
        <v>71.387782417877986</v>
      </c>
      <c r="I43" s="14">
        <v>157.79057619541143</v>
      </c>
      <c r="J43" s="14">
        <v>0</v>
      </c>
      <c r="K43" s="14">
        <v>2.81822789139559</v>
      </c>
      <c r="L43" s="14">
        <v>0.35483290867041939</v>
      </c>
      <c r="M43" s="14">
        <v>0.29114040156407911</v>
      </c>
      <c r="N43" s="14">
        <v>9.9676720362328748</v>
      </c>
      <c r="O43" s="14">
        <v>3162.9416905374155</v>
      </c>
      <c r="P43" s="8">
        <v>9.9676720362328748</v>
      </c>
      <c r="Q43" s="54">
        <v>0.2254660010356094</v>
      </c>
    </row>
    <row r="44" spans="1:17">
      <c r="A44" s="2" t="s">
        <v>307</v>
      </c>
      <c r="B44" s="16" t="s">
        <v>308</v>
      </c>
      <c r="D44" s="14">
        <v>1</v>
      </c>
      <c r="E44" s="14">
        <v>0.87894935870867763</v>
      </c>
      <c r="F44" s="14">
        <v>6.9417967850471576E-3</v>
      </c>
      <c r="G44" s="14">
        <v>1.3333997937767775E-6</v>
      </c>
      <c r="H44" s="14">
        <v>192.10200422475793</v>
      </c>
      <c r="I44" s="14">
        <v>516.16561094691872</v>
      </c>
      <c r="J44" s="14">
        <v>0</v>
      </c>
      <c r="K44" s="14">
        <v>144.05492280529307</v>
      </c>
      <c r="L44" s="14">
        <v>6.9417967850471584E-3</v>
      </c>
      <c r="M44" s="14">
        <v>5.6957442621311935E-3</v>
      </c>
      <c r="N44" s="14">
        <v>32.108336476975062</v>
      </c>
      <c r="O44" s="14">
        <v>11256.861685462687</v>
      </c>
      <c r="P44" s="8">
        <v>32.108336476975069</v>
      </c>
      <c r="Q44" s="54">
        <v>7.8593941037096521E-2</v>
      </c>
    </row>
    <row r="45" spans="1:17">
      <c r="A45" s="2" t="s">
        <v>319</v>
      </c>
      <c r="B45" s="16" t="s">
        <v>320</v>
      </c>
      <c r="D45" s="14">
        <v>1</v>
      </c>
      <c r="E45" s="14">
        <v>0.91936802208340629</v>
      </c>
      <c r="F45" s="14">
        <v>2.9516375480823407E-4</v>
      </c>
      <c r="G45" s="14">
        <v>1.3039217034162544E-7</v>
      </c>
      <c r="H45" s="14">
        <v>44.189900777411268</v>
      </c>
      <c r="I45" s="14">
        <v>2009.4638476308842</v>
      </c>
      <c r="J45" s="14">
        <v>0</v>
      </c>
      <c r="K45" s="14">
        <v>3387.9498539706997</v>
      </c>
      <c r="L45" s="14">
        <v>2.9516375480823407E-4</v>
      </c>
      <c r="M45" s="14">
        <v>2.4218186082015607E-4</v>
      </c>
      <c r="N45" s="14">
        <v>126.856758854557</v>
      </c>
      <c r="O45" s="14">
        <v>44969.452446351912</v>
      </c>
      <c r="P45" s="8">
        <v>126.856758854557</v>
      </c>
      <c r="Q45" s="54">
        <v>4.2430700057596978E-2</v>
      </c>
    </row>
    <row r="46" spans="1:17">
      <c r="A46" s="2" t="s">
        <v>321</v>
      </c>
      <c r="B46" s="16" t="s">
        <v>322</v>
      </c>
      <c r="D46" s="14">
        <v>1</v>
      </c>
      <c r="E46" s="14">
        <v>0.90499807288764444</v>
      </c>
      <c r="F46" s="14">
        <v>5.8764060803420995E-4</v>
      </c>
      <c r="G46" s="14">
        <v>1.9151389415956466E-7</v>
      </c>
      <c r="H46" s="14">
        <v>64.978816863514368</v>
      </c>
      <c r="I46" s="14">
        <v>1778.398036539915</v>
      </c>
      <c r="J46" s="14">
        <v>0</v>
      </c>
      <c r="K46" s="14">
        <v>1701.7203820294599</v>
      </c>
      <c r="L46" s="14">
        <v>5.8764060803421006E-4</v>
      </c>
      <c r="M46" s="14">
        <v>4.8215911889206933E-4</v>
      </c>
      <c r="N46" s="14">
        <v>111.96566798095513</v>
      </c>
      <c r="O46" s="14">
        <v>39690.709642568785</v>
      </c>
      <c r="P46" s="8">
        <v>111.96566798095515</v>
      </c>
      <c r="Q46" s="54">
        <v>5.3533910707569549E-2</v>
      </c>
    </row>
    <row r="47" spans="1:17">
      <c r="A47" s="2" t="s">
        <v>323</v>
      </c>
      <c r="B47" s="16" t="s">
        <v>324</v>
      </c>
      <c r="D47" s="14">
        <v>1</v>
      </c>
      <c r="E47" s="14">
        <v>0.88824691634096709</v>
      </c>
      <c r="F47" s="14">
        <v>1.3027692286906236E-3</v>
      </c>
      <c r="G47" s="14">
        <v>1.8001801961361407E-6</v>
      </c>
      <c r="H47" s="14">
        <v>98.420936244479762</v>
      </c>
      <c r="I47" s="14">
        <v>1422.8026414348949</v>
      </c>
      <c r="J47" s="14">
        <v>0</v>
      </c>
      <c r="K47" s="14">
        <v>767.5956554524023</v>
      </c>
      <c r="L47" s="14">
        <v>1.3027692286906238E-3</v>
      </c>
      <c r="M47" s="14">
        <v>1.0689221521406568E-3</v>
      </c>
      <c r="N47" s="14">
        <v>89.275311237187523</v>
      </c>
      <c r="O47" s="14">
        <v>28571.670608349497</v>
      </c>
      <c r="P47" s="8">
        <v>89.275311237187537</v>
      </c>
      <c r="Q47" s="54">
        <v>6.6887453611017708E-2</v>
      </c>
    </row>
    <row r="48" spans="1:17">
      <c r="A48" s="2" t="s">
        <v>325</v>
      </c>
      <c r="B48" s="16" t="s">
        <v>326</v>
      </c>
      <c r="D48" s="14">
        <v>1</v>
      </c>
      <c r="E48" s="14">
        <v>0.77396537600983262</v>
      </c>
      <c r="F48" s="14">
        <v>5.9579893333793425E-2</v>
      </c>
      <c r="G48" s="14">
        <v>1.126388503133077E-6</v>
      </c>
      <c r="H48" s="14">
        <v>169.76952023893242</v>
      </c>
      <c r="I48" s="14">
        <v>308.68597085145211</v>
      </c>
      <c r="J48" s="14">
        <v>0</v>
      </c>
      <c r="K48" s="14">
        <v>16.784185805730619</v>
      </c>
      <c r="L48" s="14">
        <v>5.9579893333793432E-2</v>
      </c>
      <c r="M48" s="14">
        <v>4.8885302480377507E-2</v>
      </c>
      <c r="N48" s="14">
        <v>19.086561605719016</v>
      </c>
      <c r="O48" s="14">
        <v>5808.9950247005827</v>
      </c>
      <c r="P48" s="8">
        <v>19.086561605719016</v>
      </c>
      <c r="Q48" s="54">
        <v>0.15070126302005721</v>
      </c>
    </row>
    <row r="49" spans="1:17">
      <c r="A49" s="2" t="s">
        <v>275</v>
      </c>
      <c r="B49" s="16" t="s">
        <v>276</v>
      </c>
      <c r="D49" s="14">
        <v>1</v>
      </c>
      <c r="E49" s="14">
        <v>0.87810476732136522</v>
      </c>
      <c r="F49" s="14">
        <v>6.4556335721859788E-3</v>
      </c>
      <c r="G49" s="14">
        <v>1.7131183188376397E-8</v>
      </c>
      <c r="H49" s="14">
        <v>188.1736770631355</v>
      </c>
      <c r="I49" s="14">
        <v>551.58956582147687</v>
      </c>
      <c r="J49" s="14">
        <v>0</v>
      </c>
      <c r="K49" s="14">
        <v>154.90346359007862</v>
      </c>
      <c r="L49" s="14">
        <v>6.4556335721859797E-3</v>
      </c>
      <c r="M49" s="14">
        <v>5.296847345978596E-3</v>
      </c>
      <c r="N49" s="14">
        <v>34.326591409737823</v>
      </c>
      <c r="O49" s="14">
        <v>12717.658851393766</v>
      </c>
      <c r="P49" s="8">
        <v>34.326591409737823</v>
      </c>
      <c r="Q49" s="54">
        <v>7.9034378450479573E-2</v>
      </c>
    </row>
    <row r="50" spans="1:17">
      <c r="A50" s="2" t="s">
        <v>327</v>
      </c>
      <c r="B50" s="16" t="s">
        <v>328</v>
      </c>
      <c r="D50" s="14">
        <v>1</v>
      </c>
      <c r="E50" s="14">
        <v>0.87674819666853387</v>
      </c>
      <c r="F50" s="14">
        <v>5.7020687468058552E-3</v>
      </c>
      <c r="G50" s="14">
        <v>8.922384541371924E-7</v>
      </c>
      <c r="H50" s="14">
        <v>181.23933043345835</v>
      </c>
      <c r="I50" s="14">
        <v>614.19972807750196</v>
      </c>
      <c r="J50" s="14">
        <v>0</v>
      </c>
      <c r="K50" s="14">
        <v>175.37494625265137</v>
      </c>
      <c r="L50" s="14">
        <v>5.7020687468058552E-3</v>
      </c>
      <c r="M50" s="14">
        <v>4.6785474067542049E-3</v>
      </c>
      <c r="N50" s="14">
        <v>38.250536374579923</v>
      </c>
      <c r="O50" s="14">
        <v>14570.01181044124</v>
      </c>
      <c r="P50" s="8">
        <v>38.25053637457993</v>
      </c>
      <c r="Q50" s="54">
        <v>7.9526088075252965E-2</v>
      </c>
    </row>
    <row r="51" spans="1:17">
      <c r="A51" s="2" t="s">
        <v>329</v>
      </c>
      <c r="B51" s="16" t="s">
        <v>330</v>
      </c>
      <c r="D51" s="14">
        <v>1</v>
      </c>
      <c r="E51" s="14">
        <v>0.80874317190929024</v>
      </c>
      <c r="F51" s="14">
        <v>3.8241671465109095E-2</v>
      </c>
      <c r="G51" s="14">
        <v>5.8936637407931015E-7</v>
      </c>
      <c r="H51" s="14">
        <v>184.22852124300866</v>
      </c>
      <c r="I51" s="14">
        <v>322.2656648284713</v>
      </c>
      <c r="J51" s="14">
        <v>0</v>
      </c>
      <c r="K51" s="14">
        <v>26.149484624707867</v>
      </c>
      <c r="L51" s="14">
        <v>3.8241671465109102E-2</v>
      </c>
      <c r="M51" s="14">
        <v>3.1377291437122014E-2</v>
      </c>
      <c r="N51" s="14">
        <v>19.936040514918862</v>
      </c>
      <c r="O51" s="14">
        <v>5470.449517293735</v>
      </c>
      <c r="P51" s="8">
        <v>19.936040514918862</v>
      </c>
      <c r="Q51" s="54">
        <v>0.12717859912534404</v>
      </c>
    </row>
    <row r="52" spans="1:17">
      <c r="A52" s="2" t="s">
        <v>277</v>
      </c>
      <c r="B52" s="16" t="s">
        <v>278</v>
      </c>
      <c r="D52" s="14">
        <v>1</v>
      </c>
      <c r="E52" s="14">
        <v>0.77729572944604997</v>
      </c>
      <c r="F52" s="14">
        <v>5.7163007059133998E-2</v>
      </c>
      <c r="G52" s="14">
        <v>1.753168078481775E-6</v>
      </c>
      <c r="H52" s="14">
        <v>171.23599701443112</v>
      </c>
      <c r="I52" s="14">
        <v>310.20745988963398</v>
      </c>
      <c r="J52" s="14">
        <v>0</v>
      </c>
      <c r="K52" s="14">
        <v>17.493831263381924</v>
      </c>
      <c r="L52" s="14">
        <v>5.7163007059133998E-2</v>
      </c>
      <c r="M52" s="14">
        <v>4.6902247292019444E-2</v>
      </c>
      <c r="N52" s="14">
        <v>19.181077748051081</v>
      </c>
      <c r="O52" s="14">
        <v>7805.3559680144263</v>
      </c>
      <c r="P52" s="8">
        <v>19.181077748051081</v>
      </c>
      <c r="Q52" s="54">
        <v>0.14840626581595781</v>
      </c>
    </row>
    <row r="53" spans="1:17">
      <c r="A53" s="2" t="s">
        <v>331</v>
      </c>
      <c r="B53" s="16" t="s">
        <v>332</v>
      </c>
      <c r="D53" s="14">
        <v>1</v>
      </c>
      <c r="E53" s="14">
        <v>0.87544513808508762</v>
      </c>
      <c r="F53" s="14">
        <v>3.7867458019471023E-3</v>
      </c>
      <c r="G53" s="14">
        <v>5.9507902161925674E-7</v>
      </c>
      <c r="H53" s="14">
        <v>157.41501410438215</v>
      </c>
      <c r="I53" s="14">
        <v>836.37939186346489</v>
      </c>
      <c r="J53" s="14">
        <v>0</v>
      </c>
      <c r="K53" s="14">
        <v>264.07898821352387</v>
      </c>
      <c r="L53" s="14">
        <v>3.7867458019471027E-3</v>
      </c>
      <c r="M53" s="14">
        <v>3.1070249304975977E-3</v>
      </c>
      <c r="N53" s="14">
        <v>52.206265827539724</v>
      </c>
      <c r="O53" s="14">
        <v>19885.888716368157</v>
      </c>
      <c r="P53" s="8">
        <v>52.206265827539724</v>
      </c>
      <c r="Q53" s="54">
        <v>7.9104888621300051E-2</v>
      </c>
    </row>
    <row r="54" spans="1:17">
      <c r="A54" s="2" t="s">
        <v>333</v>
      </c>
      <c r="B54" s="16" t="s">
        <v>334</v>
      </c>
      <c r="D54" s="14">
        <v>1</v>
      </c>
      <c r="E54" s="14">
        <v>0.8774146799716781</v>
      </c>
      <c r="F54" s="14">
        <v>6.0701656091715316E-3</v>
      </c>
      <c r="G54" s="14">
        <v>9.7129024626178898E-10</v>
      </c>
      <c r="H54" s="14">
        <v>184.76535460906373</v>
      </c>
      <c r="I54" s="14">
        <v>582.341459577862</v>
      </c>
      <c r="J54" s="14">
        <v>0</v>
      </c>
      <c r="K54" s="14">
        <v>164.74015115651545</v>
      </c>
      <c r="L54" s="14">
        <v>6.0701656091715324E-3</v>
      </c>
      <c r="M54" s="14">
        <v>4.9805708823252425E-3</v>
      </c>
      <c r="N54" s="14">
        <v>36.253378632842683</v>
      </c>
      <c r="O54" s="14">
        <v>13938.699016755356</v>
      </c>
      <c r="P54" s="8">
        <v>36.253378632842683</v>
      </c>
      <c r="Q54" s="54">
        <v>7.9319087732431209E-2</v>
      </c>
    </row>
    <row r="55" spans="1:17">
      <c r="A55" s="2" t="s">
        <v>335</v>
      </c>
      <c r="B55" s="16" t="s">
        <v>336</v>
      </c>
      <c r="D55" s="14">
        <v>1</v>
      </c>
      <c r="E55" s="14">
        <v>0.88736938035045076</v>
      </c>
      <c r="F55" s="14">
        <v>1.3476365580126503E-3</v>
      </c>
      <c r="G55" s="14">
        <v>4.6762882275949638E-6</v>
      </c>
      <c r="H55" s="14">
        <v>100.06283051965862</v>
      </c>
      <c r="I55" s="14">
        <v>1405.1735118906026</v>
      </c>
      <c r="J55" s="14">
        <v>0</v>
      </c>
      <c r="K55" s="14">
        <v>742.0398282120608</v>
      </c>
      <c r="L55" s="14">
        <v>1.3476365580126503E-3</v>
      </c>
      <c r="M55" s="14">
        <v>1.1057357958493797E-3</v>
      </c>
      <c r="N55" s="14">
        <v>88.155664279351498</v>
      </c>
      <c r="O55" s="14">
        <v>32910.272588767497</v>
      </c>
      <c r="P55" s="8">
        <v>88.155664279351498</v>
      </c>
      <c r="Q55" s="54">
        <v>6.7410873479220798E-2</v>
      </c>
    </row>
    <row r="56" spans="1:17">
      <c r="A56" s="2" t="s">
        <v>337</v>
      </c>
      <c r="B56" s="16" t="s">
        <v>338</v>
      </c>
      <c r="D56" s="14">
        <v>1</v>
      </c>
      <c r="E56" s="14">
        <v>0.87869754818361268</v>
      </c>
      <c r="F56" s="14">
        <v>6.7770721012210414E-3</v>
      </c>
      <c r="G56" s="14">
        <v>3.4249212791504231E-7</v>
      </c>
      <c r="H56" s="14">
        <v>190.81921553714699</v>
      </c>
      <c r="I56" s="14">
        <v>527.8120207220345</v>
      </c>
      <c r="J56" s="14">
        <v>0</v>
      </c>
      <c r="K56" s="14">
        <v>147.55634661461363</v>
      </c>
      <c r="L56" s="14">
        <v>6.7770721012210423E-3</v>
      </c>
      <c r="M56" s="14">
        <v>5.5605876590518648E-3</v>
      </c>
      <c r="N56" s="14">
        <v>32.837477888454835</v>
      </c>
      <c r="O56" s="14">
        <v>12784.286891533235</v>
      </c>
      <c r="P56" s="8">
        <v>32.837477888454835</v>
      </c>
      <c r="Q56" s="54">
        <v>7.8755206918831658E-2</v>
      </c>
    </row>
    <row r="57" spans="1:17">
      <c r="A57" s="2" t="s">
        <v>279</v>
      </c>
      <c r="B57" s="16" t="s">
        <v>280</v>
      </c>
      <c r="D57" s="14">
        <v>1</v>
      </c>
      <c r="E57" s="14">
        <v>0.7565059442622114</v>
      </c>
      <c r="F57" s="14">
        <v>7.1371972288713878E-2</v>
      </c>
      <c r="G57" s="14">
        <v>3.3851365023337435E-5</v>
      </c>
      <c r="H57" s="14">
        <v>162.38566874740425</v>
      </c>
      <c r="I57" s="14">
        <v>300.1959777615811</v>
      </c>
      <c r="J57" s="14">
        <v>0</v>
      </c>
      <c r="K57" s="14">
        <v>14.011102228684393</v>
      </c>
      <c r="L57" s="14">
        <v>7.1371972288713892E-2</v>
      </c>
      <c r="M57" s="14">
        <v>5.8560703262889743E-2</v>
      </c>
      <c r="N57" s="14">
        <v>18.561149128956703</v>
      </c>
      <c r="O57" s="14">
        <v>5398.139001174477</v>
      </c>
      <c r="P57" s="8">
        <v>18.561149128956703</v>
      </c>
      <c r="Q57" s="54">
        <v>0.16054798860515318</v>
      </c>
    </row>
    <row r="58" spans="1:17">
      <c r="A58" s="2" t="s">
        <v>339</v>
      </c>
      <c r="B58" s="16" t="s">
        <v>340</v>
      </c>
      <c r="D58" s="14">
        <v>1</v>
      </c>
      <c r="E58" s="14">
        <v>0.87728749497735325</v>
      </c>
      <c r="F58" s="14">
        <v>5.995228603465937E-3</v>
      </c>
      <c r="G58" s="14">
        <v>3.4041934791858977E-9</v>
      </c>
      <c r="H58" s="14">
        <v>184.0711593982426</v>
      </c>
      <c r="I58" s="14">
        <v>588.63071301657465</v>
      </c>
      <c r="J58" s="14">
        <v>0</v>
      </c>
      <c r="K58" s="14">
        <v>166.79931094235238</v>
      </c>
      <c r="L58" s="14">
        <v>5.9952286034659378E-3</v>
      </c>
      <c r="M58" s="14">
        <v>4.9190850691438019E-3</v>
      </c>
      <c r="N58" s="14">
        <v>36.64755835266461</v>
      </c>
      <c r="O58" s="14">
        <v>12667.228544598522</v>
      </c>
      <c r="P58" s="8">
        <v>36.64755835266461</v>
      </c>
      <c r="Q58" s="54">
        <v>7.9367539821205813E-2</v>
      </c>
    </row>
    <row r="59" spans="1:17">
      <c r="A59" s="2" t="s">
        <v>281</v>
      </c>
      <c r="B59" s="16" t="s">
        <v>282</v>
      </c>
      <c r="D59" s="14">
        <v>1</v>
      </c>
      <c r="E59" s="14">
        <v>0.77739982591165158</v>
      </c>
      <c r="F59" s="14">
        <v>5.7170662404162402E-2</v>
      </c>
      <c r="G59" s="14">
        <v>2.6538826294440279E-7</v>
      </c>
      <c r="H59" s="14">
        <v>171.25892916418789</v>
      </c>
      <c r="I59" s="14">
        <v>310.24900328033391</v>
      </c>
      <c r="J59" s="14">
        <v>0</v>
      </c>
      <c r="K59" s="14">
        <v>17.491488780217342</v>
      </c>
      <c r="L59" s="14">
        <v>5.7170662404162402E-2</v>
      </c>
      <c r="M59" s="14">
        <v>4.6908528502615253E-2</v>
      </c>
      <c r="N59" s="14">
        <v>19.18364650319068</v>
      </c>
      <c r="O59" s="14">
        <v>5587.4288805193173</v>
      </c>
      <c r="P59" s="8">
        <v>19.18364650319068</v>
      </c>
      <c r="Q59" s="54">
        <v>0.14842614057810991</v>
      </c>
    </row>
    <row r="60" spans="1:17">
      <c r="A60" s="2" t="s">
        <v>341</v>
      </c>
      <c r="B60" s="16" t="s">
        <v>342</v>
      </c>
      <c r="D60" s="14">
        <v>1</v>
      </c>
      <c r="E60" s="14">
        <v>0.87504003416844423</v>
      </c>
      <c r="F60" s="14">
        <v>4.2804140505713706E-3</v>
      </c>
      <c r="G60" s="14">
        <v>4.98028583033006E-6</v>
      </c>
      <c r="H60" s="14">
        <v>164.59846507089722</v>
      </c>
      <c r="I60" s="14">
        <v>767.50807204884973</v>
      </c>
      <c r="J60" s="14">
        <v>0</v>
      </c>
      <c r="K60" s="14">
        <v>233.62225901172226</v>
      </c>
      <c r="L60" s="14">
        <v>4.2804140505713706E-3</v>
      </c>
      <c r="M60" s="14">
        <v>3.51207972849381E-3</v>
      </c>
      <c r="N60" s="14">
        <v>47.87534063483772</v>
      </c>
      <c r="O60" s="14">
        <v>16051.644208048388</v>
      </c>
      <c r="P60" s="8">
        <v>47.87534063483772</v>
      </c>
      <c r="Q60" s="54">
        <v>7.9521204882115545E-2</v>
      </c>
    </row>
    <row r="61" spans="1:17">
      <c r="A61" s="2" t="s">
        <v>483</v>
      </c>
      <c r="B61" s="16" t="s">
        <v>484</v>
      </c>
      <c r="D61" s="14">
        <v>1</v>
      </c>
      <c r="E61" s="14">
        <v>0.79906298681495047</v>
      </c>
      <c r="F61" s="14">
        <v>0.27860773519321724</v>
      </c>
      <c r="G61" s="14">
        <v>8.4941748090488308E-16</v>
      </c>
      <c r="H61" s="14">
        <v>127.06194543421866</v>
      </c>
      <c r="I61" s="14">
        <v>196.01744000225148</v>
      </c>
      <c r="J61" s="14">
        <v>0</v>
      </c>
      <c r="K61" s="14">
        <v>3.58927579417883</v>
      </c>
      <c r="L61" s="14">
        <v>0.27860773519321724</v>
      </c>
      <c r="M61" s="14">
        <v>0.22859764672603475</v>
      </c>
      <c r="N61" s="14">
        <v>34.829546732540265</v>
      </c>
      <c r="O61" s="14">
        <v>16228.827300027137</v>
      </c>
      <c r="P61" s="8">
        <v>34.829546732540265</v>
      </c>
      <c r="Q61" s="54">
        <v>0.13234109173363173</v>
      </c>
    </row>
    <row r="62" spans="1:17">
      <c r="A62" s="2" t="s">
        <v>485</v>
      </c>
      <c r="B62" s="16" t="s">
        <v>486</v>
      </c>
      <c r="D62" s="14">
        <v>1</v>
      </c>
      <c r="E62" s="14">
        <v>0.68221161579017575</v>
      </c>
      <c r="F62" s="14">
        <v>0.18658648901822961</v>
      </c>
      <c r="G62" s="14">
        <v>2.2793377348201123E-9</v>
      </c>
      <c r="H62" s="14">
        <v>115.65920231054075</v>
      </c>
      <c r="I62" s="14">
        <v>235.3083635034952</v>
      </c>
      <c r="J62" s="14">
        <v>0</v>
      </c>
      <c r="K62" s="14">
        <v>5.3594448626036337</v>
      </c>
      <c r="L62" s="14">
        <v>0.18658648901822961</v>
      </c>
      <c r="M62" s="14">
        <v>0.1530942142394574</v>
      </c>
      <c r="N62" s="14">
        <v>14.60915114015048</v>
      </c>
      <c r="O62" s="14">
        <v>4739.0625383534143</v>
      </c>
      <c r="P62" s="8">
        <v>14.60915114015048</v>
      </c>
      <c r="Q62" s="54">
        <v>0.21312645608911993</v>
      </c>
    </row>
    <row r="63" spans="1:17">
      <c r="A63" s="2" t="s">
        <v>487</v>
      </c>
      <c r="B63" s="16" t="s">
        <v>488</v>
      </c>
      <c r="D63" s="14">
        <v>1</v>
      </c>
      <c r="E63" s="14">
        <v>0.95917827452240623</v>
      </c>
      <c r="F63" s="14">
        <v>0.92664958679332632</v>
      </c>
      <c r="G63" s="14">
        <v>7.9540687227124159E-15</v>
      </c>
      <c r="H63" s="14">
        <v>9.074670125986577</v>
      </c>
      <c r="I63" s="14">
        <v>11.086366070957601</v>
      </c>
      <c r="J63" s="14">
        <v>0</v>
      </c>
      <c r="K63" s="14">
        <v>1.0791565811414248</v>
      </c>
      <c r="L63" s="14">
        <v>0.92664958679332632</v>
      </c>
      <c r="M63" s="14">
        <v>0.76031598596392425</v>
      </c>
      <c r="N63" s="14">
        <v>5.6684466544970986</v>
      </c>
      <c r="O63" s="14">
        <v>2502.9593047597391</v>
      </c>
      <c r="P63" s="8">
        <v>5.6684466544970995</v>
      </c>
      <c r="Q63" s="54">
        <v>2.7018996488042665E-2</v>
      </c>
    </row>
    <row r="64" spans="1:17">
      <c r="A64" s="2" t="s">
        <v>489</v>
      </c>
      <c r="B64" s="16" t="s">
        <v>490</v>
      </c>
      <c r="D64" s="14">
        <v>1</v>
      </c>
      <c r="E64" s="14">
        <v>0.99553061705601698</v>
      </c>
      <c r="F64" s="14">
        <v>0.98706654105145353</v>
      </c>
      <c r="G64" s="14">
        <v>1.46521254748081E-16</v>
      </c>
      <c r="H64" s="14">
        <v>3.456419373477889</v>
      </c>
      <c r="I64" s="14">
        <v>0.39734285408900549</v>
      </c>
      <c r="J64" s="14">
        <v>0</v>
      </c>
      <c r="K64" s="14">
        <v>1.013102925092334</v>
      </c>
      <c r="L64" s="14">
        <v>0.98706654105145364</v>
      </c>
      <c r="M64" s="14">
        <v>0.80988809693271768</v>
      </c>
      <c r="N64" s="14">
        <v>0.91189088109335847</v>
      </c>
      <c r="O64" s="14">
        <v>366.06035639730686</v>
      </c>
      <c r="P64" s="8">
        <v>0.91189088109335847</v>
      </c>
      <c r="Q64" s="54">
        <v>2.9306597989164438E-3</v>
      </c>
    </row>
    <row r="65" spans="1:17">
      <c r="A65" s="2" t="s">
        <v>491</v>
      </c>
      <c r="B65" s="16" t="s">
        <v>492</v>
      </c>
      <c r="D65" s="14">
        <v>1</v>
      </c>
      <c r="E65" s="14">
        <v>0.99788178149692452</v>
      </c>
      <c r="F65" s="14">
        <v>1.000115377436358</v>
      </c>
      <c r="G65" s="14">
        <v>2.4436132102028979E-14</v>
      </c>
      <c r="H65" s="14">
        <v>0.45314376708573467</v>
      </c>
      <c r="I65" s="14">
        <v>0.18661267855230534</v>
      </c>
      <c r="J65" s="14">
        <v>0</v>
      </c>
      <c r="K65" s="14">
        <v>0.99988463587405907</v>
      </c>
      <c r="L65" s="14">
        <v>1.000115377436358</v>
      </c>
      <c r="M65" s="14">
        <v>0.82059466718653185</v>
      </c>
      <c r="N65" s="14">
        <v>1.291621952789433</v>
      </c>
      <c r="O65" s="14">
        <v>358.24426482567719</v>
      </c>
      <c r="P65" s="8">
        <v>1.291621952789433</v>
      </c>
      <c r="Q65" s="54">
        <v>1.3077392135528527E-3</v>
      </c>
    </row>
    <row r="66" spans="1:17">
      <c r="A66" s="2" t="s">
        <v>493</v>
      </c>
      <c r="B66" s="16" t="s">
        <v>494</v>
      </c>
      <c r="D66" s="14">
        <v>1</v>
      </c>
      <c r="E66" s="14">
        <v>0.97733397556964219</v>
      </c>
      <c r="F66" s="14">
        <v>0.77440813748418413</v>
      </c>
      <c r="G66" s="14">
        <v>3.1961494713215267E-13</v>
      </c>
      <c r="H66" s="14">
        <v>57.102554332067825</v>
      </c>
      <c r="I66" s="14">
        <v>13.250430543891971</v>
      </c>
      <c r="J66" s="14">
        <v>0</v>
      </c>
      <c r="K66" s="14">
        <v>1.2913087448289153</v>
      </c>
      <c r="L66" s="14">
        <v>0.77440813748418424</v>
      </c>
      <c r="M66" s="14">
        <v>0.6354018768057732</v>
      </c>
      <c r="N66" s="14">
        <v>38.328713289970572</v>
      </c>
      <c r="O66" s="14">
        <v>12434.601165532255</v>
      </c>
      <c r="P66" s="8">
        <v>38.32871328997058</v>
      </c>
      <c r="Q66" s="54">
        <v>1.1677503065172703E-2</v>
      </c>
    </row>
    <row r="67" spans="1:17">
      <c r="A67" s="2" t="s">
        <v>495</v>
      </c>
      <c r="B67" s="16" t="s">
        <v>496</v>
      </c>
      <c r="D67" s="14">
        <v>1</v>
      </c>
      <c r="E67" s="14">
        <v>0.99765013397911484</v>
      </c>
      <c r="F67" s="14">
        <v>1.0001311415210588</v>
      </c>
      <c r="G67" s="14">
        <v>1.9089978477558584E-14</v>
      </c>
      <c r="H67" s="14">
        <v>0.38210850180783734</v>
      </c>
      <c r="I67" s="14">
        <v>0.19340301947605731</v>
      </c>
      <c r="J67" s="14">
        <v>0</v>
      </c>
      <c r="K67" s="14">
        <v>0.99986887567478444</v>
      </c>
      <c r="L67" s="14">
        <v>1.000131141521059</v>
      </c>
      <c r="M67" s="14">
        <v>0.82060760161802881</v>
      </c>
      <c r="N67" s="14">
        <v>1.2239744493716618</v>
      </c>
      <c r="O67" s="14">
        <v>383.61807192206624</v>
      </c>
      <c r="P67" s="8">
        <v>1.2239744493716618</v>
      </c>
      <c r="Q67" s="54">
        <v>1.4704939774722026E-3</v>
      </c>
    </row>
    <row r="68" spans="1:17">
      <c r="A68" s="2" t="s">
        <v>497</v>
      </c>
      <c r="B68" s="16" t="s">
        <v>498</v>
      </c>
      <c r="D68" s="14">
        <v>1</v>
      </c>
      <c r="E68" s="14">
        <v>0.99898858409038682</v>
      </c>
      <c r="F68" s="14">
        <v>1.0027252260517308</v>
      </c>
      <c r="G68" s="14">
        <v>1.7279620614037551E-13</v>
      </c>
      <c r="H68" s="14">
        <v>4.5485032466082237E-2</v>
      </c>
      <c r="I68" s="14">
        <v>3.2493478072230249E-2</v>
      </c>
      <c r="J68" s="14">
        <v>0</v>
      </c>
      <c r="K68" s="14">
        <v>0.99728218062044627</v>
      </c>
      <c r="L68" s="14">
        <v>1.0027252260517308</v>
      </c>
      <c r="M68" s="14">
        <v>0.82273604797544519</v>
      </c>
      <c r="N68" s="14">
        <v>0.93159253828153088</v>
      </c>
      <c r="O68" s="14">
        <v>253.72854372635777</v>
      </c>
      <c r="P68" s="8">
        <v>0.93159253828153099</v>
      </c>
      <c r="Q68" s="54">
        <v>5.946702336239128E-4</v>
      </c>
    </row>
    <row r="69" spans="1:17">
      <c r="A69" s="2" t="s">
        <v>499</v>
      </c>
      <c r="B69" s="16" t="s">
        <v>500</v>
      </c>
      <c r="D69" s="14">
        <v>1</v>
      </c>
      <c r="E69" s="14">
        <v>0.88056649903510353</v>
      </c>
      <c r="F69" s="14">
        <v>7.6621805339944999E-3</v>
      </c>
      <c r="G69" s="14">
        <v>8.5181026265125802E-14</v>
      </c>
      <c r="H69" s="14">
        <v>197.33511835172143</v>
      </c>
      <c r="I69" s="14">
        <v>470.07975878159493</v>
      </c>
      <c r="J69" s="14">
        <v>0</v>
      </c>
      <c r="K69" s="14">
        <v>130.51115091367771</v>
      </c>
      <c r="L69" s="14">
        <v>7.6621805339945007E-3</v>
      </c>
      <c r="M69" s="14">
        <v>6.2868191281424879E-3</v>
      </c>
      <c r="N69" s="14">
        <v>29.224436339633549</v>
      </c>
      <c r="O69" s="14">
        <v>12554.525607143176</v>
      </c>
      <c r="P69" s="8">
        <v>29.224436339633552</v>
      </c>
      <c r="Q69" s="54">
        <v>7.7855903912035146E-2</v>
      </c>
    </row>
    <row r="70" spans="1:17">
      <c r="A70" s="2" t="s">
        <v>501</v>
      </c>
      <c r="B70" s="16" t="s">
        <v>411</v>
      </c>
      <c r="D70" s="14">
        <v>1</v>
      </c>
      <c r="E70" s="14">
        <v>0.99981742119393702</v>
      </c>
      <c r="F70" s="14">
        <v>0.97335956939579227</v>
      </c>
      <c r="G70" s="14">
        <v>3.09743206980281E-15</v>
      </c>
      <c r="H70" s="14">
        <v>8.5975221408683016</v>
      </c>
      <c r="I70" s="14">
        <v>7.565376437584764E-3</v>
      </c>
      <c r="J70" s="14">
        <v>0</v>
      </c>
      <c r="K70" s="14">
        <v>1.0273695676724528</v>
      </c>
      <c r="L70" s="14">
        <v>0.97335956939579238</v>
      </c>
      <c r="M70" s="14">
        <v>0.79864152668924759</v>
      </c>
      <c r="N70" s="14">
        <v>0.89825331555392507</v>
      </c>
      <c r="O70" s="14">
        <v>269.56581999773294</v>
      </c>
      <c r="P70" s="8">
        <v>0.89825331555392507</v>
      </c>
      <c r="Q70" s="54">
        <v>3.8355755584558558E-5</v>
      </c>
    </row>
    <row r="71" spans="1:17">
      <c r="A71" s="2" t="s">
        <v>502</v>
      </c>
      <c r="B71" s="16" t="s">
        <v>412</v>
      </c>
      <c r="D71" s="14">
        <v>1</v>
      </c>
      <c r="E71" s="14">
        <v>0.99979547300377669</v>
      </c>
      <c r="F71" s="14">
        <v>0.94709304574668474</v>
      </c>
      <c r="G71" s="14">
        <v>1.4147532526969326E-10</v>
      </c>
      <c r="H71" s="14">
        <v>16.027015159463097</v>
      </c>
      <c r="I71" s="14">
        <v>1.3485919936636684E-2</v>
      </c>
      <c r="J71" s="14">
        <v>0</v>
      </c>
      <c r="K71" s="14">
        <v>1.055862467252733</v>
      </c>
      <c r="L71" s="14">
        <v>0.94709304574668474</v>
      </c>
      <c r="M71" s="14">
        <v>0.7770898440351548</v>
      </c>
      <c r="N71" s="14">
        <v>0.90484948216256977</v>
      </c>
      <c r="O71" s="14">
        <v>296.92635757164726</v>
      </c>
      <c r="P71" s="8">
        <v>0.90484948216256988</v>
      </c>
      <c r="Q71" s="54">
        <v>5.2538851760488154E-5</v>
      </c>
    </row>
    <row r="72" spans="1:17">
      <c r="A72" s="2" t="s">
        <v>503</v>
      </c>
      <c r="B72" s="16" t="s">
        <v>413</v>
      </c>
      <c r="D72" s="14">
        <v>1</v>
      </c>
      <c r="E72" s="14">
        <v>0.9989768549835476</v>
      </c>
      <c r="F72" s="14">
        <v>3.9074676483496617E-3</v>
      </c>
      <c r="G72" s="14">
        <v>1.9144492445162398E-12</v>
      </c>
      <c r="H72" s="14">
        <v>282.69321890598997</v>
      </c>
      <c r="I72" s="14">
        <v>1.2021021269561565</v>
      </c>
      <c r="J72" s="14">
        <v>0</v>
      </c>
      <c r="K72" s="14">
        <v>255.92022506503795</v>
      </c>
      <c r="L72" s="14">
        <v>3.9074676483496617E-3</v>
      </c>
      <c r="M72" s="14">
        <v>3.2060772054708971E-3</v>
      </c>
      <c r="N72" s="14">
        <v>6.6790921292046406</v>
      </c>
      <c r="O72" s="14">
        <v>3099.6330753212897</v>
      </c>
      <c r="P72" s="8">
        <v>6.6790921292046406</v>
      </c>
      <c r="Q72" s="54">
        <v>5.944856359283213E-5</v>
      </c>
    </row>
    <row r="73" spans="1:17">
      <c r="A73" s="2" t="s">
        <v>504</v>
      </c>
      <c r="B73" s="16" t="s">
        <v>414</v>
      </c>
      <c r="D73" s="14">
        <v>1</v>
      </c>
      <c r="E73" s="14">
        <v>0.99981489715093863</v>
      </c>
      <c r="F73" s="14">
        <v>3.6247291435304883E-2</v>
      </c>
      <c r="G73" s="14">
        <v>2.501520265396798E-12</v>
      </c>
      <c r="H73" s="14">
        <v>273.88961127701924</v>
      </c>
      <c r="I73" s="14">
        <v>0.14658905131779651</v>
      </c>
      <c r="J73" s="14">
        <v>0</v>
      </c>
      <c r="K73" s="14">
        <v>27.588268265087503</v>
      </c>
      <c r="L73" s="14">
        <v>3.624729143530489E-2</v>
      </c>
      <c r="M73" s="14">
        <v>2.974090262266766E-2</v>
      </c>
      <c r="N73" s="14">
        <v>0.812044683118334</v>
      </c>
      <c r="O73" s="14">
        <v>255.0226327333128</v>
      </c>
      <c r="P73" s="8">
        <v>0.812044683118334</v>
      </c>
      <c r="Q73" s="54">
        <v>4.8206048594420567E-5</v>
      </c>
    </row>
    <row r="74" spans="1:17">
      <c r="A74" s="2" t="s">
        <v>505</v>
      </c>
      <c r="B74" s="16" t="s">
        <v>415</v>
      </c>
      <c r="D74" s="14">
        <v>1</v>
      </c>
      <c r="E74" s="14">
        <v>0.99979942785450671</v>
      </c>
      <c r="F74" s="14">
        <v>0.95220917549502737</v>
      </c>
      <c r="G74" s="14">
        <v>1.7489638297456633E-11</v>
      </c>
      <c r="H74" s="14">
        <v>14.579826705362898</v>
      </c>
      <c r="I74" s="14">
        <v>1.2321918632441769E-2</v>
      </c>
      <c r="J74" s="14">
        <v>0</v>
      </c>
      <c r="K74" s="14">
        <v>1.050189418181281</v>
      </c>
      <c r="L74" s="14">
        <v>0.95220917549502737</v>
      </c>
      <c r="M74" s="14">
        <v>0.78128762849366995</v>
      </c>
      <c r="N74" s="14">
        <v>0.90365807656621622</v>
      </c>
      <c r="O74" s="14">
        <v>193.41897470823292</v>
      </c>
      <c r="P74" s="8">
        <v>0.90365807656621622</v>
      </c>
      <c r="Q74" s="54">
        <v>4.9989447476904135E-5</v>
      </c>
    </row>
    <row r="75" spans="1:17">
      <c r="A75" s="2" t="s">
        <v>506</v>
      </c>
      <c r="B75" s="16" t="s">
        <v>416</v>
      </c>
      <c r="D75" s="14">
        <v>1</v>
      </c>
      <c r="E75" s="14">
        <v>0.9998078828413014</v>
      </c>
      <c r="F75" s="14">
        <v>4.2884693033063165E-2</v>
      </c>
      <c r="G75" s="14">
        <v>1.0735215617245241E-11</v>
      </c>
      <c r="H75" s="14">
        <v>272.00839367382542</v>
      </c>
      <c r="I75" s="14">
        <v>0.14747156202870743</v>
      </c>
      <c r="J75" s="14">
        <v>0</v>
      </c>
      <c r="K75" s="14">
        <v>23.318343429181638</v>
      </c>
      <c r="L75" s="14">
        <v>4.2884693033063165E-2</v>
      </c>
      <c r="M75" s="14">
        <v>3.5186890633628329E-2</v>
      </c>
      <c r="N75" s="14">
        <v>0.82135382529414847</v>
      </c>
      <c r="O75" s="14">
        <v>340.09797843954806</v>
      </c>
      <c r="P75" s="8">
        <v>0.82135382529414847</v>
      </c>
      <c r="Q75" s="54">
        <v>5.2060493466995754E-5</v>
      </c>
    </row>
    <row r="76" spans="1:17">
      <c r="A76" s="2" t="s">
        <v>507</v>
      </c>
      <c r="B76" s="16" t="s">
        <v>417</v>
      </c>
      <c r="D76" s="14">
        <v>1</v>
      </c>
      <c r="E76" s="14">
        <v>0.9996892153684297</v>
      </c>
      <c r="F76" s="14">
        <v>0.44965234953953886</v>
      </c>
      <c r="G76" s="14">
        <v>2.4798471918960789E-10</v>
      </c>
      <c r="H76" s="14">
        <v>156.81834531689356</v>
      </c>
      <c r="I76" s="14">
        <v>0.10559048783580778</v>
      </c>
      <c r="J76" s="14">
        <v>0</v>
      </c>
      <c r="K76" s="14">
        <v>2.2239403419642709</v>
      </c>
      <c r="L76" s="14">
        <v>0.44965234953953886</v>
      </c>
      <c r="M76" s="14">
        <v>0.36893975279719166</v>
      </c>
      <c r="N76" s="14">
        <v>0.94213644109000616</v>
      </c>
      <c r="O76" s="14">
        <v>403.39455998150794</v>
      </c>
      <c r="P76" s="8">
        <v>0.94213644109000616</v>
      </c>
      <c r="Q76" s="54">
        <v>1.2073266755525648E-4</v>
      </c>
    </row>
    <row r="77" spans="1:17">
      <c r="A77" s="2" t="s">
        <v>508</v>
      </c>
      <c r="B77" s="16" t="s">
        <v>418</v>
      </c>
      <c r="D77" s="14">
        <v>1</v>
      </c>
      <c r="E77" s="14">
        <v>0.99981270054752669</v>
      </c>
      <c r="F77" s="14">
        <v>3.803565287160731E-2</v>
      </c>
      <c r="G77" s="14">
        <v>7.7445988720423648E-11</v>
      </c>
      <c r="H77" s="14">
        <v>273.38260356218132</v>
      </c>
      <c r="I77" s="14">
        <v>0.14729866288233004</v>
      </c>
      <c r="J77" s="14">
        <v>0</v>
      </c>
      <c r="K77" s="14">
        <v>26.291122262988043</v>
      </c>
      <c r="L77" s="14">
        <v>3.803565287160731E-2</v>
      </c>
      <c r="M77" s="14">
        <v>3.1208253181153799E-2</v>
      </c>
      <c r="N77" s="14">
        <v>0.81472479308673351</v>
      </c>
      <c r="O77" s="14">
        <v>430.32134121255086</v>
      </c>
      <c r="P77" s="8">
        <v>0.81472479308673351</v>
      </c>
      <c r="Q77" s="54">
        <v>4.9430932629209726E-5</v>
      </c>
    </row>
    <row r="78" spans="1:17">
      <c r="A78" s="2" t="s">
        <v>509</v>
      </c>
      <c r="B78" s="16" t="s">
        <v>419</v>
      </c>
      <c r="D78" s="14">
        <v>1</v>
      </c>
      <c r="E78" s="14">
        <v>0.99913294347620418</v>
      </c>
      <c r="F78" s="14">
        <v>4.334407550400864E-3</v>
      </c>
      <c r="G78" s="14">
        <v>7.6976508793941742E-12</v>
      </c>
      <c r="H78" s="14">
        <v>282.63747476046717</v>
      </c>
      <c r="I78" s="14">
        <v>1.0098473236056913</v>
      </c>
      <c r="J78" s="14">
        <v>0</v>
      </c>
      <c r="K78" s="14">
        <v>230.71203812099202</v>
      </c>
      <c r="L78" s="14">
        <v>4.3344075504008648E-3</v>
      </c>
      <c r="M78" s="14">
        <v>3.5563813951039092E-3</v>
      </c>
      <c r="N78" s="14">
        <v>5.5964626749517867</v>
      </c>
      <c r="O78" s="14">
        <v>3156.9086303135537</v>
      </c>
      <c r="P78" s="8">
        <v>5.5964626749517867</v>
      </c>
      <c r="Q78" s="54">
        <v>5.6396963146853823E-5</v>
      </c>
    </row>
    <row r="79" spans="1:17">
      <c r="A79" s="2" t="s">
        <v>510</v>
      </c>
      <c r="B79" s="16" t="s">
        <v>420</v>
      </c>
      <c r="D79" s="14">
        <v>1</v>
      </c>
      <c r="E79" s="14">
        <v>0.99913295868877594</v>
      </c>
      <c r="F79" s="14">
        <v>4.3344078798497662E-3</v>
      </c>
      <c r="G79" s="14">
        <v>1.9335627236214688E-16</v>
      </c>
      <c r="H79" s="14">
        <v>282.63749624312766</v>
      </c>
      <c r="I79" s="14">
        <v>1.0096875862754779</v>
      </c>
      <c r="J79" s="14">
        <v>0</v>
      </c>
      <c r="K79" s="14">
        <v>230.71202058507254</v>
      </c>
      <c r="L79" s="14">
        <v>4.334407879849767E-3</v>
      </c>
      <c r="M79" s="14">
        <v>3.5563816654167334E-3</v>
      </c>
      <c r="N79" s="14">
        <v>5.5964533626616557</v>
      </c>
      <c r="O79" s="14">
        <v>2798.9542202679741</v>
      </c>
      <c r="P79" s="8">
        <v>5.5964533626616566</v>
      </c>
      <c r="Q79" s="54">
        <v>5.6388042293062718E-5</v>
      </c>
    </row>
    <row r="80" spans="1:17">
      <c r="A80" s="2" t="s">
        <v>511</v>
      </c>
      <c r="B80" s="16" t="s">
        <v>421</v>
      </c>
      <c r="D80" s="14">
        <v>1</v>
      </c>
      <c r="E80" s="14">
        <v>0.99973642313560662</v>
      </c>
      <c r="F80" s="14">
        <v>0.1673454761537278</v>
      </c>
      <c r="G80" s="14">
        <v>2.1803310645543404E-11</v>
      </c>
      <c r="H80" s="14">
        <v>236.75217450965462</v>
      </c>
      <c r="I80" s="14">
        <v>0.14335734565215366</v>
      </c>
      <c r="J80" s="14">
        <v>0</v>
      </c>
      <c r="K80" s="14">
        <v>5.9756619837238665</v>
      </c>
      <c r="L80" s="14">
        <v>0.1673454761537278</v>
      </c>
      <c r="M80" s="14">
        <v>0.13730696318413366</v>
      </c>
      <c r="N80" s="14">
        <v>0.89914666914649133</v>
      </c>
      <c r="O80" s="14">
        <v>327.34333636947167</v>
      </c>
      <c r="P80" s="8">
        <v>0.89914666914649144</v>
      </c>
      <c r="Q80" s="54">
        <v>9.294369867997658E-5</v>
      </c>
    </row>
    <row r="81" spans="1:17">
      <c r="A81" s="2" t="s">
        <v>512</v>
      </c>
      <c r="B81" s="16" t="s">
        <v>422</v>
      </c>
      <c r="D81" s="14">
        <v>1</v>
      </c>
      <c r="E81" s="14">
        <v>0.99973277164433283</v>
      </c>
      <c r="F81" s="14">
        <v>0.80776821118848507</v>
      </c>
      <c r="G81" s="14">
        <v>2.8505930628849226E-11</v>
      </c>
      <c r="H81" s="14">
        <v>55.45066489063106</v>
      </c>
      <c r="I81" s="14">
        <v>4.1959734601626018E-2</v>
      </c>
      <c r="J81" s="14">
        <v>0</v>
      </c>
      <c r="K81" s="14">
        <v>1.237978898090927</v>
      </c>
      <c r="L81" s="14">
        <v>0.80776821118848507</v>
      </c>
      <c r="M81" s="14">
        <v>0.66277381728015206</v>
      </c>
      <c r="N81" s="14">
        <v>0.9279094207710481</v>
      </c>
      <c r="O81" s="14">
        <v>245.01448255459525</v>
      </c>
      <c r="P81" s="8">
        <v>0.9279094207710481</v>
      </c>
      <c r="Q81" s="54">
        <v>9.2689968077213302E-5</v>
      </c>
    </row>
    <row r="82" spans="1:17">
      <c r="A82" s="2" t="s">
        <v>513</v>
      </c>
      <c r="B82" s="16" t="s">
        <v>423</v>
      </c>
      <c r="D82" s="14">
        <v>1</v>
      </c>
      <c r="E82" s="14">
        <v>0.99969543009772277</v>
      </c>
      <c r="F82" s="14">
        <v>0.61082563981623506</v>
      </c>
      <c r="G82" s="14">
        <v>7.1763852720588985E-15</v>
      </c>
      <c r="H82" s="14">
        <v>111.1929515755939</v>
      </c>
      <c r="I82" s="14">
        <v>7.829508467850757E-2</v>
      </c>
      <c r="J82" s="14">
        <v>0</v>
      </c>
      <c r="K82" s="14">
        <v>1.6371283960850871</v>
      </c>
      <c r="L82" s="14">
        <v>0.61082563981623506</v>
      </c>
      <c r="M82" s="14">
        <v>0.50118243746922087</v>
      </c>
      <c r="N82" s="14">
        <v>0.94267072929299411</v>
      </c>
      <c r="O82" s="14">
        <v>377.17198549741988</v>
      </c>
      <c r="P82" s="8">
        <v>0.94267072929299411</v>
      </c>
      <c r="Q82" s="54">
        <v>1.1650229968298934E-4</v>
      </c>
    </row>
    <row r="83" spans="1:17">
      <c r="A83" s="2" t="s">
        <v>514</v>
      </c>
      <c r="B83" s="16" t="s">
        <v>424</v>
      </c>
      <c r="D83" s="14">
        <v>1</v>
      </c>
      <c r="E83" s="14">
        <v>0.99837790916757529</v>
      </c>
      <c r="F83" s="14">
        <v>2.9366596406539629E-3</v>
      </c>
      <c r="G83" s="14">
        <v>2.7541150633308976E-12</v>
      </c>
      <c r="H83" s="14">
        <v>282.7181007348608</v>
      </c>
      <c r="I83" s="14">
        <v>1.9403478298165024</v>
      </c>
      <c r="J83" s="14">
        <v>0</v>
      </c>
      <c r="K83" s="14">
        <v>340.5229486442326</v>
      </c>
      <c r="L83" s="14">
        <v>2.9366596406539629E-3</v>
      </c>
      <c r="M83" s="14">
        <v>2.4095292351565766E-3</v>
      </c>
      <c r="N83" s="14">
        <v>10.859506320857234</v>
      </c>
      <c r="O83" s="14">
        <v>5582.6550094262875</v>
      </c>
      <c r="P83" s="8">
        <v>10.859506320857234</v>
      </c>
      <c r="Q83" s="54">
        <v>6.8687797253205458E-5</v>
      </c>
    </row>
    <row r="84" spans="1:17">
      <c r="A84" s="2" t="s">
        <v>403</v>
      </c>
      <c r="B84" s="16" t="s">
        <v>404</v>
      </c>
      <c r="D84" s="14">
        <v>1</v>
      </c>
      <c r="E84" s="14">
        <v>0.66365319195595984</v>
      </c>
      <c r="F84" s="14">
        <v>0.28489395107431648</v>
      </c>
      <c r="G84" s="14">
        <v>4.9651424851181631E-46</v>
      </c>
      <c r="H84" s="14">
        <v>87.680542516056988</v>
      </c>
      <c r="I84" s="14">
        <v>187.82802808425421</v>
      </c>
      <c r="J84" s="14">
        <v>0</v>
      </c>
      <c r="K84" s="14">
        <v>3.510078035104168</v>
      </c>
      <c r="L84" s="14">
        <v>0.28489395107431653</v>
      </c>
      <c r="M84" s="14">
        <v>0.23375548685647671</v>
      </c>
      <c r="N84" s="14">
        <v>11.757883781719309</v>
      </c>
      <c r="O84" s="14">
        <v>14140.148614733456</v>
      </c>
      <c r="P84" s="8">
        <v>11.757883781719309</v>
      </c>
      <c r="Q84" s="54">
        <v>0.22592297541235468</v>
      </c>
    </row>
    <row r="85" spans="1:17">
      <c r="A85" s="2" t="s">
        <v>405</v>
      </c>
      <c r="B85" s="16" t="s">
        <v>406</v>
      </c>
      <c r="D85" s="14">
        <v>1</v>
      </c>
      <c r="E85" s="14">
        <v>0.9244999983103751</v>
      </c>
      <c r="F85" s="14">
        <v>5.291804104553894E-2</v>
      </c>
      <c r="G85" s="14">
        <v>1.6049846113187381E-10</v>
      </c>
      <c r="H85" s="14">
        <v>235.46972152613691</v>
      </c>
      <c r="I85" s="14">
        <v>113.97785457496862</v>
      </c>
      <c r="J85" s="14">
        <v>0</v>
      </c>
      <c r="K85" s="14">
        <v>18.897146988858562</v>
      </c>
      <c r="L85" s="14">
        <v>5.291804104553894E-2</v>
      </c>
      <c r="M85" s="14">
        <v>4.34192526778647E-2</v>
      </c>
      <c r="N85" s="14">
        <v>422.87605736141722</v>
      </c>
      <c r="O85" s="14">
        <v>134838.25965026152</v>
      </c>
      <c r="P85" s="8">
        <v>422.87605736141728</v>
      </c>
      <c r="Q85" s="54">
        <v>1.100070396956131E-2</v>
      </c>
    </row>
    <row r="86" spans="1:17">
      <c r="A86" s="2" t="s">
        <v>407</v>
      </c>
      <c r="B86" s="16" t="s">
        <v>408</v>
      </c>
      <c r="D86" s="14">
        <v>1</v>
      </c>
      <c r="E86" s="14">
        <v>0.91529455933197001</v>
      </c>
      <c r="F86" s="14">
        <v>3.6089618737227929E-4</v>
      </c>
      <c r="G86" s="14">
        <v>2.8971486681282519E-7</v>
      </c>
      <c r="H86" s="14">
        <v>49.549844289491354</v>
      </c>
      <c r="I86" s="14">
        <v>1948.9444681951268</v>
      </c>
      <c r="J86" s="14">
        <v>0</v>
      </c>
      <c r="K86" s="14">
        <v>2770.8799233405553</v>
      </c>
      <c r="L86" s="14">
        <v>3.6089618737227935E-4</v>
      </c>
      <c r="M86" s="14">
        <v>2.961153217389552E-4</v>
      </c>
      <c r="N86" s="14">
        <v>122.94071030480971</v>
      </c>
      <c r="O86" s="14">
        <v>59723.367658973519</v>
      </c>
      <c r="P86" s="8">
        <v>122.94071030480973</v>
      </c>
      <c r="Q86" s="54">
        <v>4.5540675148956905E-2</v>
      </c>
    </row>
    <row r="87" spans="1:17">
      <c r="A87" s="2" t="s">
        <v>409</v>
      </c>
      <c r="B87" s="16" t="s">
        <v>410</v>
      </c>
      <c r="D87" s="14">
        <v>1</v>
      </c>
      <c r="E87" s="14">
        <v>0.93473487726893845</v>
      </c>
      <c r="F87" s="14">
        <v>1.2564204621081881E-4</v>
      </c>
      <c r="G87" s="14">
        <v>3.6039892625561614E-8</v>
      </c>
      <c r="H87" s="14">
        <v>26.825943201334653</v>
      </c>
      <c r="I87" s="14">
        <v>2211.1192801739599</v>
      </c>
      <c r="J87" s="14">
        <v>0</v>
      </c>
      <c r="K87" s="14">
        <v>7959.1190223220974</v>
      </c>
      <c r="L87" s="14">
        <v>1.2564204621081881E-4</v>
      </c>
      <c r="M87" s="14">
        <v>1.0308929891597684E-4</v>
      </c>
      <c r="N87" s="14">
        <v>140.03407988002235</v>
      </c>
      <c r="O87" s="14">
        <v>79075.844567449822</v>
      </c>
      <c r="P87" s="8">
        <v>140.03407988002235</v>
      </c>
      <c r="Q87" s="54">
        <v>3.0818547871327609E-2</v>
      </c>
    </row>
    <row r="88" spans="1:17">
      <c r="A88" s="2" t="s">
        <v>301</v>
      </c>
      <c r="B88" s="16" t="s">
        <v>302</v>
      </c>
      <c r="D88" s="14">
        <v>1</v>
      </c>
      <c r="E88" s="14">
        <v>0.95133548316972905</v>
      </c>
      <c r="F88" s="14">
        <v>3.5402819646565109E-5</v>
      </c>
      <c r="G88" s="14">
        <v>4.4685471044555676E-9</v>
      </c>
      <c r="H88" s="14">
        <v>12.48929295216279</v>
      </c>
      <c r="I88" s="14">
        <v>2387.7839211619607</v>
      </c>
      <c r="J88" s="14">
        <v>0</v>
      </c>
      <c r="K88" s="14">
        <v>28246.337720646021</v>
      </c>
      <c r="L88" s="14">
        <v>3.5402819646565109E-5</v>
      </c>
      <c r="M88" s="14">
        <v>2.9048013520006672E-5</v>
      </c>
      <c r="N88" s="14">
        <v>151.91326045212517</v>
      </c>
      <c r="O88" s="14">
        <v>97768.336161778716</v>
      </c>
      <c r="P88" s="8">
        <v>151.91326045212517</v>
      </c>
      <c r="Q88" s="54">
        <v>1.8492474283470429E-2</v>
      </c>
    </row>
    <row r="89" spans="1:17">
      <c r="A89" s="2" t="s">
        <v>303</v>
      </c>
      <c r="B89" s="16" t="s">
        <v>304</v>
      </c>
      <c r="D89" s="14">
        <v>1</v>
      </c>
      <c r="E89" s="14">
        <v>0.68216339061483544</v>
      </c>
      <c r="F89" s="14">
        <v>1.6600541124881186E-3</v>
      </c>
      <c r="G89" s="14">
        <v>2.3905427086592645E-15</v>
      </c>
      <c r="H89" s="14">
        <v>53.714410407114556</v>
      </c>
      <c r="I89" s="14">
        <v>1293.4763854760724</v>
      </c>
      <c r="J89" s="14">
        <v>0</v>
      </c>
      <c r="K89" s="14">
        <v>602.39000191456535</v>
      </c>
      <c r="L89" s="14">
        <v>1.6600541124881189E-3</v>
      </c>
      <c r="M89" s="14">
        <v>1.3620743992965015E-3</v>
      </c>
      <c r="N89" s="14">
        <v>2122.1711673227474</v>
      </c>
      <c r="O89" s="14">
        <v>1369458.2759850419</v>
      </c>
      <c r="P89" s="8">
        <v>2122.1711673227474</v>
      </c>
      <c r="Q89" s="54">
        <v>1.3994536022841264E-2</v>
      </c>
    </row>
    <row r="90" spans="1:17">
      <c r="A90" s="2" t="s">
        <v>425</v>
      </c>
      <c r="B90" s="16" t="s">
        <v>426</v>
      </c>
      <c r="D90" s="14">
        <v>1</v>
      </c>
      <c r="E90" s="14">
        <v>0.97475174776180673</v>
      </c>
      <c r="F90" s="14">
        <v>0.97733769970459761</v>
      </c>
      <c r="G90" s="14">
        <v>1.7802504534380045E-15</v>
      </c>
      <c r="H90" s="14">
        <v>0.26046216821353885</v>
      </c>
      <c r="I90" s="14">
        <v>0.80971382393402425</v>
      </c>
      <c r="J90" s="14">
        <v>0</v>
      </c>
      <c r="K90" s="14">
        <v>1.023187788931351</v>
      </c>
      <c r="L90" s="14">
        <v>0.97733769970459761</v>
      </c>
      <c r="M90" s="14">
        <v>0.80190558260762235</v>
      </c>
      <c r="N90" s="14">
        <v>0.91272187220641621</v>
      </c>
      <c r="O90" s="14">
        <v>253.06126628795096</v>
      </c>
      <c r="P90" s="8">
        <v>0.91272187220641621</v>
      </c>
      <c r="Q90" s="54">
        <v>1.6956318043748964E-2</v>
      </c>
    </row>
    <row r="91" spans="1:17">
      <c r="A91" s="2" t="s">
        <v>427</v>
      </c>
      <c r="B91" s="16" t="s">
        <v>428</v>
      </c>
      <c r="D91" s="14">
        <v>1</v>
      </c>
      <c r="E91" s="14">
        <v>0.78714445166421765</v>
      </c>
      <c r="F91" s="14">
        <v>0.7194712946794305</v>
      </c>
      <c r="G91" s="14">
        <v>9.1601367856949494E-7</v>
      </c>
      <c r="H91" s="14">
        <v>15.634121085539398</v>
      </c>
      <c r="I91" s="14">
        <v>40.712769085798854</v>
      </c>
      <c r="J91" s="14">
        <v>0</v>
      </c>
      <c r="K91" s="14">
        <v>1.3899095174402509</v>
      </c>
      <c r="L91" s="14">
        <v>0.71947129467943061</v>
      </c>
      <c r="M91" s="14">
        <v>0.59032619728447278</v>
      </c>
      <c r="N91" s="14">
        <v>3.1108878228018488</v>
      </c>
      <c r="O91" s="14">
        <v>513.88755944863738</v>
      </c>
      <c r="P91" s="8">
        <v>3.1108878228018488</v>
      </c>
      <c r="Q91" s="54">
        <v>0.14332786839642525</v>
      </c>
    </row>
    <row r="92" spans="1:17">
      <c r="A92" s="2" t="s">
        <v>429</v>
      </c>
      <c r="B92" s="16" t="s">
        <v>430</v>
      </c>
      <c r="D92" s="14">
        <v>1</v>
      </c>
      <c r="E92" s="14">
        <v>0.71005766880552434</v>
      </c>
      <c r="F92" s="14">
        <v>0.1273764962752118</v>
      </c>
      <c r="G92" s="14">
        <v>5.6148451866732339E-6</v>
      </c>
      <c r="H92" s="14">
        <v>136.87032504781982</v>
      </c>
      <c r="I92" s="14">
        <v>267.40311951353283</v>
      </c>
      <c r="J92" s="14">
        <v>0</v>
      </c>
      <c r="K92" s="14">
        <v>7.8507419283961397</v>
      </c>
      <c r="L92" s="14">
        <v>0.1273764962752118</v>
      </c>
      <c r="M92" s="14">
        <v>0.10451241519381128</v>
      </c>
      <c r="N92" s="14">
        <v>16.553500947259277</v>
      </c>
      <c r="O92" s="14">
        <v>2983.6030107340121</v>
      </c>
      <c r="P92" s="8">
        <v>16.553500947259277</v>
      </c>
      <c r="Q92" s="54">
        <v>0.19380566587166476</v>
      </c>
    </row>
    <row r="93" spans="1:17">
      <c r="A93" s="2" t="s">
        <v>431</v>
      </c>
      <c r="B93" s="16" t="s">
        <v>432</v>
      </c>
      <c r="D93" s="14">
        <v>1</v>
      </c>
      <c r="E93" s="14">
        <v>0.99972242342131867</v>
      </c>
      <c r="F93" s="14">
        <v>0.99925317026810168</v>
      </c>
      <c r="G93" s="14">
        <v>1.3391473134941425E-19</v>
      </c>
      <c r="H93" s="14">
        <v>1.2395542387468126</v>
      </c>
      <c r="I93" s="14">
        <v>9.1949436406687148E-3</v>
      </c>
      <c r="J93" s="14">
        <v>0</v>
      </c>
      <c r="K93" s="14">
        <v>1.0007473879034059</v>
      </c>
      <c r="L93" s="14">
        <v>0.99925317026810168</v>
      </c>
      <c r="M93" s="14">
        <v>0.81988722620497745</v>
      </c>
      <c r="N93" s="14">
        <v>0.88994878516771503</v>
      </c>
      <c r="O93" s="14">
        <v>346.09218306387271</v>
      </c>
      <c r="P93" s="8">
        <v>0.88994878516771514</v>
      </c>
      <c r="Q93" s="54">
        <v>1.032640304116096E-4</v>
      </c>
    </row>
    <row r="94" spans="1:17">
      <c r="A94" s="2" t="s">
        <v>433</v>
      </c>
      <c r="B94" s="16" t="s">
        <v>434</v>
      </c>
      <c r="D94" s="14">
        <v>1</v>
      </c>
      <c r="E94" s="14">
        <v>0.99987101445116466</v>
      </c>
      <c r="F94" s="14">
        <v>1.003767103067688</v>
      </c>
      <c r="G94" s="14">
        <v>2.8304236598521267E-20</v>
      </c>
      <c r="H94" s="14">
        <v>4.8241739421031968E-3</v>
      </c>
      <c r="I94" s="14">
        <v>6.2327572941963731E-5</v>
      </c>
      <c r="J94" s="14">
        <v>0</v>
      </c>
      <c r="K94" s="14">
        <v>0.99624703473925846</v>
      </c>
      <c r="L94" s="14">
        <v>1.0037671030676882</v>
      </c>
      <c r="M94" s="14">
        <v>0.82359090806703816</v>
      </c>
      <c r="N94" s="14">
        <v>0.89367832370497324</v>
      </c>
      <c r="O94" s="14">
        <v>160.18290274087943</v>
      </c>
      <c r="P94" s="8">
        <v>0.89367832370497335</v>
      </c>
      <c r="Q94" s="54">
        <v>2.6126438738685323E-6</v>
      </c>
    </row>
    <row r="95" spans="1:17">
      <c r="A95" s="2" t="s">
        <v>435</v>
      </c>
      <c r="B95" s="16" t="s">
        <v>436</v>
      </c>
      <c r="D95" s="14">
        <v>1</v>
      </c>
      <c r="E95" s="14">
        <v>0.94193915560815655</v>
      </c>
      <c r="F95" s="14">
        <v>0.94057253701178989</v>
      </c>
      <c r="G95" s="14">
        <v>1.5137438083591808E-10</v>
      </c>
      <c r="H95" s="14">
        <v>1.0621725759284153</v>
      </c>
      <c r="I95" s="14">
        <v>3.4110489039651761</v>
      </c>
      <c r="J95" s="14">
        <v>0</v>
      </c>
      <c r="K95" s="14">
        <v>1.0631822221569553</v>
      </c>
      <c r="L95" s="14">
        <v>0.94057253701179</v>
      </c>
      <c r="M95" s="14">
        <v>0.77173976661817367</v>
      </c>
      <c r="N95" s="14">
        <v>1.0482089475106826</v>
      </c>
      <c r="O95" s="14">
        <v>273.67687410556408</v>
      </c>
      <c r="P95" s="8">
        <v>1.0482089475106826</v>
      </c>
      <c r="Q95" s="54">
        <v>3.9092005022961077E-2</v>
      </c>
    </row>
    <row r="96" spans="1:17">
      <c r="A96" s="2" t="s">
        <v>437</v>
      </c>
      <c r="B96" s="166" t="s">
        <v>438</v>
      </c>
      <c r="D96" s="14">
        <v>1</v>
      </c>
      <c r="E96" s="14">
        <v>0.90748162121147558</v>
      </c>
      <c r="F96" s="14">
        <v>5.2386838204759162E-4</v>
      </c>
      <c r="G96" s="14">
        <v>5.4034442523397443E-10</v>
      </c>
      <c r="H96" s="14">
        <v>61.015782812337918</v>
      </c>
      <c r="I96" s="14">
        <v>1821.7943811342077</v>
      </c>
      <c r="J96" s="14">
        <v>0</v>
      </c>
      <c r="K96" s="14">
        <v>1908.8764168041612</v>
      </c>
      <c r="L96" s="14">
        <v>5.2386838204759162E-4</v>
      </c>
      <c r="M96" s="14">
        <v>4.2983400747004892E-4</v>
      </c>
      <c r="N96" s="14">
        <v>114.75103328053252</v>
      </c>
      <c r="O96" s="14">
        <v>47770.855154685691</v>
      </c>
      <c r="P96" s="8">
        <v>114.75103328053254</v>
      </c>
      <c r="Q96" s="54">
        <v>5.1605900211319729E-2</v>
      </c>
    </row>
    <row r="97" spans="1:17">
      <c r="A97" s="2" t="s">
        <v>439</v>
      </c>
      <c r="B97" s="16" t="s">
        <v>440</v>
      </c>
      <c r="D97" s="14">
        <v>1</v>
      </c>
      <c r="E97" s="14">
        <v>0.72956179632167106</v>
      </c>
      <c r="F97" s="14">
        <v>0.60224010223838342</v>
      </c>
      <c r="G97" s="14">
        <v>4.4317796487473378E-7</v>
      </c>
      <c r="H97" s="14">
        <v>29.130616185334986</v>
      </c>
      <c r="I97" s="14">
        <v>71.516597135187027</v>
      </c>
      <c r="J97" s="14">
        <v>0</v>
      </c>
      <c r="K97" s="14">
        <v>1.6604673057859105</v>
      </c>
      <c r="L97" s="14">
        <v>0.60224010223838353</v>
      </c>
      <c r="M97" s="14">
        <v>0.49413800388659368</v>
      </c>
      <c r="N97" s="14">
        <v>4.8898500122736985</v>
      </c>
      <c r="O97" s="14">
        <v>935.28161184759028</v>
      </c>
      <c r="P97" s="8">
        <v>4.8898500122736985</v>
      </c>
      <c r="Q97" s="54">
        <v>0.18205677359534617</v>
      </c>
    </row>
    <row r="98" spans="1:17">
      <c r="A98" s="2" t="s">
        <v>441</v>
      </c>
      <c r="B98" s="16" t="s">
        <v>442</v>
      </c>
      <c r="D98" s="14">
        <v>1</v>
      </c>
      <c r="E98" s="14">
        <v>0.77627003399253636</v>
      </c>
      <c r="F98" s="14">
        <v>0.69956796556259382</v>
      </c>
      <c r="G98" s="14">
        <v>3.0204969522076327E-19</v>
      </c>
      <c r="H98" s="14">
        <v>17.662408059047127</v>
      </c>
      <c r="I98" s="14">
        <v>45.489072820895537</v>
      </c>
      <c r="J98" s="14">
        <v>0</v>
      </c>
      <c r="K98" s="14">
        <v>1.4294536760210255</v>
      </c>
      <c r="L98" s="14">
        <v>0.69956796556259393</v>
      </c>
      <c r="M98" s="14">
        <v>0.57399551574410834</v>
      </c>
      <c r="N98" s="14">
        <v>3.3848372407222094</v>
      </c>
      <c r="O98" s="14">
        <v>1328.4132234938381</v>
      </c>
      <c r="P98" s="8">
        <v>3.3848372407222094</v>
      </c>
      <c r="Q98" s="54">
        <v>0.15069785993578969</v>
      </c>
    </row>
    <row r="99" spans="1:17">
      <c r="A99" s="2" t="s">
        <v>443</v>
      </c>
      <c r="B99" s="16" t="s">
        <v>444</v>
      </c>
      <c r="D99" s="14">
        <v>1</v>
      </c>
      <c r="E99" s="14">
        <v>0.882760989702293</v>
      </c>
      <c r="F99" s="14">
        <v>0.86671674872357729</v>
      </c>
      <c r="G99" s="14">
        <v>4.6683743777790525E-31</v>
      </c>
      <c r="H99" s="14">
        <v>4.2008501418069342</v>
      </c>
      <c r="I99" s="14">
        <v>12.21783792896338</v>
      </c>
      <c r="J99" s="14">
        <v>0</v>
      </c>
      <c r="K99" s="14">
        <v>1.1537794804043076</v>
      </c>
      <c r="L99" s="14">
        <v>0.8667167487235774</v>
      </c>
      <c r="M99" s="14">
        <v>0.71114109232769529</v>
      </c>
      <c r="N99" s="14">
        <v>1.5056688954395772</v>
      </c>
      <c r="O99" s="14">
        <v>1175.8370672045835</v>
      </c>
      <c r="P99" s="8">
        <v>1.5056688954395774</v>
      </c>
      <c r="Q99" s="54">
        <v>7.8994046240333224E-2</v>
      </c>
    </row>
    <row r="100" spans="1:17">
      <c r="A100" s="2" t="s">
        <v>445</v>
      </c>
      <c r="B100" s="16" t="s">
        <v>446</v>
      </c>
      <c r="D100" s="14">
        <v>1</v>
      </c>
      <c r="E100" s="14">
        <v>0.87586723809638667</v>
      </c>
      <c r="F100" s="14">
        <v>3.3848146343779832E-3</v>
      </c>
      <c r="G100" s="14">
        <v>5.5760078654752196E-10</v>
      </c>
      <c r="H100" s="14">
        <v>150.79775985735654</v>
      </c>
      <c r="I100" s="14">
        <v>899.81258037172654</v>
      </c>
      <c r="J100" s="14">
        <v>0</v>
      </c>
      <c r="K100" s="14">
        <v>295.43715329148796</v>
      </c>
      <c r="L100" s="14">
        <v>3.3848146343779832E-3</v>
      </c>
      <c r="M100" s="14">
        <v>2.7772404075071351E-3</v>
      </c>
      <c r="N100" s="14">
        <v>56.199294677951954</v>
      </c>
      <c r="O100" s="14">
        <v>17219.463889324477</v>
      </c>
      <c r="P100" s="8">
        <v>56.199294677951961</v>
      </c>
      <c r="Q100" s="54">
        <v>7.8478747063624801E-2</v>
      </c>
    </row>
    <row r="101" spans="1:17">
      <c r="A101" s="2" t="s">
        <v>447</v>
      </c>
      <c r="B101" s="16" t="s">
        <v>448</v>
      </c>
      <c r="D101" s="14">
        <v>1</v>
      </c>
      <c r="E101" s="14">
        <v>0.68547677915727112</v>
      </c>
      <c r="F101" s="14">
        <v>0.17755400281747072</v>
      </c>
      <c r="G101" s="14">
        <v>4.9253710712731257E-11</v>
      </c>
      <c r="H101" s="14">
        <v>118.63435341065028</v>
      </c>
      <c r="I101" s="14">
        <v>240.03116795882153</v>
      </c>
      <c r="J101" s="14">
        <v>0</v>
      </c>
      <c r="K101" s="14">
        <v>5.6320893031514538</v>
      </c>
      <c r="L101" s="14">
        <v>0.17755400281747072</v>
      </c>
      <c r="M101" s="14">
        <v>0.14568305931173473</v>
      </c>
      <c r="N101" s="14">
        <v>14.8943185786468</v>
      </c>
      <c r="O101" s="14">
        <v>5016.704383659815</v>
      </c>
      <c r="P101" s="8">
        <v>14.894318578646802</v>
      </c>
      <c r="Q101" s="54">
        <v>0.21089565797099696</v>
      </c>
    </row>
    <row r="102" spans="1:17">
      <c r="A102" s="2" t="s">
        <v>449</v>
      </c>
      <c r="B102" s="16" t="s">
        <v>450</v>
      </c>
      <c r="D102" s="14">
        <v>1</v>
      </c>
      <c r="E102" s="14">
        <v>0.80702073921068385</v>
      </c>
      <c r="F102" s="14">
        <v>3.9068990551421177E-2</v>
      </c>
      <c r="G102" s="14">
        <v>2.185851620508941E-6</v>
      </c>
      <c r="H102" s="14">
        <v>183.56597706273945</v>
      </c>
      <c r="I102" s="14">
        <v>321.69874082759435</v>
      </c>
      <c r="J102" s="14">
        <v>0</v>
      </c>
      <c r="K102" s="14">
        <v>25.595747058881301</v>
      </c>
      <c r="L102" s="14">
        <v>3.9068990551421177E-2</v>
      </c>
      <c r="M102" s="14">
        <v>3.2056106747441075E-2</v>
      </c>
      <c r="N102" s="14">
        <v>19.9002830389643</v>
      </c>
      <c r="O102" s="14">
        <v>9255.4226385919064</v>
      </c>
      <c r="P102" s="8">
        <v>19.900283038964304</v>
      </c>
      <c r="Q102" s="54">
        <v>0.12824763379966034</v>
      </c>
    </row>
    <row r="103" spans="1:17">
      <c r="A103" s="2" t="s">
        <v>451</v>
      </c>
      <c r="B103" s="16" t="s">
        <v>452</v>
      </c>
      <c r="D103" s="14">
        <v>1</v>
      </c>
      <c r="E103" s="14">
        <v>0.99975414200589108</v>
      </c>
      <c r="F103" s="14">
        <v>0.89819546893183877</v>
      </c>
      <c r="G103" s="14">
        <v>4.8894730682650052E-21</v>
      </c>
      <c r="H103" s="14">
        <v>29.85732255131725</v>
      </c>
      <c r="I103" s="14">
        <v>2.682796205687818E-2</v>
      </c>
      <c r="J103" s="14">
        <v>0</v>
      </c>
      <c r="K103" s="14">
        <v>1.1133434030670744</v>
      </c>
      <c r="L103" s="14">
        <v>0.89819546893183877</v>
      </c>
      <c r="M103" s="14">
        <v>0.73696938225857378</v>
      </c>
      <c r="N103" s="14">
        <v>0.91481887055911904</v>
      </c>
      <c r="O103" s="14">
        <v>302.56719324872302</v>
      </c>
      <c r="P103" s="8">
        <v>0.91481887055911904</v>
      </c>
      <c r="Q103" s="54">
        <v>7.950376275569758E-5</v>
      </c>
    </row>
    <row r="104" spans="1:17">
      <c r="A104" s="2" t="s">
        <v>453</v>
      </c>
      <c r="B104" s="16" t="s">
        <v>454</v>
      </c>
      <c r="D104" s="14">
        <v>1</v>
      </c>
      <c r="E104" s="14">
        <v>0.99912983957004875</v>
      </c>
      <c r="F104" s="14">
        <v>1.1149681825295603E-2</v>
      </c>
      <c r="G104" s="14">
        <v>1.2541960738004781E-22</v>
      </c>
      <c r="H104" s="14">
        <v>280.51912414473804</v>
      </c>
      <c r="I104" s="14">
        <v>2.7503612461435294</v>
      </c>
      <c r="J104" s="14">
        <v>0</v>
      </c>
      <c r="K104" s="14">
        <v>89.688657996613983</v>
      </c>
      <c r="L104" s="14">
        <v>1.1149681825295603E-2</v>
      </c>
      <c r="M104" s="14">
        <v>9.1483139376550421E-3</v>
      </c>
      <c r="N104" s="14">
        <v>1.2614096358612943</v>
      </c>
      <c r="O104" s="14">
        <v>623.13636011547931</v>
      </c>
      <c r="P104" s="8">
        <v>1.2614096358612943</v>
      </c>
      <c r="Q104" s="54">
        <v>4.6815507962829559E-4</v>
      </c>
    </row>
    <row r="105" spans="1:17">
      <c r="A105" s="2" t="s">
        <v>455</v>
      </c>
      <c r="B105" s="166">
        <v>354656</v>
      </c>
      <c r="D105" s="14">
        <v>1</v>
      </c>
      <c r="E105" s="14">
        <v>0.96976980697534854</v>
      </c>
      <c r="F105" s="14">
        <v>0.97219713389718054</v>
      </c>
      <c r="G105" s="14">
        <v>4.095084089461731E-12</v>
      </c>
      <c r="H105" s="14">
        <v>0.27927646354852403</v>
      </c>
      <c r="I105" s="14">
        <v>1.0002107252728514</v>
      </c>
      <c r="J105" s="14">
        <v>0</v>
      </c>
      <c r="K105" s="14">
        <v>1.0285979716802578</v>
      </c>
      <c r="L105" s="14">
        <v>0.97219713389718054</v>
      </c>
      <c r="M105" s="14">
        <v>0.79768774836263667</v>
      </c>
      <c r="N105" s="14">
        <v>0.91943291658097825</v>
      </c>
      <c r="O105" s="14">
        <v>181.30297682060308</v>
      </c>
      <c r="P105" s="8">
        <v>0.91943291658097825</v>
      </c>
      <c r="Q105" s="54">
        <v>2.0318493632246443E-2</v>
      </c>
    </row>
    <row r="106" spans="1:17">
      <c r="A106" s="2" t="s">
        <v>457</v>
      </c>
      <c r="B106" s="16" t="s">
        <v>458</v>
      </c>
      <c r="D106" s="14">
        <v>1</v>
      </c>
      <c r="E106" s="14">
        <v>0.93923409862981899</v>
      </c>
      <c r="F106" s="14">
        <v>0.93743952965456434</v>
      </c>
      <c r="G106" s="14">
        <v>6.0683058434798603E-12</v>
      </c>
      <c r="H106" s="14">
        <v>1.1512363622669934</v>
      </c>
      <c r="I106" s="14">
        <v>3.6804558438416288</v>
      </c>
      <c r="J106" s="14">
        <v>0</v>
      </c>
      <c r="K106" s="14">
        <v>1.0667354729200385</v>
      </c>
      <c r="L106" s="14">
        <v>0.93743952965456434</v>
      </c>
      <c r="M106" s="14">
        <v>0.76916913408157006</v>
      </c>
      <c r="N106" s="14">
        <v>1.0601876364646352</v>
      </c>
      <c r="O106" s="14">
        <v>169.82085560890525</v>
      </c>
      <c r="P106" s="8">
        <v>1.0601876364646352</v>
      </c>
      <c r="Q106" s="54">
        <v>4.0916795324576774E-2</v>
      </c>
    </row>
    <row r="107" spans="1:17">
      <c r="A107" s="2" t="s">
        <v>459</v>
      </c>
      <c r="B107" s="16" t="s">
        <v>460</v>
      </c>
      <c r="D107" s="14">
        <v>1</v>
      </c>
      <c r="E107" s="14">
        <v>0.85915476076789099</v>
      </c>
      <c r="F107" s="14">
        <v>2.102925531101019E-2</v>
      </c>
      <c r="G107" s="14">
        <v>5.1139955671991639E-22</v>
      </c>
      <c r="H107" s="14">
        <v>202.75005835037882</v>
      </c>
      <c r="I107" s="14">
        <v>328.55705422582196</v>
      </c>
      <c r="J107" s="14">
        <v>0</v>
      </c>
      <c r="K107" s="14">
        <v>47.552801333694141</v>
      </c>
      <c r="L107" s="14">
        <v>2.102925531101019E-2</v>
      </c>
      <c r="M107" s="14">
        <v>1.7254503982683862E-2</v>
      </c>
      <c r="N107" s="14">
        <v>23.884784885626008</v>
      </c>
      <c r="O107" s="14">
        <v>12693.091231768227</v>
      </c>
      <c r="P107" s="8">
        <v>23.884784885626008</v>
      </c>
      <c r="Q107" s="54">
        <v>9.2813424309982059E-2</v>
      </c>
    </row>
    <row r="108" spans="1:17">
      <c r="A108" s="2" t="s">
        <v>461</v>
      </c>
      <c r="B108" s="16" t="s">
        <v>462</v>
      </c>
      <c r="D108" s="14">
        <v>1</v>
      </c>
      <c r="E108" s="14">
        <v>0.9998197354849313</v>
      </c>
      <c r="F108" s="14">
        <v>1.0037236049145375</v>
      </c>
      <c r="G108" s="14">
        <v>1.2229002142216234E-11</v>
      </c>
      <c r="H108" s="14">
        <v>2.4988196300336309E-3</v>
      </c>
      <c r="I108" s="14">
        <v>6.7059159541294356E-4</v>
      </c>
      <c r="J108" s="14">
        <v>0</v>
      </c>
      <c r="K108" s="14">
        <v>0.99629020888190178</v>
      </c>
      <c r="L108" s="14">
        <v>1.0037236049145375</v>
      </c>
      <c r="M108" s="14">
        <v>0.82355521783237806</v>
      </c>
      <c r="N108" s="14">
        <v>0.89056309890155771</v>
      </c>
      <c r="O108" s="14">
        <v>115.02512985412518</v>
      </c>
      <c r="P108" s="8">
        <v>0.89056309890155771</v>
      </c>
      <c r="Q108" s="54">
        <v>3.7519591913394036E-5</v>
      </c>
    </row>
    <row r="109" spans="1:17">
      <c r="A109" s="2" t="s">
        <v>463</v>
      </c>
      <c r="B109" s="16" t="s">
        <v>464</v>
      </c>
      <c r="D109" s="14">
        <v>1</v>
      </c>
      <c r="E109" s="14">
        <v>0.98013291245302903</v>
      </c>
      <c r="F109" s="14">
        <v>0.92324032968014691</v>
      </c>
      <c r="G109" s="14">
        <v>3.1188108009197964E-14</v>
      </c>
      <c r="H109" s="14">
        <v>16.378847360345993</v>
      </c>
      <c r="I109" s="14">
        <v>7.5379113722784918</v>
      </c>
      <c r="J109" s="14">
        <v>0</v>
      </c>
      <c r="K109" s="14">
        <v>1.0831415914710378</v>
      </c>
      <c r="L109" s="14">
        <v>0.92324032968014691</v>
      </c>
      <c r="M109" s="14">
        <v>0.7575186905025606</v>
      </c>
      <c r="N109" s="14">
        <v>11.885056738862939</v>
      </c>
      <c r="O109" s="14">
        <v>3563.1400103111091</v>
      </c>
      <c r="P109" s="8">
        <v>11.885056738862939</v>
      </c>
      <c r="Q109" s="54">
        <v>1.2287146230488382E-2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0.99361951035038076</v>
      </c>
      <c r="F110" s="14">
        <v>0.99723932132361548</v>
      </c>
      <c r="G110" s="14">
        <v>2.3216994105664714E-13</v>
      </c>
      <c r="H110" s="14">
        <v>6.3896842015388769E-2</v>
      </c>
      <c r="I110" s="14">
        <v>0.11318986333257651</v>
      </c>
      <c r="J110" s="14">
        <v>0</v>
      </c>
      <c r="K110" s="14">
        <v>1.002768321121474</v>
      </c>
      <c r="L110" s="14">
        <v>0.99723932132361548</v>
      </c>
      <c r="M110" s="14">
        <v>0.81823486314602656</v>
      </c>
      <c r="N110" s="14">
        <v>0.88848904738624457</v>
      </c>
      <c r="O110" s="14">
        <v>211.60255152550801</v>
      </c>
      <c r="P110" s="8">
        <v>0.88848904738624468</v>
      </c>
      <c r="Q110" s="54">
        <v>4.2228682844106533E-3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0.9998701569751095</v>
      </c>
      <c r="F111" s="14">
        <v>1.003767252923659</v>
      </c>
      <c r="G111" s="14">
        <v>4.1270060950345065E-32</v>
      </c>
      <c r="H111" s="14">
        <v>4.541015905523655E-3</v>
      </c>
      <c r="I111" s="14">
        <v>3.4736542362661876E-5</v>
      </c>
      <c r="J111" s="14">
        <v>0</v>
      </c>
      <c r="K111" s="14">
        <v>0.99624688600600775</v>
      </c>
      <c r="L111" s="14">
        <v>1.003767252923659</v>
      </c>
      <c r="M111" s="14">
        <v>0.82359103102386222</v>
      </c>
      <c r="N111" s="14">
        <v>0.88731226559590504</v>
      </c>
      <c r="O111" s="14">
        <v>408.54518644832257</v>
      </c>
      <c r="P111" s="8">
        <v>0.88731226559590504</v>
      </c>
      <c r="Q111" s="54">
        <v>3.7930327023048097E-6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0.99177121972988613</v>
      </c>
      <c r="F112" s="14">
        <v>0.99553845882340153</v>
      </c>
      <c r="G112" s="14">
        <v>2.608654297965812E-15</v>
      </c>
      <c r="H112" s="14">
        <v>2.2038804986145053E-2</v>
      </c>
      <c r="I112" s="14">
        <v>9.5333428680373408E-2</v>
      </c>
      <c r="J112" s="14">
        <v>0</v>
      </c>
      <c r="K112" s="14">
        <v>1.0044815357328047</v>
      </c>
      <c r="L112" s="14">
        <v>0.99553845882340164</v>
      </c>
      <c r="M112" s="14">
        <v>0.81683930546460104</v>
      </c>
      <c r="N112" s="14">
        <v>0.88568831562716899</v>
      </c>
      <c r="O112" s="14">
        <v>181.78752678247642</v>
      </c>
      <c r="P112" s="8">
        <v>0.88568831562716899</v>
      </c>
      <c r="Q112" s="54">
        <v>5.4707291363415957E-3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0.9543997264975379</v>
      </c>
      <c r="F113" s="14">
        <v>0.95511794686703189</v>
      </c>
      <c r="G113" s="14">
        <v>3.2102990725650349E-11</v>
      </c>
      <c r="H113" s="14">
        <v>0.62620568440993007</v>
      </c>
      <c r="I113" s="14">
        <v>2.1104456698539886</v>
      </c>
      <c r="J113" s="14">
        <v>0</v>
      </c>
      <c r="K113" s="14">
        <v>1.0469911106583116</v>
      </c>
      <c r="L113" s="14">
        <v>0.95511794686703189</v>
      </c>
      <c r="M113" s="14">
        <v>0.78367427540439971</v>
      </c>
      <c r="N113" s="14">
        <v>0.97129733550953845</v>
      </c>
      <c r="O113" s="14">
        <v>146.82130523562182</v>
      </c>
      <c r="P113" s="8">
        <v>0.97129733550953856</v>
      </c>
      <c r="Q113" s="54">
        <v>3.0688395065699647E-2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0.9956737747443738</v>
      </c>
      <c r="F114" s="14">
        <v>0.99953641299124929</v>
      </c>
      <c r="G114" s="14">
        <v>2.5606957425460244E-18</v>
      </c>
      <c r="H114" s="14">
        <v>6.4173927608559287E-3</v>
      </c>
      <c r="I114" s="14">
        <v>2.9935660104684347E-2</v>
      </c>
      <c r="J114" s="14">
        <v>0</v>
      </c>
      <c r="K114" s="14">
        <v>1.0004638020213423</v>
      </c>
      <c r="L114" s="14">
        <v>0.99953641299124929</v>
      </c>
      <c r="M114" s="14">
        <v>0.82011962685932005</v>
      </c>
      <c r="N114" s="14">
        <v>0.8853177254009218</v>
      </c>
      <c r="O114" s="14">
        <v>300.44142329205681</v>
      </c>
      <c r="P114" s="8">
        <v>0.88531772540092191</v>
      </c>
      <c r="Q114" s="54">
        <v>2.8365395224972498E-3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0.9998066690101759</v>
      </c>
      <c r="F115" s="14">
        <v>0.97615986600239724</v>
      </c>
      <c r="G115" s="14">
        <v>1.3242651187575699E-14</v>
      </c>
      <c r="H115" s="14">
        <v>7.8015509306532831</v>
      </c>
      <c r="I115" s="14">
        <v>8.6521973468288542E-3</v>
      </c>
      <c r="J115" s="14">
        <v>0</v>
      </c>
      <c r="K115" s="14">
        <v>1.0244223664871959</v>
      </c>
      <c r="L115" s="14">
        <v>0.97615986600239735</v>
      </c>
      <c r="M115" s="14">
        <v>0.80093917005496706</v>
      </c>
      <c r="N115" s="14">
        <v>0.89754903196306413</v>
      </c>
      <c r="O115" s="14">
        <v>172.4460955110635</v>
      </c>
      <c r="P115" s="8">
        <v>0.89754903196306424</v>
      </c>
      <c r="Q115" s="54">
        <v>4.5680033806358676E-5</v>
      </c>
    </row>
    <row r="116" spans="1:17">
      <c r="A116" s="2" t="s">
        <v>477</v>
      </c>
      <c r="B116" s="16" t="s">
        <v>478</v>
      </c>
      <c r="D116" s="14">
        <v>1</v>
      </c>
      <c r="E116" s="14">
        <v>0.96395273961029138</v>
      </c>
      <c r="F116" s="14">
        <v>0.1329508727542352</v>
      </c>
      <c r="G116" s="14">
        <v>3.693775972731826E-19</v>
      </c>
      <c r="H116" s="14">
        <v>230.74595600410871</v>
      </c>
      <c r="I116" s="14">
        <v>51.746291930382405</v>
      </c>
      <c r="J116" s="14">
        <v>0</v>
      </c>
      <c r="K116" s="14">
        <v>7.5215752953238484</v>
      </c>
      <c r="L116" s="14">
        <v>0.1329508727542352</v>
      </c>
      <c r="M116" s="14">
        <v>0.10908619109484997</v>
      </c>
      <c r="N116" s="14">
        <v>121.88426041960214</v>
      </c>
      <c r="O116" s="14">
        <v>55408.58478675114</v>
      </c>
      <c r="P116" s="8">
        <v>121.88426041960214</v>
      </c>
      <c r="Q116" s="54">
        <v>1.2813838153400986E-2</v>
      </c>
    </row>
    <row r="117" spans="1:17">
      <c r="A117" s="2" t="s">
        <v>291</v>
      </c>
      <c r="B117" s="16" t="s">
        <v>479</v>
      </c>
      <c r="D117" s="14">
        <v>1</v>
      </c>
      <c r="E117" s="14">
        <v>0.68534819951977999</v>
      </c>
      <c r="F117" s="14">
        <v>0.47367868924959011</v>
      </c>
      <c r="G117" s="14">
        <v>3.2665727437392079E-12</v>
      </c>
      <c r="H117" s="14">
        <v>48.513638341293344</v>
      </c>
      <c r="I117" s="14">
        <v>112.69924771672115</v>
      </c>
      <c r="J117" s="14">
        <v>0</v>
      </c>
      <c r="K117" s="14">
        <v>2.1111357185695163</v>
      </c>
      <c r="L117" s="14">
        <v>0.47367868924959011</v>
      </c>
      <c r="M117" s="14">
        <v>0.38865336452928873</v>
      </c>
      <c r="N117" s="14">
        <v>7.300397786530711</v>
      </c>
      <c r="O117" s="14">
        <v>2250.9316495210142</v>
      </c>
      <c r="P117" s="8">
        <v>7.300397786530711</v>
      </c>
      <c r="Q117" s="54">
        <v>0.21170007753487702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2.6214857001286402E-8</v>
      </c>
      <c r="E2" s="20">
        <v>0.97650498791113305</v>
      </c>
      <c r="F2" s="20">
        <v>6.0037376727296648E-4</v>
      </c>
      <c r="G2" s="20">
        <v>2.4094463654323031E-4</v>
      </c>
      <c r="H2" s="20">
        <v>0</v>
      </c>
      <c r="I2" s="20">
        <v>0.97566366950731687</v>
      </c>
      <c r="J2" s="20">
        <v>1.2653658909442326E-4</v>
      </c>
      <c r="K2" s="20">
        <v>2.3368449284915584E-2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1.997301481719481E-8</v>
      </c>
      <c r="E3" s="20">
        <v>0.6974921262875875</v>
      </c>
      <c r="F3" s="20">
        <v>0.18550130422087061</v>
      </c>
      <c r="G3" s="20">
        <v>4.5064562606791453E-2</v>
      </c>
      <c r="H3" s="20">
        <v>0</v>
      </c>
      <c r="I3" s="20">
        <v>0.46692625945992544</v>
      </c>
      <c r="J3" s="20">
        <v>1.2434703722270994E-3</v>
      </c>
      <c r="K3" s="20">
        <v>0.30126438336717071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1.3602325190852184E-17</v>
      </c>
      <c r="E4" s="20">
        <v>0.99983708595296394</v>
      </c>
      <c r="F4" s="20">
        <v>4.2178134606406605E-4</v>
      </c>
      <c r="G4" s="20">
        <v>4.6449710355864733E-7</v>
      </c>
      <c r="H4" s="20">
        <v>0</v>
      </c>
      <c r="I4" s="20">
        <v>0.99941484010979631</v>
      </c>
      <c r="J4" s="20">
        <v>1.4226520790724373E-4</v>
      </c>
      <c r="K4" s="20">
        <v>2.0648839128870406E-5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2.2643519669048365E-10</v>
      </c>
      <c r="E5" s="20">
        <v>0.99967971025214908</v>
      </c>
      <c r="F5" s="20">
        <v>0.45209199148179463</v>
      </c>
      <c r="G5" s="20">
        <v>3.5882779766777623E-5</v>
      </c>
      <c r="H5" s="20">
        <v>0</v>
      </c>
      <c r="I5" s="20">
        <v>0.54755183599058765</v>
      </c>
      <c r="J5" s="20">
        <v>1.3218522719371021E-4</v>
      </c>
      <c r="K5" s="20">
        <v>1.8810429422218795E-4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1.8575303021439318E-11</v>
      </c>
      <c r="E6" s="20">
        <v>0.99916104449219389</v>
      </c>
      <c r="F6" s="20">
        <v>0.67490741490368944</v>
      </c>
      <c r="G6" s="20">
        <v>1.9572068430231845E-4</v>
      </c>
      <c r="H6" s="20">
        <v>0</v>
      </c>
      <c r="I6" s="20">
        <v>0.32405790890420216</v>
      </c>
      <c r="J6" s="20">
        <v>1.3369532152820887E-4</v>
      </c>
      <c r="K6" s="20">
        <v>7.0526016770256178E-4</v>
      </c>
      <c r="L6" s="20">
        <v>0</v>
      </c>
    </row>
    <row r="7" spans="1:14">
      <c r="A7" s="2" t="s">
        <v>366</v>
      </c>
      <c r="B7" s="3" t="s">
        <v>305</v>
      </c>
      <c r="D7" s="20">
        <v>1.6202438894651011E-7</v>
      </c>
      <c r="E7" s="20">
        <v>0.99611392898548123</v>
      </c>
      <c r="F7" s="20">
        <v>0.88669851456694759</v>
      </c>
      <c r="G7" s="20">
        <v>1.8049745576795542E-3</v>
      </c>
      <c r="H7" s="20">
        <v>0</v>
      </c>
      <c r="I7" s="20">
        <v>0.10761043986085408</v>
      </c>
      <c r="J7" s="20">
        <v>1.6041630368212166E-4</v>
      </c>
      <c r="K7" s="20">
        <v>3.7254926864476699E-3</v>
      </c>
      <c r="L7" s="20">
        <v>0</v>
      </c>
    </row>
    <row r="8" spans="1:14">
      <c r="A8" s="2" t="s">
        <v>289</v>
      </c>
      <c r="B8" s="3" t="s">
        <v>290</v>
      </c>
      <c r="D8" s="20">
        <v>1.1508826198528824E-17</v>
      </c>
      <c r="E8" s="20">
        <v>0.99952243469880664</v>
      </c>
      <c r="F8" s="20">
        <v>0.76962312369533581</v>
      </c>
      <c r="G8" s="20">
        <v>1.1703147882981846E-4</v>
      </c>
      <c r="H8" s="20">
        <v>0</v>
      </c>
      <c r="I8" s="20">
        <v>0.22978227952464106</v>
      </c>
      <c r="J8" s="20">
        <v>1.2969662584820266E-4</v>
      </c>
      <c r="K8" s="20">
        <v>3.4786867534504506E-4</v>
      </c>
      <c r="L8" s="20">
        <v>0</v>
      </c>
    </row>
    <row r="9" spans="1:14">
      <c r="A9" s="2" t="s">
        <v>291</v>
      </c>
      <c r="B9" s="3" t="s">
        <v>292</v>
      </c>
      <c r="D9" s="20">
        <v>4.8240465515040848E-13</v>
      </c>
      <c r="E9" s="20">
        <v>0.9990105027141486</v>
      </c>
      <c r="F9" s="20">
        <v>0.38497462572512364</v>
      </c>
      <c r="G9" s="20">
        <v>1.4591638241644471E-4</v>
      </c>
      <c r="H9" s="20">
        <v>0</v>
      </c>
      <c r="I9" s="20">
        <v>0.6138899606066085</v>
      </c>
      <c r="J9" s="20">
        <v>1.343977222101954E-4</v>
      </c>
      <c r="K9" s="20">
        <v>8.5509956315866868E-4</v>
      </c>
      <c r="L9" s="20">
        <v>0</v>
      </c>
    </row>
    <row r="10" spans="1:14">
      <c r="A10" s="2" t="s">
        <v>367</v>
      </c>
      <c r="B10" s="3" t="s">
        <v>368</v>
      </c>
      <c r="D10" s="20">
        <v>1.4508145663489497E-5</v>
      </c>
      <c r="E10" s="20">
        <v>0.8867268068212053</v>
      </c>
      <c r="F10" s="20">
        <v>0.74608124390454189</v>
      </c>
      <c r="G10" s="20">
        <v>0.13031118003387868</v>
      </c>
      <c r="H10" s="20">
        <v>0</v>
      </c>
      <c r="I10" s="20">
        <v>1.0334382882784772E-2</v>
      </c>
      <c r="J10" s="20">
        <v>2.979306985338099E-3</v>
      </c>
      <c r="K10" s="20">
        <v>0.11027937804779311</v>
      </c>
      <c r="L10" s="20">
        <v>0</v>
      </c>
    </row>
    <row r="11" spans="1:14">
      <c r="A11" s="2" t="s">
        <v>369</v>
      </c>
      <c r="B11" s="3" t="s">
        <v>370</v>
      </c>
      <c r="D11" s="20">
        <v>5.9667685136014798E-12</v>
      </c>
      <c r="E11" s="20">
        <v>0.96841975972457872</v>
      </c>
      <c r="F11" s="20">
        <v>0.55922397194062456</v>
      </c>
      <c r="G11" s="20">
        <v>0.40858286720171094</v>
      </c>
      <c r="H11" s="20">
        <v>0</v>
      </c>
      <c r="I11" s="20">
        <v>6.1292058224318702E-4</v>
      </c>
      <c r="J11" s="20">
        <v>1.3814112452256487E-2</v>
      </c>
      <c r="K11" s="20">
        <v>1.7766127817198173E-2</v>
      </c>
      <c r="L11" s="20">
        <v>0</v>
      </c>
    </row>
    <row r="12" spans="1:14">
      <c r="A12" s="2" t="s">
        <v>371</v>
      </c>
      <c r="B12" s="3" t="s">
        <v>372</v>
      </c>
      <c r="D12" s="20">
        <v>7.4950208918832709E-2</v>
      </c>
      <c r="E12" s="20">
        <v>0.92073877245847535</v>
      </c>
      <c r="F12" s="20">
        <v>2.5880248163357017E-5</v>
      </c>
      <c r="G12" s="20">
        <v>1.2827923206691646E-5</v>
      </c>
      <c r="H12" s="20">
        <v>0</v>
      </c>
      <c r="I12" s="20">
        <v>0.92070006428710527</v>
      </c>
      <c r="J12" s="20">
        <v>1.1469492158543212E-4</v>
      </c>
      <c r="K12" s="20">
        <v>4.1963237011064265E-3</v>
      </c>
      <c r="L12" s="20">
        <v>0</v>
      </c>
    </row>
    <row r="13" spans="1:14">
      <c r="A13" s="2" t="s">
        <v>293</v>
      </c>
      <c r="B13" s="3" t="s">
        <v>294</v>
      </c>
      <c r="D13" s="20">
        <v>1.7518971703419606E-8</v>
      </c>
      <c r="E13" s="20">
        <v>0.70100464887537661</v>
      </c>
      <c r="F13" s="20">
        <v>0.14053445896572778</v>
      </c>
      <c r="G13" s="20">
        <v>3.6047768174945989E-2</v>
      </c>
      <c r="H13" s="20">
        <v>0</v>
      </c>
      <c r="I13" s="20">
        <v>0.52442242173470288</v>
      </c>
      <c r="J13" s="20">
        <v>8.7540265359475759E-4</v>
      </c>
      <c r="K13" s="20">
        <v>0.29811993095205691</v>
      </c>
      <c r="L13" s="20">
        <v>0</v>
      </c>
    </row>
    <row r="14" spans="1:14">
      <c r="A14" s="2" t="s">
        <v>373</v>
      </c>
      <c r="B14" s="3" t="s">
        <v>374</v>
      </c>
      <c r="D14" s="20">
        <v>8.5787009316004241E-8</v>
      </c>
      <c r="E14" s="20">
        <v>0.99895589105260429</v>
      </c>
      <c r="F14" s="20">
        <v>0.98860150608370112</v>
      </c>
      <c r="G14" s="20">
        <v>1.5487699658039667E-3</v>
      </c>
      <c r="H14" s="20">
        <v>0</v>
      </c>
      <c r="I14" s="20">
        <v>8.805615003099258E-3</v>
      </c>
      <c r="J14" s="20">
        <v>2.62216171162291E-4</v>
      </c>
      <c r="K14" s="20">
        <v>7.8180698922385313E-4</v>
      </c>
      <c r="L14" s="20">
        <v>0</v>
      </c>
    </row>
    <row r="15" spans="1:14">
      <c r="A15" s="2" t="s">
        <v>375</v>
      </c>
      <c r="B15" s="3" t="s">
        <v>376</v>
      </c>
      <c r="D15" s="20">
        <v>8.5140956119562586E-2</v>
      </c>
      <c r="E15" s="20">
        <v>0.78739264816762011</v>
      </c>
      <c r="F15" s="20">
        <v>1.9463132437168063E-2</v>
      </c>
      <c r="G15" s="20">
        <v>5.9361968371065233E-3</v>
      </c>
      <c r="H15" s="20">
        <v>0</v>
      </c>
      <c r="I15" s="20">
        <v>0.76199331889334554</v>
      </c>
      <c r="J15" s="20">
        <v>2.2719750936191885E-4</v>
      </c>
      <c r="K15" s="20">
        <v>0.12723919820345519</v>
      </c>
      <c r="L15" s="20">
        <v>0</v>
      </c>
    </row>
    <row r="16" spans="1:14">
      <c r="A16" s="2" t="s">
        <v>377</v>
      </c>
      <c r="B16" s="3" t="s">
        <v>378</v>
      </c>
      <c r="D16" s="20">
        <v>6.6642650589732524E-4</v>
      </c>
      <c r="E16" s="20">
        <v>0.68973511947933808</v>
      </c>
      <c r="F16" s="20">
        <v>0.16011295650718585</v>
      </c>
      <c r="G16" s="20">
        <v>4.0468958932731995E-2</v>
      </c>
      <c r="H16" s="20">
        <v>0</v>
      </c>
      <c r="I16" s="20">
        <v>0.4891532040394202</v>
      </c>
      <c r="J16" s="20">
        <v>9.7092422330664332E-4</v>
      </c>
      <c r="K16" s="20">
        <v>0.30862752979145808</v>
      </c>
      <c r="L16" s="20">
        <v>0</v>
      </c>
    </row>
    <row r="17" spans="1:12">
      <c r="A17" s="2" t="s">
        <v>379</v>
      </c>
      <c r="B17" s="3" t="s">
        <v>380</v>
      </c>
      <c r="D17" s="20">
        <v>2.0039508514404763E-3</v>
      </c>
      <c r="E17" s="20">
        <v>0.69539124474694347</v>
      </c>
      <c r="F17" s="20">
        <v>0.14742165444725608</v>
      </c>
      <c r="G17" s="20">
        <v>3.7605973541708471E-2</v>
      </c>
      <c r="H17" s="20">
        <v>0</v>
      </c>
      <c r="I17" s="20">
        <v>0.51036361675797892</v>
      </c>
      <c r="J17" s="20">
        <v>9.0886377255446353E-4</v>
      </c>
      <c r="K17" s="20">
        <v>0.30169594062906174</v>
      </c>
      <c r="L17" s="20">
        <v>0</v>
      </c>
    </row>
    <row r="18" spans="1:12">
      <c r="A18" s="2" t="s">
        <v>381</v>
      </c>
      <c r="B18" s="3" t="s">
        <v>382</v>
      </c>
      <c r="D18" s="20">
        <v>4.2205594826559344E-8</v>
      </c>
      <c r="E18" s="20">
        <v>0.90256795610367047</v>
      </c>
      <c r="F18" s="20">
        <v>0.24313318555454388</v>
      </c>
      <c r="G18" s="20">
        <v>0.65877907435035754</v>
      </c>
      <c r="H18" s="20">
        <v>0</v>
      </c>
      <c r="I18" s="20">
        <v>6.5569619876906771E-4</v>
      </c>
      <c r="J18" s="20">
        <v>1.5273515947795637E-2</v>
      </c>
      <c r="K18" s="20">
        <v>8.215848574293913E-2</v>
      </c>
      <c r="L18" s="20">
        <v>0</v>
      </c>
    </row>
    <row r="19" spans="1:12">
      <c r="A19" s="2" t="s">
        <v>383</v>
      </c>
      <c r="B19" s="3" t="s">
        <v>384</v>
      </c>
      <c r="D19" s="20">
        <v>1.1770740429876057E-2</v>
      </c>
      <c r="E19" s="20">
        <v>0.91149528423080495</v>
      </c>
      <c r="F19" s="20">
        <v>6.2846051587441857E-3</v>
      </c>
      <c r="G19" s="20">
        <v>2.1094709691950523E-3</v>
      </c>
      <c r="H19" s="20">
        <v>0</v>
      </c>
      <c r="I19" s="20">
        <v>0.90310120810286576</v>
      </c>
      <c r="J19" s="20">
        <v>1.5912027155016011E-4</v>
      </c>
      <c r="K19" s="20">
        <v>7.6574855067768871E-2</v>
      </c>
      <c r="L19" s="20">
        <v>0</v>
      </c>
    </row>
    <row r="20" spans="1:12">
      <c r="A20" s="2" t="s">
        <v>385</v>
      </c>
      <c r="B20" s="3" t="s">
        <v>386</v>
      </c>
      <c r="D20" s="20">
        <v>2.1977714267956295E-2</v>
      </c>
      <c r="E20" s="20">
        <v>0.87661550181181791</v>
      </c>
      <c r="F20" s="20">
        <v>1.1206157903373029E-2</v>
      </c>
      <c r="G20" s="20">
        <v>3.5921320478899416E-3</v>
      </c>
      <c r="H20" s="20">
        <v>0</v>
      </c>
      <c r="I20" s="20">
        <v>0.86181721186055493</v>
      </c>
      <c r="J20" s="20">
        <v>1.8711238936909428E-4</v>
      </c>
      <c r="K20" s="20">
        <v>0.10121967153085674</v>
      </c>
      <c r="L20" s="20">
        <v>0</v>
      </c>
    </row>
    <row r="21" spans="1:12">
      <c r="A21" s="2" t="s">
        <v>387</v>
      </c>
      <c r="B21" s="3" t="s">
        <v>388</v>
      </c>
      <c r="D21" s="20">
        <v>1.8622829381199836E-3</v>
      </c>
      <c r="E21" s="20">
        <v>0.92873121057907648</v>
      </c>
      <c r="F21" s="20">
        <v>0.7907563224171682</v>
      </c>
      <c r="G21" s="20">
        <v>3.1912574018119082E-2</v>
      </c>
      <c r="H21" s="20">
        <v>0</v>
      </c>
      <c r="I21" s="20">
        <v>0.10606231414378915</v>
      </c>
      <c r="J21" s="20">
        <v>8.1434862220155536E-4</v>
      </c>
      <c r="K21" s="20">
        <v>6.8592157860602063E-2</v>
      </c>
      <c r="L21" s="20">
        <v>0</v>
      </c>
    </row>
    <row r="22" spans="1:12">
      <c r="A22" s="2" t="s">
        <v>295</v>
      </c>
      <c r="B22" s="3" t="s">
        <v>296</v>
      </c>
      <c r="D22" s="20">
        <v>6.5545560893510754E-2</v>
      </c>
      <c r="E22" s="20">
        <v>0.90475172787075064</v>
      </c>
      <c r="F22" s="20">
        <v>1.0130187856679409E-3</v>
      </c>
      <c r="G22" s="20">
        <v>3.8896726615327004E-4</v>
      </c>
      <c r="H22" s="20">
        <v>0</v>
      </c>
      <c r="I22" s="20">
        <v>0.90334974181892946</v>
      </c>
      <c r="J22" s="20">
        <v>1.208370923142889E-4</v>
      </c>
      <c r="K22" s="20">
        <v>2.9581874143424319E-2</v>
      </c>
      <c r="L22" s="20">
        <v>0</v>
      </c>
    </row>
    <row r="23" spans="1:12">
      <c r="A23" s="2" t="s">
        <v>389</v>
      </c>
      <c r="B23" s="3" t="s">
        <v>390</v>
      </c>
      <c r="D23" s="20">
        <v>6.8929303424418095E-2</v>
      </c>
      <c r="E23" s="20">
        <v>0.7658365806423737</v>
      </c>
      <c r="F23" s="20">
        <v>3.3626224223800856E-2</v>
      </c>
      <c r="G23" s="20">
        <v>9.812364214731157E-3</v>
      </c>
      <c r="H23" s="20">
        <v>0</v>
      </c>
      <c r="I23" s="20">
        <v>0.72239799220384171</v>
      </c>
      <c r="J23" s="20">
        <v>3.0919273876255153E-4</v>
      </c>
      <c r="K23" s="20">
        <v>0.16492492319444554</v>
      </c>
      <c r="L23" s="20">
        <v>0</v>
      </c>
    </row>
    <row r="24" spans="1:12">
      <c r="A24" s="2" t="s">
        <v>391</v>
      </c>
      <c r="B24" s="3" t="s">
        <v>392</v>
      </c>
      <c r="D24" s="20">
        <v>1.967425693421853E-3</v>
      </c>
      <c r="E24" s="20">
        <v>0.66591487083618539</v>
      </c>
      <c r="F24" s="20">
        <v>0.23151149188084449</v>
      </c>
      <c r="G24" s="20">
        <v>5.5881506926125001E-2</v>
      </c>
      <c r="H24" s="20">
        <v>0</v>
      </c>
      <c r="I24" s="20">
        <v>0.37852187202921594</v>
      </c>
      <c r="J24" s="20">
        <v>1.3060960577870756E-3</v>
      </c>
      <c r="K24" s="20">
        <v>0.33081160741260562</v>
      </c>
      <c r="L24" s="20">
        <v>0</v>
      </c>
    </row>
    <row r="25" spans="1:12">
      <c r="A25" s="2" t="s">
        <v>393</v>
      </c>
      <c r="B25" s="3" t="s">
        <v>394</v>
      </c>
      <c r="D25" s="20">
        <v>1.9415058445001999E-4</v>
      </c>
      <c r="E25" s="20">
        <v>0.89531229304593041</v>
      </c>
      <c r="F25" s="20">
        <v>0.28974297640559188</v>
      </c>
      <c r="G25" s="20">
        <v>0.60465614725547434</v>
      </c>
      <c r="H25" s="20">
        <v>0</v>
      </c>
      <c r="I25" s="20">
        <v>9.1316938486415782E-4</v>
      </c>
      <c r="J25" s="20">
        <v>1.3999281777936051E-2</v>
      </c>
      <c r="K25" s="20">
        <v>9.049427459168341E-2</v>
      </c>
      <c r="L25" s="20">
        <v>0</v>
      </c>
    </row>
    <row r="26" spans="1:12">
      <c r="A26" s="2" t="s">
        <v>395</v>
      </c>
      <c r="B26" s="3" t="s">
        <v>396</v>
      </c>
      <c r="D26" s="20">
        <v>0.13291694360972137</v>
      </c>
      <c r="E26" s="20">
        <v>0.6016470412152668</v>
      </c>
      <c r="F26" s="20">
        <v>0.38287284123537607</v>
      </c>
      <c r="G26" s="20">
        <v>8.2594307547019089E-2</v>
      </c>
      <c r="H26" s="20">
        <v>0</v>
      </c>
      <c r="I26" s="20">
        <v>0.13617989243287165</v>
      </c>
      <c r="J26" s="20">
        <v>1.8861811492390664E-3</v>
      </c>
      <c r="K26" s="20">
        <v>0.2635498340257727</v>
      </c>
      <c r="L26" s="20">
        <v>0</v>
      </c>
    </row>
    <row r="27" spans="1:12">
      <c r="A27" s="2" t="s">
        <v>397</v>
      </c>
      <c r="B27" s="3" t="s">
        <v>398</v>
      </c>
      <c r="D27" s="20">
        <v>0.60353185366794304</v>
      </c>
      <c r="E27" s="20">
        <v>0.31873998873699394</v>
      </c>
      <c r="F27" s="20">
        <v>0.25431642588500514</v>
      </c>
      <c r="G27" s="20">
        <v>4.8313663129230529E-2</v>
      </c>
      <c r="H27" s="20">
        <v>0</v>
      </c>
      <c r="I27" s="20">
        <v>1.6109899722758253E-2</v>
      </c>
      <c r="J27" s="20">
        <v>1.1010209561335468E-3</v>
      </c>
      <c r="K27" s="20">
        <v>7.6627136638929658E-2</v>
      </c>
      <c r="L27" s="20">
        <v>0</v>
      </c>
    </row>
    <row r="28" spans="1:12">
      <c r="A28" s="2" t="s">
        <v>399</v>
      </c>
      <c r="B28" s="3" t="s">
        <v>400</v>
      </c>
      <c r="D28" s="20">
        <v>0.76638213517118514</v>
      </c>
      <c r="E28" s="20">
        <v>0.16631179442793867</v>
      </c>
      <c r="F28" s="20">
        <v>0.11332339775417385</v>
      </c>
      <c r="G28" s="20">
        <v>2.3867951285890948E-2</v>
      </c>
      <c r="H28" s="20">
        <v>0</v>
      </c>
      <c r="I28" s="20">
        <v>2.9120445387873867E-2</v>
      </c>
      <c r="J28" s="20">
        <v>5.443109949500297E-4</v>
      </c>
      <c r="K28" s="20">
        <v>6.6761759405926213E-2</v>
      </c>
      <c r="L28" s="20">
        <v>0</v>
      </c>
    </row>
    <row r="29" spans="1:12">
      <c r="A29" s="2" t="s">
        <v>297</v>
      </c>
      <c r="B29" s="3" t="s">
        <v>298</v>
      </c>
      <c r="D29" s="20">
        <v>0.93160579186912584</v>
      </c>
      <c r="E29" s="20">
        <v>6.0463764980342914E-2</v>
      </c>
      <c r="F29" s="20">
        <v>9.8788500826099668E-4</v>
      </c>
      <c r="G29" s="20">
        <v>3.1088656200524764E-4</v>
      </c>
      <c r="H29" s="20">
        <v>0</v>
      </c>
      <c r="I29" s="20">
        <v>5.9164993410076673E-2</v>
      </c>
      <c r="J29" s="20">
        <v>1.4282836567752683E-5</v>
      </c>
      <c r="K29" s="20">
        <v>7.9161603139633555E-3</v>
      </c>
      <c r="L29" s="20">
        <v>0</v>
      </c>
    </row>
    <row r="30" spans="1:12">
      <c r="A30" s="2" t="s">
        <v>401</v>
      </c>
      <c r="B30" s="3" t="s">
        <v>402</v>
      </c>
      <c r="D30" s="20">
        <v>0.90898110970983759</v>
      </c>
      <c r="E30" s="20">
        <v>6.4395739842666763E-2</v>
      </c>
      <c r="F30" s="20">
        <v>4.3254278557572301E-2</v>
      </c>
      <c r="G30" s="20">
        <v>9.160614937508204E-3</v>
      </c>
      <c r="H30" s="20">
        <v>0</v>
      </c>
      <c r="I30" s="20">
        <v>1.1980846347586255E-2</v>
      </c>
      <c r="J30" s="20">
        <v>2.0896280399346337E-4</v>
      </c>
      <c r="K30" s="20">
        <v>2.6414187643502382E-2</v>
      </c>
      <c r="L30" s="20">
        <v>0</v>
      </c>
    </row>
    <row r="31" spans="1:12">
      <c r="A31" s="2" t="s">
        <v>299</v>
      </c>
      <c r="B31" s="3" t="s">
        <v>300</v>
      </c>
      <c r="D31" s="20">
        <v>0.99803870971913922</v>
      </c>
      <c r="E31" s="20">
        <v>1.3154928845579938E-3</v>
      </c>
      <c r="F31" s="20">
        <v>7.0830710948264802E-4</v>
      </c>
      <c r="G31" s="20">
        <v>1.5941058528836383E-4</v>
      </c>
      <c r="H31" s="20">
        <v>0</v>
      </c>
      <c r="I31" s="20">
        <v>4.4777518978698189E-4</v>
      </c>
      <c r="J31" s="20">
        <v>3.6573028906525269E-6</v>
      </c>
      <c r="K31" s="20">
        <v>6.4214009341186345E-4</v>
      </c>
      <c r="L31" s="20">
        <v>0</v>
      </c>
    </row>
    <row r="32" spans="1:12">
      <c r="A32" s="2" t="s">
        <v>343</v>
      </c>
      <c r="B32" s="3" t="s">
        <v>344</v>
      </c>
      <c r="D32" s="20">
        <v>1.9625344489061429E-3</v>
      </c>
      <c r="E32" s="20">
        <v>0.71327575658088882</v>
      </c>
      <c r="F32" s="20">
        <v>0.12019641199745604</v>
      </c>
      <c r="G32" s="20">
        <v>3.1346355817876467E-2</v>
      </c>
      <c r="H32" s="20">
        <v>0</v>
      </c>
      <c r="I32" s="20">
        <v>0.56173298876555633</v>
      </c>
      <c r="J32" s="20">
        <v>7.7390488020752336E-4</v>
      </c>
      <c r="K32" s="20">
        <v>0.28398780408999758</v>
      </c>
      <c r="L32" s="20">
        <v>0</v>
      </c>
    </row>
    <row r="33" spans="1:12">
      <c r="A33" s="2" t="s">
        <v>345</v>
      </c>
      <c r="B33" s="3" t="s">
        <v>346</v>
      </c>
      <c r="D33" s="20">
        <v>8.3617208267901591E-5</v>
      </c>
      <c r="E33" s="20">
        <v>0.78350612856237378</v>
      </c>
      <c r="F33" s="20">
        <v>5.7302012958261636E-2</v>
      </c>
      <c r="G33" s="20">
        <v>1.6057037953696621E-2</v>
      </c>
      <c r="H33" s="20">
        <v>0</v>
      </c>
      <c r="I33" s="20">
        <v>0.71014707765041551</v>
      </c>
      <c r="J33" s="20">
        <v>4.4789436030113366E-4</v>
      </c>
      <c r="K33" s="20">
        <v>0.21596235986905729</v>
      </c>
      <c r="L33" s="20">
        <v>0</v>
      </c>
    </row>
    <row r="34" spans="1:12">
      <c r="A34" s="2" t="s">
        <v>347</v>
      </c>
      <c r="B34" s="3" t="s">
        <v>348</v>
      </c>
      <c r="D34" s="20">
        <v>7.2352168179440238E-5</v>
      </c>
      <c r="E34" s="20">
        <v>0.68656183009078964</v>
      </c>
      <c r="F34" s="20">
        <v>0.42084848203946396</v>
      </c>
      <c r="G34" s="20">
        <v>9.1795484928008347E-2</v>
      </c>
      <c r="H34" s="20">
        <v>0</v>
      </c>
      <c r="I34" s="20">
        <v>0.17391786312331739</v>
      </c>
      <c r="J34" s="20">
        <v>2.0981934630856023E-3</v>
      </c>
      <c r="K34" s="20">
        <v>0.31126762427794535</v>
      </c>
      <c r="L34" s="20">
        <v>0</v>
      </c>
    </row>
    <row r="35" spans="1:12">
      <c r="A35" s="2" t="s">
        <v>349</v>
      </c>
      <c r="B35" s="3" t="s">
        <v>350</v>
      </c>
      <c r="D35" s="20">
        <v>1.3242707216194239E-2</v>
      </c>
      <c r="E35" s="20">
        <v>0.83814816002627024</v>
      </c>
      <c r="F35" s="20">
        <v>0.69286877891836285</v>
      </c>
      <c r="G35" s="20">
        <v>0.12455080750981348</v>
      </c>
      <c r="H35" s="20">
        <v>0</v>
      </c>
      <c r="I35" s="20">
        <v>2.0728573598093939E-2</v>
      </c>
      <c r="J35" s="20">
        <v>2.8421453852132965E-3</v>
      </c>
      <c r="K35" s="20">
        <v>0.14576698737232222</v>
      </c>
      <c r="L35" s="20">
        <v>0</v>
      </c>
    </row>
    <row r="36" spans="1:12">
      <c r="A36" s="2" t="s">
        <v>351</v>
      </c>
      <c r="B36" s="3" t="s">
        <v>352</v>
      </c>
      <c r="D36" s="20">
        <v>3.5969922121194975E-4</v>
      </c>
      <c r="E36" s="20">
        <v>0.8752855879006779</v>
      </c>
      <c r="F36" s="20">
        <v>0.59568095126448373</v>
      </c>
      <c r="G36" s="20">
        <v>0.27498516677392193</v>
      </c>
      <c r="H36" s="20">
        <v>0</v>
      </c>
      <c r="I36" s="20">
        <v>4.619469862272252E-3</v>
      </c>
      <c r="J36" s="20">
        <v>6.3166976570941669E-3</v>
      </c>
      <c r="K36" s="20">
        <v>0.11803801522101612</v>
      </c>
      <c r="L36" s="20">
        <v>0</v>
      </c>
    </row>
    <row r="37" spans="1:12">
      <c r="A37" s="2" t="s">
        <v>353</v>
      </c>
      <c r="B37" s="3" t="s">
        <v>354</v>
      </c>
      <c r="D37" s="20">
        <v>2.4806826346217004E-3</v>
      </c>
      <c r="E37" s="20">
        <v>0.89832158668392492</v>
      </c>
      <c r="F37" s="20">
        <v>0.25500307729084964</v>
      </c>
      <c r="G37" s="20">
        <v>0.64260037810788584</v>
      </c>
      <c r="H37" s="20">
        <v>0</v>
      </c>
      <c r="I37" s="20">
        <v>7.181312851894723E-4</v>
      </c>
      <c r="J37" s="20">
        <v>1.4892677379945018E-2</v>
      </c>
      <c r="K37" s="20">
        <v>8.4305053301508365E-2</v>
      </c>
      <c r="L37" s="20">
        <v>0</v>
      </c>
    </row>
    <row r="38" spans="1:12">
      <c r="A38" s="2" t="s">
        <v>355</v>
      </c>
      <c r="B38" s="3" t="s">
        <v>356</v>
      </c>
      <c r="D38" s="20">
        <v>1.3513300813823613E-4</v>
      </c>
      <c r="E38" s="20">
        <v>0.87787237509215865</v>
      </c>
      <c r="F38" s="20">
        <v>0.47340807273109931</v>
      </c>
      <c r="G38" s="20">
        <v>0.40191222353047085</v>
      </c>
      <c r="H38" s="20">
        <v>0</v>
      </c>
      <c r="I38" s="20">
        <v>2.5520788305885321E-3</v>
      </c>
      <c r="J38" s="20">
        <v>9.2613657920257927E-3</v>
      </c>
      <c r="K38" s="20">
        <v>0.11273112610767726</v>
      </c>
      <c r="L38" s="20">
        <v>0</v>
      </c>
    </row>
    <row r="39" spans="1:12">
      <c r="A39" s="2" t="s">
        <v>357</v>
      </c>
      <c r="B39" s="3" t="s">
        <v>358</v>
      </c>
      <c r="D39" s="20">
        <v>2.7204938702131271E-2</v>
      </c>
      <c r="E39" s="20">
        <v>0.85161391677520315</v>
      </c>
      <c r="F39" s="20">
        <v>0.54716960757923094</v>
      </c>
      <c r="G39" s="20">
        <v>0.30061975876231278</v>
      </c>
      <c r="H39" s="20">
        <v>0</v>
      </c>
      <c r="I39" s="20">
        <v>3.8245504336594017E-3</v>
      </c>
      <c r="J39" s="20">
        <v>6.9116904539108194E-3</v>
      </c>
      <c r="K39" s="20">
        <v>0.11426945406875483</v>
      </c>
      <c r="L39" s="20">
        <v>0</v>
      </c>
    </row>
    <row r="40" spans="1:12">
      <c r="A40" s="2" t="s">
        <v>359</v>
      </c>
      <c r="B40" s="3" t="s">
        <v>360</v>
      </c>
      <c r="D40" s="20">
        <v>1.3513300813823613E-4</v>
      </c>
      <c r="E40" s="20">
        <v>0.87787237509215865</v>
      </c>
      <c r="F40" s="20">
        <v>0.47340807273109931</v>
      </c>
      <c r="G40" s="20">
        <v>0.40191222353047085</v>
      </c>
      <c r="H40" s="20">
        <v>0</v>
      </c>
      <c r="I40" s="20">
        <v>2.5520788305885321E-3</v>
      </c>
      <c r="J40" s="20">
        <v>9.2613657920257927E-3</v>
      </c>
      <c r="K40" s="20">
        <v>0.11273112610767726</v>
      </c>
      <c r="L40" s="20">
        <v>0</v>
      </c>
    </row>
    <row r="41" spans="1:12">
      <c r="A41" s="2" t="s">
        <v>313</v>
      </c>
      <c r="B41" s="3" t="s">
        <v>314</v>
      </c>
      <c r="D41" s="20">
        <v>5.6115619081206748E-8</v>
      </c>
      <c r="E41" s="20">
        <v>0.99969319152428693</v>
      </c>
      <c r="F41" s="20">
        <v>4.5538170806862135E-2</v>
      </c>
      <c r="G41" s="20">
        <v>1.0836677066885424E-5</v>
      </c>
      <c r="H41" s="20">
        <v>0</v>
      </c>
      <c r="I41" s="20">
        <v>0.95414418404035795</v>
      </c>
      <c r="J41" s="20">
        <v>1.2644694828302009E-4</v>
      </c>
      <c r="K41" s="20">
        <v>1.8030541181078411E-4</v>
      </c>
      <c r="L41" s="20">
        <v>0</v>
      </c>
    </row>
    <row r="42" spans="1:12">
      <c r="A42" s="2" t="s">
        <v>315</v>
      </c>
      <c r="B42" s="3" t="s">
        <v>316</v>
      </c>
      <c r="D42" s="20">
        <v>3.5794205928367088E-3</v>
      </c>
      <c r="E42" s="20">
        <v>0.89933732373222508</v>
      </c>
      <c r="F42" s="20">
        <v>0.24226291984821857</v>
      </c>
      <c r="G42" s="20">
        <v>0.656421054670139</v>
      </c>
      <c r="H42" s="20">
        <v>0</v>
      </c>
      <c r="I42" s="20">
        <v>6.5334921386754109E-4</v>
      </c>
      <c r="J42" s="20">
        <v>1.5218846252607537E-2</v>
      </c>
      <c r="K42" s="20">
        <v>8.1864409422330656E-2</v>
      </c>
      <c r="L42" s="20">
        <v>0</v>
      </c>
    </row>
    <row r="43" spans="1:12">
      <c r="A43" s="2" t="s">
        <v>317</v>
      </c>
      <c r="B43" s="3" t="s">
        <v>318</v>
      </c>
      <c r="D43" s="20">
        <v>4.4105717191360613E-12</v>
      </c>
      <c r="E43" s="20">
        <v>0.66458082067257673</v>
      </c>
      <c r="F43" s="20">
        <v>0.25117077365906187</v>
      </c>
      <c r="G43" s="20">
        <v>5.9960418954256342E-2</v>
      </c>
      <c r="H43" s="20">
        <v>0</v>
      </c>
      <c r="I43" s="20">
        <v>0.35344962805925856</v>
      </c>
      <c r="J43" s="20">
        <v>1.3954740850726022E-3</v>
      </c>
      <c r="K43" s="20">
        <v>0.33402370523793984</v>
      </c>
      <c r="L43" s="20">
        <v>0</v>
      </c>
    </row>
    <row r="44" spans="1:12">
      <c r="A44" s="2" t="s">
        <v>307</v>
      </c>
      <c r="B44" s="3" t="s">
        <v>308</v>
      </c>
      <c r="D44" s="20">
        <v>1.2000598143990997E-4</v>
      </c>
      <c r="E44" s="20">
        <v>0.87894935870867752</v>
      </c>
      <c r="F44" s="20">
        <v>0.67589169166438812</v>
      </c>
      <c r="G44" s="20">
        <v>0.19614293215982906</v>
      </c>
      <c r="H44" s="20">
        <v>0</v>
      </c>
      <c r="I44" s="20">
        <v>6.9147348844603301E-3</v>
      </c>
      <c r="J44" s="20">
        <v>4.4951671067765082E-3</v>
      </c>
      <c r="K44" s="20">
        <v>0.11643546820310596</v>
      </c>
      <c r="L44" s="20">
        <v>0</v>
      </c>
    </row>
    <row r="45" spans="1:12">
      <c r="A45" s="2" t="s">
        <v>319</v>
      </c>
      <c r="B45" s="3" t="s">
        <v>320</v>
      </c>
      <c r="D45" s="20">
        <v>1.1735295330746287E-5</v>
      </c>
      <c r="E45" s="20">
        <v>0.91936802208340629</v>
      </c>
      <c r="F45" s="20">
        <v>0.1554777468952438</v>
      </c>
      <c r="G45" s="20">
        <v>0.76359626209973597</v>
      </c>
      <c r="H45" s="20">
        <v>0</v>
      </c>
      <c r="I45" s="20">
        <v>2.9401308842648963E-4</v>
      </c>
      <c r="J45" s="20">
        <v>1.7759946239637978E-2</v>
      </c>
      <c r="K45" s="20">
        <v>6.2860296381625158E-2</v>
      </c>
      <c r="L45" s="20">
        <v>0</v>
      </c>
    </row>
    <row r="46" spans="1:12">
      <c r="A46" s="2" t="s">
        <v>321</v>
      </c>
      <c r="B46" s="3" t="s">
        <v>322</v>
      </c>
      <c r="D46" s="20">
        <v>1.7236250474360815E-5</v>
      </c>
      <c r="E46" s="20">
        <v>0.90499807288764433</v>
      </c>
      <c r="F46" s="20">
        <v>0.22862146925258894</v>
      </c>
      <c r="G46" s="20">
        <v>0.67579125388516759</v>
      </c>
      <c r="H46" s="20">
        <v>0</v>
      </c>
      <c r="I46" s="20">
        <v>5.8534974988784939E-4</v>
      </c>
      <c r="J46" s="20">
        <v>1.5675193517333715E-2</v>
      </c>
      <c r="K46" s="20">
        <v>7.930949734454748E-2</v>
      </c>
      <c r="L46" s="20">
        <v>0</v>
      </c>
    </row>
    <row r="47" spans="1:12">
      <c r="A47" s="2" t="s">
        <v>323</v>
      </c>
      <c r="B47" s="3" t="s">
        <v>324</v>
      </c>
      <c r="D47" s="20">
        <v>1.6201621765225263E-4</v>
      </c>
      <c r="E47" s="20">
        <v>0.88824691634096697</v>
      </c>
      <c r="F47" s="20">
        <v>0.34628422208257753</v>
      </c>
      <c r="G47" s="20">
        <v>0.54066500374525994</v>
      </c>
      <c r="H47" s="20">
        <v>0</v>
      </c>
      <c r="I47" s="20">
        <v>1.2976905131294959E-3</v>
      </c>
      <c r="J47" s="20">
        <v>1.2498543573206252E-2</v>
      </c>
      <c r="K47" s="20">
        <v>9.9092523868174395E-2</v>
      </c>
      <c r="L47" s="20">
        <v>0</v>
      </c>
    </row>
    <row r="48" spans="1:12">
      <c r="A48" s="2" t="s">
        <v>325</v>
      </c>
      <c r="B48" s="3" t="s">
        <v>326</v>
      </c>
      <c r="D48" s="20">
        <v>1.0137496528197692E-4</v>
      </c>
      <c r="E48" s="20">
        <v>0.77396537600983262</v>
      </c>
      <c r="F48" s="20">
        <v>0.5973170800086598</v>
      </c>
      <c r="G48" s="20">
        <v>0.1173006689235518</v>
      </c>
      <c r="H48" s="20">
        <v>0</v>
      </c>
      <c r="I48" s="20">
        <v>5.9347627077620965E-2</v>
      </c>
      <c r="J48" s="20">
        <v>2.6721186248006615E-3</v>
      </c>
      <c r="K48" s="20">
        <v>0.22326113040008475</v>
      </c>
      <c r="L48" s="20">
        <v>0</v>
      </c>
    </row>
    <row r="49" spans="1:12">
      <c r="A49" s="2" t="s">
        <v>275</v>
      </c>
      <c r="B49" s="3" t="s">
        <v>276</v>
      </c>
      <c r="D49" s="20">
        <v>1.5418064869538756E-6</v>
      </c>
      <c r="E49" s="20">
        <v>0.87810476732136522</v>
      </c>
      <c r="F49" s="20">
        <v>0.66207026537893587</v>
      </c>
      <c r="G49" s="20">
        <v>0.20960403501216118</v>
      </c>
      <c r="H49" s="20">
        <v>0</v>
      </c>
      <c r="I49" s="20">
        <v>6.4304669302681682E-3</v>
      </c>
      <c r="J49" s="20">
        <v>4.8057227973632944E-3</v>
      </c>
      <c r="K49" s="20">
        <v>0.11708796807478455</v>
      </c>
      <c r="L49" s="20">
        <v>0</v>
      </c>
    </row>
    <row r="50" spans="1:12">
      <c r="A50" s="2" t="s">
        <v>327</v>
      </c>
      <c r="B50" s="3" t="s">
        <v>328</v>
      </c>
      <c r="D50" s="20">
        <v>8.03014608723473E-5</v>
      </c>
      <c r="E50" s="20">
        <v>0.87674819666853387</v>
      </c>
      <c r="F50" s="20">
        <v>0.63767246019707979</v>
      </c>
      <c r="G50" s="20">
        <v>0.23339589666945076</v>
      </c>
      <c r="H50" s="20">
        <v>0</v>
      </c>
      <c r="I50" s="20">
        <v>5.6798398020033074E-3</v>
      </c>
      <c r="J50" s="20">
        <v>5.3550750924411883E-3</v>
      </c>
      <c r="K50" s="20">
        <v>0.11781642677815254</v>
      </c>
      <c r="L50" s="20">
        <v>0</v>
      </c>
    </row>
    <row r="51" spans="1:12">
      <c r="A51" s="2" t="s">
        <v>329</v>
      </c>
      <c r="B51" s="3" t="s">
        <v>330</v>
      </c>
      <c r="D51" s="20">
        <v>5.3042973667137914E-5</v>
      </c>
      <c r="E51" s="20">
        <v>0.80874317190929013</v>
      </c>
      <c r="F51" s="20">
        <v>0.64818962914140155</v>
      </c>
      <c r="G51" s="20">
        <v>0.12246095263481908</v>
      </c>
      <c r="H51" s="20">
        <v>0</v>
      </c>
      <c r="I51" s="20">
        <v>3.8092590133069516E-2</v>
      </c>
      <c r="J51" s="20">
        <v>2.7910456720886402E-3</v>
      </c>
      <c r="K51" s="20">
        <v>0.18841273944495415</v>
      </c>
      <c r="L51" s="20">
        <v>0</v>
      </c>
    </row>
    <row r="52" spans="1:12">
      <c r="A52" s="2" t="s">
        <v>277</v>
      </c>
      <c r="B52" s="3" t="s">
        <v>278</v>
      </c>
      <c r="D52" s="20">
        <v>1.5778512706335972E-4</v>
      </c>
      <c r="E52" s="20">
        <v>0.77729572944604997</v>
      </c>
      <c r="F52" s="20">
        <v>0.60247673189557438</v>
      </c>
      <c r="G52" s="20">
        <v>0.11787883475806089</v>
      </c>
      <c r="H52" s="20">
        <v>0</v>
      </c>
      <c r="I52" s="20">
        <v>5.6940162792414664E-2</v>
      </c>
      <c r="J52" s="20">
        <v>2.6853508847271509E-3</v>
      </c>
      <c r="K52" s="20">
        <v>0.21986113454215975</v>
      </c>
      <c r="L52" s="20">
        <v>0</v>
      </c>
    </row>
    <row r="53" spans="1:12">
      <c r="A53" s="2" t="s">
        <v>331</v>
      </c>
      <c r="B53" s="3" t="s">
        <v>332</v>
      </c>
      <c r="D53" s="20">
        <v>5.3557111945733102E-5</v>
      </c>
      <c r="E53" s="20">
        <v>0.8754451380850875</v>
      </c>
      <c r="F53" s="20">
        <v>0.55384898562485807</v>
      </c>
      <c r="G53" s="20">
        <v>0.31782416890811666</v>
      </c>
      <c r="H53" s="20">
        <v>0</v>
      </c>
      <c r="I53" s="20">
        <v>3.7719835521127917E-3</v>
      </c>
      <c r="J53" s="20">
        <v>7.3088772158555592E-3</v>
      </c>
      <c r="K53" s="20">
        <v>0.11719242758711119</v>
      </c>
      <c r="L53" s="20">
        <v>0</v>
      </c>
    </row>
    <row r="54" spans="1:12">
      <c r="A54" s="2" t="s">
        <v>333</v>
      </c>
      <c r="B54" s="3" t="s">
        <v>334</v>
      </c>
      <c r="D54" s="20">
        <v>8.7416122163560989E-8</v>
      </c>
      <c r="E54" s="20">
        <v>0.8774146799716781</v>
      </c>
      <c r="F54" s="20">
        <v>0.65007842365652979</v>
      </c>
      <c r="G54" s="20">
        <v>0.22128975463958755</v>
      </c>
      <c r="H54" s="20">
        <v>0</v>
      </c>
      <c r="I54" s="20">
        <v>6.0465016755607377E-3</v>
      </c>
      <c r="J54" s="20">
        <v>5.0754730085979752E-3</v>
      </c>
      <c r="K54" s="20">
        <v>0.1175097596036018</v>
      </c>
      <c r="L54" s="20">
        <v>0</v>
      </c>
    </row>
    <row r="55" spans="1:12">
      <c r="A55" s="2" t="s">
        <v>335</v>
      </c>
      <c r="B55" s="3" t="s">
        <v>336</v>
      </c>
      <c r="D55" s="20">
        <v>4.208659404835467E-4</v>
      </c>
      <c r="E55" s="20">
        <v>0.88736938035045065</v>
      </c>
      <c r="F55" s="20">
        <v>0.35206106290036682</v>
      </c>
      <c r="G55" s="20">
        <v>0.533965934518429</v>
      </c>
      <c r="H55" s="20">
        <v>0</v>
      </c>
      <c r="I55" s="20">
        <v>1.3423829316548937E-3</v>
      </c>
      <c r="J55" s="20">
        <v>1.2341792999109208E-2</v>
      </c>
      <c r="K55" s="20">
        <v>9.9867960709956738E-2</v>
      </c>
      <c r="L55" s="20">
        <v>0</v>
      </c>
    </row>
    <row r="56" spans="1:12">
      <c r="A56" s="2" t="s">
        <v>337</v>
      </c>
      <c r="B56" s="3" t="s">
        <v>338</v>
      </c>
      <c r="D56" s="20">
        <v>3.0824291512353802E-5</v>
      </c>
      <c r="E56" s="20">
        <v>0.87869754818361268</v>
      </c>
      <c r="F56" s="20">
        <v>0.67137832794589791</v>
      </c>
      <c r="G56" s="20">
        <v>0.20056856787437308</v>
      </c>
      <c r="H56" s="20">
        <v>0</v>
      </c>
      <c r="I56" s="20">
        <v>6.7506523633416408E-3</v>
      </c>
      <c r="J56" s="20">
        <v>4.5972469043836757E-3</v>
      </c>
      <c r="K56" s="20">
        <v>0.11667438062049133</v>
      </c>
      <c r="L56" s="20">
        <v>0</v>
      </c>
    </row>
    <row r="57" spans="1:12">
      <c r="A57" s="2" t="s">
        <v>279</v>
      </c>
      <c r="B57" s="3" t="s">
        <v>280</v>
      </c>
      <c r="D57" s="20">
        <v>3.0466228521003687E-3</v>
      </c>
      <c r="E57" s="20">
        <v>0.75650594426221129</v>
      </c>
      <c r="F57" s="20">
        <v>0.57133773692086698</v>
      </c>
      <c r="G57" s="20">
        <v>0.11407447154940081</v>
      </c>
      <c r="H57" s="20">
        <v>0</v>
      </c>
      <c r="I57" s="20">
        <v>7.1093735791943558E-2</v>
      </c>
      <c r="J57" s="20">
        <v>2.5985608780539379E-3</v>
      </c>
      <c r="K57" s="20">
        <v>0.23784887200763435</v>
      </c>
      <c r="L57" s="20">
        <v>0</v>
      </c>
    </row>
    <row r="58" spans="1:12">
      <c r="A58" s="2" t="s">
        <v>339</v>
      </c>
      <c r="B58" s="3" t="s">
        <v>340</v>
      </c>
      <c r="D58" s="20">
        <v>3.0637741312673075E-7</v>
      </c>
      <c r="E58" s="20">
        <v>0.87728749497735325</v>
      </c>
      <c r="F58" s="20">
        <v>0.64763596722677674</v>
      </c>
      <c r="G58" s="20">
        <v>0.22367967094629837</v>
      </c>
      <c r="H58" s="20">
        <v>0</v>
      </c>
      <c r="I58" s="20">
        <v>5.9718568042781851E-3</v>
      </c>
      <c r="J58" s="20">
        <v>5.1306581693730448E-3</v>
      </c>
      <c r="K58" s="20">
        <v>0.11758154047586046</v>
      </c>
      <c r="L58" s="20">
        <v>0</v>
      </c>
    </row>
    <row r="59" spans="1:12">
      <c r="A59" s="2" t="s">
        <v>281</v>
      </c>
      <c r="B59" s="3" t="s">
        <v>282</v>
      </c>
      <c r="D59" s="20">
        <v>2.3884943664996249E-5</v>
      </c>
      <c r="E59" s="20">
        <v>0.77739982591165158</v>
      </c>
      <c r="F59" s="20">
        <v>0.60255741637127869</v>
      </c>
      <c r="G59" s="20">
        <v>0.11789462124652687</v>
      </c>
      <c r="H59" s="20">
        <v>0</v>
      </c>
      <c r="I59" s="20">
        <v>5.6947788293846016E-2</v>
      </c>
      <c r="J59" s="20">
        <v>2.6857105104466945E-3</v>
      </c>
      <c r="K59" s="20">
        <v>0.21989057863423689</v>
      </c>
      <c r="L59" s="20">
        <v>0</v>
      </c>
    </row>
    <row r="60" spans="1:12">
      <c r="A60" s="2" t="s">
        <v>341</v>
      </c>
      <c r="B60" s="3" t="s">
        <v>342</v>
      </c>
      <c r="D60" s="20">
        <v>4.482257247297053E-4</v>
      </c>
      <c r="E60" s="20">
        <v>0.87504003416844423</v>
      </c>
      <c r="F60" s="20">
        <v>0.57912323950544475</v>
      </c>
      <c r="G60" s="20">
        <v>0.29165306737856284</v>
      </c>
      <c r="H60" s="20">
        <v>0</v>
      </c>
      <c r="I60" s="20">
        <v>4.2637272844366228E-3</v>
      </c>
      <c r="J60" s="20">
        <v>6.7025476888772795E-3</v>
      </c>
      <c r="K60" s="20">
        <v>0.11780919241794896</v>
      </c>
      <c r="L60" s="20">
        <v>0</v>
      </c>
    </row>
    <row r="61" spans="1:12">
      <c r="A61" s="2" t="s">
        <v>483</v>
      </c>
      <c r="B61" s="3" t="s">
        <v>484</v>
      </c>
      <c r="D61" s="20">
        <v>7.6447573281439463E-14</v>
      </c>
      <c r="E61" s="20">
        <v>0.79906298681495047</v>
      </c>
      <c r="F61" s="20">
        <v>0.44705474881575491</v>
      </c>
      <c r="G61" s="20">
        <v>7.4486627200855554E-2</v>
      </c>
      <c r="H61" s="20">
        <v>0</v>
      </c>
      <c r="I61" s="20">
        <v>0.27752161079833998</v>
      </c>
      <c r="J61" s="20">
        <v>4.8761365425556364E-3</v>
      </c>
      <c r="K61" s="20">
        <v>0.19606087664241734</v>
      </c>
      <c r="L61" s="20">
        <v>0</v>
      </c>
    </row>
    <row r="62" spans="1:12">
      <c r="A62" s="2" t="s">
        <v>485</v>
      </c>
      <c r="B62" s="3" t="s">
        <v>486</v>
      </c>
      <c r="D62" s="20">
        <v>2.0514039613381006E-7</v>
      </c>
      <c r="E62" s="20">
        <v>0.68221161579017564</v>
      </c>
      <c r="F62" s="20">
        <v>0.40693533740940657</v>
      </c>
      <c r="G62" s="20">
        <v>8.941717813132817E-2</v>
      </c>
      <c r="H62" s="20">
        <v>0</v>
      </c>
      <c r="I62" s="20">
        <v>0.18585910024944091</v>
      </c>
      <c r="J62" s="20">
        <v>2.0452811596210667E-3</v>
      </c>
      <c r="K62" s="20">
        <v>0.31574289790980731</v>
      </c>
      <c r="L62" s="20">
        <v>0</v>
      </c>
    </row>
    <row r="63" spans="1:12">
      <c r="A63" s="2" t="s">
        <v>487</v>
      </c>
      <c r="B63" s="3" t="s">
        <v>488</v>
      </c>
      <c r="D63" s="20">
        <v>7.158661850441174E-13</v>
      </c>
      <c r="E63" s="20">
        <v>0.95917827452240623</v>
      </c>
      <c r="F63" s="20">
        <v>3.1928319371271163E-2</v>
      </c>
      <c r="G63" s="20">
        <v>4.2128191069638879E-3</v>
      </c>
      <c r="H63" s="20">
        <v>0</v>
      </c>
      <c r="I63" s="20">
        <v>0.92303713604417115</v>
      </c>
      <c r="J63" s="20">
        <v>7.9358253162959368E-4</v>
      </c>
      <c r="K63" s="20">
        <v>4.0028142945248396E-2</v>
      </c>
      <c r="L63" s="20">
        <v>0</v>
      </c>
    </row>
    <row r="64" spans="1:12">
      <c r="A64" s="2" t="s">
        <v>489</v>
      </c>
      <c r="B64" s="3" t="s">
        <v>490</v>
      </c>
      <c r="D64" s="20">
        <v>1.3186912927327288E-14</v>
      </c>
      <c r="E64" s="20">
        <v>0.99553061705601686</v>
      </c>
      <c r="F64" s="20">
        <v>1.2161065923644602E-2</v>
      </c>
      <c r="G64" s="20">
        <v>1.5099028455382206E-4</v>
      </c>
      <c r="H64" s="20">
        <v>0</v>
      </c>
      <c r="I64" s="20">
        <v>0.98321856084781845</v>
      </c>
      <c r="J64" s="20">
        <v>1.2766472335307017E-4</v>
      </c>
      <c r="K64" s="20">
        <v>4.341718220616954E-3</v>
      </c>
      <c r="L64" s="20">
        <v>0</v>
      </c>
    </row>
    <row r="65" spans="1:12">
      <c r="A65" s="2" t="s">
        <v>491</v>
      </c>
      <c r="B65" s="3" t="s">
        <v>492</v>
      </c>
      <c r="D65" s="20">
        <v>2.1992518891826076E-12</v>
      </c>
      <c r="E65" s="20">
        <v>0.99788178149692452</v>
      </c>
      <c r="F65" s="20">
        <v>1.5943410301144485E-3</v>
      </c>
      <c r="G65" s="20">
        <v>7.0912817849876026E-5</v>
      </c>
      <c r="H65" s="20">
        <v>0</v>
      </c>
      <c r="I65" s="20">
        <v>0.99621652764896018</v>
      </c>
      <c r="J65" s="20">
        <v>1.808270733905206E-4</v>
      </c>
      <c r="K65" s="20">
        <v>1.937391427485708E-3</v>
      </c>
      <c r="L65" s="20">
        <v>0</v>
      </c>
    </row>
    <row r="66" spans="1:12">
      <c r="A66" s="2" t="s">
        <v>493</v>
      </c>
      <c r="B66" s="3" t="s">
        <v>494</v>
      </c>
      <c r="D66" s="20">
        <v>2.8765345241893738E-11</v>
      </c>
      <c r="E66" s="20">
        <v>0.97733397556964208</v>
      </c>
      <c r="F66" s="20">
        <v>0.20090962716194741</v>
      </c>
      <c r="G66" s="20">
        <v>5.0351636066789489E-3</v>
      </c>
      <c r="H66" s="20">
        <v>0</v>
      </c>
      <c r="I66" s="20">
        <v>0.7713891848010157</v>
      </c>
      <c r="J66" s="20">
        <v>5.3660198605958798E-3</v>
      </c>
      <c r="K66" s="20">
        <v>1.7300004540996599E-2</v>
      </c>
      <c r="L66" s="20">
        <v>0</v>
      </c>
    </row>
    <row r="67" spans="1:12">
      <c r="A67" s="2" t="s">
        <v>495</v>
      </c>
      <c r="B67" s="3" t="s">
        <v>496</v>
      </c>
      <c r="D67" s="20">
        <v>1.7180980629802723E-12</v>
      </c>
      <c r="E67" s="20">
        <v>0.99765013397911473</v>
      </c>
      <c r="F67" s="20">
        <v>1.3444105527606947E-3</v>
      </c>
      <c r="G67" s="20">
        <v>7.3493147400901769E-5</v>
      </c>
      <c r="H67" s="20">
        <v>0</v>
      </c>
      <c r="I67" s="20">
        <v>0.99623223027895313</v>
      </c>
      <c r="J67" s="20">
        <v>1.7135642291203263E-4</v>
      </c>
      <c r="K67" s="20">
        <v>2.1785095962551151E-3</v>
      </c>
      <c r="L67" s="20">
        <v>0</v>
      </c>
    </row>
    <row r="68" spans="1:12">
      <c r="A68" s="2" t="s">
        <v>497</v>
      </c>
      <c r="B68" s="3" t="s">
        <v>498</v>
      </c>
      <c r="D68" s="20">
        <v>1.5551658552633795E-11</v>
      </c>
      <c r="E68" s="20">
        <v>0.99898858409038671</v>
      </c>
      <c r="F68" s="20">
        <v>1.6003453822866374E-4</v>
      </c>
      <c r="G68" s="20">
        <v>1.2347521667447492E-5</v>
      </c>
      <c r="H68" s="20">
        <v>0</v>
      </c>
      <c r="I68" s="20">
        <v>0.9988162020304906</v>
      </c>
      <c r="J68" s="20">
        <v>1.3042295535941429E-4</v>
      </c>
      <c r="K68" s="20">
        <v>8.8099293870209298E-4</v>
      </c>
      <c r="L68" s="20">
        <v>0</v>
      </c>
    </row>
    <row r="69" spans="1:12">
      <c r="A69" s="2" t="s">
        <v>499</v>
      </c>
      <c r="B69" s="3" t="s">
        <v>500</v>
      </c>
      <c r="D69" s="20">
        <v>7.6662923638613206E-12</v>
      </c>
      <c r="E69" s="20">
        <v>0.88056649903510342</v>
      </c>
      <c r="F69" s="20">
        <v>0.69430388040869662</v>
      </c>
      <c r="G69" s="20">
        <v>0.17863030833700605</v>
      </c>
      <c r="H69" s="20">
        <v>0</v>
      </c>
      <c r="I69" s="20">
        <v>7.6323102894007757E-3</v>
      </c>
      <c r="J69" s="20">
        <v>4.0914210875486962E-3</v>
      </c>
      <c r="K69" s="20">
        <v>0.1153420798696817</v>
      </c>
      <c r="L69" s="20">
        <v>0</v>
      </c>
    </row>
    <row r="70" spans="1:12">
      <c r="A70" s="2" t="s">
        <v>501</v>
      </c>
      <c r="B70" s="3" t="s">
        <v>411</v>
      </c>
      <c r="D70" s="20">
        <v>2.7876888628225281E-13</v>
      </c>
      <c r="E70" s="20">
        <v>0.99981742119393702</v>
      </c>
      <c r="F70" s="20">
        <v>3.024952190043103E-2</v>
      </c>
      <c r="G70" s="20">
        <v>2.8748430462822098E-6</v>
      </c>
      <c r="H70" s="20">
        <v>0</v>
      </c>
      <c r="I70" s="20">
        <v>0.96956502445045967</v>
      </c>
      <c r="J70" s="20">
        <v>1.257554641775495E-4</v>
      </c>
      <c r="K70" s="20">
        <v>5.6823341606753418E-5</v>
      </c>
      <c r="L70" s="20">
        <v>0</v>
      </c>
    </row>
    <row r="71" spans="1:12">
      <c r="A71" s="2" t="s">
        <v>502</v>
      </c>
      <c r="B71" s="3" t="s">
        <v>412</v>
      </c>
      <c r="D71" s="20">
        <v>1.2732779274272393E-8</v>
      </c>
      <c r="E71" s="20">
        <v>0.99979547300377669</v>
      </c>
      <c r="F71" s="20">
        <v>5.6389450137054958E-2</v>
      </c>
      <c r="G71" s="20">
        <v>5.1246495759219394E-6</v>
      </c>
      <c r="H71" s="20">
        <v>0</v>
      </c>
      <c r="I71" s="20">
        <v>0.94340089821714579</v>
      </c>
      <c r="J71" s="20">
        <v>1.2667892750275976E-4</v>
      </c>
      <c r="K71" s="20">
        <v>7.7835335941463927E-5</v>
      </c>
      <c r="L71" s="20">
        <v>0</v>
      </c>
    </row>
    <row r="72" spans="1:12">
      <c r="A72" s="2" t="s">
        <v>503</v>
      </c>
      <c r="B72" s="3" t="s">
        <v>413</v>
      </c>
      <c r="D72" s="20">
        <v>1.7230043200646155E-10</v>
      </c>
      <c r="E72" s="20">
        <v>0.9989768549835476</v>
      </c>
      <c r="F72" s="20">
        <v>0.99462782139883488</v>
      </c>
      <c r="G72" s="20">
        <v>4.567988082433394E-4</v>
      </c>
      <c r="H72" s="20">
        <v>0</v>
      </c>
      <c r="I72" s="20">
        <v>3.8922347764693346E-3</v>
      </c>
      <c r="J72" s="20">
        <v>9.3507289808864946E-4</v>
      </c>
      <c r="K72" s="20">
        <v>8.8071946063455011E-5</v>
      </c>
      <c r="L72" s="20">
        <v>0</v>
      </c>
    </row>
    <row r="73" spans="1:12">
      <c r="A73" s="2" t="s">
        <v>504</v>
      </c>
      <c r="B73" s="3" t="s">
        <v>414</v>
      </c>
      <c r="D73" s="20">
        <v>2.251368238857118E-10</v>
      </c>
      <c r="E73" s="20">
        <v>0.99981489715093852</v>
      </c>
      <c r="F73" s="20">
        <v>0.96365320831706425</v>
      </c>
      <c r="G73" s="20">
        <v>5.5703839500762673E-5</v>
      </c>
      <c r="H73" s="20">
        <v>0</v>
      </c>
      <c r="I73" s="20">
        <v>3.6105984994373494E-2</v>
      </c>
      <c r="J73" s="20">
        <v>1.1368625563656675E-4</v>
      </c>
      <c r="K73" s="20">
        <v>7.1416368288030466E-5</v>
      </c>
      <c r="L73" s="20">
        <v>0</v>
      </c>
    </row>
    <row r="74" spans="1:12">
      <c r="A74" s="2" t="s">
        <v>505</v>
      </c>
      <c r="B74" s="3" t="s">
        <v>415</v>
      </c>
      <c r="D74" s="20">
        <v>1.5740674467710967E-9</v>
      </c>
      <c r="E74" s="20">
        <v>0.99979942785450659</v>
      </c>
      <c r="F74" s="20">
        <v>5.1297662280148815E-2</v>
      </c>
      <c r="G74" s="20">
        <v>4.6823290803278717E-6</v>
      </c>
      <c r="H74" s="20">
        <v>0</v>
      </c>
      <c r="I74" s="20">
        <v>0.94849708324527748</v>
      </c>
      <c r="J74" s="20">
        <v>1.2651213071927024E-4</v>
      </c>
      <c r="K74" s="20">
        <v>7.4058440706524647E-5</v>
      </c>
      <c r="L74" s="20">
        <v>0</v>
      </c>
    </row>
    <row r="75" spans="1:12">
      <c r="A75" s="2" t="s">
        <v>506</v>
      </c>
      <c r="B75" s="3" t="s">
        <v>416</v>
      </c>
      <c r="D75" s="20">
        <v>9.6616940555207163E-10</v>
      </c>
      <c r="E75" s="20">
        <v>0.99980788284130129</v>
      </c>
      <c r="F75" s="20">
        <v>0.95703433230198731</v>
      </c>
      <c r="G75" s="20">
        <v>5.6039193570908817E-5</v>
      </c>
      <c r="H75" s="20">
        <v>0</v>
      </c>
      <c r="I75" s="20">
        <v>4.2717511345743066E-2</v>
      </c>
      <c r="J75" s="20">
        <v>1.1498953554118076E-4</v>
      </c>
      <c r="K75" s="20">
        <v>7.7126656988141861E-5</v>
      </c>
      <c r="L75" s="20">
        <v>0</v>
      </c>
    </row>
    <row r="76" spans="1:12">
      <c r="A76" s="2" t="s">
        <v>507</v>
      </c>
      <c r="B76" s="3" t="s">
        <v>417</v>
      </c>
      <c r="D76" s="20">
        <v>2.2318624727064708E-8</v>
      </c>
      <c r="E76" s="20">
        <v>0.9996892153684297</v>
      </c>
      <c r="F76" s="20">
        <v>0.55174966616295817</v>
      </c>
      <c r="G76" s="20">
        <v>4.0124385377606953E-5</v>
      </c>
      <c r="H76" s="20">
        <v>0</v>
      </c>
      <c r="I76" s="20">
        <v>0.44789942482009387</v>
      </c>
      <c r="J76" s="20">
        <v>1.3189910175260083E-4</v>
      </c>
      <c r="K76" s="20">
        <v>1.7886321119297261E-4</v>
      </c>
      <c r="L76" s="20">
        <v>0</v>
      </c>
    </row>
    <row r="77" spans="1:12">
      <c r="A77" s="2" t="s">
        <v>508</v>
      </c>
      <c r="B77" s="3" t="s">
        <v>418</v>
      </c>
      <c r="D77" s="20">
        <v>6.970138984838127E-9</v>
      </c>
      <c r="E77" s="20">
        <v>0.99981270054752658</v>
      </c>
      <c r="F77" s="20">
        <v>0.96186935237317861</v>
      </c>
      <c r="G77" s="20">
        <v>5.5973491895285416E-5</v>
      </c>
      <c r="H77" s="20">
        <v>0</v>
      </c>
      <c r="I77" s="20">
        <v>3.7887374682452638E-2</v>
      </c>
      <c r="J77" s="20">
        <v>1.1406147103214267E-4</v>
      </c>
      <c r="K77" s="20">
        <v>7.3231011302532929E-5</v>
      </c>
      <c r="L77" s="20">
        <v>0</v>
      </c>
    </row>
    <row r="78" spans="1:12">
      <c r="A78" s="2" t="s">
        <v>509</v>
      </c>
      <c r="B78" s="3" t="s">
        <v>419</v>
      </c>
      <c r="D78" s="20">
        <v>6.9278857914547561E-10</v>
      </c>
      <c r="E78" s="20">
        <v>0.99913294347620418</v>
      </c>
      <c r="F78" s="20">
        <v>0.99443169119722763</v>
      </c>
      <c r="G78" s="20">
        <v>3.8374198297016273E-4</v>
      </c>
      <c r="H78" s="20">
        <v>0</v>
      </c>
      <c r="I78" s="20">
        <v>4.3175102960063818E-3</v>
      </c>
      <c r="J78" s="20">
        <v>7.8350477449324999E-4</v>
      </c>
      <c r="K78" s="20">
        <v>8.3551056513857518E-5</v>
      </c>
      <c r="L78" s="20">
        <v>0</v>
      </c>
    </row>
    <row r="79" spans="1:12">
      <c r="A79" s="2" t="s">
        <v>510</v>
      </c>
      <c r="B79" s="3" t="s">
        <v>420</v>
      </c>
      <c r="D79" s="20">
        <v>1.7402064512593216E-14</v>
      </c>
      <c r="E79" s="20">
        <v>0.99913295868877583</v>
      </c>
      <c r="F79" s="20">
        <v>0.99443176678182021</v>
      </c>
      <c r="G79" s="20">
        <v>3.836812827846816E-4</v>
      </c>
      <c r="H79" s="20">
        <v>0</v>
      </c>
      <c r="I79" s="20">
        <v>4.3175106241709598E-3</v>
      </c>
      <c r="J79" s="20">
        <v>7.8350347077263177E-4</v>
      </c>
      <c r="K79" s="20">
        <v>8.3537840434166986E-5</v>
      </c>
      <c r="L79" s="20">
        <v>0</v>
      </c>
    </row>
    <row r="80" spans="1:12">
      <c r="A80" s="2" t="s">
        <v>511</v>
      </c>
      <c r="B80" s="3" t="s">
        <v>421</v>
      </c>
      <c r="D80" s="20">
        <v>1.9622979580989063E-9</v>
      </c>
      <c r="E80" s="20">
        <v>0.99973642313560662</v>
      </c>
      <c r="F80" s="20">
        <v>0.8329888507947687</v>
      </c>
      <c r="G80" s="20">
        <v>5.4475791347818379E-5</v>
      </c>
      <c r="H80" s="20">
        <v>0</v>
      </c>
      <c r="I80" s="20">
        <v>0.16669309654949011</v>
      </c>
      <c r="J80" s="20">
        <v>1.2588053368050876E-4</v>
      </c>
      <c r="K80" s="20">
        <v>1.3769436841478013E-4</v>
      </c>
      <c r="L80" s="20">
        <v>0</v>
      </c>
    </row>
    <row r="81" spans="1:12">
      <c r="A81" s="2" t="s">
        <v>512</v>
      </c>
      <c r="B81" s="3" t="s">
        <v>422</v>
      </c>
      <c r="D81" s="20">
        <v>2.5655337565964298E-9</v>
      </c>
      <c r="E81" s="20">
        <v>0.99973277164433283</v>
      </c>
      <c r="F81" s="20">
        <v>0.19509761935119632</v>
      </c>
      <c r="G81" s="20">
        <v>1.5944699148617884E-5</v>
      </c>
      <c r="H81" s="20">
        <v>0</v>
      </c>
      <c r="I81" s="20">
        <v>0.80461920759398786</v>
      </c>
      <c r="J81" s="20">
        <v>1.299073189079467E-4</v>
      </c>
      <c r="K81" s="20">
        <v>1.3731847122550118E-4</v>
      </c>
      <c r="L81" s="20">
        <v>0</v>
      </c>
    </row>
    <row r="82" spans="1:12">
      <c r="A82" s="2" t="s">
        <v>513</v>
      </c>
      <c r="B82" s="3" t="s">
        <v>423</v>
      </c>
      <c r="D82" s="20">
        <v>6.4587467448530082E-13</v>
      </c>
      <c r="E82" s="20">
        <v>0.99969543009772277</v>
      </c>
      <c r="F82" s="20">
        <v>0.39122128082356955</v>
      </c>
      <c r="G82" s="20">
        <v>2.9752132177832873E-5</v>
      </c>
      <c r="H82" s="20">
        <v>0</v>
      </c>
      <c r="I82" s="20">
        <v>0.6084443971419754</v>
      </c>
      <c r="J82" s="20">
        <v>1.3197390210101915E-4</v>
      </c>
      <c r="K82" s="20">
        <v>1.7259599953035459E-4</v>
      </c>
      <c r="L82" s="20">
        <v>0</v>
      </c>
    </row>
    <row r="83" spans="1:12">
      <c r="A83" s="2" t="s">
        <v>514</v>
      </c>
      <c r="B83" s="3" t="s">
        <v>424</v>
      </c>
      <c r="D83" s="20">
        <v>2.4787035569978076E-10</v>
      </c>
      <c r="E83" s="20">
        <v>0.99837790916757518</v>
      </c>
      <c r="F83" s="20">
        <v>0.99471536562553409</v>
      </c>
      <c r="G83" s="20">
        <v>7.3733217533027086E-4</v>
      </c>
      <c r="H83" s="20">
        <v>0</v>
      </c>
      <c r="I83" s="20">
        <v>2.9252113667108375E-3</v>
      </c>
      <c r="J83" s="20">
        <v>1.5203308849200126E-3</v>
      </c>
      <c r="K83" s="20">
        <v>1.0175969963437845E-4</v>
      </c>
      <c r="L83" s="20">
        <v>0</v>
      </c>
    </row>
    <row r="84" spans="1:12">
      <c r="A84" s="2" t="s">
        <v>403</v>
      </c>
      <c r="B84" s="3" t="s">
        <v>404</v>
      </c>
      <c r="D84" s="20">
        <v>4.4686282366063457E-44</v>
      </c>
      <c r="E84" s="20">
        <v>0.66365319195595984</v>
      </c>
      <c r="F84" s="20">
        <v>0.30849522078849489</v>
      </c>
      <c r="G84" s="20">
        <v>7.1374650672016593E-2</v>
      </c>
      <c r="H84" s="20">
        <v>0</v>
      </c>
      <c r="I84" s="20">
        <v>0.28378332049544835</v>
      </c>
      <c r="J84" s="20">
        <v>1.646103729440703E-3</v>
      </c>
      <c r="K84" s="20">
        <v>0.33470070431459953</v>
      </c>
      <c r="L84" s="20">
        <v>0</v>
      </c>
    </row>
    <row r="85" spans="1:12">
      <c r="A85" s="2" t="s">
        <v>405</v>
      </c>
      <c r="B85" s="3" t="s">
        <v>406</v>
      </c>
      <c r="D85" s="20">
        <v>1.4444861501868641E-8</v>
      </c>
      <c r="E85" s="20">
        <v>0.92449999831037499</v>
      </c>
      <c r="F85" s="20">
        <v>0.82847666821755994</v>
      </c>
      <c r="G85" s="20">
        <v>4.331158473848807E-2</v>
      </c>
      <c r="H85" s="20">
        <v>0</v>
      </c>
      <c r="I85" s="20">
        <v>5.271174535432701E-2</v>
      </c>
      <c r="J85" s="20">
        <v>5.9202648030598402E-2</v>
      </c>
      <c r="K85" s="20">
        <v>1.6297339214164906E-2</v>
      </c>
      <c r="L85" s="20">
        <v>0</v>
      </c>
    </row>
    <row r="86" spans="1:12">
      <c r="A86" s="2" t="s">
        <v>407</v>
      </c>
      <c r="B86" s="3" t="s">
        <v>408</v>
      </c>
      <c r="D86" s="20">
        <v>2.6074338013154269E-5</v>
      </c>
      <c r="E86" s="20">
        <v>0.9152945593319699</v>
      </c>
      <c r="F86" s="20">
        <v>0.17433617214814637</v>
      </c>
      <c r="G86" s="20">
        <v>0.74059889791414812</v>
      </c>
      <c r="H86" s="20">
        <v>0</v>
      </c>
      <c r="I86" s="20">
        <v>3.5948926967542723E-4</v>
      </c>
      <c r="J86" s="20">
        <v>1.7211699442673357E-2</v>
      </c>
      <c r="K86" s="20">
        <v>6.7467666887343569E-2</v>
      </c>
      <c r="L86" s="20">
        <v>0</v>
      </c>
    </row>
    <row r="87" spans="1:12">
      <c r="A87" s="2" t="s">
        <v>409</v>
      </c>
      <c r="B87" s="3" t="s">
        <v>410</v>
      </c>
      <c r="D87" s="20">
        <v>3.2435903363005445E-6</v>
      </c>
      <c r="E87" s="20">
        <v>0.93473487726893845</v>
      </c>
      <c r="F87" s="20">
        <v>9.4384398559575824E-2</v>
      </c>
      <c r="G87" s="20">
        <v>0.8402253264661047</v>
      </c>
      <c r="H87" s="20">
        <v>0</v>
      </c>
      <c r="I87" s="20">
        <v>1.2515224325787056E-4</v>
      </c>
      <c r="J87" s="20">
        <v>1.9604771183203123E-2</v>
      </c>
      <c r="K87" s="20">
        <v>4.5657107957522383E-2</v>
      </c>
      <c r="L87" s="20">
        <v>0</v>
      </c>
    </row>
    <row r="88" spans="1:12">
      <c r="A88" s="2" t="s">
        <v>301</v>
      </c>
      <c r="B88" s="3" t="s">
        <v>302</v>
      </c>
      <c r="D88" s="20">
        <v>4.0216923940100101E-7</v>
      </c>
      <c r="E88" s="20">
        <v>0.95133548316972893</v>
      </c>
      <c r="F88" s="20">
        <v>4.3942328322889558E-2</v>
      </c>
      <c r="G88" s="20">
        <v>0.90735789004154488</v>
      </c>
      <c r="H88" s="20">
        <v>0</v>
      </c>
      <c r="I88" s="20">
        <v>3.5264805294454933E-5</v>
      </c>
      <c r="J88" s="20">
        <v>2.126785646329752E-2</v>
      </c>
      <c r="K88" s="20">
        <v>2.7396258197733968E-2</v>
      </c>
      <c r="L88" s="20">
        <v>0</v>
      </c>
    </row>
    <row r="89" spans="1:12">
      <c r="A89" s="2" t="s">
        <v>303</v>
      </c>
      <c r="B89" s="3" t="s">
        <v>304</v>
      </c>
      <c r="D89" s="20">
        <v>2.1514884377933375E-13</v>
      </c>
      <c r="E89" s="20">
        <v>0.68216339061483544</v>
      </c>
      <c r="F89" s="20">
        <v>0.18898878157639185</v>
      </c>
      <c r="G89" s="20">
        <v>0.49152102648090756</v>
      </c>
      <c r="H89" s="20">
        <v>0</v>
      </c>
      <c r="I89" s="20">
        <v>1.6535825575359948E-3</v>
      </c>
      <c r="J89" s="20">
        <v>0.29710396342518458</v>
      </c>
      <c r="K89" s="20">
        <v>2.0732645959764838E-2</v>
      </c>
      <c r="L89" s="20">
        <v>0</v>
      </c>
    </row>
    <row r="90" spans="1:12">
      <c r="A90" s="2" t="s">
        <v>425</v>
      </c>
      <c r="B90" s="3" t="s">
        <v>426</v>
      </c>
      <c r="D90" s="20">
        <v>1.6022254080942038E-13</v>
      </c>
      <c r="E90" s="20">
        <v>0.97475174776180662</v>
      </c>
      <c r="F90" s="20">
        <v>9.1641009264251485E-4</v>
      </c>
      <c r="G90" s="20">
        <v>3.0769125309492915E-4</v>
      </c>
      <c r="H90" s="20">
        <v>0</v>
      </c>
      <c r="I90" s="20">
        <v>0.97352764641606915</v>
      </c>
      <c r="J90" s="20">
        <v>1.2778106210889825E-4</v>
      </c>
      <c r="K90" s="20">
        <v>2.5120471175924395E-2</v>
      </c>
      <c r="L90" s="20">
        <v>0</v>
      </c>
    </row>
    <row r="91" spans="1:12">
      <c r="A91" s="2" t="s">
        <v>427</v>
      </c>
      <c r="B91" s="3" t="s">
        <v>428</v>
      </c>
      <c r="D91" s="20">
        <v>8.244123107125453E-5</v>
      </c>
      <c r="E91" s="20">
        <v>0.78714445166421765</v>
      </c>
      <c r="F91" s="20">
        <v>5.5007091627361809E-2</v>
      </c>
      <c r="G91" s="20">
        <v>1.5470852252603563E-2</v>
      </c>
      <c r="H91" s="20">
        <v>0</v>
      </c>
      <c r="I91" s="20">
        <v>0.71666650778425223</v>
      </c>
      <c r="J91" s="20">
        <v>4.3552429519225873E-4</v>
      </c>
      <c r="K91" s="20">
        <v>0.21233758280951892</v>
      </c>
      <c r="L91" s="20">
        <v>0</v>
      </c>
    </row>
    <row r="92" spans="1:12">
      <c r="A92" s="2" t="s">
        <v>429</v>
      </c>
      <c r="B92" s="3" t="s">
        <v>430</v>
      </c>
      <c r="D92" s="20">
        <v>5.0533606680059099E-4</v>
      </c>
      <c r="E92" s="20">
        <v>0.71005766880552423</v>
      </c>
      <c r="F92" s="20">
        <v>0.48156455164824929</v>
      </c>
      <c r="G92" s="20">
        <v>0.10161318541514248</v>
      </c>
      <c r="H92" s="20">
        <v>0</v>
      </c>
      <c r="I92" s="20">
        <v>0.1268799317421325</v>
      </c>
      <c r="J92" s="20">
        <v>2.3174901326162983E-3</v>
      </c>
      <c r="K92" s="20">
        <v>0.28711950499505889</v>
      </c>
      <c r="L92" s="20">
        <v>0</v>
      </c>
    </row>
    <row r="93" spans="1:12">
      <c r="A93" s="2" t="s">
        <v>431</v>
      </c>
      <c r="B93" s="3" t="s">
        <v>432</v>
      </c>
      <c r="D93" s="20">
        <v>1.2052325821447283E-17</v>
      </c>
      <c r="E93" s="20">
        <v>0.99972242342131867</v>
      </c>
      <c r="F93" s="20">
        <v>4.3612476336067846E-3</v>
      </c>
      <c r="G93" s="20">
        <v>3.4940785834541114E-6</v>
      </c>
      <c r="H93" s="20">
        <v>0</v>
      </c>
      <c r="I93" s="20">
        <v>0.99535768170912842</v>
      </c>
      <c r="J93" s="20">
        <v>1.2459282992348009E-4</v>
      </c>
      <c r="K93" s="20">
        <v>1.5298374875794015E-4</v>
      </c>
      <c r="L93" s="20">
        <v>0</v>
      </c>
    </row>
    <row r="94" spans="1:12">
      <c r="A94" s="2" t="s">
        <v>433</v>
      </c>
      <c r="B94" s="3" t="s">
        <v>434</v>
      </c>
      <c r="D94" s="20">
        <v>2.5473812938669132E-18</v>
      </c>
      <c r="E94" s="20">
        <v>0.99987101445116455</v>
      </c>
      <c r="F94" s="20">
        <v>1.6973373597895887E-5</v>
      </c>
      <c r="G94" s="20">
        <v>2.3684477717946217E-8</v>
      </c>
      <c r="H94" s="20">
        <v>0</v>
      </c>
      <c r="I94" s="20">
        <v>0.99985401739308899</v>
      </c>
      <c r="J94" s="20">
        <v>1.2511496531869624E-4</v>
      </c>
      <c r="K94" s="20">
        <v>3.8705835168422698E-6</v>
      </c>
      <c r="L94" s="20">
        <v>0</v>
      </c>
    </row>
    <row r="95" spans="1:12">
      <c r="A95" s="2" t="s">
        <v>435</v>
      </c>
      <c r="B95" s="3" t="s">
        <v>436</v>
      </c>
      <c r="D95" s="20">
        <v>1.3623694275232626E-8</v>
      </c>
      <c r="E95" s="20">
        <v>0.94193915560815644</v>
      </c>
      <c r="F95" s="20">
        <v>3.7371479911465361E-3</v>
      </c>
      <c r="G95" s="20">
        <v>1.2961985835067667E-3</v>
      </c>
      <c r="H95" s="20">
        <v>0</v>
      </c>
      <c r="I95" s="20">
        <v>0.93690580903350318</v>
      </c>
      <c r="J95" s="20">
        <v>1.4674925265149554E-4</v>
      </c>
      <c r="K95" s="20">
        <v>5.7914081515497894E-2</v>
      </c>
      <c r="L95" s="20">
        <v>0</v>
      </c>
    </row>
    <row r="96" spans="1:12">
      <c r="A96" s="2" t="s">
        <v>437</v>
      </c>
      <c r="B96" s="165" t="s">
        <v>438</v>
      </c>
      <c r="D96" s="20">
        <v>4.863099827105769E-8</v>
      </c>
      <c r="E96" s="20">
        <v>0.90748162121147558</v>
      </c>
      <c r="F96" s="20">
        <v>0.21467793024692969</v>
      </c>
      <c r="G96" s="20">
        <v>0.69228186483099885</v>
      </c>
      <c r="H96" s="20">
        <v>0</v>
      </c>
      <c r="I96" s="20">
        <v>5.2182613354701728E-4</v>
      </c>
      <c r="J96" s="20">
        <v>1.6065144659274552E-2</v>
      </c>
      <c r="K96" s="20">
        <v>7.6453185498251447E-2</v>
      </c>
      <c r="L96" s="20">
        <v>0</v>
      </c>
    </row>
    <row r="97" spans="1:12">
      <c r="A97" s="2" t="s">
        <v>439</v>
      </c>
      <c r="B97" s="3" t="s">
        <v>440</v>
      </c>
      <c r="D97" s="20">
        <v>3.9886016838726035E-5</v>
      </c>
      <c r="E97" s="20">
        <v>0.72956179632167095</v>
      </c>
      <c r="F97" s="20">
        <v>0.1024931599864826</v>
      </c>
      <c r="G97" s="20">
        <v>2.717630691137107E-2</v>
      </c>
      <c r="H97" s="20">
        <v>0</v>
      </c>
      <c r="I97" s="20">
        <v>0.59989232942381732</v>
      </c>
      <c r="J97" s="20">
        <v>6.8457900171831759E-4</v>
      </c>
      <c r="K97" s="20">
        <v>0.26971373865977211</v>
      </c>
      <c r="L97" s="20">
        <v>0</v>
      </c>
    </row>
    <row r="98" spans="1:12">
      <c r="A98" s="2" t="s">
        <v>441</v>
      </c>
      <c r="B98" s="3" t="s">
        <v>442</v>
      </c>
      <c r="D98" s="20">
        <v>2.718447256986869E-17</v>
      </c>
      <c r="E98" s="20">
        <v>0.77627003399253625</v>
      </c>
      <c r="F98" s="20">
        <v>6.2143416514951408E-2</v>
      </c>
      <c r="G98" s="20">
        <v>1.7285847671940305E-2</v>
      </c>
      <c r="H98" s="20">
        <v>0</v>
      </c>
      <c r="I98" s="20">
        <v>0.69684076980564458</v>
      </c>
      <c r="J98" s="20">
        <v>4.7387721370110921E-4</v>
      </c>
      <c r="K98" s="20">
        <v>0.22325608879376249</v>
      </c>
      <c r="L98" s="20">
        <v>0</v>
      </c>
    </row>
    <row r="99" spans="1:12">
      <c r="A99" s="2" t="s">
        <v>443</v>
      </c>
      <c r="B99" s="3" t="s">
        <v>444</v>
      </c>
      <c r="D99" s="20">
        <v>4.201536940001147E-29</v>
      </c>
      <c r="E99" s="20">
        <v>0.882760989702293</v>
      </c>
      <c r="F99" s="20">
        <v>1.4780271138933517E-2</v>
      </c>
      <c r="G99" s="20">
        <v>4.6427784130060844E-3</v>
      </c>
      <c r="H99" s="20">
        <v>0</v>
      </c>
      <c r="I99" s="20">
        <v>0.86333794015035337</v>
      </c>
      <c r="J99" s="20">
        <v>2.1079364536154076E-4</v>
      </c>
      <c r="K99" s="20">
        <v>0.1170282166523455</v>
      </c>
      <c r="L99" s="20">
        <v>0</v>
      </c>
    </row>
    <row r="100" spans="1:12">
      <c r="A100" s="2" t="s">
        <v>445</v>
      </c>
      <c r="B100" s="3" t="s">
        <v>446</v>
      </c>
      <c r="D100" s="20">
        <v>5.0184070789276971E-8</v>
      </c>
      <c r="E100" s="20">
        <v>0.87586723809638667</v>
      </c>
      <c r="F100" s="20">
        <v>0.53056683828212325</v>
      </c>
      <c r="G100" s="20">
        <v>0.34192878054125608</v>
      </c>
      <c r="H100" s="20">
        <v>0</v>
      </c>
      <c r="I100" s="20">
        <v>3.3716192730073235E-3</v>
      </c>
      <c r="J100" s="20">
        <v>7.8679012549132728E-3</v>
      </c>
      <c r="K100" s="20">
        <v>0.11626481046462935</v>
      </c>
      <c r="L100" s="20">
        <v>0</v>
      </c>
    </row>
    <row r="101" spans="1:12">
      <c r="A101" s="2" t="s">
        <v>447</v>
      </c>
      <c r="B101" s="3" t="s">
        <v>448</v>
      </c>
      <c r="D101" s="20">
        <v>4.4328339641458124E-9</v>
      </c>
      <c r="E101" s="20">
        <v>0.68547677915727112</v>
      </c>
      <c r="F101" s="20">
        <v>0.41740310904003192</v>
      </c>
      <c r="G101" s="20">
        <v>9.1211843824352171E-2</v>
      </c>
      <c r="H101" s="20">
        <v>0</v>
      </c>
      <c r="I101" s="20">
        <v>0.17686182629288708</v>
      </c>
      <c r="J101" s="20">
        <v>2.0852046010105514E-3</v>
      </c>
      <c r="K101" s="20">
        <v>0.31243801180888442</v>
      </c>
      <c r="L101" s="20">
        <v>0</v>
      </c>
    </row>
    <row r="102" spans="1:12">
      <c r="A102" s="2" t="s">
        <v>449</v>
      </c>
      <c r="B102" s="3" t="s">
        <v>450</v>
      </c>
      <c r="D102" s="20">
        <v>1.9672664584580464E-4</v>
      </c>
      <c r="E102" s="20">
        <v>0.80702073921068385</v>
      </c>
      <c r="F102" s="20">
        <v>0.64585853369754243</v>
      </c>
      <c r="G102" s="20">
        <v>0.12224552151448585</v>
      </c>
      <c r="H102" s="20">
        <v>0</v>
      </c>
      <c r="I102" s="20">
        <v>3.8916683998655513E-2</v>
      </c>
      <c r="J102" s="20">
        <v>2.7860396254550017E-3</v>
      </c>
      <c r="K102" s="20">
        <v>0.18999649451801531</v>
      </c>
      <c r="L102" s="20">
        <v>0</v>
      </c>
    </row>
    <row r="103" spans="1:12">
      <c r="A103" s="2" t="s">
        <v>451</v>
      </c>
      <c r="B103" s="3" t="s">
        <v>452</v>
      </c>
      <c r="D103" s="20">
        <v>4.4005257614385031E-19</v>
      </c>
      <c r="E103" s="20">
        <v>0.99975414200589108</v>
      </c>
      <c r="F103" s="20">
        <v>0.10505000366455459</v>
      </c>
      <c r="G103" s="20">
        <v>1.0194625581613709E-5</v>
      </c>
      <c r="H103" s="20">
        <v>0</v>
      </c>
      <c r="I103" s="20">
        <v>0.89469394371575484</v>
      </c>
      <c r="J103" s="20">
        <v>1.2807464187827665E-4</v>
      </c>
      <c r="K103" s="20">
        <v>1.1778335223066307E-4</v>
      </c>
      <c r="L103" s="20">
        <v>0</v>
      </c>
    </row>
    <row r="104" spans="1:12">
      <c r="A104" s="2" t="s">
        <v>453</v>
      </c>
      <c r="B104" s="3" t="s">
        <v>454</v>
      </c>
      <c r="D104" s="20">
        <v>1.12877646642043E-20</v>
      </c>
      <c r="E104" s="20">
        <v>0.99912983957004875</v>
      </c>
      <c r="F104" s="20">
        <v>0.98697848639084629</v>
      </c>
      <c r="G104" s="20">
        <v>1.0451372735345412E-3</v>
      </c>
      <c r="H104" s="20">
        <v>0</v>
      </c>
      <c r="I104" s="20">
        <v>1.110621590566787E-2</v>
      </c>
      <c r="J104" s="20">
        <v>1.7659734902058117E-4</v>
      </c>
      <c r="K104" s="20">
        <v>6.9356308093080829E-4</v>
      </c>
      <c r="L104" s="20">
        <v>0</v>
      </c>
    </row>
    <row r="105" spans="1:12">
      <c r="A105" s="2" t="s">
        <v>455</v>
      </c>
      <c r="B105" s="165">
        <v>354656</v>
      </c>
      <c r="D105" s="20">
        <v>3.685575680515557E-10</v>
      </c>
      <c r="E105" s="20">
        <v>0.96976980697534854</v>
      </c>
      <c r="F105" s="20">
        <v>9.8260630934912684E-4</v>
      </c>
      <c r="G105" s="20">
        <v>3.8008007560368345E-4</v>
      </c>
      <c r="H105" s="20">
        <v>0</v>
      </c>
      <c r="I105" s="20">
        <v>0.96840712059039569</v>
      </c>
      <c r="J105" s="20">
        <v>1.2872060832133693E-4</v>
      </c>
      <c r="K105" s="20">
        <v>3.0101472047772509E-2</v>
      </c>
      <c r="L105" s="20">
        <v>0</v>
      </c>
    </row>
    <row r="106" spans="1:12">
      <c r="A106" s="2" t="s">
        <v>457</v>
      </c>
      <c r="B106" s="3" t="s">
        <v>458</v>
      </c>
      <c r="D106" s="20">
        <v>5.461475259131874E-10</v>
      </c>
      <c r="E106" s="20">
        <v>0.93923409862981899</v>
      </c>
      <c r="F106" s="20">
        <v>4.0505100170001897E-3</v>
      </c>
      <c r="G106" s="20">
        <v>1.3985732206598187E-3</v>
      </c>
      <c r="H106" s="20">
        <v>0</v>
      </c>
      <c r="I106" s="20">
        <v>0.93378501539215897</v>
      </c>
      <c r="J106" s="20">
        <v>1.484262691050489E-4</v>
      </c>
      <c r="K106" s="20">
        <v>6.0617474554928552E-2</v>
      </c>
      <c r="L106" s="20">
        <v>0</v>
      </c>
    </row>
    <row r="107" spans="1:12">
      <c r="A107" s="2" t="s">
        <v>459</v>
      </c>
      <c r="B107" s="3" t="s">
        <v>460</v>
      </c>
      <c r="D107" s="20">
        <v>4.6025960104792464E-20</v>
      </c>
      <c r="E107" s="20">
        <v>0.85915476076789088</v>
      </c>
      <c r="F107" s="20">
        <v>0.71335580529997278</v>
      </c>
      <c r="G107" s="20">
        <v>0.12485168060581235</v>
      </c>
      <c r="H107" s="20">
        <v>0</v>
      </c>
      <c r="I107" s="20">
        <v>2.0947274862105746E-2</v>
      </c>
      <c r="J107" s="20">
        <v>3.3438698839876406E-3</v>
      </c>
      <c r="K107" s="20">
        <v>0.13750136934812157</v>
      </c>
      <c r="L107" s="20">
        <v>0</v>
      </c>
    </row>
    <row r="108" spans="1:12">
      <c r="A108" s="2" t="s">
        <v>461</v>
      </c>
      <c r="B108" s="3" t="s">
        <v>462</v>
      </c>
      <c r="D108" s="20">
        <v>1.1006101927994609E-9</v>
      </c>
      <c r="E108" s="20">
        <v>0.9998197354849313</v>
      </c>
      <c r="F108" s="20">
        <v>8.791846986310326E-6</v>
      </c>
      <c r="G108" s="20">
        <v>2.5482480625691856E-7</v>
      </c>
      <c r="H108" s="20">
        <v>0</v>
      </c>
      <c r="I108" s="20">
        <v>0.99981068881313873</v>
      </c>
      <c r="J108" s="20">
        <v>1.2467883384621807E-4</v>
      </c>
      <c r="K108" s="20">
        <v>5.5584580612435614E-5</v>
      </c>
      <c r="L108" s="20">
        <v>0</v>
      </c>
    </row>
    <row r="109" spans="1:12">
      <c r="A109" s="2" t="s">
        <v>463</v>
      </c>
      <c r="B109" s="3" t="s">
        <v>464</v>
      </c>
      <c r="D109" s="20">
        <v>2.8069297208278168E-12</v>
      </c>
      <c r="E109" s="20">
        <v>0.98013291245302891</v>
      </c>
      <c r="F109" s="20">
        <v>5.7627336552641344E-2</v>
      </c>
      <c r="G109" s="20">
        <v>2.8644063214658269E-3</v>
      </c>
      <c r="H109" s="20">
        <v>0</v>
      </c>
      <c r="I109" s="20">
        <v>0.91964116957892172</v>
      </c>
      <c r="J109" s="20">
        <v>1.6639079434408112E-3</v>
      </c>
      <c r="K109" s="20">
        <v>1.8203179600723526E-2</v>
      </c>
      <c r="L109" s="20">
        <v>0</v>
      </c>
    </row>
    <row r="110" spans="1:12">
      <c r="A110" s="2" t="s">
        <v>465</v>
      </c>
      <c r="B110" s="3" t="s">
        <v>466</v>
      </c>
      <c r="D110" s="20">
        <v>2.0895294695098239E-11</v>
      </c>
      <c r="E110" s="20">
        <v>0.99361951035038076</v>
      </c>
      <c r="F110" s="20">
        <v>2.2481464894694378E-4</v>
      </c>
      <c r="G110" s="20">
        <v>4.3012148066379064E-5</v>
      </c>
      <c r="H110" s="20">
        <v>0</v>
      </c>
      <c r="I110" s="20">
        <v>0.99335168355336745</v>
      </c>
      <c r="J110" s="20">
        <v>1.2438846663407422E-4</v>
      </c>
      <c r="K110" s="20">
        <v>6.2561011620898572E-3</v>
      </c>
      <c r="L110" s="20">
        <v>0</v>
      </c>
    </row>
    <row r="111" spans="1:12">
      <c r="A111" s="2" t="s">
        <v>467</v>
      </c>
      <c r="B111" s="3" t="s">
        <v>468</v>
      </c>
      <c r="D111" s="20">
        <v>3.7143054855310555E-30</v>
      </c>
      <c r="E111" s="20">
        <v>0.9998701569751095</v>
      </c>
      <c r="F111" s="20">
        <v>1.5977110361994425E-5</v>
      </c>
      <c r="G111" s="20">
        <v>1.3199886097811511E-8</v>
      </c>
      <c r="H111" s="20">
        <v>0</v>
      </c>
      <c r="I111" s="20">
        <v>0.99985416666486138</v>
      </c>
      <c r="J111" s="20">
        <v>1.2422371718342668E-4</v>
      </c>
      <c r="K111" s="20">
        <v>5.6193077071182363E-6</v>
      </c>
      <c r="L111" s="20">
        <v>0</v>
      </c>
    </row>
    <row r="112" spans="1:12">
      <c r="A112" s="2" t="s">
        <v>469</v>
      </c>
      <c r="B112" s="3" t="s">
        <v>470</v>
      </c>
      <c r="D112" s="20">
        <v>2.3477888681692304E-13</v>
      </c>
      <c r="E112" s="20">
        <v>0.99177121972988613</v>
      </c>
      <c r="F112" s="20">
        <v>7.7541331463252741E-5</v>
      </c>
      <c r="G112" s="20">
        <v>3.622670289854189E-5</v>
      </c>
      <c r="H112" s="20">
        <v>0</v>
      </c>
      <c r="I112" s="20">
        <v>0.99165745169552433</v>
      </c>
      <c r="J112" s="20">
        <v>1.2399636418780364E-4</v>
      </c>
      <c r="K112" s="20">
        <v>8.1047839056912537E-3</v>
      </c>
      <c r="L112" s="20">
        <v>0</v>
      </c>
    </row>
    <row r="113" spans="1:12">
      <c r="A113" s="2" t="s">
        <v>471</v>
      </c>
      <c r="B113" s="3" t="s">
        <v>472</v>
      </c>
      <c r="D113" s="20">
        <v>2.8892691653085311E-9</v>
      </c>
      <c r="E113" s="20">
        <v>0.95439972649753779</v>
      </c>
      <c r="F113" s="20">
        <v>2.2032420800278977E-3</v>
      </c>
      <c r="G113" s="20">
        <v>8.0196935454451563E-4</v>
      </c>
      <c r="H113" s="20">
        <v>0</v>
      </c>
      <c r="I113" s="20">
        <v>0.95139451506296535</v>
      </c>
      <c r="J113" s="20">
        <v>1.3598162697133536E-4</v>
      </c>
      <c r="K113" s="20">
        <v>4.54642889862217E-2</v>
      </c>
      <c r="L113" s="20">
        <v>0</v>
      </c>
    </row>
    <row r="114" spans="1:12">
      <c r="A114" s="2" t="s">
        <v>473</v>
      </c>
      <c r="B114" s="3" t="s">
        <v>474</v>
      </c>
      <c r="D114" s="20">
        <v>2.3046261682914216E-16</v>
      </c>
      <c r="E114" s="20">
        <v>0.99567377474437369</v>
      </c>
      <c r="F114" s="20">
        <v>2.25789546897955E-5</v>
      </c>
      <c r="G114" s="20">
        <v>1.1375550839780051E-5</v>
      </c>
      <c r="H114" s="20">
        <v>0</v>
      </c>
      <c r="I114" s="20">
        <v>0.99563982023884412</v>
      </c>
      <c r="J114" s="20">
        <v>1.2394448155612903E-4</v>
      </c>
      <c r="K114" s="20">
        <v>4.20228077407E-3</v>
      </c>
      <c r="L114" s="20">
        <v>0</v>
      </c>
    </row>
    <row r="115" spans="1:12">
      <c r="A115" s="2" t="s">
        <v>475</v>
      </c>
      <c r="B115" s="3" t="s">
        <v>476</v>
      </c>
      <c r="D115" s="20">
        <v>1.1918386068818126E-12</v>
      </c>
      <c r="E115" s="20">
        <v>0.99980666901017579</v>
      </c>
      <c r="F115" s="20">
        <v>2.7448976794410506E-2</v>
      </c>
      <c r="G115" s="20">
        <v>3.2878349917949642E-6</v>
      </c>
      <c r="H115" s="20">
        <v>0</v>
      </c>
      <c r="I115" s="20">
        <v>0.97235440438077347</v>
      </c>
      <c r="J115" s="20">
        <v>1.2565686447482897E-4</v>
      </c>
      <c r="K115" s="20">
        <v>6.7674124157568412E-5</v>
      </c>
      <c r="L115" s="20">
        <v>0</v>
      </c>
    </row>
    <row r="116" spans="1:12">
      <c r="A116" s="2" t="s">
        <v>477</v>
      </c>
      <c r="B116" s="3" t="s">
        <v>478</v>
      </c>
      <c r="D116" s="20">
        <v>3.3243983754586434E-17</v>
      </c>
      <c r="E116" s="20">
        <v>0.96395273961029126</v>
      </c>
      <c r="F116" s="20">
        <v>0.81185657160485591</v>
      </c>
      <c r="G116" s="20">
        <v>1.9663590933545312E-2</v>
      </c>
      <c r="H116" s="20">
        <v>0</v>
      </c>
      <c r="I116" s="20">
        <v>0.13243257707189007</v>
      </c>
      <c r="J116" s="20">
        <v>1.7063796458744299E-2</v>
      </c>
      <c r="K116" s="20">
        <v>1.8983463930964423E-2</v>
      </c>
      <c r="L116" s="20">
        <v>0</v>
      </c>
    </row>
    <row r="117" spans="1:12">
      <c r="A117" s="2" t="s">
        <v>291</v>
      </c>
      <c r="B117" s="3" t="s">
        <v>479</v>
      </c>
      <c r="D117" s="20">
        <v>2.939915469365287E-10</v>
      </c>
      <c r="E117" s="20">
        <v>0.68534819951977999</v>
      </c>
      <c r="F117" s="20">
        <v>0.17069038514000651</v>
      </c>
      <c r="G117" s="20">
        <v>4.2825714132354031E-2</v>
      </c>
      <c r="H117" s="20">
        <v>0</v>
      </c>
      <c r="I117" s="20">
        <v>0.47183210024741945</v>
      </c>
      <c r="J117" s="20">
        <v>1.0220556901142995E-3</v>
      </c>
      <c r="K117" s="20">
        <v>0.31362974449611408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N1" s="6" t="s">
        <v>17</v>
      </c>
      <c r="O1" s="102" t="s">
        <v>216</v>
      </c>
    </row>
    <row r="2" spans="1:24">
      <c r="A2" s="2" t="s">
        <v>283</v>
      </c>
      <c r="B2" s="3" t="s">
        <v>284</v>
      </c>
      <c r="D2" s="14">
        <v>1.0485942800514562E-12</v>
      </c>
      <c r="E2" s="14">
        <v>3.9026546780292676E-5</v>
      </c>
      <c r="F2" s="14">
        <v>2.4014950690918665E-8</v>
      </c>
      <c r="G2" s="14">
        <v>9.6377854617292129E-9</v>
      </c>
      <c r="H2" s="14">
        <v>0</v>
      </c>
      <c r="I2" s="14">
        <v>5.0614635637769308E-9</v>
      </c>
      <c r="J2" s="14">
        <v>9.3473797139662351E-7</v>
      </c>
      <c r="K2" s="14">
        <v>0</v>
      </c>
      <c r="M2" s="21"/>
      <c r="N2" s="102"/>
    </row>
    <row r="3" spans="1:24">
      <c r="A3" s="2" t="s">
        <v>361</v>
      </c>
      <c r="B3" s="3" t="s">
        <v>362</v>
      </c>
      <c r="D3" s="14">
        <v>7.9892059268779249E-13</v>
      </c>
      <c r="E3" s="14">
        <v>1.8677050378397018E-5</v>
      </c>
      <c r="F3" s="14">
        <v>7.4200521688348251E-6</v>
      </c>
      <c r="G3" s="14">
        <v>1.8025825042716585E-6</v>
      </c>
      <c r="H3" s="14">
        <v>0</v>
      </c>
      <c r="I3" s="14">
        <v>4.9738814889083984E-8</v>
      </c>
      <c r="J3" s="14">
        <v>1.2050575334686828E-5</v>
      </c>
      <c r="K3" s="14">
        <v>0</v>
      </c>
      <c r="M3" s="21"/>
      <c r="N3" s="102"/>
    </row>
    <row r="4" spans="1:24">
      <c r="A4" s="2" t="s">
        <v>364</v>
      </c>
      <c r="B4" s="3" t="s">
        <v>365</v>
      </c>
      <c r="D4" s="14">
        <v>5.4409300763408736E-22</v>
      </c>
      <c r="E4" s="14">
        <v>3.9976593604391856E-5</v>
      </c>
      <c r="F4" s="14">
        <v>1.6871253842562642E-8</v>
      </c>
      <c r="G4" s="14">
        <v>1.8579884142345896E-11</v>
      </c>
      <c r="H4" s="14">
        <v>0</v>
      </c>
      <c r="I4" s="14">
        <v>5.6906083162897492E-9</v>
      </c>
      <c r="J4" s="14">
        <v>8.2595356515481635E-10</v>
      </c>
      <c r="K4" s="14">
        <v>0</v>
      </c>
      <c r="M4" s="21"/>
    </row>
    <row r="5" spans="1:24">
      <c r="A5" s="2" t="s">
        <v>285</v>
      </c>
      <c r="B5" s="3" t="s">
        <v>286</v>
      </c>
      <c r="D5" s="14">
        <v>9.0574078676193481E-15</v>
      </c>
      <c r="E5" s="14">
        <v>2.1902073439623508E-5</v>
      </c>
      <c r="F5" s="14">
        <v>1.8083679659271788E-5</v>
      </c>
      <c r="G5" s="14">
        <v>1.4353111906711051E-9</v>
      </c>
      <c r="H5" s="14">
        <v>0</v>
      </c>
      <c r="I5" s="14">
        <v>5.2874090877484089E-9</v>
      </c>
      <c r="J5" s="14">
        <v>7.5241717688875189E-9</v>
      </c>
      <c r="K5" s="14">
        <v>0</v>
      </c>
      <c r="M5" s="21"/>
    </row>
    <row r="6" spans="1:24">
      <c r="A6" s="2" t="s">
        <v>287</v>
      </c>
      <c r="B6" s="3" t="s">
        <v>288</v>
      </c>
      <c r="D6" s="14">
        <v>7.4301212085757279E-16</v>
      </c>
      <c r="E6" s="14">
        <v>1.2962316356168088E-5</v>
      </c>
      <c r="F6" s="14">
        <v>2.6996296596147579E-5</v>
      </c>
      <c r="G6" s="14">
        <v>7.828827372092739E-9</v>
      </c>
      <c r="H6" s="14">
        <v>0</v>
      </c>
      <c r="I6" s="14">
        <v>5.3478128611283561E-9</v>
      </c>
      <c r="J6" s="14">
        <v>2.8210406708102474E-8</v>
      </c>
      <c r="K6" s="14">
        <v>0</v>
      </c>
      <c r="M6" s="21"/>
      <c r="N6" s="12"/>
    </row>
    <row r="7" spans="1:24">
      <c r="A7" s="2" t="s">
        <v>366</v>
      </c>
      <c r="B7" s="3" t="s">
        <v>305</v>
      </c>
      <c r="D7" s="14">
        <v>6.4809755578604049E-12</v>
      </c>
      <c r="E7" s="14">
        <v>4.3044175944341636E-6</v>
      </c>
      <c r="F7" s="14">
        <v>3.5467940582677911E-5</v>
      </c>
      <c r="G7" s="14">
        <v>7.2198982307182174E-8</v>
      </c>
      <c r="H7" s="14">
        <v>0</v>
      </c>
      <c r="I7" s="14">
        <v>6.4166521472848669E-9</v>
      </c>
      <c r="J7" s="14">
        <v>1.4901970745790682E-7</v>
      </c>
      <c r="K7" s="14">
        <v>0</v>
      </c>
      <c r="M7" s="21"/>
      <c r="N7" s="12"/>
    </row>
    <row r="8" spans="1:24">
      <c r="A8" s="2" t="s">
        <v>289</v>
      </c>
      <c r="B8" s="3" t="s">
        <v>290</v>
      </c>
      <c r="D8" s="14">
        <v>4.6035304794115302E-22</v>
      </c>
      <c r="E8" s="14">
        <v>9.1912911809856433E-6</v>
      </c>
      <c r="F8" s="14">
        <v>3.0784924947813439E-5</v>
      </c>
      <c r="G8" s="14">
        <v>4.6812591531927382E-9</v>
      </c>
      <c r="H8" s="14">
        <v>0</v>
      </c>
      <c r="I8" s="14">
        <v>5.1878650339281064E-9</v>
      </c>
      <c r="J8" s="14">
        <v>1.3914747013801803E-8</v>
      </c>
      <c r="K8" s="14">
        <v>0</v>
      </c>
      <c r="M8" s="21"/>
      <c r="N8" s="12"/>
    </row>
    <row r="9" spans="1:24">
      <c r="A9" s="2" t="s">
        <v>291</v>
      </c>
      <c r="B9" s="3" t="s">
        <v>292</v>
      </c>
      <c r="D9" s="14">
        <v>1.9296186206016342E-17</v>
      </c>
      <c r="E9" s="14">
        <v>2.4555598424264343E-5</v>
      </c>
      <c r="F9" s="14">
        <v>1.5398985029004948E-5</v>
      </c>
      <c r="G9" s="14">
        <v>5.8366552966577897E-9</v>
      </c>
      <c r="H9" s="14">
        <v>0</v>
      </c>
      <c r="I9" s="14">
        <v>5.3759088884078168E-9</v>
      </c>
      <c r="J9" s="14">
        <v>3.4203982526346751E-8</v>
      </c>
      <c r="K9" s="14">
        <v>0</v>
      </c>
      <c r="M9" s="21"/>
      <c r="N9" s="12"/>
    </row>
    <row r="10" spans="1:24">
      <c r="A10" s="2" t="s">
        <v>367</v>
      </c>
      <c r="B10" s="3" t="s">
        <v>368</v>
      </c>
      <c r="D10" s="14">
        <v>5.8032582653958E-10</v>
      </c>
      <c r="E10" s="14">
        <v>4.1337531531139092E-7</v>
      </c>
      <c r="F10" s="14">
        <v>2.9843249756181677E-5</v>
      </c>
      <c r="G10" s="14">
        <v>5.2124472013551481E-6</v>
      </c>
      <c r="H10" s="14">
        <v>0</v>
      </c>
      <c r="I10" s="14">
        <v>1.1917227941352398E-7</v>
      </c>
      <c r="J10" s="14">
        <v>4.4111751219117252E-6</v>
      </c>
      <c r="K10" s="14">
        <v>0</v>
      </c>
      <c r="M10" s="21"/>
      <c r="N10" s="12"/>
    </row>
    <row r="11" spans="1:24">
      <c r="A11" s="2" t="s">
        <v>369</v>
      </c>
      <c r="B11" s="3" t="s">
        <v>370</v>
      </c>
      <c r="D11" s="14">
        <v>2.3867074054405923E-16</v>
      </c>
      <c r="E11" s="14">
        <v>2.4516823289727484E-8</v>
      </c>
      <c r="F11" s="14">
        <v>2.2368958877624986E-5</v>
      </c>
      <c r="G11" s="14">
        <v>1.6343314688068439E-5</v>
      </c>
      <c r="H11" s="14">
        <v>0</v>
      </c>
      <c r="I11" s="14">
        <v>5.525644980902596E-7</v>
      </c>
      <c r="J11" s="14">
        <v>7.10645112687927E-7</v>
      </c>
      <c r="K11" s="14">
        <v>0</v>
      </c>
      <c r="M11" s="21"/>
      <c r="N11" s="12"/>
    </row>
    <row r="12" spans="1:24">
      <c r="A12" s="2" t="s">
        <v>371</v>
      </c>
      <c r="B12" s="3" t="s">
        <v>372</v>
      </c>
      <c r="D12" s="14">
        <v>2.9980083567533089E-6</v>
      </c>
      <c r="E12" s="14">
        <v>3.6828002571484218E-5</v>
      </c>
      <c r="F12" s="14">
        <v>1.0352099265342808E-9</v>
      </c>
      <c r="G12" s="14">
        <v>5.1311692826766589E-10</v>
      </c>
      <c r="H12" s="14">
        <v>0</v>
      </c>
      <c r="I12" s="14">
        <v>4.5877968634172857E-9</v>
      </c>
      <c r="J12" s="14">
        <v>1.6785294804425709E-7</v>
      </c>
      <c r="K12" s="14">
        <v>0</v>
      </c>
      <c r="M12" s="21"/>
      <c r="N12" s="12"/>
    </row>
    <row r="13" spans="1:24">
      <c r="A13" s="2" t="s">
        <v>293</v>
      </c>
      <c r="B13" s="3" t="s">
        <v>294</v>
      </c>
      <c r="D13" s="14">
        <v>7.007588681367844E-13</v>
      </c>
      <c r="E13" s="14">
        <v>2.0976896869388117E-5</v>
      </c>
      <c r="F13" s="14">
        <v>5.6213783586291114E-6</v>
      </c>
      <c r="G13" s="14">
        <v>1.4419107269978398E-6</v>
      </c>
      <c r="H13" s="14">
        <v>0</v>
      </c>
      <c r="I13" s="14">
        <v>3.5016106143790309E-8</v>
      </c>
      <c r="J13" s="14">
        <v>1.1924797238082279E-5</v>
      </c>
      <c r="K13" s="14">
        <v>0</v>
      </c>
      <c r="M13" s="21"/>
      <c r="N13" s="12"/>
    </row>
    <row r="14" spans="1:24">
      <c r="A14" s="2" t="s">
        <v>373</v>
      </c>
      <c r="B14" s="3" t="s">
        <v>374</v>
      </c>
      <c r="D14" s="14">
        <v>3.4314803726401701E-12</v>
      </c>
      <c r="E14" s="14">
        <v>3.5222460012397039E-7</v>
      </c>
      <c r="F14" s="14">
        <v>3.954406024334805E-5</v>
      </c>
      <c r="G14" s="14">
        <v>6.1950798632158667E-8</v>
      </c>
      <c r="H14" s="14">
        <v>0</v>
      </c>
      <c r="I14" s="14">
        <v>1.048864684649164E-8</v>
      </c>
      <c r="J14" s="14">
        <v>3.1272279568954132E-8</v>
      </c>
      <c r="K14" s="14">
        <v>0</v>
      </c>
      <c r="M14" s="21"/>
      <c r="N14" s="12"/>
    </row>
    <row r="15" spans="1:24">
      <c r="A15" s="2" t="s">
        <v>375</v>
      </c>
      <c r="B15" s="3" t="s">
        <v>376</v>
      </c>
      <c r="D15" s="14">
        <v>3.4056382447825042E-6</v>
      </c>
      <c r="E15" s="14">
        <v>3.0479732755733827E-5</v>
      </c>
      <c r="F15" s="14">
        <v>7.7852529748672261E-7</v>
      </c>
      <c r="G15" s="14">
        <v>2.3744787348426095E-7</v>
      </c>
      <c r="H15" s="14">
        <v>0</v>
      </c>
      <c r="I15" s="14">
        <v>9.0879003744767563E-9</v>
      </c>
      <c r="J15" s="14">
        <v>5.0895679281382079E-6</v>
      </c>
      <c r="K15" s="14">
        <v>0</v>
      </c>
      <c r="M15" s="21"/>
      <c r="N15" s="12"/>
    </row>
    <row r="16" spans="1:24">
      <c r="A16" s="2" t="s">
        <v>377</v>
      </c>
      <c r="B16" s="3" t="s">
        <v>378</v>
      </c>
      <c r="D16" s="14">
        <v>2.6657060235893012E-8</v>
      </c>
      <c r="E16" s="14">
        <v>1.9566128161576809E-5</v>
      </c>
      <c r="F16" s="14">
        <v>6.4045182602874347E-6</v>
      </c>
      <c r="G16" s="14">
        <v>1.61875835730928E-6</v>
      </c>
      <c r="H16" s="14">
        <v>0</v>
      </c>
      <c r="I16" s="14">
        <v>3.8836968932265739E-8</v>
      </c>
      <c r="J16" s="14">
        <v>1.2345101191658325E-5</v>
      </c>
      <c r="K16" s="14">
        <v>0</v>
      </c>
      <c r="M16" s="21"/>
      <c r="N16" s="12"/>
      <c r="V16" s="22"/>
      <c r="X16" s="22"/>
    </row>
    <row r="17" spans="1:14">
      <c r="A17" s="2" t="s">
        <v>379</v>
      </c>
      <c r="B17" s="3" t="s">
        <v>380</v>
      </c>
      <c r="D17" s="14">
        <v>8.0158034057619072E-8</v>
      </c>
      <c r="E17" s="14">
        <v>2.0414544670319157E-5</v>
      </c>
      <c r="F17" s="14">
        <v>5.8968661778902442E-6</v>
      </c>
      <c r="G17" s="14">
        <v>1.5042389416683391E-6</v>
      </c>
      <c r="H17" s="14">
        <v>0</v>
      </c>
      <c r="I17" s="14">
        <v>3.6354550902178543E-8</v>
      </c>
      <c r="J17" s="14">
        <v>1.2067837625162471E-5</v>
      </c>
      <c r="K17" s="14">
        <v>0</v>
      </c>
      <c r="M17" s="21"/>
      <c r="N17" s="12"/>
    </row>
    <row r="18" spans="1:14">
      <c r="A18" s="2" t="s">
        <v>381</v>
      </c>
      <c r="B18" s="3" t="s">
        <v>382</v>
      </c>
      <c r="D18" s="14">
        <v>1.6882237930623738E-12</v>
      </c>
      <c r="E18" s="14">
        <v>2.6227847950762712E-8</v>
      </c>
      <c r="F18" s="14">
        <v>9.7253274221817568E-6</v>
      </c>
      <c r="G18" s="14">
        <v>2.6351162974014305E-5</v>
      </c>
      <c r="H18" s="14">
        <v>0</v>
      </c>
      <c r="I18" s="14">
        <v>6.1094063791182554E-7</v>
      </c>
      <c r="J18" s="14">
        <v>3.2863394297175652E-6</v>
      </c>
      <c r="K18" s="14">
        <v>0</v>
      </c>
      <c r="M18" s="21"/>
      <c r="N18" s="12"/>
    </row>
    <row r="19" spans="1:14">
      <c r="A19" s="2" t="s">
        <v>383</v>
      </c>
      <c r="B19" s="3" t="s">
        <v>384</v>
      </c>
      <c r="D19" s="14">
        <v>4.7082961719504233E-7</v>
      </c>
      <c r="E19" s="14">
        <v>3.6124048324114636E-5</v>
      </c>
      <c r="F19" s="14">
        <v>2.5138420634976746E-7</v>
      </c>
      <c r="G19" s="14">
        <v>8.4378838767802106E-8</v>
      </c>
      <c r="H19" s="14">
        <v>0</v>
      </c>
      <c r="I19" s="14">
        <v>6.3648108620064045E-9</v>
      </c>
      <c r="J19" s="14">
        <v>3.0629942027107547E-6</v>
      </c>
      <c r="K19" s="14">
        <v>0</v>
      </c>
      <c r="M19" s="21"/>
      <c r="N19" s="12"/>
    </row>
    <row r="20" spans="1:14">
      <c r="A20" s="2" t="s">
        <v>385</v>
      </c>
      <c r="B20" s="3" t="s">
        <v>386</v>
      </c>
      <c r="D20" s="14">
        <v>8.791085707182519E-7</v>
      </c>
      <c r="E20" s="14">
        <v>3.4472688474422198E-5</v>
      </c>
      <c r="F20" s="14">
        <v>4.4824631613492116E-7</v>
      </c>
      <c r="G20" s="14">
        <v>1.4368528191559769E-7</v>
      </c>
      <c r="H20" s="14">
        <v>0</v>
      </c>
      <c r="I20" s="14">
        <v>7.4844955747637719E-9</v>
      </c>
      <c r="J20" s="14">
        <v>4.0487868612342704E-6</v>
      </c>
      <c r="K20" s="14">
        <v>0</v>
      </c>
      <c r="M20" s="21"/>
      <c r="N20" s="12"/>
    </row>
    <row r="21" spans="1:14">
      <c r="A21" s="2" t="s">
        <v>387</v>
      </c>
      <c r="B21" s="3" t="s">
        <v>388</v>
      </c>
      <c r="D21" s="14">
        <v>7.4491317524799353E-8</v>
      </c>
      <c r="E21" s="14">
        <v>4.2424925657515669E-6</v>
      </c>
      <c r="F21" s="14">
        <v>3.1630252896686733E-5</v>
      </c>
      <c r="G21" s="14">
        <v>1.2765029607247634E-6</v>
      </c>
      <c r="H21" s="14">
        <v>0</v>
      </c>
      <c r="I21" s="14">
        <v>3.2573944888062217E-8</v>
      </c>
      <c r="J21" s="14">
        <v>2.7436863144240825E-6</v>
      </c>
      <c r="K21" s="14">
        <v>0</v>
      </c>
      <c r="M21" s="21"/>
      <c r="N21" s="12"/>
    </row>
    <row r="22" spans="1:14">
      <c r="A22" s="2" t="s">
        <v>295</v>
      </c>
      <c r="B22" s="3" t="s">
        <v>296</v>
      </c>
      <c r="D22" s="14">
        <v>2.6218224357404307E-6</v>
      </c>
      <c r="E22" s="14">
        <v>3.6133989672757185E-5</v>
      </c>
      <c r="F22" s="14">
        <v>4.0520751426717636E-8</v>
      </c>
      <c r="G22" s="14">
        <v>1.5558690646130805E-8</v>
      </c>
      <c r="H22" s="14">
        <v>0</v>
      </c>
      <c r="I22" s="14">
        <v>4.8334836925715563E-9</v>
      </c>
      <c r="J22" s="14">
        <v>1.183274965736973E-6</v>
      </c>
      <c r="K22" s="14">
        <v>0</v>
      </c>
      <c r="M22" s="21"/>
      <c r="N22" s="12"/>
    </row>
    <row r="23" spans="1:14">
      <c r="A23" s="2" t="s">
        <v>389</v>
      </c>
      <c r="B23" s="3" t="s">
        <v>390</v>
      </c>
      <c r="D23" s="14">
        <v>2.7571721369767245E-6</v>
      </c>
      <c r="E23" s="14">
        <v>2.889591968815367E-5</v>
      </c>
      <c r="F23" s="14">
        <v>1.3450489689520345E-6</v>
      </c>
      <c r="G23" s="14">
        <v>3.9249456858924635E-7</v>
      </c>
      <c r="H23" s="14">
        <v>0</v>
      </c>
      <c r="I23" s="14">
        <v>1.2367709550502062E-8</v>
      </c>
      <c r="J23" s="14">
        <v>6.596996927777822E-6</v>
      </c>
      <c r="K23" s="14">
        <v>0</v>
      </c>
      <c r="M23" s="21"/>
    </row>
    <row r="24" spans="1:14">
      <c r="A24" s="2" t="s">
        <v>391</v>
      </c>
      <c r="B24" s="3" t="s">
        <v>392</v>
      </c>
      <c r="D24" s="14">
        <v>7.8697027736874114E-8</v>
      </c>
      <c r="E24" s="14">
        <v>1.5140874881168639E-5</v>
      </c>
      <c r="F24" s="14">
        <v>9.2604596752337811E-6</v>
      </c>
      <c r="G24" s="14">
        <v>2.2352602770450001E-6</v>
      </c>
      <c r="H24" s="14">
        <v>0</v>
      </c>
      <c r="I24" s="14">
        <v>5.2243842311483023E-8</v>
      </c>
      <c r="J24" s="14">
        <v>1.3232464296504226E-5</v>
      </c>
      <c r="K24" s="14">
        <v>0</v>
      </c>
      <c r="M24" s="21"/>
    </row>
    <row r="25" spans="1:14">
      <c r="A25" s="2" t="s">
        <v>393</v>
      </c>
      <c r="B25" s="3" t="s">
        <v>394</v>
      </c>
      <c r="D25" s="14">
        <v>7.7660233780007998E-9</v>
      </c>
      <c r="E25" s="14">
        <v>3.6526775394566315E-8</v>
      </c>
      <c r="F25" s="14">
        <v>1.1589719056223676E-5</v>
      </c>
      <c r="G25" s="14">
        <v>2.4186245890218978E-5</v>
      </c>
      <c r="H25" s="14">
        <v>0</v>
      </c>
      <c r="I25" s="14">
        <v>5.5997127111744208E-7</v>
      </c>
      <c r="J25" s="14">
        <v>3.619770983667337E-6</v>
      </c>
      <c r="K25" s="14">
        <v>0</v>
      </c>
      <c r="M25" s="21"/>
    </row>
    <row r="26" spans="1:14">
      <c r="A26" s="2" t="s">
        <v>395</v>
      </c>
      <c r="B26" s="3" t="s">
        <v>396</v>
      </c>
      <c r="D26" s="14">
        <v>5.316677744388855E-6</v>
      </c>
      <c r="E26" s="14">
        <v>5.4471956973148659E-6</v>
      </c>
      <c r="F26" s="14">
        <v>1.5314913649415045E-5</v>
      </c>
      <c r="G26" s="14">
        <v>3.3037723018807637E-6</v>
      </c>
      <c r="H26" s="14">
        <v>0</v>
      </c>
      <c r="I26" s="14">
        <v>7.5447245969562671E-8</v>
      </c>
      <c r="J26" s="14">
        <v>1.054199336103091E-5</v>
      </c>
      <c r="K26" s="14">
        <v>0</v>
      </c>
    </row>
    <row r="27" spans="1:14">
      <c r="A27" s="2" t="s">
        <v>397</v>
      </c>
      <c r="B27" s="3" t="s">
        <v>398</v>
      </c>
      <c r="D27" s="14">
        <v>2.4141274146717725E-5</v>
      </c>
      <c r="E27" s="14">
        <v>6.4439598891033022E-7</v>
      </c>
      <c r="F27" s="14">
        <v>1.0172657035400206E-5</v>
      </c>
      <c r="G27" s="14">
        <v>1.9325465251692213E-6</v>
      </c>
      <c r="H27" s="14">
        <v>0</v>
      </c>
      <c r="I27" s="14">
        <v>4.4040838245341874E-8</v>
      </c>
      <c r="J27" s="14">
        <v>3.0650854655571869E-6</v>
      </c>
      <c r="K27" s="14">
        <v>0</v>
      </c>
    </row>
    <row r="28" spans="1:14">
      <c r="A28" s="2" t="s">
        <v>399</v>
      </c>
      <c r="B28" s="3" t="s">
        <v>400</v>
      </c>
      <c r="D28" s="14">
        <v>3.0655285406847404E-5</v>
      </c>
      <c r="E28" s="14">
        <v>1.1648178155149547E-6</v>
      </c>
      <c r="F28" s="14">
        <v>4.5329359101669547E-6</v>
      </c>
      <c r="G28" s="14">
        <v>9.5471805143563803E-7</v>
      </c>
      <c r="H28" s="14">
        <v>0</v>
      </c>
      <c r="I28" s="14">
        <v>2.177243979800119E-8</v>
      </c>
      <c r="J28" s="14">
        <v>2.6704703762370487E-6</v>
      </c>
      <c r="K28" s="14">
        <v>0</v>
      </c>
    </row>
    <row r="29" spans="1:14">
      <c r="A29" s="2" t="s">
        <v>297</v>
      </c>
      <c r="B29" s="3" t="s">
        <v>298</v>
      </c>
      <c r="D29" s="14">
        <v>3.7264231674765039E-5</v>
      </c>
      <c r="E29" s="14">
        <v>2.3665997364030672E-6</v>
      </c>
      <c r="F29" s="14">
        <v>3.9515400330439876E-8</v>
      </c>
      <c r="G29" s="14">
        <v>1.2435462480209908E-8</v>
      </c>
      <c r="H29" s="14">
        <v>0</v>
      </c>
      <c r="I29" s="14">
        <v>5.7131346271010732E-10</v>
      </c>
      <c r="J29" s="14">
        <v>3.1664641255853424E-7</v>
      </c>
      <c r="K29" s="14">
        <v>0</v>
      </c>
    </row>
    <row r="30" spans="1:14">
      <c r="A30" s="2" t="s">
        <v>401</v>
      </c>
      <c r="B30" s="3" t="s">
        <v>402</v>
      </c>
      <c r="D30" s="14">
        <v>3.635924438839351E-5</v>
      </c>
      <c r="E30" s="14">
        <v>4.792338539034502E-7</v>
      </c>
      <c r="F30" s="14">
        <v>1.7301711423028923E-6</v>
      </c>
      <c r="G30" s="14">
        <v>3.664245975003282E-7</v>
      </c>
      <c r="H30" s="14">
        <v>0</v>
      </c>
      <c r="I30" s="14">
        <v>8.3585121597385344E-9</v>
      </c>
      <c r="J30" s="14">
        <v>1.0565675057400954E-6</v>
      </c>
      <c r="K30" s="14">
        <v>0</v>
      </c>
    </row>
    <row r="31" spans="1:14">
      <c r="A31" s="2" t="s">
        <v>299</v>
      </c>
      <c r="B31" s="3" t="s">
        <v>300</v>
      </c>
      <c r="D31" s="14">
        <v>3.9921548388765577E-5</v>
      </c>
      <c r="E31" s="14">
        <v>1.7911007591479279E-8</v>
      </c>
      <c r="F31" s="14">
        <v>2.8332284379305923E-8</v>
      </c>
      <c r="G31" s="14">
        <v>6.3764234115345543E-9</v>
      </c>
      <c r="H31" s="14">
        <v>0</v>
      </c>
      <c r="I31" s="14">
        <v>1.462921156261011E-10</v>
      </c>
      <c r="J31" s="14">
        <v>2.5685603736474543E-8</v>
      </c>
      <c r="K31" s="14">
        <v>0</v>
      </c>
    </row>
    <row r="32" spans="1:14">
      <c r="A32" s="2" t="s">
        <v>343</v>
      </c>
      <c r="B32" s="3" t="s">
        <v>344</v>
      </c>
      <c r="D32" s="14">
        <v>7.8501377956245723E-8</v>
      </c>
      <c r="E32" s="14">
        <v>2.2469319550622259E-5</v>
      </c>
      <c r="F32" s="14">
        <v>4.8078564798982424E-6</v>
      </c>
      <c r="G32" s="14">
        <v>1.2538542327150588E-6</v>
      </c>
      <c r="H32" s="14">
        <v>0</v>
      </c>
      <c r="I32" s="14">
        <v>3.0956195208300935E-8</v>
      </c>
      <c r="J32" s="14">
        <v>1.1359512163599904E-5</v>
      </c>
      <c r="K32" s="14">
        <v>0</v>
      </c>
    </row>
    <row r="33" spans="1:11">
      <c r="A33" s="2" t="s">
        <v>345</v>
      </c>
      <c r="B33" s="3" t="s">
        <v>346</v>
      </c>
      <c r="D33" s="14">
        <v>3.3446883307160644E-9</v>
      </c>
      <c r="E33" s="14">
        <v>2.8405883106016624E-5</v>
      </c>
      <c r="F33" s="14">
        <v>2.2920805183304656E-6</v>
      </c>
      <c r="G33" s="14">
        <v>6.422815181478648E-7</v>
      </c>
      <c r="H33" s="14">
        <v>0</v>
      </c>
      <c r="I33" s="14">
        <v>1.7915774412045348E-8</v>
      </c>
      <c r="J33" s="14">
        <v>8.6384943947622926E-6</v>
      </c>
      <c r="K33" s="14">
        <v>0</v>
      </c>
    </row>
    <row r="34" spans="1:11">
      <c r="A34" s="2" t="s">
        <v>347</v>
      </c>
      <c r="B34" s="3" t="s">
        <v>348</v>
      </c>
      <c r="D34" s="14">
        <v>2.8940867271776097E-9</v>
      </c>
      <c r="E34" s="14">
        <v>6.9567145249326963E-6</v>
      </c>
      <c r="F34" s="14">
        <v>1.6833939281578558E-5</v>
      </c>
      <c r="G34" s="14">
        <v>3.6718193971203343E-6</v>
      </c>
      <c r="H34" s="14">
        <v>0</v>
      </c>
      <c r="I34" s="14">
        <v>8.3927738523424114E-8</v>
      </c>
      <c r="J34" s="14">
        <v>1.2450704971117816E-5</v>
      </c>
      <c r="K34" s="14">
        <v>0</v>
      </c>
    </row>
    <row r="35" spans="1:11">
      <c r="A35" s="2" t="s">
        <v>349</v>
      </c>
      <c r="B35" s="3" t="s">
        <v>350</v>
      </c>
      <c r="D35" s="14">
        <v>5.2970828864776959E-7</v>
      </c>
      <c r="E35" s="14">
        <v>8.2914294392375767E-7</v>
      </c>
      <c r="F35" s="14">
        <v>2.7714751156734519E-5</v>
      </c>
      <c r="G35" s="14">
        <v>4.9820323003925394E-6</v>
      </c>
      <c r="H35" s="14">
        <v>0</v>
      </c>
      <c r="I35" s="14">
        <v>1.1368581540853187E-7</v>
      </c>
      <c r="J35" s="14">
        <v>5.8306794948928891E-6</v>
      </c>
      <c r="K35" s="14">
        <v>0</v>
      </c>
    </row>
    <row r="36" spans="1:11">
      <c r="A36" s="2" t="s">
        <v>351</v>
      </c>
      <c r="B36" s="3" t="s">
        <v>352</v>
      </c>
      <c r="D36" s="14">
        <v>1.4387968848477991E-8</v>
      </c>
      <c r="E36" s="14">
        <v>1.8477879449089012E-7</v>
      </c>
      <c r="F36" s="14">
        <v>2.3827238050579355E-5</v>
      </c>
      <c r="G36" s="14">
        <v>1.0999406670956878E-5</v>
      </c>
      <c r="H36" s="14">
        <v>0</v>
      </c>
      <c r="I36" s="14">
        <v>2.526679062837667E-7</v>
      </c>
      <c r="J36" s="14">
        <v>4.7215206088406453E-6</v>
      </c>
      <c r="K36" s="14">
        <v>0</v>
      </c>
    </row>
    <row r="37" spans="1:11">
      <c r="A37" s="2" t="s">
        <v>353</v>
      </c>
      <c r="B37" s="3" t="s">
        <v>354</v>
      </c>
      <c r="D37" s="14">
        <v>9.9227305384868028E-8</v>
      </c>
      <c r="E37" s="14">
        <v>2.8725251407578895E-8</v>
      </c>
      <c r="F37" s="14">
        <v>1.0200123091633986E-5</v>
      </c>
      <c r="G37" s="14">
        <v>2.5704015124315435E-5</v>
      </c>
      <c r="H37" s="14">
        <v>0</v>
      </c>
      <c r="I37" s="14">
        <v>5.957070951978008E-7</v>
      </c>
      <c r="J37" s="14">
        <v>3.3722021320603348E-6</v>
      </c>
      <c r="K37" s="14">
        <v>0</v>
      </c>
    </row>
    <row r="38" spans="1:11">
      <c r="A38" s="2" t="s">
        <v>355</v>
      </c>
      <c r="B38" s="3" t="s">
        <v>356</v>
      </c>
      <c r="D38" s="14">
        <v>5.4053203255294454E-9</v>
      </c>
      <c r="E38" s="14">
        <v>1.020831532235413E-7</v>
      </c>
      <c r="F38" s="14">
        <v>1.8936322909243974E-5</v>
      </c>
      <c r="G38" s="14">
        <v>1.6076488941218835E-5</v>
      </c>
      <c r="H38" s="14">
        <v>0</v>
      </c>
      <c r="I38" s="14">
        <v>3.7045463168103175E-7</v>
      </c>
      <c r="J38" s="14">
        <v>4.5092450443070904E-6</v>
      </c>
      <c r="K38" s="14">
        <v>0</v>
      </c>
    </row>
    <row r="39" spans="1:11">
      <c r="A39" s="2" t="s">
        <v>357</v>
      </c>
      <c r="B39" s="3" t="s">
        <v>358</v>
      </c>
      <c r="D39" s="14">
        <v>1.0881975480852509E-6</v>
      </c>
      <c r="E39" s="14">
        <v>1.5298201734637609E-7</v>
      </c>
      <c r="F39" s="14">
        <v>2.1886784303169238E-5</v>
      </c>
      <c r="G39" s="14">
        <v>1.2024790350492513E-5</v>
      </c>
      <c r="H39" s="14">
        <v>0</v>
      </c>
      <c r="I39" s="14">
        <v>2.7646761815643283E-7</v>
      </c>
      <c r="J39" s="14">
        <v>4.5707781627501939E-6</v>
      </c>
      <c r="K39" s="14">
        <v>0</v>
      </c>
    </row>
    <row r="40" spans="1:11">
      <c r="A40" s="2" t="s">
        <v>359</v>
      </c>
      <c r="B40" s="3" t="s">
        <v>360</v>
      </c>
      <c r="D40" s="14">
        <v>5.4053203255294454E-9</v>
      </c>
      <c r="E40" s="14">
        <v>1.020831532235413E-7</v>
      </c>
      <c r="F40" s="14">
        <v>1.8936322909243974E-5</v>
      </c>
      <c r="G40" s="14">
        <v>1.6076488941218835E-5</v>
      </c>
      <c r="H40" s="14">
        <v>0</v>
      </c>
      <c r="I40" s="14">
        <v>3.7045463168103175E-7</v>
      </c>
      <c r="J40" s="14">
        <v>4.5092450443070904E-6</v>
      </c>
      <c r="K40" s="14">
        <v>0</v>
      </c>
    </row>
    <row r="41" spans="1:11">
      <c r="A41" s="2" t="s">
        <v>313</v>
      </c>
      <c r="B41" s="3" t="s">
        <v>314</v>
      </c>
      <c r="D41" s="14">
        <v>2.2446247632482702E-12</v>
      </c>
      <c r="E41" s="14">
        <v>3.8165767361614326E-5</v>
      </c>
      <c r="F41" s="14">
        <v>1.8215268322744857E-6</v>
      </c>
      <c r="G41" s="14">
        <v>4.3346708267541702E-10</v>
      </c>
      <c r="H41" s="14">
        <v>0</v>
      </c>
      <c r="I41" s="14">
        <v>5.0578779313208039E-9</v>
      </c>
      <c r="J41" s="14">
        <v>7.2122164724313654E-9</v>
      </c>
      <c r="K41" s="14">
        <v>0</v>
      </c>
    </row>
    <row r="42" spans="1:11">
      <c r="A42" s="2" t="s">
        <v>315</v>
      </c>
      <c r="B42" s="3" t="s">
        <v>316</v>
      </c>
      <c r="D42" s="14">
        <v>1.4317682371346838E-7</v>
      </c>
      <c r="E42" s="14">
        <v>2.6133968554701648E-8</v>
      </c>
      <c r="F42" s="14">
        <v>9.6905167939287437E-6</v>
      </c>
      <c r="G42" s="14">
        <v>2.6256842186805562E-5</v>
      </c>
      <c r="H42" s="14">
        <v>0</v>
      </c>
      <c r="I42" s="14">
        <v>6.087538501043015E-7</v>
      </c>
      <c r="J42" s="14">
        <v>3.2745763768932265E-6</v>
      </c>
      <c r="K42" s="14">
        <v>0</v>
      </c>
    </row>
    <row r="43" spans="1:11">
      <c r="A43" s="2" t="s">
        <v>317</v>
      </c>
      <c r="B43" s="3" t="s">
        <v>318</v>
      </c>
      <c r="D43" s="14">
        <v>1.7642286876544246E-16</v>
      </c>
      <c r="E43" s="14">
        <v>1.4137985122370345E-5</v>
      </c>
      <c r="F43" s="14">
        <v>1.0046830946362475E-5</v>
      </c>
      <c r="G43" s="14">
        <v>2.3984167581702538E-6</v>
      </c>
      <c r="H43" s="14">
        <v>0</v>
      </c>
      <c r="I43" s="14">
        <v>5.5818963402904095E-8</v>
      </c>
      <c r="J43" s="14">
        <v>1.3360948209517597E-5</v>
      </c>
      <c r="K43" s="14">
        <v>0</v>
      </c>
    </row>
    <row r="44" spans="1:11">
      <c r="A44" s="2" t="s">
        <v>307</v>
      </c>
      <c r="B44" s="3" t="s">
        <v>308</v>
      </c>
      <c r="D44" s="14">
        <v>4.8002392575963992E-9</v>
      </c>
      <c r="E44" s="14">
        <v>2.7658939537841323E-7</v>
      </c>
      <c r="F44" s="14">
        <v>2.7035667666575528E-5</v>
      </c>
      <c r="G44" s="14">
        <v>7.8457172863931642E-6</v>
      </c>
      <c r="H44" s="14">
        <v>0</v>
      </c>
      <c r="I44" s="14">
        <v>1.7980668427106035E-7</v>
      </c>
      <c r="J44" s="14">
        <v>4.6574187281242384E-6</v>
      </c>
      <c r="K44" s="14">
        <v>0</v>
      </c>
    </row>
    <row r="45" spans="1:11">
      <c r="A45" s="2" t="s">
        <v>319</v>
      </c>
      <c r="B45" s="3" t="s">
        <v>320</v>
      </c>
      <c r="D45" s="14">
        <v>4.6941181322985143E-10</v>
      </c>
      <c r="E45" s="14">
        <v>1.1760523537059586E-8</v>
      </c>
      <c r="F45" s="14">
        <v>6.2191098758097523E-6</v>
      </c>
      <c r="G45" s="14">
        <v>3.0543850483989443E-5</v>
      </c>
      <c r="H45" s="14">
        <v>0</v>
      </c>
      <c r="I45" s="14">
        <v>7.1039784958551919E-7</v>
      </c>
      <c r="J45" s="14">
        <v>2.5144118552650065E-6</v>
      </c>
      <c r="K45" s="14">
        <v>0</v>
      </c>
    </row>
    <row r="46" spans="1:11">
      <c r="A46" s="2" t="s">
        <v>321</v>
      </c>
      <c r="B46" s="3" t="s">
        <v>322</v>
      </c>
      <c r="D46" s="14">
        <v>6.8945001897443265E-10</v>
      </c>
      <c r="E46" s="14">
        <v>2.3413989995513978E-8</v>
      </c>
      <c r="F46" s="14">
        <v>9.1448587701035596E-6</v>
      </c>
      <c r="G46" s="14">
        <v>2.7031650155406708E-5</v>
      </c>
      <c r="H46" s="14">
        <v>0</v>
      </c>
      <c r="I46" s="14">
        <v>6.2700774069334867E-7</v>
      </c>
      <c r="J46" s="14">
        <v>3.1723798937818992E-6</v>
      </c>
      <c r="K46" s="14">
        <v>0</v>
      </c>
    </row>
    <row r="47" spans="1:11">
      <c r="A47" s="2" t="s">
        <v>323</v>
      </c>
      <c r="B47" s="3" t="s">
        <v>324</v>
      </c>
      <c r="D47" s="14">
        <v>6.4806487060901056E-9</v>
      </c>
      <c r="E47" s="14">
        <v>5.1907620525179845E-8</v>
      </c>
      <c r="F47" s="14">
        <v>1.3851368883303103E-5</v>
      </c>
      <c r="G47" s="14">
        <v>2.1626600149810401E-5</v>
      </c>
      <c r="H47" s="14">
        <v>0</v>
      </c>
      <c r="I47" s="14">
        <v>4.9994174292825015E-7</v>
      </c>
      <c r="J47" s="14">
        <v>3.9637009547269759E-6</v>
      </c>
      <c r="K47" s="14">
        <v>0</v>
      </c>
    </row>
    <row r="48" spans="1:11">
      <c r="A48" s="2" t="s">
        <v>325</v>
      </c>
      <c r="B48" s="3" t="s">
        <v>326</v>
      </c>
      <c r="D48" s="14">
        <v>4.0549986112790776E-9</v>
      </c>
      <c r="E48" s="14">
        <v>2.3739050831048387E-6</v>
      </c>
      <c r="F48" s="14">
        <v>2.3892683200346395E-5</v>
      </c>
      <c r="G48" s="14">
        <v>4.6920267569420728E-6</v>
      </c>
      <c r="H48" s="14">
        <v>0</v>
      </c>
      <c r="I48" s="14">
        <v>1.0688474499202648E-7</v>
      </c>
      <c r="J48" s="14">
        <v>8.9304452160033913E-6</v>
      </c>
      <c r="K48" s="14">
        <v>0</v>
      </c>
    </row>
    <row r="49" spans="1:11">
      <c r="A49" s="2" t="s">
        <v>275</v>
      </c>
      <c r="B49" s="3" t="s">
        <v>276</v>
      </c>
      <c r="D49" s="14">
        <v>6.167225947815502E-11</v>
      </c>
      <c r="E49" s="14">
        <v>2.5721867721072675E-7</v>
      </c>
      <c r="F49" s="14">
        <v>2.6482810615157438E-5</v>
      </c>
      <c r="G49" s="14">
        <v>8.3841614004864475E-6</v>
      </c>
      <c r="H49" s="14">
        <v>0</v>
      </c>
      <c r="I49" s="14">
        <v>1.9222891189453179E-7</v>
      </c>
      <c r="J49" s="14">
        <v>4.6835187229913827E-6</v>
      </c>
      <c r="K49" s="14">
        <v>0</v>
      </c>
    </row>
    <row r="50" spans="1:11">
      <c r="A50" s="2" t="s">
        <v>327</v>
      </c>
      <c r="B50" s="3" t="s">
        <v>328</v>
      </c>
      <c r="D50" s="14">
        <v>3.2120584348938925E-9</v>
      </c>
      <c r="E50" s="14">
        <v>2.271935920801323E-7</v>
      </c>
      <c r="F50" s="14">
        <v>2.5506898407883192E-5</v>
      </c>
      <c r="G50" s="14">
        <v>9.335835866778031E-6</v>
      </c>
      <c r="H50" s="14">
        <v>0</v>
      </c>
      <c r="I50" s="14">
        <v>2.1420300369764756E-7</v>
      </c>
      <c r="J50" s="14">
        <v>4.7126570711261025E-6</v>
      </c>
      <c r="K50" s="14">
        <v>0</v>
      </c>
    </row>
    <row r="51" spans="1:11">
      <c r="A51" s="2" t="s">
        <v>329</v>
      </c>
      <c r="B51" s="3" t="s">
        <v>330</v>
      </c>
      <c r="D51" s="14">
        <v>2.1217189466855167E-9</v>
      </c>
      <c r="E51" s="14">
        <v>1.5237036053227807E-6</v>
      </c>
      <c r="F51" s="14">
        <v>2.5927585165656064E-5</v>
      </c>
      <c r="G51" s="14">
        <v>4.8984381053927641E-6</v>
      </c>
      <c r="H51" s="14">
        <v>0</v>
      </c>
      <c r="I51" s="14">
        <v>1.1164182688354562E-7</v>
      </c>
      <c r="J51" s="14">
        <v>7.5365095777981677E-6</v>
      </c>
      <c r="K51" s="14">
        <v>0</v>
      </c>
    </row>
    <row r="52" spans="1:11">
      <c r="A52" s="2" t="s">
        <v>277</v>
      </c>
      <c r="B52" s="3" t="s">
        <v>278</v>
      </c>
      <c r="D52" s="14">
        <v>6.3114050825343902E-9</v>
      </c>
      <c r="E52" s="14">
        <v>2.2776065116965868E-6</v>
      </c>
      <c r="F52" s="14">
        <v>2.4099069275822977E-5</v>
      </c>
      <c r="G52" s="14">
        <v>4.7151533903224365E-6</v>
      </c>
      <c r="H52" s="14">
        <v>0</v>
      </c>
      <c r="I52" s="14">
        <v>1.0741403538908605E-7</v>
      </c>
      <c r="J52" s="14">
        <v>8.7944453816863917E-6</v>
      </c>
      <c r="K52" s="14">
        <v>0</v>
      </c>
    </row>
    <row r="53" spans="1:11">
      <c r="A53" s="2" t="s">
        <v>331</v>
      </c>
      <c r="B53" s="3" t="s">
        <v>332</v>
      </c>
      <c r="D53" s="14">
        <v>2.1422844778293245E-9</v>
      </c>
      <c r="E53" s="14">
        <v>1.5087934208451169E-7</v>
      </c>
      <c r="F53" s="14">
        <v>2.2153959424994325E-5</v>
      </c>
      <c r="G53" s="14">
        <v>1.2712966756324667E-5</v>
      </c>
      <c r="H53" s="14">
        <v>0</v>
      </c>
      <c r="I53" s="14">
        <v>2.9235508863422241E-7</v>
      </c>
      <c r="J53" s="14">
        <v>4.687697103484448E-6</v>
      </c>
      <c r="K53" s="14">
        <v>0</v>
      </c>
    </row>
    <row r="54" spans="1:11">
      <c r="A54" s="2" t="s">
        <v>333</v>
      </c>
      <c r="B54" s="3" t="s">
        <v>334</v>
      </c>
      <c r="D54" s="14">
        <v>3.4966448865424398E-12</v>
      </c>
      <c r="E54" s="14">
        <v>2.4186006702242954E-7</v>
      </c>
      <c r="F54" s="14">
        <v>2.6003136946261194E-5</v>
      </c>
      <c r="G54" s="14">
        <v>8.8515901855835036E-6</v>
      </c>
      <c r="H54" s="14">
        <v>0</v>
      </c>
      <c r="I54" s="14">
        <v>2.0301892034391901E-7</v>
      </c>
      <c r="J54" s="14">
        <v>4.7003903841440725E-6</v>
      </c>
      <c r="K54" s="14">
        <v>0</v>
      </c>
    </row>
    <row r="55" spans="1:11">
      <c r="A55" s="2" t="s">
        <v>335</v>
      </c>
      <c r="B55" s="3" t="s">
        <v>336</v>
      </c>
      <c r="D55" s="14">
        <v>1.683463761934187E-8</v>
      </c>
      <c r="E55" s="14">
        <v>5.3695317266195751E-8</v>
      </c>
      <c r="F55" s="14">
        <v>1.4082442516014675E-5</v>
      </c>
      <c r="G55" s="14">
        <v>2.135863738073716E-5</v>
      </c>
      <c r="H55" s="14">
        <v>0</v>
      </c>
      <c r="I55" s="14">
        <v>4.9367171996436833E-7</v>
      </c>
      <c r="J55" s="14">
        <v>3.9947184283982702E-6</v>
      </c>
      <c r="K55" s="14">
        <v>0</v>
      </c>
    </row>
    <row r="56" spans="1:11">
      <c r="A56" s="2" t="s">
        <v>337</v>
      </c>
      <c r="B56" s="3" t="s">
        <v>338</v>
      </c>
      <c r="D56" s="14">
        <v>1.2329716604941522E-9</v>
      </c>
      <c r="E56" s="14">
        <v>2.7002609453366565E-7</v>
      </c>
      <c r="F56" s="14">
        <v>2.685513311783592E-5</v>
      </c>
      <c r="G56" s="14">
        <v>8.0227427149749239E-6</v>
      </c>
      <c r="H56" s="14">
        <v>0</v>
      </c>
      <c r="I56" s="14">
        <v>1.8388987617534706E-7</v>
      </c>
      <c r="J56" s="14">
        <v>4.6669752248196537E-6</v>
      </c>
      <c r="K56" s="14">
        <v>0</v>
      </c>
    </row>
    <row r="57" spans="1:11">
      <c r="A57" s="2" t="s">
        <v>279</v>
      </c>
      <c r="B57" s="3" t="s">
        <v>280</v>
      </c>
      <c r="D57" s="14">
        <v>1.2186491408401475E-7</v>
      </c>
      <c r="E57" s="14">
        <v>2.8437494316777427E-6</v>
      </c>
      <c r="F57" s="14">
        <v>2.2853509476834682E-5</v>
      </c>
      <c r="G57" s="14">
        <v>4.5629788619760332E-6</v>
      </c>
      <c r="H57" s="14">
        <v>0</v>
      </c>
      <c r="I57" s="14">
        <v>1.0394243512215752E-7</v>
      </c>
      <c r="J57" s="14">
        <v>9.5139548803053754E-6</v>
      </c>
      <c r="K57" s="14">
        <v>0</v>
      </c>
    </row>
    <row r="58" spans="1:11">
      <c r="A58" s="2" t="s">
        <v>339</v>
      </c>
      <c r="B58" s="3" t="s">
        <v>340</v>
      </c>
      <c r="D58" s="14">
        <v>1.2255096525069232E-11</v>
      </c>
      <c r="E58" s="14">
        <v>2.3887427217112745E-7</v>
      </c>
      <c r="F58" s="14">
        <v>2.5905438689071072E-5</v>
      </c>
      <c r="G58" s="14">
        <v>8.9471868378519348E-6</v>
      </c>
      <c r="H58" s="14">
        <v>0</v>
      </c>
      <c r="I58" s="14">
        <v>2.0522632677492181E-7</v>
      </c>
      <c r="J58" s="14">
        <v>4.7032616190344193E-6</v>
      </c>
      <c r="K58" s="14">
        <v>0</v>
      </c>
    </row>
    <row r="59" spans="1:11">
      <c r="A59" s="2" t="s">
        <v>281</v>
      </c>
      <c r="B59" s="3" t="s">
        <v>282</v>
      </c>
      <c r="D59" s="14">
        <v>9.5539774659985004E-10</v>
      </c>
      <c r="E59" s="14">
        <v>2.2779115317538409E-6</v>
      </c>
      <c r="F59" s="14">
        <v>2.4102296654851147E-5</v>
      </c>
      <c r="G59" s="14">
        <v>4.7157848498610753E-6</v>
      </c>
      <c r="H59" s="14">
        <v>0</v>
      </c>
      <c r="I59" s="14">
        <v>1.074284204178678E-7</v>
      </c>
      <c r="J59" s="14">
        <v>8.7956231453694772E-6</v>
      </c>
      <c r="K59" s="14">
        <v>0</v>
      </c>
    </row>
    <row r="60" spans="1:11">
      <c r="A60" s="2" t="s">
        <v>341</v>
      </c>
      <c r="B60" s="3" t="s">
        <v>342</v>
      </c>
      <c r="D60" s="14">
        <v>1.7929028989188214E-8</v>
      </c>
      <c r="E60" s="14">
        <v>1.7054909137746492E-7</v>
      </c>
      <c r="F60" s="14">
        <v>2.3164929580217791E-5</v>
      </c>
      <c r="G60" s="14">
        <v>1.1666122695142515E-5</v>
      </c>
      <c r="H60" s="14">
        <v>0</v>
      </c>
      <c r="I60" s="14">
        <v>2.6810190755509119E-7</v>
      </c>
      <c r="J60" s="14">
        <v>4.7123676967179592E-6</v>
      </c>
      <c r="K60" s="14">
        <v>0</v>
      </c>
    </row>
    <row r="61" spans="1:11">
      <c r="A61" s="2" t="s">
        <v>483</v>
      </c>
      <c r="B61" s="3" t="s">
        <v>484</v>
      </c>
      <c r="D61" s="14">
        <v>3.0579029312575789E-18</v>
      </c>
      <c r="E61" s="14">
        <v>1.11008644319336E-5</v>
      </c>
      <c r="F61" s="14">
        <v>1.78821899526302E-5</v>
      </c>
      <c r="G61" s="14">
        <v>2.9794650880342227E-6</v>
      </c>
      <c r="H61" s="14">
        <v>0</v>
      </c>
      <c r="I61" s="14">
        <v>1.9504546170222545E-7</v>
      </c>
      <c r="J61" s="14">
        <v>7.842435065696694E-6</v>
      </c>
      <c r="K61" s="14">
        <v>0</v>
      </c>
    </row>
    <row r="62" spans="1:11">
      <c r="A62" s="2" t="s">
        <v>485</v>
      </c>
      <c r="B62" s="3" t="s">
        <v>486</v>
      </c>
      <c r="D62" s="14">
        <v>8.2056158453524041E-12</v>
      </c>
      <c r="E62" s="14">
        <v>7.4343640099776375E-6</v>
      </c>
      <c r="F62" s="14">
        <v>1.6277413496376266E-5</v>
      </c>
      <c r="G62" s="14">
        <v>3.5766871252531271E-6</v>
      </c>
      <c r="H62" s="14">
        <v>0</v>
      </c>
      <c r="I62" s="14">
        <v>8.1811246384842679E-8</v>
      </c>
      <c r="J62" s="14">
        <v>1.2629715916392292E-5</v>
      </c>
      <c r="K62" s="14">
        <v>0</v>
      </c>
    </row>
    <row r="63" spans="1:11">
      <c r="A63" s="2" t="s">
        <v>487</v>
      </c>
      <c r="B63" s="3" t="s">
        <v>488</v>
      </c>
      <c r="D63" s="14">
        <v>2.8634647401764696E-17</v>
      </c>
      <c r="E63" s="14">
        <v>3.692148544176685E-5</v>
      </c>
      <c r="F63" s="14">
        <v>1.2771327748508468E-6</v>
      </c>
      <c r="G63" s="14">
        <v>1.6851276427855553E-7</v>
      </c>
      <c r="H63" s="14">
        <v>0</v>
      </c>
      <c r="I63" s="14">
        <v>3.174330126518375E-8</v>
      </c>
      <c r="J63" s="14">
        <v>1.6011257178099359E-6</v>
      </c>
      <c r="K63" s="14">
        <v>0</v>
      </c>
    </row>
    <row r="64" spans="1:11">
      <c r="A64" s="2" t="s">
        <v>489</v>
      </c>
      <c r="B64" s="3" t="s">
        <v>490</v>
      </c>
      <c r="D64" s="14">
        <v>5.2747651709309163E-19</v>
      </c>
      <c r="E64" s="14">
        <v>3.9328742433912743E-5</v>
      </c>
      <c r="F64" s="14">
        <v>4.8644263694578416E-7</v>
      </c>
      <c r="G64" s="14">
        <v>6.0396113821528835E-9</v>
      </c>
      <c r="H64" s="14">
        <v>0</v>
      </c>
      <c r="I64" s="14">
        <v>5.1065889341228078E-9</v>
      </c>
      <c r="J64" s="14">
        <v>1.7366872882467817E-7</v>
      </c>
      <c r="K64" s="14">
        <v>0</v>
      </c>
    </row>
    <row r="65" spans="1:11">
      <c r="A65" s="2" t="s">
        <v>491</v>
      </c>
      <c r="B65" s="3" t="s">
        <v>492</v>
      </c>
      <c r="D65" s="14">
        <v>8.7970075567304317E-17</v>
      </c>
      <c r="E65" s="14">
        <v>3.9848661105958411E-5</v>
      </c>
      <c r="F65" s="14">
        <v>6.3773641204577946E-8</v>
      </c>
      <c r="G65" s="14">
        <v>2.8365127139950413E-9</v>
      </c>
      <c r="H65" s="14">
        <v>0</v>
      </c>
      <c r="I65" s="14">
        <v>7.2330829356208251E-9</v>
      </c>
      <c r="J65" s="14">
        <v>7.7495657099428322E-8</v>
      </c>
      <c r="K65" s="14">
        <v>0</v>
      </c>
    </row>
    <row r="66" spans="1:11">
      <c r="A66" s="2" t="s">
        <v>493</v>
      </c>
      <c r="B66" s="3" t="s">
        <v>494</v>
      </c>
      <c r="D66" s="14">
        <v>1.1506138096757496E-15</v>
      </c>
      <c r="E66" s="14">
        <v>3.0855567392040634E-5</v>
      </c>
      <c r="F66" s="14">
        <v>8.036385086477897E-6</v>
      </c>
      <c r="G66" s="14">
        <v>2.0140654426715796E-7</v>
      </c>
      <c r="H66" s="14">
        <v>0</v>
      </c>
      <c r="I66" s="14">
        <v>2.1464079442383521E-7</v>
      </c>
      <c r="J66" s="14">
        <v>6.9200018163986396E-7</v>
      </c>
      <c r="K66" s="14">
        <v>0</v>
      </c>
    </row>
    <row r="67" spans="1:11">
      <c r="A67" s="2" t="s">
        <v>495</v>
      </c>
      <c r="B67" s="3" t="s">
        <v>496</v>
      </c>
      <c r="D67" s="14">
        <v>6.8723922519210902E-17</v>
      </c>
      <c r="E67" s="14">
        <v>3.9849289211158132E-5</v>
      </c>
      <c r="F67" s="14">
        <v>5.3776422110427791E-8</v>
      </c>
      <c r="G67" s="14">
        <v>2.9397258960360712E-9</v>
      </c>
      <c r="H67" s="14">
        <v>0</v>
      </c>
      <c r="I67" s="14">
        <v>6.8542569164813054E-9</v>
      </c>
      <c r="J67" s="14">
        <v>8.7140383850204607E-8</v>
      </c>
      <c r="K67" s="14">
        <v>0</v>
      </c>
    </row>
    <row r="68" spans="1:11">
      <c r="A68" s="2" t="s">
        <v>497</v>
      </c>
      <c r="B68" s="3" t="s">
        <v>498</v>
      </c>
      <c r="D68" s="14">
        <v>6.2206634210535186E-16</v>
      </c>
      <c r="E68" s="14">
        <v>3.995264808121963E-5</v>
      </c>
      <c r="F68" s="14">
        <v>6.4013815291465499E-9</v>
      </c>
      <c r="G68" s="14">
        <v>4.9390086669789982E-10</v>
      </c>
      <c r="H68" s="14">
        <v>0</v>
      </c>
      <c r="I68" s="14">
        <v>5.2169182143765728E-9</v>
      </c>
      <c r="J68" s="14">
        <v>3.5239717548083722E-8</v>
      </c>
      <c r="K68" s="14">
        <v>0</v>
      </c>
    </row>
    <row r="69" spans="1:11">
      <c r="A69" s="2" t="s">
        <v>499</v>
      </c>
      <c r="B69" s="3" t="s">
        <v>500</v>
      </c>
      <c r="D69" s="14">
        <v>3.0665169455445284E-16</v>
      </c>
      <c r="E69" s="14">
        <v>3.0529241157603107E-7</v>
      </c>
      <c r="F69" s="14">
        <v>2.777215521634787E-5</v>
      </c>
      <c r="G69" s="14">
        <v>7.1452123334802435E-6</v>
      </c>
      <c r="H69" s="14">
        <v>0</v>
      </c>
      <c r="I69" s="14">
        <v>1.6365684350194787E-7</v>
      </c>
      <c r="J69" s="14">
        <v>4.6136831947872682E-6</v>
      </c>
      <c r="K69" s="14">
        <v>0</v>
      </c>
    </row>
    <row r="70" spans="1:11">
      <c r="A70" s="2" t="s">
        <v>501</v>
      </c>
      <c r="B70" s="3" t="s">
        <v>411</v>
      </c>
      <c r="D70" s="14">
        <v>1.1150755451290115E-17</v>
      </c>
      <c r="E70" s="14">
        <v>3.878260097801839E-5</v>
      </c>
      <c r="F70" s="14">
        <v>1.2099808760172413E-6</v>
      </c>
      <c r="G70" s="14">
        <v>1.1499372185128841E-10</v>
      </c>
      <c r="H70" s="14">
        <v>0</v>
      </c>
      <c r="I70" s="14">
        <v>5.0302185671019802E-9</v>
      </c>
      <c r="J70" s="14">
        <v>2.2729336642701368E-9</v>
      </c>
      <c r="K70" s="14">
        <v>0</v>
      </c>
    </row>
    <row r="71" spans="1:11">
      <c r="A71" s="2" t="s">
        <v>502</v>
      </c>
      <c r="B71" s="3" t="s">
        <v>412</v>
      </c>
      <c r="D71" s="14">
        <v>5.0931117097089578E-13</v>
      </c>
      <c r="E71" s="14">
        <v>3.7736035928685834E-5</v>
      </c>
      <c r="F71" s="14">
        <v>2.2555780054821987E-6</v>
      </c>
      <c r="G71" s="14">
        <v>2.0498598303687759E-10</v>
      </c>
      <c r="H71" s="14">
        <v>0</v>
      </c>
      <c r="I71" s="14">
        <v>5.067157100110391E-9</v>
      </c>
      <c r="J71" s="14">
        <v>3.1134134376585577E-9</v>
      </c>
      <c r="K71" s="14">
        <v>0</v>
      </c>
    </row>
    <row r="72" spans="1:11">
      <c r="A72" s="2" t="s">
        <v>503</v>
      </c>
      <c r="B72" s="3" t="s">
        <v>413</v>
      </c>
      <c r="D72" s="14">
        <v>6.8920172802584632E-15</v>
      </c>
      <c r="E72" s="14">
        <v>1.5568939105877339E-7</v>
      </c>
      <c r="F72" s="14">
        <v>3.9785112855953403E-5</v>
      </c>
      <c r="G72" s="14">
        <v>1.8271952329733579E-8</v>
      </c>
      <c r="H72" s="14">
        <v>0</v>
      </c>
      <c r="I72" s="14">
        <v>3.740291592354598E-8</v>
      </c>
      <c r="J72" s="14">
        <v>3.5228778425382008E-9</v>
      </c>
      <c r="K72" s="14">
        <v>0</v>
      </c>
    </row>
    <row r="73" spans="1:11">
      <c r="A73" s="2" t="s">
        <v>504</v>
      </c>
      <c r="B73" s="3" t="s">
        <v>414</v>
      </c>
      <c r="D73" s="14">
        <v>9.0054729554284724E-15</v>
      </c>
      <c r="E73" s="14">
        <v>1.4442393997749398E-6</v>
      </c>
      <c r="F73" s="14">
        <v>3.8546128332682575E-5</v>
      </c>
      <c r="G73" s="14">
        <v>2.2281535800305071E-9</v>
      </c>
      <c r="H73" s="14">
        <v>0</v>
      </c>
      <c r="I73" s="14">
        <v>4.5474502254626704E-9</v>
      </c>
      <c r="J73" s="14">
        <v>2.8566547315212193E-9</v>
      </c>
      <c r="K73" s="14">
        <v>0</v>
      </c>
    </row>
    <row r="74" spans="1:11">
      <c r="A74" s="2" t="s">
        <v>505</v>
      </c>
      <c r="B74" s="3" t="s">
        <v>415</v>
      </c>
      <c r="D74" s="14">
        <v>6.2962697870843879E-14</v>
      </c>
      <c r="E74" s="14">
        <v>3.7939883329811108E-5</v>
      </c>
      <c r="F74" s="14">
        <v>2.0519064912059528E-6</v>
      </c>
      <c r="G74" s="14">
        <v>1.8729316321311487E-10</v>
      </c>
      <c r="H74" s="14">
        <v>0</v>
      </c>
      <c r="I74" s="14">
        <v>5.0604852287708111E-9</v>
      </c>
      <c r="J74" s="14">
        <v>2.9623376282609863E-9</v>
      </c>
      <c r="K74" s="14">
        <v>0</v>
      </c>
    </row>
    <row r="75" spans="1:11">
      <c r="A75" s="2" t="s">
        <v>506</v>
      </c>
      <c r="B75" s="3" t="s">
        <v>416</v>
      </c>
      <c r="D75" s="14">
        <v>3.8646776222082865E-14</v>
      </c>
      <c r="E75" s="14">
        <v>1.7087004538297229E-6</v>
      </c>
      <c r="F75" s="14">
        <v>3.82813732920795E-5</v>
      </c>
      <c r="G75" s="14">
        <v>2.2415677428363527E-9</v>
      </c>
      <c r="H75" s="14">
        <v>0</v>
      </c>
      <c r="I75" s="14">
        <v>4.599581421647231E-9</v>
      </c>
      <c r="J75" s="14">
        <v>3.0850662795256747E-9</v>
      </c>
      <c r="K75" s="14">
        <v>0</v>
      </c>
    </row>
    <row r="76" spans="1:11">
      <c r="A76" s="2" t="s">
        <v>507</v>
      </c>
      <c r="B76" s="3" t="s">
        <v>417</v>
      </c>
      <c r="D76" s="14">
        <v>8.9274498908258841E-13</v>
      </c>
      <c r="E76" s="14">
        <v>1.7915976992803757E-5</v>
      </c>
      <c r="F76" s="14">
        <v>2.206998664651833E-5</v>
      </c>
      <c r="G76" s="14">
        <v>1.6049754151042782E-9</v>
      </c>
      <c r="H76" s="14">
        <v>0</v>
      </c>
      <c r="I76" s="14">
        <v>5.2759640701040339E-9</v>
      </c>
      <c r="J76" s="14">
        <v>7.1545284477189051E-9</v>
      </c>
      <c r="K76" s="14">
        <v>0</v>
      </c>
    </row>
    <row r="77" spans="1:11">
      <c r="A77" s="2" t="s">
        <v>508</v>
      </c>
      <c r="B77" s="3" t="s">
        <v>418</v>
      </c>
      <c r="D77" s="14">
        <v>2.7880555939352509E-13</v>
      </c>
      <c r="E77" s="14">
        <v>1.5154949872981057E-6</v>
      </c>
      <c r="F77" s="14">
        <v>3.8474774094927154E-5</v>
      </c>
      <c r="G77" s="14">
        <v>2.2389396758114171E-9</v>
      </c>
      <c r="H77" s="14">
        <v>0</v>
      </c>
      <c r="I77" s="14">
        <v>4.5624588412857073E-9</v>
      </c>
      <c r="J77" s="14">
        <v>2.9292404521013174E-9</v>
      </c>
      <c r="K77" s="14">
        <v>0</v>
      </c>
    </row>
    <row r="78" spans="1:11">
      <c r="A78" s="2" t="s">
        <v>509</v>
      </c>
      <c r="B78" s="3" t="s">
        <v>419</v>
      </c>
      <c r="D78" s="14">
        <v>2.7711543165819029E-14</v>
      </c>
      <c r="E78" s="14">
        <v>1.7270041184025527E-7</v>
      </c>
      <c r="F78" s="14">
        <v>3.9777267647889111E-5</v>
      </c>
      <c r="G78" s="14">
        <v>1.5349679318806511E-8</v>
      </c>
      <c r="H78" s="14">
        <v>0</v>
      </c>
      <c r="I78" s="14">
        <v>3.1340190979730005E-8</v>
      </c>
      <c r="J78" s="14">
        <v>3.3420422605543011E-9</v>
      </c>
      <c r="K78" s="14">
        <v>0</v>
      </c>
    </row>
    <row r="79" spans="1:11">
      <c r="A79" s="2" t="s">
        <v>510</v>
      </c>
      <c r="B79" s="3" t="s">
        <v>420</v>
      </c>
      <c r="D79" s="14">
        <v>6.9608258050372874E-19</v>
      </c>
      <c r="E79" s="14">
        <v>1.7270042496683841E-7</v>
      </c>
      <c r="F79" s="14">
        <v>3.9777270671272812E-5</v>
      </c>
      <c r="G79" s="14">
        <v>1.5347251311387267E-8</v>
      </c>
      <c r="H79" s="14">
        <v>0</v>
      </c>
      <c r="I79" s="14">
        <v>3.1340138830905274E-8</v>
      </c>
      <c r="J79" s="14">
        <v>3.34151361736668E-9</v>
      </c>
      <c r="K79" s="14">
        <v>0</v>
      </c>
    </row>
    <row r="80" spans="1:11">
      <c r="A80" s="2" t="s">
        <v>511</v>
      </c>
      <c r="B80" s="3" t="s">
        <v>421</v>
      </c>
      <c r="D80" s="14">
        <v>7.8491918323956255E-14</v>
      </c>
      <c r="E80" s="14">
        <v>6.6677238619796044E-6</v>
      </c>
      <c r="F80" s="14">
        <v>3.3319554031790752E-5</v>
      </c>
      <c r="G80" s="14">
        <v>2.1790316539127353E-9</v>
      </c>
      <c r="H80" s="14">
        <v>0</v>
      </c>
      <c r="I80" s="14">
        <v>5.0352213472203509E-9</v>
      </c>
      <c r="J80" s="14">
        <v>5.507774736591206E-9</v>
      </c>
      <c r="K80" s="14">
        <v>0</v>
      </c>
    </row>
    <row r="81" spans="1:11">
      <c r="A81" s="2" t="s">
        <v>512</v>
      </c>
      <c r="B81" s="3" t="s">
        <v>422</v>
      </c>
      <c r="D81" s="14">
        <v>1.0262135026385722E-13</v>
      </c>
      <c r="E81" s="14">
        <v>3.2184768303759516E-5</v>
      </c>
      <c r="F81" s="14">
        <v>7.8039047740478528E-6</v>
      </c>
      <c r="G81" s="14">
        <v>6.3778796594471549E-10</v>
      </c>
      <c r="H81" s="14">
        <v>0</v>
      </c>
      <c r="I81" s="14">
        <v>5.1962927563178687E-9</v>
      </c>
      <c r="J81" s="14">
        <v>5.4927388490200485E-9</v>
      </c>
      <c r="K81" s="14">
        <v>0</v>
      </c>
    </row>
    <row r="82" spans="1:11">
      <c r="A82" s="2" t="s">
        <v>513</v>
      </c>
      <c r="B82" s="3" t="s">
        <v>423</v>
      </c>
      <c r="D82" s="14">
        <v>2.5834986979412037E-17</v>
      </c>
      <c r="E82" s="14">
        <v>2.4337775885679016E-5</v>
      </c>
      <c r="F82" s="14">
        <v>1.5648851232942783E-5</v>
      </c>
      <c r="G82" s="14">
        <v>1.1900852871133151E-9</v>
      </c>
      <c r="H82" s="14">
        <v>0</v>
      </c>
      <c r="I82" s="14">
        <v>5.2789560840407666E-9</v>
      </c>
      <c r="J82" s="14">
        <v>6.9038399812141836E-9</v>
      </c>
      <c r="K82" s="14">
        <v>0</v>
      </c>
    </row>
    <row r="83" spans="1:11">
      <c r="A83" s="2" t="s">
        <v>514</v>
      </c>
      <c r="B83" s="3" t="s">
        <v>424</v>
      </c>
      <c r="D83" s="14">
        <v>9.9148142279912303E-15</v>
      </c>
      <c r="E83" s="14">
        <v>1.1700845466843351E-7</v>
      </c>
      <c r="F83" s="14">
        <v>3.9788614625021369E-5</v>
      </c>
      <c r="G83" s="14">
        <v>2.9493287013210836E-8</v>
      </c>
      <c r="H83" s="14">
        <v>0</v>
      </c>
      <c r="I83" s="14">
        <v>6.0813235396800507E-8</v>
      </c>
      <c r="J83" s="14">
        <v>4.0703879853751389E-9</v>
      </c>
      <c r="K83" s="14">
        <v>0</v>
      </c>
    </row>
    <row r="84" spans="1:11">
      <c r="A84" s="2" t="s">
        <v>403</v>
      </c>
      <c r="B84" s="3" t="s">
        <v>404</v>
      </c>
      <c r="D84" s="14">
        <v>1.7874512946425385E-48</v>
      </c>
      <c r="E84" s="14">
        <v>1.1351332819817936E-5</v>
      </c>
      <c r="F84" s="14">
        <v>1.2339808831539797E-5</v>
      </c>
      <c r="G84" s="14">
        <v>2.8549860268806641E-6</v>
      </c>
      <c r="H84" s="14">
        <v>0</v>
      </c>
      <c r="I84" s="14">
        <v>6.5844149177628131E-8</v>
      </c>
      <c r="J84" s="14">
        <v>1.3388028172583982E-5</v>
      </c>
      <c r="K84" s="14">
        <v>0</v>
      </c>
    </row>
    <row r="85" spans="1:11">
      <c r="A85" s="2" t="s">
        <v>405</v>
      </c>
      <c r="B85" s="3" t="s">
        <v>406</v>
      </c>
      <c r="D85" s="14">
        <v>5.7779446007474568E-13</v>
      </c>
      <c r="E85" s="14">
        <v>2.1084698141730808E-6</v>
      </c>
      <c r="F85" s="14">
        <v>3.31390667287024E-5</v>
      </c>
      <c r="G85" s="14">
        <v>1.7324633895395231E-6</v>
      </c>
      <c r="H85" s="14">
        <v>0</v>
      </c>
      <c r="I85" s="14">
        <v>2.3681059212239365E-6</v>
      </c>
      <c r="J85" s="14">
        <v>6.5189356856659624E-7</v>
      </c>
      <c r="K85" s="14">
        <v>0</v>
      </c>
    </row>
    <row r="86" spans="1:11">
      <c r="A86" s="2" t="s">
        <v>407</v>
      </c>
      <c r="B86" s="3" t="s">
        <v>408</v>
      </c>
      <c r="D86" s="14">
        <v>1.0429735205261708E-9</v>
      </c>
      <c r="E86" s="14">
        <v>1.437957078701709E-8</v>
      </c>
      <c r="F86" s="14">
        <v>6.973446885925855E-6</v>
      </c>
      <c r="G86" s="14">
        <v>2.9623955916565929E-5</v>
      </c>
      <c r="H86" s="14">
        <v>0</v>
      </c>
      <c r="I86" s="14">
        <v>6.8846797770693438E-7</v>
      </c>
      <c r="J86" s="14">
        <v>2.698706675493743E-6</v>
      </c>
      <c r="K86" s="14">
        <v>0</v>
      </c>
    </row>
    <row r="87" spans="1:11">
      <c r="A87" s="2" t="s">
        <v>409</v>
      </c>
      <c r="B87" s="3" t="s">
        <v>410</v>
      </c>
      <c r="D87" s="14">
        <v>1.2974361345202181E-10</v>
      </c>
      <c r="E87" s="14">
        <v>5.0060897303148227E-9</v>
      </c>
      <c r="F87" s="14">
        <v>3.7753759423830335E-6</v>
      </c>
      <c r="G87" s="14">
        <v>3.3609013058644189E-5</v>
      </c>
      <c r="H87" s="14">
        <v>0</v>
      </c>
      <c r="I87" s="14">
        <v>7.8419084732812498E-7</v>
      </c>
      <c r="J87" s="14">
        <v>1.8262843183008954E-6</v>
      </c>
      <c r="K87" s="14">
        <v>0</v>
      </c>
    </row>
    <row r="88" spans="1:11">
      <c r="A88" s="2" t="s">
        <v>301</v>
      </c>
      <c r="B88" s="3" t="s">
        <v>302</v>
      </c>
      <c r="D88" s="14">
        <v>1.6086769576040044E-11</v>
      </c>
      <c r="E88" s="14">
        <v>1.4105922117781975E-9</v>
      </c>
      <c r="F88" s="14">
        <v>1.7576931329155825E-6</v>
      </c>
      <c r="G88" s="14">
        <v>3.6294315601661804E-5</v>
      </c>
      <c r="H88" s="14">
        <v>0</v>
      </c>
      <c r="I88" s="14">
        <v>8.5071425853190081E-7</v>
      </c>
      <c r="J88" s="14">
        <v>1.0958503279093588E-6</v>
      </c>
      <c r="K88" s="14">
        <v>0</v>
      </c>
    </row>
    <row r="89" spans="1:11">
      <c r="A89" s="2" t="s">
        <v>303</v>
      </c>
      <c r="B89" s="3" t="s">
        <v>304</v>
      </c>
      <c r="D89" s="14">
        <v>8.6059537511733514E-18</v>
      </c>
      <c r="E89" s="14">
        <v>6.6143302301439805E-8</v>
      </c>
      <c r="F89" s="14">
        <v>7.559551263055675E-6</v>
      </c>
      <c r="G89" s="14">
        <v>1.9660841059236303E-5</v>
      </c>
      <c r="H89" s="14">
        <v>0</v>
      </c>
      <c r="I89" s="14">
        <v>1.1884158537007383E-5</v>
      </c>
      <c r="J89" s="14">
        <v>8.2930583839059352E-7</v>
      </c>
      <c r="K89" s="14">
        <v>0</v>
      </c>
    </row>
    <row r="90" spans="1:11">
      <c r="A90" s="2" t="s">
        <v>425</v>
      </c>
      <c r="B90" s="3" t="s">
        <v>426</v>
      </c>
      <c r="D90" s="14">
        <v>6.4089016323768163E-18</v>
      </c>
      <c r="E90" s="14">
        <v>3.8941105856642772E-5</v>
      </c>
      <c r="F90" s="14">
        <v>3.6656403705700597E-8</v>
      </c>
      <c r="G90" s="14">
        <v>1.2307650123797168E-8</v>
      </c>
      <c r="H90" s="14">
        <v>0</v>
      </c>
      <c r="I90" s="14">
        <v>5.1112424843559307E-9</v>
      </c>
      <c r="J90" s="14">
        <v>1.0048188470369759E-6</v>
      </c>
      <c r="K90" s="14">
        <v>0</v>
      </c>
    </row>
    <row r="91" spans="1:11">
      <c r="A91" s="2" t="s">
        <v>427</v>
      </c>
      <c r="B91" s="3" t="s">
        <v>428</v>
      </c>
      <c r="D91" s="14">
        <v>3.2976492428501815E-9</v>
      </c>
      <c r="E91" s="14">
        <v>2.8666660311370092E-5</v>
      </c>
      <c r="F91" s="14">
        <v>2.2002836650944728E-6</v>
      </c>
      <c r="G91" s="14">
        <v>6.188340901041426E-7</v>
      </c>
      <c r="H91" s="14">
        <v>0</v>
      </c>
      <c r="I91" s="14">
        <v>1.742097180769035E-8</v>
      </c>
      <c r="J91" s="14">
        <v>8.4935033123807576E-6</v>
      </c>
      <c r="K91" s="14">
        <v>0</v>
      </c>
    </row>
    <row r="92" spans="1:11">
      <c r="A92" s="2" t="s">
        <v>429</v>
      </c>
      <c r="B92" s="3" t="s">
        <v>430</v>
      </c>
      <c r="D92" s="14">
        <v>2.0213442672023644E-8</v>
      </c>
      <c r="E92" s="14">
        <v>5.0751972696853008E-6</v>
      </c>
      <c r="F92" s="14">
        <v>1.9262582065929973E-5</v>
      </c>
      <c r="G92" s="14">
        <v>4.0645274166056999E-6</v>
      </c>
      <c r="H92" s="14">
        <v>0</v>
      </c>
      <c r="I92" s="14">
        <v>9.2699605304651929E-8</v>
      </c>
      <c r="J92" s="14">
        <v>1.1484780199802357E-5</v>
      </c>
      <c r="K92" s="14">
        <v>0</v>
      </c>
    </row>
    <row r="93" spans="1:11">
      <c r="A93" s="2" t="s">
        <v>431</v>
      </c>
      <c r="B93" s="3" t="s">
        <v>432</v>
      </c>
      <c r="D93" s="14">
        <v>4.8209303285789134E-22</v>
      </c>
      <c r="E93" s="14">
        <v>3.9814307268365139E-5</v>
      </c>
      <c r="F93" s="14">
        <v>1.7444990534427141E-7</v>
      </c>
      <c r="G93" s="14">
        <v>1.3976314333816446E-10</v>
      </c>
      <c r="H93" s="14">
        <v>0</v>
      </c>
      <c r="I93" s="14">
        <v>4.983713196939204E-9</v>
      </c>
      <c r="J93" s="14">
        <v>6.1193499503176067E-9</v>
      </c>
      <c r="K93" s="14">
        <v>0</v>
      </c>
    </row>
    <row r="94" spans="1:11">
      <c r="A94" s="2" t="s">
        <v>433</v>
      </c>
      <c r="B94" s="3" t="s">
        <v>434</v>
      </c>
      <c r="D94" s="14">
        <v>1.0189525175467655E-22</v>
      </c>
      <c r="E94" s="14">
        <v>3.9994160695723564E-5</v>
      </c>
      <c r="F94" s="14">
        <v>6.7893494391583552E-10</v>
      </c>
      <c r="G94" s="14">
        <v>9.4737910871784876E-13</v>
      </c>
      <c r="H94" s="14">
        <v>0</v>
      </c>
      <c r="I94" s="14">
        <v>5.0045986127478494E-9</v>
      </c>
      <c r="J94" s="14">
        <v>1.5482334067369082E-10</v>
      </c>
      <c r="K94" s="14">
        <v>0</v>
      </c>
    </row>
    <row r="95" spans="1:11">
      <c r="A95" s="2" t="s">
        <v>435</v>
      </c>
      <c r="B95" s="3" t="s">
        <v>436</v>
      </c>
      <c r="D95" s="14">
        <v>5.4494777100930514E-13</v>
      </c>
      <c r="E95" s="14">
        <v>3.7476232361340128E-5</v>
      </c>
      <c r="F95" s="14">
        <v>1.4948591964586147E-7</v>
      </c>
      <c r="G95" s="14">
        <v>5.1847943340270678E-8</v>
      </c>
      <c r="H95" s="14">
        <v>0</v>
      </c>
      <c r="I95" s="14">
        <v>5.869970106059822E-9</v>
      </c>
      <c r="J95" s="14">
        <v>2.316563260619916E-6</v>
      </c>
      <c r="K95" s="14">
        <v>0</v>
      </c>
    </row>
    <row r="96" spans="1:11">
      <c r="A96" s="2" t="s">
        <v>437</v>
      </c>
      <c r="B96" s="165" t="s">
        <v>438</v>
      </c>
      <c r="D96" s="14">
        <v>1.9452399308423079E-12</v>
      </c>
      <c r="E96" s="14">
        <v>2.0873045341880694E-8</v>
      </c>
      <c r="F96" s="14">
        <v>8.5871172098771894E-6</v>
      </c>
      <c r="G96" s="14">
        <v>2.7691274593239958E-5</v>
      </c>
      <c r="H96" s="14">
        <v>0</v>
      </c>
      <c r="I96" s="14">
        <v>6.4260578637098224E-7</v>
      </c>
      <c r="J96" s="14">
        <v>3.0581274199300583E-6</v>
      </c>
      <c r="K96" s="14">
        <v>0</v>
      </c>
    </row>
    <row r="97" spans="1:11">
      <c r="A97" s="2" t="s">
        <v>439</v>
      </c>
      <c r="B97" s="3" t="s">
        <v>440</v>
      </c>
      <c r="D97" s="14">
        <v>1.5954406735490417E-9</v>
      </c>
      <c r="E97" s="14">
        <v>2.3995693176952696E-5</v>
      </c>
      <c r="F97" s="14">
        <v>4.0997263994593041E-6</v>
      </c>
      <c r="G97" s="14">
        <v>1.087052276454843E-6</v>
      </c>
      <c r="H97" s="14">
        <v>0</v>
      </c>
      <c r="I97" s="14">
        <v>2.7383160068732706E-8</v>
      </c>
      <c r="J97" s="14">
        <v>1.0788549546390885E-5</v>
      </c>
      <c r="K97" s="14">
        <v>0</v>
      </c>
    </row>
    <row r="98" spans="1:11">
      <c r="A98" s="2" t="s">
        <v>441</v>
      </c>
      <c r="B98" s="3" t="s">
        <v>442</v>
      </c>
      <c r="D98" s="14">
        <v>1.0873789027947478E-21</v>
      </c>
      <c r="E98" s="14">
        <v>2.7873630792225788E-5</v>
      </c>
      <c r="F98" s="14">
        <v>2.4857366605980563E-6</v>
      </c>
      <c r="G98" s="14">
        <v>6.9143390687761224E-7</v>
      </c>
      <c r="H98" s="14">
        <v>0</v>
      </c>
      <c r="I98" s="14">
        <v>1.8955088548044371E-8</v>
      </c>
      <c r="J98" s="14">
        <v>8.9302435517504997E-6</v>
      </c>
      <c r="K98" s="14">
        <v>0</v>
      </c>
    </row>
    <row r="99" spans="1:11">
      <c r="A99" s="2" t="s">
        <v>443</v>
      </c>
      <c r="B99" s="3" t="s">
        <v>444</v>
      </c>
      <c r="D99" s="14">
        <v>1.680614776000459E-33</v>
      </c>
      <c r="E99" s="14">
        <v>3.4533517606014137E-5</v>
      </c>
      <c r="F99" s="14">
        <v>5.912108455573407E-7</v>
      </c>
      <c r="G99" s="14">
        <v>1.8571113652024338E-7</v>
      </c>
      <c r="H99" s="14">
        <v>0</v>
      </c>
      <c r="I99" s="14">
        <v>8.4317458144616308E-9</v>
      </c>
      <c r="J99" s="14">
        <v>4.6811286660938203E-6</v>
      </c>
      <c r="K99" s="14">
        <v>0</v>
      </c>
    </row>
    <row r="100" spans="1:11">
      <c r="A100" s="2" t="s">
        <v>445</v>
      </c>
      <c r="B100" s="3" t="s">
        <v>446</v>
      </c>
      <c r="D100" s="14">
        <v>2.0073628315710792E-12</v>
      </c>
      <c r="E100" s="14">
        <v>1.3486477092029296E-7</v>
      </c>
      <c r="F100" s="14">
        <v>2.1222673531284932E-5</v>
      </c>
      <c r="G100" s="14">
        <v>1.3677151221650244E-5</v>
      </c>
      <c r="H100" s="14">
        <v>0</v>
      </c>
      <c r="I100" s="14">
        <v>3.1471605019653099E-7</v>
      </c>
      <c r="J100" s="14">
        <v>4.6505924185851738E-6</v>
      </c>
      <c r="K100" s="14">
        <v>0</v>
      </c>
    </row>
    <row r="101" spans="1:11">
      <c r="A101" s="2" t="s">
        <v>447</v>
      </c>
      <c r="B101" s="3" t="s">
        <v>448</v>
      </c>
      <c r="D101" s="14">
        <v>1.773133585658325E-13</v>
      </c>
      <c r="E101" s="14">
        <v>7.074473051715484E-6</v>
      </c>
      <c r="F101" s="14">
        <v>1.6696124361601279E-5</v>
      </c>
      <c r="G101" s="14">
        <v>3.648473752974087E-6</v>
      </c>
      <c r="H101" s="14">
        <v>0</v>
      </c>
      <c r="I101" s="14">
        <v>8.3408184040422074E-8</v>
      </c>
      <c r="J101" s="14">
        <v>1.2497520472355377E-5</v>
      </c>
      <c r="K101" s="14">
        <v>0</v>
      </c>
    </row>
    <row r="102" spans="1:11">
      <c r="A102" s="2" t="s">
        <v>449</v>
      </c>
      <c r="B102" s="3" t="s">
        <v>450</v>
      </c>
      <c r="D102" s="14">
        <v>7.869065833832187E-9</v>
      </c>
      <c r="E102" s="14">
        <v>1.5566673599462209E-6</v>
      </c>
      <c r="F102" s="14">
        <v>2.5834341347901697E-5</v>
      </c>
      <c r="G102" s="14">
        <v>4.8898208605794341E-6</v>
      </c>
      <c r="H102" s="14">
        <v>0</v>
      </c>
      <c r="I102" s="14">
        <v>1.1144158501820008E-7</v>
      </c>
      <c r="J102" s="14">
        <v>7.5998597807206134E-6</v>
      </c>
      <c r="K102" s="14">
        <v>0</v>
      </c>
    </row>
    <row r="103" spans="1:11">
      <c r="A103" s="2" t="s">
        <v>451</v>
      </c>
      <c r="B103" s="3" t="s">
        <v>452</v>
      </c>
      <c r="D103" s="14">
        <v>1.7602103045754014E-23</v>
      </c>
      <c r="E103" s="14">
        <v>3.5787757748630194E-5</v>
      </c>
      <c r="F103" s="14">
        <v>4.2020001465821844E-6</v>
      </c>
      <c r="G103" s="14">
        <v>4.0778502326454841E-10</v>
      </c>
      <c r="H103" s="14">
        <v>0</v>
      </c>
      <c r="I103" s="14">
        <v>5.1229856751310657E-9</v>
      </c>
      <c r="J103" s="14">
        <v>4.7113340892265232E-9</v>
      </c>
      <c r="K103" s="14">
        <v>0</v>
      </c>
    </row>
    <row r="104" spans="1:11">
      <c r="A104" s="2" t="s">
        <v>453</v>
      </c>
      <c r="B104" s="3" t="s">
        <v>454</v>
      </c>
      <c r="D104" s="14">
        <v>4.5151058656817206E-25</v>
      </c>
      <c r="E104" s="14">
        <v>4.4424863622671483E-7</v>
      </c>
      <c r="F104" s="14">
        <v>3.9479139455633855E-5</v>
      </c>
      <c r="G104" s="14">
        <v>4.1805490941381651E-8</v>
      </c>
      <c r="H104" s="14">
        <v>0</v>
      </c>
      <c r="I104" s="14">
        <v>7.0638939608232469E-9</v>
      </c>
      <c r="J104" s="14">
        <v>2.7742523237232335E-8</v>
      </c>
      <c r="K104" s="14">
        <v>0</v>
      </c>
    </row>
    <row r="105" spans="1:11">
      <c r="A105" s="2" t="s">
        <v>455</v>
      </c>
      <c r="B105" s="165">
        <v>354656</v>
      </c>
      <c r="D105" s="14">
        <v>1.4742302722062232E-14</v>
      </c>
      <c r="E105" s="14">
        <v>3.8736284823615834E-5</v>
      </c>
      <c r="F105" s="14">
        <v>3.9304252373965079E-8</v>
      </c>
      <c r="G105" s="14">
        <v>1.520320302414734E-8</v>
      </c>
      <c r="H105" s="14">
        <v>0</v>
      </c>
      <c r="I105" s="14">
        <v>5.1488243328534779E-9</v>
      </c>
      <c r="J105" s="14">
        <v>1.2040588819109006E-6</v>
      </c>
      <c r="K105" s="14">
        <v>0</v>
      </c>
    </row>
    <row r="106" spans="1:11">
      <c r="A106" s="2" t="s">
        <v>457</v>
      </c>
      <c r="B106" s="3" t="s">
        <v>458</v>
      </c>
      <c r="D106" s="14">
        <v>2.1845901036527497E-14</v>
      </c>
      <c r="E106" s="14">
        <v>3.7351400615686365E-5</v>
      </c>
      <c r="F106" s="14">
        <v>1.6202040068000759E-7</v>
      </c>
      <c r="G106" s="14">
        <v>5.5942928826392756E-8</v>
      </c>
      <c r="H106" s="14">
        <v>0</v>
      </c>
      <c r="I106" s="14">
        <v>5.9370507642019567E-9</v>
      </c>
      <c r="J106" s="14">
        <v>2.4246989821971424E-6</v>
      </c>
      <c r="K106" s="14">
        <v>0</v>
      </c>
    </row>
    <row r="107" spans="1:11">
      <c r="A107" s="2" t="s">
        <v>459</v>
      </c>
      <c r="B107" s="3" t="s">
        <v>460</v>
      </c>
      <c r="D107" s="14">
        <v>1.8410384041916987E-24</v>
      </c>
      <c r="E107" s="14">
        <v>8.3789099448423E-7</v>
      </c>
      <c r="F107" s="14">
        <v>2.8534232211998916E-5</v>
      </c>
      <c r="G107" s="14">
        <v>4.9940672242324943E-6</v>
      </c>
      <c r="H107" s="14">
        <v>0</v>
      </c>
      <c r="I107" s="14">
        <v>1.3375479535950563E-7</v>
      </c>
      <c r="J107" s="14">
        <v>5.5000547739248637E-6</v>
      </c>
      <c r="K107" s="14">
        <v>0</v>
      </c>
    </row>
    <row r="108" spans="1:11">
      <c r="A108" s="2" t="s">
        <v>461</v>
      </c>
      <c r="B108" s="3" t="s">
        <v>462</v>
      </c>
      <c r="D108" s="14">
        <v>4.4024407711978439E-14</v>
      </c>
      <c r="E108" s="14">
        <v>3.9992427552525555E-5</v>
      </c>
      <c r="F108" s="14">
        <v>3.5167387945241311E-10</v>
      </c>
      <c r="G108" s="14">
        <v>1.0192992250276743E-11</v>
      </c>
      <c r="H108" s="14">
        <v>0</v>
      </c>
      <c r="I108" s="14">
        <v>4.9871533538487228E-9</v>
      </c>
      <c r="J108" s="14">
        <v>2.2233832244974245E-9</v>
      </c>
      <c r="K108" s="14">
        <v>0</v>
      </c>
    </row>
    <row r="109" spans="1:11">
      <c r="A109" s="2" t="s">
        <v>463</v>
      </c>
      <c r="B109" s="3" t="s">
        <v>464</v>
      </c>
      <c r="D109" s="14">
        <v>1.1227718883311267E-16</v>
      </c>
      <c r="E109" s="14">
        <v>3.6785646783156873E-5</v>
      </c>
      <c r="F109" s="14">
        <v>2.3050934621056538E-6</v>
      </c>
      <c r="G109" s="14">
        <v>1.1457625285863308E-7</v>
      </c>
      <c r="H109" s="14">
        <v>0</v>
      </c>
      <c r="I109" s="14">
        <v>6.6556317737632451E-8</v>
      </c>
      <c r="J109" s="14">
        <v>7.2812718402894121E-7</v>
      </c>
      <c r="K109" s="14">
        <v>0</v>
      </c>
    </row>
    <row r="110" spans="1:11">
      <c r="A110" s="2" t="s">
        <v>465</v>
      </c>
      <c r="B110" s="3" t="s">
        <v>466</v>
      </c>
      <c r="D110" s="14">
        <v>8.3581178780392961E-16</v>
      </c>
      <c r="E110" s="14">
        <v>3.9734067342134699E-5</v>
      </c>
      <c r="F110" s="14">
        <v>8.9925859578777516E-9</v>
      </c>
      <c r="G110" s="14">
        <v>1.7204859226551629E-9</v>
      </c>
      <c r="H110" s="14">
        <v>0</v>
      </c>
      <c r="I110" s="14">
        <v>4.9755386653629695E-9</v>
      </c>
      <c r="J110" s="14">
        <v>2.5024404648359431E-7</v>
      </c>
      <c r="K110" s="14">
        <v>0</v>
      </c>
    </row>
    <row r="111" spans="1:11">
      <c r="A111" s="2" t="s">
        <v>467</v>
      </c>
      <c r="B111" s="3" t="s">
        <v>468</v>
      </c>
      <c r="D111" s="14">
        <v>1.4857221942124223E-34</v>
      </c>
      <c r="E111" s="14">
        <v>3.9994166666594463E-5</v>
      </c>
      <c r="F111" s="14">
        <v>6.3908441447977707E-10</v>
      </c>
      <c r="G111" s="14">
        <v>5.2799544391246048E-13</v>
      </c>
      <c r="H111" s="14">
        <v>0</v>
      </c>
      <c r="I111" s="14">
        <v>4.9689486873370683E-9</v>
      </c>
      <c r="J111" s="14">
        <v>2.2477230828472948E-10</v>
      </c>
      <c r="K111" s="14">
        <v>0</v>
      </c>
    </row>
    <row r="112" spans="1:11">
      <c r="A112" s="2" t="s">
        <v>469</v>
      </c>
      <c r="B112" s="3" t="s">
        <v>470</v>
      </c>
      <c r="D112" s="14">
        <v>9.3911554726769235E-18</v>
      </c>
      <c r="E112" s="14">
        <v>3.9666298067820977E-5</v>
      </c>
      <c r="F112" s="14">
        <v>3.10165325853011E-9</v>
      </c>
      <c r="G112" s="14">
        <v>1.4490681159416757E-9</v>
      </c>
      <c r="H112" s="14">
        <v>0</v>
      </c>
      <c r="I112" s="14">
        <v>4.9598545675121458E-9</v>
      </c>
      <c r="J112" s="14">
        <v>3.2419135622765015E-7</v>
      </c>
      <c r="K112" s="14">
        <v>0</v>
      </c>
    </row>
    <row r="113" spans="1:11">
      <c r="A113" s="2" t="s">
        <v>471</v>
      </c>
      <c r="B113" s="3" t="s">
        <v>472</v>
      </c>
      <c r="D113" s="14">
        <v>1.1557076661234126E-13</v>
      </c>
      <c r="E113" s="14">
        <v>3.8055780602518619E-5</v>
      </c>
      <c r="F113" s="14">
        <v>8.8129683201115927E-8</v>
      </c>
      <c r="G113" s="14">
        <v>3.2078774181780629E-8</v>
      </c>
      <c r="H113" s="14">
        <v>0</v>
      </c>
      <c r="I113" s="14">
        <v>5.4392650788534147E-9</v>
      </c>
      <c r="J113" s="14">
        <v>1.8185715594488683E-6</v>
      </c>
      <c r="K113" s="14">
        <v>0</v>
      </c>
    </row>
    <row r="114" spans="1:11">
      <c r="A114" s="2" t="s">
        <v>473</v>
      </c>
      <c r="B114" s="3" t="s">
        <v>474</v>
      </c>
      <c r="D114" s="14">
        <v>9.2185046731656877E-21</v>
      </c>
      <c r="E114" s="14">
        <v>3.9825592809553771E-5</v>
      </c>
      <c r="F114" s="14">
        <v>9.031581875918201E-10</v>
      </c>
      <c r="G114" s="14">
        <v>4.5502203359120209E-10</v>
      </c>
      <c r="H114" s="14">
        <v>0</v>
      </c>
      <c r="I114" s="14">
        <v>4.957779262245162E-9</v>
      </c>
      <c r="J114" s="14">
        <v>1.6809123096279999E-7</v>
      </c>
      <c r="K114" s="14">
        <v>0</v>
      </c>
    </row>
    <row r="115" spans="1:11">
      <c r="A115" s="2" t="s">
        <v>475</v>
      </c>
      <c r="B115" s="3" t="s">
        <v>476</v>
      </c>
      <c r="D115" s="14">
        <v>4.7673544275272509E-17</v>
      </c>
      <c r="E115" s="14">
        <v>3.8894176175230943E-5</v>
      </c>
      <c r="F115" s="14">
        <v>1.0979590717764205E-6</v>
      </c>
      <c r="G115" s="14">
        <v>1.3151339967179858E-10</v>
      </c>
      <c r="H115" s="14">
        <v>0</v>
      </c>
      <c r="I115" s="14">
        <v>5.0262745789931591E-9</v>
      </c>
      <c r="J115" s="14">
        <v>2.7069649663027367E-9</v>
      </c>
      <c r="K115" s="14">
        <v>0</v>
      </c>
    </row>
    <row r="116" spans="1:11">
      <c r="A116" s="2" t="s">
        <v>477</v>
      </c>
      <c r="B116" s="3" t="s">
        <v>478</v>
      </c>
      <c r="D116" s="14">
        <v>1.3297593501834575E-21</v>
      </c>
      <c r="E116" s="14">
        <v>5.2973030828756034E-6</v>
      </c>
      <c r="F116" s="14">
        <v>3.2474262864194239E-5</v>
      </c>
      <c r="G116" s="14">
        <v>7.8654363734181264E-7</v>
      </c>
      <c r="H116" s="14">
        <v>0</v>
      </c>
      <c r="I116" s="14">
        <v>6.8255185834977198E-7</v>
      </c>
      <c r="J116" s="14">
        <v>7.5933855723857697E-7</v>
      </c>
      <c r="K116" s="14">
        <v>0</v>
      </c>
    </row>
    <row r="117" spans="1:11">
      <c r="A117" s="2" t="s">
        <v>291</v>
      </c>
      <c r="B117" s="3" t="s">
        <v>479</v>
      </c>
      <c r="D117" s="14">
        <v>1.1759661877461149E-14</v>
      </c>
      <c r="E117" s="14">
        <v>1.8873284009896781E-5</v>
      </c>
      <c r="F117" s="14">
        <v>6.8276154056002604E-6</v>
      </c>
      <c r="G117" s="14">
        <v>1.7130285652941613E-6</v>
      </c>
      <c r="H117" s="14">
        <v>0</v>
      </c>
      <c r="I117" s="14">
        <v>4.0882227604571981E-8</v>
      </c>
      <c r="J117" s="14">
        <v>1.2545189779844566E-5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61CE5-E932-4D3E-A393-6391B5DF0572}">
  <dimension ref="A1:D117"/>
  <sheetViews>
    <sheetView tabSelected="1" topLeftCell="A88" workbookViewId="0">
      <selection activeCell="D108" sqref="A2:D117"/>
    </sheetView>
  </sheetViews>
  <sheetFormatPr defaultRowHeight="15"/>
  <cols>
    <col min="1" max="1" width="12.35546875" bestFit="1" customWidth="1"/>
    <col min="2" max="2" width="13.5" bestFit="1" customWidth="1"/>
  </cols>
  <sheetData>
    <row r="1" spans="1:4">
      <c r="A1" s="164" t="s">
        <v>309</v>
      </c>
      <c r="B1" s="164" t="s">
        <v>310</v>
      </c>
      <c r="C1" s="164" t="s">
        <v>311</v>
      </c>
      <c r="D1" s="164" t="s">
        <v>312</v>
      </c>
    </row>
    <row r="2" spans="1:4">
      <c r="A2">
        <f>'Mass Balance'!I2</f>
        <v>5.0614635637769308E-9</v>
      </c>
      <c r="B2">
        <f>'Mass Balance'!E2</f>
        <v>3.9026546780292676E-5</v>
      </c>
      <c r="C2">
        <f>SUM('Mass Balance'!E2:H2)</f>
        <v>3.9060199516445325E-5</v>
      </c>
      <c r="D2">
        <f>Concentrations!F2/Concentrations!E2</f>
        <v>1.0030487243621815</v>
      </c>
    </row>
    <row r="3" spans="1:4">
      <c r="A3">
        <f>'Mass Balance'!I3</f>
        <v>4.9738814889083984E-8</v>
      </c>
      <c r="B3">
        <f>'Mass Balance'!E3</f>
        <v>1.8677050378397018E-5</v>
      </c>
      <c r="C3">
        <f>SUM('Mass Balance'!E3:H3)</f>
        <v>2.7899685051503502E-5</v>
      </c>
      <c r="D3">
        <f>Concentrations!F3/Concentrations!E3</f>
        <v>0.67205582832727218</v>
      </c>
    </row>
    <row r="4" spans="1:4">
      <c r="A4">
        <f>'Mass Balance'!I4</f>
        <v>5.6906083162897492E-9</v>
      </c>
      <c r="B4">
        <f>'Mass Balance'!E4</f>
        <v>3.9976593604391856E-5</v>
      </c>
      <c r="C4">
        <f>SUM('Mass Balance'!E4:H4)</f>
        <v>3.9993483438118565E-5</v>
      </c>
      <c r="D4">
        <f>Concentrations!F4/Concentrations!E4</f>
        <v>1.0034896895616314</v>
      </c>
    </row>
    <row r="5" spans="1:4">
      <c r="A5">
        <f>'Mass Balance'!I5</f>
        <v>5.2874090877484089E-9</v>
      </c>
      <c r="B5">
        <f>'Mass Balance'!E5</f>
        <v>2.1902073439623508E-5</v>
      </c>
      <c r="C5">
        <f>SUM('Mass Balance'!E5:H5)</f>
        <v>3.9987188410085969E-5</v>
      </c>
      <c r="D5">
        <f>Concentrations!F5/Concentrations!E5</f>
        <v>0.5498708840734321</v>
      </c>
    </row>
    <row r="6" spans="1:4">
      <c r="A6">
        <f>'Mass Balance'!I6</f>
        <v>5.3478128611283561E-9</v>
      </c>
      <c r="B6">
        <f>'Mass Balance'!E6</f>
        <v>1.2962316356168088E-5</v>
      </c>
      <c r="C6">
        <f>SUM('Mass Balance'!E6:H6)</f>
        <v>3.9966441779687759E-5</v>
      </c>
      <c r="D6">
        <f>Concentrations!F6/Concentrations!E6</f>
        <v>0.32559932375393774</v>
      </c>
    </row>
    <row r="7" spans="1:4">
      <c r="A7">
        <f>'Mass Balance'!I7</f>
        <v>6.4166521472848669E-9</v>
      </c>
      <c r="B7">
        <f>'Mass Balance'!E7</f>
        <v>4.3044175944341636E-6</v>
      </c>
      <c r="C7">
        <f>SUM('Mass Balance'!E7:H7)</f>
        <v>3.9844557159419255E-5</v>
      </c>
      <c r="D7">
        <f>Concentrations!F7/Concentrations!E7</f>
        <v>0.10845304645239198</v>
      </c>
    </row>
    <row r="8" spans="1:4">
      <c r="A8">
        <f>'Mass Balance'!I8</f>
        <v>5.1878650339281064E-9</v>
      </c>
      <c r="B8">
        <f>'Mass Balance'!E8</f>
        <v>9.1912911809856433E-6</v>
      </c>
      <c r="C8">
        <f>SUM('Mass Balance'!E8:H8)</f>
        <v>3.9980897387952271E-5</v>
      </c>
      <c r="D8">
        <f>Concentrations!F8/Concentrations!E8</f>
        <v>0.23079178670061076</v>
      </c>
    </row>
    <row r="9" spans="1:4">
      <c r="A9">
        <f>'Mass Balance'!I9</f>
        <v>5.3759088884078168E-9</v>
      </c>
      <c r="B9">
        <f>'Mass Balance'!E9</f>
        <v>2.4555598424264343E-5</v>
      </c>
      <c r="C9">
        <f>SUM('Mass Balance'!E9:H9)</f>
        <v>3.9960420108565947E-5</v>
      </c>
      <c r="D9">
        <f>Concentrations!F9/Concentrations!E9</f>
        <v>0.61690293913234817</v>
      </c>
    </row>
    <row r="10" spans="1:4">
      <c r="A10">
        <f>'Mass Balance'!I10</f>
        <v>1.1917227941352398E-7</v>
      </c>
      <c r="B10">
        <f>'Mass Balance'!E10</f>
        <v>4.1337531531139092E-7</v>
      </c>
      <c r="C10">
        <f>SUM('Mass Balance'!E10:H10)</f>
        <v>3.5469072272848217E-5</v>
      </c>
      <c r="D10">
        <f>Concentrations!F10/Concentrations!E10</f>
        <v>1.1700140373438877E-2</v>
      </c>
    </row>
    <row r="11" spans="1:4">
      <c r="A11">
        <f>'Mass Balance'!I11</f>
        <v>5.525644980902596E-7</v>
      </c>
      <c r="B11">
        <f>'Mass Balance'!E11</f>
        <v>2.4516823289727484E-8</v>
      </c>
      <c r="C11">
        <f>SUM('Mass Balance'!E11:H11)</f>
        <v>3.8736790388983148E-5</v>
      </c>
      <c r="D11">
        <f>Concentrations!F11/Concentrations!E11</f>
        <v>6.3538495264243869E-4</v>
      </c>
    </row>
    <row r="12" spans="1:4">
      <c r="A12">
        <f>'Mass Balance'!I12</f>
        <v>4.5877968634172857E-9</v>
      </c>
      <c r="B12">
        <f>'Mass Balance'!E12</f>
        <v>3.6828002571484218E-5</v>
      </c>
      <c r="C12">
        <f>SUM('Mass Balance'!E12:H12)</f>
        <v>3.6829550898339021E-5</v>
      </c>
      <c r="D12">
        <f>Concentrations!F12/Concentrations!E12</f>
        <v>1.0038714521286256</v>
      </c>
    </row>
    <row r="13" spans="1:4">
      <c r="A13">
        <f>'Mass Balance'!I13</f>
        <v>3.5016106143790309E-8</v>
      </c>
      <c r="B13">
        <f>'Mass Balance'!E13</f>
        <v>2.0976896869388117E-5</v>
      </c>
      <c r="C13">
        <f>SUM('Mass Balance'!E13:H13)</f>
        <v>2.8040185955015067E-5</v>
      </c>
      <c r="D13">
        <f>Concentrations!F13/Concentrations!E13</f>
        <v>0.75102901537292632</v>
      </c>
    </row>
    <row r="14" spans="1:4">
      <c r="A14">
        <f>'Mass Balance'!I14</f>
        <v>1.048864684649164E-8</v>
      </c>
      <c r="B14">
        <f>'Mass Balance'!E14</f>
        <v>3.5222460012397039E-7</v>
      </c>
      <c r="C14">
        <f>SUM('Mass Balance'!E14:H14)</f>
        <v>3.9958235642104183E-5</v>
      </c>
      <c r="D14">
        <f>Concentrations!F14/Concentrations!E14</f>
        <v>8.8493168107598615E-3</v>
      </c>
    </row>
    <row r="15" spans="1:4">
      <c r="A15">
        <f>'Mass Balance'!I15</f>
        <v>9.0879003744767563E-9</v>
      </c>
      <c r="B15">
        <f>'Mass Balance'!E15</f>
        <v>3.0479732755733827E-5</v>
      </c>
      <c r="C15">
        <f>SUM('Mass Balance'!E15:H15)</f>
        <v>3.149570592670481E-5</v>
      </c>
      <c r="D15">
        <f>Concentrations!F15/Concentrations!E15</f>
        <v>0.97152989827926506</v>
      </c>
    </row>
    <row r="16" spans="1:4">
      <c r="A16">
        <f>'Mass Balance'!I16</f>
        <v>3.8836968932265739E-8</v>
      </c>
      <c r="B16">
        <f>'Mass Balance'!E16</f>
        <v>1.9566128161576809E-5</v>
      </c>
      <c r="C16">
        <f>SUM('Mass Balance'!E16:H16)</f>
        <v>2.7589404779173521E-5</v>
      </c>
      <c r="D16">
        <f>Concentrations!F16/Concentrations!E16</f>
        <v>0.71196546040949049</v>
      </c>
    </row>
    <row r="17" spans="1:4">
      <c r="A17">
        <f>'Mass Balance'!I17</f>
        <v>3.6354550902178543E-8</v>
      </c>
      <c r="B17">
        <f>'Mass Balance'!E17</f>
        <v>2.0414544670319157E-5</v>
      </c>
      <c r="C17">
        <f>SUM('Mass Balance'!E17:H17)</f>
        <v>2.7815649789877741E-5</v>
      </c>
      <c r="D17">
        <f>Concentrations!F17/Concentrations!E17</f>
        <v>0.73679530590858955</v>
      </c>
    </row>
    <row r="18" spans="1:4">
      <c r="A18">
        <f>'Mass Balance'!I18</f>
        <v>6.1094063791182554E-7</v>
      </c>
      <c r="B18">
        <f>'Mass Balance'!E18</f>
        <v>2.6227847950762712E-8</v>
      </c>
      <c r="C18">
        <f>SUM('Mass Balance'!E18:H18)</f>
        <v>3.6102718244146823E-5</v>
      </c>
      <c r="D18">
        <f>Concentrations!F18/Concentrations!E18</f>
        <v>7.2932166972692746E-4</v>
      </c>
    </row>
    <row r="19" spans="1:4">
      <c r="A19">
        <f>'Mass Balance'!I19</f>
        <v>6.3648108620064045E-9</v>
      </c>
      <c r="B19">
        <f>'Mass Balance'!E19</f>
        <v>3.6124048324114636E-5</v>
      </c>
      <c r="C19">
        <f>SUM('Mass Balance'!E19:H19)</f>
        <v>3.6459811369232209E-5</v>
      </c>
      <c r="D19">
        <f>Concentrations!F19/Concentrations!E19</f>
        <v>0.99466848831057531</v>
      </c>
    </row>
    <row r="20" spans="1:4">
      <c r="A20">
        <f>'Mass Balance'!I20</f>
        <v>7.4844955747637719E-9</v>
      </c>
      <c r="B20">
        <f>'Mass Balance'!E20</f>
        <v>3.4472688474422198E-5</v>
      </c>
      <c r="C20">
        <f>SUM('Mass Balance'!E20:H20)</f>
        <v>3.5064620072472719E-5</v>
      </c>
      <c r="D20">
        <f>Concentrations!F20/Concentrations!E20</f>
        <v>0.98696642602903817</v>
      </c>
    </row>
    <row r="21" spans="1:4">
      <c r="A21">
        <f>'Mass Balance'!I21</f>
        <v>3.2573944888062217E-8</v>
      </c>
      <c r="B21">
        <f>'Mass Balance'!E21</f>
        <v>4.2424925657515669E-6</v>
      </c>
      <c r="C21">
        <f>SUM('Mass Balance'!E21:H21)</f>
        <v>3.7149248423163062E-5</v>
      </c>
      <c r="D21">
        <f>Concentrations!F21/Concentrations!E21</f>
        <v>0.11464824746831957</v>
      </c>
    </row>
    <row r="22" spans="1:4">
      <c r="A22">
        <f>'Mass Balance'!I22</f>
        <v>4.8334836925715563E-9</v>
      </c>
      <c r="B22">
        <f>'Mass Balance'!E22</f>
        <v>3.6133989672757185E-5</v>
      </c>
      <c r="C22">
        <f>SUM('Mass Balance'!E22:H22)</f>
        <v>3.6190069114830034E-5</v>
      </c>
      <c r="D22">
        <f>Concentrations!F22/Concentrations!E22</f>
        <v>1.002358011511207</v>
      </c>
    </row>
    <row r="23" spans="1:4">
      <c r="A23">
        <f>'Mass Balance'!I23</f>
        <v>1.2367709550502062E-8</v>
      </c>
      <c r="B23">
        <f>'Mass Balance'!E23</f>
        <v>2.889591968815367E-5</v>
      </c>
      <c r="C23">
        <f>SUM('Mass Balance'!E23:H23)</f>
        <v>3.0633463225694947E-5</v>
      </c>
      <c r="D23">
        <f>Concentrations!F23/Concentrations!E23</f>
        <v>0.94697123184535315</v>
      </c>
    </row>
    <row r="24" spans="1:4">
      <c r="A24">
        <f>'Mass Balance'!I24</f>
        <v>5.2243842311483023E-8</v>
      </c>
      <c r="B24">
        <f>'Mass Balance'!E24</f>
        <v>1.5140874881168639E-5</v>
      </c>
      <c r="C24">
        <f>SUM('Mass Balance'!E24:H24)</f>
        <v>2.6636594833447422E-5</v>
      </c>
      <c r="D24">
        <f>Concentrations!F24/Concentrations!E24</f>
        <v>0.57064843187288916</v>
      </c>
    </row>
    <row r="25" spans="1:4">
      <c r="A25">
        <f>'Mass Balance'!I25</f>
        <v>5.5997127111744208E-7</v>
      </c>
      <c r="B25">
        <f>'Mass Balance'!E25</f>
        <v>3.6526775394566315E-8</v>
      </c>
      <c r="C25">
        <f>SUM('Mass Balance'!E25:H25)</f>
        <v>3.5812491721837221E-5</v>
      </c>
      <c r="D25">
        <f>Concentrations!F25/Concentrations!E25</f>
        <v>1.0239368137133337E-3</v>
      </c>
    </row>
    <row r="26" spans="1:4">
      <c r="A26">
        <f>'Mass Balance'!I26</f>
        <v>7.5447245969562671E-8</v>
      </c>
      <c r="B26">
        <f>'Mass Balance'!E26</f>
        <v>5.4471956973148659E-6</v>
      </c>
      <c r="C26">
        <f>SUM('Mass Balance'!E26:H26)</f>
        <v>2.4065881648610676E-5</v>
      </c>
      <c r="D26">
        <f>Concentrations!F26/Concentrations!E26</f>
        <v>0.22723099168919014</v>
      </c>
    </row>
    <row r="27" spans="1:4">
      <c r="A27">
        <f>'Mass Balance'!I27</f>
        <v>4.4040838245341874E-8</v>
      </c>
      <c r="B27">
        <f>'Mass Balance'!E27</f>
        <v>6.4439598891033022E-7</v>
      </c>
      <c r="C27">
        <f>SUM('Mass Balance'!E27:H27)</f>
        <v>1.2749599549479758E-5</v>
      </c>
      <c r="D27">
        <f>Concentrations!F27/Concentrations!E27</f>
        <v>5.0740255117251006E-2</v>
      </c>
    </row>
    <row r="28" spans="1:4">
      <c r="A28">
        <f>'Mass Balance'!I28</f>
        <v>2.177243979800119E-8</v>
      </c>
      <c r="B28">
        <f>'Mass Balance'!E28</f>
        <v>1.1648178155149547E-6</v>
      </c>
      <c r="C28">
        <f>SUM('Mass Balance'!E28:H28)</f>
        <v>6.6524717771175477E-6</v>
      </c>
      <c r="D28">
        <f>Concentrations!F28/Concentrations!E28</f>
        <v>0.17578075519766787</v>
      </c>
    </row>
    <row r="29" spans="1:4">
      <c r="A29">
        <f>'Mass Balance'!I29</f>
        <v>5.7131346271010732E-10</v>
      </c>
      <c r="B29">
        <f>'Mass Balance'!E29</f>
        <v>2.3665997364030672E-6</v>
      </c>
      <c r="C29">
        <f>SUM('Mass Balance'!E29:H29)</f>
        <v>2.4185505992137171E-6</v>
      </c>
      <c r="D29">
        <f>Concentrations!F29/Concentrations!E29</f>
        <v>0.98234942729794872</v>
      </c>
    </row>
    <row r="30" spans="1:4">
      <c r="A30">
        <f>'Mass Balance'!I30</f>
        <v>8.3585121597385344E-9</v>
      </c>
      <c r="B30">
        <f>'Mass Balance'!E30</f>
        <v>4.792338539034502E-7</v>
      </c>
      <c r="C30">
        <f>SUM('Mass Balance'!E30:H30)</f>
        <v>2.5758295937066708E-6</v>
      </c>
      <c r="D30">
        <f>Concentrations!F30/Concentrations!E30</f>
        <v>0.18677843130853475</v>
      </c>
    </row>
    <row r="31" spans="1:4">
      <c r="A31">
        <f>'Mass Balance'!I31</f>
        <v>1.462921156261011E-10</v>
      </c>
      <c r="B31">
        <f>'Mass Balance'!E31</f>
        <v>1.7911007591479279E-8</v>
      </c>
      <c r="C31">
        <f>SUM('Mass Balance'!E31:H31)</f>
        <v>5.2619715382319752E-8</v>
      </c>
      <c r="D31">
        <f>Concentrations!F31/Concentrations!E31</f>
        <v>0.34171802338874779</v>
      </c>
    </row>
    <row r="32" spans="1:4">
      <c r="A32">
        <f>'Mass Balance'!I32</f>
        <v>3.0956195208300935E-8</v>
      </c>
      <c r="B32">
        <f>'Mass Balance'!E32</f>
        <v>2.2469319550622259E-5</v>
      </c>
      <c r="C32">
        <f>SUM('Mass Balance'!E32:H32)</f>
        <v>2.8531030263235557E-5</v>
      </c>
      <c r="D32">
        <f>Concentrations!F32/Concentrations!E32</f>
        <v>0.79062187913500215</v>
      </c>
    </row>
    <row r="33" spans="1:4">
      <c r="A33">
        <f>'Mass Balance'!I33</f>
        <v>1.7915774412045348E-8</v>
      </c>
      <c r="B33">
        <f>'Mass Balance'!E33</f>
        <v>2.8405883106016624E-5</v>
      </c>
      <c r="C33">
        <f>SUM('Mass Balance'!E33:H33)</f>
        <v>3.1340245142494955E-5</v>
      </c>
      <c r="D33">
        <f>Concentrations!F33/Concentrations!E33</f>
        <v>0.90991802583642023</v>
      </c>
    </row>
    <row r="34" spans="1:4">
      <c r="A34">
        <f>'Mass Balance'!I34</f>
        <v>8.3927738523424114E-8</v>
      </c>
      <c r="B34">
        <f>'Mass Balance'!E34</f>
        <v>6.9567145249326963E-6</v>
      </c>
      <c r="C34">
        <f>SUM('Mass Balance'!E34:H34)</f>
        <v>2.7462473203631589E-5</v>
      </c>
      <c r="D34">
        <f>Concentrations!F34/Concentrations!E34</f>
        <v>0.25430851284398492</v>
      </c>
    </row>
    <row r="35" spans="1:4">
      <c r="A35">
        <f>'Mass Balance'!I35</f>
        <v>1.1368581540853187E-7</v>
      </c>
      <c r="B35">
        <f>'Mass Balance'!E35</f>
        <v>8.2914294392375767E-7</v>
      </c>
      <c r="C35">
        <f>SUM('Mass Balance'!E35:H35)</f>
        <v>3.3525926401050817E-5</v>
      </c>
      <c r="D35">
        <f>Concentrations!F35/Concentrations!E35</f>
        <v>2.4828185657071927E-2</v>
      </c>
    </row>
    <row r="36" spans="1:4">
      <c r="A36">
        <f>'Mass Balance'!I36</f>
        <v>2.526679062837667E-7</v>
      </c>
      <c r="B36">
        <f>'Mass Balance'!E36</f>
        <v>1.8477879449089012E-7</v>
      </c>
      <c r="C36">
        <f>SUM('Mass Balance'!E36:H36)</f>
        <v>3.501142351602712E-5</v>
      </c>
      <c r="D36">
        <f>Concentrations!F36/Concentrations!E36</f>
        <v>5.2983265655727274E-3</v>
      </c>
    </row>
    <row r="37" spans="1:4">
      <c r="A37">
        <f>'Mass Balance'!I37</f>
        <v>5.957070951978008E-7</v>
      </c>
      <c r="B37">
        <f>'Mass Balance'!E37</f>
        <v>2.8725251407578895E-8</v>
      </c>
      <c r="C37">
        <f>SUM('Mass Balance'!E37:H37)</f>
        <v>3.5932863467357003E-5</v>
      </c>
      <c r="D37">
        <f>Concentrations!F37/Concentrations!E37</f>
        <v>8.0254311530271666E-4</v>
      </c>
    </row>
    <row r="38" spans="1:4">
      <c r="A38">
        <f>'Mass Balance'!I38</f>
        <v>3.7045463168103175E-7</v>
      </c>
      <c r="B38">
        <f>'Mass Balance'!E38</f>
        <v>1.020831532235413E-7</v>
      </c>
      <c r="C38">
        <f>SUM('Mass Balance'!E38:H38)</f>
        <v>3.5114895003686346E-5</v>
      </c>
      <c r="D38">
        <f>Concentrations!F38/Concentrations!E38</f>
        <v>2.918495745467104E-3</v>
      </c>
    </row>
    <row r="39" spans="1:4">
      <c r="A39">
        <f>'Mass Balance'!I39</f>
        <v>2.7646761815643283E-7</v>
      </c>
      <c r="B39">
        <f>'Mass Balance'!E39</f>
        <v>1.5298201734637609E-7</v>
      </c>
      <c r="C39">
        <f>SUM('Mass Balance'!E39:H39)</f>
        <v>3.4064556671008122E-5</v>
      </c>
      <c r="D39">
        <f>Concentrations!F39/Concentrations!E39</f>
        <v>4.5085200424820797E-3</v>
      </c>
    </row>
    <row r="40" spans="1:4">
      <c r="A40">
        <f>'Mass Balance'!I40</f>
        <v>3.7045463168103175E-7</v>
      </c>
      <c r="B40">
        <f>'Mass Balance'!E40</f>
        <v>1.020831532235413E-7</v>
      </c>
      <c r="C40">
        <f>SUM('Mass Balance'!E40:H40)</f>
        <v>3.5114895003686346E-5</v>
      </c>
      <c r="D40">
        <f>Concentrations!F40/Concentrations!E40</f>
        <v>2.918495745467104E-3</v>
      </c>
    </row>
    <row r="41" spans="1:4">
      <c r="A41">
        <f>'Mass Balance'!I41</f>
        <v>5.0578779313208039E-9</v>
      </c>
      <c r="B41">
        <f>'Mass Balance'!E41</f>
        <v>3.8165767361614326E-5</v>
      </c>
      <c r="C41">
        <f>SUM('Mass Balance'!E41:H41)</f>
        <v>3.9987727660971485E-5</v>
      </c>
      <c r="D41">
        <f>Concentrations!F41/Concentrations!E41</f>
        <v>0.95817235250460897</v>
      </c>
    </row>
    <row r="42" spans="1:4">
      <c r="A42">
        <f>'Mass Balance'!I42</f>
        <v>6.087538501043015E-7</v>
      </c>
      <c r="B42">
        <f>'Mass Balance'!E42</f>
        <v>2.6133968554701648E-8</v>
      </c>
      <c r="C42">
        <f>SUM('Mass Balance'!E42:H42)</f>
        <v>3.5973492949289009E-5</v>
      </c>
      <c r="D42">
        <f>Concentrations!F42/Concentrations!E42</f>
        <v>7.2932166972692735E-4</v>
      </c>
    </row>
    <row r="43" spans="1:4">
      <c r="A43">
        <f>'Mass Balance'!I43</f>
        <v>5.5818963402904095E-8</v>
      </c>
      <c r="B43">
        <f>'Mass Balance'!E43</f>
        <v>1.4137985122370345E-5</v>
      </c>
      <c r="C43">
        <f>SUM('Mass Balance'!E43:H43)</f>
        <v>2.6583232826903074E-5</v>
      </c>
      <c r="D43">
        <f>Concentrations!F43/Concentrations!E43</f>
        <v>0.53391987495413606</v>
      </c>
    </row>
    <row r="44" spans="1:4">
      <c r="A44">
        <f>'Mass Balance'!I44</f>
        <v>1.7980668427106035E-7</v>
      </c>
      <c r="B44">
        <f>'Mass Balance'!E44</f>
        <v>2.7658939537841323E-7</v>
      </c>
      <c r="C44">
        <f>SUM('Mass Balance'!E44:H44)</f>
        <v>3.5157974348347104E-5</v>
      </c>
      <c r="D44">
        <f>Concentrations!F44/Concentrations!E44</f>
        <v>7.8978347458445262E-3</v>
      </c>
    </row>
    <row r="45" spans="1:4">
      <c r="A45">
        <f>'Mass Balance'!I45</f>
        <v>7.1039784958551919E-7</v>
      </c>
      <c r="B45">
        <f>'Mass Balance'!E45</f>
        <v>1.1760523537059586E-8</v>
      </c>
      <c r="C45">
        <f>SUM('Mass Balance'!E45:H45)</f>
        <v>3.6774720883336258E-5</v>
      </c>
      <c r="D45">
        <f>Concentrations!F45/Concentrations!E45</f>
        <v>3.2105070844138674E-4</v>
      </c>
    </row>
    <row r="46" spans="1:4">
      <c r="A46">
        <f>'Mass Balance'!I46</f>
        <v>6.2700774069334867E-7</v>
      </c>
      <c r="B46">
        <f>'Mass Balance'!E46</f>
        <v>2.3413989995513978E-8</v>
      </c>
      <c r="C46">
        <f>SUM('Mass Balance'!E46:H46)</f>
        <v>3.6199922915505782E-5</v>
      </c>
      <c r="D46">
        <f>Concentrations!F46/Concentrations!E46</f>
        <v>6.4932802139476553E-4</v>
      </c>
    </row>
    <row r="47" spans="1:4">
      <c r="A47">
        <f>'Mass Balance'!I47</f>
        <v>4.9994174292825015E-7</v>
      </c>
      <c r="B47">
        <f>'Mass Balance'!E47</f>
        <v>5.1907620525179845E-8</v>
      </c>
      <c r="C47">
        <f>SUM('Mass Balance'!E47:H47)</f>
        <v>3.5529876653638684E-5</v>
      </c>
      <c r="D47">
        <f>Concentrations!F47/Concentrations!E47</f>
        <v>1.4666746427414962E-3</v>
      </c>
    </row>
    <row r="48" spans="1:4">
      <c r="A48">
        <f>'Mass Balance'!I48</f>
        <v>1.0688474499202648E-7</v>
      </c>
      <c r="B48">
        <f>'Mass Balance'!E48</f>
        <v>2.3739050831048387E-6</v>
      </c>
      <c r="C48">
        <f>SUM('Mass Balance'!E48:H48)</f>
        <v>3.0958615040393307E-5</v>
      </c>
      <c r="D48">
        <f>Concentrations!F48/Concentrations!E48</f>
        <v>7.6980049987451254E-2</v>
      </c>
    </row>
    <row r="49" spans="1:4">
      <c r="A49">
        <f>'Mass Balance'!I49</f>
        <v>1.9222891189453179E-7</v>
      </c>
      <c r="B49">
        <f>'Mass Balance'!E49</f>
        <v>2.5721867721072675E-7</v>
      </c>
      <c r="C49">
        <f>SUM('Mass Balance'!E49:H49)</f>
        <v>3.5124190692854612E-5</v>
      </c>
      <c r="D49">
        <f>Concentrations!F49/Concentrations!E49</f>
        <v>7.3517805761136156E-3</v>
      </c>
    </row>
    <row r="50" spans="1:4">
      <c r="A50">
        <f>'Mass Balance'!I50</f>
        <v>2.1420300369764756E-7</v>
      </c>
      <c r="B50">
        <f>'Mass Balance'!E50</f>
        <v>2.271935920801323E-7</v>
      </c>
      <c r="C50">
        <f>SUM('Mass Balance'!E50:H50)</f>
        <v>3.5069927866741352E-5</v>
      </c>
      <c r="D50">
        <f>Concentrations!F50/Concentrations!E50</f>
        <v>6.5036560878853986E-3</v>
      </c>
    </row>
    <row r="51" spans="1:4">
      <c r="A51">
        <f>'Mass Balance'!I51</f>
        <v>1.1164182688354562E-7</v>
      </c>
      <c r="B51">
        <f>'Mass Balance'!E51</f>
        <v>1.5237036053227807E-6</v>
      </c>
      <c r="C51">
        <f>SUM('Mass Balance'!E51:H51)</f>
        <v>3.2349726876371611E-5</v>
      </c>
      <c r="D51">
        <f>Concentrations!F51/Concentrations!E51</f>
        <v>4.728530984048708E-2</v>
      </c>
    </row>
    <row r="52" spans="1:4">
      <c r="A52">
        <f>'Mass Balance'!I52</f>
        <v>1.0741403538908605E-7</v>
      </c>
      <c r="B52">
        <f>'Mass Balance'!E52</f>
        <v>2.2776065116965868E-6</v>
      </c>
      <c r="C52">
        <f>SUM('Mass Balance'!E52:H52)</f>
        <v>3.1091829177842E-5</v>
      </c>
      <c r="D52">
        <f>Concentrations!F52/Concentrations!E52</f>
        <v>7.3540873690213074E-2</v>
      </c>
    </row>
    <row r="53" spans="1:4">
      <c r="A53">
        <f>'Mass Balance'!I53</f>
        <v>2.9235508863422241E-7</v>
      </c>
      <c r="B53">
        <f>'Mass Balance'!E53</f>
        <v>1.5087934208451169E-7</v>
      </c>
      <c r="C53">
        <f>SUM('Mass Balance'!E53:H53)</f>
        <v>3.5017805523403507E-5</v>
      </c>
      <c r="D53">
        <f>Concentrations!F53/Concentrations!E53</f>
        <v>4.3255089750456246E-3</v>
      </c>
    </row>
    <row r="54" spans="1:4">
      <c r="A54">
        <f>'Mass Balance'!I54</f>
        <v>2.0301892034391901E-7</v>
      </c>
      <c r="B54">
        <f>'Mass Balance'!E54</f>
        <v>2.4186006702242954E-7</v>
      </c>
      <c r="C54">
        <f>SUM('Mass Balance'!E54:H54)</f>
        <v>3.509658719886713E-5</v>
      </c>
      <c r="D54">
        <f>Concentrations!F54/Concentrations!E54</f>
        <v>6.9182403118300565E-3</v>
      </c>
    </row>
    <row r="55" spans="1:4">
      <c r="A55">
        <f>'Mass Balance'!I55</f>
        <v>4.9367171996436833E-7</v>
      </c>
      <c r="B55">
        <f>'Mass Balance'!E55</f>
        <v>5.3695317266195751E-8</v>
      </c>
      <c r="C55">
        <f>SUM('Mass Balance'!E55:H55)</f>
        <v>3.5494775214018029E-5</v>
      </c>
      <c r="D55">
        <f>Concentrations!F55/Concentrations!E55</f>
        <v>1.5186872432767797E-3</v>
      </c>
    </row>
    <row r="56" spans="1:4">
      <c r="A56">
        <f>'Mass Balance'!I56</f>
        <v>1.8388987617534706E-7</v>
      </c>
      <c r="B56">
        <f>'Mass Balance'!E56</f>
        <v>2.7002609453366565E-7</v>
      </c>
      <c r="C56">
        <f>SUM('Mass Balance'!E56:H56)</f>
        <v>3.514790192734451E-5</v>
      </c>
      <c r="D56">
        <f>Concentrations!F56/Concentrations!E56</f>
        <v>7.7126334484831222E-3</v>
      </c>
    </row>
    <row r="57" spans="1:4">
      <c r="A57">
        <f>'Mass Balance'!I57</f>
        <v>1.0394243512215752E-7</v>
      </c>
      <c r="B57">
        <f>'Mass Balance'!E57</f>
        <v>2.8437494316777427E-6</v>
      </c>
      <c r="C57">
        <f>SUM('Mass Balance'!E57:H57)</f>
        <v>3.0260237770488457E-5</v>
      </c>
      <c r="D57">
        <f>Concentrations!F57/Concentrations!E57</f>
        <v>9.4344231965447375E-2</v>
      </c>
    </row>
    <row r="58" spans="1:4">
      <c r="A58">
        <f>'Mass Balance'!I58</f>
        <v>2.0522632677492181E-7</v>
      </c>
      <c r="B58">
        <f>'Mass Balance'!E58</f>
        <v>2.3887427217112745E-7</v>
      </c>
      <c r="C58">
        <f>SUM('Mass Balance'!E58:H58)</f>
        <v>3.5091499799094133E-5</v>
      </c>
      <c r="D58">
        <f>Concentrations!F58/Concentrations!E58</f>
        <v>6.8338243025118017E-3</v>
      </c>
    </row>
    <row r="59" spans="1:4">
      <c r="A59">
        <f>'Mass Balance'!I59</f>
        <v>1.074284204178678E-7</v>
      </c>
      <c r="B59">
        <f>'Mass Balance'!E59</f>
        <v>2.2779115317538409E-6</v>
      </c>
      <c r="C59">
        <f>SUM('Mass Balance'!E59:H59)</f>
        <v>3.1095993036466065E-5</v>
      </c>
      <c r="D59">
        <f>Concentrations!F59/Concentrations!E59</f>
        <v>7.3540873690213074E-2</v>
      </c>
    </row>
    <row r="60" spans="1:4">
      <c r="A60">
        <f>'Mass Balance'!I60</f>
        <v>2.6810190755509119E-7</v>
      </c>
      <c r="B60">
        <f>'Mass Balance'!E60</f>
        <v>1.7054909137746492E-7</v>
      </c>
      <c r="C60">
        <f>SUM('Mass Balance'!E60:H60)</f>
        <v>3.5001601366737771E-5</v>
      </c>
      <c r="D60">
        <f>Concentrations!F60/Concentrations!E60</f>
        <v>4.8916779614992974E-3</v>
      </c>
    </row>
    <row r="61" spans="1:4">
      <c r="A61">
        <f>'Mass Balance'!I61</f>
        <v>1.9504546170222545E-7</v>
      </c>
      <c r="B61">
        <f>'Mass Balance'!E61</f>
        <v>1.11008644319336E-5</v>
      </c>
      <c r="C61">
        <f>SUM('Mass Balance'!E61:H61)</f>
        <v>3.1962519472598018E-5</v>
      </c>
      <c r="D61">
        <f>Concentrations!F61/Concentrations!E61</f>
        <v>0.34866805219416086</v>
      </c>
    </row>
    <row r="62" spans="1:4">
      <c r="A62">
        <f>'Mass Balance'!I62</f>
        <v>8.1811246384842679E-8</v>
      </c>
      <c r="B62">
        <f>'Mass Balance'!E62</f>
        <v>7.4343640099776375E-6</v>
      </c>
      <c r="C62">
        <f>SUM('Mass Balance'!E62:H62)</f>
        <v>2.728846463160703E-5</v>
      </c>
      <c r="D62">
        <f>Concentrations!F62/Concentrations!E62</f>
        <v>0.27350236304920528</v>
      </c>
    </row>
    <row r="63" spans="1:4">
      <c r="A63">
        <f>'Mass Balance'!I63</f>
        <v>3.174330126518375E-8</v>
      </c>
      <c r="B63">
        <f>'Mass Balance'!E63</f>
        <v>3.692148544176685E-5</v>
      </c>
      <c r="C63">
        <f>SUM('Mass Balance'!E63:H63)</f>
        <v>3.8367130980896255E-5</v>
      </c>
      <c r="D63">
        <f>Concentrations!F63/Concentrations!E63</f>
        <v>0.96608692190690348</v>
      </c>
    </row>
    <row r="64" spans="1:4">
      <c r="A64">
        <f>'Mass Balance'!I64</f>
        <v>5.1065889341228078E-9</v>
      </c>
      <c r="B64">
        <f>'Mass Balance'!E64</f>
        <v>3.9328742433912743E-5</v>
      </c>
      <c r="C64">
        <f>SUM('Mass Balance'!E64:H64)</f>
        <v>3.9821224682240678E-5</v>
      </c>
      <c r="D64">
        <f>Concentrations!F64/Concentrations!E64</f>
        <v>0.99149792496629241</v>
      </c>
    </row>
    <row r="65" spans="1:4">
      <c r="A65">
        <f>'Mass Balance'!I65</f>
        <v>7.2330829356208251E-9</v>
      </c>
      <c r="B65">
        <f>'Mass Balance'!E65</f>
        <v>3.9848661105958411E-5</v>
      </c>
      <c r="C65">
        <f>SUM('Mass Balance'!E65:H65)</f>
        <v>3.991527125987698E-5</v>
      </c>
      <c r="D65">
        <f>Concentrations!F65/Concentrations!E65</f>
        <v>1.0022383372267634</v>
      </c>
    </row>
    <row r="66" spans="1:4">
      <c r="A66">
        <f>'Mass Balance'!I66</f>
        <v>2.1464079442383521E-7</v>
      </c>
      <c r="B66">
        <f>'Mass Balance'!E66</f>
        <v>3.0855567392040634E-5</v>
      </c>
      <c r="C66">
        <f>SUM('Mass Balance'!E66:H66)</f>
        <v>3.909335902278569E-5</v>
      </c>
      <c r="D66">
        <f>Concentrations!F66/Concentrations!E66</f>
        <v>0.7923679692326443</v>
      </c>
    </row>
    <row r="67" spans="1:4">
      <c r="A67">
        <f>'Mass Balance'!I67</f>
        <v>6.8542569164813054E-9</v>
      </c>
      <c r="B67">
        <f>'Mass Balance'!E67</f>
        <v>3.9849289211158132E-5</v>
      </c>
      <c r="C67">
        <f>SUM('Mass Balance'!E67:H67)</f>
        <v>3.9906005359164596E-5</v>
      </c>
      <c r="D67">
        <f>Concentrations!F67/Concentrations!E67</f>
        <v>1.0024868513093348</v>
      </c>
    </row>
    <row r="68" spans="1:4">
      <c r="A68">
        <f>'Mass Balance'!I68</f>
        <v>5.2169182143765728E-9</v>
      </c>
      <c r="B68">
        <f>'Mass Balance'!E68</f>
        <v>3.995264808121963E-5</v>
      </c>
      <c r="C68">
        <f>SUM('Mass Balance'!E68:H68)</f>
        <v>3.9959543363615476E-5</v>
      </c>
      <c r="D68">
        <f>Concentrations!F68/Concentrations!E68</f>
        <v>1.0037404250867854</v>
      </c>
    </row>
    <row r="69" spans="1:4">
      <c r="A69">
        <f>'Mass Balance'!I69</f>
        <v>1.6365684350194787E-7</v>
      </c>
      <c r="B69">
        <f>'Mass Balance'!E69</f>
        <v>3.0529241157603107E-7</v>
      </c>
      <c r="C69">
        <f>SUM('Mass Balance'!E69:H69)</f>
        <v>3.5222659961404145E-5</v>
      </c>
      <c r="D69">
        <f>Concentrations!F69/Concentrations!E69</f>
        <v>8.7014218033396352E-3</v>
      </c>
    </row>
    <row r="70" spans="1:4">
      <c r="A70">
        <f>'Mass Balance'!I70</f>
        <v>5.0302185671019802E-9</v>
      </c>
      <c r="B70">
        <f>'Mass Balance'!E70</f>
        <v>3.878260097801839E-5</v>
      </c>
      <c r="C70">
        <f>SUM('Mass Balance'!E70:H70)</f>
        <v>3.9992696847757489E-5</v>
      </c>
      <c r="D70">
        <f>Concentrations!F70/Concentrations!E70</f>
        <v>0.97353731667672883</v>
      </c>
    </row>
    <row r="71" spans="1:4">
      <c r="A71">
        <f>'Mass Balance'!I71</f>
        <v>5.067157100110391E-9</v>
      </c>
      <c r="B71">
        <f>'Mass Balance'!E71</f>
        <v>3.7736035928685834E-5</v>
      </c>
      <c r="C71">
        <f>SUM('Mass Balance'!E71:H71)</f>
        <v>3.9991818920151069E-5</v>
      </c>
      <c r="D71">
        <f>Concentrations!F71/Concentrations!E71</f>
        <v>0.94728679146870587</v>
      </c>
    </row>
    <row r="72" spans="1:4">
      <c r="A72">
        <f>'Mass Balance'!I72</f>
        <v>3.740291592354598E-8</v>
      </c>
      <c r="B72">
        <f>'Mass Balance'!E72</f>
        <v>1.5568939105877339E-7</v>
      </c>
      <c r="C72">
        <f>SUM('Mass Balance'!E72:H72)</f>
        <v>3.995907419934191E-5</v>
      </c>
      <c r="D72">
        <f>Concentrations!F72/Concentrations!E72</f>
        <v>3.9114696490280699E-3</v>
      </c>
    </row>
    <row r="73" spans="1:4">
      <c r="A73">
        <f>'Mass Balance'!I73</f>
        <v>4.5474502254626704E-9</v>
      </c>
      <c r="B73">
        <f>'Mass Balance'!E73</f>
        <v>1.4442393997749398E-6</v>
      </c>
      <c r="C73">
        <f>SUM('Mass Balance'!E73:H73)</f>
        <v>3.9992595886037548E-5</v>
      </c>
      <c r="D73">
        <f>Concentrations!F73/Concentrations!E73</f>
        <v>3.625400215439354E-2</v>
      </c>
    </row>
    <row r="74" spans="1:4">
      <c r="A74">
        <f>'Mass Balance'!I74</f>
        <v>5.0604852287708111E-9</v>
      </c>
      <c r="B74">
        <f>'Mass Balance'!E74</f>
        <v>3.7939883329811108E-5</v>
      </c>
      <c r="C74">
        <f>SUM('Mass Balance'!E74:H74)</f>
        <v>3.9991977114180275E-5</v>
      </c>
      <c r="D74">
        <f>Concentrations!F74/Concentrations!E74</f>
        <v>0.95240020044659923</v>
      </c>
    </row>
    <row r="75" spans="1:4">
      <c r="A75">
        <f>'Mass Balance'!I75</f>
        <v>4.599581421647231E-9</v>
      </c>
      <c r="B75">
        <f>'Mass Balance'!E75</f>
        <v>1.7087004538297229E-6</v>
      </c>
      <c r="C75">
        <f>SUM('Mass Balance'!E75:H75)</f>
        <v>3.9992315313652059E-5</v>
      </c>
      <c r="D75">
        <f>Concentrations!F75/Concentrations!E75</f>
        <v>4.2892933501575733E-2</v>
      </c>
    </row>
    <row r="76" spans="1:4">
      <c r="A76">
        <f>'Mass Balance'!I76</f>
        <v>5.2759640701040339E-9</v>
      </c>
      <c r="B76">
        <f>'Mass Balance'!E76</f>
        <v>1.7915976992803757E-5</v>
      </c>
      <c r="C76">
        <f>SUM('Mass Balance'!E76:H76)</f>
        <v>3.9987568614737186E-5</v>
      </c>
      <c r="D76">
        <f>Concentrations!F76/Concentrations!E76</f>
        <v>0.4497921380234377</v>
      </c>
    </row>
    <row r="77" spans="1:4">
      <c r="A77">
        <f>'Mass Balance'!I77</f>
        <v>4.5624588412857073E-9</v>
      </c>
      <c r="B77">
        <f>'Mass Balance'!E77</f>
        <v>1.5154949872981057E-6</v>
      </c>
      <c r="C77">
        <f>SUM('Mass Balance'!E77:H77)</f>
        <v>3.9992508021901069E-5</v>
      </c>
      <c r="D77">
        <f>Concentrations!F77/Concentrations!E77</f>
        <v>3.8042778263146559E-2</v>
      </c>
    </row>
    <row r="78" spans="1:4">
      <c r="A78">
        <f>'Mass Balance'!I78</f>
        <v>3.1340190979730005E-8</v>
      </c>
      <c r="B78">
        <f>'Mass Balance'!E78</f>
        <v>1.7270041184025527E-7</v>
      </c>
      <c r="C78">
        <f>SUM('Mass Balance'!E78:H78)</f>
        <v>3.9965317739048167E-5</v>
      </c>
      <c r="D78">
        <f>Concentrations!F78/Concentrations!E78</f>
        <v>4.3381689881233452E-3</v>
      </c>
    </row>
    <row r="79" spans="1:4">
      <c r="A79">
        <f>'Mass Balance'!I79</f>
        <v>3.1340138830905274E-8</v>
      </c>
      <c r="B79">
        <f>'Mass Balance'!E79</f>
        <v>1.7270042496683841E-7</v>
      </c>
      <c r="C79">
        <f>SUM('Mass Balance'!E79:H79)</f>
        <v>3.996531834755104E-5</v>
      </c>
      <c r="D79">
        <f>Concentrations!F79/Concentrations!E79</f>
        <v>4.3381692518061638E-3</v>
      </c>
    </row>
    <row r="80" spans="1:4">
      <c r="A80">
        <f>'Mass Balance'!I80</f>
        <v>5.0352213472203509E-9</v>
      </c>
      <c r="B80">
        <f>'Mass Balance'!E80</f>
        <v>6.6677238619796044E-6</v>
      </c>
      <c r="C80">
        <f>SUM('Mass Balance'!E80:H80)</f>
        <v>3.9989456925424268E-5</v>
      </c>
      <c r="D80">
        <f>Concentrations!F80/Concentrations!E80</f>
        <v>0.16738959617862065</v>
      </c>
    </row>
    <row r="81" spans="1:4">
      <c r="A81">
        <f>'Mass Balance'!I81</f>
        <v>5.1962927563178687E-9</v>
      </c>
      <c r="B81">
        <f>'Mass Balance'!E81</f>
        <v>3.2184768303759516E-5</v>
      </c>
      <c r="C81">
        <f>SUM('Mass Balance'!E81:H81)</f>
        <v>3.9989310865773315E-5</v>
      </c>
      <c r="D81">
        <f>Concentrations!F81/Concentrations!E81</f>
        <v>0.80798412745827097</v>
      </c>
    </row>
    <row r="82" spans="1:4">
      <c r="A82">
        <f>'Mass Balance'!I82</f>
        <v>5.2789560840407666E-9</v>
      </c>
      <c r="B82">
        <f>'Mass Balance'!E82</f>
        <v>2.4337775885679016E-5</v>
      </c>
      <c r="C82">
        <f>SUM('Mass Balance'!E82:H82)</f>
        <v>3.9987817203908908E-5</v>
      </c>
      <c r="D82">
        <f>Concentrations!F82/Concentrations!E82</f>
        <v>0.61101173560083721</v>
      </c>
    </row>
    <row r="83" spans="1:4">
      <c r="A83">
        <f>'Mass Balance'!I83</f>
        <v>6.0813235396800507E-8</v>
      </c>
      <c r="B83">
        <f>'Mass Balance'!E83</f>
        <v>1.1700845466843351E-7</v>
      </c>
      <c r="C83">
        <f>SUM('Mass Balance'!E83:H83)</f>
        <v>3.9935116366703013E-5</v>
      </c>
      <c r="D83">
        <f>Concentrations!F83/Concentrations!E83</f>
        <v>2.9414309087652819E-3</v>
      </c>
    </row>
    <row r="84" spans="1:4">
      <c r="A84">
        <f>'Mass Balance'!I84</f>
        <v>6.5844149177628131E-8</v>
      </c>
      <c r="B84">
        <f>'Mass Balance'!E84</f>
        <v>1.1351332819817936E-5</v>
      </c>
      <c r="C84">
        <f>SUM('Mass Balance'!E84:H84)</f>
        <v>2.6546127678238397E-5</v>
      </c>
      <c r="D84">
        <f>Concentrations!F84/Concentrations!E84</f>
        <v>0.42928136943734024</v>
      </c>
    </row>
    <row r="85" spans="1:4">
      <c r="A85">
        <f>'Mass Balance'!I85</f>
        <v>2.3681059212239365E-6</v>
      </c>
      <c r="B85">
        <f>'Mass Balance'!E85</f>
        <v>2.1084698141730808E-6</v>
      </c>
      <c r="C85">
        <f>SUM('Mass Balance'!E85:H85)</f>
        <v>3.6979999932415006E-5</v>
      </c>
      <c r="D85">
        <f>Concentrations!F85/Concentrations!E85</f>
        <v>5.7239633469175176E-2</v>
      </c>
    </row>
    <row r="86" spans="1:4">
      <c r="A86">
        <f>'Mass Balance'!I86</f>
        <v>6.8846797770693438E-7</v>
      </c>
      <c r="B86">
        <f>'Mass Balance'!E86</f>
        <v>1.437957078701709E-8</v>
      </c>
      <c r="C86">
        <f>SUM('Mass Balance'!E86:H86)</f>
        <v>3.6611782373278799E-5</v>
      </c>
      <c r="D86">
        <f>Concentrations!F86/Concentrations!E86</f>
        <v>3.942951301225698E-4</v>
      </c>
    </row>
    <row r="87" spans="1:4">
      <c r="A87">
        <f>'Mass Balance'!I87</f>
        <v>7.8419084732812498E-7</v>
      </c>
      <c r="B87">
        <f>'Mass Balance'!E87</f>
        <v>5.0060897303148227E-9</v>
      </c>
      <c r="C87">
        <f>SUM('Mass Balance'!E87:H87)</f>
        <v>3.7389395090757538E-5</v>
      </c>
      <c r="D87">
        <f>Concentrations!F87/Concentrations!E87</f>
        <v>1.3441463378141346E-4</v>
      </c>
    </row>
    <row r="88" spans="1:4">
      <c r="A88">
        <f>'Mass Balance'!I88</f>
        <v>8.5071425853190081E-7</v>
      </c>
      <c r="B88">
        <f>'Mass Balance'!E88</f>
        <v>1.4105922117781975E-9</v>
      </c>
      <c r="C88">
        <f>SUM('Mass Balance'!E88:H88)</f>
        <v>3.8053419326789163E-5</v>
      </c>
      <c r="D88">
        <f>Concentrations!F88/Concentrations!E88</f>
        <v>3.721381181810586E-5</v>
      </c>
    </row>
    <row r="89" spans="1:4">
      <c r="A89">
        <f>'Mass Balance'!I89</f>
        <v>1.1884158537007383E-5</v>
      </c>
      <c r="B89">
        <f>'Mass Balance'!E89</f>
        <v>6.6143302301439805E-8</v>
      </c>
      <c r="C89">
        <f>SUM('Mass Balance'!E89:H89)</f>
        <v>2.7286535624593418E-5</v>
      </c>
      <c r="D89">
        <f>Concentrations!F89/Concentrations!E89</f>
        <v>2.4335139283741215E-3</v>
      </c>
    </row>
    <row r="90" spans="1:4">
      <c r="A90">
        <f>'Mass Balance'!I90</f>
        <v>5.1112424843559307E-9</v>
      </c>
      <c r="B90">
        <f>'Mass Balance'!E90</f>
        <v>3.8941105856642772E-5</v>
      </c>
      <c r="C90">
        <f>SUM('Mass Balance'!E90:H90)</f>
        <v>3.8990069910472272E-5</v>
      </c>
      <c r="D90">
        <f>Concentrations!F90/Concentrations!E90</f>
        <v>1.0026529338867345</v>
      </c>
    </row>
    <row r="91" spans="1:4">
      <c r="A91">
        <f>'Mass Balance'!I91</f>
        <v>1.742097180769035E-8</v>
      </c>
      <c r="B91">
        <f>'Mass Balance'!E91</f>
        <v>2.8666660311370092E-5</v>
      </c>
      <c r="C91">
        <f>SUM('Mass Balance'!E91:H91)</f>
        <v>3.1485778066568708E-5</v>
      </c>
      <c r="D91">
        <f>Concentrations!F91/Concentrations!E91</f>
        <v>0.91402701646221429</v>
      </c>
    </row>
    <row r="92" spans="1:4">
      <c r="A92">
        <f>'Mass Balance'!I92</f>
        <v>9.2699605304651929E-8</v>
      </c>
      <c r="B92">
        <f>'Mass Balance'!E92</f>
        <v>5.0751972696853008E-6</v>
      </c>
      <c r="C92">
        <f>SUM('Mass Balance'!E92:H92)</f>
        <v>2.8402306752220976E-5</v>
      </c>
      <c r="D92">
        <f>Concentrations!F92/Concentrations!E92</f>
        <v>0.17938894525213359</v>
      </c>
    </row>
    <row r="93" spans="1:4">
      <c r="A93">
        <f>'Mass Balance'!I93</f>
        <v>4.983713196939204E-9</v>
      </c>
      <c r="B93">
        <f>'Mass Balance'!E93</f>
        <v>3.9814307268365139E-5</v>
      </c>
      <c r="C93">
        <f>SUM('Mass Balance'!E93:H93)</f>
        <v>3.998889693685275E-5</v>
      </c>
      <c r="D93">
        <f>Concentrations!F93/Concentrations!E93</f>
        <v>0.99953061655693276</v>
      </c>
    </row>
    <row r="94" spans="1:4">
      <c r="A94">
        <f>'Mass Balance'!I94</f>
        <v>5.0045986127478494E-9</v>
      </c>
      <c r="B94">
        <f>'Mass Balance'!E94</f>
        <v>3.9994160695723564E-5</v>
      </c>
      <c r="C94">
        <f>SUM('Mass Balance'!E94:H94)</f>
        <v>3.9994840578046591E-5</v>
      </c>
      <c r="D94">
        <f>Concentrations!F94/Concentrations!E94</f>
        <v>1.0038965912204805</v>
      </c>
    </row>
    <row r="95" spans="1:4">
      <c r="A95">
        <f>'Mass Balance'!I95</f>
        <v>5.869970106059822E-9</v>
      </c>
      <c r="B95">
        <f>'Mass Balance'!E95</f>
        <v>3.7476232361340128E-5</v>
      </c>
      <c r="C95">
        <f>SUM('Mass Balance'!E95:H95)</f>
        <v>3.7677566224326261E-5</v>
      </c>
      <c r="D95">
        <f>Concentrations!F95/Concentrations!E95</f>
        <v>0.99854914344707935</v>
      </c>
    </row>
    <row r="96" spans="1:4">
      <c r="A96">
        <f>'Mass Balance'!I96</f>
        <v>6.4260578637098224E-7</v>
      </c>
      <c r="B96">
        <f>'Mass Balance'!E96</f>
        <v>2.0873045341880694E-8</v>
      </c>
      <c r="C96">
        <f>SUM('Mass Balance'!E96:H96)</f>
        <v>3.6299264848459027E-5</v>
      </c>
      <c r="D96">
        <f>Concentrations!F96/Concentrations!E96</f>
        <v>5.7727712584221204E-4</v>
      </c>
    </row>
    <row r="97" spans="1:4">
      <c r="A97">
        <f>'Mass Balance'!I97</f>
        <v>2.7383160068732706E-8</v>
      </c>
      <c r="B97">
        <f>'Mass Balance'!E97</f>
        <v>2.3995693176952696E-5</v>
      </c>
      <c r="C97">
        <f>SUM('Mass Balance'!E97:H97)</f>
        <v>2.9182471852866844E-5</v>
      </c>
      <c r="D97">
        <f>Concentrations!F97/Concentrations!E97</f>
        <v>0.82548196091787918</v>
      </c>
    </row>
    <row r="98" spans="1:4">
      <c r="A98">
        <f>'Mass Balance'!I98</f>
        <v>1.8955088548044371E-8</v>
      </c>
      <c r="B98">
        <f>'Mass Balance'!E98</f>
        <v>2.7873630792225788E-5</v>
      </c>
      <c r="C98">
        <f>SUM('Mass Balance'!E98:H98)</f>
        <v>3.1050801359701452E-5</v>
      </c>
      <c r="D98">
        <f>Concentrations!F98/Concentrations!E98</f>
        <v>0.90119151188221702</v>
      </c>
    </row>
    <row r="99" spans="1:4">
      <c r="A99">
        <f>'Mass Balance'!I99</f>
        <v>8.4317458144616308E-9</v>
      </c>
      <c r="B99">
        <f>'Mass Balance'!E99</f>
        <v>3.4533517606014137E-5</v>
      </c>
      <c r="C99">
        <f>SUM('Mass Balance'!E99:H99)</f>
        <v>3.5310439588091723E-5</v>
      </c>
      <c r="D99">
        <f>Concentrations!F99/Concentrations!E99</f>
        <v>0.98182493204176757</v>
      </c>
    </row>
    <row r="100" spans="1:4">
      <c r="A100">
        <f>'Mass Balance'!I100</f>
        <v>3.1471605019653099E-7</v>
      </c>
      <c r="B100">
        <f>'Mass Balance'!E100</f>
        <v>1.3486477092029296E-7</v>
      </c>
      <c r="C100">
        <f>SUM('Mass Balance'!E100:H100)</f>
        <v>3.503468952385547E-5</v>
      </c>
      <c r="D100">
        <f>Concentrations!F100/Concentrations!E100</f>
        <v>3.8645293340741375E-3</v>
      </c>
    </row>
    <row r="101" spans="1:4">
      <c r="A101">
        <f>'Mass Balance'!I101</f>
        <v>8.3408184040422074E-8</v>
      </c>
      <c r="B101">
        <f>'Mass Balance'!E101</f>
        <v>7.074473051715484E-6</v>
      </c>
      <c r="C101">
        <f>SUM('Mass Balance'!E101:H101)</f>
        <v>2.741907116629085E-5</v>
      </c>
      <c r="D101">
        <f>Concentrations!F101/Concentrations!E101</f>
        <v>0.25902263682185789</v>
      </c>
    </row>
    <row r="102" spans="1:4">
      <c r="A102">
        <f>'Mass Balance'!I102</f>
        <v>1.1144158501820008E-7</v>
      </c>
      <c r="B102">
        <f>'Mass Balance'!E102</f>
        <v>1.5566673599462209E-6</v>
      </c>
      <c r="C102">
        <f>SUM('Mass Balance'!E102:H102)</f>
        <v>3.2280829568427355E-5</v>
      </c>
      <c r="D102">
        <f>Concentrations!F102/Concentrations!E102</f>
        <v>4.8411383565722318E-2</v>
      </c>
    </row>
    <row r="103" spans="1:4">
      <c r="A103">
        <f>'Mass Balance'!I103</f>
        <v>5.1229856751310657E-9</v>
      </c>
      <c r="B103">
        <f>'Mass Balance'!E103</f>
        <v>3.5787757748630194E-5</v>
      </c>
      <c r="C103">
        <f>SUM('Mass Balance'!E103:H103)</f>
        <v>3.9990165680235646E-5</v>
      </c>
      <c r="D103">
        <f>Concentrations!F103/Concentrations!E103</f>
        <v>0.89841635177396062</v>
      </c>
    </row>
    <row r="104" spans="1:4">
      <c r="A104">
        <f>'Mass Balance'!I104</f>
        <v>7.0638939608232469E-9</v>
      </c>
      <c r="B104">
        <f>'Mass Balance'!E104</f>
        <v>4.4424863622671483E-7</v>
      </c>
      <c r="C104">
        <f>SUM('Mass Balance'!E104:H104)</f>
        <v>3.9965193582801957E-5</v>
      </c>
      <c r="D104">
        <f>Concentrations!F104/Concentrations!E104</f>
        <v>1.1159392286885953E-2</v>
      </c>
    </row>
    <row r="105" spans="1:4">
      <c r="A105">
        <f>'Mass Balance'!I105</f>
        <v>5.1488243328534779E-9</v>
      </c>
      <c r="B105">
        <f>'Mass Balance'!E105</f>
        <v>3.8736284823615834E-5</v>
      </c>
      <c r="C105">
        <f>SUM('Mass Balance'!E105:H105)</f>
        <v>3.8790792279013947E-5</v>
      </c>
      <c r="D105">
        <f>Concentrations!F105/Concentrations!E105</f>
        <v>1.0025029928797253</v>
      </c>
    </row>
    <row r="106" spans="1:4">
      <c r="A106">
        <f>'Mass Balance'!I106</f>
        <v>5.9370507642019567E-9</v>
      </c>
      <c r="B106">
        <f>'Mass Balance'!E106</f>
        <v>3.7351400615686365E-5</v>
      </c>
      <c r="C106">
        <f>SUM('Mass Balance'!E106:H106)</f>
        <v>3.7569363945192768E-5</v>
      </c>
      <c r="D106">
        <f>Concentrations!F106/Concentrations!E106</f>
        <v>0.99808932727434763</v>
      </c>
    </row>
    <row r="107" spans="1:4">
      <c r="A107">
        <f>'Mass Balance'!I107</f>
        <v>1.3375479535950563E-7</v>
      </c>
      <c r="B107">
        <f>'Mass Balance'!E107</f>
        <v>8.3789099448423E-7</v>
      </c>
      <c r="C107">
        <f>SUM('Mass Balance'!E107:H107)</f>
        <v>3.4366190430715639E-5</v>
      </c>
      <c r="D107">
        <f>Concentrations!F107/Concentrations!E107</f>
        <v>2.4476679023712526E-2</v>
      </c>
    </row>
    <row r="108" spans="1:4">
      <c r="A108">
        <f>'Mass Balance'!I108</f>
        <v>4.9871533538487228E-9</v>
      </c>
      <c r="B108">
        <f>'Mass Balance'!E108</f>
        <v>3.9992427552525555E-5</v>
      </c>
      <c r="C108">
        <f>SUM('Mass Balance'!E108:H108)</f>
        <v>3.9992789419397255E-5</v>
      </c>
      <c r="D108">
        <f>Concentrations!F108/Concentrations!E108</f>
        <v>1.003904573285616</v>
      </c>
    </row>
    <row r="109" spans="1:4">
      <c r="A109">
        <f>'Mass Balance'!I109</f>
        <v>6.6556317737632451E-8</v>
      </c>
      <c r="B109">
        <f>'Mass Balance'!E109</f>
        <v>3.6785646783156873E-5</v>
      </c>
      <c r="C109">
        <f>SUM('Mass Balance'!E109:H109)</f>
        <v>3.9205316498121163E-5</v>
      </c>
      <c r="D109">
        <f>Concentrations!F109/Concentrations!E109</f>
        <v>0.94195421656590006</v>
      </c>
    </row>
    <row r="110" spans="1:4">
      <c r="A110">
        <f>'Mass Balance'!I110</f>
        <v>4.9755386653629695E-9</v>
      </c>
      <c r="B110">
        <f>'Mass Balance'!E110</f>
        <v>3.9734067342134699E-5</v>
      </c>
      <c r="C110">
        <f>SUM('Mass Balance'!E110:H110)</f>
        <v>3.9744780414015228E-5</v>
      </c>
      <c r="D110">
        <f>Concentrations!F110/Concentrations!E110</f>
        <v>1.0036430554508318</v>
      </c>
    </row>
    <row r="111" spans="1:4">
      <c r="A111">
        <f>'Mass Balance'!I111</f>
        <v>4.9689486873370683E-9</v>
      </c>
      <c r="B111">
        <f>'Mass Balance'!E111</f>
        <v>3.9994166666594463E-5</v>
      </c>
      <c r="C111">
        <f>SUM('Mass Balance'!E111:H111)</f>
        <v>3.9994806279004388E-5</v>
      </c>
      <c r="D111">
        <f>Concentrations!F111/Concentrations!E111</f>
        <v>1.0038976020249861</v>
      </c>
    </row>
    <row r="112" spans="1:4">
      <c r="A112">
        <f>'Mass Balance'!I112</f>
        <v>4.9598545675121458E-9</v>
      </c>
      <c r="B112">
        <f>'Mass Balance'!E112</f>
        <v>3.9666298067820977E-5</v>
      </c>
      <c r="C112">
        <f>SUM('Mass Balance'!E112:H112)</f>
        <v>3.9670848789195448E-5</v>
      </c>
      <c r="D112">
        <f>Concentrations!F112/Concentrations!E112</f>
        <v>1.0037984960831405</v>
      </c>
    </row>
    <row r="113" spans="1:4">
      <c r="A113">
        <f>'Mass Balance'!I113</f>
        <v>5.4392650788534147E-9</v>
      </c>
      <c r="B113">
        <f>'Mass Balance'!E113</f>
        <v>3.8055780602518619E-5</v>
      </c>
      <c r="C113">
        <f>SUM('Mass Balance'!E113:H113)</f>
        <v>3.8175989059901518E-5</v>
      </c>
      <c r="D113">
        <f>Concentrations!F113/Concentrations!E113</f>
        <v>1.0007525362272784</v>
      </c>
    </row>
    <row r="114" spans="1:4">
      <c r="A114">
        <f>'Mass Balance'!I114</f>
        <v>4.957779262245162E-9</v>
      </c>
      <c r="B114">
        <f>'Mass Balance'!E114</f>
        <v>3.9825592809553771E-5</v>
      </c>
      <c r="C114">
        <f>SUM('Mass Balance'!E114:H114)</f>
        <v>3.9826950989774953E-5</v>
      </c>
      <c r="D114">
        <f>Concentrations!F114/Concentrations!E114</f>
        <v>1.0038794214981379</v>
      </c>
    </row>
    <row r="115" spans="1:4">
      <c r="A115">
        <f>'Mass Balance'!I115</f>
        <v>5.0262745789931591E-9</v>
      </c>
      <c r="B115">
        <f>'Mass Balance'!E115</f>
        <v>3.8894176175230943E-5</v>
      </c>
      <c r="C115">
        <f>SUM('Mass Balance'!E115:H115)</f>
        <v>3.9992266760407037E-5</v>
      </c>
      <c r="D115">
        <f>Concentrations!F115/Concentrations!E115</f>
        <v>0.97634862444837522</v>
      </c>
    </row>
    <row r="116" spans="1:4">
      <c r="A116">
        <f>'Mass Balance'!I116</f>
        <v>6.8255185834977198E-7</v>
      </c>
      <c r="B116">
        <f>'Mass Balance'!E116</f>
        <v>5.2973030828756034E-6</v>
      </c>
      <c r="C116">
        <f>SUM('Mass Balance'!E116:H116)</f>
        <v>3.8558109584411653E-5</v>
      </c>
      <c r="D116">
        <f>Concentrations!F116/Concentrations!E116</f>
        <v>0.13792260480320315</v>
      </c>
    </row>
    <row r="117" spans="1:4">
      <c r="A117">
        <f>'Mass Balance'!I117</f>
        <v>4.0882227604571981E-8</v>
      </c>
      <c r="B117">
        <f>'Mass Balance'!E117</f>
        <v>1.8873284009896781E-5</v>
      </c>
      <c r="C117">
        <f>SUM('Mass Balance'!E117:H117)</f>
        <v>2.7413927980791202E-5</v>
      </c>
      <c r="D117">
        <f>Concentrations!F117/Concentrations!E117</f>
        <v>0.69115041023160839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0.97302032883124323</v>
      </c>
      <c r="M2" s="115">
        <v>0.90383277924588046</v>
      </c>
      <c r="N2" s="115">
        <v>1.1401880787195335</v>
      </c>
      <c r="O2" s="115">
        <v>0.81358064938571917</v>
      </c>
      <c r="P2" s="115">
        <v>0.94162508149393964</v>
      </c>
      <c r="Q2" s="111">
        <v>0.81358064938571928</v>
      </c>
      <c r="R2" s="68">
        <v>0.94162508149393964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0.53164288727342812</v>
      </c>
      <c r="M3" s="115">
        <v>8.8819312301935689</v>
      </c>
      <c r="N3" s="115">
        <v>242.13975924512118</v>
      </c>
      <c r="O3" s="115">
        <v>2.3988852003598775</v>
      </c>
      <c r="P3" s="115">
        <v>2.2226223986682099</v>
      </c>
      <c r="Q3" s="111">
        <v>2.3988852003598775</v>
      </c>
      <c r="R3" s="68">
        <v>2.2226223986682099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1.1038832174289515</v>
      </c>
      <c r="M4" s="115">
        <v>1.0161800564803125</v>
      </c>
      <c r="N4" s="115">
        <v>3.0600482054775502</v>
      </c>
      <c r="O4" s="115">
        <v>0.82808050356582941</v>
      </c>
      <c r="P4" s="115">
        <v>0.96249599081062642</v>
      </c>
      <c r="Q4" s="111">
        <v>0.82808050356582941</v>
      </c>
      <c r="R4" s="68">
        <v>0.96249599081062642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0.55020325374335444</v>
      </c>
      <c r="M5" s="115">
        <v>0.94418019424078725</v>
      </c>
      <c r="N5" s="115">
        <v>45.010382427423629</v>
      </c>
      <c r="O5" s="115">
        <v>2.6269874653810699</v>
      </c>
      <c r="P5" s="115">
        <v>4.2946870203768226</v>
      </c>
      <c r="Q5" s="111">
        <v>2.6269874653810699</v>
      </c>
      <c r="R5" s="68">
        <v>4.2946870203768226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0.3266573749457059</v>
      </c>
      <c r="M6" s="115">
        <v>0.95496658234434928</v>
      </c>
      <c r="N6" s="115">
        <v>63.9850768513651</v>
      </c>
      <c r="O6" s="115">
        <v>3.5079334087202532</v>
      </c>
      <c r="P6" s="115">
        <v>5.9351834123257605</v>
      </c>
      <c r="Q6" s="111">
        <v>3.5079334087202536</v>
      </c>
      <c r="R6" s="68">
        <v>5.9351834123257605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0.10859163947220657</v>
      </c>
      <c r="M7" s="115">
        <v>1.1458307405865835</v>
      </c>
      <c r="N7" s="115">
        <v>84.380094988695063</v>
      </c>
      <c r="O7" s="115">
        <v>4.3663629662422894</v>
      </c>
      <c r="P7" s="115">
        <v>7.4937336872200815</v>
      </c>
      <c r="Q7" s="111">
        <v>4.3663629662422903</v>
      </c>
      <c r="R7" s="68">
        <v>7.4937336872200824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0.23196279380326884</v>
      </c>
      <c r="M8" s="115">
        <v>0.92640447034430473</v>
      </c>
      <c r="N8" s="115">
        <v>70.301510812417291</v>
      </c>
      <c r="O8" s="115">
        <v>3.8765601221053738</v>
      </c>
      <c r="P8" s="115">
        <v>6.6314706372546679</v>
      </c>
      <c r="Q8" s="111">
        <v>3.8765601221053743</v>
      </c>
      <c r="R8" s="68">
        <v>6.6314706372546679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0.61621125379469632</v>
      </c>
      <c r="M9" s="115">
        <v>0.95998373007282445</v>
      </c>
      <c r="N9" s="115">
        <v>39.54439880237156</v>
      </c>
      <c r="O9" s="115">
        <v>2.3634498938118447</v>
      </c>
      <c r="P9" s="115">
        <v>3.7999149106336394</v>
      </c>
      <c r="Q9" s="111">
        <v>2.3634498938118447</v>
      </c>
      <c r="R9" s="68">
        <v>3.7999149106336394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1.0358403004296884E-2</v>
      </c>
      <c r="M10" s="115">
        <v>21.280764180986427</v>
      </c>
      <c r="N10" s="115">
        <v>686.81680066221952</v>
      </c>
      <c r="O10" s="115">
        <v>7.4417992825232737</v>
      </c>
      <c r="P10" s="115">
        <v>7.5916710586456571</v>
      </c>
      <c r="Q10" s="111">
        <v>7.4417992825232737</v>
      </c>
      <c r="R10" s="68">
        <v>7.5916710586456571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6.1651800618932741E-4</v>
      </c>
      <c r="M11" s="115">
        <v>98.672231801832069</v>
      </c>
      <c r="N11" s="115">
        <v>5321.3160205742906</v>
      </c>
      <c r="O11" s="115">
        <v>21.601084488745773</v>
      </c>
      <c r="P11" s="115">
        <v>9.9153537106312903</v>
      </c>
      <c r="Q11" s="111">
        <v>21.601084488745773</v>
      </c>
      <c r="R11" s="68">
        <v>9.9153537106312903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0.91823102390637912</v>
      </c>
      <c r="M12" s="115">
        <v>0.81924943989594379</v>
      </c>
      <c r="N12" s="115">
        <v>6.1601352004797147E-2</v>
      </c>
      <c r="O12" s="115">
        <v>0.75894051708253396</v>
      </c>
      <c r="P12" s="115">
        <v>0.88191571548471215</v>
      </c>
      <c r="Q12" s="111">
        <v>0.75894051708253407</v>
      </c>
      <c r="R12" s="68">
        <v>0.88191571548471226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0.52534864423636152</v>
      </c>
      <c r="M13" s="115">
        <v>6.2528760971054123</v>
      </c>
      <c r="N13" s="115">
        <v>180.40044896037188</v>
      </c>
      <c r="O13" s="115">
        <v>2.1676599945122836</v>
      </c>
      <c r="P13" s="115">
        <v>2.0489756635714951</v>
      </c>
      <c r="Q13" s="111">
        <v>2.1676599945122841</v>
      </c>
      <c r="R13" s="68">
        <v>2.0489756635714951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8.9092636356258772E-3</v>
      </c>
      <c r="M14" s="115">
        <v>1.8729726511592217</v>
      </c>
      <c r="N14" s="115">
        <v>167.89726699509907</v>
      </c>
      <c r="O14" s="115">
        <v>4.9654495405139407</v>
      </c>
      <c r="P14" s="115">
        <v>8.3189001171622134</v>
      </c>
      <c r="Q14" s="111">
        <v>4.9654495405139416</v>
      </c>
      <c r="R14" s="68">
        <v>8.3189001171622152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0.76198359734119514</v>
      </c>
      <c r="M15" s="115">
        <v>1.622839352585135</v>
      </c>
      <c r="N15" s="115">
        <v>29.071505702797513</v>
      </c>
      <c r="O15" s="115">
        <v>0.89535619103991859</v>
      </c>
      <c r="P15" s="115">
        <v>0.95345364203831495</v>
      </c>
      <c r="Q15" s="111">
        <v>0.89535619103991859</v>
      </c>
      <c r="R15" s="68">
        <v>0.95345364203831495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0.49004948227558059</v>
      </c>
      <c r="M16" s="115">
        <v>6.9351730236188827</v>
      </c>
      <c r="N16" s="115">
        <v>202.89963458554124</v>
      </c>
      <c r="O16" s="115">
        <v>2.3629598913209549</v>
      </c>
      <c r="P16" s="115">
        <v>2.2245333995754009</v>
      </c>
      <c r="Q16" s="111">
        <v>2.3629598913209549</v>
      </c>
      <c r="R16" s="68">
        <v>2.2245333995754009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0.51127823548406992</v>
      </c>
      <c r="M17" s="115">
        <v>6.4918840896747412</v>
      </c>
      <c r="N17" s="115">
        <v>188.32850928897713</v>
      </c>
      <c r="O17" s="115">
        <v>2.2350873140209817</v>
      </c>
      <c r="P17" s="115">
        <v>2.1091812316050422</v>
      </c>
      <c r="Q17" s="111">
        <v>2.2350873140209817</v>
      </c>
      <c r="R17" s="68">
        <v>2.1091812316050422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6.573237832815565E-4</v>
      </c>
      <c r="M18" s="115">
        <v>109.09654248425457</v>
      </c>
      <c r="N18" s="115">
        <v>3626.5947479910496</v>
      </c>
      <c r="O18" s="115">
        <v>21.872256945548497</v>
      </c>
      <c r="P18" s="115">
        <v>9.3690154426369201</v>
      </c>
      <c r="Q18" s="111">
        <v>21.872256945548497</v>
      </c>
      <c r="R18" s="68">
        <v>9.3690154426369201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0.90178174123194665</v>
      </c>
      <c r="M19" s="115">
        <v>1.1365733682154295</v>
      </c>
      <c r="N19" s="115">
        <v>10.207814882162658</v>
      </c>
      <c r="O19" s="115">
        <v>0.83587803313052866</v>
      </c>
      <c r="P19" s="115">
        <v>0.93891608390875936</v>
      </c>
      <c r="Q19" s="111">
        <v>0.83587803313052877</v>
      </c>
      <c r="R19" s="68">
        <v>0.93891608390875936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0.8611304500328768</v>
      </c>
      <c r="M20" s="115">
        <v>1.3365170669221023</v>
      </c>
      <c r="N20" s="115">
        <v>17.482821591191893</v>
      </c>
      <c r="O20" s="115">
        <v>0.86903774858272953</v>
      </c>
      <c r="P20" s="115">
        <v>0.95581954768647193</v>
      </c>
      <c r="Q20" s="111">
        <v>0.86903774858272953</v>
      </c>
      <c r="R20" s="68">
        <v>0.95581954768647204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0.10640208693130392</v>
      </c>
      <c r="M21" s="115">
        <v>5.816775872868253</v>
      </c>
      <c r="N21" s="115">
        <v>219.05512173277134</v>
      </c>
      <c r="O21" s="115">
        <v>4.6596736389275391</v>
      </c>
      <c r="P21" s="115">
        <v>6.8474999694185028</v>
      </c>
      <c r="Q21" s="111">
        <v>4.6596736389275399</v>
      </c>
      <c r="R21" s="68">
        <v>6.8474999694185028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0.90103113417082392</v>
      </c>
      <c r="M22" s="115">
        <v>0.86312208795920664</v>
      </c>
      <c r="N22" s="115">
        <v>1.8508545336302449</v>
      </c>
      <c r="O22" s="115">
        <v>0.760328104779595</v>
      </c>
      <c r="P22" s="115">
        <v>0.87736191949223841</v>
      </c>
      <c r="Q22" s="111">
        <v>0.760328104779595</v>
      </c>
      <c r="R22" s="68">
        <v>0.87736191949223841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0.72285417118429651</v>
      </c>
      <c r="M23" s="115">
        <v>2.2085195625896539</v>
      </c>
      <c r="N23" s="115">
        <v>48.320663892673615</v>
      </c>
      <c r="O23" s="115">
        <v>1.0447364444306819</v>
      </c>
      <c r="P23" s="115">
        <v>1.0739411113795752</v>
      </c>
      <c r="Q23" s="111">
        <v>1.0447364444306819</v>
      </c>
      <c r="R23" s="68">
        <v>1.0739411113795754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0.37927395783739082</v>
      </c>
      <c r="M24" s="115">
        <v>9.3292575556219699</v>
      </c>
      <c r="N24" s="115">
        <v>281.79114491499297</v>
      </c>
      <c r="O24" s="115">
        <v>3.0692521709753229</v>
      </c>
      <c r="P24" s="115">
        <v>2.8746360119338386</v>
      </c>
      <c r="Q24" s="111">
        <v>3.0692521709753229</v>
      </c>
      <c r="R24" s="68">
        <v>2.874636011933839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9.1542242991122342E-4</v>
      </c>
      <c r="M25" s="115">
        <v>99.994869842400391</v>
      </c>
      <c r="N25" s="115">
        <v>3314.8791888059845</v>
      </c>
      <c r="O25" s="115">
        <v>20.348074154253347</v>
      </c>
      <c r="P25" s="115">
        <v>9.1373917190675087</v>
      </c>
      <c r="Q25" s="111">
        <v>20.348074154253347</v>
      </c>
      <c r="R25" s="68">
        <v>9.1373917190675087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0.1364759159558204</v>
      </c>
      <c r="M26" s="115">
        <v>13.472722494564763</v>
      </c>
      <c r="N26" s="115">
        <v>422.38583860104194</v>
      </c>
      <c r="O26" s="115">
        <v>4.3857816553079134</v>
      </c>
      <c r="P26" s="115">
        <v>4.1836385231752864</v>
      </c>
      <c r="Q26" s="111">
        <v>4.3857816553079134</v>
      </c>
      <c r="R26" s="68">
        <v>4.1836385231752864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1.6146413176234112E-2</v>
      </c>
      <c r="M27" s="115">
        <v>7.8644354009539059</v>
      </c>
      <c r="N27" s="115">
        <v>251.03206547124225</v>
      </c>
      <c r="O27" s="115">
        <v>2.6598659904160993</v>
      </c>
      <c r="P27" s="115">
        <v>2.6397399206884926</v>
      </c>
      <c r="Q27" s="111">
        <v>2.6598659904160997</v>
      </c>
      <c r="R27" s="68">
        <v>2.6397399206884926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2.9184399734063733E-2</v>
      </c>
      <c r="M28" s="115">
        <v>3.8879356782144989</v>
      </c>
      <c r="N28" s="115">
        <v>122.42620163722982</v>
      </c>
      <c r="O28" s="115">
        <v>1.2719656769216965</v>
      </c>
      <c r="P28" s="115">
        <v>1.2215779261476911</v>
      </c>
      <c r="Q28" s="111">
        <v>1.2719656769216965</v>
      </c>
      <c r="R28" s="68">
        <v>1.2215779261476911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5.9134966539998182E-2</v>
      </c>
      <c r="M29" s="115">
        <v>0.10202026119823347</v>
      </c>
      <c r="N29" s="115">
        <v>1.5165655373359792</v>
      </c>
      <c r="O29" s="115">
        <v>6.2598354085641697E-2</v>
      </c>
      <c r="P29" s="115">
        <v>6.8108466848377958E-2</v>
      </c>
      <c r="Q29" s="111">
        <v>6.2598354085641697E-2</v>
      </c>
      <c r="R29" s="68">
        <v>6.8108466848377958E-2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1.2007100297035831E-2</v>
      </c>
      <c r="M30" s="115">
        <v>1.4925914570961671</v>
      </c>
      <c r="N30" s="115">
        <v>46.955217952433522</v>
      </c>
      <c r="O30" s="115">
        <v>0.48768662061819829</v>
      </c>
      <c r="P30" s="115">
        <v>0.46761494385589841</v>
      </c>
      <c r="Q30" s="111">
        <v>0.48768662061819829</v>
      </c>
      <c r="R30" s="68">
        <v>0.46761494385589841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4.4872594059273084E-4</v>
      </c>
      <c r="M31" s="115">
        <v>2.612359207608948E-2</v>
      </c>
      <c r="N31" s="115">
        <v>0.81091696996300022</v>
      </c>
      <c r="O31" s="115">
        <v>8.4682141420226922E-3</v>
      </c>
      <c r="P31" s="115">
        <v>7.9955658111619133E-3</v>
      </c>
      <c r="Q31" s="111">
        <v>8.4682141420226939E-3</v>
      </c>
      <c r="R31" s="68">
        <v>7.9955658111619133E-3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0.56267648915435897</v>
      </c>
      <c r="M32" s="115">
        <v>5.5278920014823099</v>
      </c>
      <c r="N32" s="115">
        <v>156.54755592485103</v>
      </c>
      <c r="O32" s="115">
        <v>1.9621699771266843</v>
      </c>
      <c r="P32" s="115">
        <v>1.8661304653442017</v>
      </c>
      <c r="Q32" s="111">
        <v>1.9621699771266845</v>
      </c>
      <c r="R32" s="68">
        <v>1.8661304653442017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0.71093768528251688</v>
      </c>
      <c r="M33" s="115">
        <v>3.1992454307223839</v>
      </c>
      <c r="N33" s="115">
        <v>79.47392579670661</v>
      </c>
      <c r="O33" s="115">
        <v>1.3320638749025782</v>
      </c>
      <c r="P33" s="115">
        <v>1.3245858056736419</v>
      </c>
      <c r="Q33" s="111">
        <v>1.3320638749025782</v>
      </c>
      <c r="R33" s="68">
        <v>1.3245858056736421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0.17429389373831244</v>
      </c>
      <c r="M34" s="115">
        <v>14.987096164897164</v>
      </c>
      <c r="N34" s="115">
        <v>468.79238995724842</v>
      </c>
      <c r="O34" s="115">
        <v>4.8702602781083923</v>
      </c>
      <c r="P34" s="115">
        <v>4.6322414905635503</v>
      </c>
      <c r="Q34" s="111">
        <v>4.8702602781083932</v>
      </c>
      <c r="R34" s="68">
        <v>4.6322414905635512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2.0776159908261531E-2</v>
      </c>
      <c r="M35" s="115">
        <v>20.301038465809263</v>
      </c>
      <c r="N35" s="115">
        <v>651.6370668857071</v>
      </c>
      <c r="O35" s="115">
        <v>7.0191663032690386</v>
      </c>
      <c r="P35" s="115">
        <v>7.0958559614188896</v>
      </c>
      <c r="Q35" s="111">
        <v>7.0191663032690386</v>
      </c>
      <c r="R35" s="68">
        <v>7.0958559614188896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4.6304688268920674E-3</v>
      </c>
      <c r="M36" s="115">
        <v>45.119268979244055</v>
      </c>
      <c r="N36" s="115">
        <v>1471.8667698555</v>
      </c>
      <c r="O36" s="115">
        <v>11.288518717884376</v>
      </c>
      <c r="P36" s="115">
        <v>7.9547239950318129</v>
      </c>
      <c r="Q36" s="111">
        <v>11.288518717884378</v>
      </c>
      <c r="R36" s="68">
        <v>7.9547239950318138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7.199108656338936E-4</v>
      </c>
      <c r="M37" s="115">
        <v>106.37626699960728</v>
      </c>
      <c r="N37" s="115">
        <v>3533.4602445237883</v>
      </c>
      <c r="O37" s="115">
        <v>21.407346520961411</v>
      </c>
      <c r="P37" s="115">
        <v>9.282795922445537</v>
      </c>
      <c r="Q37" s="111">
        <v>21.407346520961411</v>
      </c>
      <c r="R37" s="68">
        <v>9.2827959224455387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2.5582443532712355E-3</v>
      </c>
      <c r="M38" s="115">
        <v>66.152612800184244</v>
      </c>
      <c r="N38" s="115">
        <v>2172.1531749777914</v>
      </c>
      <c r="O38" s="115">
        <v>14.735187333813508</v>
      </c>
      <c r="P38" s="115">
        <v>8.3650628515330254</v>
      </c>
      <c r="Q38" s="111">
        <v>14.73518733381351</v>
      </c>
      <c r="R38" s="68">
        <v>8.3650628515330254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3.8336948836739586E-3</v>
      </c>
      <c r="M39" s="115">
        <v>49.369217527934431</v>
      </c>
      <c r="N39" s="115">
        <v>1613.5289226223408</v>
      </c>
      <c r="O39" s="115">
        <v>11.87650713270417</v>
      </c>
      <c r="P39" s="115">
        <v>7.841113522478671</v>
      </c>
      <c r="Q39" s="111">
        <v>11.87650713270417</v>
      </c>
      <c r="R39" s="68">
        <v>7.8411135224786719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2.5582443532712355E-3</v>
      </c>
      <c r="M40" s="115">
        <v>66.152612800184244</v>
      </c>
      <c r="N40" s="115">
        <v>2172.1531749777914</v>
      </c>
      <c r="O40" s="115">
        <v>14.735187333813508</v>
      </c>
      <c r="P40" s="115">
        <v>8.3650628515330254</v>
      </c>
      <c r="Q40" s="111">
        <v>14.73518733381351</v>
      </c>
      <c r="R40" s="68">
        <v>8.3650628515330254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0.95229974892122926</v>
      </c>
      <c r="M41" s="115">
        <v>0.90319248773585781</v>
      </c>
      <c r="N41" s="115">
        <v>5.4771097310585981</v>
      </c>
      <c r="O41" s="115">
        <v>1.0089475363114961</v>
      </c>
      <c r="P41" s="115">
        <v>1.2956654444427129</v>
      </c>
      <c r="Q41" s="111">
        <v>1.0089475363114961</v>
      </c>
      <c r="R41" s="68">
        <v>1.2956654444427129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6.5497097263895662E-4</v>
      </c>
      <c r="M42" s="115">
        <v>108.70604466148241</v>
      </c>
      <c r="N42" s="115">
        <v>3613.6137925829362</v>
      </c>
      <c r="O42" s="115">
        <v>21.793967858453161</v>
      </c>
      <c r="P42" s="115">
        <v>9.335480189836435</v>
      </c>
      <c r="Q42" s="111">
        <v>21.793967858453161</v>
      </c>
      <c r="R42" s="68">
        <v>9.335480189836435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0.35416174333654915</v>
      </c>
      <c r="M43" s="115">
        <v>9.9676720362328748</v>
      </c>
      <c r="N43" s="115">
        <v>302.77770396082406</v>
      </c>
      <c r="O43" s="115">
        <v>3.2633470488853655</v>
      </c>
      <c r="P43" s="115">
        <v>3.0570935352815236</v>
      </c>
      <c r="Q43" s="111">
        <v>3.263347048885366</v>
      </c>
      <c r="R43" s="68">
        <v>3.0570935352815236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6.9310135786797037E-3</v>
      </c>
      <c r="M44" s="115">
        <v>32.108336476975062</v>
      </c>
      <c r="N44" s="115">
        <v>1042.1539907791973</v>
      </c>
      <c r="O44" s="115">
        <v>9.1793953715617196</v>
      </c>
      <c r="P44" s="115">
        <v>7.7401363740436961</v>
      </c>
      <c r="Q44" s="111">
        <v>9.1793953715617196</v>
      </c>
      <c r="R44" s="68">
        <v>7.7401363740436961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2.9475291989753733E-4</v>
      </c>
      <c r="M45" s="115">
        <v>126.856758854557</v>
      </c>
      <c r="N45" s="115">
        <v>4243.4884692330779</v>
      </c>
      <c r="O45" s="115">
        <v>24.865115744817896</v>
      </c>
      <c r="P45" s="115">
        <v>9.849812882694529</v>
      </c>
      <c r="Q45" s="111">
        <v>24.865115744817896</v>
      </c>
      <c r="R45" s="68">
        <v>9.849812882694529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5.8680563640376392E-4</v>
      </c>
      <c r="M46" s="115">
        <v>111.96566798095513</v>
      </c>
      <c r="N46" s="115">
        <v>3725.3904715374979</v>
      </c>
      <c r="O46" s="115">
        <v>22.353780520419594</v>
      </c>
      <c r="P46" s="115">
        <v>9.4436281407783902</v>
      </c>
      <c r="Q46" s="111">
        <v>22.353780520419598</v>
      </c>
      <c r="R46" s="68">
        <v>9.4436281407783902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1.3008707536501527E-3</v>
      </c>
      <c r="M47" s="115">
        <v>89.275311237187523</v>
      </c>
      <c r="N47" s="115">
        <v>2950.4447877368011</v>
      </c>
      <c r="O47" s="115">
        <v>18.561626202460147</v>
      </c>
      <c r="P47" s="115">
        <v>8.878717944438332</v>
      </c>
      <c r="Q47" s="111">
        <v>18.561626202460147</v>
      </c>
      <c r="R47" s="68">
        <v>8.878717944438332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5.9480982589747572E-2</v>
      </c>
      <c r="M48" s="115">
        <v>19.086561605719016</v>
      </c>
      <c r="N48" s="115">
        <v>606.95951127301078</v>
      </c>
      <c r="O48" s="115">
        <v>6.3774308331706955</v>
      </c>
      <c r="P48" s="115">
        <v>6.2603969194922575</v>
      </c>
      <c r="Q48" s="111">
        <v>6.3774308331706955</v>
      </c>
      <c r="R48" s="68">
        <v>6.2603969194922584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6.4456380407144171E-3</v>
      </c>
      <c r="M49" s="115">
        <v>34.326591409737823</v>
      </c>
      <c r="N49" s="115">
        <v>1115.2156914220548</v>
      </c>
      <c r="O49" s="115">
        <v>9.5381723339068891</v>
      </c>
      <c r="P49" s="115">
        <v>7.7753972521725849</v>
      </c>
      <c r="Q49" s="111">
        <v>9.5381723339068891</v>
      </c>
      <c r="R49" s="68">
        <v>7.7753972521725858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5.6932876312326018E-3</v>
      </c>
      <c r="M50" s="115">
        <v>38.250536374579923</v>
      </c>
      <c r="N50" s="115">
        <v>1244.6649189217922</v>
      </c>
      <c r="O50" s="115">
        <v>10.173216411705418</v>
      </c>
      <c r="P50" s="115">
        <v>7.8383276823369075</v>
      </c>
      <c r="Q50" s="111">
        <v>10.173216411705418</v>
      </c>
      <c r="R50" s="68">
        <v>7.8383276823369075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3.8179044934073161E-2</v>
      </c>
      <c r="M51" s="115">
        <v>19.936040514918862</v>
      </c>
      <c r="N51" s="115">
        <v>636.7322779116821</v>
      </c>
      <c r="O51" s="115">
        <v>6.7569331478192618</v>
      </c>
      <c r="P51" s="115">
        <v>6.7181359353134287</v>
      </c>
      <c r="Q51" s="111">
        <v>6.7569331478192627</v>
      </c>
      <c r="R51" s="68">
        <v>6.7181359353134287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5.7068237934754545E-2</v>
      </c>
      <c r="M52" s="115">
        <v>19.181077748051081</v>
      </c>
      <c r="N52" s="115">
        <v>610.23212487408466</v>
      </c>
      <c r="O52" s="115">
        <v>6.4173339283855411</v>
      </c>
      <c r="P52" s="115">
        <v>6.3071548266202253</v>
      </c>
      <c r="Q52" s="111">
        <v>6.417333928385542</v>
      </c>
      <c r="R52" s="68">
        <v>6.3071548266202253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3.7810117193849946E-3</v>
      </c>
      <c r="M53" s="115">
        <v>52.206265827539724</v>
      </c>
      <c r="N53" s="115">
        <v>1707.0496490183539</v>
      </c>
      <c r="O53" s="115">
        <v>12.446538705108221</v>
      </c>
      <c r="P53" s="115">
        <v>8.0874906887088933</v>
      </c>
      <c r="Q53" s="111">
        <v>12.446538705108221</v>
      </c>
      <c r="R53" s="68">
        <v>8.0874906887088951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6.0607922981720649E-3</v>
      </c>
      <c r="M54" s="115">
        <v>36.253378632842683</v>
      </c>
      <c r="N54" s="115">
        <v>1178.7468356106203</v>
      </c>
      <c r="O54" s="115">
        <v>9.8499228192190493</v>
      </c>
      <c r="P54" s="115">
        <v>7.8061819383853965</v>
      </c>
      <c r="Q54" s="111">
        <v>9.8499228192190511</v>
      </c>
      <c r="R54" s="68">
        <v>7.8061819383853965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1.3456704737678463E-3</v>
      </c>
      <c r="M55" s="115">
        <v>88.155664279351498</v>
      </c>
      <c r="N55" s="115">
        <v>2912.5459367576746</v>
      </c>
      <c r="O55" s="115">
        <v>18.374520276838396</v>
      </c>
      <c r="P55" s="115">
        <v>8.850671544520047</v>
      </c>
      <c r="Q55" s="111">
        <v>18.3745202768384</v>
      </c>
      <c r="R55" s="68">
        <v>8.8506715445200488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6.7665561521009976E-3</v>
      </c>
      <c r="M56" s="115">
        <v>32.837477888454835</v>
      </c>
      <c r="N56" s="115">
        <v>1066.1593160791815</v>
      </c>
      <c r="O56" s="115">
        <v>9.2974532886519921</v>
      </c>
      <c r="P56" s="115">
        <v>7.7519655860376053</v>
      </c>
      <c r="Q56" s="111">
        <v>9.2974532886519921</v>
      </c>
      <c r="R56" s="68">
        <v>7.7519655860376062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7.125273089826431E-2</v>
      </c>
      <c r="M57" s="115">
        <v>18.561149128956703</v>
      </c>
      <c r="N57" s="115">
        <v>589.04394786730199</v>
      </c>
      <c r="O57" s="115">
        <v>6.166926680936446</v>
      </c>
      <c r="P57" s="115">
        <v>6.021321948275336</v>
      </c>
      <c r="Q57" s="111">
        <v>6.166926680936446</v>
      </c>
      <c r="R57" s="68">
        <v>6.021321948275336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5.9859760148401652E-3</v>
      </c>
      <c r="M58" s="115">
        <v>36.64755835266461</v>
      </c>
      <c r="N58" s="115">
        <v>1191.7516113159675</v>
      </c>
      <c r="O58" s="115">
        <v>9.9137553615907148</v>
      </c>
      <c r="P58" s="115">
        <v>7.8125739027951084</v>
      </c>
      <c r="Q58" s="111">
        <v>9.9137553615907148</v>
      </c>
      <c r="R58" s="68">
        <v>7.8125739027951084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5.7075880588177259E-2</v>
      </c>
      <c r="M59" s="115">
        <v>19.18364650319068</v>
      </c>
      <c r="N59" s="115">
        <v>610.31384796220868</v>
      </c>
      <c r="O59" s="115">
        <v>6.4181933461788265</v>
      </c>
      <c r="P59" s="115">
        <v>6.3079994890834055</v>
      </c>
      <c r="Q59" s="111">
        <v>6.4181933461788265</v>
      </c>
      <c r="R59" s="68">
        <v>6.3079994890834055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4.2739005251859977E-3</v>
      </c>
      <c r="M60" s="115">
        <v>47.87534063483772</v>
      </c>
      <c r="N60" s="115">
        <v>1563.2404383416383</v>
      </c>
      <c r="O60" s="115">
        <v>11.737491683740103</v>
      </c>
      <c r="P60" s="115">
        <v>8.0039294930335725</v>
      </c>
      <c r="Q60" s="111">
        <v>11.737491683740105</v>
      </c>
      <c r="R60" s="68">
        <v>8.0039294930335725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0.58895194891161706</v>
      </c>
      <c r="M61" s="115">
        <v>34.829546732540265</v>
      </c>
      <c r="N61" s="115">
        <v>797.60594581857447</v>
      </c>
      <c r="O61" s="115">
        <v>4.4119758546947194</v>
      </c>
      <c r="P61" s="115">
        <v>4.4365203030709051</v>
      </c>
      <c r="Q61" s="111">
        <v>4.4119758546947194</v>
      </c>
      <c r="R61" s="68">
        <v>4.4365203030709051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0.186259405269044</v>
      </c>
      <c r="M62" s="115">
        <v>14.60915114015048</v>
      </c>
      <c r="N62" s="115">
        <v>456.22616903594673</v>
      </c>
      <c r="O62" s="115">
        <v>4.7430151036681512</v>
      </c>
      <c r="P62" s="115">
        <v>4.5028313564520586</v>
      </c>
      <c r="Q62" s="111">
        <v>4.7430151036681512</v>
      </c>
      <c r="R62" s="68">
        <v>4.5028313564520586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2.1821913683152534</v>
      </c>
      <c r="M63" s="115">
        <v>5.6684466544970986</v>
      </c>
      <c r="N63" s="115">
        <v>111.56050290773094</v>
      </c>
      <c r="O63" s="115">
        <v>1.0609566521353537</v>
      </c>
      <c r="P63" s="115">
        <v>1.187614527783547</v>
      </c>
      <c r="Q63" s="111">
        <v>1.0609566521353537</v>
      </c>
      <c r="R63" s="68">
        <v>1.187614527783547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0.98074712250790663</v>
      </c>
      <c r="M64" s="115">
        <v>0.91189088109335847</v>
      </c>
      <c r="N64" s="115">
        <v>2.2549270545544311</v>
      </c>
      <c r="O64" s="115">
        <v>0.87435031047884315</v>
      </c>
      <c r="P64" s="115">
        <v>1.0453621822698846</v>
      </c>
      <c r="Q64" s="111">
        <v>0.87435031047884326</v>
      </c>
      <c r="R64" s="68">
        <v>1.0453621822698846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1.2998951003392101</v>
      </c>
      <c r="M65" s="115">
        <v>1.291621952789433</v>
      </c>
      <c r="N65" s="115">
        <v>9.5791090218298791</v>
      </c>
      <c r="O65" s="115">
        <v>0.83568857911941008</v>
      </c>
      <c r="P65" s="115">
        <v>0.97059074451061067</v>
      </c>
      <c r="Q65" s="111">
        <v>0.83568857911941008</v>
      </c>
      <c r="R65" s="68">
        <v>0.97059074451061078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2.9350927657337693</v>
      </c>
      <c r="M66" s="115">
        <v>38.328713289970572</v>
      </c>
      <c r="N66" s="115">
        <v>886.57545338877105</v>
      </c>
      <c r="O66" s="115">
        <v>2.1177212908395591</v>
      </c>
      <c r="P66" s="115">
        <v>2.5821532780028384</v>
      </c>
      <c r="Q66" s="111">
        <v>2.1177212908395591</v>
      </c>
      <c r="R66" s="68">
        <v>2.5821532780028384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1.2516556926590205</v>
      </c>
      <c r="M67" s="115">
        <v>1.2239744493716618</v>
      </c>
      <c r="N67" s="115">
        <v>7.9753556974077586</v>
      </c>
      <c r="O67" s="115">
        <v>0.83380240989851617</v>
      </c>
      <c r="P67" s="115">
        <v>0.96825274046663357</v>
      </c>
      <c r="Q67" s="111">
        <v>0.83380240989851628</v>
      </c>
      <c r="R67" s="68">
        <v>0.96825274046663357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1.0328973836191566</v>
      </c>
      <c r="M68" s="115">
        <v>0.93159253828153088</v>
      </c>
      <c r="N68" s="115">
        <v>1.0586188778690606</v>
      </c>
      <c r="O68" s="115">
        <v>0.82560949115902438</v>
      </c>
      <c r="P68" s="115">
        <v>0.95939782267330731</v>
      </c>
      <c r="Q68" s="111">
        <v>0.82560949115902438</v>
      </c>
      <c r="R68" s="68">
        <v>0.95939782267330731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7.6502247525244149E-3</v>
      </c>
      <c r="M69" s="115">
        <v>29.224436339633549</v>
      </c>
      <c r="N69" s="115">
        <v>947.29311424320281</v>
      </c>
      <c r="O69" s="115">
        <v>8.715084952711571</v>
      </c>
      <c r="P69" s="115">
        <v>7.698049994811524</v>
      </c>
      <c r="Q69" s="111">
        <v>8.715084952711571</v>
      </c>
      <c r="R69" s="68">
        <v>7.698049994811524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0.96738913878856614</v>
      </c>
      <c r="M70" s="115">
        <v>0.89825331555392507</v>
      </c>
      <c r="N70" s="115">
        <v>3.7188541843705809</v>
      </c>
      <c r="O70" s="115">
        <v>0.94740086002502977</v>
      </c>
      <c r="P70" s="115">
        <v>1.1827439253635805</v>
      </c>
      <c r="Q70" s="111">
        <v>0.94740086002502988</v>
      </c>
      <c r="R70" s="68">
        <v>1.1827439253635805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0.94177303567398329</v>
      </c>
      <c r="M71" s="115">
        <v>0.90484948216256977</v>
      </c>
      <c r="N71" s="115">
        <v>6.6480345717614355</v>
      </c>
      <c r="O71" s="115">
        <v>1.0524517995340961</v>
      </c>
      <c r="P71" s="115">
        <v>1.3759261298436225</v>
      </c>
      <c r="Q71" s="111">
        <v>1.0524517995340961</v>
      </c>
      <c r="R71" s="68">
        <v>1.3759261298436225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3.9436409220627326E-3</v>
      </c>
      <c r="M72" s="115">
        <v>6.6790921292046406</v>
      </c>
      <c r="N72" s="115">
        <v>656.37416258402538</v>
      </c>
      <c r="O72" s="115">
        <v>6.2649967328588705</v>
      </c>
      <c r="P72" s="115">
        <v>8.8322718647977645</v>
      </c>
      <c r="Q72" s="111">
        <v>6.2649967328588705</v>
      </c>
      <c r="R72" s="68">
        <v>8.8322718647977645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3.6559633426016903E-2</v>
      </c>
      <c r="M73" s="115">
        <v>0.812044683118334</v>
      </c>
      <c r="N73" s="115">
        <v>76.667560726217999</v>
      </c>
      <c r="O73" s="115">
        <v>4.615148713277005</v>
      </c>
      <c r="P73" s="115">
        <v>8.0510687301572812</v>
      </c>
      <c r="Q73" s="111">
        <v>4.615148713277005</v>
      </c>
      <c r="R73" s="68">
        <v>8.0510687301572812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0.94676660162894954</v>
      </c>
      <c r="M74" s="115">
        <v>0.90365807656621622</v>
      </c>
      <c r="N74" s="115">
        <v>6.0867918192609256</v>
      </c>
      <c r="O74" s="115">
        <v>1.0320135040083493</v>
      </c>
      <c r="P74" s="115">
        <v>1.3383051341529957</v>
      </c>
      <c r="Q74" s="111">
        <v>1.0320135040083493</v>
      </c>
      <c r="R74" s="68">
        <v>1.3383051341529957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4.3249540910547439E-2</v>
      </c>
      <c r="M75" s="115">
        <v>0.82135382529414847</v>
      </c>
      <c r="N75" s="115">
        <v>77.004905455920806</v>
      </c>
      <c r="O75" s="115">
        <v>4.5913997585537905</v>
      </c>
      <c r="P75" s="115">
        <v>8.0031785680255645</v>
      </c>
      <c r="Q75" s="111">
        <v>4.5913997585537913</v>
      </c>
      <c r="R75" s="68">
        <v>8.0031785680255645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0.45074035074379398</v>
      </c>
      <c r="M76" s="115">
        <v>0.94213644109000616</v>
      </c>
      <c r="N76" s="115">
        <v>53.522635285523997</v>
      </c>
      <c r="O76" s="115">
        <v>3.0204869357920336</v>
      </c>
      <c r="P76" s="115">
        <v>5.0287077946488576</v>
      </c>
      <c r="Q76" s="111">
        <v>3.0204869357920341</v>
      </c>
      <c r="R76" s="68">
        <v>5.0287077946488585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3.836226658636907E-2</v>
      </c>
      <c r="M77" s="115">
        <v>0.81472479308673351</v>
      </c>
      <c r="N77" s="115">
        <v>76.773527714073538</v>
      </c>
      <c r="O77" s="115">
        <v>4.6087896913826087</v>
      </c>
      <c r="P77" s="115">
        <v>8.0381759170270115</v>
      </c>
      <c r="Q77" s="111">
        <v>4.6087896913826087</v>
      </c>
      <c r="R77" s="68">
        <v>8.0381759170270115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4.3745198846451682E-3</v>
      </c>
      <c r="M78" s="115">
        <v>5.5964626749517867</v>
      </c>
      <c r="N78" s="115">
        <v>549.87734925990992</v>
      </c>
      <c r="O78" s="115">
        <v>5.9823680675074522</v>
      </c>
      <c r="P78" s="115">
        <v>8.7287763979325383</v>
      </c>
      <c r="Q78" s="111">
        <v>5.9823680675074522</v>
      </c>
      <c r="R78" s="68">
        <v>8.7287763979325383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4.3745203012549218E-3</v>
      </c>
      <c r="M79" s="115">
        <v>5.5964533626616557</v>
      </c>
      <c r="N79" s="115">
        <v>549.8770883726512</v>
      </c>
      <c r="O79" s="115">
        <v>5.9823669733425335</v>
      </c>
      <c r="P79" s="115">
        <v>8.7287767396282856</v>
      </c>
      <c r="Q79" s="111">
        <v>5.9823669733425344</v>
      </c>
      <c r="R79" s="68">
        <v>8.7287767396282856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0.16844678115800937</v>
      </c>
      <c r="M80" s="115">
        <v>0.89914666914649133</v>
      </c>
      <c r="N80" s="115">
        <v>73.829523046669308</v>
      </c>
      <c r="O80" s="115">
        <v>4.1211946665995187</v>
      </c>
      <c r="P80" s="115">
        <v>7.0966007666766382</v>
      </c>
      <c r="Q80" s="111">
        <v>4.1211946665995187</v>
      </c>
      <c r="R80" s="68">
        <v>7.0966007666766382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0.8052279373507244</v>
      </c>
      <c r="M81" s="115">
        <v>0.9279094207710481</v>
      </c>
      <c r="N81" s="115">
        <v>21.015650833974671</v>
      </c>
      <c r="O81" s="115">
        <v>1.6068008626518044</v>
      </c>
      <c r="P81" s="115">
        <v>2.3999261556409461</v>
      </c>
      <c r="Q81" s="111">
        <v>1.6068008626518044</v>
      </c>
      <c r="R81" s="68">
        <v>2.3999261556409466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0.61082357323067582</v>
      </c>
      <c r="M82" s="115">
        <v>0.94267072929299411</v>
      </c>
      <c r="N82" s="115">
        <v>39.574287610810522</v>
      </c>
      <c r="O82" s="115">
        <v>2.3859894957912142</v>
      </c>
      <c r="P82" s="115">
        <v>3.846142835522639</v>
      </c>
      <c r="Q82" s="111">
        <v>2.3859894957912142</v>
      </c>
      <c r="R82" s="68">
        <v>3.846142835522639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2.9638617508439095E-3</v>
      </c>
      <c r="M83" s="115">
        <v>10.859506320857234</v>
      </c>
      <c r="N83" s="115">
        <v>1067.5536281405848</v>
      </c>
      <c r="O83" s="115">
        <v>7.3537022573064208</v>
      </c>
      <c r="P83" s="115">
        <v>9.2269885128791191</v>
      </c>
      <c r="Q83" s="111">
        <v>7.3537022573064208</v>
      </c>
      <c r="R83" s="68">
        <v>9.2269885128791191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0.28437345831827177</v>
      </c>
      <c r="M84" s="115">
        <v>11.757883781719309</v>
      </c>
      <c r="N84" s="115">
        <v>361.82888036202343</v>
      </c>
      <c r="O84" s="115">
        <v>3.8181204381628921</v>
      </c>
      <c r="P84" s="115">
        <v>3.5874531942712675</v>
      </c>
      <c r="Q84" s="111">
        <v>3.8181204381628921</v>
      </c>
      <c r="R84" s="68">
        <v>3.5874531942712675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0.21397260726012152</v>
      </c>
      <c r="M85" s="115">
        <v>422.87605736141722</v>
      </c>
      <c r="N85" s="115">
        <v>9973.6852834028996</v>
      </c>
      <c r="O85" s="115">
        <v>9.9038844133362822</v>
      </c>
      <c r="P85" s="115">
        <v>8.9225552842770028</v>
      </c>
      <c r="Q85" s="111">
        <v>9.9038844133362822</v>
      </c>
      <c r="R85" s="68">
        <v>8.9225552842770046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3.6039086748943595E-4</v>
      </c>
      <c r="M86" s="115">
        <v>122.94071030480971</v>
      </c>
      <c r="N86" s="115">
        <v>4106.2207572201805</v>
      </c>
      <c r="O86" s="115">
        <v>24.202538168364274</v>
      </c>
      <c r="P86" s="115">
        <v>9.739696572629537</v>
      </c>
      <c r="Q86" s="111">
        <v>24.202538168364278</v>
      </c>
      <c r="R86" s="68">
        <v>9.739696572629537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1.2547144602263589E-4</v>
      </c>
      <c r="M87" s="115">
        <v>140.03407988002235</v>
      </c>
      <c r="N87" s="115">
        <v>4713.6246977416004</v>
      </c>
      <c r="O87" s="115">
        <v>27.10889914732935</v>
      </c>
      <c r="P87" s="115">
        <v>10.241354168869766</v>
      </c>
      <c r="Q87" s="111">
        <v>27.108899147329353</v>
      </c>
      <c r="R87" s="68">
        <v>10.241354168869766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3.5356460714860405E-5</v>
      </c>
      <c r="M88" s="115">
        <v>151.91326045212517</v>
      </c>
      <c r="N88" s="115">
        <v>5158.6712555141648</v>
      </c>
      <c r="O88" s="115">
        <v>29.161650747029569</v>
      </c>
      <c r="P88" s="115">
        <v>10.636354081314682</v>
      </c>
      <c r="Q88" s="111">
        <v>29.161650747029572</v>
      </c>
      <c r="R88" s="68">
        <v>10.636354081314682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6.3656783898152491E-3</v>
      </c>
      <c r="M89" s="115">
        <v>2122.1711673227474</v>
      </c>
      <c r="N89" s="115">
        <v>49896.713161513384</v>
      </c>
      <c r="O89" s="115">
        <v>38.118262665594663</v>
      </c>
      <c r="P89" s="115">
        <v>13.15312772286541</v>
      </c>
      <c r="Q89" s="111">
        <v>38.118262665594663</v>
      </c>
      <c r="R89" s="68">
        <v>13.15312772286541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0.970946869007006</v>
      </c>
      <c r="M90" s="115">
        <v>0.91272187220641621</v>
      </c>
      <c r="N90" s="115">
        <v>1.4809957747918567</v>
      </c>
      <c r="O90" s="115">
        <v>0.81405554212001152</v>
      </c>
      <c r="P90" s="115">
        <v>0.94146277190761796</v>
      </c>
      <c r="Q90" s="111">
        <v>0.81405554212001163</v>
      </c>
      <c r="R90" s="68">
        <v>0.94146277190761796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0.71743657120533844</v>
      </c>
      <c r="M91" s="115">
        <v>3.1108878228018488</v>
      </c>
      <c r="N91" s="115">
        <v>76.537358797991544</v>
      </c>
      <c r="O91" s="115">
        <v>1.3091589048757704</v>
      </c>
      <c r="P91" s="115">
        <v>1.305591538317098</v>
      </c>
      <c r="Q91" s="111">
        <v>1.3091589048757704</v>
      </c>
      <c r="R91" s="68">
        <v>1.305591538317098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0.12715838174955921</v>
      </c>
      <c r="M92" s="115">
        <v>16.553500947259277</v>
      </c>
      <c r="N92" s="115">
        <v>521.08587221318919</v>
      </c>
      <c r="O92" s="115">
        <v>5.4132392085724392</v>
      </c>
      <c r="P92" s="115">
        <v>5.1959989623250351</v>
      </c>
      <c r="Q92" s="111">
        <v>5.4132392085724392</v>
      </c>
      <c r="R92" s="68">
        <v>5.195998962325036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0.99257052653997679</v>
      </c>
      <c r="M93" s="115">
        <v>0.88994878516771503</v>
      </c>
      <c r="N93" s="115">
        <v>0.62180825389581762</v>
      </c>
      <c r="O93" s="115">
        <v>0.84276786203979548</v>
      </c>
      <c r="P93" s="115">
        <v>0.99110538906094092</v>
      </c>
      <c r="Q93" s="111">
        <v>0.84276786203979559</v>
      </c>
      <c r="R93" s="68">
        <v>0.99110538906094103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1.0024302332073163</v>
      </c>
      <c r="M94" s="115">
        <v>0.89367832370497324</v>
      </c>
      <c r="N94" s="115">
        <v>0.15148131623106204</v>
      </c>
      <c r="O94" s="115">
        <v>0.82509187380655891</v>
      </c>
      <c r="P94" s="115">
        <v>0.95901415021439707</v>
      </c>
      <c r="Q94" s="111">
        <v>0.82509187380655902</v>
      </c>
      <c r="R94" s="68">
        <v>0.95901415021439707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0.94391685916504398</v>
      </c>
      <c r="M95" s="115">
        <v>1.0482089475106826</v>
      </c>
      <c r="N95" s="115">
        <v>6.3780398959577518</v>
      </c>
      <c r="O95" s="115">
        <v>0.82170242252479153</v>
      </c>
      <c r="P95" s="115">
        <v>0.93470996672331241</v>
      </c>
      <c r="Q95" s="111">
        <v>0.82170242252479164</v>
      </c>
      <c r="R95" s="68">
        <v>0.93470996672331241</v>
      </c>
    </row>
    <row r="96" spans="1:18">
      <c r="A96" s="102" t="s">
        <v>437</v>
      </c>
      <c r="B96" s="168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5.2312662556088809E-4</v>
      </c>
      <c r="M96" s="115">
        <v>114.75103328053252</v>
      </c>
      <c r="N96" s="115">
        <v>3821.5732425946053</v>
      </c>
      <c r="O96" s="115">
        <v>22.822020854961831</v>
      </c>
      <c r="P96" s="115">
        <v>9.5173066065786607</v>
      </c>
      <c r="Q96" s="111">
        <v>22.822020854961831</v>
      </c>
      <c r="R96" s="68">
        <v>9.5173066065786607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0.60083921681337937</v>
      </c>
      <c r="M97" s="115">
        <v>4.8898500122736985</v>
      </c>
      <c r="N97" s="115">
        <v>135.44085015055313</v>
      </c>
      <c r="O97" s="115">
        <v>1.7857167944010901</v>
      </c>
      <c r="P97" s="115">
        <v>1.7116117453353448</v>
      </c>
      <c r="Q97" s="111">
        <v>1.7857167944010903</v>
      </c>
      <c r="R97" s="68">
        <v>1.7116117453353448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0.69766850980226425</v>
      </c>
      <c r="M98" s="115">
        <v>3.3848372407222094</v>
      </c>
      <c r="N98" s="115">
        <v>85.634726331264815</v>
      </c>
      <c r="O98" s="115">
        <v>1.3805258840591941</v>
      </c>
      <c r="P98" s="115">
        <v>1.365004231739857</v>
      </c>
      <c r="Q98" s="111">
        <v>1.3805258840591941</v>
      </c>
      <c r="R98" s="68">
        <v>1.365004231739857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0.86292502269350413</v>
      </c>
      <c r="M99" s="115">
        <v>1.5056688954395772</v>
      </c>
      <c r="N99" s="115">
        <v>22.653597981077276</v>
      </c>
      <c r="O99" s="115">
        <v>0.91831354225436401</v>
      </c>
      <c r="P99" s="115">
        <v>0.99798932185671307</v>
      </c>
      <c r="Q99" s="111">
        <v>0.91831354225436401</v>
      </c>
      <c r="R99" s="68">
        <v>0.99798932185671307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3.3797115756210999E-3</v>
      </c>
      <c r="M100" s="115">
        <v>56.199294677951954</v>
      </c>
      <c r="N100" s="115">
        <v>1839.9028410559683</v>
      </c>
      <c r="O100" s="115">
        <v>13.100504285537312</v>
      </c>
      <c r="P100" s="115">
        <v>8.1647941499746572</v>
      </c>
      <c r="Q100" s="111">
        <v>13.100504285537314</v>
      </c>
      <c r="R100" s="68">
        <v>8.1647941499746572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0.1772438623211314</v>
      </c>
      <c r="M101" s="115">
        <v>14.8943185786468</v>
      </c>
      <c r="N101" s="115">
        <v>465.7045355323171</v>
      </c>
      <c r="O101" s="115">
        <v>4.8388950130649322</v>
      </c>
      <c r="P101" s="115">
        <v>4.6002377012027633</v>
      </c>
      <c r="Q101" s="111">
        <v>4.8388950130649331</v>
      </c>
      <c r="R101" s="68">
        <v>4.6002377012027633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3.9004969474389459E-2</v>
      </c>
      <c r="M102" s="115">
        <v>19.9002830389643</v>
      </c>
      <c r="N102" s="115">
        <v>635.46581160478422</v>
      </c>
      <c r="O102" s="115">
        <v>6.7400432987343049</v>
      </c>
      <c r="P102" s="115">
        <v>6.6972384864243173</v>
      </c>
      <c r="Q102" s="111">
        <v>6.7400432987343057</v>
      </c>
      <c r="R102" s="68">
        <v>6.6972384864243173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0.89396447516846467</v>
      </c>
      <c r="M103" s="115">
        <v>0.91481887055911904</v>
      </c>
      <c r="N103" s="115">
        <v>11.862514035575032</v>
      </c>
      <c r="O103" s="115">
        <v>1.2473847257677946</v>
      </c>
      <c r="P103" s="115">
        <v>1.735308080429856</v>
      </c>
      <c r="Q103" s="111">
        <v>1.2473847257677946</v>
      </c>
      <c r="R103" s="68">
        <v>1.735308080429856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1.1236245389269834E-2</v>
      </c>
      <c r="M104" s="115">
        <v>1.2614096358612943</v>
      </c>
      <c r="N104" s="115">
        <v>112.59783635595237</v>
      </c>
      <c r="O104" s="115">
        <v>4.8077324935350676</v>
      </c>
      <c r="P104" s="115">
        <v>8.2543735094595654</v>
      </c>
      <c r="Q104" s="111">
        <v>4.8077324935350676</v>
      </c>
      <c r="R104" s="68">
        <v>8.2543735094595654</v>
      </c>
    </row>
    <row r="105" spans="1:18">
      <c r="A105" s="102" t="s">
        <v>455</v>
      </c>
      <c r="B105" s="168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0.96589350905440963</v>
      </c>
      <c r="M105" s="115">
        <v>0.91943291658097825</v>
      </c>
      <c r="N105" s="115">
        <v>1.8069009091645614</v>
      </c>
      <c r="O105" s="115">
        <v>0.8135090848790939</v>
      </c>
      <c r="P105" s="115">
        <v>0.93930392198104529</v>
      </c>
      <c r="Q105" s="111">
        <v>0.8135090848790939</v>
      </c>
      <c r="R105" s="68">
        <v>0.9393039219810454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0.93952576848176095</v>
      </c>
      <c r="M106" s="115">
        <v>1.0601876364646352</v>
      </c>
      <c r="N106" s="115">
        <v>6.8565092734061581</v>
      </c>
      <c r="O106" s="115">
        <v>0.82313858490387493</v>
      </c>
      <c r="P106" s="115">
        <v>0.9348269495921625</v>
      </c>
      <c r="Q106" s="111">
        <v>0.82313858490387504</v>
      </c>
      <c r="R106" s="68">
        <v>0.93482694959216261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2.4101536268153534E-2</v>
      </c>
      <c r="M107" s="115">
        <v>23.884784885626008</v>
      </c>
      <c r="N107" s="115">
        <v>698.91657298491293</v>
      </c>
      <c r="O107" s="115">
        <v>6.5631491700742428</v>
      </c>
      <c r="P107" s="115">
        <v>6.6040758234011978</v>
      </c>
      <c r="Q107" s="111">
        <v>6.5631491700742437</v>
      </c>
      <c r="R107" s="68">
        <v>6.6040758234011987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0.9997236665699416</v>
      </c>
      <c r="M108" s="115">
        <v>0.89056309890155771</v>
      </c>
      <c r="N108" s="115">
        <v>7.8404073536631591E-2</v>
      </c>
      <c r="O108" s="115">
        <v>0.82497336184198267</v>
      </c>
      <c r="P108" s="115">
        <v>0.95887685299663195</v>
      </c>
      <c r="Q108" s="111">
        <v>0.82497336184198267</v>
      </c>
      <c r="R108" s="68">
        <v>0.95887685299663195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2.9389276208437489</v>
      </c>
      <c r="M109" s="115">
        <v>11.885056738862939</v>
      </c>
      <c r="N109" s="115">
        <v>259.45644359973164</v>
      </c>
      <c r="O109" s="115">
        <v>1.2191246235563287</v>
      </c>
      <c r="P109" s="115">
        <v>1.417651052219824</v>
      </c>
      <c r="Q109" s="111">
        <v>1.2191246235563287</v>
      </c>
      <c r="R109" s="68">
        <v>1.417651052219824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0.99049829782374987</v>
      </c>
      <c r="M110" s="115">
        <v>0.88848904738624457</v>
      </c>
      <c r="N110" s="115">
        <v>0.22275384148173241</v>
      </c>
      <c r="O110" s="115">
        <v>0.82113713679783595</v>
      </c>
      <c r="P110" s="115">
        <v>0.95402275241611167</v>
      </c>
      <c r="Q110" s="111">
        <v>0.82113713679783595</v>
      </c>
      <c r="R110" s="68">
        <v>0.95402275241611167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0.99694222592144277</v>
      </c>
      <c r="M111" s="115">
        <v>0.88731226559590504</v>
      </c>
      <c r="N111" s="115">
        <v>3.2452720317346336E-3</v>
      </c>
      <c r="O111" s="115">
        <v>0.82499966544644432</v>
      </c>
      <c r="P111" s="115">
        <v>0.95895907561117066</v>
      </c>
      <c r="Q111" s="111">
        <v>0.82499966544644443</v>
      </c>
      <c r="R111" s="68">
        <v>0.95895907561117066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0.98879919960052087</v>
      </c>
      <c r="M112" s="115">
        <v>0.88568831562716899</v>
      </c>
      <c r="N112" s="115">
        <v>0.16820466717368604</v>
      </c>
      <c r="O112" s="115">
        <v>0.81826517283254496</v>
      </c>
      <c r="P112" s="115">
        <v>0.95046414694647263</v>
      </c>
      <c r="Q112" s="111">
        <v>0.81826517283254496</v>
      </c>
      <c r="R112" s="68">
        <v>0.95046414694647263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0.94923096886874869</v>
      </c>
      <c r="M113" s="115">
        <v>0.97129733550953845</v>
      </c>
      <c r="N113" s="115">
        <v>3.8416430156796708</v>
      </c>
      <c r="O113" s="115">
        <v>0.81771220127718269</v>
      </c>
      <c r="P113" s="115">
        <v>0.93756246978328561</v>
      </c>
      <c r="Q113" s="111">
        <v>0.8177122012771828</v>
      </c>
      <c r="R113" s="68">
        <v>0.93756246978328561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0.99274905796762991</v>
      </c>
      <c r="M114" s="115">
        <v>0.8853177254009218</v>
      </c>
      <c r="N114" s="115">
        <v>5.2288115720149977E-2</v>
      </c>
      <c r="O114" s="115">
        <v>0.82052571160372512</v>
      </c>
      <c r="P114" s="115">
        <v>0.95352542684160047</v>
      </c>
      <c r="Q114" s="111">
        <v>0.82052571160372512</v>
      </c>
      <c r="R114" s="68">
        <v>0.95352542684160047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0.97011682263373911</v>
      </c>
      <c r="M115" s="115">
        <v>0.89754903196306413</v>
      </c>
      <c r="N115" s="115">
        <v>3.3993498423716004</v>
      </c>
      <c r="O115" s="115">
        <v>0.93612757628860499</v>
      </c>
      <c r="P115" s="115">
        <v>1.1620283659660648</v>
      </c>
      <c r="Q115" s="111">
        <v>0.93612757628860499</v>
      </c>
      <c r="R115" s="68">
        <v>1.1620283659660648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0.52347840689092751</v>
      </c>
      <c r="M116" s="115">
        <v>121.88426041960214</v>
      </c>
      <c r="N116" s="115">
        <v>2865.8813336706598</v>
      </c>
      <c r="O116" s="115">
        <v>5.7201513839883615</v>
      </c>
      <c r="P116" s="115">
        <v>7.4382572167177834</v>
      </c>
      <c r="Q116" s="111">
        <v>5.7201513839883624</v>
      </c>
      <c r="R116" s="68">
        <v>7.4382572167177834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0.47271063613776393</v>
      </c>
      <c r="M117" s="115">
        <v>7.300397786530711</v>
      </c>
      <c r="N117" s="115">
        <v>214.91357389722623</v>
      </c>
      <c r="O117" s="115">
        <v>2.4689710116142329</v>
      </c>
      <c r="P117" s="115">
        <v>2.3207105925847253</v>
      </c>
      <c r="Q117" s="111">
        <v>2.4689710116142334</v>
      </c>
      <c r="R117" s="68">
        <v>2.3207105925847253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8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8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2025-02-02T14:11:04Z</dcterms:modified>
</cp:coreProperties>
</file>