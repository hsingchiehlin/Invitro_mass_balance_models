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86D73133-2D24-456F-BE03-6DF6726801C4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<sst xmlns="http://schemas.openxmlformats.org/spreadsheetml/2006/main" count="2915" uniqueCount="495">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</sst>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3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5.5999999999999999E-3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5.5999999999999999E-3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1.3999999999999999E-4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1.3678444008311846E-5</v>
      </c>
      <c r="J2" s="67" t="s">
        <v>231</v>
      </c>
      <c r="K2" s="68">
        <v>2.4029897076243288E-3</v>
      </c>
      <c r="L2" s="67" t="s">
        <v>231</v>
      </c>
      <c r="M2" s="68">
        <v>5.2936775449951998E-2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1.0093628415301648E-3</v>
      </c>
      <c r="J3" s="67" t="s">
        <v>231</v>
      </c>
      <c r="K3" s="68">
        <v>0.10870604466148241</v>
      </c>
      <c r="L3" s="67" t="s">
        <v>231</v>
      </c>
      <c r="M3" s="68">
        <v>3.6136137925829361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1.749038294213438E-3</v>
      </c>
      <c r="J4" s="67" t="s">
        <v>231</v>
      </c>
      <c r="K4" s="68">
        <v>9.9676720362328747E-3</v>
      </c>
      <c r="L4" s="67" t="s">
        <v>231</v>
      </c>
      <c r="M4" s="68">
        <v>0.30277770396082404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1.546458423916197E-3</v>
      </c>
      <c r="J5" s="67" t="s">
        <v>231</v>
      </c>
      <c r="K5" s="68">
        <v>3.2108336476975065E-2</v>
      </c>
      <c r="L5" s="67" t="s">
        <v>231</v>
      </c>
      <c r="M5" s="68">
        <v>1.0421539907791975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2.7607390407299432E-3</v>
      </c>
      <c r="J6" s="67" t="s">
        <v>231</v>
      </c>
      <c r="K6" s="68">
        <v>0.12685675885455699</v>
      </c>
      <c r="L6" s="67" t="s">
        <v>231</v>
      </c>
      <c r="M6" s="68">
        <v>4.2434884692330783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4.0166040688170869E-4</v>
      </c>
      <c r="J7" s="67" t="s">
        <v>231</v>
      </c>
      <c r="K7" s="68">
        <v>0.11196566798095514</v>
      </c>
      <c r="L7" s="67" t="s">
        <v>231</v>
      </c>
      <c r="M7" s="68">
        <v>3.7253904715374979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7.7316418566051638E-4</v>
      </c>
      <c r="J8" s="67" t="s">
        <v>231</v>
      </c>
      <c r="K8" s="68">
        <v>8.927531123718753E-2</v>
      </c>
      <c r="L8" s="67" t="s">
        <v>231</v>
      </c>
      <c r="M8" s="68">
        <v>2.9504447877368012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2.1774697666921094E-4</v>
      </c>
      <c r="J9" s="67" t="s">
        <v>231</v>
      </c>
      <c r="K9" s="68">
        <v>1.9086561605719015E-2</v>
      </c>
      <c r="L9" s="67" t="s">
        <v>231</v>
      </c>
      <c r="M9" s="68">
        <v>0.60695951127301073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9.308648442697097E-4</v>
      </c>
      <c r="J10" s="67" t="s">
        <v>231</v>
      </c>
      <c r="K10" s="68">
        <v>3.4326591409737824E-2</v>
      </c>
      <c r="L10" s="67" t="s">
        <v>231</v>
      </c>
      <c r="M10" s="68">
        <v>1.1152156914220548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2.292356396266219E-4</v>
      </c>
      <c r="J11" s="67" t="s">
        <v>231</v>
      </c>
      <c r="K11" s="68">
        <v>3.8250536374579924E-2</v>
      </c>
      <c r="L11" s="67" t="s">
        <v>231</v>
      </c>
      <c r="M11" s="68">
        <v>1.2446649189217922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4.6772237179401008E-4</v>
      </c>
      <c r="J12" s="67" t="s">
        <v>231</v>
      </c>
      <c r="K12" s="68">
        <v>1.993604051491886E-2</v>
      </c>
      <c r="L12" s="67" t="s">
        <v>231</v>
      </c>
      <c r="M12" s="68">
        <v>0.63673227791168208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1.0148335883489576E-2</v>
      </c>
      <c r="J13" s="67" t="s">
        <v>232</v>
      </c>
      <c r="K13" s="68">
        <v>1.9181077748051081E-2</v>
      </c>
      <c r="L13" s="67" t="s">
        <v>231</v>
      </c>
      <c r="M13" s="68">
        <v>0.61023212487408462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2.1913773239018953E-3</v>
      </c>
      <c r="J14" s="67" t="s">
        <v>231</v>
      </c>
      <c r="K14" s="68">
        <v>5.2206265827539726E-2</v>
      </c>
      <c r="L14" s="67" t="s">
        <v>231</v>
      </c>
      <c r="M14" s="68">
        <v>1.7070496490183538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1.0990087970488012E-3</v>
      </c>
      <c r="J15" s="67" t="s">
        <v>231</v>
      </c>
      <c r="K15" s="68">
        <v>3.6253378632842684E-2</v>
      </c>
      <c r="L15" s="67" t="s">
        <v>231</v>
      </c>
      <c r="M15" s="68">
        <v>1.1787468356106203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8.1311950437830101E-4</v>
      </c>
      <c r="J16" s="67" t="s">
        <v>231</v>
      </c>
      <c r="K16" s="68">
        <v>8.8155664279351495E-2</v>
      </c>
      <c r="L16" s="67" t="s">
        <v>231</v>
      </c>
      <c r="M16" s="68">
        <v>2.9125459367576747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6.515250004443399E-4</v>
      </c>
      <c r="J17" s="67" t="s">
        <v>231</v>
      </c>
      <c r="K17" s="68">
        <v>3.2837477888454834E-2</v>
      </c>
      <c r="L17" s="67" t="s">
        <v>231</v>
      </c>
      <c r="M17" s="68">
        <v>1.0661593160791816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1.6189198715906507E-3</v>
      </c>
      <c r="J18" s="67" t="s">
        <v>231</v>
      </c>
      <c r="K18" s="68">
        <v>1.8561149128956702E-2</v>
      </c>
      <c r="L18" s="67" t="s">
        <v>231</v>
      </c>
      <c r="M18" s="68">
        <v>0.58904394786730196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6.6820095254757714E-3</v>
      </c>
      <c r="J19" s="67" t="s">
        <v>231</v>
      </c>
      <c r="K19" s="68">
        <v>3.664755835266461E-2</v>
      </c>
      <c r="L19" s="67" t="s">
        <v>231</v>
      </c>
      <c r="M19" s="68">
        <v>1.1917516113159674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1.0500958882672014E-3</v>
      </c>
      <c r="J20" s="67" t="s">
        <v>231</v>
      </c>
      <c r="K20" s="68">
        <v>1.9183646503190679E-2</v>
      </c>
      <c r="L20" s="67" t="s">
        <v>231</v>
      </c>
      <c r="M20" s="68">
        <v>0.61031384796220867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3.1582051874457155E-3</v>
      </c>
      <c r="J21" s="67" t="s">
        <v>231</v>
      </c>
      <c r="K21" s="68">
        <v>4.7875340634837719E-2</v>
      </c>
      <c r="L21" s="67" t="s">
        <v>231</v>
      </c>
      <c r="M21" s="68">
        <v>1.5632404383416383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8.6523384943129711E-5</v>
      </c>
      <c r="J22" s="67" t="s">
        <v>231</v>
      </c>
      <c r="K22" s="68">
        <v>5.5278920014823103E-3</v>
      </c>
      <c r="L22" s="67" t="s">
        <v>231</v>
      </c>
      <c r="M22" s="68">
        <v>0.15654755592485103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2.9317587927585238E-5</v>
      </c>
      <c r="J23" s="67" t="s">
        <v>231</v>
      </c>
      <c r="K23" s="68">
        <v>3.1992454307223838E-3</v>
      </c>
      <c r="L23" s="67" t="s">
        <v>231</v>
      </c>
      <c r="M23" s="68">
        <v>7.9473925796706604E-2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8.1537000195663136E-5</v>
      </c>
      <c r="J24" s="67" t="s">
        <v>231</v>
      </c>
      <c r="K24" s="68">
        <v>1.4987096164897164E-2</v>
      </c>
      <c r="L24" s="67" t="s">
        <v>231</v>
      </c>
      <c r="M24" s="68">
        <v>0.46879238995724842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4.0505579909147065E-4</v>
      </c>
      <c r="J25" s="67" t="s">
        <v>231</v>
      </c>
      <c r="K25" s="68">
        <v>2.0301038465809263E-2</v>
      </c>
      <c r="L25" s="67" t="s">
        <v>231</v>
      </c>
      <c r="M25" s="68">
        <v>0.65163706688570711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8.3533538311570223E-4</v>
      </c>
      <c r="J26" s="67" t="s">
        <v>231</v>
      </c>
      <c r="K26" s="68">
        <v>4.5119268979244058E-2</v>
      </c>
      <c r="L26" s="67" t="s">
        <v>231</v>
      </c>
      <c r="M26" s="68">
        <v>1.4718667698554999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5.5431502971037803E-4</v>
      </c>
      <c r="J27" s="67" t="s">
        <v>231</v>
      </c>
      <c r="K27" s="68">
        <v>0.10637626699960728</v>
      </c>
      <c r="L27" s="67" t="s">
        <v>231</v>
      </c>
      <c r="M27" s="68">
        <v>3.5334602445237886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2.97154865888144E-4</v>
      </c>
      <c r="J28" s="67" t="s">
        <v>231</v>
      </c>
      <c r="K28" s="68">
        <v>6.6152612800184238E-2</v>
      </c>
      <c r="L28" s="67" t="s">
        <v>231</v>
      </c>
      <c r="M28" s="68">
        <v>2.1721531749777916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1.8192058423649845E-4</v>
      </c>
      <c r="J29" s="67" t="s">
        <v>231</v>
      </c>
      <c r="K29" s="68">
        <v>4.9369217527934425E-2</v>
      </c>
      <c r="L29" s="67" t="s">
        <v>231</v>
      </c>
      <c r="M29" s="68">
        <v>1.6135289226223408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2.97154865888144E-4</v>
      </c>
      <c r="J30" s="67" t="s">
        <v>231</v>
      </c>
      <c r="K30" s="68">
        <v>6.6152612800184238E-2</v>
      </c>
      <c r="L30" s="67" t="s">
        <v>231</v>
      </c>
      <c r="M30" s="68">
        <v>2.1721531749777916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8.134320386705466E-8</v>
      </c>
      <c r="J31" s="67" t="s">
        <v>231</v>
      </c>
      <c r="K31" s="68">
        <v>9.0383277924588042E-4</v>
      </c>
      <c r="L31" s="67" t="s">
        <v>231</v>
      </c>
      <c r="M31" s="68">
        <v>1.1401880787195336E-3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8.4208690743044249E-6</v>
      </c>
      <c r="J32" s="67" t="s">
        <v>231</v>
      </c>
      <c r="K32" s="68">
        <v>8.1971452439768902E-3</v>
      </c>
      <c r="L32" s="67" t="s">
        <v>231</v>
      </c>
      <c r="M32" s="68">
        <v>0.2428284506300761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8.1329864551436909E-8</v>
      </c>
      <c r="J33" s="67" t="s">
        <v>231</v>
      </c>
      <c r="K33" s="68">
        <v>8.896262099711362E-4</v>
      </c>
      <c r="L33" s="67" t="s">
        <v>231</v>
      </c>
      <c r="M33" s="68">
        <v>5.9128786709398116E-4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1.9358114035377846E-10</v>
      </c>
      <c r="J34" s="67" t="s">
        <v>231</v>
      </c>
      <c r="K34" s="68">
        <v>9.4436812046428146E-4</v>
      </c>
      <c r="L34" s="67" t="s">
        <v>231</v>
      </c>
      <c r="M34" s="68">
        <v>4.5015804637430691E-2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1.9752807947845341E-7</v>
      </c>
      <c r="J35" s="67" t="s">
        <v>231</v>
      </c>
      <c r="K35" s="68">
        <v>9.4502697404987793E-4</v>
      </c>
      <c r="L35" s="67" t="s">
        <v>231</v>
      </c>
      <c r="M35" s="68">
        <v>6.3700182798107435E-2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1.8000588992862154E-7</v>
      </c>
      <c r="J36" s="67" t="s">
        <v>231</v>
      </c>
      <c r="K36" s="68">
        <v>9.0534161495964206E-4</v>
      </c>
      <c r="L36" s="67" t="s">
        <v>231</v>
      </c>
      <c r="M36" s="68">
        <v>7.7405016215116654E-2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1.9349434856685957E-6</v>
      </c>
      <c r="J37" s="67" t="s">
        <v>231</v>
      </c>
      <c r="K37" s="68">
        <v>4.5675945518684402E-3</v>
      </c>
      <c r="L37" s="67" t="s">
        <v>231</v>
      </c>
      <c r="M37" s="68">
        <v>0.17488432320210578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1.0522350569140557E-6</v>
      </c>
      <c r="J38" s="67" t="s">
        <v>231</v>
      </c>
      <c r="K38" s="68">
        <v>9.8632761879328111E-4</v>
      </c>
      <c r="L38" s="67" t="s">
        <v>231</v>
      </c>
      <c r="M38" s="68">
        <v>4.0308262361573456E-2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2.0939775821065659E-4</v>
      </c>
      <c r="J39" s="67" t="s">
        <v>231</v>
      </c>
      <c r="K39" s="68">
        <v>2.1280764180986428E-2</v>
      </c>
      <c r="L39" s="67" t="s">
        <v>231</v>
      </c>
      <c r="M39" s="68">
        <v>0.68681680066221951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8.1912161844791194E-10</v>
      </c>
      <c r="J40" s="67" t="s">
        <v>231</v>
      </c>
      <c r="K40" s="68">
        <v>6.4121911989200461E-2</v>
      </c>
      <c r="L40" s="67" t="s">
        <v>231</v>
      </c>
      <c r="M40" s="68">
        <v>5.6264636674440602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2.6240615548219939E-8</v>
      </c>
      <c r="J41" s="67" t="s">
        <v>231</v>
      </c>
      <c r="K41" s="68">
        <v>8.1280848013949949E-4</v>
      </c>
      <c r="L41" s="67" t="s">
        <v>231</v>
      </c>
      <c r="M41" s="68">
        <v>6.4442042004025425E-5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9.4541105054596938E-4</v>
      </c>
      <c r="J42" s="67" t="s">
        <v>231</v>
      </c>
      <c r="K42" s="68">
        <v>6.2528760971054123E-3</v>
      </c>
      <c r="L42" s="67" t="s">
        <v>231</v>
      </c>
      <c r="M42" s="68">
        <v>0.18040044896037188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4.7085665660921463E-9</v>
      </c>
      <c r="J43" s="67" t="s">
        <v>231</v>
      </c>
      <c r="K43" s="68">
        <v>1.7610792604771388E-3</v>
      </c>
      <c r="L43" s="67" t="s">
        <v>231</v>
      </c>
      <c r="M43" s="68">
        <v>0.16458522500893707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1.0662756741659047E-6</v>
      </c>
      <c r="J44" s="67" t="s">
        <v>231</v>
      </c>
      <c r="K44" s="68">
        <v>1.622839352585135E-3</v>
      </c>
      <c r="L44" s="67" t="s">
        <v>231</v>
      </c>
      <c r="M44" s="68">
        <v>2.9071505702797516E-2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8.2798325751535273E-5</v>
      </c>
      <c r="J45" s="67" t="s">
        <v>231</v>
      </c>
      <c r="K45" s="68">
        <v>6.9351730236188822E-3</v>
      </c>
      <c r="L45" s="67" t="s">
        <v>231</v>
      </c>
      <c r="M45" s="68">
        <v>0.20289963458554125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1.8629539573399861E-6</v>
      </c>
      <c r="J46" s="67" t="s">
        <v>231</v>
      </c>
      <c r="K46" s="68">
        <v>6.4918840896747414E-3</v>
      </c>
      <c r="L46" s="67" t="s">
        <v>231</v>
      </c>
      <c r="M46" s="68">
        <v>0.18832850928897713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2.5617835093513759E-3</v>
      </c>
      <c r="J47" s="142" t="s">
        <v>231</v>
      </c>
      <c r="K47" s="143">
        <v>0.10909654248425457</v>
      </c>
      <c r="L47" s="142" t="s">
        <v>231</v>
      </c>
      <c r="M47" s="143">
        <v>3.6265947479910494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1.805838847111194E-6</v>
      </c>
      <c r="J48" s="142" t="s">
        <v>231</v>
      </c>
      <c r="K48" s="143">
        <v>1.1365733682154296E-3</v>
      </c>
      <c r="L48" s="142" t="s">
        <v>231</v>
      </c>
      <c r="M48" s="143">
        <v>1.020781488216266E-2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5.0317268307377222E-6</v>
      </c>
      <c r="J49" s="142" t="s">
        <v>231</v>
      </c>
      <c r="K49" s="143">
        <v>1.3365170669221021E-3</v>
      </c>
      <c r="L49" s="142" t="s">
        <v>231</v>
      </c>
      <c r="M49" s="143">
        <v>1.7482821591191893E-2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7.1124933117629887E-6</v>
      </c>
      <c r="J50" s="142" t="s">
        <v>231</v>
      </c>
      <c r="K50" s="143">
        <v>1.8324710069119877E-2</v>
      </c>
      <c r="L50" s="142" t="s">
        <v>231</v>
      </c>
      <c r="M50" s="143">
        <v>0.58112530513703209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4.0234722556760699E-8</v>
      </c>
      <c r="J51" s="142" t="s">
        <v>231</v>
      </c>
      <c r="K51" s="143">
        <v>8.6312208795920656E-4</v>
      </c>
      <c r="L51" s="142" t="s">
        <v>231</v>
      </c>
      <c r="M51" s="143">
        <v>1.8508545336302449E-3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1.0760458079801864E-5</v>
      </c>
      <c r="J52" s="142" t="s">
        <v>231</v>
      </c>
      <c r="K52" s="143">
        <v>2.208519562589654E-3</v>
      </c>
      <c r="L52" s="142" t="s">
        <v>231</v>
      </c>
      <c r="M52" s="143">
        <v>4.8320663892673615E-2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1.5512650215381745E-4</v>
      </c>
      <c r="J53" s="142" t="s">
        <v>231</v>
      </c>
      <c r="K53" s="143">
        <v>9.3292575556219691E-3</v>
      </c>
      <c r="L53" s="142" t="s">
        <v>231</v>
      </c>
      <c r="M53" s="143">
        <v>0.28179114491499296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8.7238990650611279E-4</v>
      </c>
      <c r="J54" s="67" t="s">
        <v>231</v>
      </c>
      <c r="K54" s="68">
        <v>9.9994869842400386E-2</v>
      </c>
      <c r="L54" s="67" t="s">
        <v>231</v>
      </c>
      <c r="M54" s="68">
        <v>3.3148791888059845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1.7116087893673731E-4</v>
      </c>
      <c r="J55" s="67" t="s">
        <v>231</v>
      </c>
      <c r="K55" s="68">
        <v>1.3472722494564764E-2</v>
      </c>
      <c r="L55" s="67" t="s">
        <v>231</v>
      </c>
      <c r="M55" s="68">
        <v>0.42238583860104195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5.0821374292305327E-5</v>
      </c>
      <c r="J56" s="67" t="s">
        <v>231</v>
      </c>
      <c r="K56" s="68">
        <v>7.864435400953905E-3</v>
      </c>
      <c r="L56" s="67" t="s">
        <v>231</v>
      </c>
      <c r="M56" s="68">
        <v>0.25103206547124224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2.3934641697931559E-5</v>
      </c>
      <c r="J57" s="67" t="s">
        <v>231</v>
      </c>
      <c r="K57" s="68">
        <v>3.8879356782144988E-3</v>
      </c>
      <c r="L57" s="67" t="s">
        <v>231</v>
      </c>
      <c r="M57" s="68">
        <v>0.12242620163722982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2.5846298235053597E-7</v>
      </c>
      <c r="J58" s="67" t="s">
        <v>231</v>
      </c>
      <c r="K58" s="68">
        <v>1.0202026119823347E-4</v>
      </c>
      <c r="L58" s="67" t="s">
        <v>231</v>
      </c>
      <c r="M58" s="68">
        <v>1.5165655373359792E-3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5.7467798507744881E-6</v>
      </c>
      <c r="J59" s="67" t="s">
        <v>231</v>
      </c>
      <c r="K59" s="68">
        <v>1.4925914570961673E-3</v>
      </c>
      <c r="L59" s="67" t="s">
        <v>231</v>
      </c>
      <c r="M59" s="68">
        <v>4.6955217952433521E-2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8.9711989441305611E-8</v>
      </c>
      <c r="J60" s="67" t="s">
        <v>231</v>
      </c>
      <c r="K60" s="68">
        <v>2.6123592076089481E-5</v>
      </c>
      <c r="L60" s="67" t="s">
        <v>231</v>
      </c>
      <c r="M60" s="68">
        <v>8.1091696996300029E-4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3.3729692604410784E-2</v>
      </c>
      <c r="J61" s="67" t="s">
        <v>232</v>
      </c>
      <c r="K61" s="68">
        <v>1.1757883781719309E-2</v>
      </c>
      <c r="L61" s="67" t="s">
        <v>231</v>
      </c>
      <c r="M61" s="68">
        <v>0.36182888036202343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3.7860673346405265E-5</v>
      </c>
      <c r="J62" s="67" t="s">
        <v>231</v>
      </c>
      <c r="K62" s="68">
        <v>5.1233903651689783E-2</v>
      </c>
      <c r="L62" s="67" t="s">
        <v>231</v>
      </c>
      <c r="M62" s="68">
        <v>1.6747332740447749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2.6698549160352234E-4</v>
      </c>
      <c r="J63" s="67" t="s">
        <v>231</v>
      </c>
      <c r="K63" s="68">
        <v>0.12294071030480971</v>
      </c>
      <c r="L63" s="67" t="s">
        <v>231</v>
      </c>
      <c r="M63" s="68">
        <v>4.1062207572201803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1.9392025441343719E-4</v>
      </c>
      <c r="J64" s="67" t="s">
        <v>231</v>
      </c>
      <c r="K64" s="68">
        <v>0.14003407988002234</v>
      </c>
      <c r="L64" s="67" t="s">
        <v>231</v>
      </c>
      <c r="M64" s="68">
        <v>4.7136246977415999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2.9791283529828779E-4</v>
      </c>
      <c r="J65" s="67" t="s">
        <v>231</v>
      </c>
      <c r="K65" s="68">
        <v>0.15191326045212517</v>
      </c>
      <c r="L65" s="67" t="s">
        <v>231</v>
      </c>
      <c r="M65" s="68">
        <v>5.1586712555141654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1.1724930830181955E-6</v>
      </c>
      <c r="J66" s="67" t="s">
        <v>231</v>
      </c>
      <c r="K66" s="68">
        <v>0.14599447631920504</v>
      </c>
      <c r="L66" s="67" t="s">
        <v>231</v>
      </c>
      <c r="M66" s="68">
        <v>4.9329510245522679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3.7256476199376272E-4</v>
      </c>
      <c r="J67" s="67" t="s">
        <v>231</v>
      </c>
      <c r="K67" s="68">
        <v>1.9347046215691189E-3</v>
      </c>
      <c r="L67" s="67" t="s">
        <v>231</v>
      </c>
      <c r="M67" s="68">
        <v>3.7341651938192784E-2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1.4824743914368832E-4</v>
      </c>
      <c r="J68" s="67" t="s">
        <v>231</v>
      </c>
      <c r="K68" s="68">
        <v>2.6830562052113983E-3</v>
      </c>
      <c r="L68" s="67" t="s">
        <v>231</v>
      </c>
      <c r="M68" s="68">
        <v>6.2561447224257619E-2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2.0961348338184104E-7</v>
      </c>
      <c r="J69" s="67" t="s">
        <v>231</v>
      </c>
      <c r="K69" s="68">
        <v>8.643395608492456E-2</v>
      </c>
      <c r="L69" s="67" t="s">
        <v>231</v>
      </c>
      <c r="M69" s="68">
        <v>2.8543455877317698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2.220275970936237E-4</v>
      </c>
      <c r="J70" s="67" t="s">
        <v>231</v>
      </c>
      <c r="K70" s="68">
        <v>2.0347404040359885E-2</v>
      </c>
      <c r="L70" s="67" t="s">
        <v>231</v>
      </c>
      <c r="M70" s="68">
        <v>0.65207366999525707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2.7736132880157175E-4</v>
      </c>
      <c r="J71" s="67" t="s">
        <v>231</v>
      </c>
      <c r="K71" s="68">
        <v>2.5047687423102216E-3</v>
      </c>
      <c r="L71" s="67" t="s">
        <v>231</v>
      </c>
      <c r="M71" s="68">
        <v>5.7007897564735427E-2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1.3429597445335301E-6</v>
      </c>
      <c r="J72" s="67" t="s">
        <v>231</v>
      </c>
      <c r="K72" s="68">
        <v>1.9982665704047047E-2</v>
      </c>
      <c r="L72" s="67" t="s">
        <v>231</v>
      </c>
      <c r="M72" s="68">
        <v>0.6395610193880199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4.8812448777574083E-3</v>
      </c>
      <c r="J73" s="67" t="s">
        <v>231</v>
      </c>
      <c r="K73" s="68">
        <v>1.2124008181375491E-2</v>
      </c>
      <c r="L73" s="67" t="s">
        <v>231</v>
      </c>
      <c r="M73" s="68">
        <v>0.37426828214203089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4.6524895676986595E-2</v>
      </c>
      <c r="J74" s="67" t="s">
        <v>232</v>
      </c>
      <c r="K74" s="68">
        <v>2.0269911255656043E-2</v>
      </c>
      <c r="L74" s="67" t="s">
        <v>231</v>
      </c>
      <c r="M74" s="68">
        <v>0.64935350656361279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2.2740631211591332E-13</v>
      </c>
      <c r="J75" s="67" t="s">
        <v>231</v>
      </c>
      <c r="K75" s="68">
        <v>5.596460757758861E-3</v>
      </c>
      <c r="L75" s="67" t="s">
        <v>231</v>
      </c>
      <c r="M75" s="68">
        <v>0.54987729554898512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1.2510712770914728E-13</v>
      </c>
      <c r="J76" s="67" t="s">
        <v>231</v>
      </c>
      <c r="K76" s="68">
        <v>5.5964607607612406E-3</v>
      </c>
      <c r="L76" s="67" t="s">
        <v>231</v>
      </c>
      <c r="M76" s="68">
        <v>0.54987729584398237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2.5016559198830064E-7</v>
      </c>
      <c r="J77" s="67" t="s">
        <v>231</v>
      </c>
      <c r="K77" s="68">
        <v>1.6989530412025129E-2</v>
      </c>
      <c r="L77" s="67" t="s">
        <v>231</v>
      </c>
      <c r="M77" s="68">
        <v>0.5365564446786838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9.101491722514507E-4</v>
      </c>
      <c r="J78" s="67" t="s">
        <v>231</v>
      </c>
      <c r="K78" s="68">
        <v>5.7301317659858584E-3</v>
      </c>
      <c r="L78" s="67" t="s">
        <v>231</v>
      </c>
      <c r="M78" s="68">
        <v>0.16402545854585696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1.6798664539950108E-5</v>
      </c>
      <c r="J79" s="67" t="s">
        <v>231</v>
      </c>
      <c r="K79" s="68">
        <v>9.4787033050363831E-3</v>
      </c>
      <c r="L79" s="67" t="s">
        <v>231</v>
      </c>
      <c r="M79" s="68">
        <v>0.28686435152242218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1.3530452896715569E-14</v>
      </c>
      <c r="J80" s="67" t="s">
        <v>231</v>
      </c>
      <c r="K80" s="68">
        <v>1.085950275956917E-2</v>
      </c>
      <c r="L80" s="67" t="s">
        <v>231</v>
      </c>
      <c r="M80" s="68">
        <v>1.0675535369763627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2.2042524676237231E-5</v>
      </c>
      <c r="J81" s="67" t="s">
        <v>231</v>
      </c>
      <c r="K81" s="68">
        <v>9.1653596805379794E-4</v>
      </c>
      <c r="L81" s="67" t="s">
        <v>231</v>
      </c>
      <c r="M81" s="68">
        <v>1.6865456704760664E-3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3.3349747162480833E-5</v>
      </c>
      <c r="J82" s="67" t="s">
        <v>231</v>
      </c>
      <c r="K82" s="68">
        <v>3.1108878228018485E-3</v>
      </c>
      <c r="L82" s="67" t="s">
        <v>231</v>
      </c>
      <c r="M82" s="68">
        <v>7.6537358797991548E-2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2.7722594717826844E-5</v>
      </c>
      <c r="J83" s="67" t="s">
        <v>231</v>
      </c>
      <c r="K83" s="68">
        <v>1.6553500947259277E-2</v>
      </c>
      <c r="L83" s="67" t="s">
        <v>231</v>
      </c>
      <c r="M83" s="68">
        <v>0.52108587221318925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6.0659952727772576E-6</v>
      </c>
      <c r="J84" s="67" t="s">
        <v>231</v>
      </c>
      <c r="K84" s="68">
        <v>1.0523664467606399E-3</v>
      </c>
      <c r="L84" s="67" t="s">
        <v>231</v>
      </c>
      <c r="M84" s="68">
        <v>6.835392566231141E-3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3.309808739367555E-8</v>
      </c>
      <c r="J85" s="67" t="s">
        <v>231</v>
      </c>
      <c r="K85" s="68">
        <v>8.8798640013186471E-4</v>
      </c>
      <c r="L85" s="67" t="s">
        <v>231</v>
      </c>
      <c r="M85" s="68">
        <v>3.4593395404232413E-4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2.3804551284302214E-6</v>
      </c>
      <c r="J86" s="67" t="s">
        <v>231</v>
      </c>
      <c r="K86" s="68">
        <v>1.0440910225548523E-3</v>
      </c>
      <c r="L86" s="67" t="s">
        <v>231</v>
      </c>
      <c r="M86" s="68">
        <v>6.5351155284325904E-3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2.9632639548048409E-3</v>
      </c>
      <c r="J87" s="67" t="s">
        <v>231</v>
      </c>
      <c r="K87" s="68">
        <v>0.11475103328053253</v>
      </c>
      <c r="L87" s="67" t="s">
        <v>231</v>
      </c>
      <c r="M87" s="68">
        <v>3.8215732425946052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9.8644148540744916E-5</v>
      </c>
      <c r="J88" s="67" t="s">
        <v>231</v>
      </c>
      <c r="K88" s="68">
        <v>4.889850012273698E-3</v>
      </c>
      <c r="L88" s="67" t="s">
        <v>231</v>
      </c>
      <c r="M88" s="68">
        <v>0.13544085015055313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2.686140781693379E-5</v>
      </c>
      <c r="J89" s="67" t="s">
        <v>231</v>
      </c>
      <c r="K89" s="68">
        <v>3.3848372407222094E-3</v>
      </c>
      <c r="L89" s="67" t="s">
        <v>231</v>
      </c>
      <c r="M89" s="68">
        <v>8.5634726331264815E-2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1.7613130282864096E-6</v>
      </c>
      <c r="J90" s="67" t="s">
        <v>231</v>
      </c>
      <c r="K90" s="68">
        <v>1.5056688954395772E-3</v>
      </c>
      <c r="L90" s="67" t="s">
        <v>231</v>
      </c>
      <c r="M90" s="68">
        <v>2.2653597981077276E-2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2.2953205843566633E-3</v>
      </c>
      <c r="J91" s="67" t="s">
        <v>231</v>
      </c>
      <c r="K91" s="68">
        <v>5.6199294677951955E-2</v>
      </c>
      <c r="L91" s="67" t="s">
        <v>231</v>
      </c>
      <c r="M91" s="68">
        <v>1.8399028410559684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1.8517822226372771E-2</v>
      </c>
      <c r="J92" s="67" t="s">
        <v>232</v>
      </c>
      <c r="K92" s="68">
        <v>1.4894318578646801E-2</v>
      </c>
      <c r="L92" s="67" t="s">
        <v>231</v>
      </c>
      <c r="M92" s="68">
        <v>0.46570453553231711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5.6635671148418656E-3</v>
      </c>
      <c r="J93" s="67" t="s">
        <v>231</v>
      </c>
      <c r="K93" s="68">
        <v>1.9900283038964302E-2</v>
      </c>
      <c r="L93" s="67" t="s">
        <v>231</v>
      </c>
      <c r="M93" s="68">
        <v>0.63546581160478421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6.4821063432166604E-9</v>
      </c>
      <c r="J94" s="67" t="s">
        <v>231</v>
      </c>
      <c r="K94" s="68">
        <v>9.1534053418035452E-4</v>
      </c>
      <c r="L94" s="67" t="s">
        <v>231</v>
      </c>
      <c r="M94" s="68">
        <v>1.1878415943994254E-2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4.4023178492360481E-5</v>
      </c>
      <c r="J95" s="67" t="s">
        <v>231</v>
      </c>
      <c r="K95" s="68">
        <v>2.8328732319860217E-2</v>
      </c>
      <c r="L95" s="67" t="s">
        <v>231</v>
      </c>
      <c r="M95" s="68">
        <v>0.91786160361653246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9.7196969731638009E-8</v>
      </c>
      <c r="J96" s="67" t="s">
        <v>231</v>
      </c>
      <c r="K96" s="68">
        <v>9.1943291658097819E-4</v>
      </c>
      <c r="L96" s="67" t="s">
        <v>231</v>
      </c>
      <c r="M96" s="68">
        <v>1.8069009091645613E-3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3.4451141601002345E-8</v>
      </c>
      <c r="J97" s="67" t="s">
        <v>231</v>
      </c>
      <c r="K97" s="68">
        <v>1.0566514513642251E-3</v>
      </c>
      <c r="L97" s="67" t="s">
        <v>231</v>
      </c>
      <c r="M97" s="68">
        <v>6.990530459812655E-3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8.6516385006602594E-6</v>
      </c>
      <c r="J98" s="67" t="s">
        <v>231</v>
      </c>
      <c r="K98" s="68">
        <v>2.0655335144067505E-2</v>
      </c>
      <c r="L98" s="67" t="s">
        <v>231</v>
      </c>
      <c r="M98" s="68">
        <v>0.66370688411984013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4.2012303084965537E-8</v>
      </c>
      <c r="J99" s="67" t="s">
        <v>231</v>
      </c>
      <c r="K99" s="68">
        <v>8.8578393607045467E-4</v>
      </c>
      <c r="L99" s="67" t="s">
        <v>231</v>
      </c>
      <c r="M99" s="68">
        <v>1.782864265491819E-4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5.0036244584318842E-5</v>
      </c>
      <c r="J100" s="67" t="s">
        <v>231</v>
      </c>
      <c r="K100" s="68">
        <v>8.6405474449743908E-3</v>
      </c>
      <c r="L100" s="67" t="s">
        <v>231</v>
      </c>
      <c r="M100" s="68">
        <v>0.2590535374462084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1.3099281540864289E-5</v>
      </c>
      <c r="J101" s="67" t="s">
        <v>231</v>
      </c>
      <c r="K101" s="68">
        <v>8.8973957750658993E-4</v>
      </c>
      <c r="L101" s="67" t="s">
        <v>231</v>
      </c>
      <c r="M101" s="68">
        <v>4.5180487506654975E-4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6.4568675023453486E-11</v>
      </c>
      <c r="J102" s="67" t="s">
        <v>231</v>
      </c>
      <c r="K102" s="68">
        <v>8.8542356547523249E-4</v>
      </c>
      <c r="L102" s="67" t="s">
        <v>231</v>
      </c>
      <c r="M102" s="68">
        <v>3.8256323763432609E-5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9.1909314528999975E-9</v>
      </c>
      <c r="J103" s="67" t="s">
        <v>231</v>
      </c>
      <c r="K103" s="68">
        <v>8.8568831562716897E-4</v>
      </c>
      <c r="L103" s="67" t="s">
        <v>231</v>
      </c>
      <c r="M103" s="68">
        <v>1.6820466717368604E-4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4.2192672486131307E-7</v>
      </c>
      <c r="J104" s="67" t="s">
        <v>231</v>
      </c>
      <c r="K104" s="68">
        <v>9.7129733550953854E-4</v>
      </c>
      <c r="L104" s="67" t="s">
        <v>231</v>
      </c>
      <c r="M104" s="68">
        <v>3.8416430156796707E-3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5.8081343723399716E-8</v>
      </c>
      <c r="J105" s="67" t="s">
        <v>231</v>
      </c>
      <c r="K105" s="68">
        <v>8.8528610930230028E-4</v>
      </c>
      <c r="L105" s="67" t="s">
        <v>231</v>
      </c>
      <c r="M105" s="68">
        <v>5.3043188914041251E-5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5.0688717904213422E-7</v>
      </c>
      <c r="J106" s="67" t="s">
        <v>231</v>
      </c>
      <c r="K106" s="68">
        <v>1.8554919097775627E-3</v>
      </c>
      <c r="L106" s="67" t="s">
        <v>231</v>
      </c>
      <c r="M106" s="68">
        <v>3.4537615287703403E-2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6.1756927782063208E-5</v>
      </c>
      <c r="J107" s="67" t="s">
        <v>231</v>
      </c>
      <c r="K107" s="68">
        <v>2.0769130372065712E-2</v>
      </c>
      <c r="L107" s="67" t="s">
        <v>231</v>
      </c>
      <c r="M107" s="68">
        <v>0.66885080660837526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6.745967494652252E-5</v>
      </c>
      <c r="J108" s="67" t="s">
        <v>231</v>
      </c>
      <c r="K108" s="68">
        <v>7.3003977865307105E-3</v>
      </c>
      <c r="L108" s="67" t="s">
        <v>231</v>
      </c>
      <c r="M108" s="68">
        <v>0.21491357389722621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0.8207549591671619</v>
      </c>
      <c r="F2" s="14">
        <v>0.7761353842226637</v>
      </c>
      <c r="G2" s="14">
        <v>1.0085233812079012E-6</v>
      </c>
      <c r="H2" s="14">
        <v>10.487150087729228</v>
      </c>
      <c r="I2" s="14">
        <v>28.282295414961112</v>
      </c>
      <c r="J2" s="14">
        <v>0</v>
      </c>
      <c r="K2" s="14">
        <v>1.2884350080257547</v>
      </c>
      <c r="L2" s="14">
        <v>0.7761353842226637</v>
      </c>
      <c r="M2" s="14">
        <v>0.63681908275469556</v>
      </c>
      <c r="N2" s="14">
        <v>2.4029897076243287</v>
      </c>
      <c r="O2" s="14">
        <v>442.41443507071517</v>
      </c>
      <c r="P2" s="8">
        <v>2.4029897076243287</v>
      </c>
      <c r="Q2" s="54">
        <v>0.12070205223938696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0.89933732373222519</v>
      </c>
      <c r="F3" s="14">
        <v>6.5590619859213269E-4</v>
      </c>
      <c r="G3" s="14">
        <v>3.9771339920407878E-5</v>
      </c>
      <c r="H3" s="14">
        <v>68.855991316569629</v>
      </c>
      <c r="I3" s="14">
        <v>1727.4238280793134</v>
      </c>
      <c r="J3" s="14">
        <v>0</v>
      </c>
      <c r="K3" s="14">
        <v>1524.6082475610783</v>
      </c>
      <c r="L3" s="14">
        <v>6.5590619859213269E-4</v>
      </c>
      <c r="M3" s="14">
        <v>5.3817103594484491E-4</v>
      </c>
      <c r="N3" s="14">
        <v>108.70604466148241</v>
      </c>
      <c r="O3" s="14">
        <v>39667.922757421547</v>
      </c>
      <c r="P3" s="8">
        <v>108.70604466148241</v>
      </c>
      <c r="Q3" s="54">
        <v>5.5258476360073187E-2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0.66458082067257684</v>
      </c>
      <c r="F4" s="14">
        <v>0.35483290867041933</v>
      </c>
      <c r="G4" s="14">
        <v>4.9006352434845133E-14</v>
      </c>
      <c r="H4" s="14">
        <v>71.387782417877986</v>
      </c>
      <c r="I4" s="14">
        <v>157.79057619541143</v>
      </c>
      <c r="J4" s="14">
        <v>0</v>
      </c>
      <c r="K4" s="14">
        <v>2.81822789139559</v>
      </c>
      <c r="L4" s="14">
        <v>0.35483290867041939</v>
      </c>
      <c r="M4" s="14">
        <v>0.29114040156407911</v>
      </c>
      <c r="N4" s="14">
        <v>9.9676720362328748</v>
      </c>
      <c r="O4" s="14">
        <v>3162.9416905374155</v>
      </c>
      <c r="P4" s="8">
        <v>9.9676720362328748</v>
      </c>
      <c r="Q4" s="54">
        <v>0.2254660010356094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0.87894935870867763</v>
      </c>
      <c r="F5" s="14">
        <v>6.9417967850471576E-3</v>
      </c>
      <c r="G5" s="14">
        <v>1.3333997937767775E-6</v>
      </c>
      <c r="H5" s="14">
        <v>192.10200422475793</v>
      </c>
      <c r="I5" s="14">
        <v>516.16561094691872</v>
      </c>
      <c r="J5" s="14">
        <v>0</v>
      </c>
      <c r="K5" s="14">
        <v>144.05492280529307</v>
      </c>
      <c r="L5" s="14">
        <v>6.9417967850471584E-3</v>
      </c>
      <c r="M5" s="14">
        <v>5.6957442621311935E-3</v>
      </c>
      <c r="N5" s="14">
        <v>32.108336476975062</v>
      </c>
      <c r="O5" s="14">
        <v>11256.861685462687</v>
      </c>
      <c r="P5" s="8">
        <v>32.108336476975069</v>
      </c>
      <c r="Q5" s="54">
        <v>7.8593941037096521E-2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0.91936802208340629</v>
      </c>
      <c r="F6" s="14">
        <v>2.9516375480823407E-4</v>
      </c>
      <c r="G6" s="14">
        <v>1.3039217034162544E-7</v>
      </c>
      <c r="H6" s="14">
        <v>44.189900777411268</v>
      </c>
      <c r="I6" s="14">
        <v>2009.4638476308842</v>
      </c>
      <c r="J6" s="14">
        <v>0</v>
      </c>
      <c r="K6" s="14">
        <v>3387.9498539706997</v>
      </c>
      <c r="L6" s="14">
        <v>2.9516375480823407E-4</v>
      </c>
      <c r="M6" s="14">
        <v>2.4218186082015607E-4</v>
      </c>
      <c r="N6" s="14">
        <v>126.856758854557</v>
      </c>
      <c r="O6" s="14">
        <v>44969.452446351912</v>
      </c>
      <c r="P6" s="8">
        <v>126.856758854557</v>
      </c>
      <c r="Q6" s="54">
        <v>4.2430700057596978E-2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0.90499807288764444</v>
      </c>
      <c r="F7" s="14">
        <v>5.8764060803420995E-4</v>
      </c>
      <c r="G7" s="14">
        <v>1.9151389415956466E-7</v>
      </c>
      <c r="H7" s="14">
        <v>64.978816863514368</v>
      </c>
      <c r="I7" s="14">
        <v>1778.398036539915</v>
      </c>
      <c r="J7" s="14">
        <v>0</v>
      </c>
      <c r="K7" s="14">
        <v>1701.7203820294599</v>
      </c>
      <c r="L7" s="14">
        <v>5.8764060803421006E-4</v>
      </c>
      <c r="M7" s="14">
        <v>4.8215911889206933E-4</v>
      </c>
      <c r="N7" s="14">
        <v>111.96566798095513</v>
      </c>
      <c r="O7" s="14">
        <v>39690.709642568785</v>
      </c>
      <c r="P7" s="8">
        <v>111.96566798095515</v>
      </c>
      <c r="Q7" s="54">
        <v>5.3533910707569549E-2</v>
      </c>
    </row>
    <row r="8" spans="1:20">
      <c r="A8" s="2" t="s">
        <v>323</v>
      </c>
      <c r="B8" s="16" t="s">
        <v>324</v>
      </c>
      <c r="D8" s="14">
        <v>1</v>
      </c>
      <c r="E8" s="14">
        <v>0.88824691634096709</v>
      </c>
      <c r="F8" s="14">
        <v>1.3027692286906236E-3</v>
      </c>
      <c r="G8" s="14">
        <v>1.8001801961361407E-6</v>
      </c>
      <c r="H8" s="14">
        <v>98.420936244479762</v>
      </c>
      <c r="I8" s="14">
        <v>1422.8026414348949</v>
      </c>
      <c r="J8" s="14">
        <v>0</v>
      </c>
      <c r="K8" s="14">
        <v>767.5956554524023</v>
      </c>
      <c r="L8" s="14">
        <v>1.3027692286906238E-3</v>
      </c>
      <c r="M8" s="14">
        <v>1.0689221521406568E-3</v>
      </c>
      <c r="N8" s="14">
        <v>89.275311237187523</v>
      </c>
      <c r="O8" s="14">
        <v>28571.670608349497</v>
      </c>
      <c r="P8" s="8">
        <v>89.275311237187537</v>
      </c>
      <c r="Q8" s="54">
        <v>6.6887453611017708E-2</v>
      </c>
    </row>
    <row r="9" spans="1:20">
      <c r="A9" s="2" t="s">
        <v>325</v>
      </c>
      <c r="B9" s="16" t="s">
        <v>326</v>
      </c>
      <c r="D9" s="14">
        <v>1</v>
      </c>
      <c r="E9" s="14">
        <v>0.77396537600983262</v>
      </c>
      <c r="F9" s="14">
        <v>5.9579893333793425E-2</v>
      </c>
      <c r="G9" s="14">
        <v>1.126388503133077E-6</v>
      </c>
      <c r="H9" s="14">
        <v>169.76952023893242</v>
      </c>
      <c r="I9" s="14">
        <v>308.68597085145211</v>
      </c>
      <c r="J9" s="14">
        <v>0</v>
      </c>
      <c r="K9" s="14">
        <v>16.784185805730619</v>
      </c>
      <c r="L9" s="14">
        <v>5.9579893333793432E-2</v>
      </c>
      <c r="M9" s="14">
        <v>4.8885302480377507E-2</v>
      </c>
      <c r="N9" s="14">
        <v>19.086561605719016</v>
      </c>
      <c r="O9" s="14">
        <v>5808.9950247005827</v>
      </c>
      <c r="P9" s="8">
        <v>19.086561605719016</v>
      </c>
      <c r="Q9" s="54">
        <v>0.15070126302005721</v>
      </c>
    </row>
    <row r="10" spans="1:20">
      <c r="A10" s="2" t="s">
        <v>275</v>
      </c>
      <c r="B10" s="16" t="s">
        <v>276</v>
      </c>
      <c r="D10" s="14">
        <v>1</v>
      </c>
      <c r="E10" s="14">
        <v>0.87810476732136522</v>
      </c>
      <c r="F10" s="14">
        <v>6.4556335721859788E-3</v>
      </c>
      <c r="G10" s="14">
        <v>1.7131183188376397E-8</v>
      </c>
      <c r="H10" s="14">
        <v>188.1736770631355</v>
      </c>
      <c r="I10" s="14">
        <v>551.58956582147687</v>
      </c>
      <c r="J10" s="14">
        <v>0</v>
      </c>
      <c r="K10" s="14">
        <v>154.90346359007862</v>
      </c>
      <c r="L10" s="14">
        <v>6.4556335721859797E-3</v>
      </c>
      <c r="M10" s="14">
        <v>5.296847345978596E-3</v>
      </c>
      <c r="N10" s="14">
        <v>34.326591409737823</v>
      </c>
      <c r="O10" s="14">
        <v>12717.658851393766</v>
      </c>
      <c r="P10" s="8">
        <v>34.326591409737823</v>
      </c>
      <c r="Q10" s="54">
        <v>7.9034378450479573E-2</v>
      </c>
    </row>
    <row r="11" spans="1:20">
      <c r="A11" s="2" t="s">
        <v>327</v>
      </c>
      <c r="B11" s="16" t="s">
        <v>328</v>
      </c>
      <c r="D11" s="14">
        <v>1</v>
      </c>
      <c r="E11" s="14">
        <v>0.87674819666853387</v>
      </c>
      <c r="F11" s="14">
        <v>5.7020687468058552E-3</v>
      </c>
      <c r="G11" s="14">
        <v>8.922384541371924E-7</v>
      </c>
      <c r="H11" s="14">
        <v>181.23933043345835</v>
      </c>
      <c r="I11" s="14">
        <v>614.19972807750196</v>
      </c>
      <c r="J11" s="14">
        <v>0</v>
      </c>
      <c r="K11" s="14">
        <v>175.37494625265137</v>
      </c>
      <c r="L11" s="14">
        <v>5.7020687468058552E-3</v>
      </c>
      <c r="M11" s="14">
        <v>4.6785474067542049E-3</v>
      </c>
      <c r="N11" s="14">
        <v>38.250536374579923</v>
      </c>
      <c r="O11" s="14">
        <v>14570.01181044124</v>
      </c>
      <c r="P11" s="8">
        <v>38.25053637457993</v>
      </c>
      <c r="Q11" s="54">
        <v>7.9526088075252965E-2</v>
      </c>
    </row>
    <row r="12" spans="1:20">
      <c r="A12" s="2" t="s">
        <v>329</v>
      </c>
      <c r="B12" s="16" t="s">
        <v>330</v>
      </c>
      <c r="D12" s="14">
        <v>1</v>
      </c>
      <c r="E12" s="14">
        <v>0.80874317190929024</v>
      </c>
      <c r="F12" s="14">
        <v>3.8241671465109095E-2</v>
      </c>
      <c r="G12" s="14">
        <v>5.8936637407931015E-7</v>
      </c>
      <c r="H12" s="14">
        <v>184.22852124300866</v>
      </c>
      <c r="I12" s="14">
        <v>322.2656648284713</v>
      </c>
      <c r="J12" s="14">
        <v>0</v>
      </c>
      <c r="K12" s="14">
        <v>26.149484624707867</v>
      </c>
      <c r="L12" s="14">
        <v>3.8241671465109102E-2</v>
      </c>
      <c r="M12" s="14">
        <v>3.1377291437122014E-2</v>
      </c>
      <c r="N12" s="14">
        <v>19.936040514918862</v>
      </c>
      <c r="O12" s="14">
        <v>5470.449517293735</v>
      </c>
      <c r="P12" s="8">
        <v>19.936040514918862</v>
      </c>
      <c r="Q12" s="54">
        <v>0.12717859912534404</v>
      </c>
    </row>
    <row r="13" spans="1:20">
      <c r="A13" s="2" t="s">
        <v>277</v>
      </c>
      <c r="B13" s="16" t="s">
        <v>278</v>
      </c>
      <c r="D13" s="14">
        <v>1</v>
      </c>
      <c r="E13" s="14">
        <v>0.77729572944604997</v>
      </c>
      <c r="F13" s="14">
        <v>5.7163007059133998E-2</v>
      </c>
      <c r="G13" s="14">
        <v>1.753168078481775E-6</v>
      </c>
      <c r="H13" s="14">
        <v>171.23599701443112</v>
      </c>
      <c r="I13" s="14">
        <v>310.20745988963398</v>
      </c>
      <c r="J13" s="14">
        <v>0</v>
      </c>
      <c r="K13" s="14">
        <v>17.493831263381924</v>
      </c>
      <c r="L13" s="14">
        <v>5.7163007059133998E-2</v>
      </c>
      <c r="M13" s="14">
        <v>4.6902247292019444E-2</v>
      </c>
      <c r="N13" s="14">
        <v>19.181077748051081</v>
      </c>
      <c r="O13" s="14">
        <v>7805.3559680144263</v>
      </c>
      <c r="P13" s="8">
        <v>19.181077748051081</v>
      </c>
      <c r="Q13" s="54">
        <v>0.14840626581595781</v>
      </c>
    </row>
    <row r="14" spans="1:20">
      <c r="A14" s="2" t="s">
        <v>331</v>
      </c>
      <c r="B14" s="16" t="s">
        <v>332</v>
      </c>
      <c r="D14" s="14">
        <v>1</v>
      </c>
      <c r="E14" s="14">
        <v>0.87544513808508762</v>
      </c>
      <c r="F14" s="14">
        <v>3.7867458019471023E-3</v>
      </c>
      <c r="G14" s="14">
        <v>5.9507902161925674E-7</v>
      </c>
      <c r="H14" s="14">
        <v>157.41501410438215</v>
      </c>
      <c r="I14" s="14">
        <v>836.37939186346489</v>
      </c>
      <c r="J14" s="14">
        <v>0</v>
      </c>
      <c r="K14" s="14">
        <v>264.07898821352387</v>
      </c>
      <c r="L14" s="14">
        <v>3.7867458019471027E-3</v>
      </c>
      <c r="M14" s="14">
        <v>3.1070249304975977E-3</v>
      </c>
      <c r="N14" s="14">
        <v>52.206265827539724</v>
      </c>
      <c r="O14" s="14">
        <v>19885.888716368157</v>
      </c>
      <c r="P14" s="8">
        <v>52.206265827539724</v>
      </c>
      <c r="Q14" s="54">
        <v>7.9104888621300051E-2</v>
      </c>
    </row>
    <row r="15" spans="1:20">
      <c r="A15" s="2" t="s">
        <v>333</v>
      </c>
      <c r="B15" s="16" t="s">
        <v>334</v>
      </c>
      <c r="D15" s="14">
        <v>1</v>
      </c>
      <c r="E15" s="14">
        <v>0.8774146799716781</v>
      </c>
      <c r="F15" s="14">
        <v>6.0701656091715316E-3</v>
      </c>
      <c r="G15" s="14">
        <v>9.7129024626178898E-10</v>
      </c>
      <c r="H15" s="14">
        <v>184.76535460906373</v>
      </c>
      <c r="I15" s="14">
        <v>582.341459577862</v>
      </c>
      <c r="J15" s="14">
        <v>0</v>
      </c>
      <c r="K15" s="14">
        <v>164.74015115651545</v>
      </c>
      <c r="L15" s="14">
        <v>6.0701656091715324E-3</v>
      </c>
      <c r="M15" s="14">
        <v>4.9805708823252425E-3</v>
      </c>
      <c r="N15" s="14">
        <v>36.253378632842683</v>
      </c>
      <c r="O15" s="14">
        <v>13938.699016755356</v>
      </c>
      <c r="P15" s="8">
        <v>36.253378632842683</v>
      </c>
      <c r="Q15" s="54">
        <v>7.9319087732431209E-2</v>
      </c>
    </row>
    <row r="16" spans="1:20">
      <c r="A16" s="2" t="s">
        <v>335</v>
      </c>
      <c r="B16" s="16" t="s">
        <v>336</v>
      </c>
      <c r="D16" s="14">
        <v>1</v>
      </c>
      <c r="E16" s="14">
        <v>0.88736938035045076</v>
      </c>
      <c r="F16" s="14">
        <v>1.3476365580126503E-3</v>
      </c>
      <c r="G16" s="14">
        <v>4.6762882275949638E-6</v>
      </c>
      <c r="H16" s="14">
        <v>100.06283051965862</v>
      </c>
      <c r="I16" s="14">
        <v>1405.1735118906026</v>
      </c>
      <c r="J16" s="14">
        <v>0</v>
      </c>
      <c r="K16" s="14">
        <v>742.0398282120608</v>
      </c>
      <c r="L16" s="14">
        <v>1.3476365580126503E-3</v>
      </c>
      <c r="M16" s="14">
        <v>1.1057357958493797E-3</v>
      </c>
      <c r="N16" s="14">
        <v>88.155664279351498</v>
      </c>
      <c r="O16" s="14">
        <v>32910.272588767497</v>
      </c>
      <c r="P16" s="8">
        <v>88.155664279351498</v>
      </c>
      <c r="Q16" s="54">
        <v>6.7410873479220798E-2</v>
      </c>
    </row>
    <row r="17" spans="1:21">
      <c r="A17" s="2" t="s">
        <v>337</v>
      </c>
      <c r="B17" s="16" t="s">
        <v>338</v>
      </c>
      <c r="D17" s="14">
        <v>1</v>
      </c>
      <c r="E17" s="14">
        <v>0.87869754818361268</v>
      </c>
      <c r="F17" s="14">
        <v>6.7770721012210414E-3</v>
      </c>
      <c r="G17" s="14">
        <v>3.4249212791504231E-7</v>
      </c>
      <c r="H17" s="14">
        <v>190.81921553714699</v>
      </c>
      <c r="I17" s="14">
        <v>527.8120207220345</v>
      </c>
      <c r="J17" s="14">
        <v>0</v>
      </c>
      <c r="K17" s="14">
        <v>147.55634661461363</v>
      </c>
      <c r="L17" s="14">
        <v>6.7770721012210423E-3</v>
      </c>
      <c r="M17" s="14">
        <v>5.5605876590518648E-3</v>
      </c>
      <c r="N17" s="14">
        <v>32.837477888454835</v>
      </c>
      <c r="O17" s="14">
        <v>12784.286891533235</v>
      </c>
      <c r="P17" s="8">
        <v>32.837477888454835</v>
      </c>
      <c r="Q17" s="54">
        <v>7.8755206918831658E-2</v>
      </c>
    </row>
    <row r="18" spans="1:21">
      <c r="A18" s="2" t="s">
        <v>279</v>
      </c>
      <c r="B18" s="16" t="s">
        <v>280</v>
      </c>
      <c r="D18" s="14">
        <v>1</v>
      </c>
      <c r="E18" s="14">
        <v>0.7565059442622114</v>
      </c>
      <c r="F18" s="14">
        <v>7.1371972288713878E-2</v>
      </c>
      <c r="G18" s="14">
        <v>3.3851365023337435E-5</v>
      </c>
      <c r="H18" s="14">
        <v>162.38566874740425</v>
      </c>
      <c r="I18" s="14">
        <v>300.1959777615811</v>
      </c>
      <c r="J18" s="14">
        <v>0</v>
      </c>
      <c r="K18" s="14">
        <v>14.011102228684393</v>
      </c>
      <c r="L18" s="14">
        <v>7.1371972288713892E-2</v>
      </c>
      <c r="M18" s="14">
        <v>5.8560703262889743E-2</v>
      </c>
      <c r="N18" s="14">
        <v>18.561149128956703</v>
      </c>
      <c r="O18" s="14">
        <v>5398.139001174477</v>
      </c>
      <c r="P18" s="8">
        <v>18.561149128956703</v>
      </c>
      <c r="Q18" s="54">
        <v>0.16054798860515318</v>
      </c>
    </row>
    <row r="19" spans="1:21">
      <c r="A19" s="2" t="s">
        <v>339</v>
      </c>
      <c r="B19" s="16" t="s">
        <v>340</v>
      </c>
      <c r="D19" s="14">
        <v>1</v>
      </c>
      <c r="E19" s="14">
        <v>0.87728749497735325</v>
      </c>
      <c r="F19" s="14">
        <v>5.995228603465937E-3</v>
      </c>
      <c r="G19" s="14">
        <v>3.4041934791858977E-9</v>
      </c>
      <c r="H19" s="14">
        <v>184.0711593982426</v>
      </c>
      <c r="I19" s="14">
        <v>588.63071301657465</v>
      </c>
      <c r="J19" s="14">
        <v>0</v>
      </c>
      <c r="K19" s="14">
        <v>166.79931094235238</v>
      </c>
      <c r="L19" s="14">
        <v>5.9952286034659378E-3</v>
      </c>
      <c r="M19" s="14">
        <v>4.9190850691438019E-3</v>
      </c>
      <c r="N19" s="14">
        <v>36.64755835266461</v>
      </c>
      <c r="O19" s="14">
        <v>12667.228544598522</v>
      </c>
      <c r="P19" s="8">
        <v>36.64755835266461</v>
      </c>
      <c r="Q19" s="54">
        <v>7.9367539821205813E-2</v>
      </c>
    </row>
    <row r="20" spans="1:21">
      <c r="A20" s="2" t="s">
        <v>281</v>
      </c>
      <c r="B20" s="16" t="s">
        <v>282</v>
      </c>
      <c r="D20" s="14">
        <v>1</v>
      </c>
      <c r="E20" s="14">
        <v>0.77739982591165158</v>
      </c>
      <c r="F20" s="14">
        <v>5.7170662404162402E-2</v>
      </c>
      <c r="G20" s="14">
        <v>2.6538826294440279E-7</v>
      </c>
      <c r="H20" s="14">
        <v>171.25892916418789</v>
      </c>
      <c r="I20" s="14">
        <v>310.24900328033391</v>
      </c>
      <c r="J20" s="14">
        <v>0</v>
      </c>
      <c r="K20" s="14">
        <v>17.491488780217342</v>
      </c>
      <c r="L20" s="14">
        <v>5.7170662404162402E-2</v>
      </c>
      <c r="M20" s="14">
        <v>4.6908528502615253E-2</v>
      </c>
      <c r="N20" s="14">
        <v>19.18364650319068</v>
      </c>
      <c r="O20" s="14">
        <v>5587.4288805193173</v>
      </c>
      <c r="P20" s="8">
        <v>19.18364650319068</v>
      </c>
      <c r="Q20" s="54">
        <v>0.14842614057810991</v>
      </c>
    </row>
    <row r="21" spans="1:21">
      <c r="A21" s="2" t="s">
        <v>341</v>
      </c>
      <c r="B21" s="16" t="s">
        <v>342</v>
      </c>
      <c r="D21" s="14">
        <v>1</v>
      </c>
      <c r="E21" s="14">
        <v>0.87504003416844423</v>
      </c>
      <c r="F21" s="14">
        <v>4.2804140505713706E-3</v>
      </c>
      <c r="G21" s="14">
        <v>4.98028583033006E-6</v>
      </c>
      <c r="H21" s="14">
        <v>164.59846507089722</v>
      </c>
      <c r="I21" s="14">
        <v>767.50807204884973</v>
      </c>
      <c r="J21" s="14">
        <v>0</v>
      </c>
      <c r="K21" s="14">
        <v>233.62225901172226</v>
      </c>
      <c r="L21" s="14">
        <v>4.2804140505713706E-3</v>
      </c>
      <c r="M21" s="14">
        <v>3.51207972849381E-3</v>
      </c>
      <c r="N21" s="14">
        <v>47.87534063483772</v>
      </c>
      <c r="O21" s="14">
        <v>16051.644208048388</v>
      </c>
      <c r="P21" s="8">
        <v>47.87534063483772</v>
      </c>
      <c r="Q21" s="54">
        <v>7.9521204882115545E-2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0.71327575658088893</v>
      </c>
      <c r="F22" s="14">
        <v>0.56393141900942279</v>
      </c>
      <c r="G22" s="14">
        <v>2.1805938321179367E-5</v>
      </c>
      <c r="H22" s="14">
        <v>34.162236243024118</v>
      </c>
      <c r="I22" s="14">
        <v>82.490410047043341</v>
      </c>
      <c r="J22" s="14">
        <v>0</v>
      </c>
      <c r="K22" s="14">
        <v>1.7732652700155564</v>
      </c>
      <c r="L22" s="14">
        <v>0.56393141900942279</v>
      </c>
      <c r="M22" s="14">
        <v>0.46270572929723142</v>
      </c>
      <c r="N22" s="14">
        <v>5.5278920014823099</v>
      </c>
      <c r="O22" s="14">
        <v>907.67986664339526</v>
      </c>
      <c r="P22" s="8">
        <v>5.5278920014823099</v>
      </c>
      <c r="Q22" s="54">
        <v>0.19169176776074834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0.78350612856237389</v>
      </c>
      <c r="F23" s="14">
        <v>0.71292634973221169</v>
      </c>
      <c r="G23" s="14">
        <v>9.2908009186557346E-7</v>
      </c>
      <c r="H23" s="14">
        <v>16.286383855804242</v>
      </c>
      <c r="I23" s="14">
        <v>42.25536303604374</v>
      </c>
      <c r="J23" s="14">
        <v>0</v>
      </c>
      <c r="K23" s="14">
        <v>1.4026694347538402</v>
      </c>
      <c r="L23" s="14">
        <v>0.71292634973221169</v>
      </c>
      <c r="M23" s="14">
        <v>0.58495606995527971</v>
      </c>
      <c r="N23" s="14">
        <v>3.1992454307223839</v>
      </c>
      <c r="O23" s="14">
        <v>483.59793930799555</v>
      </c>
      <c r="P23" s="8">
        <v>3.1992454307223843</v>
      </c>
      <c r="Q23" s="54">
        <v>0.14577459291161368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0.68656183009078975</v>
      </c>
      <c r="F24" s="14">
        <v>0.1745985179858334</v>
      </c>
      <c r="G24" s="14">
        <v>8.039129797715583E-7</v>
      </c>
      <c r="H24" s="14">
        <v>119.61359766924284</v>
      </c>
      <c r="I24" s="14">
        <v>241.56706560002198</v>
      </c>
      <c r="J24" s="14">
        <v>0</v>
      </c>
      <c r="K24" s="14">
        <v>5.7274254760921748</v>
      </c>
      <c r="L24" s="14">
        <v>0.1745985179858334</v>
      </c>
      <c r="M24" s="14">
        <v>0.1432580840073763</v>
      </c>
      <c r="N24" s="14">
        <v>14.987096164897164</v>
      </c>
      <c r="O24" s="14">
        <v>2641.4756990631249</v>
      </c>
      <c r="P24" s="8">
        <v>14.987096164897164</v>
      </c>
      <c r="Q24" s="54">
        <v>0.21010564638761312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0.83814816002627035</v>
      </c>
      <c r="F25" s="14">
        <v>2.0809698125265473E-2</v>
      </c>
      <c r="G25" s="14">
        <v>1.4714119129104712E-4</v>
      </c>
      <c r="H25" s="14">
        <v>196.92723366256337</v>
      </c>
      <c r="I25" s="14">
        <v>327.76528292056179</v>
      </c>
      <c r="J25" s="14">
        <v>0</v>
      </c>
      <c r="K25" s="14">
        <v>48.054517368797377</v>
      </c>
      <c r="L25" s="14">
        <v>2.0809698125265477E-2</v>
      </c>
      <c r="M25" s="14">
        <v>1.7074357311780322E-2</v>
      </c>
      <c r="N25" s="14">
        <v>20.301038465809263</v>
      </c>
      <c r="O25" s="14">
        <v>3903.8896969751218</v>
      </c>
      <c r="P25" s="8">
        <v>20.301038465809263</v>
      </c>
      <c r="Q25" s="54">
        <v>9.8392716476317491E-2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0.87528558790067801</v>
      </c>
      <c r="F26" s="14">
        <v>4.6375488828371047E-3</v>
      </c>
      <c r="G26" s="14">
        <v>3.9966580134661089E-6</v>
      </c>
      <c r="H26" s="14">
        <v>169.30449956357543</v>
      </c>
      <c r="I26" s="14">
        <v>723.64517572084719</v>
      </c>
      <c r="J26" s="14">
        <v>0</v>
      </c>
      <c r="K26" s="14">
        <v>215.63115026147858</v>
      </c>
      <c r="L26" s="14">
        <v>4.6375488828371055E-3</v>
      </c>
      <c r="M26" s="14">
        <v>3.8051088583678449E-3</v>
      </c>
      <c r="N26" s="14">
        <v>45.119268979244055</v>
      </c>
      <c r="O26" s="14">
        <v>10033.1718429145</v>
      </c>
      <c r="P26" s="8">
        <v>45.119268979244055</v>
      </c>
      <c r="Q26" s="54">
        <v>7.9675660274185878E-2</v>
      </c>
    </row>
    <row r="27" spans="1:21">
      <c r="A27" s="2" t="s">
        <v>353</v>
      </c>
      <c r="B27" s="16" t="s">
        <v>354</v>
      </c>
      <c r="D27" s="14">
        <v>1</v>
      </c>
      <c r="E27" s="14">
        <v>0.89832158668392503</v>
      </c>
      <c r="F27" s="14">
        <v>7.2094180472099666E-4</v>
      </c>
      <c r="G27" s="14">
        <v>2.7563140384685566E-5</v>
      </c>
      <c r="H27" s="14">
        <v>72.477000139509343</v>
      </c>
      <c r="I27" s="14">
        <v>1691.0536265996998</v>
      </c>
      <c r="J27" s="14">
        <v>0</v>
      </c>
      <c r="K27" s="14">
        <v>1387.0745092760965</v>
      </c>
      <c r="L27" s="14">
        <v>7.2094180472099677E-4</v>
      </c>
      <c r="M27" s="14">
        <v>5.9153275077357783E-4</v>
      </c>
      <c r="N27" s="14">
        <v>106.37626699960728</v>
      </c>
      <c r="O27" s="14">
        <v>25146.285756037163</v>
      </c>
      <c r="P27" s="8">
        <v>106.37626699960728</v>
      </c>
      <c r="Q27" s="54">
        <v>5.6905910978518139E-2</v>
      </c>
    </row>
    <row r="28" spans="1:21">
      <c r="A28" s="2" t="s">
        <v>355</v>
      </c>
      <c r="B28" s="16" t="s">
        <v>356</v>
      </c>
      <c r="D28" s="14">
        <v>1</v>
      </c>
      <c r="E28" s="14">
        <v>0.87787237509215876</v>
      </c>
      <c r="F28" s="14">
        <v>2.562066791769567E-3</v>
      </c>
      <c r="G28" s="14">
        <v>1.501477868202624E-6</v>
      </c>
      <c r="H28" s="14">
        <v>134.55208979396866</v>
      </c>
      <c r="I28" s="14">
        <v>1057.6637461328182</v>
      </c>
      <c r="J28" s="14">
        <v>0</v>
      </c>
      <c r="K28" s="14">
        <v>390.309887007013</v>
      </c>
      <c r="L28" s="14">
        <v>2.562066791769567E-3</v>
      </c>
      <c r="M28" s="14">
        <v>2.1021758026469298E-3</v>
      </c>
      <c r="N28" s="14">
        <v>66.152612800184244</v>
      </c>
      <c r="O28" s="14">
        <v>17093.835147567606</v>
      </c>
      <c r="P28" s="8">
        <v>66.152612800184244</v>
      </c>
      <c r="Q28" s="54">
        <v>7.6093510122682145E-2</v>
      </c>
    </row>
    <row r="29" spans="1:21">
      <c r="A29" s="2" t="s">
        <v>357</v>
      </c>
      <c r="B29" s="16" t="s">
        <v>358</v>
      </c>
      <c r="D29" s="14">
        <v>1</v>
      </c>
      <c r="E29" s="14">
        <v>0.85161391677520315</v>
      </c>
      <c r="F29" s="14">
        <v>3.8395184122376694E-3</v>
      </c>
      <c r="G29" s="14">
        <v>3.0227709669034745E-4</v>
      </c>
      <c r="H29" s="14">
        <v>155.51660060801245</v>
      </c>
      <c r="I29" s="14">
        <v>791.10462832187579</v>
      </c>
      <c r="J29" s="14">
        <v>0</v>
      </c>
      <c r="K29" s="14">
        <v>260.44933052351234</v>
      </c>
      <c r="L29" s="14">
        <v>3.8395184122376694E-3</v>
      </c>
      <c r="M29" s="14">
        <v>3.1503248572410077E-3</v>
      </c>
      <c r="N29" s="14">
        <v>49.369217527934431</v>
      </c>
      <c r="O29" s="14">
        <v>11670.38933142842</v>
      </c>
      <c r="P29" s="8">
        <v>49.369217527934431</v>
      </c>
      <c r="Q29" s="54">
        <v>7.713188149640951E-2</v>
      </c>
    </row>
    <row r="30" spans="1:21">
      <c r="A30" s="2" t="s">
        <v>359</v>
      </c>
      <c r="B30" s="16" t="s">
        <v>360</v>
      </c>
      <c r="D30" s="14">
        <v>1</v>
      </c>
      <c r="E30" s="14">
        <v>0.87787237509215876</v>
      </c>
      <c r="F30" s="14">
        <v>2.562066791769567E-3</v>
      </c>
      <c r="G30" s="14">
        <v>1.501477868202624E-6</v>
      </c>
      <c r="H30" s="14">
        <v>134.55208979396866</v>
      </c>
      <c r="I30" s="14">
        <v>1057.6637461328182</v>
      </c>
      <c r="J30" s="14">
        <v>0</v>
      </c>
      <c r="K30" s="14">
        <v>390.309887007013</v>
      </c>
      <c r="L30" s="14">
        <v>2.562066791769567E-3</v>
      </c>
      <c r="M30" s="14">
        <v>2.1021758026469298E-3</v>
      </c>
      <c r="N30" s="14">
        <v>66.152612800184244</v>
      </c>
      <c r="O30" s="14">
        <v>17093.835147567606</v>
      </c>
      <c r="P30" s="8">
        <v>66.152612800184244</v>
      </c>
      <c r="Q30" s="54">
        <v>7.6093510122682145E-2</v>
      </c>
    </row>
    <row r="31" spans="1:21">
      <c r="A31" s="2" t="s">
        <v>283</v>
      </c>
      <c r="B31" s="16" t="s">
        <v>284</v>
      </c>
      <c r="D31" s="14">
        <v>1</v>
      </c>
      <c r="E31" s="14">
        <v>0.97650498791113305</v>
      </c>
      <c r="F31" s="14">
        <v>0.9794820824575694</v>
      </c>
      <c r="G31" s="14">
        <v>2.9127618890318228E-10</v>
      </c>
      <c r="H31" s="14">
        <v>0.17063829219900142</v>
      </c>
      <c r="I31" s="14">
        <v>0.63406483300850081</v>
      </c>
      <c r="J31" s="14">
        <v>0</v>
      </c>
      <c r="K31" s="14">
        <v>1.020947721157849</v>
      </c>
      <c r="L31" s="14">
        <v>0.97948208245756951</v>
      </c>
      <c r="M31" s="14">
        <v>0.80366504865643573</v>
      </c>
      <c r="N31" s="14">
        <v>0.90383277924588046</v>
      </c>
      <c r="O31" s="14">
        <v>175.51528740175752</v>
      </c>
      <c r="P31" s="8">
        <v>0.90383277924588046</v>
      </c>
      <c r="Q31" s="54">
        <v>1.5773703267318022E-2</v>
      </c>
    </row>
    <row r="32" spans="1:21">
      <c r="A32" s="2" t="s">
        <v>361</v>
      </c>
      <c r="B32" s="16" t="s">
        <v>362</v>
      </c>
      <c r="D32" s="14">
        <v>1</v>
      </c>
      <c r="E32" s="14">
        <v>0.67724849442088819</v>
      </c>
      <c r="F32" s="14">
        <v>0.4357253830961022</v>
      </c>
      <c r="G32" s="14">
        <v>2.3691642932330206E-10</v>
      </c>
      <c r="H32" s="14">
        <v>55.455519866687688</v>
      </c>
      <c r="I32" s="14">
        <v>126.59747910340502</v>
      </c>
      <c r="J32" s="14">
        <v>0</v>
      </c>
      <c r="K32" s="14">
        <v>2.2950235143391753</v>
      </c>
      <c r="L32" s="14">
        <v>0.43572538309610226</v>
      </c>
      <c r="M32" s="14">
        <v>0.35751267683035187</v>
      </c>
      <c r="N32" s="14">
        <v>8.1971452439768893</v>
      </c>
      <c r="O32" s="14">
        <v>2099.2069255300416</v>
      </c>
      <c r="P32" s="8">
        <v>8.1971452439768893</v>
      </c>
      <c r="Q32" s="54">
        <v>0.21708262164767156</v>
      </c>
    </row>
    <row r="33" spans="1:17">
      <c r="A33" s="2" t="s">
        <v>364</v>
      </c>
      <c r="B33" s="16" t="s">
        <v>365</v>
      </c>
      <c r="D33" s="14">
        <v>1</v>
      </c>
      <c r="E33" s="14">
        <v>0.9998183341987541</v>
      </c>
      <c r="F33" s="14">
        <v>0.99951176779877171</v>
      </c>
      <c r="G33" s="14">
        <v>1.3411342270328696E-12</v>
      </c>
      <c r="H33" s="14">
        <v>1.1942298208985311</v>
      </c>
      <c r="I33" s="14">
        <v>3.3812466308174288E-3</v>
      </c>
      <c r="J33" s="14">
        <v>0</v>
      </c>
      <c r="K33" s="14">
        <v>1.0004884706883477</v>
      </c>
      <c r="L33" s="14">
        <v>0.99951176779877171</v>
      </c>
      <c r="M33" s="14">
        <v>0.82009940547889226</v>
      </c>
      <c r="N33" s="14">
        <v>0.88962620997113617</v>
      </c>
      <c r="O33" s="14">
        <v>263.46280208295195</v>
      </c>
      <c r="P33" s="8">
        <v>0.88962620997113628</v>
      </c>
      <c r="Q33" s="54">
        <v>3.855465752481492E-5</v>
      </c>
    </row>
    <row r="34" spans="1:17">
      <c r="A34" s="2" t="s">
        <v>285</v>
      </c>
      <c r="B34" s="16" t="s">
        <v>286</v>
      </c>
      <c r="D34" s="14">
        <v>1</v>
      </c>
      <c r="E34" s="14">
        <v>0.99967315775411536</v>
      </c>
      <c r="F34" s="14">
        <v>0.54969047834474449</v>
      </c>
      <c r="G34" s="14">
        <v>3.9874290500373051E-12</v>
      </c>
      <c r="H34" s="14">
        <v>128.49262877438457</v>
      </c>
      <c r="I34" s="14">
        <v>9.7704448303575317E-2</v>
      </c>
      <c r="J34" s="14">
        <v>0</v>
      </c>
      <c r="K34" s="14">
        <v>1.8192056064191799</v>
      </c>
      <c r="L34" s="14">
        <v>0.54969047834474449</v>
      </c>
      <c r="M34" s="14">
        <v>0.4510210374818629</v>
      </c>
      <c r="N34" s="14">
        <v>0.94436812046428154</v>
      </c>
      <c r="O34" s="14">
        <v>208.74312934742477</v>
      </c>
      <c r="P34" s="8">
        <v>0.94436812046428154</v>
      </c>
      <c r="Q34" s="54">
        <v>1.313754863518407E-4</v>
      </c>
    </row>
    <row r="35" spans="1:17">
      <c r="A35" s="2" t="s">
        <v>287</v>
      </c>
      <c r="B35" s="16" t="s">
        <v>288</v>
      </c>
      <c r="D35" s="14">
        <v>1</v>
      </c>
      <c r="E35" s="14">
        <v>0.99939659438684114</v>
      </c>
      <c r="F35" s="14">
        <v>0.32542403275273107</v>
      </c>
      <c r="G35" s="14">
        <v>1.1614859408663503E-13</v>
      </c>
      <c r="H35" s="14">
        <v>191.87996151288763</v>
      </c>
      <c r="I35" s="14">
        <v>0.34404762223541385</v>
      </c>
      <c r="J35" s="14">
        <v>0</v>
      </c>
      <c r="K35" s="14">
        <v>3.0729137966274171</v>
      </c>
      <c r="L35" s="14">
        <v>0.32542403275273113</v>
      </c>
      <c r="M35" s="14">
        <v>0.26701041887361587</v>
      </c>
      <c r="N35" s="14">
        <v>0.9450269740498779</v>
      </c>
      <c r="O35" s="14">
        <v>217.60191104472489</v>
      </c>
      <c r="P35" s="8">
        <v>0.94502697404987801</v>
      </c>
      <c r="Q35" s="54">
        <v>3.1799373277853824E-4</v>
      </c>
    </row>
    <row r="36" spans="1:17">
      <c r="A36" s="2" t="s">
        <v>366</v>
      </c>
      <c r="B36" s="16" t="s">
        <v>305</v>
      </c>
      <c r="D36" s="14">
        <v>1</v>
      </c>
      <c r="E36" s="14">
        <v>0.9993467143659267</v>
      </c>
      <c r="F36" s="14">
        <v>0.10855122639779669</v>
      </c>
      <c r="G36" s="14">
        <v>2.0476522779516471E-10</v>
      </c>
      <c r="H36" s="14">
        <v>253.22975477381729</v>
      </c>
      <c r="I36" s="14">
        <v>0.67130229715946388</v>
      </c>
      <c r="J36" s="14">
        <v>0</v>
      </c>
      <c r="K36" s="14">
        <v>9.2122404618018887</v>
      </c>
      <c r="L36" s="14">
        <v>0.1085512263977967</v>
      </c>
      <c r="M36" s="14">
        <v>8.9066281259392185E-2</v>
      </c>
      <c r="N36" s="14">
        <v>0.90534161495964205</v>
      </c>
      <c r="O36" s="14">
        <v>186.75386833387498</v>
      </c>
      <c r="P36" s="8">
        <v>0.90534161495964216</v>
      </c>
      <c r="Q36" s="54">
        <v>3.5540058089820038E-4</v>
      </c>
    </row>
    <row r="37" spans="1:17">
      <c r="A37" s="2" t="s">
        <v>289</v>
      </c>
      <c r="B37" s="16" t="s">
        <v>290</v>
      </c>
      <c r="D37" s="14">
        <v>1</v>
      </c>
      <c r="E37" s="14">
        <v>0.92864758142072756</v>
      </c>
      <c r="F37" s="14">
        <v>0.20885825479877196</v>
      </c>
      <c r="G37" s="14">
        <v>4.656439086021111E-17</v>
      </c>
      <c r="H37" s="14">
        <v>198.04853981440894</v>
      </c>
      <c r="I37" s="14">
        <v>62.604097788017675</v>
      </c>
      <c r="J37" s="14">
        <v>0</v>
      </c>
      <c r="K37" s="14">
        <v>4.787936205650416</v>
      </c>
      <c r="L37" s="14">
        <v>0.20885825479877196</v>
      </c>
      <c r="M37" s="14">
        <v>0.1713681980623924</v>
      </c>
      <c r="N37" s="14">
        <v>4.5675945518684404</v>
      </c>
      <c r="O37" s="14">
        <v>1591.441293762002</v>
      </c>
      <c r="P37" s="8">
        <v>4.5675945518684404</v>
      </c>
      <c r="Q37" s="54">
        <v>4.7731244855854602E-2</v>
      </c>
    </row>
    <row r="38" spans="1:17">
      <c r="A38" s="2" t="s">
        <v>291</v>
      </c>
      <c r="B38" s="16" t="s">
        <v>292</v>
      </c>
      <c r="D38" s="14">
        <v>1</v>
      </c>
      <c r="E38" s="14">
        <v>0.99797940569652788</v>
      </c>
      <c r="F38" s="14">
        <v>0.61554816461832185</v>
      </c>
      <c r="G38" s="14">
        <v>1.3422064934800044E-14</v>
      </c>
      <c r="H38" s="14">
        <v>109.2853734583564</v>
      </c>
      <c r="I38" s="14">
        <v>0.84535807177121358</v>
      </c>
      <c r="J38" s="14">
        <v>0</v>
      </c>
      <c r="K38" s="14">
        <v>1.6245682425518435</v>
      </c>
      <c r="L38" s="14">
        <v>0.61554816461832185</v>
      </c>
      <c r="M38" s="14">
        <v>0.50505726906933313</v>
      </c>
      <c r="N38" s="14">
        <v>0.98632761879328112</v>
      </c>
      <c r="O38" s="14">
        <v>304.11439470253237</v>
      </c>
      <c r="P38" s="8">
        <v>0.98632761879328112</v>
      </c>
      <c r="Q38" s="54">
        <v>1.2706931940522539E-3</v>
      </c>
    </row>
    <row r="39" spans="1:17">
      <c r="A39" s="2" t="s">
        <v>367</v>
      </c>
      <c r="B39" s="16" t="s">
        <v>368</v>
      </c>
      <c r="D39" s="14">
        <v>1</v>
      </c>
      <c r="E39" s="14">
        <v>0.8867268068212053</v>
      </c>
      <c r="F39" s="14">
        <v>1.0374828112699319E-2</v>
      </c>
      <c r="G39" s="14">
        <v>1.6120161848321666E-7</v>
      </c>
      <c r="H39" s="14">
        <v>212.05128578460148</v>
      </c>
      <c r="I39" s="14">
        <v>342.92415798389129</v>
      </c>
      <c r="J39" s="14">
        <v>0</v>
      </c>
      <c r="K39" s="14">
        <v>96.387139057846056</v>
      </c>
      <c r="L39" s="14">
        <v>1.0374828112699321E-2</v>
      </c>
      <c r="M39" s="14">
        <v>8.5125464664697927E-3</v>
      </c>
      <c r="N39" s="14">
        <v>21.280764180986427</v>
      </c>
      <c r="O39" s="14">
        <v>5923.2879021357612</v>
      </c>
      <c r="P39" s="8">
        <v>21.280764180986427</v>
      </c>
      <c r="Q39" s="54">
        <v>7.443858018226035E-2</v>
      </c>
    </row>
    <row r="40" spans="1:17">
      <c r="A40" s="2" t="s">
        <v>369</v>
      </c>
      <c r="B40" s="16" t="s">
        <v>370</v>
      </c>
      <c r="D40" s="14">
        <v>1</v>
      </c>
      <c r="E40" s="14">
        <v>0.9881271437426693</v>
      </c>
      <c r="F40" s="14">
        <v>1.0128581599182275E-3</v>
      </c>
      <c r="G40" s="14">
        <v>1.0282098092419172E-14</v>
      </c>
      <c r="H40" s="14">
        <v>261.63065667811367</v>
      </c>
      <c r="I40" s="14">
        <v>175.25508329664859</v>
      </c>
      <c r="J40" s="14">
        <v>0</v>
      </c>
      <c r="K40" s="14">
        <v>987.30507347715343</v>
      </c>
      <c r="L40" s="14">
        <v>1.0128581599182275E-3</v>
      </c>
      <c r="M40" s="14">
        <v>8.3105012021290566E-4</v>
      </c>
      <c r="N40" s="14">
        <v>64.121911989200456</v>
      </c>
      <c r="O40" s="14">
        <v>26091.205988405665</v>
      </c>
      <c r="P40" s="8">
        <v>64.121911989200456</v>
      </c>
      <c r="Q40" s="54">
        <v>1.9546572900943984E-3</v>
      </c>
    </row>
    <row r="41" spans="1:17">
      <c r="A41" s="2" t="s">
        <v>371</v>
      </c>
      <c r="B41" s="16" t="s">
        <v>372</v>
      </c>
      <c r="D41" s="14">
        <v>1</v>
      </c>
      <c r="E41" s="14">
        <v>0.91350910897032733</v>
      </c>
      <c r="F41" s="14">
        <v>0.91704214165525455</v>
      </c>
      <c r="G41" s="14">
        <v>9.0886165598763201E-4</v>
      </c>
      <c r="H41" s="14">
        <v>7.9482092779635475E-3</v>
      </c>
      <c r="I41" s="14">
        <v>3.6840580468563457E-2</v>
      </c>
      <c r="J41" s="14">
        <v>0</v>
      </c>
      <c r="K41" s="14">
        <v>1.0904624275990271</v>
      </c>
      <c r="L41" s="14">
        <v>0.91704214165525466</v>
      </c>
      <c r="M41" s="14">
        <v>0.75243307722813646</v>
      </c>
      <c r="N41" s="14">
        <v>0.81280848013949947</v>
      </c>
      <c r="O41" s="14">
        <v>113.94762083075643</v>
      </c>
      <c r="P41" s="8">
        <v>0.81280848013949947</v>
      </c>
      <c r="Q41" s="54">
        <v>3.0911954424072741E-3</v>
      </c>
    </row>
    <row r="42" spans="1:17">
      <c r="A42" s="2" t="s">
        <v>293</v>
      </c>
      <c r="B42" s="16" t="s">
        <v>294</v>
      </c>
      <c r="D42" s="14">
        <v>1</v>
      </c>
      <c r="E42" s="14">
        <v>0.70100464887537672</v>
      </c>
      <c r="F42" s="14">
        <v>0.52647483121671812</v>
      </c>
      <c r="G42" s="14">
        <v>1.9465524114910677E-10</v>
      </c>
      <c r="H42" s="14">
        <v>39.942717987075888</v>
      </c>
      <c r="I42" s="14">
        <v>94.862547828805248</v>
      </c>
      <c r="J42" s="14">
        <v>0</v>
      </c>
      <c r="K42" s="14">
        <v>1.8994260327486763</v>
      </c>
      <c r="L42" s="14">
        <v>0.52647483121671823</v>
      </c>
      <c r="M42" s="14">
        <v>0.4319725990133173</v>
      </c>
      <c r="N42" s="14">
        <v>6.2528760971054123</v>
      </c>
      <c r="O42" s="14">
        <v>2065.7001474397439</v>
      </c>
      <c r="P42" s="8">
        <v>6.2528760971054123</v>
      </c>
      <c r="Q42" s="54">
        <v>0.20123095339263841</v>
      </c>
    </row>
    <row r="43" spans="1:17">
      <c r="A43" s="2" t="s">
        <v>373</v>
      </c>
      <c r="B43" s="16" t="s">
        <v>374</v>
      </c>
      <c r="D43" s="14">
        <v>1</v>
      </c>
      <c r="E43" s="14">
        <v>0.99933158335317018</v>
      </c>
      <c r="F43" s="14">
        <v>8.8497274921273284E-3</v>
      </c>
      <c r="G43" s="14">
        <v>4.791954848956823E-10</v>
      </c>
      <c r="H43" s="14">
        <v>281.2871532091221</v>
      </c>
      <c r="I43" s="14">
        <v>2.1990415466396773</v>
      </c>
      <c r="J43" s="14">
        <v>0</v>
      </c>
      <c r="K43" s="14">
        <v>112.99782969471033</v>
      </c>
      <c r="L43" s="14">
        <v>8.8497274921273301E-3</v>
      </c>
      <c r="M43" s="14">
        <v>7.261201407290474E-3</v>
      </c>
      <c r="N43" s="14">
        <v>1.7610792604771388</v>
      </c>
      <c r="O43" s="14">
        <v>469.04585023548111</v>
      </c>
      <c r="P43" s="8">
        <v>1.761079260477139</v>
      </c>
      <c r="Q43" s="54">
        <v>2.8473013536915845E-4</v>
      </c>
    </row>
    <row r="44" spans="1:17">
      <c r="A44" s="2" t="s">
        <v>375</v>
      </c>
      <c r="B44" s="16" t="s">
        <v>376</v>
      </c>
      <c r="D44" s="14">
        <v>1</v>
      </c>
      <c r="E44" s="14">
        <v>0.78739264816762022</v>
      </c>
      <c r="F44" s="14">
        <v>0.76497549938012921</v>
      </c>
      <c r="G44" s="14">
        <v>9.4601062355069551E-4</v>
      </c>
      <c r="H44" s="14">
        <v>5.531813448490241</v>
      </c>
      <c r="I44" s="14">
        <v>15.621570623964535</v>
      </c>
      <c r="J44" s="14">
        <v>0</v>
      </c>
      <c r="K44" s="14">
        <v>1.3072314091239714</v>
      </c>
      <c r="L44" s="14">
        <v>0.76497549938012921</v>
      </c>
      <c r="M44" s="14">
        <v>0.62766239724139605</v>
      </c>
      <c r="N44" s="14">
        <v>1.622839352585135</v>
      </c>
      <c r="O44" s="14">
        <v>242.45219927621918</v>
      </c>
      <c r="P44" s="8">
        <v>1.622839352585135</v>
      </c>
      <c r="Q44" s="54">
        <v>8.5886458787332254E-2</v>
      </c>
    </row>
    <row r="45" spans="1:17">
      <c r="A45" s="2" t="s">
        <v>377</v>
      </c>
      <c r="B45" s="16" t="s">
        <v>378</v>
      </c>
      <c r="D45" s="14">
        <v>1</v>
      </c>
      <c r="E45" s="14">
        <v>0.68973511947933808</v>
      </c>
      <c r="F45" s="14">
        <v>0.49106758190070188</v>
      </c>
      <c r="G45" s="14">
        <v>7.404738954414726E-6</v>
      </c>
      <c r="H45" s="14">
        <v>45.507320517049187</v>
      </c>
      <c r="I45" s="14">
        <v>106.49726034929473</v>
      </c>
      <c r="J45" s="14">
        <v>0</v>
      </c>
      <c r="K45" s="14">
        <v>2.0363795877737427</v>
      </c>
      <c r="L45" s="14">
        <v>0.49106758190070193</v>
      </c>
      <c r="M45" s="14">
        <v>0.4029209509495259</v>
      </c>
      <c r="N45" s="14">
        <v>6.9351730236188827</v>
      </c>
      <c r="O45" s="14">
        <v>1541.2728527690604</v>
      </c>
      <c r="P45" s="8">
        <v>6.9351730236188827</v>
      </c>
      <c r="Q45" s="54">
        <v>0.20832358260923423</v>
      </c>
    </row>
    <row r="46" spans="1:17">
      <c r="A46" s="2" t="s">
        <v>379</v>
      </c>
      <c r="B46" s="16" t="s">
        <v>380</v>
      </c>
      <c r="D46" s="14">
        <v>1</v>
      </c>
      <c r="E46" s="14">
        <v>0.69539124474694347</v>
      </c>
      <c r="F46" s="14">
        <v>0.51236100489947911</v>
      </c>
      <c r="G46" s="14">
        <v>2.2266120571560853E-5</v>
      </c>
      <c r="H46" s="14">
        <v>41.900197375868608</v>
      </c>
      <c r="I46" s="14">
        <v>98.963088267653887</v>
      </c>
      <c r="J46" s="14">
        <v>0</v>
      </c>
      <c r="K46" s="14">
        <v>1.9517488459063967</v>
      </c>
      <c r="L46" s="14">
        <v>0.51236100489947911</v>
      </c>
      <c r="M46" s="14">
        <v>0.42039220452002257</v>
      </c>
      <c r="N46" s="14">
        <v>6.4918840896747412</v>
      </c>
      <c r="O46" s="14">
        <v>834.59661856858474</v>
      </c>
      <c r="P46" s="8">
        <v>6.4918840896747412</v>
      </c>
      <c r="Q46" s="54">
        <v>0.2036447599246167</v>
      </c>
    </row>
    <row r="47" spans="1:17">
      <c r="A47" s="2" t="s">
        <v>381</v>
      </c>
      <c r="B47" s="16" t="s">
        <v>382</v>
      </c>
      <c r="D47" s="14">
        <v>1</v>
      </c>
      <c r="E47" s="14">
        <v>0.90256795610367058</v>
      </c>
      <c r="F47" s="14">
        <v>6.5826236878754917E-4</v>
      </c>
      <c r="G47" s="14">
        <v>4.6895105362843721E-10</v>
      </c>
      <c r="H47" s="14">
        <v>69.103338322687563</v>
      </c>
      <c r="I47" s="14">
        <v>1733.629143027257</v>
      </c>
      <c r="J47" s="14">
        <v>0</v>
      </c>
      <c r="K47" s="14">
        <v>1519.1510975204249</v>
      </c>
      <c r="L47" s="14">
        <v>6.5826236878754917E-4</v>
      </c>
      <c r="M47" s="14">
        <v>5.4010427359018405E-4</v>
      </c>
      <c r="N47" s="14">
        <v>109.09654248425457</v>
      </c>
      <c r="O47" s="14">
        <v>42688.386108663974</v>
      </c>
      <c r="P47" s="8">
        <v>109.09654248425457</v>
      </c>
      <c r="Q47" s="54">
        <v>5.5456977876483904E-2</v>
      </c>
    </row>
    <row r="48" spans="1:17">
      <c r="A48" s="2" t="s">
        <v>383</v>
      </c>
      <c r="B48" s="16" t="s">
        <v>384</v>
      </c>
      <c r="D48" s="14">
        <v>1</v>
      </c>
      <c r="E48" s="14">
        <v>0.91149528423080506</v>
      </c>
      <c r="F48" s="14">
        <v>0.90663563646807299</v>
      </c>
      <c r="G48" s="14">
        <v>1.3078600477640066E-4</v>
      </c>
      <c r="H48" s="14">
        <v>1.7862111069645823</v>
      </c>
      <c r="I48" s="14">
        <v>5.5512393926185597</v>
      </c>
      <c r="J48" s="14">
        <v>0</v>
      </c>
      <c r="K48" s="14">
        <v>1.1029789253548878</v>
      </c>
      <c r="L48" s="14">
        <v>0.90663563646807299</v>
      </c>
      <c r="M48" s="14">
        <v>0.74389453972205388</v>
      </c>
      <c r="N48" s="14">
        <v>1.1365733682154295</v>
      </c>
      <c r="O48" s="14">
        <v>105.84907778190295</v>
      </c>
      <c r="P48" s="8">
        <v>1.1365733682154295</v>
      </c>
      <c r="Q48" s="54">
        <v>5.1688027170743986E-2</v>
      </c>
    </row>
    <row r="49" spans="1:17">
      <c r="A49" s="2" t="s">
        <v>385</v>
      </c>
      <c r="B49" s="16" t="s">
        <v>386</v>
      </c>
      <c r="D49" s="14">
        <v>1</v>
      </c>
      <c r="E49" s="14">
        <v>0.87661550181181802</v>
      </c>
      <c r="F49" s="14">
        <v>0.86519006882486182</v>
      </c>
      <c r="G49" s="14">
        <v>2.4419682519951442E-4</v>
      </c>
      <c r="H49" s="14">
        <v>3.1850153204220755</v>
      </c>
      <c r="I49" s="14">
        <v>9.4529790733945855</v>
      </c>
      <c r="J49" s="14">
        <v>0</v>
      </c>
      <c r="K49" s="14">
        <v>1.1558153936721012</v>
      </c>
      <c r="L49" s="14">
        <v>0.86519006882486182</v>
      </c>
      <c r="M49" s="14">
        <v>0.70988845147079915</v>
      </c>
      <c r="N49" s="14">
        <v>1.3365170669221023</v>
      </c>
      <c r="O49" s="14">
        <v>148.51377647638401</v>
      </c>
      <c r="P49" s="8">
        <v>1.3365170669221023</v>
      </c>
      <c r="Q49" s="54">
        <v>6.8323278283328293E-2</v>
      </c>
    </row>
    <row r="50" spans="1:17">
      <c r="A50" s="2" t="s">
        <v>387</v>
      </c>
      <c r="B50" s="16" t="s">
        <v>388</v>
      </c>
      <c r="D50" s="14">
        <v>1</v>
      </c>
      <c r="E50" s="14">
        <v>0.74879422790621741</v>
      </c>
      <c r="F50" s="14">
        <v>7.553179177860872E-2</v>
      </c>
      <c r="G50" s="14">
        <v>7.3113617929462186E-5</v>
      </c>
      <c r="H50" s="14">
        <v>159.42990496961491</v>
      </c>
      <c r="I50" s="14">
        <v>296.3650305778562</v>
      </c>
      <c r="J50" s="14">
        <v>0</v>
      </c>
      <c r="K50" s="14">
        <v>13.239458199682332</v>
      </c>
      <c r="L50" s="14">
        <v>7.5531791778608734E-2</v>
      </c>
      <c r="M50" s="14">
        <v>6.1973835154348463E-2</v>
      </c>
      <c r="N50" s="14">
        <v>18.324710069119877</v>
      </c>
      <c r="O50" s="14">
        <v>3618.2140031477197</v>
      </c>
      <c r="P50" s="8">
        <v>18.324710069119881</v>
      </c>
      <c r="Q50" s="54">
        <v>0.16339055877255651</v>
      </c>
    </row>
    <row r="51" spans="1:17">
      <c r="A51" s="2" t="s">
        <v>295</v>
      </c>
      <c r="B51" s="16" t="s">
        <v>296</v>
      </c>
      <c r="D51" s="14">
        <v>1</v>
      </c>
      <c r="E51" s="14">
        <v>0.90475172787075075</v>
      </c>
      <c r="F51" s="14">
        <v>0.90688514285985433</v>
      </c>
      <c r="G51" s="14">
        <v>7.2828400992789742E-4</v>
      </c>
      <c r="H51" s="14">
        <v>0.28792030061048801</v>
      </c>
      <c r="I51" s="14">
        <v>1.0235980688243949</v>
      </c>
      <c r="J51" s="14">
        <v>0</v>
      </c>
      <c r="K51" s="14">
        <v>1.102675468744045</v>
      </c>
      <c r="L51" s="14">
        <v>0.90688514285985433</v>
      </c>
      <c r="M51" s="14">
        <v>0.74409925971651047</v>
      </c>
      <c r="N51" s="14">
        <v>0.86312208795920664</v>
      </c>
      <c r="O51" s="14">
        <v>50.130130868670719</v>
      </c>
      <c r="P51" s="8">
        <v>0.86312208795920664</v>
      </c>
      <c r="Q51" s="54">
        <v>1.9967765046811418E-2</v>
      </c>
    </row>
    <row r="52" spans="1:17">
      <c r="A52" s="2" t="s">
        <v>389</v>
      </c>
      <c r="B52" s="16" t="s">
        <v>390</v>
      </c>
      <c r="D52" s="14">
        <v>1</v>
      </c>
      <c r="E52" s="14">
        <v>0.7658365806423737</v>
      </c>
      <c r="F52" s="14">
        <v>0.72522521016314179</v>
      </c>
      <c r="G52" s="14">
        <v>7.6588114916020127E-4</v>
      </c>
      <c r="H52" s="14">
        <v>9.557248813040264</v>
      </c>
      <c r="I52" s="14">
        <v>25.822011091397783</v>
      </c>
      <c r="J52" s="14">
        <v>0</v>
      </c>
      <c r="K52" s="14">
        <v>1.3788820162154136</v>
      </c>
      <c r="L52" s="14">
        <v>0.72522521016314179</v>
      </c>
      <c r="M52" s="14">
        <v>0.59504728493885783</v>
      </c>
      <c r="N52" s="14">
        <v>2.2085195625896539</v>
      </c>
      <c r="O52" s="14">
        <v>236.64287113148146</v>
      </c>
      <c r="P52" s="8">
        <v>2.2085195625896543</v>
      </c>
      <c r="Q52" s="54">
        <v>0.11132432315625072</v>
      </c>
    </row>
    <row r="53" spans="1:17">
      <c r="A53" s="2" t="s">
        <v>391</v>
      </c>
      <c r="B53" s="16" t="s">
        <v>392</v>
      </c>
      <c r="D53" s="14">
        <v>1</v>
      </c>
      <c r="E53" s="14">
        <v>0.6659148708361855</v>
      </c>
      <c r="F53" s="14">
        <v>0.38000327680350676</v>
      </c>
      <c r="G53" s="14">
        <v>2.1860285482465034E-5</v>
      </c>
      <c r="H53" s="14">
        <v>65.800219384050862</v>
      </c>
      <c r="I53" s="14">
        <v>147.05659717401315</v>
      </c>
      <c r="J53" s="14">
        <v>0</v>
      </c>
      <c r="K53" s="14">
        <v>2.6315562550190403</v>
      </c>
      <c r="L53" s="14">
        <v>0.38000327680350676</v>
      </c>
      <c r="M53" s="14">
        <v>0.31179268861727732</v>
      </c>
      <c r="N53" s="14">
        <v>9.3292575556219699</v>
      </c>
      <c r="O53" s="14">
        <v>1511.5263091618715</v>
      </c>
      <c r="P53" s="8">
        <v>9.3292575556219699</v>
      </c>
      <c r="Q53" s="54">
        <v>0.22329783500350878</v>
      </c>
    </row>
    <row r="54" spans="1:17">
      <c r="A54" s="2" t="s">
        <v>393</v>
      </c>
      <c r="B54" s="16" t="s">
        <v>394</v>
      </c>
      <c r="D54" s="14">
        <v>1</v>
      </c>
      <c r="E54" s="14">
        <v>0.89531229304593041</v>
      </c>
      <c r="F54" s="14">
        <v>9.1674321661982855E-4</v>
      </c>
      <c r="G54" s="14">
        <v>2.1572287161113334E-6</v>
      </c>
      <c r="H54" s="14">
        <v>82.350777741471106</v>
      </c>
      <c r="I54" s="14">
        <v>1591.2003875144062</v>
      </c>
      <c r="J54" s="14">
        <v>0</v>
      </c>
      <c r="K54" s="14">
        <v>1090.8179977454886</v>
      </c>
      <c r="L54" s="14">
        <v>9.1674321661982855E-4</v>
      </c>
      <c r="M54" s="14">
        <v>7.5218780923656933E-4</v>
      </c>
      <c r="N54" s="14">
        <v>99.994869842400391</v>
      </c>
      <c r="O54" s="14">
        <v>23337.802672517824</v>
      </c>
      <c r="P54" s="8">
        <v>99.994869842400391</v>
      </c>
      <c r="Q54" s="54">
        <v>6.1083635349386302E-2</v>
      </c>
    </row>
    <row r="55" spans="1:17">
      <c r="A55" s="2" t="s">
        <v>395</v>
      </c>
      <c r="B55" s="16" t="s">
        <v>396</v>
      </c>
      <c r="D55" s="14">
        <v>1</v>
      </c>
      <c r="E55" s="14">
        <v>0.60164704121526691</v>
      </c>
      <c r="F55" s="14">
        <v>0.13671285382221215</v>
      </c>
      <c r="G55" s="14">
        <v>1.476854928996904E-3</v>
      </c>
      <c r="H55" s="14">
        <v>108.82015724061397</v>
      </c>
      <c r="I55" s="14">
        <v>217.35344091320815</v>
      </c>
      <c r="J55" s="14">
        <v>0</v>
      </c>
      <c r="K55" s="14">
        <v>7.3146011661818351</v>
      </c>
      <c r="L55" s="14">
        <v>0.13671285382221218</v>
      </c>
      <c r="M55" s="14">
        <v>0.11217289656112509</v>
      </c>
      <c r="N55" s="14">
        <v>13.472722494564763</v>
      </c>
      <c r="O55" s="14">
        <v>1726.7988421283655</v>
      </c>
      <c r="P55" s="8">
        <v>13.472722494564763</v>
      </c>
      <c r="Q55" s="54">
        <v>0.17789613796739659</v>
      </c>
    </row>
    <row r="56" spans="1:17">
      <c r="A56" s="2" t="s">
        <v>397</v>
      </c>
      <c r="B56" s="16" t="s">
        <v>398</v>
      </c>
      <c r="D56" s="14">
        <v>1</v>
      </c>
      <c r="E56" s="14">
        <v>0.31873998873699394</v>
      </c>
      <c r="F56" s="14">
        <v>1.6172948344584784E-2</v>
      </c>
      <c r="G56" s="14">
        <v>6.705909485199368E-3</v>
      </c>
      <c r="H56" s="14">
        <v>72.281840008243847</v>
      </c>
      <c r="I56" s="14">
        <v>127.14121876113298</v>
      </c>
      <c r="J56" s="14">
        <v>0</v>
      </c>
      <c r="K56" s="14">
        <v>61.83164496007506</v>
      </c>
      <c r="L56" s="14">
        <v>1.6172948344584784E-2</v>
      </c>
      <c r="M56" s="14">
        <v>1.3269904116731816E-2</v>
      </c>
      <c r="N56" s="14">
        <v>7.8644354009539059</v>
      </c>
      <c r="O56" s="14">
        <v>1427.0018035030862</v>
      </c>
      <c r="P56" s="8">
        <v>7.8644354009539059</v>
      </c>
      <c r="Q56" s="54">
        <v>5.1723317231277523E-2</v>
      </c>
    </row>
    <row r="57" spans="1:17">
      <c r="A57" s="2" t="s">
        <v>399</v>
      </c>
      <c r="B57" s="16" t="s">
        <v>400</v>
      </c>
      <c r="D57" s="14">
        <v>1</v>
      </c>
      <c r="E57" s="14">
        <v>0.1663117944279387</v>
      </c>
      <c r="F57" s="14">
        <v>2.9234412822822357E-2</v>
      </c>
      <c r="G57" s="14">
        <v>8.5153570574576128E-3</v>
      </c>
      <c r="H57" s="14">
        <v>32.208787447184477</v>
      </c>
      <c r="I57" s="14">
        <v>62.810398120765662</v>
      </c>
      <c r="J57" s="14">
        <v>0</v>
      </c>
      <c r="K57" s="14">
        <v>34.20626253246764</v>
      </c>
      <c r="L57" s="14">
        <v>2.923441282282236E-2</v>
      </c>
      <c r="M57" s="14">
        <v>2.3986835721125747E-2</v>
      </c>
      <c r="N57" s="14">
        <v>3.8879356782144989</v>
      </c>
      <c r="O57" s="14">
        <v>571.52654469753134</v>
      </c>
      <c r="P57" s="8">
        <v>3.8879356782144989</v>
      </c>
      <c r="Q57" s="54">
        <v>4.5064187599000195E-2</v>
      </c>
    </row>
    <row r="58" spans="1:17">
      <c r="A58" s="2" t="s">
        <v>297</v>
      </c>
      <c r="B58" s="16" t="s">
        <v>298</v>
      </c>
      <c r="D58" s="14">
        <v>1</v>
      </c>
      <c r="E58" s="14">
        <v>6.0463764980342921E-2</v>
      </c>
      <c r="F58" s="14">
        <v>5.9396544900717635E-2</v>
      </c>
      <c r="G58" s="14">
        <v>1.0351175465212512E-2</v>
      </c>
      <c r="H58" s="14">
        <v>0.28077677588136563</v>
      </c>
      <c r="I58" s="14">
        <v>0.81812253159275705</v>
      </c>
      <c r="J58" s="14">
        <v>0</v>
      </c>
      <c r="K58" s="14">
        <v>16.835996128588242</v>
      </c>
      <c r="L58" s="14">
        <v>5.9396544900717642E-2</v>
      </c>
      <c r="M58" s="14">
        <v>4.8734865091038825E-2</v>
      </c>
      <c r="N58" s="14">
        <v>0.10202026119823347</v>
      </c>
      <c r="O58" s="14">
        <v>8.6645807835659685</v>
      </c>
      <c r="P58" s="8">
        <v>0.10202026119823347</v>
      </c>
      <c r="Q58" s="54">
        <v>5.3434082119252647E-3</v>
      </c>
    </row>
    <row r="59" spans="1:17">
      <c r="A59" s="2" t="s">
        <v>401</v>
      </c>
      <c r="B59" s="16" t="s">
        <v>402</v>
      </c>
      <c r="D59" s="14">
        <v>1</v>
      </c>
      <c r="E59" s="14">
        <v>6.4395739842666763E-2</v>
      </c>
      <c r="F59" s="14">
        <v>1.2027735270765809E-2</v>
      </c>
      <c r="G59" s="14">
        <v>1.0099790107887086E-2</v>
      </c>
      <c r="H59" s="14">
        <v>12.293735379028055</v>
      </c>
      <c r="I59" s="14">
        <v>24.106881414495273</v>
      </c>
      <c r="J59" s="14">
        <v>0</v>
      </c>
      <c r="K59" s="14">
        <v>83.141171424895333</v>
      </c>
      <c r="L59" s="14">
        <v>1.2027735270765809E-2</v>
      </c>
      <c r="M59" s="14">
        <v>9.8687567896633462E-3</v>
      </c>
      <c r="N59" s="14">
        <v>1.4925914570961671</v>
      </c>
      <c r="O59" s="14">
        <v>247.51644133025744</v>
      </c>
      <c r="P59" s="8">
        <v>1.4925914570961674</v>
      </c>
      <c r="Q59" s="54">
        <v>1.7829576659364108E-2</v>
      </c>
    </row>
    <row r="60" spans="1:17">
      <c r="A60" s="2" t="s">
        <v>299</v>
      </c>
      <c r="B60" s="16" t="s">
        <v>300</v>
      </c>
      <c r="D60" s="14">
        <v>1</v>
      </c>
      <c r="E60" s="14">
        <v>1.3154928845579938E-3</v>
      </c>
      <c r="F60" s="14">
        <v>4.4952762829311981E-4</v>
      </c>
      <c r="G60" s="14">
        <v>1.1089318996879326E-2</v>
      </c>
      <c r="H60" s="14">
        <v>0.20131511752007961</v>
      </c>
      <c r="I60" s="14">
        <v>0.4195015402325365</v>
      </c>
      <c r="J60" s="14">
        <v>0</v>
      </c>
      <c r="K60" s="14">
        <v>2224.5573732521243</v>
      </c>
      <c r="L60" s="14">
        <v>4.4952762829311986E-4</v>
      </c>
      <c r="M60" s="14">
        <v>3.6883741901450485E-4</v>
      </c>
      <c r="N60" s="14">
        <v>2.612359207608948E-2</v>
      </c>
      <c r="O60" s="14">
        <v>2.1457918531299898</v>
      </c>
      <c r="P60" s="8">
        <v>2.6123592076089483E-2</v>
      </c>
      <c r="Q60" s="54">
        <v>4.3344456305300782E-4</v>
      </c>
    </row>
    <row r="61" spans="1:17">
      <c r="A61" s="2" t="s">
        <v>403</v>
      </c>
      <c r="B61" s="16" t="s">
        <v>404</v>
      </c>
      <c r="D61" s="14">
        <v>1</v>
      </c>
      <c r="E61" s="14">
        <v>0.66365319195595984</v>
      </c>
      <c r="F61" s="14">
        <v>0.28489395107431648</v>
      </c>
      <c r="G61" s="14">
        <v>4.9651424851181631E-46</v>
      </c>
      <c r="H61" s="14">
        <v>87.680542516056988</v>
      </c>
      <c r="I61" s="14">
        <v>187.82802808425421</v>
      </c>
      <c r="J61" s="14">
        <v>0</v>
      </c>
      <c r="K61" s="14">
        <v>3.510078035104168</v>
      </c>
      <c r="L61" s="14">
        <v>0.28489395107431653</v>
      </c>
      <c r="M61" s="14">
        <v>0.23375548685647671</v>
      </c>
      <c r="N61" s="14">
        <v>11.757883781719309</v>
      </c>
      <c r="O61" s="14">
        <v>14140.148614733456</v>
      </c>
      <c r="P61" s="8">
        <v>11.757883781719309</v>
      </c>
      <c r="Q61" s="54">
        <v>0.22592297541235468</v>
      </c>
    </row>
    <row r="62" spans="1:17">
      <c r="A62" s="2" t="s">
        <v>405</v>
      </c>
      <c r="B62" s="16" t="s">
        <v>406</v>
      </c>
      <c r="D62" s="14">
        <v>1</v>
      </c>
      <c r="E62" s="14">
        <v>0.87544581048273973</v>
      </c>
      <c r="F62" s="14">
        <v>3.8930111634269287E-3</v>
      </c>
      <c r="G62" s="14">
        <v>1.1925432450629615E-9</v>
      </c>
      <c r="H62" s="14">
        <v>159.05438585319916</v>
      </c>
      <c r="I62" s="14">
        <v>820.92374907404337</v>
      </c>
      <c r="J62" s="14">
        <v>0</v>
      </c>
      <c r="K62" s="14">
        <v>256.87057088213504</v>
      </c>
      <c r="L62" s="14">
        <v>3.8930111634269291E-3</v>
      </c>
      <c r="M62" s="14">
        <v>3.1942156595917951E-3</v>
      </c>
      <c r="N62" s="14">
        <v>51.233903651689779</v>
      </c>
      <c r="O62" s="14">
        <v>16336.442518377804</v>
      </c>
      <c r="P62" s="8">
        <v>51.233903651689786</v>
      </c>
      <c r="Q62" s="54">
        <v>7.9232401582063822E-2</v>
      </c>
    </row>
    <row r="63" spans="1:17">
      <c r="A63" s="2" t="s">
        <v>407</v>
      </c>
      <c r="B63" s="16" t="s">
        <v>408</v>
      </c>
      <c r="D63" s="14">
        <v>1</v>
      </c>
      <c r="E63" s="14">
        <v>0.91529455933197001</v>
      </c>
      <c r="F63" s="14">
        <v>3.6089618737227929E-4</v>
      </c>
      <c r="G63" s="14">
        <v>2.8971486681282519E-7</v>
      </c>
      <c r="H63" s="14">
        <v>49.549844289491354</v>
      </c>
      <c r="I63" s="14">
        <v>1948.9444681951268</v>
      </c>
      <c r="J63" s="14">
        <v>0</v>
      </c>
      <c r="K63" s="14">
        <v>2770.8799233405553</v>
      </c>
      <c r="L63" s="14">
        <v>3.6089618737227935E-4</v>
      </c>
      <c r="M63" s="14">
        <v>2.961153217389552E-4</v>
      </c>
      <c r="N63" s="14">
        <v>122.94071030480971</v>
      </c>
      <c r="O63" s="14">
        <v>59723.367658973519</v>
      </c>
      <c r="P63" s="8">
        <v>122.94071030480973</v>
      </c>
      <c r="Q63" s="54">
        <v>4.5540675148956905E-2</v>
      </c>
    </row>
    <row r="64" spans="1:17">
      <c r="A64" s="2" t="s">
        <v>409</v>
      </c>
      <c r="B64" s="16" t="s">
        <v>410</v>
      </c>
      <c r="D64" s="14">
        <v>1</v>
      </c>
      <c r="E64" s="14">
        <v>0.93473487726893845</v>
      </c>
      <c r="F64" s="14">
        <v>1.2564204621081881E-4</v>
      </c>
      <c r="G64" s="14">
        <v>3.6039892625561614E-8</v>
      </c>
      <c r="H64" s="14">
        <v>26.825943201334653</v>
      </c>
      <c r="I64" s="14">
        <v>2211.1192801739599</v>
      </c>
      <c r="J64" s="14">
        <v>0</v>
      </c>
      <c r="K64" s="14">
        <v>7959.1190223220974</v>
      </c>
      <c r="L64" s="14">
        <v>1.2564204621081881E-4</v>
      </c>
      <c r="M64" s="14">
        <v>1.0308929891597684E-4</v>
      </c>
      <c r="N64" s="14">
        <v>140.03407988002235</v>
      </c>
      <c r="O64" s="14">
        <v>79075.844567449822</v>
      </c>
      <c r="P64" s="8">
        <v>140.03407988002235</v>
      </c>
      <c r="Q64" s="54">
        <v>3.0818547871327609E-2</v>
      </c>
    </row>
    <row r="65" spans="1:17">
      <c r="A65" s="2" t="s">
        <v>301</v>
      </c>
      <c r="B65" s="16" t="s">
        <v>302</v>
      </c>
      <c r="D65" s="14">
        <v>1</v>
      </c>
      <c r="E65" s="14">
        <v>0.95133548316972905</v>
      </c>
      <c r="F65" s="14">
        <v>3.5402819646565109E-5</v>
      </c>
      <c r="G65" s="14">
        <v>4.4685471044555676E-9</v>
      </c>
      <c r="H65" s="14">
        <v>12.48929295216279</v>
      </c>
      <c r="I65" s="14">
        <v>2387.7839211619607</v>
      </c>
      <c r="J65" s="14">
        <v>0</v>
      </c>
      <c r="K65" s="14">
        <v>28246.337720646021</v>
      </c>
      <c r="L65" s="14">
        <v>3.5402819646565109E-5</v>
      </c>
      <c r="M65" s="14">
        <v>2.9048013520006672E-5</v>
      </c>
      <c r="N65" s="14">
        <v>151.91326045212517</v>
      </c>
      <c r="O65" s="14">
        <v>97768.336161778716</v>
      </c>
      <c r="P65" s="8">
        <v>151.91326045212517</v>
      </c>
      <c r="Q65" s="54">
        <v>1.8492474283470429E-2</v>
      </c>
    </row>
    <row r="66" spans="1:17">
      <c r="A66" s="2" t="s">
        <v>303</v>
      </c>
      <c r="B66" s="16" t="s">
        <v>304</v>
      </c>
      <c r="D66" s="14">
        <v>1</v>
      </c>
      <c r="E66" s="14">
        <v>0.94268338115769157</v>
      </c>
      <c r="F66" s="14">
        <v>7.3263355164591157E-5</v>
      </c>
      <c r="G66" s="14">
        <v>4.3056159712729626E-15</v>
      </c>
      <c r="H66" s="14">
        <v>19.422574846369582</v>
      </c>
      <c r="I66" s="14">
        <v>2300.7210949287473</v>
      </c>
      <c r="J66" s="14">
        <v>0</v>
      </c>
      <c r="K66" s="14">
        <v>13649.38853473788</v>
      </c>
      <c r="L66" s="14">
        <v>7.3263355164591171E-5</v>
      </c>
      <c r="M66" s="14">
        <v>6.0112582912547051E-5</v>
      </c>
      <c r="N66" s="14">
        <v>145.99447631920503</v>
      </c>
      <c r="O66" s="14">
        <v>94211.69551354619</v>
      </c>
      <c r="P66" s="8">
        <v>145.99447631920503</v>
      </c>
      <c r="Q66" s="54">
        <v>2.4892239706131664E-2</v>
      </c>
    </row>
    <row r="67" spans="1:17">
      <c r="A67" s="2" t="s">
        <v>411</v>
      </c>
      <c r="B67" s="16" t="s">
        <v>412</v>
      </c>
      <c r="D67" s="14">
        <v>1</v>
      </c>
      <c r="E67" s="14">
        <v>0.84463826959016419</v>
      </c>
      <c r="F67" s="14">
        <v>0.81487975183061567</v>
      </c>
      <c r="G67" s="14">
        <v>5.1739474599099801E-5</v>
      </c>
      <c r="H67" s="14">
        <v>7.1976964410571203</v>
      </c>
      <c r="I67" s="14">
        <v>20.028604804920036</v>
      </c>
      <c r="J67" s="14">
        <v>0</v>
      </c>
      <c r="K67" s="14">
        <v>1.2271749270410932</v>
      </c>
      <c r="L67" s="14">
        <v>0.81487975183061578</v>
      </c>
      <c r="M67" s="14">
        <v>0.66860883637702018</v>
      </c>
      <c r="N67" s="14">
        <v>1.9347046215691188</v>
      </c>
      <c r="O67" s="14">
        <v>580.60485693289263</v>
      </c>
      <c r="P67" s="8">
        <v>1.934704621569119</v>
      </c>
      <c r="Q67" s="54">
        <v>0.1015431653580056</v>
      </c>
    </row>
    <row r="68" spans="1:17">
      <c r="A68" s="2" t="s">
        <v>413</v>
      </c>
      <c r="B68" s="16" t="s">
        <v>414</v>
      </c>
      <c r="D68" s="14">
        <v>1</v>
      </c>
      <c r="E68" s="14">
        <v>0.79712103488609454</v>
      </c>
      <c r="F68" s="14">
        <v>0.74309918781485107</v>
      </c>
      <c r="G68" s="14">
        <v>1.1100314262266161E-4</v>
      </c>
      <c r="H68" s="14">
        <v>12.574965048659818</v>
      </c>
      <c r="I68" s="14">
        <v>33.355231362674061</v>
      </c>
      <c r="J68" s="14">
        <v>0</v>
      </c>
      <c r="K68" s="14">
        <v>1.3457153720495758</v>
      </c>
      <c r="L68" s="14">
        <v>0.74309918781485107</v>
      </c>
      <c r="M68" s="14">
        <v>0.60971288360208531</v>
      </c>
      <c r="N68" s="14">
        <v>2.6830562052113982</v>
      </c>
      <c r="O68" s="14">
        <v>880.44489374012028</v>
      </c>
      <c r="P68" s="8">
        <v>2.6830562052113982</v>
      </c>
      <c r="Q68" s="54">
        <v>0.12994631172616702</v>
      </c>
    </row>
    <row r="69" spans="1:17">
      <c r="A69" s="2" t="s">
        <v>415</v>
      </c>
      <c r="B69" s="16" t="s">
        <v>416</v>
      </c>
      <c r="D69" s="14">
        <v>1</v>
      </c>
      <c r="E69" s="14">
        <v>0.88569032193269726</v>
      </c>
      <c r="F69" s="14">
        <v>1.4167282496112602E-3</v>
      </c>
      <c r="G69" s="14">
        <v>1.3849530196599128E-5</v>
      </c>
      <c r="H69" s="14">
        <v>102.49591429549235</v>
      </c>
      <c r="I69" s="14">
        <v>1378.0460310506157</v>
      </c>
      <c r="J69" s="14">
        <v>0</v>
      </c>
      <c r="K69" s="14">
        <v>705.85166934759184</v>
      </c>
      <c r="L69" s="14">
        <v>1.4167282496112604E-3</v>
      </c>
      <c r="M69" s="14">
        <v>1.162425528806039E-3</v>
      </c>
      <c r="N69" s="14">
        <v>86.43395608492456</v>
      </c>
      <c r="O69" s="14">
        <v>40112.270339891787</v>
      </c>
      <c r="P69" s="8">
        <v>86.43395608492456</v>
      </c>
      <c r="Q69" s="54">
        <v>6.8149664885960692E-2</v>
      </c>
    </row>
    <row r="70" spans="1:17">
      <c r="A70" s="2" t="s">
        <v>417</v>
      </c>
      <c r="B70" s="16" t="s">
        <v>418</v>
      </c>
      <c r="D70" s="14">
        <v>1</v>
      </c>
      <c r="E70" s="14">
        <v>0.83384428438780767</v>
      </c>
      <c r="F70" s="14">
        <v>2.5703760399451891E-2</v>
      </c>
      <c r="G70" s="14">
        <v>3.5393633699926489E-5</v>
      </c>
      <c r="H70" s="14">
        <v>194.22121392790635</v>
      </c>
      <c r="I70" s="14">
        <v>328.66528537881931</v>
      </c>
      <c r="J70" s="14">
        <v>0</v>
      </c>
      <c r="K70" s="14">
        <v>38.904813321451755</v>
      </c>
      <c r="L70" s="14">
        <v>2.5703760399451891E-2</v>
      </c>
      <c r="M70" s="14">
        <v>2.1089935407750275E-2</v>
      </c>
      <c r="N70" s="14">
        <v>20.347404040359887</v>
      </c>
      <c r="O70" s="14">
        <v>6390.1022388750225</v>
      </c>
      <c r="P70" s="8">
        <v>20.347404040359887</v>
      </c>
      <c r="Q70" s="54">
        <v>0.10808211510914531</v>
      </c>
    </row>
    <row r="71" spans="1:17">
      <c r="A71" s="2" t="s">
        <v>419</v>
      </c>
      <c r="B71" s="16" t="s">
        <v>420</v>
      </c>
      <c r="D71" s="14">
        <v>1</v>
      </c>
      <c r="E71" s="14">
        <v>0.79227725584703201</v>
      </c>
      <c r="F71" s="14">
        <v>0.74355829798485973</v>
      </c>
      <c r="G71" s="14">
        <v>2.7249812122889203E-4</v>
      </c>
      <c r="H71" s="14">
        <v>11.385052159697924</v>
      </c>
      <c r="I71" s="14">
        <v>30.42231055882969</v>
      </c>
      <c r="J71" s="14">
        <v>0</v>
      </c>
      <c r="K71" s="14">
        <v>1.3448844599140792</v>
      </c>
      <c r="L71" s="14">
        <v>0.74355829798485973</v>
      </c>
      <c r="M71" s="14">
        <v>0.61008958349657738</v>
      </c>
      <c r="N71" s="14">
        <v>2.5047687423102216</v>
      </c>
      <c r="O71" s="14">
        <v>536.12070160407984</v>
      </c>
      <c r="P71" s="8">
        <v>2.5047687423102216</v>
      </c>
      <c r="Q71" s="54">
        <v>0.12342189079244999</v>
      </c>
    </row>
    <row r="72" spans="1:17">
      <c r="A72" s="2" t="s">
        <v>421</v>
      </c>
      <c r="B72" s="16" t="s">
        <v>422</v>
      </c>
      <c r="D72" s="14">
        <v>1</v>
      </c>
      <c r="E72" s="14">
        <v>0.81498995268959096</v>
      </c>
      <c r="F72" s="14">
        <v>2.9696275666988771E-2</v>
      </c>
      <c r="G72" s="14">
        <v>1.4832367375198723E-4</v>
      </c>
      <c r="H72" s="14">
        <v>188.35709599331963</v>
      </c>
      <c r="I72" s="14">
        <v>322.87852221254394</v>
      </c>
      <c r="J72" s="14">
        <v>0</v>
      </c>
      <c r="K72" s="14">
        <v>33.674256368505787</v>
      </c>
      <c r="L72" s="14">
        <v>2.9696275666988771E-2</v>
      </c>
      <c r="M72" s="14">
        <v>2.4365794184764287E-2</v>
      </c>
      <c r="N72" s="14">
        <v>19.982665704047044</v>
      </c>
      <c r="O72" s="14">
        <v>8274.2223880747606</v>
      </c>
      <c r="P72" s="8">
        <v>19.982665704047047</v>
      </c>
      <c r="Q72" s="54">
        <v>0.11398275684506042</v>
      </c>
    </row>
    <row r="73" spans="1:17">
      <c r="A73" s="2" t="s">
        <v>423</v>
      </c>
      <c r="B73" s="16" t="s">
        <v>424</v>
      </c>
      <c r="D73" s="14">
        <v>1</v>
      </c>
      <c r="E73" s="14">
        <v>0.65656254894339849</v>
      </c>
      <c r="F73" s="14">
        <v>0.26215794486141941</v>
      </c>
      <c r="G73" s="14">
        <v>1.4458109563426525E-4</v>
      </c>
      <c r="H73" s="14">
        <v>91.428800865701277</v>
      </c>
      <c r="I73" s="14">
        <v>194.06186223248284</v>
      </c>
      <c r="J73" s="14">
        <v>0</v>
      </c>
      <c r="K73" s="14">
        <v>3.8144943519778312</v>
      </c>
      <c r="L73" s="14">
        <v>0.26215794486141941</v>
      </c>
      <c r="M73" s="14">
        <v>0.21510059375879462</v>
      </c>
      <c r="N73" s="14">
        <v>12.124008181375492</v>
      </c>
      <c r="O73" s="14">
        <v>5191.1365830195446</v>
      </c>
      <c r="P73" s="8">
        <v>12.124008181375492</v>
      </c>
      <c r="Q73" s="54">
        <v>0.22189125913028449</v>
      </c>
    </row>
    <row r="74" spans="1:17">
      <c r="A74" s="2" t="s">
        <v>425</v>
      </c>
      <c r="B74" s="16" t="s">
        <v>426</v>
      </c>
      <c r="D74" s="14">
        <v>1</v>
      </c>
      <c r="E74" s="14">
        <v>0.82945431477053677</v>
      </c>
      <c r="F74" s="14">
        <v>2.6822619578303401E-2</v>
      </c>
      <c r="G74" s="14">
        <v>5.4614715767596339E-5</v>
      </c>
      <c r="H74" s="14">
        <v>192.78852921040055</v>
      </c>
      <c r="I74" s="14">
        <v>327.44499820664259</v>
      </c>
      <c r="J74" s="14">
        <v>0</v>
      </c>
      <c r="K74" s="14">
        <v>37.28196632997367</v>
      </c>
      <c r="L74" s="14">
        <v>2.6822619578303401E-2</v>
      </c>
      <c r="M74" s="14">
        <v>2.200795936399794E-2</v>
      </c>
      <c r="N74" s="14">
        <v>20.269911255656041</v>
      </c>
      <c r="O74" s="14">
        <v>10706.161727012408</v>
      </c>
      <c r="P74" s="8">
        <v>20.269911255656044</v>
      </c>
      <c r="Q74" s="54">
        <v>0.10988498693334679</v>
      </c>
    </row>
    <row r="75" spans="1:17">
      <c r="A75" s="2" t="s">
        <v>427</v>
      </c>
      <c r="B75" s="16" t="s">
        <v>428</v>
      </c>
      <c r="D75" s="14">
        <v>1</v>
      </c>
      <c r="E75" s="14">
        <v>0.99913294660799379</v>
      </c>
      <c r="F75" s="14">
        <v>4.3344076182264199E-3</v>
      </c>
      <c r="G75" s="14">
        <v>6.1144615932610443E-12</v>
      </c>
      <c r="H75" s="14">
        <v>282.63747918322701</v>
      </c>
      <c r="I75" s="14">
        <v>1.0098144372638134</v>
      </c>
      <c r="J75" s="14">
        <v>0</v>
      </c>
      <c r="K75" s="14">
        <v>230.71203451077042</v>
      </c>
      <c r="L75" s="14">
        <v>4.3344076182264199E-3</v>
      </c>
      <c r="M75" s="14">
        <v>3.5563814507547776E-3</v>
      </c>
      <c r="N75" s="14">
        <v>5.5964607577588605</v>
      </c>
      <c r="O75" s="14">
        <v>3156.9075488441958</v>
      </c>
      <c r="P75" s="8">
        <v>5.5964607577588605</v>
      </c>
      <c r="Q75" s="54">
        <v>5.6395126542678549E-5</v>
      </c>
    </row>
    <row r="76" spans="1:17">
      <c r="A76" s="2" t="s">
        <v>429</v>
      </c>
      <c r="B76" s="16" t="s">
        <v>430</v>
      </c>
      <c r="D76" s="14">
        <v>1</v>
      </c>
      <c r="E76" s="14">
        <v>0.99913294714400702</v>
      </c>
      <c r="F76" s="14">
        <v>4.3344076205517361E-3</v>
      </c>
      <c r="G76" s="14">
        <v>1.5358833120338549E-13</v>
      </c>
      <c r="H76" s="14">
        <v>282.63747933485598</v>
      </c>
      <c r="I76" s="14">
        <v>1.0098144378055569</v>
      </c>
      <c r="J76" s="14">
        <v>0</v>
      </c>
      <c r="K76" s="14">
        <v>230.7120343869984</v>
      </c>
      <c r="L76" s="14">
        <v>4.3344076205517361E-3</v>
      </c>
      <c r="M76" s="14">
        <v>3.5563814526626994E-3</v>
      </c>
      <c r="N76" s="14">
        <v>5.5964607607612411</v>
      </c>
      <c r="O76" s="14">
        <v>2798.9579202795194</v>
      </c>
      <c r="P76" s="8">
        <v>5.5964607607612411</v>
      </c>
      <c r="Q76" s="54">
        <v>5.6395126572933319E-5</v>
      </c>
    </row>
    <row r="77" spans="1:17">
      <c r="A77" s="2" t="s">
        <v>431</v>
      </c>
      <c r="B77" s="16" t="s">
        <v>432</v>
      </c>
      <c r="D77" s="14">
        <v>1</v>
      </c>
      <c r="E77" s="14">
        <v>0.71010117875094425</v>
      </c>
      <c r="F77" s="14">
        <v>0.10139940710422066</v>
      </c>
      <c r="G77" s="14">
        <v>2.6359908797640377E-4</v>
      </c>
      <c r="H77" s="14">
        <v>143.45490943454578</v>
      </c>
      <c r="I77" s="14">
        <v>274.64556247598097</v>
      </c>
      <c r="J77" s="14">
        <v>0</v>
      </c>
      <c r="K77" s="14">
        <v>9.8619906028856441</v>
      </c>
      <c r="L77" s="14">
        <v>0.10139940710422066</v>
      </c>
      <c r="M77" s="14">
        <v>8.3198213529013049E-2</v>
      </c>
      <c r="N77" s="14">
        <v>16.989530412025129</v>
      </c>
      <c r="O77" s="14">
        <v>6185.2084418018685</v>
      </c>
      <c r="P77" s="8">
        <v>16.989530412025129</v>
      </c>
      <c r="Q77" s="54">
        <v>0.17806254912460978</v>
      </c>
    </row>
    <row r="78" spans="1:17">
      <c r="A78" s="2" t="s">
        <v>433</v>
      </c>
      <c r="B78" s="16" t="s">
        <v>434</v>
      </c>
      <c r="D78" s="14">
        <v>1</v>
      </c>
      <c r="E78" s="14">
        <v>0.68335713882022642</v>
      </c>
      <c r="F78" s="14">
        <v>0.52564345418695479</v>
      </c>
      <c r="G78" s="14">
        <v>3.7011760926118826E-4</v>
      </c>
      <c r="H78" s="14">
        <v>36.083716376000552</v>
      </c>
      <c r="I78" s="14">
        <v>86.331329941457341</v>
      </c>
      <c r="J78" s="14">
        <v>0</v>
      </c>
      <c r="K78" s="14">
        <v>1.9024302348571271</v>
      </c>
      <c r="L78" s="14">
        <v>0.52564345418695479</v>
      </c>
      <c r="M78" s="14">
        <v>0.43129045416039641</v>
      </c>
      <c r="N78" s="14">
        <v>5.7301317659858588</v>
      </c>
      <c r="O78" s="14">
        <v>1513.0412928085661</v>
      </c>
      <c r="P78" s="8">
        <v>5.7301317659858588</v>
      </c>
      <c r="Q78" s="54">
        <v>0.19070778908184427</v>
      </c>
    </row>
    <row r="79" spans="1:17">
      <c r="A79" s="2" t="s">
        <v>435</v>
      </c>
      <c r="B79" s="16" t="s">
        <v>436</v>
      </c>
      <c r="D79" s="14">
        <v>1</v>
      </c>
      <c r="E79" s="14">
        <v>0.6610243464132638</v>
      </c>
      <c r="F79" s="14">
        <v>0.36916165307965898</v>
      </c>
      <c r="G79" s="14">
        <v>8.6537644488721399E-5</v>
      </c>
      <c r="H79" s="14">
        <v>67.201130959076849</v>
      </c>
      <c r="I79" s="14">
        <v>149.63519461988048</v>
      </c>
      <c r="J79" s="14">
        <v>0</v>
      </c>
      <c r="K79" s="14">
        <v>2.7088404000190578</v>
      </c>
      <c r="L79" s="14">
        <v>0.36916165307965898</v>
      </c>
      <c r="M79" s="14">
        <v>0.30289713635186022</v>
      </c>
      <c r="N79" s="14">
        <v>9.4787033050363831</v>
      </c>
      <c r="O79" s="14">
        <v>3792.523979378107</v>
      </c>
      <c r="P79" s="8">
        <v>9.4787033050363831</v>
      </c>
      <c r="Q79" s="54">
        <v>0.22265566680603124</v>
      </c>
    </row>
    <row r="80" spans="1:17">
      <c r="A80" s="2" t="s">
        <v>437</v>
      </c>
      <c r="B80" s="16" t="s">
        <v>438</v>
      </c>
      <c r="D80" s="14">
        <v>1</v>
      </c>
      <c r="E80" s="14">
        <v>0.99837791302975709</v>
      </c>
      <c r="F80" s="14">
        <v>2.9366597226770201E-3</v>
      </c>
      <c r="G80" s="14">
        <v>2.1876714401369812E-12</v>
      </c>
      <c r="H80" s="14">
        <v>282.71810863138467</v>
      </c>
      <c r="I80" s="14">
        <v>1.9402846649456746</v>
      </c>
      <c r="J80" s="14">
        <v>0</v>
      </c>
      <c r="K80" s="14">
        <v>340.5229391331772</v>
      </c>
      <c r="L80" s="14">
        <v>2.9366597226770201E-3</v>
      </c>
      <c r="M80" s="14">
        <v>2.4095293024564948E-3</v>
      </c>
      <c r="N80" s="14">
        <v>10.859502759569169</v>
      </c>
      <c r="O80" s="14">
        <v>5582.6531786393189</v>
      </c>
      <c r="P80" s="8">
        <v>10.859502759569169</v>
      </c>
      <c r="Q80" s="54">
        <v>6.8685561233573162E-5</v>
      </c>
    </row>
    <row r="81" spans="1:17">
      <c r="A81" s="2" t="s">
        <v>440</v>
      </c>
      <c r="B81" s="16" t="s">
        <v>441</v>
      </c>
      <c r="D81" s="14">
        <v>1</v>
      </c>
      <c r="E81" s="14">
        <v>0.97088813991528256</v>
      </c>
      <c r="F81" s="14">
        <v>0.9734151608924293</v>
      </c>
      <c r="G81" s="14">
        <v>2.0541237016896368E-15</v>
      </c>
      <c r="H81" s="14">
        <v>0.25941680491257546</v>
      </c>
      <c r="I81" s="14">
        <v>0.93423315703116006</v>
      </c>
      <c r="J81" s="14">
        <v>0</v>
      </c>
      <c r="K81" s="14">
        <v>1.0273108948531249</v>
      </c>
      <c r="L81" s="14">
        <v>0.9734151608924293</v>
      </c>
      <c r="M81" s="14">
        <v>0.79868713951223824</v>
      </c>
      <c r="N81" s="14">
        <v>0.916535968053798</v>
      </c>
      <c r="O81" s="14">
        <v>254.11876250259601</v>
      </c>
      <c r="P81" s="8">
        <v>0.916535968053798</v>
      </c>
      <c r="Q81" s="54">
        <v>1.9563892908078549E-2</v>
      </c>
    </row>
    <row r="82" spans="1:17">
      <c r="A82" s="2" t="s">
        <v>442</v>
      </c>
      <c r="B82" s="16" t="s">
        <v>443</v>
      </c>
      <c r="D82" s="14">
        <v>1</v>
      </c>
      <c r="E82" s="14">
        <v>0.78714445166421765</v>
      </c>
      <c r="F82" s="14">
        <v>0.7194712946794305</v>
      </c>
      <c r="G82" s="14">
        <v>9.1601367856949494E-7</v>
      </c>
      <c r="H82" s="14">
        <v>15.634121085539398</v>
      </c>
      <c r="I82" s="14">
        <v>40.712769085798854</v>
      </c>
      <c r="J82" s="14">
        <v>0</v>
      </c>
      <c r="K82" s="14">
        <v>1.3899095174402509</v>
      </c>
      <c r="L82" s="14">
        <v>0.71947129467943061</v>
      </c>
      <c r="M82" s="14">
        <v>0.59032619728447278</v>
      </c>
      <c r="N82" s="14">
        <v>3.1108878228018488</v>
      </c>
      <c r="O82" s="14">
        <v>513.88755944863738</v>
      </c>
      <c r="P82" s="8">
        <v>3.1108878228018488</v>
      </c>
      <c r="Q82" s="54">
        <v>0.14332786839642525</v>
      </c>
    </row>
    <row r="83" spans="1:17">
      <c r="A83" s="2" t="s">
        <v>444</v>
      </c>
      <c r="B83" s="16" t="s">
        <v>445</v>
      </c>
      <c r="D83" s="14">
        <v>1</v>
      </c>
      <c r="E83" s="14">
        <v>0.71005766880552434</v>
      </c>
      <c r="F83" s="14">
        <v>0.1273764962752118</v>
      </c>
      <c r="G83" s="14">
        <v>5.6148451866732339E-6</v>
      </c>
      <c r="H83" s="14">
        <v>136.87032504781982</v>
      </c>
      <c r="I83" s="14">
        <v>267.40311951353283</v>
      </c>
      <c r="J83" s="14">
        <v>0</v>
      </c>
      <c r="K83" s="14">
        <v>7.8507419283961397</v>
      </c>
      <c r="L83" s="14">
        <v>0.1273764962752118</v>
      </c>
      <c r="M83" s="14">
        <v>0.10451241519381128</v>
      </c>
      <c r="N83" s="14">
        <v>16.553500947259277</v>
      </c>
      <c r="O83" s="14">
        <v>2983.6030107340121</v>
      </c>
      <c r="P83" s="8">
        <v>16.553500947259277</v>
      </c>
      <c r="Q83" s="54">
        <v>0.19380566587166476</v>
      </c>
    </row>
    <row r="84" spans="1:17">
      <c r="A84" s="2" t="s">
        <v>446</v>
      </c>
      <c r="B84" s="16" t="s">
        <v>447</v>
      </c>
      <c r="D84" s="14">
        <v>1</v>
      </c>
      <c r="E84" s="14">
        <v>0.93774190636484878</v>
      </c>
      <c r="F84" s="14">
        <v>0.93588710137445563</v>
      </c>
      <c r="G84" s="14">
        <v>6.2985698425079951E-17</v>
      </c>
      <c r="H84" s="14">
        <v>1.160949855366405</v>
      </c>
      <c r="I84" s="14">
        <v>3.733108671763901</v>
      </c>
      <c r="J84" s="14">
        <v>0</v>
      </c>
      <c r="K84" s="14">
        <v>1.0685049495087466</v>
      </c>
      <c r="L84" s="14">
        <v>0.93588710137445563</v>
      </c>
      <c r="M84" s="14">
        <v>0.76789536667774083</v>
      </c>
      <c r="N84" s="14">
        <v>1.05236644676064</v>
      </c>
      <c r="O84" s="14">
        <v>409.25478748074528</v>
      </c>
      <c r="P84" s="8">
        <v>1.05236644676064</v>
      </c>
      <c r="Q84" s="54">
        <v>4.192476457450426E-2</v>
      </c>
    </row>
    <row r="85" spans="1:17">
      <c r="A85" s="2" t="s">
        <v>448</v>
      </c>
      <c r="B85" s="16" t="s">
        <v>449</v>
      </c>
      <c r="D85" s="14">
        <v>1</v>
      </c>
      <c r="E85" s="14">
        <v>0.98778646913038304</v>
      </c>
      <c r="F85" s="14">
        <v>0.99140976196952924</v>
      </c>
      <c r="G85" s="14">
        <v>4.4306931989892636E-10</v>
      </c>
      <c r="H85" s="14">
        <v>4.7647837056099318E-2</v>
      </c>
      <c r="I85" s="14">
        <v>0.19467059741496431</v>
      </c>
      <c r="J85" s="14">
        <v>0</v>
      </c>
      <c r="K85" s="14">
        <v>1.0086646696048316</v>
      </c>
      <c r="L85" s="14">
        <v>0.99140976196952935</v>
      </c>
      <c r="M85" s="14">
        <v>0.81345170969599878</v>
      </c>
      <c r="N85" s="14">
        <v>0.88798640013186469</v>
      </c>
      <c r="O85" s="14">
        <v>159.16268235963545</v>
      </c>
      <c r="P85" s="8">
        <v>0.88798640013186481</v>
      </c>
      <c r="Q85" s="54">
        <v>8.1601917057177783E-3</v>
      </c>
    </row>
    <row r="86" spans="1:17">
      <c r="A86" s="2" t="s">
        <v>450</v>
      </c>
      <c r="B86" s="16" t="s">
        <v>451</v>
      </c>
      <c r="D86" s="14">
        <v>1</v>
      </c>
      <c r="E86" s="14">
        <v>0.93922812677165946</v>
      </c>
      <c r="F86" s="14">
        <v>0.93763383238600562</v>
      </c>
      <c r="G86" s="14">
        <v>1.5846441699666587E-10</v>
      </c>
      <c r="H86" s="14">
        <v>1.1063773328446189</v>
      </c>
      <c r="I86" s="14">
        <v>3.5707581840709275</v>
      </c>
      <c r="J86" s="14">
        <v>0</v>
      </c>
      <c r="K86" s="14">
        <v>1.0665144168862706</v>
      </c>
      <c r="L86" s="14">
        <v>0.93763383238600573</v>
      </c>
      <c r="M86" s="14">
        <v>0.76932855947271772</v>
      </c>
      <c r="N86" s="14">
        <v>1.0440910225548523</v>
      </c>
      <c r="O86" s="14">
        <v>272.60172507884636</v>
      </c>
      <c r="P86" s="8">
        <v>1.0440910225548523</v>
      </c>
      <c r="Q86" s="54">
        <v>4.0922338200785044E-2</v>
      </c>
    </row>
    <row r="87" spans="1:17">
      <c r="A87" s="2" t="s">
        <v>452</v>
      </c>
      <c r="B87" s="16" t="s">
        <v>453</v>
      </c>
      <c r="D87" s="14">
        <v>1</v>
      </c>
      <c r="E87" s="14">
        <v>0.90748162121147558</v>
      </c>
      <c r="F87" s="14">
        <v>5.2386838204759162E-4</v>
      </c>
      <c r="G87" s="14">
        <v>5.4034442523397443E-10</v>
      </c>
      <c r="H87" s="14">
        <v>61.015782812337918</v>
      </c>
      <c r="I87" s="14">
        <v>1821.7943811342077</v>
      </c>
      <c r="J87" s="14">
        <v>0</v>
      </c>
      <c r="K87" s="14">
        <v>1908.8764168041612</v>
      </c>
      <c r="L87" s="14">
        <v>5.2386838204759162E-4</v>
      </c>
      <c r="M87" s="14">
        <v>4.2983400747004892E-4</v>
      </c>
      <c r="N87" s="14">
        <v>114.75103328053252</v>
      </c>
      <c r="O87" s="14">
        <v>47770.855154685691</v>
      </c>
      <c r="P87" s="8">
        <v>114.75103328053254</v>
      </c>
      <c r="Q87" s="54">
        <v>5.1605900211319729E-2</v>
      </c>
    </row>
    <row r="88" spans="1:17">
      <c r="A88" s="2" t="s">
        <v>454</v>
      </c>
      <c r="B88" s="16" t="s">
        <v>455</v>
      </c>
      <c r="D88" s="14">
        <v>1</v>
      </c>
      <c r="E88" s="14">
        <v>0.72956179632167106</v>
      </c>
      <c r="F88" s="14">
        <v>0.60224010223838342</v>
      </c>
      <c r="G88" s="14">
        <v>4.4317796487473378E-7</v>
      </c>
      <c r="H88" s="14">
        <v>29.130616185334986</v>
      </c>
      <c r="I88" s="14">
        <v>71.516597135187027</v>
      </c>
      <c r="J88" s="14">
        <v>0</v>
      </c>
      <c r="K88" s="14">
        <v>1.6604673057859105</v>
      </c>
      <c r="L88" s="14">
        <v>0.60224010223838353</v>
      </c>
      <c r="M88" s="14">
        <v>0.49413800388659368</v>
      </c>
      <c r="N88" s="14">
        <v>4.8898500122736985</v>
      </c>
      <c r="O88" s="14">
        <v>935.28161184759028</v>
      </c>
      <c r="P88" s="8">
        <v>4.8898500122736985</v>
      </c>
      <c r="Q88" s="54">
        <v>0.18205677359534617</v>
      </c>
    </row>
    <row r="89" spans="1:17">
      <c r="A89" s="2" t="s">
        <v>456</v>
      </c>
      <c r="B89" s="16" t="s">
        <v>457</v>
      </c>
      <c r="D89" s="14">
        <v>1</v>
      </c>
      <c r="E89" s="14">
        <v>0.77627003399253636</v>
      </c>
      <c r="F89" s="14">
        <v>0.69956796556259382</v>
      </c>
      <c r="G89" s="14">
        <v>3.0204969522076327E-19</v>
      </c>
      <c r="H89" s="14">
        <v>17.662408059047127</v>
      </c>
      <c r="I89" s="14">
        <v>45.489072820895537</v>
      </c>
      <c r="J89" s="14">
        <v>0</v>
      </c>
      <c r="K89" s="14">
        <v>1.4294536760210255</v>
      </c>
      <c r="L89" s="14">
        <v>0.69956796556259393</v>
      </c>
      <c r="M89" s="14">
        <v>0.57399551574410834</v>
      </c>
      <c r="N89" s="14">
        <v>3.3848372407222094</v>
      </c>
      <c r="O89" s="14">
        <v>1328.4132234938381</v>
      </c>
      <c r="P89" s="8">
        <v>3.3848372407222094</v>
      </c>
      <c r="Q89" s="54">
        <v>0.15069785993578969</v>
      </c>
    </row>
    <row r="90" spans="1:17">
      <c r="A90" s="2" t="s">
        <v>458</v>
      </c>
      <c r="B90" s="16" t="s">
        <v>459</v>
      </c>
      <c r="D90" s="14">
        <v>1</v>
      </c>
      <c r="E90" s="14">
        <v>0.882760989702293</v>
      </c>
      <c r="F90" s="14">
        <v>0.86671674872357729</v>
      </c>
      <c r="G90" s="14">
        <v>4.6683743777790525E-31</v>
      </c>
      <c r="H90" s="14">
        <v>4.2008501418069342</v>
      </c>
      <c r="I90" s="14">
        <v>12.21783792896338</v>
      </c>
      <c r="J90" s="14">
        <v>0</v>
      </c>
      <c r="K90" s="14">
        <v>1.1537794804043076</v>
      </c>
      <c r="L90" s="14">
        <v>0.8667167487235774</v>
      </c>
      <c r="M90" s="14">
        <v>0.71114109232769529</v>
      </c>
      <c r="N90" s="14">
        <v>1.5056688954395772</v>
      </c>
      <c r="O90" s="14">
        <v>1175.8370672045835</v>
      </c>
      <c r="P90" s="8">
        <v>1.5056688954395774</v>
      </c>
      <c r="Q90" s="54">
        <v>7.8994046240333224E-2</v>
      </c>
    </row>
    <row r="91" spans="1:17">
      <c r="A91" s="2" t="s">
        <v>460</v>
      </c>
      <c r="B91" s="16" t="s">
        <v>461</v>
      </c>
      <c r="D91" s="14">
        <v>1</v>
      </c>
      <c r="E91" s="14">
        <v>0.87586723809638667</v>
      </c>
      <c r="F91" s="14">
        <v>3.3848146343779832E-3</v>
      </c>
      <c r="G91" s="14">
        <v>5.5760078654752196E-10</v>
      </c>
      <c r="H91" s="14">
        <v>150.79775985735654</v>
      </c>
      <c r="I91" s="14">
        <v>899.81258037172654</v>
      </c>
      <c r="J91" s="14">
        <v>0</v>
      </c>
      <c r="K91" s="14">
        <v>295.43715329148796</v>
      </c>
      <c r="L91" s="14">
        <v>3.3848146343779832E-3</v>
      </c>
      <c r="M91" s="14">
        <v>2.7772404075071351E-3</v>
      </c>
      <c r="N91" s="14">
        <v>56.199294677951954</v>
      </c>
      <c r="O91" s="14">
        <v>17219.463889324477</v>
      </c>
      <c r="P91" s="8">
        <v>56.199294677951961</v>
      </c>
      <c r="Q91" s="54">
        <v>7.8478747063624801E-2</v>
      </c>
    </row>
    <row r="92" spans="1:17">
      <c r="A92" s="2" t="s">
        <v>462</v>
      </c>
      <c r="B92" s="16" t="s">
        <v>463</v>
      </c>
      <c r="D92" s="14">
        <v>1</v>
      </c>
      <c r="E92" s="14">
        <v>0.68547677915727112</v>
      </c>
      <c r="F92" s="14">
        <v>0.17755400281747072</v>
      </c>
      <c r="G92" s="14">
        <v>4.9253710712731257E-11</v>
      </c>
      <c r="H92" s="14">
        <v>118.63435341065028</v>
      </c>
      <c r="I92" s="14">
        <v>240.03116795882153</v>
      </c>
      <c r="J92" s="14">
        <v>0</v>
      </c>
      <c r="K92" s="14">
        <v>5.6320893031514538</v>
      </c>
      <c r="L92" s="14">
        <v>0.17755400281747072</v>
      </c>
      <c r="M92" s="14">
        <v>0.14568305931173473</v>
      </c>
      <c r="N92" s="14">
        <v>14.8943185786468</v>
      </c>
      <c r="O92" s="14">
        <v>5016.704383659815</v>
      </c>
      <c r="P92" s="8">
        <v>14.894318578646802</v>
      </c>
      <c r="Q92" s="54">
        <v>0.21089565797099696</v>
      </c>
    </row>
    <row r="93" spans="1:17">
      <c r="A93" s="2" t="s">
        <v>464</v>
      </c>
      <c r="B93" s="16" t="s">
        <v>465</v>
      </c>
      <c r="D93" s="14">
        <v>1</v>
      </c>
      <c r="E93" s="14">
        <v>0.80702073921068385</v>
      </c>
      <c r="F93" s="14">
        <v>3.9068990551421177E-2</v>
      </c>
      <c r="G93" s="14">
        <v>2.185851620508941E-6</v>
      </c>
      <c r="H93" s="14">
        <v>183.56597706273945</v>
      </c>
      <c r="I93" s="14">
        <v>321.69874082759435</v>
      </c>
      <c r="J93" s="14">
        <v>0</v>
      </c>
      <c r="K93" s="14">
        <v>25.595747058881301</v>
      </c>
      <c r="L93" s="14">
        <v>3.9068990551421177E-2</v>
      </c>
      <c r="M93" s="14">
        <v>3.2056106747441075E-2</v>
      </c>
      <c r="N93" s="14">
        <v>19.9002830389643</v>
      </c>
      <c r="O93" s="14">
        <v>9255.4226385919064</v>
      </c>
      <c r="P93" s="8">
        <v>19.900283038964304</v>
      </c>
      <c r="Q93" s="54">
        <v>0.12824763379966034</v>
      </c>
    </row>
    <row r="94" spans="1:17">
      <c r="A94" s="2" t="s">
        <v>466</v>
      </c>
      <c r="B94" s="16" t="s">
        <v>467</v>
      </c>
      <c r="D94" s="14">
        <v>1</v>
      </c>
      <c r="E94" s="14">
        <v>0.99971236452054413</v>
      </c>
      <c r="F94" s="14">
        <v>0.89815469193638442</v>
      </c>
      <c r="G94" s="14">
        <v>2.0379220188798382E-20</v>
      </c>
      <c r="H94" s="14">
        <v>29.85596706473547</v>
      </c>
      <c r="I94" s="14">
        <v>3.6327143787353036E-2</v>
      </c>
      <c r="J94" s="14">
        <v>0</v>
      </c>
      <c r="K94" s="14">
        <v>1.1133939498150827</v>
      </c>
      <c r="L94" s="14">
        <v>0.89815469193638453</v>
      </c>
      <c r="M94" s="14">
        <v>0.73693592473380343</v>
      </c>
      <c r="N94" s="14">
        <v>0.91534053418035455</v>
      </c>
      <c r="O94" s="14">
        <v>302.73972827481043</v>
      </c>
      <c r="P94" s="8">
        <v>0.91534053418035455</v>
      </c>
      <c r="Q94" s="54">
        <v>1.0765426815270764E-4</v>
      </c>
    </row>
    <row r="95" spans="1:17">
      <c r="A95" s="2" t="s">
        <v>468</v>
      </c>
      <c r="B95" s="16" t="s">
        <v>469</v>
      </c>
      <c r="D95" s="14">
        <v>1</v>
      </c>
      <c r="E95" s="14">
        <v>0.88110472007347018</v>
      </c>
      <c r="F95" s="14">
        <v>7.9081919599707194E-3</v>
      </c>
      <c r="G95" s="14">
        <v>2.2433947041685407E-20</v>
      </c>
      <c r="H95" s="14">
        <v>198.96523658159464</v>
      </c>
      <c r="I95" s="14">
        <v>455.75807636935178</v>
      </c>
      <c r="J95" s="14">
        <v>0</v>
      </c>
      <c r="K95" s="14">
        <v>126.45115407690515</v>
      </c>
      <c r="L95" s="14">
        <v>7.9081919599707194E-3</v>
      </c>
      <c r="M95" s="14">
        <v>6.4886715031559749E-3</v>
      </c>
      <c r="N95" s="14">
        <v>28.328732319860215</v>
      </c>
      <c r="O95" s="14">
        <v>13994.393766010948</v>
      </c>
      <c r="P95" s="8">
        <v>28.328732319860219</v>
      </c>
      <c r="Q95" s="54">
        <v>7.757724874618091E-2</v>
      </c>
    </row>
    <row r="96" spans="1:17">
      <c r="A96" s="2" t="s">
        <v>470</v>
      </c>
      <c r="B96" s="166">
        <v>354656</v>
      </c>
      <c r="D96" s="14">
        <v>1</v>
      </c>
      <c r="E96" s="14">
        <v>0.96976980697534854</v>
      </c>
      <c r="F96" s="14">
        <v>0.97219713389718054</v>
      </c>
      <c r="G96" s="14">
        <v>4.095084089461731E-12</v>
      </c>
      <c r="H96" s="14">
        <v>0.27927646354852403</v>
      </c>
      <c r="I96" s="14">
        <v>1.0002107252728514</v>
      </c>
      <c r="J96" s="14">
        <v>0</v>
      </c>
      <c r="K96" s="14">
        <v>1.0285979716802578</v>
      </c>
      <c r="L96" s="14">
        <v>0.97219713389718054</v>
      </c>
      <c r="M96" s="14">
        <v>0.79768774836263667</v>
      </c>
      <c r="N96" s="14">
        <v>0.91943291658097825</v>
      </c>
      <c r="O96" s="14">
        <v>181.30297682060308</v>
      </c>
      <c r="P96" s="8">
        <v>0.91943291658097825</v>
      </c>
      <c r="Q96" s="54">
        <v>2.0318493632246443E-2</v>
      </c>
    </row>
    <row r="97" spans="1:17">
      <c r="A97" s="2" t="s">
        <v>472</v>
      </c>
      <c r="B97" s="16" t="s">
        <v>473</v>
      </c>
      <c r="D97" s="14">
        <v>1</v>
      </c>
      <c r="E97" s="14">
        <v>0.93698640085454865</v>
      </c>
      <c r="F97" s="14">
        <v>0.93499681698127979</v>
      </c>
      <c r="G97" s="14">
        <v>6.2934475931694517E-12</v>
      </c>
      <c r="H97" s="14">
        <v>1.1892143261694899</v>
      </c>
      <c r="I97" s="14">
        <v>3.8169573141948074</v>
      </c>
      <c r="J97" s="14">
        <v>0</v>
      </c>
      <c r="K97" s="14">
        <v>1.069522357550466</v>
      </c>
      <c r="L97" s="14">
        <v>0.93499681698127979</v>
      </c>
      <c r="M97" s="14">
        <v>0.76716488833314012</v>
      </c>
      <c r="N97" s="14">
        <v>1.0566514513642251</v>
      </c>
      <c r="O97" s="14">
        <v>169.2544294795216</v>
      </c>
      <c r="P97" s="8">
        <v>1.0566514513642251</v>
      </c>
      <c r="Q97" s="54">
        <v>4.2434325478698923E-2</v>
      </c>
    </row>
    <row r="98" spans="1:17">
      <c r="A98" s="2" t="s">
        <v>474</v>
      </c>
      <c r="B98" s="16" t="s">
        <v>475</v>
      </c>
      <c r="D98" s="14">
        <v>1</v>
      </c>
      <c r="E98" s="14">
        <v>0.85759042070419178</v>
      </c>
      <c r="F98" s="14">
        <v>1.8419435755114157E-2</v>
      </c>
      <c r="G98" s="14">
        <v>5.1892525804229231E-22</v>
      </c>
      <c r="H98" s="14">
        <v>202.52391877856954</v>
      </c>
      <c r="I98" s="14">
        <v>333.3753564392274</v>
      </c>
      <c r="J98" s="14">
        <v>0</v>
      </c>
      <c r="K98" s="14">
        <v>54.290479539925649</v>
      </c>
      <c r="L98" s="14">
        <v>1.8419435755114157E-2</v>
      </c>
      <c r="M98" s="14">
        <v>1.5113147037071166E-2</v>
      </c>
      <c r="N98" s="14">
        <v>20.655335144067504</v>
      </c>
      <c r="O98" s="14">
        <v>10976.864755611794</v>
      </c>
      <c r="P98" s="8">
        <v>20.655335144067507</v>
      </c>
      <c r="Q98" s="54">
        <v>9.4174536853556159E-2</v>
      </c>
    </row>
    <row r="99" spans="1:17">
      <c r="A99" s="2" t="s">
        <v>476</v>
      </c>
      <c r="B99" s="16" t="s">
        <v>477</v>
      </c>
      <c r="D99" s="14">
        <v>1</v>
      </c>
      <c r="E99" s="14">
        <v>0.99150492535814228</v>
      </c>
      <c r="F99" s="14">
        <v>0.99526396564801289</v>
      </c>
      <c r="G99" s="14">
        <v>1.9339567968941792E-9</v>
      </c>
      <c r="H99" s="14">
        <v>2.3454073422305571E-2</v>
      </c>
      <c r="I99" s="14">
        <v>0.10098932074357732</v>
      </c>
      <c r="J99" s="14">
        <v>0</v>
      </c>
      <c r="K99" s="14">
        <v>1.0047585711082221</v>
      </c>
      <c r="L99" s="14">
        <v>0.99526396564801289</v>
      </c>
      <c r="M99" s="14">
        <v>0.81661408381419465</v>
      </c>
      <c r="N99" s="14">
        <v>0.88578393607045458</v>
      </c>
      <c r="O99" s="14">
        <v>114.40785318285992</v>
      </c>
      <c r="P99" s="8">
        <v>0.88578393607045469</v>
      </c>
      <c r="Q99" s="54">
        <v>5.6503513134199103E-3</v>
      </c>
    </row>
    <row r="100" spans="1:17">
      <c r="A100" s="2" t="s">
        <v>478</v>
      </c>
      <c r="B100" s="16" t="s">
        <v>479</v>
      </c>
      <c r="D100" s="14">
        <v>1</v>
      </c>
      <c r="E100" s="14">
        <v>0.67179395824125832</v>
      </c>
      <c r="F100" s="14">
        <v>0.41149970392489416</v>
      </c>
      <c r="G100" s="14">
        <v>5.6730683332273723E-13</v>
      </c>
      <c r="H100" s="14">
        <v>59.812165601907246</v>
      </c>
      <c r="I100" s="14">
        <v>135.40874028524897</v>
      </c>
      <c r="J100" s="14">
        <v>0</v>
      </c>
      <c r="K100" s="14">
        <v>2.4301354058386329</v>
      </c>
      <c r="L100" s="14">
        <v>0.41149970392489416</v>
      </c>
      <c r="M100" s="14">
        <v>0.33763550707037565</v>
      </c>
      <c r="N100" s="14">
        <v>8.6405474449743913</v>
      </c>
      <c r="O100" s="14">
        <v>2590.4361240033227</v>
      </c>
      <c r="P100" s="8">
        <v>8.6405474449743913</v>
      </c>
      <c r="Q100" s="54">
        <v>0.22072254641913658</v>
      </c>
    </row>
    <row r="101" spans="1:17">
      <c r="A101" s="2" t="s">
        <v>480</v>
      </c>
      <c r="B101" s="16" t="s">
        <v>481</v>
      </c>
      <c r="D101" s="14">
        <v>1</v>
      </c>
      <c r="E101" s="14">
        <v>0.98586007469861481</v>
      </c>
      <c r="F101" s="14">
        <v>0.98939773710533629</v>
      </c>
      <c r="G101" s="14">
        <v>5.2033064007998242E-13</v>
      </c>
      <c r="H101" s="14">
        <v>6.339440247331303E-2</v>
      </c>
      <c r="I101" s="14">
        <v>0.25357596302053992</v>
      </c>
      <c r="J101" s="14">
        <v>0</v>
      </c>
      <c r="K101" s="14">
        <v>1.0107158754230452</v>
      </c>
      <c r="L101" s="14">
        <v>0.98939773710533641</v>
      </c>
      <c r="M101" s="14">
        <v>0.81180084329492852</v>
      </c>
      <c r="N101" s="14">
        <v>0.88973957750658994</v>
      </c>
      <c r="O101" s="14">
        <v>211.90037777896944</v>
      </c>
      <c r="P101" s="8">
        <v>0.88973957750658994</v>
      </c>
      <c r="Q101" s="54">
        <v>9.4603691567506365E-3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0.99631680595705885</v>
      </c>
      <c r="F102" s="14">
        <v>1.000191672248625</v>
      </c>
      <c r="G102" s="14">
        <v>3.2706323036642691E-29</v>
      </c>
      <c r="H102" s="14">
        <v>4.5248400752507306E-3</v>
      </c>
      <c r="I102" s="14">
        <v>2.200191107156731E-2</v>
      </c>
      <c r="J102" s="14">
        <v>0</v>
      </c>
      <c r="K102" s="14">
        <v>0.99980836448258548</v>
      </c>
      <c r="L102" s="14">
        <v>1.000191672248625</v>
      </c>
      <c r="M102" s="14">
        <v>0.82065726707999687</v>
      </c>
      <c r="N102" s="14">
        <v>0.88542356547523249</v>
      </c>
      <c r="O102" s="14">
        <v>407.67557225176131</v>
      </c>
      <c r="P102" s="8">
        <v>0.88542356547523249</v>
      </c>
      <c r="Q102" s="54">
        <v>2.4024834520479286E-3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0.99177121972988613</v>
      </c>
      <c r="F103" s="14">
        <v>0.99553845882340153</v>
      </c>
      <c r="G103" s="14">
        <v>2.608654297965812E-15</v>
      </c>
      <c r="H103" s="14">
        <v>2.2038804986145053E-2</v>
      </c>
      <c r="I103" s="14">
        <v>9.5333428680373408E-2</v>
      </c>
      <c r="J103" s="14">
        <v>0</v>
      </c>
      <c r="K103" s="14">
        <v>1.0044815357328047</v>
      </c>
      <c r="L103" s="14">
        <v>0.99553845882340164</v>
      </c>
      <c r="M103" s="14">
        <v>0.81683930546460104</v>
      </c>
      <c r="N103" s="14">
        <v>0.88568831562716899</v>
      </c>
      <c r="O103" s="14">
        <v>181.78752678247642</v>
      </c>
      <c r="P103" s="8">
        <v>0.88568831562716899</v>
      </c>
      <c r="Q103" s="54">
        <v>5.4707291363415957E-3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0.9543997264975379</v>
      </c>
      <c r="F104" s="14">
        <v>0.95511794686703189</v>
      </c>
      <c r="G104" s="14">
        <v>3.2102990725650349E-11</v>
      </c>
      <c r="H104" s="14">
        <v>0.62620568440993007</v>
      </c>
      <c r="I104" s="14">
        <v>2.1104456698539886</v>
      </c>
      <c r="J104" s="14">
        <v>0</v>
      </c>
      <c r="K104" s="14">
        <v>1.0469911106583116</v>
      </c>
      <c r="L104" s="14">
        <v>0.95511794686703189</v>
      </c>
      <c r="M104" s="14">
        <v>0.78367427540439971</v>
      </c>
      <c r="N104" s="14">
        <v>0.97129733550953845</v>
      </c>
      <c r="O104" s="14">
        <v>146.82130523562182</v>
      </c>
      <c r="P104" s="8">
        <v>0.97129733550953856</v>
      </c>
      <c r="Q104" s="54">
        <v>3.0688395065699647E-2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0.99560748389239406</v>
      </c>
      <c r="F105" s="14">
        <v>0.99946968404958003</v>
      </c>
      <c r="G105" s="14">
        <v>2.6011063738784911E-18</v>
      </c>
      <c r="H105" s="14">
        <v>6.4169643364167172E-3</v>
      </c>
      <c r="I105" s="14">
        <v>3.0407925767651015E-2</v>
      </c>
      <c r="J105" s="14">
        <v>0</v>
      </c>
      <c r="K105" s="14">
        <v>1.0005305973346497</v>
      </c>
      <c r="L105" s="14">
        <v>0.99946968404958014</v>
      </c>
      <c r="M105" s="14">
        <v>0.8200648757626805</v>
      </c>
      <c r="N105" s="14">
        <v>0.88528610930230023</v>
      </c>
      <c r="O105" s="14">
        <v>300.43069405282864</v>
      </c>
      <c r="P105" s="8">
        <v>0.88528610930230034</v>
      </c>
      <c r="Q105" s="54">
        <v>2.881288835304743E-3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0.85471425954810165</v>
      </c>
      <c r="F106" s="14">
        <v>0.82762261166988094</v>
      </c>
      <c r="G106" s="14">
        <v>1.4135814431040387E-10</v>
      </c>
      <c r="H106" s="14">
        <v>6.6144288258282122</v>
      </c>
      <c r="I106" s="14">
        <v>18.541698649369852</v>
      </c>
      <c r="J106" s="14">
        <v>0</v>
      </c>
      <c r="K106" s="14">
        <v>1.2082801821742351</v>
      </c>
      <c r="L106" s="14">
        <v>0.82762261166988105</v>
      </c>
      <c r="M106" s="14">
        <v>0.67906435287513733</v>
      </c>
      <c r="N106" s="14">
        <v>1.8554919097775628</v>
      </c>
      <c r="O106" s="14">
        <v>356.49566062556312</v>
      </c>
      <c r="P106" s="8">
        <v>1.8554919097775628</v>
      </c>
      <c r="Q106" s="54">
        <v>9.789252223205025E-2</v>
      </c>
    </row>
    <row r="107" spans="1:17">
      <c r="A107" s="2" t="s">
        <v>492</v>
      </c>
      <c r="B107" s="16" t="s">
        <v>493</v>
      </c>
      <c r="D107" s="14">
        <v>1</v>
      </c>
      <c r="E107" s="14">
        <v>0.87421191136843279</v>
      </c>
      <c r="F107" s="14">
        <v>1.369459695718322E-2</v>
      </c>
      <c r="G107" s="14">
        <v>2.4386964318179105E-18</v>
      </c>
      <c r="H107" s="14">
        <v>208.41513554385529</v>
      </c>
      <c r="I107" s="14">
        <v>334.95496981717662</v>
      </c>
      <c r="J107" s="14">
        <v>0</v>
      </c>
      <c r="K107" s="14">
        <v>73.021499144994593</v>
      </c>
      <c r="L107" s="14">
        <v>1.369459695718322E-2</v>
      </c>
      <c r="M107" s="14">
        <v>1.1236416803368832E-2</v>
      </c>
      <c r="N107" s="14">
        <v>20.769130372065714</v>
      </c>
      <c r="O107" s="14">
        <v>9441.6466671410744</v>
      </c>
      <c r="P107" s="8">
        <v>20.769130372065714</v>
      </c>
      <c r="Q107" s="54">
        <v>8.2944277006147496E-2</v>
      </c>
    </row>
    <row r="108" spans="1:17">
      <c r="A108" s="2" t="s">
        <v>291</v>
      </c>
      <c r="B108" s="16" t="s">
        <v>494</v>
      </c>
      <c r="D108" s="14">
        <v>1</v>
      </c>
      <c r="E108" s="14">
        <v>0.68534819951977999</v>
      </c>
      <c r="F108" s="14">
        <v>0.47367868924959011</v>
      </c>
      <c r="G108" s="14">
        <v>3.2665727437392079E-12</v>
      </c>
      <c r="H108" s="14">
        <v>48.513638341293344</v>
      </c>
      <c r="I108" s="14">
        <v>112.69924771672115</v>
      </c>
      <c r="J108" s="14">
        <v>0</v>
      </c>
      <c r="K108" s="14">
        <v>2.1111357185695163</v>
      </c>
      <c r="L108" s="14">
        <v>0.47367868924959011</v>
      </c>
      <c r="M108" s="14">
        <v>0.38865336452928873</v>
      </c>
      <c r="N108" s="14">
        <v>7.300397786530711</v>
      </c>
      <c r="O108" s="14">
        <v>2250.9316495210142</v>
      </c>
      <c r="P108" s="8">
        <v>7.300397786530711</v>
      </c>
      <c r="Q108" s="54">
        <v>0.21170007753487702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9.0767104308711103E-5</v>
      </c>
      <c r="E2" s="20">
        <v>0.82075495916716179</v>
      </c>
      <c r="F2" s="20">
        <v>3.6897988868666513E-2</v>
      </c>
      <c r="G2" s="20">
        <v>1.0747272257685221E-2</v>
      </c>
      <c r="H2" s="20">
        <v>0</v>
      </c>
      <c r="I2" s="20">
        <v>0.77310969804081009</v>
      </c>
      <c r="J2" s="20">
        <v>3.3641855906740598E-4</v>
      </c>
      <c r="K2" s="20">
        <v>0.17881785516946219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3.5794205928367088E-3</v>
      </c>
      <c r="E3" s="20">
        <v>0.89933732373222508</v>
      </c>
      <c r="F3" s="20">
        <v>0.24226291984821857</v>
      </c>
      <c r="G3" s="20">
        <v>0.656421054670139</v>
      </c>
      <c r="H3" s="20">
        <v>0</v>
      </c>
      <c r="I3" s="20">
        <v>6.5334921386754109E-4</v>
      </c>
      <c r="J3" s="20">
        <v>1.5218846252607537E-2</v>
      </c>
      <c r="K3" s="20">
        <v>8.1864409422330656E-2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4.4105717191360613E-12</v>
      </c>
      <c r="E4" s="20">
        <v>0.66458082067257673</v>
      </c>
      <c r="F4" s="20">
        <v>0.25117077365906187</v>
      </c>
      <c r="G4" s="20">
        <v>5.9960418954256342E-2</v>
      </c>
      <c r="H4" s="20">
        <v>0</v>
      </c>
      <c r="I4" s="20">
        <v>0.35344962805925856</v>
      </c>
      <c r="J4" s="20">
        <v>1.3954740850726022E-3</v>
      </c>
      <c r="K4" s="20">
        <v>0.33402370523793984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1.2000598143990997E-4</v>
      </c>
      <c r="E5" s="20">
        <v>0.87894935870867752</v>
      </c>
      <c r="F5" s="20">
        <v>0.67589169166438812</v>
      </c>
      <c r="G5" s="20">
        <v>0.19614293215982906</v>
      </c>
      <c r="H5" s="20">
        <v>0</v>
      </c>
      <c r="I5" s="20">
        <v>6.9147348844603301E-3</v>
      </c>
      <c r="J5" s="20">
        <v>4.4951671067765082E-3</v>
      </c>
      <c r="K5" s="20">
        <v>0.11643546820310596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1.1735295330746287E-5</v>
      </c>
      <c r="E6" s="20">
        <v>0.91936802208340629</v>
      </c>
      <c r="F6" s="20">
        <v>0.1554777468952438</v>
      </c>
      <c r="G6" s="20">
        <v>0.76359626209973597</v>
      </c>
      <c r="H6" s="20">
        <v>0</v>
      </c>
      <c r="I6" s="20">
        <v>2.9401308842648963E-4</v>
      </c>
      <c r="J6" s="20">
        <v>1.7759946239637978E-2</v>
      </c>
      <c r="K6" s="20">
        <v>6.2860296381625158E-2</v>
      </c>
      <c r="L6" s="20">
        <v>0</v>
      </c>
    </row>
    <row r="7" spans="1:14">
      <c r="A7" s="2" t="s">
        <v>321</v>
      </c>
      <c r="B7" s="3" t="s">
        <v>322</v>
      </c>
      <c r="D7" s="20">
        <v>1.7236250474360815E-5</v>
      </c>
      <c r="E7" s="20">
        <v>0.90499807288764433</v>
      </c>
      <c r="F7" s="20">
        <v>0.22862146925258894</v>
      </c>
      <c r="G7" s="20">
        <v>0.67579125388516759</v>
      </c>
      <c r="H7" s="20">
        <v>0</v>
      </c>
      <c r="I7" s="20">
        <v>5.8534974988784939E-4</v>
      </c>
      <c r="J7" s="20">
        <v>1.5675193517333715E-2</v>
      </c>
      <c r="K7" s="20">
        <v>7.930949734454748E-2</v>
      </c>
      <c r="L7" s="20">
        <v>0</v>
      </c>
    </row>
    <row r="8" spans="1:14">
      <c r="A8" s="2" t="s">
        <v>323</v>
      </c>
      <c r="B8" s="3" t="s">
        <v>324</v>
      </c>
      <c r="D8" s="20">
        <v>1.6201621765225263E-4</v>
      </c>
      <c r="E8" s="20">
        <v>0.88824691634096697</v>
      </c>
      <c r="F8" s="20">
        <v>0.34628422208257753</v>
      </c>
      <c r="G8" s="20">
        <v>0.54066500374525994</v>
      </c>
      <c r="H8" s="20">
        <v>0</v>
      </c>
      <c r="I8" s="20">
        <v>1.2976905131294959E-3</v>
      </c>
      <c r="J8" s="20">
        <v>1.2498543573206252E-2</v>
      </c>
      <c r="K8" s="20">
        <v>9.9092523868174395E-2</v>
      </c>
      <c r="L8" s="20">
        <v>0</v>
      </c>
    </row>
    <row r="9" spans="1:14">
      <c r="A9" s="2" t="s">
        <v>325</v>
      </c>
      <c r="B9" s="3" t="s">
        <v>326</v>
      </c>
      <c r="D9" s="20">
        <v>1.0137496528197692E-4</v>
      </c>
      <c r="E9" s="20">
        <v>0.77396537600983262</v>
      </c>
      <c r="F9" s="20">
        <v>0.5973170800086598</v>
      </c>
      <c r="G9" s="20">
        <v>0.1173006689235518</v>
      </c>
      <c r="H9" s="20">
        <v>0</v>
      </c>
      <c r="I9" s="20">
        <v>5.9347627077620965E-2</v>
      </c>
      <c r="J9" s="20">
        <v>2.6721186248006615E-3</v>
      </c>
      <c r="K9" s="20">
        <v>0.22326113040008475</v>
      </c>
      <c r="L9" s="20">
        <v>0</v>
      </c>
    </row>
    <row r="10" spans="1:14">
      <c r="A10" s="2" t="s">
        <v>275</v>
      </c>
      <c r="B10" s="3" t="s">
        <v>276</v>
      </c>
      <c r="D10" s="20">
        <v>1.5418064869538756E-6</v>
      </c>
      <c r="E10" s="20">
        <v>0.87810476732136522</v>
      </c>
      <c r="F10" s="20">
        <v>0.66207026537893587</v>
      </c>
      <c r="G10" s="20">
        <v>0.20960403501216118</v>
      </c>
      <c r="H10" s="20">
        <v>0</v>
      </c>
      <c r="I10" s="20">
        <v>6.4304669302681682E-3</v>
      </c>
      <c r="J10" s="20">
        <v>4.8057227973632944E-3</v>
      </c>
      <c r="K10" s="20">
        <v>0.11708796807478455</v>
      </c>
      <c r="L10" s="20">
        <v>0</v>
      </c>
    </row>
    <row r="11" spans="1:14">
      <c r="A11" s="2" t="s">
        <v>327</v>
      </c>
      <c r="B11" s="3" t="s">
        <v>328</v>
      </c>
      <c r="D11" s="20">
        <v>8.03014608723473E-5</v>
      </c>
      <c r="E11" s="20">
        <v>0.87674819666853387</v>
      </c>
      <c r="F11" s="20">
        <v>0.63767246019707979</v>
      </c>
      <c r="G11" s="20">
        <v>0.23339589666945076</v>
      </c>
      <c r="H11" s="20">
        <v>0</v>
      </c>
      <c r="I11" s="20">
        <v>5.6798398020033074E-3</v>
      </c>
      <c r="J11" s="20">
        <v>5.3550750924411883E-3</v>
      </c>
      <c r="K11" s="20">
        <v>0.11781642677815254</v>
      </c>
      <c r="L11" s="20">
        <v>0</v>
      </c>
    </row>
    <row r="12" spans="1:14">
      <c r="A12" s="2" t="s">
        <v>329</v>
      </c>
      <c r="B12" s="3" t="s">
        <v>330</v>
      </c>
      <c r="D12" s="20">
        <v>5.3042973667137914E-5</v>
      </c>
      <c r="E12" s="20">
        <v>0.80874317190929013</v>
      </c>
      <c r="F12" s="20">
        <v>0.64818962914140155</v>
      </c>
      <c r="G12" s="20">
        <v>0.12246095263481908</v>
      </c>
      <c r="H12" s="20">
        <v>0</v>
      </c>
      <c r="I12" s="20">
        <v>3.8092590133069516E-2</v>
      </c>
      <c r="J12" s="20">
        <v>2.7910456720886402E-3</v>
      </c>
      <c r="K12" s="20">
        <v>0.18841273944495415</v>
      </c>
      <c r="L12" s="20">
        <v>0</v>
      </c>
    </row>
    <row r="13" spans="1:14">
      <c r="A13" s="2" t="s">
        <v>277</v>
      </c>
      <c r="B13" s="3" t="s">
        <v>278</v>
      </c>
      <c r="D13" s="20">
        <v>1.5778512706335972E-4</v>
      </c>
      <c r="E13" s="20">
        <v>0.77729572944604997</v>
      </c>
      <c r="F13" s="20">
        <v>0.60247673189557438</v>
      </c>
      <c r="G13" s="20">
        <v>0.11787883475806089</v>
      </c>
      <c r="H13" s="20">
        <v>0</v>
      </c>
      <c r="I13" s="20">
        <v>5.6940162792414664E-2</v>
      </c>
      <c r="J13" s="20">
        <v>2.6853508847271509E-3</v>
      </c>
      <c r="K13" s="20">
        <v>0.21986113454215975</v>
      </c>
      <c r="L13" s="20">
        <v>0</v>
      </c>
    </row>
    <row r="14" spans="1:14">
      <c r="A14" s="2" t="s">
        <v>331</v>
      </c>
      <c r="B14" s="3" t="s">
        <v>332</v>
      </c>
      <c r="D14" s="20">
        <v>5.3557111945733102E-5</v>
      </c>
      <c r="E14" s="20">
        <v>0.8754451380850875</v>
      </c>
      <c r="F14" s="20">
        <v>0.55384898562485807</v>
      </c>
      <c r="G14" s="20">
        <v>0.31782416890811666</v>
      </c>
      <c r="H14" s="20">
        <v>0</v>
      </c>
      <c r="I14" s="20">
        <v>3.7719835521127917E-3</v>
      </c>
      <c r="J14" s="20">
        <v>7.3088772158555592E-3</v>
      </c>
      <c r="K14" s="20">
        <v>0.11719242758711119</v>
      </c>
      <c r="L14" s="20">
        <v>0</v>
      </c>
    </row>
    <row r="15" spans="1:14">
      <c r="A15" s="2" t="s">
        <v>333</v>
      </c>
      <c r="B15" s="3" t="s">
        <v>334</v>
      </c>
      <c r="D15" s="20">
        <v>8.7416122163560989E-8</v>
      </c>
      <c r="E15" s="20">
        <v>0.8774146799716781</v>
      </c>
      <c r="F15" s="20">
        <v>0.65007842365652979</v>
      </c>
      <c r="G15" s="20">
        <v>0.22128975463958755</v>
      </c>
      <c r="H15" s="20">
        <v>0</v>
      </c>
      <c r="I15" s="20">
        <v>6.0465016755607377E-3</v>
      </c>
      <c r="J15" s="20">
        <v>5.0754730085979752E-3</v>
      </c>
      <c r="K15" s="20">
        <v>0.1175097596036018</v>
      </c>
      <c r="L15" s="20">
        <v>0</v>
      </c>
    </row>
    <row r="16" spans="1:14">
      <c r="A16" s="2" t="s">
        <v>335</v>
      </c>
      <c r="B16" s="3" t="s">
        <v>336</v>
      </c>
      <c r="D16" s="20">
        <v>4.208659404835467E-4</v>
      </c>
      <c r="E16" s="20">
        <v>0.88736938035045065</v>
      </c>
      <c r="F16" s="20">
        <v>0.35206106290036682</v>
      </c>
      <c r="G16" s="20">
        <v>0.533965934518429</v>
      </c>
      <c r="H16" s="20">
        <v>0</v>
      </c>
      <c r="I16" s="20">
        <v>1.3423829316548937E-3</v>
      </c>
      <c r="J16" s="20">
        <v>1.2341792999109208E-2</v>
      </c>
      <c r="K16" s="20">
        <v>9.9867960709956738E-2</v>
      </c>
      <c r="L16" s="20">
        <v>0</v>
      </c>
    </row>
    <row r="17" spans="1:12">
      <c r="A17" s="2" t="s">
        <v>337</v>
      </c>
      <c r="B17" s="3" t="s">
        <v>338</v>
      </c>
      <c r="D17" s="20">
        <v>3.0824291512353802E-5</v>
      </c>
      <c r="E17" s="20">
        <v>0.87869754818361268</v>
      </c>
      <c r="F17" s="20">
        <v>0.67137832794589791</v>
      </c>
      <c r="G17" s="20">
        <v>0.20056856787437308</v>
      </c>
      <c r="H17" s="20">
        <v>0</v>
      </c>
      <c r="I17" s="20">
        <v>6.7506523633416408E-3</v>
      </c>
      <c r="J17" s="20">
        <v>4.5972469043836757E-3</v>
      </c>
      <c r="K17" s="20">
        <v>0.11667438062049133</v>
      </c>
      <c r="L17" s="20">
        <v>0</v>
      </c>
    </row>
    <row r="18" spans="1:12">
      <c r="A18" s="2" t="s">
        <v>279</v>
      </c>
      <c r="B18" s="3" t="s">
        <v>280</v>
      </c>
      <c r="D18" s="20">
        <v>3.0466228521003687E-3</v>
      </c>
      <c r="E18" s="20">
        <v>0.75650594426221129</v>
      </c>
      <c r="F18" s="20">
        <v>0.57133773692086698</v>
      </c>
      <c r="G18" s="20">
        <v>0.11407447154940081</v>
      </c>
      <c r="H18" s="20">
        <v>0</v>
      </c>
      <c r="I18" s="20">
        <v>7.1093735791943558E-2</v>
      </c>
      <c r="J18" s="20">
        <v>2.5985608780539379E-3</v>
      </c>
      <c r="K18" s="20">
        <v>0.23784887200763435</v>
      </c>
      <c r="L18" s="20">
        <v>0</v>
      </c>
    </row>
    <row r="19" spans="1:12">
      <c r="A19" s="2" t="s">
        <v>339</v>
      </c>
      <c r="B19" s="3" t="s">
        <v>340</v>
      </c>
      <c r="D19" s="20">
        <v>3.0637741312673075E-7</v>
      </c>
      <c r="E19" s="20">
        <v>0.87728749497735325</v>
      </c>
      <c r="F19" s="20">
        <v>0.64763596722677674</v>
      </c>
      <c r="G19" s="20">
        <v>0.22367967094629837</v>
      </c>
      <c r="H19" s="20">
        <v>0</v>
      </c>
      <c r="I19" s="20">
        <v>5.9718568042781851E-3</v>
      </c>
      <c r="J19" s="20">
        <v>5.1306581693730448E-3</v>
      </c>
      <c r="K19" s="20">
        <v>0.11758154047586046</v>
      </c>
      <c r="L19" s="20">
        <v>0</v>
      </c>
    </row>
    <row r="20" spans="1:12">
      <c r="A20" s="2" t="s">
        <v>281</v>
      </c>
      <c r="B20" s="3" t="s">
        <v>282</v>
      </c>
      <c r="D20" s="20">
        <v>2.3884943664996249E-5</v>
      </c>
      <c r="E20" s="20">
        <v>0.77739982591165158</v>
      </c>
      <c r="F20" s="20">
        <v>0.60255741637127869</v>
      </c>
      <c r="G20" s="20">
        <v>0.11789462124652687</v>
      </c>
      <c r="H20" s="20">
        <v>0</v>
      </c>
      <c r="I20" s="20">
        <v>5.6947788293846016E-2</v>
      </c>
      <c r="J20" s="20">
        <v>2.6857105104466945E-3</v>
      </c>
      <c r="K20" s="20">
        <v>0.21989057863423689</v>
      </c>
      <c r="L20" s="20">
        <v>0</v>
      </c>
    </row>
    <row r="21" spans="1:12">
      <c r="A21" s="2" t="s">
        <v>341</v>
      </c>
      <c r="B21" s="3" t="s">
        <v>342</v>
      </c>
      <c r="D21" s="20">
        <v>4.482257247297053E-4</v>
      </c>
      <c r="E21" s="20">
        <v>0.87504003416844423</v>
      </c>
      <c r="F21" s="20">
        <v>0.57912323950544475</v>
      </c>
      <c r="G21" s="20">
        <v>0.29165306737856284</v>
      </c>
      <c r="H21" s="20">
        <v>0</v>
      </c>
      <c r="I21" s="20">
        <v>4.2637272844366228E-3</v>
      </c>
      <c r="J21" s="20">
        <v>6.7025476888772795E-3</v>
      </c>
      <c r="K21" s="20">
        <v>0.11780919241794896</v>
      </c>
      <c r="L21" s="20">
        <v>0</v>
      </c>
    </row>
    <row r="22" spans="1:12">
      <c r="A22" s="2" t="s">
        <v>343</v>
      </c>
      <c r="B22" s="3" t="s">
        <v>344</v>
      </c>
      <c r="D22" s="20">
        <v>1.9625344489061429E-3</v>
      </c>
      <c r="E22" s="20">
        <v>0.71327575658088882</v>
      </c>
      <c r="F22" s="20">
        <v>0.12019641199745604</v>
      </c>
      <c r="G22" s="20">
        <v>3.1346355817876467E-2</v>
      </c>
      <c r="H22" s="20">
        <v>0</v>
      </c>
      <c r="I22" s="20">
        <v>0.56173298876555633</v>
      </c>
      <c r="J22" s="20">
        <v>7.7390488020752336E-4</v>
      </c>
      <c r="K22" s="20">
        <v>0.28398780408999758</v>
      </c>
      <c r="L22" s="20">
        <v>0</v>
      </c>
    </row>
    <row r="23" spans="1:12">
      <c r="A23" s="2" t="s">
        <v>345</v>
      </c>
      <c r="B23" s="3" t="s">
        <v>346</v>
      </c>
      <c r="D23" s="20">
        <v>8.3617208267901591E-5</v>
      </c>
      <c r="E23" s="20">
        <v>0.78350612856237378</v>
      </c>
      <c r="F23" s="20">
        <v>5.7302012958261636E-2</v>
      </c>
      <c r="G23" s="20">
        <v>1.6057037953696621E-2</v>
      </c>
      <c r="H23" s="20">
        <v>0</v>
      </c>
      <c r="I23" s="20">
        <v>0.71014707765041551</v>
      </c>
      <c r="J23" s="20">
        <v>4.4789436030113366E-4</v>
      </c>
      <c r="K23" s="20">
        <v>0.21596235986905729</v>
      </c>
      <c r="L23" s="20">
        <v>0</v>
      </c>
    </row>
    <row r="24" spans="1:12">
      <c r="A24" s="2" t="s">
        <v>347</v>
      </c>
      <c r="B24" s="3" t="s">
        <v>348</v>
      </c>
      <c r="D24" s="20">
        <v>7.2352168179440238E-5</v>
      </c>
      <c r="E24" s="20">
        <v>0.68656183009078964</v>
      </c>
      <c r="F24" s="20">
        <v>0.42084848203946396</v>
      </c>
      <c r="G24" s="20">
        <v>9.1795484928008347E-2</v>
      </c>
      <c r="H24" s="20">
        <v>0</v>
      </c>
      <c r="I24" s="20">
        <v>0.17391786312331739</v>
      </c>
      <c r="J24" s="20">
        <v>2.0981934630856023E-3</v>
      </c>
      <c r="K24" s="20">
        <v>0.31126762427794535</v>
      </c>
      <c r="L24" s="20">
        <v>0</v>
      </c>
    </row>
    <row r="25" spans="1:12">
      <c r="A25" s="2" t="s">
        <v>349</v>
      </c>
      <c r="B25" s="3" t="s">
        <v>350</v>
      </c>
      <c r="D25" s="20">
        <v>1.3242707216194239E-2</v>
      </c>
      <c r="E25" s="20">
        <v>0.83814816002627024</v>
      </c>
      <c r="F25" s="20">
        <v>0.69286877891836285</v>
      </c>
      <c r="G25" s="20">
        <v>0.12455080750981348</v>
      </c>
      <c r="H25" s="20">
        <v>0</v>
      </c>
      <c r="I25" s="20">
        <v>2.0728573598093939E-2</v>
      </c>
      <c r="J25" s="20">
        <v>2.8421453852132965E-3</v>
      </c>
      <c r="K25" s="20">
        <v>0.14576698737232222</v>
      </c>
      <c r="L25" s="20">
        <v>0</v>
      </c>
    </row>
    <row r="26" spans="1:12">
      <c r="A26" s="2" t="s">
        <v>351</v>
      </c>
      <c r="B26" s="3" t="s">
        <v>352</v>
      </c>
      <c r="D26" s="20">
        <v>3.5969922121194975E-4</v>
      </c>
      <c r="E26" s="20">
        <v>0.8752855879006779</v>
      </c>
      <c r="F26" s="20">
        <v>0.59568095126448373</v>
      </c>
      <c r="G26" s="20">
        <v>0.27498516677392193</v>
      </c>
      <c r="H26" s="20">
        <v>0</v>
      </c>
      <c r="I26" s="20">
        <v>4.619469862272252E-3</v>
      </c>
      <c r="J26" s="20">
        <v>6.3166976570941669E-3</v>
      </c>
      <c r="K26" s="20">
        <v>0.11803801522101612</v>
      </c>
      <c r="L26" s="20">
        <v>0</v>
      </c>
    </row>
    <row r="27" spans="1:12">
      <c r="A27" s="2" t="s">
        <v>353</v>
      </c>
      <c r="B27" s="3" t="s">
        <v>354</v>
      </c>
      <c r="D27" s="20">
        <v>2.4806826346217004E-3</v>
      </c>
      <c r="E27" s="20">
        <v>0.89832158668392492</v>
      </c>
      <c r="F27" s="20">
        <v>0.25500307729084964</v>
      </c>
      <c r="G27" s="20">
        <v>0.64260037810788584</v>
      </c>
      <c r="H27" s="20">
        <v>0</v>
      </c>
      <c r="I27" s="20">
        <v>7.181312851894723E-4</v>
      </c>
      <c r="J27" s="20">
        <v>1.4892677379945018E-2</v>
      </c>
      <c r="K27" s="20">
        <v>8.4305053301508365E-2</v>
      </c>
      <c r="L27" s="20">
        <v>0</v>
      </c>
    </row>
    <row r="28" spans="1:12">
      <c r="A28" s="2" t="s">
        <v>355</v>
      </c>
      <c r="B28" s="3" t="s">
        <v>356</v>
      </c>
      <c r="D28" s="20">
        <v>1.3513300813823613E-4</v>
      </c>
      <c r="E28" s="20">
        <v>0.87787237509215865</v>
      </c>
      <c r="F28" s="20">
        <v>0.47340807273109931</v>
      </c>
      <c r="G28" s="20">
        <v>0.40191222353047085</v>
      </c>
      <c r="H28" s="20">
        <v>0</v>
      </c>
      <c r="I28" s="20">
        <v>2.5520788305885321E-3</v>
      </c>
      <c r="J28" s="20">
        <v>9.2613657920257927E-3</v>
      </c>
      <c r="K28" s="20">
        <v>0.11273112610767726</v>
      </c>
      <c r="L28" s="20">
        <v>0</v>
      </c>
    </row>
    <row r="29" spans="1:12">
      <c r="A29" s="2" t="s">
        <v>357</v>
      </c>
      <c r="B29" s="3" t="s">
        <v>358</v>
      </c>
      <c r="D29" s="20">
        <v>2.7204938702131271E-2</v>
      </c>
      <c r="E29" s="20">
        <v>0.85161391677520315</v>
      </c>
      <c r="F29" s="20">
        <v>0.54716960757923094</v>
      </c>
      <c r="G29" s="20">
        <v>0.30061975876231278</v>
      </c>
      <c r="H29" s="20">
        <v>0</v>
      </c>
      <c r="I29" s="20">
        <v>3.8245504336594017E-3</v>
      </c>
      <c r="J29" s="20">
        <v>6.9116904539108194E-3</v>
      </c>
      <c r="K29" s="20">
        <v>0.11426945406875483</v>
      </c>
      <c r="L29" s="20">
        <v>0</v>
      </c>
    </row>
    <row r="30" spans="1:12">
      <c r="A30" s="2" t="s">
        <v>359</v>
      </c>
      <c r="B30" s="3" t="s">
        <v>360</v>
      </c>
      <c r="D30" s="20">
        <v>1.3513300813823613E-4</v>
      </c>
      <c r="E30" s="20">
        <v>0.87787237509215865</v>
      </c>
      <c r="F30" s="20">
        <v>0.47340807273109931</v>
      </c>
      <c r="G30" s="20">
        <v>0.40191222353047085</v>
      </c>
      <c r="H30" s="20">
        <v>0</v>
      </c>
      <c r="I30" s="20">
        <v>2.5520788305885321E-3</v>
      </c>
      <c r="J30" s="20">
        <v>9.2613657920257927E-3</v>
      </c>
      <c r="K30" s="20">
        <v>0.11273112610767726</v>
      </c>
      <c r="L30" s="20">
        <v>0</v>
      </c>
    </row>
    <row r="31" spans="1:12">
      <c r="A31" s="2" t="s">
        <v>283</v>
      </c>
      <c r="B31" s="3" t="s">
        <v>284</v>
      </c>
      <c r="D31" s="20">
        <v>2.6214857001286402E-8</v>
      </c>
      <c r="E31" s="20">
        <v>0.97650498791113305</v>
      </c>
      <c r="F31" s="20">
        <v>6.0037376727296648E-4</v>
      </c>
      <c r="G31" s="20">
        <v>2.4094463654323031E-4</v>
      </c>
      <c r="H31" s="20">
        <v>0</v>
      </c>
      <c r="I31" s="20">
        <v>0.97566366950731687</v>
      </c>
      <c r="J31" s="20">
        <v>1.2653658909442326E-4</v>
      </c>
      <c r="K31" s="20">
        <v>2.3368449284915584E-2</v>
      </c>
      <c r="L31" s="20">
        <v>0</v>
      </c>
    </row>
    <row r="32" spans="1:12">
      <c r="A32" s="2" t="s">
        <v>361</v>
      </c>
      <c r="B32" s="3" t="s">
        <v>362</v>
      </c>
      <c r="D32" s="20">
        <v>2.1322478639097182E-8</v>
      </c>
      <c r="E32" s="20">
        <v>0.67724849442088819</v>
      </c>
      <c r="F32" s="20">
        <v>0.19511470109895396</v>
      </c>
      <c r="G32" s="20">
        <v>4.8107042059293913E-2</v>
      </c>
      <c r="H32" s="20">
        <v>0</v>
      </c>
      <c r="I32" s="20">
        <v>0.43402675126264034</v>
      </c>
      <c r="J32" s="20">
        <v>1.1476003341567645E-3</v>
      </c>
      <c r="K32" s="20">
        <v>0.32160388392247641</v>
      </c>
      <c r="L32" s="20">
        <v>0</v>
      </c>
    </row>
    <row r="33" spans="1:12">
      <c r="A33" s="2" t="s">
        <v>364</v>
      </c>
      <c r="B33" s="3" t="s">
        <v>365</v>
      </c>
      <c r="D33" s="20">
        <v>1.2070208043295824E-10</v>
      </c>
      <c r="E33" s="20">
        <v>0.99981833419875399</v>
      </c>
      <c r="F33" s="20">
        <v>4.2017782018493911E-3</v>
      </c>
      <c r="G33" s="20">
        <v>1.2848737197106228E-6</v>
      </c>
      <c r="H33" s="20">
        <v>0</v>
      </c>
      <c r="I33" s="20">
        <v>0.99561527112318493</v>
      </c>
      <c r="J33" s="20">
        <v>1.2454766939595904E-4</v>
      </c>
      <c r="K33" s="20">
        <v>5.7118011147873963E-5</v>
      </c>
      <c r="L33" s="20">
        <v>0</v>
      </c>
    </row>
    <row r="34" spans="1:12">
      <c r="A34" s="2" t="s">
        <v>285</v>
      </c>
      <c r="B34" s="3" t="s">
        <v>286</v>
      </c>
      <c r="D34" s="20">
        <v>3.5886861450335741E-10</v>
      </c>
      <c r="E34" s="20">
        <v>0.99967315775411536</v>
      </c>
      <c r="F34" s="20">
        <v>0.45208846507979467</v>
      </c>
      <c r="G34" s="20">
        <v>3.7127690355358619E-5</v>
      </c>
      <c r="H34" s="20">
        <v>0</v>
      </c>
      <c r="I34" s="20">
        <v>0.54754756498396528</v>
      </c>
      <c r="J34" s="20">
        <v>1.3221153686499939E-4</v>
      </c>
      <c r="K34" s="20">
        <v>1.9463035015087514E-4</v>
      </c>
      <c r="L34" s="20">
        <v>0</v>
      </c>
    </row>
    <row r="35" spans="1:12">
      <c r="A35" s="2" t="s">
        <v>287</v>
      </c>
      <c r="B35" s="3" t="s">
        <v>288</v>
      </c>
      <c r="D35" s="20">
        <v>1.045337346779715E-11</v>
      </c>
      <c r="E35" s="20">
        <v>0.99939659438684103</v>
      </c>
      <c r="F35" s="20">
        <v>0.6751104565869438</v>
      </c>
      <c r="G35" s="20">
        <v>1.3073809644945726E-4</v>
      </c>
      <c r="H35" s="20">
        <v>0</v>
      </c>
      <c r="I35" s="20">
        <v>0.32415539970344781</v>
      </c>
      <c r="J35" s="20">
        <v>1.3230377636698289E-4</v>
      </c>
      <c r="K35" s="20">
        <v>4.7110182633857512E-4</v>
      </c>
      <c r="L35" s="20">
        <v>0</v>
      </c>
    </row>
    <row r="36" spans="1:12">
      <c r="A36" s="2" t="s">
        <v>366</v>
      </c>
      <c r="B36" s="3" t="s">
        <v>305</v>
      </c>
      <c r="D36" s="20">
        <v>1.8428870501564823E-8</v>
      </c>
      <c r="E36" s="20">
        <v>0.9993467143659267</v>
      </c>
      <c r="F36" s="20">
        <v>0.89096356919619857</v>
      </c>
      <c r="G36" s="20">
        <v>2.5509487292059625E-4</v>
      </c>
      <c r="H36" s="20">
        <v>0</v>
      </c>
      <c r="I36" s="20">
        <v>0.10812805029680751</v>
      </c>
      <c r="J36" s="20">
        <v>1.2674782609434988E-4</v>
      </c>
      <c r="K36" s="20">
        <v>5.2651937910844497E-4</v>
      </c>
      <c r="L36" s="20">
        <v>0</v>
      </c>
    </row>
    <row r="37" spans="1:12">
      <c r="A37" s="2" t="s">
        <v>289</v>
      </c>
      <c r="B37" s="3" t="s">
        <v>290</v>
      </c>
      <c r="D37" s="20">
        <v>4.1907951774189988E-15</v>
      </c>
      <c r="E37" s="20">
        <v>0.92864758142072756</v>
      </c>
      <c r="F37" s="20">
        <v>0.6968139824830164</v>
      </c>
      <c r="G37" s="20">
        <v>2.3789557159446716E-2</v>
      </c>
      <c r="H37" s="20">
        <v>0</v>
      </c>
      <c r="I37" s="20">
        <v>0.20804404177826441</v>
      </c>
      <c r="J37" s="20">
        <v>6.3946323726158153E-4</v>
      </c>
      <c r="K37" s="20">
        <v>7.071295534200682E-2</v>
      </c>
      <c r="L37" s="20">
        <v>0</v>
      </c>
    </row>
    <row r="38" spans="1:12">
      <c r="A38" s="2" t="s">
        <v>291</v>
      </c>
      <c r="B38" s="3" t="s">
        <v>292</v>
      </c>
      <c r="D38" s="20">
        <v>1.2079858441320038E-12</v>
      </c>
      <c r="E38" s="20">
        <v>0.99797940569652788</v>
      </c>
      <c r="F38" s="20">
        <v>0.3845096579758811</v>
      </c>
      <c r="G38" s="20">
        <v>3.2123606727306112E-4</v>
      </c>
      <c r="H38" s="20">
        <v>0</v>
      </c>
      <c r="I38" s="20">
        <v>0.6131485116533737</v>
      </c>
      <c r="J38" s="20">
        <v>1.3808586663105932E-4</v>
      </c>
      <c r="K38" s="20">
        <v>1.8825084356329685E-3</v>
      </c>
      <c r="L38" s="20">
        <v>0</v>
      </c>
    </row>
    <row r="39" spans="1:12">
      <c r="A39" s="2" t="s">
        <v>367</v>
      </c>
      <c r="B39" s="3" t="s">
        <v>368</v>
      </c>
      <c r="D39" s="20">
        <v>1.4508145663489497E-5</v>
      </c>
      <c r="E39" s="20">
        <v>0.8867268068212053</v>
      </c>
      <c r="F39" s="20">
        <v>0.74608124390454189</v>
      </c>
      <c r="G39" s="20">
        <v>0.13031118003387868</v>
      </c>
      <c r="H39" s="20">
        <v>0</v>
      </c>
      <c r="I39" s="20">
        <v>1.0334382882784772E-2</v>
      </c>
      <c r="J39" s="20">
        <v>2.979306985338099E-3</v>
      </c>
      <c r="K39" s="20">
        <v>0.11027937804779311</v>
      </c>
      <c r="L39" s="20">
        <v>0</v>
      </c>
    </row>
    <row r="40" spans="1:12">
      <c r="A40" s="2" t="s">
        <v>369</v>
      </c>
      <c r="B40" s="3" t="s">
        <v>370</v>
      </c>
      <c r="D40" s="20">
        <v>9.2538882831772519E-13</v>
      </c>
      <c r="E40" s="20">
        <v>0.98812714374266919</v>
      </c>
      <c r="F40" s="20">
        <v>0.92052130245627517</v>
      </c>
      <c r="G40" s="20">
        <v>6.6596931652726468E-2</v>
      </c>
      <c r="H40" s="20">
        <v>0</v>
      </c>
      <c r="I40" s="20">
        <v>1.0089096336676022E-3</v>
      </c>
      <c r="J40" s="20">
        <v>8.9770676784880626E-3</v>
      </c>
      <c r="K40" s="20">
        <v>2.8957885779176272E-3</v>
      </c>
      <c r="L40" s="20">
        <v>0</v>
      </c>
    </row>
    <row r="41" spans="1:12">
      <c r="A41" s="2" t="s">
        <v>371</v>
      </c>
      <c r="B41" s="3" t="s">
        <v>372</v>
      </c>
      <c r="D41" s="20">
        <v>8.1797549038886863E-2</v>
      </c>
      <c r="E41" s="20">
        <v>0.91350910897032722</v>
      </c>
      <c r="F41" s="20">
        <v>2.7964979523586945E-5</v>
      </c>
      <c r="G41" s="20">
        <v>1.3999420578054113E-5</v>
      </c>
      <c r="H41" s="20">
        <v>0</v>
      </c>
      <c r="I41" s="20">
        <v>0.9134671445702256</v>
      </c>
      <c r="J41" s="20">
        <v>1.137931872195299E-4</v>
      </c>
      <c r="K41" s="20">
        <v>4.5795488035663317E-3</v>
      </c>
      <c r="L41" s="20">
        <v>0</v>
      </c>
    </row>
    <row r="42" spans="1:12">
      <c r="A42" s="2" t="s">
        <v>293</v>
      </c>
      <c r="B42" s="3" t="s">
        <v>294</v>
      </c>
      <c r="D42" s="20">
        <v>1.7518971703419606E-8</v>
      </c>
      <c r="E42" s="20">
        <v>0.70100464887537661</v>
      </c>
      <c r="F42" s="20">
        <v>0.14053445896572778</v>
      </c>
      <c r="G42" s="20">
        <v>3.6047768174945989E-2</v>
      </c>
      <c r="H42" s="20">
        <v>0</v>
      </c>
      <c r="I42" s="20">
        <v>0.52442242173470288</v>
      </c>
      <c r="J42" s="20">
        <v>8.7540265359475759E-4</v>
      </c>
      <c r="K42" s="20">
        <v>0.29811993095205691</v>
      </c>
      <c r="L42" s="20">
        <v>0</v>
      </c>
    </row>
    <row r="43" spans="1:12">
      <c r="A43" s="2" t="s">
        <v>373</v>
      </c>
      <c r="B43" s="3" t="s">
        <v>374</v>
      </c>
      <c r="D43" s="20">
        <v>4.3127593640611402E-8</v>
      </c>
      <c r="E43" s="20">
        <v>0.99933158335317018</v>
      </c>
      <c r="F43" s="20">
        <v>0.98968071985097505</v>
      </c>
      <c r="G43" s="20">
        <v>8.3563578772307735E-4</v>
      </c>
      <c r="H43" s="20">
        <v>0</v>
      </c>
      <c r="I43" s="20">
        <v>8.8152277144720199E-3</v>
      </c>
      <c r="J43" s="20">
        <v>2.4655109646679941E-4</v>
      </c>
      <c r="K43" s="20">
        <v>4.2182242276912367E-4</v>
      </c>
      <c r="L43" s="20">
        <v>0</v>
      </c>
    </row>
    <row r="44" spans="1:12">
      <c r="A44" s="2" t="s">
        <v>375</v>
      </c>
      <c r="B44" s="3" t="s">
        <v>376</v>
      </c>
      <c r="D44" s="20">
        <v>8.5140956119562586E-2</v>
      </c>
      <c r="E44" s="20">
        <v>0.78739264816762011</v>
      </c>
      <c r="F44" s="20">
        <v>1.9463132437168063E-2</v>
      </c>
      <c r="G44" s="20">
        <v>5.9361968371065233E-3</v>
      </c>
      <c r="H44" s="20">
        <v>0</v>
      </c>
      <c r="I44" s="20">
        <v>0.76199331889334554</v>
      </c>
      <c r="J44" s="20">
        <v>2.2719750936191885E-4</v>
      </c>
      <c r="K44" s="20">
        <v>0.12723919820345519</v>
      </c>
      <c r="L44" s="20">
        <v>0</v>
      </c>
    </row>
    <row r="45" spans="1:12">
      <c r="A45" s="2" t="s">
        <v>377</v>
      </c>
      <c r="B45" s="3" t="s">
        <v>378</v>
      </c>
      <c r="D45" s="20">
        <v>6.6642650589732524E-4</v>
      </c>
      <c r="E45" s="20">
        <v>0.68973511947933808</v>
      </c>
      <c r="F45" s="20">
        <v>0.16011295650718585</v>
      </c>
      <c r="G45" s="20">
        <v>4.0468958932731995E-2</v>
      </c>
      <c r="H45" s="20">
        <v>0</v>
      </c>
      <c r="I45" s="20">
        <v>0.4891532040394202</v>
      </c>
      <c r="J45" s="20">
        <v>9.7092422330664332E-4</v>
      </c>
      <c r="K45" s="20">
        <v>0.30862752979145808</v>
      </c>
      <c r="L45" s="20">
        <v>0</v>
      </c>
    </row>
    <row r="46" spans="1:12">
      <c r="A46" s="2" t="s">
        <v>379</v>
      </c>
      <c r="B46" s="3" t="s">
        <v>380</v>
      </c>
      <c r="D46" s="20">
        <v>2.0039508514404763E-3</v>
      </c>
      <c r="E46" s="20">
        <v>0.69539124474694347</v>
      </c>
      <c r="F46" s="20">
        <v>0.14742165444725608</v>
      </c>
      <c r="G46" s="20">
        <v>3.7605973541708471E-2</v>
      </c>
      <c r="H46" s="20">
        <v>0</v>
      </c>
      <c r="I46" s="20">
        <v>0.51036361675797892</v>
      </c>
      <c r="J46" s="20">
        <v>9.0886377255446353E-4</v>
      </c>
      <c r="K46" s="20">
        <v>0.30169594062906174</v>
      </c>
      <c r="L46" s="20">
        <v>0</v>
      </c>
    </row>
    <row r="47" spans="1:12">
      <c r="A47" s="2" t="s">
        <v>381</v>
      </c>
      <c r="B47" s="3" t="s">
        <v>382</v>
      </c>
      <c r="D47" s="20">
        <v>4.2205594826559344E-8</v>
      </c>
      <c r="E47" s="20">
        <v>0.90256795610367047</v>
      </c>
      <c r="F47" s="20">
        <v>0.24313318555454388</v>
      </c>
      <c r="G47" s="20">
        <v>0.65877907435035754</v>
      </c>
      <c r="H47" s="20">
        <v>0</v>
      </c>
      <c r="I47" s="20">
        <v>6.5569619876906771E-4</v>
      </c>
      <c r="J47" s="20">
        <v>1.5273515947795637E-2</v>
      </c>
      <c r="K47" s="20">
        <v>8.215848574293913E-2</v>
      </c>
      <c r="L47" s="20">
        <v>0</v>
      </c>
    </row>
    <row r="48" spans="1:12">
      <c r="A48" s="2" t="s">
        <v>383</v>
      </c>
      <c r="B48" s="3" t="s">
        <v>384</v>
      </c>
      <c r="D48" s="20">
        <v>1.1770740429876057E-2</v>
      </c>
      <c r="E48" s="20">
        <v>0.91149528423080495</v>
      </c>
      <c r="F48" s="20">
        <v>6.2846051587441857E-3</v>
      </c>
      <c r="G48" s="20">
        <v>2.1094709691950523E-3</v>
      </c>
      <c r="H48" s="20">
        <v>0</v>
      </c>
      <c r="I48" s="20">
        <v>0.90310120810286576</v>
      </c>
      <c r="J48" s="20">
        <v>1.5912027155016011E-4</v>
      </c>
      <c r="K48" s="20">
        <v>7.6574855067768871E-2</v>
      </c>
      <c r="L48" s="20">
        <v>0</v>
      </c>
    </row>
    <row r="49" spans="1:12">
      <c r="A49" s="2" t="s">
        <v>385</v>
      </c>
      <c r="B49" s="3" t="s">
        <v>386</v>
      </c>
      <c r="D49" s="20">
        <v>2.1977714267956295E-2</v>
      </c>
      <c r="E49" s="20">
        <v>0.87661550181181791</v>
      </c>
      <c r="F49" s="20">
        <v>1.1206157903373029E-2</v>
      </c>
      <c r="G49" s="20">
        <v>3.5921320478899416E-3</v>
      </c>
      <c r="H49" s="20">
        <v>0</v>
      </c>
      <c r="I49" s="20">
        <v>0.86181721186055493</v>
      </c>
      <c r="J49" s="20">
        <v>1.8711238936909428E-4</v>
      </c>
      <c r="K49" s="20">
        <v>0.10121967153085674</v>
      </c>
      <c r="L49" s="20">
        <v>0</v>
      </c>
    </row>
    <row r="50" spans="1:12">
      <c r="A50" s="2" t="s">
        <v>387</v>
      </c>
      <c r="B50" s="3" t="s">
        <v>388</v>
      </c>
      <c r="D50" s="20">
        <v>6.580225613651596E-3</v>
      </c>
      <c r="E50" s="20">
        <v>0.74879422790621741</v>
      </c>
      <c r="F50" s="20">
        <v>0.56093817764509302</v>
      </c>
      <c r="G50" s="20">
        <v>0.11261871161958537</v>
      </c>
      <c r="H50" s="20">
        <v>0</v>
      </c>
      <c r="I50" s="20">
        <v>7.5237338641538989E-2</v>
      </c>
      <c r="J50" s="20">
        <v>2.5654594096767825E-3</v>
      </c>
      <c r="K50" s="20">
        <v>0.24206008707045409</v>
      </c>
      <c r="L50" s="20">
        <v>0</v>
      </c>
    </row>
    <row r="51" spans="1:12">
      <c r="A51" s="2" t="s">
        <v>295</v>
      </c>
      <c r="B51" s="3" t="s">
        <v>296</v>
      </c>
      <c r="D51" s="20">
        <v>6.5545560893510754E-2</v>
      </c>
      <c r="E51" s="20">
        <v>0.90475172787075064</v>
      </c>
      <c r="F51" s="20">
        <v>1.0130187856679409E-3</v>
      </c>
      <c r="G51" s="20">
        <v>3.8896726615327004E-4</v>
      </c>
      <c r="H51" s="20">
        <v>0</v>
      </c>
      <c r="I51" s="20">
        <v>0.90334974181892946</v>
      </c>
      <c r="J51" s="20">
        <v>1.208370923142889E-4</v>
      </c>
      <c r="K51" s="20">
        <v>2.9581874143424319E-2</v>
      </c>
      <c r="L51" s="20">
        <v>0</v>
      </c>
    </row>
    <row r="52" spans="1:12">
      <c r="A52" s="2" t="s">
        <v>389</v>
      </c>
      <c r="B52" s="3" t="s">
        <v>390</v>
      </c>
      <c r="D52" s="20">
        <v>6.8929303424418095E-2</v>
      </c>
      <c r="E52" s="20">
        <v>0.7658365806423737</v>
      </c>
      <c r="F52" s="20">
        <v>3.3626224223800856E-2</v>
      </c>
      <c r="G52" s="20">
        <v>9.812364214731157E-3</v>
      </c>
      <c r="H52" s="20">
        <v>0</v>
      </c>
      <c r="I52" s="20">
        <v>0.72239799220384171</v>
      </c>
      <c r="J52" s="20">
        <v>3.0919273876255153E-4</v>
      </c>
      <c r="K52" s="20">
        <v>0.16492492319444554</v>
      </c>
      <c r="L52" s="20">
        <v>0</v>
      </c>
    </row>
    <row r="53" spans="1:12">
      <c r="A53" s="2" t="s">
        <v>391</v>
      </c>
      <c r="B53" s="3" t="s">
        <v>392</v>
      </c>
      <c r="D53" s="20">
        <v>1.967425693421853E-3</v>
      </c>
      <c r="E53" s="20">
        <v>0.66591487083618539</v>
      </c>
      <c r="F53" s="20">
        <v>0.23151149188084449</v>
      </c>
      <c r="G53" s="20">
        <v>5.5881506926125001E-2</v>
      </c>
      <c r="H53" s="20">
        <v>0</v>
      </c>
      <c r="I53" s="20">
        <v>0.37852187202921594</v>
      </c>
      <c r="J53" s="20">
        <v>1.3060960577870756E-3</v>
      </c>
      <c r="K53" s="20">
        <v>0.33081160741260562</v>
      </c>
      <c r="L53" s="20">
        <v>0</v>
      </c>
    </row>
    <row r="54" spans="1:12">
      <c r="A54" s="2" t="s">
        <v>393</v>
      </c>
      <c r="B54" s="3" t="s">
        <v>394</v>
      </c>
      <c r="D54" s="20">
        <v>1.9415058445001999E-4</v>
      </c>
      <c r="E54" s="20">
        <v>0.89531229304593041</v>
      </c>
      <c r="F54" s="20">
        <v>0.28974297640559188</v>
      </c>
      <c r="G54" s="20">
        <v>0.60465614725547434</v>
      </c>
      <c r="H54" s="20">
        <v>0</v>
      </c>
      <c r="I54" s="20">
        <v>9.1316938486415782E-4</v>
      </c>
      <c r="J54" s="20">
        <v>1.3999281777936051E-2</v>
      </c>
      <c r="K54" s="20">
        <v>9.049427459168341E-2</v>
      </c>
      <c r="L54" s="20">
        <v>0</v>
      </c>
    </row>
    <row r="55" spans="1:12">
      <c r="A55" s="2" t="s">
        <v>395</v>
      </c>
      <c r="B55" s="3" t="s">
        <v>396</v>
      </c>
      <c r="D55" s="20">
        <v>0.13291694360972137</v>
      </c>
      <c r="E55" s="20">
        <v>0.6016470412152668</v>
      </c>
      <c r="F55" s="20">
        <v>0.38287284123537607</v>
      </c>
      <c r="G55" s="20">
        <v>8.2594307547019089E-2</v>
      </c>
      <c r="H55" s="20">
        <v>0</v>
      </c>
      <c r="I55" s="20">
        <v>0.13617989243287165</v>
      </c>
      <c r="J55" s="20">
        <v>1.8861811492390664E-3</v>
      </c>
      <c r="K55" s="20">
        <v>0.2635498340257727</v>
      </c>
      <c r="L55" s="20">
        <v>0</v>
      </c>
    </row>
    <row r="56" spans="1:12">
      <c r="A56" s="2" t="s">
        <v>397</v>
      </c>
      <c r="B56" s="3" t="s">
        <v>398</v>
      </c>
      <c r="D56" s="20">
        <v>0.60353185366794304</v>
      </c>
      <c r="E56" s="20">
        <v>0.31873998873699394</v>
      </c>
      <c r="F56" s="20">
        <v>0.25431642588500514</v>
      </c>
      <c r="G56" s="20">
        <v>4.8313663129230529E-2</v>
      </c>
      <c r="H56" s="20">
        <v>0</v>
      </c>
      <c r="I56" s="20">
        <v>1.6109899722758253E-2</v>
      </c>
      <c r="J56" s="20">
        <v>1.1010209561335468E-3</v>
      </c>
      <c r="K56" s="20">
        <v>7.6627136638929658E-2</v>
      </c>
      <c r="L56" s="20">
        <v>0</v>
      </c>
    </row>
    <row r="57" spans="1:12">
      <c r="A57" s="2" t="s">
        <v>399</v>
      </c>
      <c r="B57" s="3" t="s">
        <v>400</v>
      </c>
      <c r="D57" s="20">
        <v>0.76638213517118514</v>
      </c>
      <c r="E57" s="20">
        <v>0.16631179442793867</v>
      </c>
      <c r="F57" s="20">
        <v>0.11332339775417385</v>
      </c>
      <c r="G57" s="20">
        <v>2.3867951285890948E-2</v>
      </c>
      <c r="H57" s="20">
        <v>0</v>
      </c>
      <c r="I57" s="20">
        <v>2.9120445387873867E-2</v>
      </c>
      <c r="J57" s="20">
        <v>5.443109949500297E-4</v>
      </c>
      <c r="K57" s="20">
        <v>6.6761759405926213E-2</v>
      </c>
      <c r="L57" s="20">
        <v>0</v>
      </c>
    </row>
    <row r="58" spans="1:12">
      <c r="A58" s="2" t="s">
        <v>297</v>
      </c>
      <c r="B58" s="3" t="s">
        <v>298</v>
      </c>
      <c r="D58" s="20">
        <v>0.93160579186912584</v>
      </c>
      <c r="E58" s="20">
        <v>6.0463764980342914E-2</v>
      </c>
      <c r="F58" s="20">
        <v>9.8788500826099668E-4</v>
      </c>
      <c r="G58" s="20">
        <v>3.1088656200524764E-4</v>
      </c>
      <c r="H58" s="20">
        <v>0</v>
      </c>
      <c r="I58" s="20">
        <v>5.9164993410076673E-2</v>
      </c>
      <c r="J58" s="20">
        <v>1.4282836567752683E-5</v>
      </c>
      <c r="K58" s="20">
        <v>7.9161603139633555E-3</v>
      </c>
      <c r="L58" s="20">
        <v>0</v>
      </c>
    </row>
    <row r="59" spans="1:12">
      <c r="A59" s="2" t="s">
        <v>401</v>
      </c>
      <c r="B59" s="3" t="s">
        <v>402</v>
      </c>
      <c r="D59" s="20">
        <v>0.90898110970983759</v>
      </c>
      <c r="E59" s="20">
        <v>6.4395739842666763E-2</v>
      </c>
      <c r="F59" s="20">
        <v>4.3254278557572301E-2</v>
      </c>
      <c r="G59" s="20">
        <v>9.160614937508204E-3</v>
      </c>
      <c r="H59" s="20">
        <v>0</v>
      </c>
      <c r="I59" s="20">
        <v>1.1980846347586255E-2</v>
      </c>
      <c r="J59" s="20">
        <v>2.0896280399346337E-4</v>
      </c>
      <c r="K59" s="20">
        <v>2.6414187643502382E-2</v>
      </c>
      <c r="L59" s="20">
        <v>0</v>
      </c>
    </row>
    <row r="60" spans="1:12">
      <c r="A60" s="2" t="s">
        <v>299</v>
      </c>
      <c r="B60" s="3" t="s">
        <v>300</v>
      </c>
      <c r="D60" s="20">
        <v>0.99803870971913922</v>
      </c>
      <c r="E60" s="20">
        <v>1.3154928845579938E-3</v>
      </c>
      <c r="F60" s="20">
        <v>7.0830710948264802E-4</v>
      </c>
      <c r="G60" s="20">
        <v>1.5941058528836383E-4</v>
      </c>
      <c r="H60" s="20">
        <v>0</v>
      </c>
      <c r="I60" s="20">
        <v>4.4777518978698189E-4</v>
      </c>
      <c r="J60" s="20">
        <v>3.6573028906525269E-6</v>
      </c>
      <c r="K60" s="20">
        <v>6.4214009341186345E-4</v>
      </c>
      <c r="L60" s="20">
        <v>0</v>
      </c>
    </row>
    <row r="61" spans="1:12">
      <c r="A61" s="2" t="s">
        <v>403</v>
      </c>
      <c r="B61" s="3" t="s">
        <v>404</v>
      </c>
      <c r="D61" s="20">
        <v>4.4686282366063457E-44</v>
      </c>
      <c r="E61" s="20">
        <v>0.66365319195595984</v>
      </c>
      <c r="F61" s="20">
        <v>0.30849522078849489</v>
      </c>
      <c r="G61" s="20">
        <v>7.1374650672016593E-2</v>
      </c>
      <c r="H61" s="20">
        <v>0</v>
      </c>
      <c r="I61" s="20">
        <v>0.28378332049544835</v>
      </c>
      <c r="J61" s="20">
        <v>1.646103729440703E-3</v>
      </c>
      <c r="K61" s="20">
        <v>0.33470070431459953</v>
      </c>
      <c r="L61" s="20">
        <v>0</v>
      </c>
    </row>
    <row r="62" spans="1:12">
      <c r="A62" s="2" t="s">
        <v>405</v>
      </c>
      <c r="B62" s="3" t="s">
        <v>406</v>
      </c>
      <c r="D62" s="20">
        <v>1.0732889205566652E-7</v>
      </c>
      <c r="E62" s="20">
        <v>0.87544581048273973</v>
      </c>
      <c r="F62" s="20">
        <v>0.55961695118589583</v>
      </c>
      <c r="G62" s="20">
        <v>0.31195102464813645</v>
      </c>
      <c r="H62" s="20">
        <v>0</v>
      </c>
      <c r="I62" s="20">
        <v>3.8778346487074247E-3</v>
      </c>
      <c r="J62" s="20">
        <v>7.1727465112365676E-3</v>
      </c>
      <c r="K62" s="20">
        <v>0.1173813356771316</v>
      </c>
      <c r="L62" s="20">
        <v>0</v>
      </c>
    </row>
    <row r="63" spans="1:12">
      <c r="A63" s="2" t="s">
        <v>407</v>
      </c>
      <c r="B63" s="3" t="s">
        <v>408</v>
      </c>
      <c r="D63" s="20">
        <v>2.6074338013154269E-5</v>
      </c>
      <c r="E63" s="20">
        <v>0.9152945593319699</v>
      </c>
      <c r="F63" s="20">
        <v>0.17433617214814637</v>
      </c>
      <c r="G63" s="20">
        <v>0.74059889791414812</v>
      </c>
      <c r="H63" s="20">
        <v>0</v>
      </c>
      <c r="I63" s="20">
        <v>3.5948926967542723E-4</v>
      </c>
      <c r="J63" s="20">
        <v>1.7211699442673357E-2</v>
      </c>
      <c r="K63" s="20">
        <v>6.7467666887343569E-2</v>
      </c>
      <c r="L63" s="20">
        <v>0</v>
      </c>
    </row>
    <row r="64" spans="1:12">
      <c r="A64" s="2" t="s">
        <v>409</v>
      </c>
      <c r="B64" s="3" t="s">
        <v>410</v>
      </c>
      <c r="D64" s="20">
        <v>3.2435903363005445E-6</v>
      </c>
      <c r="E64" s="20">
        <v>0.93473487726893845</v>
      </c>
      <c r="F64" s="20">
        <v>9.4384398559575824E-2</v>
      </c>
      <c r="G64" s="20">
        <v>0.8402253264661047</v>
      </c>
      <c r="H64" s="20">
        <v>0</v>
      </c>
      <c r="I64" s="20">
        <v>1.2515224325787056E-4</v>
      </c>
      <c r="J64" s="20">
        <v>1.9604771183203123E-2</v>
      </c>
      <c r="K64" s="20">
        <v>4.5657107957522383E-2</v>
      </c>
      <c r="L64" s="20">
        <v>0</v>
      </c>
    </row>
    <row r="65" spans="1:12">
      <c r="A65" s="2" t="s">
        <v>301</v>
      </c>
      <c r="B65" s="3" t="s">
        <v>302</v>
      </c>
      <c r="D65" s="20">
        <v>4.0216923940100101E-7</v>
      </c>
      <c r="E65" s="20">
        <v>0.95133548316972893</v>
      </c>
      <c r="F65" s="20">
        <v>4.3942328322889558E-2</v>
      </c>
      <c r="G65" s="20">
        <v>0.90735789004154488</v>
      </c>
      <c r="H65" s="20">
        <v>0</v>
      </c>
      <c r="I65" s="20">
        <v>3.5264805294454933E-5</v>
      </c>
      <c r="J65" s="20">
        <v>2.126785646329752E-2</v>
      </c>
      <c r="K65" s="20">
        <v>2.7396258197733968E-2</v>
      </c>
      <c r="L65" s="20">
        <v>0</v>
      </c>
    </row>
    <row r="66" spans="1:12">
      <c r="A66" s="2" t="s">
        <v>303</v>
      </c>
      <c r="B66" s="3" t="s">
        <v>304</v>
      </c>
      <c r="D66" s="20">
        <v>3.8750543741456661E-13</v>
      </c>
      <c r="E66" s="20">
        <v>0.94268338115769157</v>
      </c>
      <c r="F66" s="20">
        <v>6.8336387339466731E-2</v>
      </c>
      <c r="G66" s="20">
        <v>0.87427401607292399</v>
      </c>
      <c r="H66" s="20">
        <v>0</v>
      </c>
      <c r="I66" s="20">
        <v>7.2977745300817525E-5</v>
      </c>
      <c r="J66" s="20">
        <v>2.0439226684688703E-2</v>
      </c>
      <c r="K66" s="20">
        <v>3.687739215723209E-2</v>
      </c>
      <c r="L66" s="20">
        <v>0</v>
      </c>
    </row>
    <row r="67" spans="1:12">
      <c r="A67" s="2" t="s">
        <v>411</v>
      </c>
      <c r="B67" s="3" t="s">
        <v>412</v>
      </c>
      <c r="D67" s="20">
        <v>4.6565527139189817E-3</v>
      </c>
      <c r="E67" s="20">
        <v>0.84463826959016419</v>
      </c>
      <c r="F67" s="20">
        <v>2.5324375158215368E-2</v>
      </c>
      <c r="G67" s="20">
        <v>7.6108698258696133E-3</v>
      </c>
      <c r="H67" s="20">
        <v>0</v>
      </c>
      <c r="I67" s="20">
        <v>0.81170302460607924</v>
      </c>
      <c r="J67" s="20">
        <v>2.7085864701967662E-4</v>
      </c>
      <c r="K67" s="20">
        <v>0.15043431904889717</v>
      </c>
      <c r="L67" s="20">
        <v>0</v>
      </c>
    </row>
    <row r="68" spans="1:12">
      <c r="A68" s="2" t="s">
        <v>413</v>
      </c>
      <c r="B68" s="3" t="s">
        <v>414</v>
      </c>
      <c r="D68" s="20">
        <v>9.9902828360395445E-3</v>
      </c>
      <c r="E68" s="20">
        <v>0.79712103488609443</v>
      </c>
      <c r="F68" s="20">
        <v>4.4243757027204698E-2</v>
      </c>
      <c r="G68" s="20">
        <v>1.2674987917816143E-2</v>
      </c>
      <c r="H68" s="20">
        <v>0</v>
      </c>
      <c r="I68" s="20">
        <v>0.74020228994107362</v>
      </c>
      <c r="J68" s="20">
        <v>3.7562786872959571E-4</v>
      </c>
      <c r="K68" s="20">
        <v>0.19251305440913632</v>
      </c>
      <c r="L68" s="20">
        <v>0</v>
      </c>
    </row>
    <row r="69" spans="1:12">
      <c r="A69" s="2" t="s">
        <v>415</v>
      </c>
      <c r="B69" s="3" t="s">
        <v>416</v>
      </c>
      <c r="D69" s="20">
        <v>1.2464577176939213E-3</v>
      </c>
      <c r="E69" s="20">
        <v>0.88569032193269726</v>
      </c>
      <c r="F69" s="20">
        <v>0.36062162485726029</v>
      </c>
      <c r="G69" s="20">
        <v>0.52365749179923404</v>
      </c>
      <c r="H69" s="20">
        <v>0</v>
      </c>
      <c r="I69" s="20">
        <v>1.4112052762029756E-3</v>
      </c>
      <c r="J69" s="20">
        <v>1.2100753851889438E-2</v>
      </c>
      <c r="K69" s="20">
        <v>0.10096246649771953</v>
      </c>
      <c r="L69" s="20">
        <v>0</v>
      </c>
    </row>
    <row r="70" spans="1:12">
      <c r="A70" s="2" t="s">
        <v>417</v>
      </c>
      <c r="B70" s="3" t="s">
        <v>418</v>
      </c>
      <c r="D70" s="20">
        <v>3.1854270329933839E-3</v>
      </c>
      <c r="E70" s="20">
        <v>0.83384428438780767</v>
      </c>
      <c r="F70" s="20">
        <v>0.68334791908394565</v>
      </c>
      <c r="G70" s="20">
        <v>0.12489280844395133</v>
      </c>
      <c r="H70" s="20">
        <v>0</v>
      </c>
      <c r="I70" s="20">
        <v>2.5603556859910667E-2</v>
      </c>
      <c r="J70" s="20">
        <v>2.8486365656503836E-3</v>
      </c>
      <c r="K70" s="20">
        <v>0.16012165201354861</v>
      </c>
      <c r="L70" s="20">
        <v>0</v>
      </c>
    </row>
    <row r="71" spans="1:12">
      <c r="A71" s="2" t="s">
        <v>419</v>
      </c>
      <c r="B71" s="3" t="s">
        <v>420</v>
      </c>
      <c r="D71" s="20">
        <v>2.4524830910600277E-2</v>
      </c>
      <c r="E71" s="20">
        <v>0.7922772558470319</v>
      </c>
      <c r="F71" s="20">
        <v>4.0057167518681172E-2</v>
      </c>
      <c r="G71" s="20">
        <v>1.1560478012355281E-2</v>
      </c>
      <c r="H71" s="20">
        <v>0</v>
      </c>
      <c r="I71" s="20">
        <v>0.74065961031599548</v>
      </c>
      <c r="J71" s="20">
        <v>3.5066762392343097E-4</v>
      </c>
      <c r="K71" s="20">
        <v>0.18284724561844443</v>
      </c>
      <c r="L71" s="20">
        <v>0</v>
      </c>
    </row>
    <row r="72" spans="1:12">
      <c r="A72" s="2" t="s">
        <v>421</v>
      </c>
      <c r="B72" s="3" t="s">
        <v>422</v>
      </c>
      <c r="D72" s="20">
        <v>1.334913063767885E-2</v>
      </c>
      <c r="E72" s="20">
        <v>0.81498995268959096</v>
      </c>
      <c r="F72" s="20">
        <v>0.66271560654289574</v>
      </c>
      <c r="G72" s="20">
        <v>0.12269383844076669</v>
      </c>
      <c r="H72" s="20">
        <v>0</v>
      </c>
      <c r="I72" s="20">
        <v>2.9580507705928582E-2</v>
      </c>
      <c r="J72" s="20">
        <v>2.7975731985665857E-3</v>
      </c>
      <c r="K72" s="20">
        <v>0.1688633434741636</v>
      </c>
      <c r="L72" s="20">
        <v>0</v>
      </c>
    </row>
    <row r="73" spans="1:12">
      <c r="A73" s="2" t="s">
        <v>423</v>
      </c>
      <c r="B73" s="3" t="s">
        <v>424</v>
      </c>
      <c r="D73" s="20">
        <v>1.3012298607083873E-2</v>
      </c>
      <c r="E73" s="20">
        <v>0.65656254894339838</v>
      </c>
      <c r="F73" s="20">
        <v>0.32168309296588332</v>
      </c>
      <c r="G73" s="20">
        <v>7.3743507648343476E-2</v>
      </c>
      <c r="H73" s="20">
        <v>0</v>
      </c>
      <c r="I73" s="20">
        <v>0.26113594832917164</v>
      </c>
      <c r="J73" s="20">
        <v>1.6973611453925687E-3</v>
      </c>
      <c r="K73" s="20">
        <v>0.32872779130412516</v>
      </c>
      <c r="L73" s="20">
        <v>0</v>
      </c>
    </row>
    <row r="74" spans="1:12">
      <c r="A74" s="2" t="s">
        <v>425</v>
      </c>
      <c r="B74" s="3" t="s">
        <v>426</v>
      </c>
      <c r="D74" s="20">
        <v>4.9153244190836701E-3</v>
      </c>
      <c r="E74" s="20">
        <v>0.82945431477053666</v>
      </c>
      <c r="F74" s="20">
        <v>0.67830716117387313</v>
      </c>
      <c r="G74" s="20">
        <v>0.12442909931852418</v>
      </c>
      <c r="H74" s="20">
        <v>0</v>
      </c>
      <c r="I74" s="20">
        <v>2.6718054278139336E-2</v>
      </c>
      <c r="J74" s="20">
        <v>2.8377875757918452E-3</v>
      </c>
      <c r="K74" s="20">
        <v>0.16279257323458785</v>
      </c>
      <c r="L74" s="20">
        <v>0</v>
      </c>
    </row>
    <row r="75" spans="1:12">
      <c r="A75" s="2" t="s">
        <v>427</v>
      </c>
      <c r="B75" s="3" t="s">
        <v>428</v>
      </c>
      <c r="D75" s="20">
        <v>5.5030154339349387E-10</v>
      </c>
      <c r="E75" s="20">
        <v>0.99913294660799379</v>
      </c>
      <c r="F75" s="20">
        <v>0.99443170675826598</v>
      </c>
      <c r="G75" s="20">
        <v>3.8372948616024907E-4</v>
      </c>
      <c r="H75" s="20">
        <v>0</v>
      </c>
      <c r="I75" s="20">
        <v>4.3175103635675251E-3</v>
      </c>
      <c r="J75" s="20">
        <v>7.8350450608624049E-4</v>
      </c>
      <c r="K75" s="20">
        <v>8.3548335618783043E-5</v>
      </c>
      <c r="L75" s="20">
        <v>0</v>
      </c>
    </row>
    <row r="76" spans="1:12">
      <c r="A76" s="2" t="s">
        <v>429</v>
      </c>
      <c r="B76" s="3" t="s">
        <v>430</v>
      </c>
      <c r="D76" s="20">
        <v>1.3822949808304692E-11</v>
      </c>
      <c r="E76" s="20">
        <v>0.99913294714400691</v>
      </c>
      <c r="F76" s="20">
        <v>0.99443170729175701</v>
      </c>
      <c r="G76" s="20">
        <v>3.8372948636611158E-4</v>
      </c>
      <c r="H76" s="20">
        <v>0</v>
      </c>
      <c r="I76" s="20">
        <v>4.3175103658837774E-3</v>
      </c>
      <c r="J76" s="20">
        <v>7.8350450650657363E-4</v>
      </c>
      <c r="K76" s="20">
        <v>8.354833566360491E-5</v>
      </c>
      <c r="L76" s="20">
        <v>0</v>
      </c>
    </row>
    <row r="77" spans="1:12">
      <c r="A77" s="2" t="s">
        <v>431</v>
      </c>
      <c r="B77" s="3" t="s">
        <v>432</v>
      </c>
      <c r="D77" s="20">
        <v>2.3723917917876338E-2</v>
      </c>
      <c r="E77" s="20">
        <v>0.71010117875094414</v>
      </c>
      <c r="F77" s="20">
        <v>0.50473175335450582</v>
      </c>
      <c r="G77" s="20">
        <v>0.10436531374087275</v>
      </c>
      <c r="H77" s="20">
        <v>0</v>
      </c>
      <c r="I77" s="20">
        <v>0.10100411165556555</v>
      </c>
      <c r="J77" s="20">
        <v>2.3785342576835176E-3</v>
      </c>
      <c r="K77" s="20">
        <v>0.26379636907349596</v>
      </c>
      <c r="L77" s="20">
        <v>0</v>
      </c>
    </row>
    <row r="78" spans="1:12">
      <c r="A78" s="2" t="s">
        <v>433</v>
      </c>
      <c r="B78" s="3" t="s">
        <v>434</v>
      </c>
      <c r="D78" s="20">
        <v>3.3310584833506934E-2</v>
      </c>
      <c r="E78" s="20">
        <v>0.68335713882022642</v>
      </c>
      <c r="F78" s="20">
        <v>0.12695694769732033</v>
      </c>
      <c r="G78" s="20">
        <v>3.280590537775379E-2</v>
      </c>
      <c r="H78" s="20">
        <v>0</v>
      </c>
      <c r="I78" s="20">
        <v>0.52359428574515232</v>
      </c>
      <c r="J78" s="20">
        <v>8.0221844723802011E-4</v>
      </c>
      <c r="K78" s="20">
        <v>0.28253005789902857</v>
      </c>
      <c r="L78" s="20">
        <v>0</v>
      </c>
    </row>
    <row r="79" spans="1:12">
      <c r="A79" s="2" t="s">
        <v>435</v>
      </c>
      <c r="B79" s="3" t="s">
        <v>436</v>
      </c>
      <c r="D79" s="20">
        <v>7.7883880039849255E-3</v>
      </c>
      <c r="E79" s="20">
        <v>0.66102434641326369</v>
      </c>
      <c r="F79" s="20">
        <v>0.23644045916641596</v>
      </c>
      <c r="G79" s="20">
        <v>5.6861373955554573E-2</v>
      </c>
      <c r="H79" s="20">
        <v>0</v>
      </c>
      <c r="I79" s="20">
        <v>0.36772251329129318</v>
      </c>
      <c r="J79" s="20">
        <v>1.3270184627050933E-3</v>
      </c>
      <c r="K79" s="20">
        <v>0.3298602471200463</v>
      </c>
      <c r="L79" s="20">
        <v>0</v>
      </c>
    </row>
    <row r="80" spans="1:12">
      <c r="A80" s="2" t="s">
        <v>437</v>
      </c>
      <c r="B80" s="3" t="s">
        <v>438</v>
      </c>
      <c r="D80" s="20">
        <v>1.9689042961232829E-10</v>
      </c>
      <c r="E80" s="20">
        <v>0.99837791302975709</v>
      </c>
      <c r="F80" s="20">
        <v>0.99471539340866355</v>
      </c>
      <c r="G80" s="20">
        <v>7.3730817267935638E-4</v>
      </c>
      <c r="H80" s="20">
        <v>0</v>
      </c>
      <c r="I80" s="20">
        <v>2.9252114484141357E-3</v>
      </c>
      <c r="J80" s="20">
        <v>1.5203303863396836E-3</v>
      </c>
      <c r="K80" s="20">
        <v>1.0175638701270099E-4</v>
      </c>
      <c r="L80" s="20">
        <v>0</v>
      </c>
    </row>
    <row r="81" spans="1:12">
      <c r="A81" s="2" t="s">
        <v>440</v>
      </c>
      <c r="B81" s="3" t="s">
        <v>441</v>
      </c>
      <c r="D81" s="20">
        <v>1.8487113315206728E-13</v>
      </c>
      <c r="E81" s="20">
        <v>0.97088813991528256</v>
      </c>
      <c r="F81" s="20">
        <v>9.1273208640440542E-4</v>
      </c>
      <c r="G81" s="20">
        <v>3.550085996718408E-4</v>
      </c>
      <c r="H81" s="20">
        <v>0</v>
      </c>
      <c r="I81" s="20">
        <v>0.96962039922920629</v>
      </c>
      <c r="J81" s="20">
        <v>1.283150355275317E-4</v>
      </c>
      <c r="K81" s="20">
        <v>2.8983545049005258E-2</v>
      </c>
      <c r="L81" s="20">
        <v>0</v>
      </c>
    </row>
    <row r="82" spans="1:12">
      <c r="A82" s="2" t="s">
        <v>442</v>
      </c>
      <c r="B82" s="3" t="s">
        <v>443</v>
      </c>
      <c r="D82" s="20">
        <v>8.244123107125453E-5</v>
      </c>
      <c r="E82" s="20">
        <v>0.78714445166421765</v>
      </c>
      <c r="F82" s="20">
        <v>5.5007091627361809E-2</v>
      </c>
      <c r="G82" s="20">
        <v>1.5470852252603563E-2</v>
      </c>
      <c r="H82" s="20">
        <v>0</v>
      </c>
      <c r="I82" s="20">
        <v>0.71666650778425223</v>
      </c>
      <c r="J82" s="20">
        <v>4.3552429519225873E-4</v>
      </c>
      <c r="K82" s="20">
        <v>0.21233758280951892</v>
      </c>
      <c r="L82" s="20">
        <v>0</v>
      </c>
    </row>
    <row r="83" spans="1:12">
      <c r="A83" s="2" t="s">
        <v>444</v>
      </c>
      <c r="B83" s="3" t="s">
        <v>445</v>
      </c>
      <c r="D83" s="20">
        <v>5.0533606680059099E-4</v>
      </c>
      <c r="E83" s="20">
        <v>0.71005766880552423</v>
      </c>
      <c r="F83" s="20">
        <v>0.48156455164824929</v>
      </c>
      <c r="G83" s="20">
        <v>0.10161318541514248</v>
      </c>
      <c r="H83" s="20">
        <v>0</v>
      </c>
      <c r="I83" s="20">
        <v>0.1268799317421325</v>
      </c>
      <c r="J83" s="20">
        <v>2.3174901326162983E-3</v>
      </c>
      <c r="K83" s="20">
        <v>0.28711950499505889</v>
      </c>
      <c r="L83" s="20">
        <v>0</v>
      </c>
    </row>
    <row r="84" spans="1:12">
      <c r="A84" s="2" t="s">
        <v>446</v>
      </c>
      <c r="B84" s="3" t="s">
        <v>447</v>
      </c>
      <c r="D84" s="20">
        <v>5.6687128582571949E-15</v>
      </c>
      <c r="E84" s="20">
        <v>0.93774190636484867</v>
      </c>
      <c r="F84" s="20">
        <v>4.0846859711211594E-3</v>
      </c>
      <c r="G84" s="20">
        <v>1.4185812952702823E-3</v>
      </c>
      <c r="H84" s="20">
        <v>0</v>
      </c>
      <c r="I84" s="20">
        <v>0.93223863909845728</v>
      </c>
      <c r="J84" s="20">
        <v>1.4733130254648957E-4</v>
      </c>
      <c r="K84" s="20">
        <v>6.2110762332598914E-2</v>
      </c>
      <c r="L84" s="20">
        <v>0</v>
      </c>
    </row>
    <row r="85" spans="1:12">
      <c r="A85" s="2" t="s">
        <v>448</v>
      </c>
      <c r="B85" s="3" t="s">
        <v>449</v>
      </c>
      <c r="D85" s="20">
        <v>3.9876238790903365E-8</v>
      </c>
      <c r="E85" s="20">
        <v>0.98778646913038304</v>
      </c>
      <c r="F85" s="20">
        <v>1.676441498981798E-4</v>
      </c>
      <c r="G85" s="20">
        <v>7.3974827017686423E-5</v>
      </c>
      <c r="H85" s="20">
        <v>0</v>
      </c>
      <c r="I85" s="20">
        <v>0.98754485015346716</v>
      </c>
      <c r="J85" s="20">
        <v>1.2431809601846103E-4</v>
      </c>
      <c r="K85" s="20">
        <v>1.2089172897359671E-2</v>
      </c>
      <c r="L85" s="20">
        <v>0</v>
      </c>
    </row>
    <row r="86" spans="1:12">
      <c r="A86" s="2" t="s">
        <v>450</v>
      </c>
      <c r="B86" s="3" t="s">
        <v>451</v>
      </c>
      <c r="D86" s="20">
        <v>1.4261797529699927E-8</v>
      </c>
      <c r="E86" s="20">
        <v>0.93922812677165946</v>
      </c>
      <c r="F86" s="20">
        <v>3.8926780078805071E-3</v>
      </c>
      <c r="G86" s="20">
        <v>1.3568881099469525E-3</v>
      </c>
      <c r="H86" s="20">
        <v>0</v>
      </c>
      <c r="I86" s="20">
        <v>0.933978560653832</v>
      </c>
      <c r="J86" s="20">
        <v>1.4617274315767927E-4</v>
      </c>
      <c r="K86" s="20">
        <v>6.0625686223385253E-2</v>
      </c>
      <c r="L86" s="20">
        <v>0</v>
      </c>
    </row>
    <row r="87" spans="1:12">
      <c r="A87" s="2" t="s">
        <v>452</v>
      </c>
      <c r="B87" s="3" t="s">
        <v>453</v>
      </c>
      <c r="D87" s="20">
        <v>4.863099827105769E-8</v>
      </c>
      <c r="E87" s="20">
        <v>0.90748162121147558</v>
      </c>
      <c r="F87" s="20">
        <v>0.21467793024692969</v>
      </c>
      <c r="G87" s="20">
        <v>0.69228186483099885</v>
      </c>
      <c r="H87" s="20">
        <v>0</v>
      </c>
      <c r="I87" s="20">
        <v>5.2182613354701728E-4</v>
      </c>
      <c r="J87" s="20">
        <v>1.6065144659274552E-2</v>
      </c>
      <c r="K87" s="20">
        <v>7.6453185498251447E-2</v>
      </c>
      <c r="L87" s="20">
        <v>0</v>
      </c>
    </row>
    <row r="88" spans="1:12">
      <c r="A88" s="2" t="s">
        <v>454</v>
      </c>
      <c r="B88" s="3" t="s">
        <v>455</v>
      </c>
      <c r="D88" s="20">
        <v>3.9886016838726035E-5</v>
      </c>
      <c r="E88" s="20">
        <v>0.72956179632167095</v>
      </c>
      <c r="F88" s="20">
        <v>0.1024931599864826</v>
      </c>
      <c r="G88" s="20">
        <v>2.717630691137107E-2</v>
      </c>
      <c r="H88" s="20">
        <v>0</v>
      </c>
      <c r="I88" s="20">
        <v>0.59989232942381732</v>
      </c>
      <c r="J88" s="20">
        <v>6.8457900171831759E-4</v>
      </c>
      <c r="K88" s="20">
        <v>0.26971373865977211</v>
      </c>
      <c r="L88" s="20">
        <v>0</v>
      </c>
    </row>
    <row r="89" spans="1:12">
      <c r="A89" s="2" t="s">
        <v>456</v>
      </c>
      <c r="B89" s="3" t="s">
        <v>457</v>
      </c>
      <c r="D89" s="20">
        <v>2.718447256986869E-17</v>
      </c>
      <c r="E89" s="20">
        <v>0.77627003399253625</v>
      </c>
      <c r="F89" s="20">
        <v>6.2143416514951408E-2</v>
      </c>
      <c r="G89" s="20">
        <v>1.7285847671940305E-2</v>
      </c>
      <c r="H89" s="20">
        <v>0</v>
      </c>
      <c r="I89" s="20">
        <v>0.69684076980564458</v>
      </c>
      <c r="J89" s="20">
        <v>4.7387721370110921E-4</v>
      </c>
      <c r="K89" s="20">
        <v>0.22325608879376249</v>
      </c>
      <c r="L89" s="20">
        <v>0</v>
      </c>
    </row>
    <row r="90" spans="1:12">
      <c r="A90" s="2" t="s">
        <v>458</v>
      </c>
      <c r="B90" s="3" t="s">
        <v>459</v>
      </c>
      <c r="D90" s="20">
        <v>4.201536940001147E-29</v>
      </c>
      <c r="E90" s="20">
        <v>0.882760989702293</v>
      </c>
      <c r="F90" s="20">
        <v>1.4780271138933517E-2</v>
      </c>
      <c r="G90" s="20">
        <v>4.6427784130060844E-3</v>
      </c>
      <c r="H90" s="20">
        <v>0</v>
      </c>
      <c r="I90" s="20">
        <v>0.86333794015035337</v>
      </c>
      <c r="J90" s="20">
        <v>2.1079364536154076E-4</v>
      </c>
      <c r="K90" s="20">
        <v>0.1170282166523455</v>
      </c>
      <c r="L90" s="20">
        <v>0</v>
      </c>
    </row>
    <row r="91" spans="1:12">
      <c r="A91" s="2" t="s">
        <v>460</v>
      </c>
      <c r="B91" s="3" t="s">
        <v>461</v>
      </c>
      <c r="D91" s="20">
        <v>5.0184070789276971E-8</v>
      </c>
      <c r="E91" s="20">
        <v>0.87586723809638667</v>
      </c>
      <c r="F91" s="20">
        <v>0.53056683828212325</v>
      </c>
      <c r="G91" s="20">
        <v>0.34192878054125608</v>
      </c>
      <c r="H91" s="20">
        <v>0</v>
      </c>
      <c r="I91" s="20">
        <v>3.3716192730073235E-3</v>
      </c>
      <c r="J91" s="20">
        <v>7.8679012549132728E-3</v>
      </c>
      <c r="K91" s="20">
        <v>0.11626481046462935</v>
      </c>
      <c r="L91" s="20">
        <v>0</v>
      </c>
    </row>
    <row r="92" spans="1:12">
      <c r="A92" s="2" t="s">
        <v>462</v>
      </c>
      <c r="B92" s="3" t="s">
        <v>463</v>
      </c>
      <c r="D92" s="20">
        <v>4.4328339641458124E-9</v>
      </c>
      <c r="E92" s="20">
        <v>0.68547677915727112</v>
      </c>
      <c r="F92" s="20">
        <v>0.41740310904003192</v>
      </c>
      <c r="G92" s="20">
        <v>9.1211843824352171E-2</v>
      </c>
      <c r="H92" s="20">
        <v>0</v>
      </c>
      <c r="I92" s="20">
        <v>0.17686182629288708</v>
      </c>
      <c r="J92" s="20">
        <v>2.0852046010105514E-3</v>
      </c>
      <c r="K92" s="20">
        <v>0.31243801180888442</v>
      </c>
      <c r="L92" s="20">
        <v>0</v>
      </c>
    </row>
    <row r="93" spans="1:12">
      <c r="A93" s="2" t="s">
        <v>464</v>
      </c>
      <c r="B93" s="3" t="s">
        <v>465</v>
      </c>
      <c r="D93" s="20">
        <v>1.9672664584580464E-4</v>
      </c>
      <c r="E93" s="20">
        <v>0.80702073921068385</v>
      </c>
      <c r="F93" s="20">
        <v>0.64585853369754243</v>
      </c>
      <c r="G93" s="20">
        <v>0.12224552151448585</v>
      </c>
      <c r="H93" s="20">
        <v>0</v>
      </c>
      <c r="I93" s="20">
        <v>3.8916683998655513E-2</v>
      </c>
      <c r="J93" s="20">
        <v>2.7860396254550017E-3</v>
      </c>
      <c r="K93" s="20">
        <v>0.18999649451801531</v>
      </c>
      <c r="L93" s="20">
        <v>0</v>
      </c>
    </row>
    <row r="94" spans="1:12">
      <c r="A94" s="2" t="s">
        <v>466</v>
      </c>
      <c r="B94" s="3" t="s">
        <v>467</v>
      </c>
      <c r="D94" s="20">
        <v>1.8341298169918544E-18</v>
      </c>
      <c r="E94" s="20">
        <v>0.99971236452054402</v>
      </c>
      <c r="F94" s="20">
        <v>0.10504523452056526</v>
      </c>
      <c r="G94" s="20">
        <v>1.3804314639194153E-5</v>
      </c>
      <c r="H94" s="20">
        <v>0</v>
      </c>
      <c r="I94" s="20">
        <v>0.89465332568533962</v>
      </c>
      <c r="J94" s="20">
        <v>1.281476747852496E-4</v>
      </c>
      <c r="K94" s="20">
        <v>1.5948780467067798E-4</v>
      </c>
      <c r="L94" s="20">
        <v>0</v>
      </c>
    </row>
    <row r="95" spans="1:12">
      <c r="A95" s="2" t="s">
        <v>468</v>
      </c>
      <c r="B95" s="3" t="s">
        <v>469</v>
      </c>
      <c r="D95" s="20">
        <v>2.0190552337516865E-18</v>
      </c>
      <c r="E95" s="20">
        <v>0.88110472007347018</v>
      </c>
      <c r="F95" s="20">
        <v>0.70003928838868257</v>
      </c>
      <c r="G95" s="20">
        <v>0.17318806902035366</v>
      </c>
      <c r="H95" s="20">
        <v>0</v>
      </c>
      <c r="I95" s="20">
        <v>7.8773626644339685E-3</v>
      </c>
      <c r="J95" s="20">
        <v>3.9660225247804297E-3</v>
      </c>
      <c r="K95" s="20">
        <v>0.1149292574017495</v>
      </c>
      <c r="L95" s="20">
        <v>0</v>
      </c>
    </row>
    <row r="96" spans="1:12">
      <c r="A96" s="2" t="s">
        <v>470</v>
      </c>
      <c r="B96" s="165">
        <v>354656</v>
      </c>
      <c r="D96" s="20">
        <v>3.685575680515557E-10</v>
      </c>
      <c r="E96" s="20">
        <v>0.96976980697534854</v>
      </c>
      <c r="F96" s="20">
        <v>9.8260630934912684E-4</v>
      </c>
      <c r="G96" s="20">
        <v>3.8008007560368345E-4</v>
      </c>
      <c r="H96" s="20">
        <v>0</v>
      </c>
      <c r="I96" s="20">
        <v>0.96840712059039569</v>
      </c>
      <c r="J96" s="20">
        <v>1.2872060832133693E-4</v>
      </c>
      <c r="K96" s="20">
        <v>3.0101472047772509E-2</v>
      </c>
      <c r="L96" s="20">
        <v>0</v>
      </c>
    </row>
    <row r="97" spans="1:12">
      <c r="A97" s="2" t="s">
        <v>472</v>
      </c>
      <c r="B97" s="3" t="s">
        <v>473</v>
      </c>
      <c r="D97" s="20">
        <v>5.6641028338525053E-10</v>
      </c>
      <c r="E97" s="20">
        <v>0.93698640085454865</v>
      </c>
      <c r="F97" s="20">
        <v>4.1841316851947332E-3</v>
      </c>
      <c r="G97" s="20">
        <v>1.4504437793940266E-3</v>
      </c>
      <c r="H97" s="20">
        <v>0</v>
      </c>
      <c r="I97" s="20">
        <v>0.93135182538995986</v>
      </c>
      <c r="J97" s="20">
        <v>1.479312031909915E-4</v>
      </c>
      <c r="K97" s="20">
        <v>6.2865667375850254E-2</v>
      </c>
      <c r="L97" s="20">
        <v>0</v>
      </c>
    </row>
    <row r="98" spans="1:12">
      <c r="A98" s="2" t="s">
        <v>474</v>
      </c>
      <c r="B98" s="3" t="s">
        <v>475</v>
      </c>
      <c r="D98" s="20">
        <v>4.6703273223806301E-20</v>
      </c>
      <c r="E98" s="20">
        <v>0.85759042070419178</v>
      </c>
      <c r="F98" s="20">
        <v>0.7125601558305189</v>
      </c>
      <c r="G98" s="20">
        <v>0.12668263544690642</v>
      </c>
      <c r="H98" s="20">
        <v>0</v>
      </c>
      <c r="I98" s="20">
        <v>1.8347629426766418E-2</v>
      </c>
      <c r="J98" s="20">
        <v>2.8917469201694503E-3</v>
      </c>
      <c r="K98" s="20">
        <v>0.13951783237563878</v>
      </c>
      <c r="L98" s="20">
        <v>0</v>
      </c>
    </row>
    <row r="99" spans="1:12">
      <c r="A99" s="2" t="s">
        <v>476</v>
      </c>
      <c r="B99" s="3" t="s">
        <v>477</v>
      </c>
      <c r="D99" s="20">
        <v>1.7405611172047607E-7</v>
      </c>
      <c r="E99" s="20">
        <v>0.99150492535814228</v>
      </c>
      <c r="F99" s="20">
        <v>8.2520811929039914E-5</v>
      </c>
      <c r="G99" s="20">
        <v>3.8375941882559378E-5</v>
      </c>
      <c r="H99" s="20">
        <v>0</v>
      </c>
      <c r="I99" s="20">
        <v>0.99138402860433072</v>
      </c>
      <c r="J99" s="20">
        <v>1.2400975104986364E-4</v>
      </c>
      <c r="K99" s="20">
        <v>8.3708908346961635E-3</v>
      </c>
      <c r="L99" s="20">
        <v>0</v>
      </c>
    </row>
    <row r="100" spans="1:12">
      <c r="A100" s="2" t="s">
        <v>478</v>
      </c>
      <c r="B100" s="3" t="s">
        <v>479</v>
      </c>
      <c r="D100" s="20">
        <v>5.1057614999046341E-11</v>
      </c>
      <c r="E100" s="20">
        <v>0.67179395824125832</v>
      </c>
      <c r="F100" s="20">
        <v>0.21044312345375041</v>
      </c>
      <c r="G100" s="20">
        <v>5.1455321308394607E-2</v>
      </c>
      <c r="H100" s="20">
        <v>0</v>
      </c>
      <c r="I100" s="20">
        <v>0.40989551347911329</v>
      </c>
      <c r="J100" s="20">
        <v>1.2096766422964146E-3</v>
      </c>
      <c r="K100" s="20">
        <v>0.32699636506538754</v>
      </c>
      <c r="L100" s="20">
        <v>0</v>
      </c>
    </row>
    <row r="101" spans="1:12">
      <c r="A101" s="2" t="s">
        <v>480</v>
      </c>
      <c r="B101" s="3" t="s">
        <v>481</v>
      </c>
      <c r="D101" s="20">
        <v>4.6829757607198414E-11</v>
      </c>
      <c r="E101" s="20">
        <v>0.9858600746986147</v>
      </c>
      <c r="F101" s="20">
        <v>2.2304686566210454E-4</v>
      </c>
      <c r="G101" s="20">
        <v>9.6358865947805163E-5</v>
      </c>
      <c r="H101" s="20">
        <v>0</v>
      </c>
      <c r="I101" s="20">
        <v>0.98554066896700476</v>
      </c>
      <c r="J101" s="20">
        <v>1.2456354085092257E-4</v>
      </c>
      <c r="K101" s="20">
        <v>1.4015361713704646E-2</v>
      </c>
      <c r="L101" s="20">
        <v>0</v>
      </c>
    </row>
    <row r="102" spans="1:12">
      <c r="A102" s="2" t="s">
        <v>482</v>
      </c>
      <c r="B102" s="3" t="s">
        <v>483</v>
      </c>
      <c r="D102" s="20">
        <v>2.9435690732978414E-27</v>
      </c>
      <c r="E102" s="20">
        <v>0.99631680595705874</v>
      </c>
      <c r="F102" s="20">
        <v>1.592019732076217E-5</v>
      </c>
      <c r="G102" s="20">
        <v>8.3607262071955775E-6</v>
      </c>
      <c r="H102" s="20">
        <v>0</v>
      </c>
      <c r="I102" s="20">
        <v>0.99629252503353083</v>
      </c>
      <c r="J102" s="20">
        <v>1.2395929916653251E-4</v>
      </c>
      <c r="K102" s="20">
        <v>3.559234743774709E-3</v>
      </c>
      <c r="L102" s="20">
        <v>0</v>
      </c>
    </row>
    <row r="103" spans="1:12">
      <c r="A103" s="2" t="s">
        <v>484</v>
      </c>
      <c r="B103" s="3" t="s">
        <v>485</v>
      </c>
      <c r="D103" s="20">
        <v>2.3477888681692304E-13</v>
      </c>
      <c r="E103" s="20">
        <v>0.99177121972988613</v>
      </c>
      <c r="F103" s="20">
        <v>7.7541331463252741E-5</v>
      </c>
      <c r="G103" s="20">
        <v>3.622670289854189E-5</v>
      </c>
      <c r="H103" s="20">
        <v>0</v>
      </c>
      <c r="I103" s="20">
        <v>0.99165745169552433</v>
      </c>
      <c r="J103" s="20">
        <v>1.2399636418780364E-4</v>
      </c>
      <c r="K103" s="20">
        <v>8.1047839056912537E-3</v>
      </c>
      <c r="L103" s="20">
        <v>0</v>
      </c>
    </row>
    <row r="104" spans="1:12">
      <c r="A104" s="2" t="s">
        <v>486</v>
      </c>
      <c r="B104" s="3" t="s">
        <v>487</v>
      </c>
      <c r="D104" s="20">
        <v>2.8892691653085311E-9</v>
      </c>
      <c r="E104" s="20">
        <v>0.95439972649753779</v>
      </c>
      <c r="F104" s="20">
        <v>2.2032420800278977E-3</v>
      </c>
      <c r="G104" s="20">
        <v>8.0196935454451563E-4</v>
      </c>
      <c r="H104" s="20">
        <v>0</v>
      </c>
      <c r="I104" s="20">
        <v>0.95139451506296535</v>
      </c>
      <c r="J104" s="20">
        <v>1.3598162697133536E-4</v>
      </c>
      <c r="K104" s="20">
        <v>4.54642889862217E-2</v>
      </c>
      <c r="L104" s="20">
        <v>0</v>
      </c>
    </row>
    <row r="105" spans="1:12">
      <c r="A105" s="2" t="s">
        <v>488</v>
      </c>
      <c r="B105" s="3" t="s">
        <v>489</v>
      </c>
      <c r="D105" s="20">
        <v>2.3409957364906419E-16</v>
      </c>
      <c r="E105" s="20">
        <v>0.99560748389239406</v>
      </c>
      <c r="F105" s="20">
        <v>2.2577447321248575E-5</v>
      </c>
      <c r="G105" s="20">
        <v>1.1555011791707383E-5</v>
      </c>
      <c r="H105" s="20">
        <v>0</v>
      </c>
      <c r="I105" s="20">
        <v>0.99557335143328107</v>
      </c>
      <c r="J105" s="20">
        <v>1.2394005530232203E-4</v>
      </c>
      <c r="K105" s="20">
        <v>4.2685760523033228E-3</v>
      </c>
      <c r="L105" s="20">
        <v>0</v>
      </c>
    </row>
    <row r="106" spans="1:12">
      <c r="A106" s="2" t="s">
        <v>490</v>
      </c>
      <c r="B106" s="3" t="s">
        <v>491</v>
      </c>
      <c r="D106" s="20">
        <v>1.2722232987936346E-8</v>
      </c>
      <c r="E106" s="20">
        <v>0.85471425954810154</v>
      </c>
      <c r="F106" s="20">
        <v>2.327220638079398E-2</v>
      </c>
      <c r="G106" s="20">
        <v>7.0458454867605444E-3</v>
      </c>
      <c r="H106" s="20">
        <v>0</v>
      </c>
      <c r="I106" s="20">
        <v>0.824396207680547</v>
      </c>
      <c r="J106" s="20">
        <v>2.5976886736885877E-4</v>
      </c>
      <c r="K106" s="20">
        <v>0.14502595886229666</v>
      </c>
      <c r="L106" s="20">
        <v>0</v>
      </c>
    </row>
    <row r="107" spans="1:12">
      <c r="A107" s="2" t="s">
        <v>492</v>
      </c>
      <c r="B107" s="3" t="s">
        <v>493</v>
      </c>
      <c r="D107" s="20">
        <v>2.1948267886361192E-16</v>
      </c>
      <c r="E107" s="20">
        <v>0.87421191136843279</v>
      </c>
      <c r="F107" s="20">
        <v>0.73328781289750034</v>
      </c>
      <c r="G107" s="20">
        <v>0.12728288853052708</v>
      </c>
      <c r="H107" s="20">
        <v>0</v>
      </c>
      <c r="I107" s="20">
        <v>1.3641209940405337E-2</v>
      </c>
      <c r="J107" s="20">
        <v>2.9076782520891997E-3</v>
      </c>
      <c r="K107" s="20">
        <v>0.12288041037947776</v>
      </c>
      <c r="L107" s="20">
        <v>0</v>
      </c>
    </row>
    <row r="108" spans="1:12">
      <c r="A108" s="2" t="s">
        <v>291</v>
      </c>
      <c r="B108" s="3" t="s">
        <v>494</v>
      </c>
      <c r="D108" s="20">
        <v>2.939915469365287E-10</v>
      </c>
      <c r="E108" s="20">
        <v>0.68534819951977999</v>
      </c>
      <c r="F108" s="20">
        <v>0.17069038514000651</v>
      </c>
      <c r="G108" s="20">
        <v>4.2825714132354031E-2</v>
      </c>
      <c r="H108" s="20">
        <v>0</v>
      </c>
      <c r="I108" s="20">
        <v>0.47183210024741945</v>
      </c>
      <c r="J108" s="20">
        <v>1.0220556901142995E-3</v>
      </c>
      <c r="K108" s="20">
        <v>0.31362974449611408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3.6306841723484446E-9</v>
      </c>
      <c r="E2" s="14">
        <v>3.0924387921632409E-5</v>
      </c>
      <c r="F2" s="14">
        <v>1.4759195547466605E-6</v>
      </c>
      <c r="G2" s="14">
        <v>4.298908903074089E-7</v>
      </c>
      <c r="H2" s="14">
        <v>0</v>
      </c>
      <c r="I2" s="14">
        <v>1.3456742362696239E-8</v>
      </c>
      <c r="J2" s="14">
        <v>7.1527142067784879E-6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1.4317682371346838E-7</v>
      </c>
      <c r="E3" s="14">
        <v>2.6133968554701648E-8</v>
      </c>
      <c r="F3" s="14">
        <v>9.6905167939287437E-6</v>
      </c>
      <c r="G3" s="14">
        <v>2.6256842186805562E-5</v>
      </c>
      <c r="H3" s="14">
        <v>0</v>
      </c>
      <c r="I3" s="14">
        <v>6.087538501043015E-7</v>
      </c>
      <c r="J3" s="14">
        <v>3.2745763768932265E-6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1.7642286876544246E-16</v>
      </c>
      <c r="E4" s="14">
        <v>1.4137985122370345E-5</v>
      </c>
      <c r="F4" s="14">
        <v>1.0046830946362475E-5</v>
      </c>
      <c r="G4" s="14">
        <v>2.3984167581702538E-6</v>
      </c>
      <c r="H4" s="14">
        <v>0</v>
      </c>
      <c r="I4" s="14">
        <v>5.5818963402904095E-8</v>
      </c>
      <c r="J4" s="14">
        <v>1.3360948209517597E-5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4.8002392575963992E-9</v>
      </c>
      <c r="E5" s="14">
        <v>2.7658939537841323E-7</v>
      </c>
      <c r="F5" s="14">
        <v>2.7035667666575528E-5</v>
      </c>
      <c r="G5" s="14">
        <v>7.8457172863931642E-6</v>
      </c>
      <c r="H5" s="14">
        <v>0</v>
      </c>
      <c r="I5" s="14">
        <v>1.7980668427106035E-7</v>
      </c>
      <c r="J5" s="14">
        <v>4.6574187281242384E-6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4.6941181322985143E-10</v>
      </c>
      <c r="E6" s="14">
        <v>1.1760523537059586E-8</v>
      </c>
      <c r="F6" s="14">
        <v>6.2191098758097523E-6</v>
      </c>
      <c r="G6" s="14">
        <v>3.0543850483989443E-5</v>
      </c>
      <c r="H6" s="14">
        <v>0</v>
      </c>
      <c r="I6" s="14">
        <v>7.1039784958551919E-7</v>
      </c>
      <c r="J6" s="14">
        <v>2.5144118552650065E-6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6.8945001897443265E-10</v>
      </c>
      <c r="E7" s="14">
        <v>2.3413989995513978E-8</v>
      </c>
      <c r="F7" s="14">
        <v>9.1448587701035596E-6</v>
      </c>
      <c r="G7" s="14">
        <v>2.7031650155406708E-5</v>
      </c>
      <c r="H7" s="14">
        <v>0</v>
      </c>
      <c r="I7" s="14">
        <v>6.2700774069334867E-7</v>
      </c>
      <c r="J7" s="14">
        <v>3.1723798937818992E-6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6.4806487060901056E-9</v>
      </c>
      <c r="E8" s="14">
        <v>5.1907620525179845E-8</v>
      </c>
      <c r="F8" s="14">
        <v>1.3851368883303103E-5</v>
      </c>
      <c r="G8" s="14">
        <v>2.1626600149810401E-5</v>
      </c>
      <c r="H8" s="14">
        <v>0</v>
      </c>
      <c r="I8" s="14">
        <v>4.9994174292825015E-7</v>
      </c>
      <c r="J8" s="14">
        <v>3.9637009547269759E-6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4.0549986112790776E-9</v>
      </c>
      <c r="E9" s="14">
        <v>2.3739050831048387E-6</v>
      </c>
      <c r="F9" s="14">
        <v>2.3892683200346395E-5</v>
      </c>
      <c r="G9" s="14">
        <v>4.6920267569420728E-6</v>
      </c>
      <c r="H9" s="14">
        <v>0</v>
      </c>
      <c r="I9" s="14">
        <v>1.0688474499202648E-7</v>
      </c>
      <c r="J9" s="14">
        <v>8.9304452160033913E-6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6.167225947815502E-11</v>
      </c>
      <c r="E10" s="14">
        <v>2.5721867721072675E-7</v>
      </c>
      <c r="F10" s="14">
        <v>2.6482810615157438E-5</v>
      </c>
      <c r="G10" s="14">
        <v>8.3841614004864475E-6</v>
      </c>
      <c r="H10" s="14">
        <v>0</v>
      </c>
      <c r="I10" s="14">
        <v>1.9222891189453179E-7</v>
      </c>
      <c r="J10" s="14">
        <v>4.6835187229913827E-6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3.2120584348938925E-9</v>
      </c>
      <c r="E11" s="14">
        <v>2.271935920801323E-7</v>
      </c>
      <c r="F11" s="14">
        <v>2.5506898407883192E-5</v>
      </c>
      <c r="G11" s="14">
        <v>9.335835866778031E-6</v>
      </c>
      <c r="H11" s="14">
        <v>0</v>
      </c>
      <c r="I11" s="14">
        <v>2.1420300369764756E-7</v>
      </c>
      <c r="J11" s="14">
        <v>4.7126570711261025E-6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2.1217189466855167E-9</v>
      </c>
      <c r="E12" s="14">
        <v>1.5237036053227807E-6</v>
      </c>
      <c r="F12" s="14">
        <v>2.5927585165656064E-5</v>
      </c>
      <c r="G12" s="14">
        <v>4.8984381053927641E-6</v>
      </c>
      <c r="H12" s="14">
        <v>0</v>
      </c>
      <c r="I12" s="14">
        <v>1.1164182688354562E-7</v>
      </c>
      <c r="J12" s="14">
        <v>7.5365095777981677E-6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6.3114050825343902E-9</v>
      </c>
      <c r="E13" s="14">
        <v>2.2776065116965868E-6</v>
      </c>
      <c r="F13" s="14">
        <v>2.4099069275822977E-5</v>
      </c>
      <c r="G13" s="14">
        <v>4.7151533903224365E-6</v>
      </c>
      <c r="H13" s="14">
        <v>0</v>
      </c>
      <c r="I13" s="14">
        <v>1.0741403538908605E-7</v>
      </c>
      <c r="J13" s="14">
        <v>8.7944453816863917E-6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2.1422844778293245E-9</v>
      </c>
      <c r="E14" s="14">
        <v>1.5087934208451169E-7</v>
      </c>
      <c r="F14" s="14">
        <v>2.2153959424994325E-5</v>
      </c>
      <c r="G14" s="14">
        <v>1.2712966756324667E-5</v>
      </c>
      <c r="H14" s="14">
        <v>0</v>
      </c>
      <c r="I14" s="14">
        <v>2.9235508863422241E-7</v>
      </c>
      <c r="J14" s="14">
        <v>4.687697103484448E-6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3.4966448865424398E-12</v>
      </c>
      <c r="E15" s="14">
        <v>2.4186006702242954E-7</v>
      </c>
      <c r="F15" s="14">
        <v>2.6003136946261194E-5</v>
      </c>
      <c r="G15" s="14">
        <v>8.8515901855835036E-6</v>
      </c>
      <c r="H15" s="14">
        <v>0</v>
      </c>
      <c r="I15" s="14">
        <v>2.0301892034391901E-7</v>
      </c>
      <c r="J15" s="14">
        <v>4.7003903841440725E-6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1.683463761934187E-8</v>
      </c>
      <c r="E16" s="14">
        <v>5.3695317266195751E-8</v>
      </c>
      <c r="F16" s="14">
        <v>1.4082442516014675E-5</v>
      </c>
      <c r="G16" s="14">
        <v>2.135863738073716E-5</v>
      </c>
      <c r="H16" s="14">
        <v>0</v>
      </c>
      <c r="I16" s="14">
        <v>4.9367171996436833E-7</v>
      </c>
      <c r="J16" s="14">
        <v>3.9947184283982702E-6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1.2329716604941522E-9</v>
      </c>
      <c r="E17" s="14">
        <v>2.7002609453366565E-7</v>
      </c>
      <c r="F17" s="14">
        <v>2.685513311783592E-5</v>
      </c>
      <c r="G17" s="14">
        <v>8.0227427149749239E-6</v>
      </c>
      <c r="H17" s="14">
        <v>0</v>
      </c>
      <c r="I17" s="14">
        <v>1.8388987617534706E-7</v>
      </c>
      <c r="J17" s="14">
        <v>4.6669752248196537E-6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1.2186491408401475E-7</v>
      </c>
      <c r="E18" s="14">
        <v>2.8437494316777427E-6</v>
      </c>
      <c r="F18" s="14">
        <v>2.2853509476834682E-5</v>
      </c>
      <c r="G18" s="14">
        <v>4.5629788619760332E-6</v>
      </c>
      <c r="H18" s="14">
        <v>0</v>
      </c>
      <c r="I18" s="14">
        <v>1.0394243512215752E-7</v>
      </c>
      <c r="J18" s="14">
        <v>9.5139548803053754E-6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1.2255096525069232E-11</v>
      </c>
      <c r="E19" s="14">
        <v>2.3887427217112745E-7</v>
      </c>
      <c r="F19" s="14">
        <v>2.5905438689071072E-5</v>
      </c>
      <c r="G19" s="14">
        <v>8.9471868378519348E-6</v>
      </c>
      <c r="H19" s="14">
        <v>0</v>
      </c>
      <c r="I19" s="14">
        <v>2.0522632677492181E-7</v>
      </c>
      <c r="J19" s="14">
        <v>4.7032616190344193E-6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9.5539774659985004E-10</v>
      </c>
      <c r="E20" s="14">
        <v>2.2779115317538409E-6</v>
      </c>
      <c r="F20" s="14">
        <v>2.4102296654851147E-5</v>
      </c>
      <c r="G20" s="14">
        <v>4.7157848498610753E-6</v>
      </c>
      <c r="H20" s="14">
        <v>0</v>
      </c>
      <c r="I20" s="14">
        <v>1.074284204178678E-7</v>
      </c>
      <c r="J20" s="14">
        <v>8.7956231453694772E-6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1.7929028989188214E-8</v>
      </c>
      <c r="E21" s="14">
        <v>1.7054909137746492E-7</v>
      </c>
      <c r="F21" s="14">
        <v>2.3164929580217791E-5</v>
      </c>
      <c r="G21" s="14">
        <v>1.1666122695142515E-5</v>
      </c>
      <c r="H21" s="14">
        <v>0</v>
      </c>
      <c r="I21" s="14">
        <v>2.6810190755509119E-7</v>
      </c>
      <c r="J21" s="14">
        <v>4.7123676967179592E-6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7.8501377956245723E-8</v>
      </c>
      <c r="E22" s="14">
        <v>2.2469319550622259E-5</v>
      </c>
      <c r="F22" s="14">
        <v>4.8078564798982424E-6</v>
      </c>
      <c r="G22" s="14">
        <v>1.2538542327150588E-6</v>
      </c>
      <c r="H22" s="14">
        <v>0</v>
      </c>
      <c r="I22" s="14">
        <v>3.0956195208300935E-8</v>
      </c>
      <c r="J22" s="14">
        <v>1.1359512163599904E-5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3.3446883307160644E-9</v>
      </c>
      <c r="E23" s="14">
        <v>2.8405883106016624E-5</v>
      </c>
      <c r="F23" s="14">
        <v>2.2920805183304656E-6</v>
      </c>
      <c r="G23" s="14">
        <v>6.422815181478648E-7</v>
      </c>
      <c r="H23" s="14">
        <v>0</v>
      </c>
      <c r="I23" s="14">
        <v>1.7915774412045348E-8</v>
      </c>
      <c r="J23" s="14">
        <v>8.6384943947622926E-6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2.8940867271776097E-9</v>
      </c>
      <c r="E24" s="14">
        <v>6.9567145249326963E-6</v>
      </c>
      <c r="F24" s="14">
        <v>1.6833939281578558E-5</v>
      </c>
      <c r="G24" s="14">
        <v>3.6718193971203343E-6</v>
      </c>
      <c r="H24" s="14">
        <v>0</v>
      </c>
      <c r="I24" s="14">
        <v>8.3927738523424114E-8</v>
      </c>
      <c r="J24" s="14">
        <v>1.2450704971117816E-5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5.2970828864776959E-7</v>
      </c>
      <c r="E25" s="14">
        <v>8.2914294392375767E-7</v>
      </c>
      <c r="F25" s="14">
        <v>2.7714751156734519E-5</v>
      </c>
      <c r="G25" s="14">
        <v>4.9820323003925394E-6</v>
      </c>
      <c r="H25" s="14">
        <v>0</v>
      </c>
      <c r="I25" s="14">
        <v>1.1368581540853187E-7</v>
      </c>
      <c r="J25" s="14">
        <v>5.8306794948928891E-6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1.4387968848477991E-8</v>
      </c>
      <c r="E26" s="14">
        <v>1.8477879449089012E-7</v>
      </c>
      <c r="F26" s="14">
        <v>2.3827238050579355E-5</v>
      </c>
      <c r="G26" s="14">
        <v>1.0999406670956878E-5</v>
      </c>
      <c r="H26" s="14">
        <v>0</v>
      </c>
      <c r="I26" s="14">
        <v>2.526679062837667E-7</v>
      </c>
      <c r="J26" s="14">
        <v>4.7215206088406453E-6</v>
      </c>
      <c r="K26" s="14">
        <v>0</v>
      </c>
    </row>
    <row r="27" spans="1:14">
      <c r="A27" s="2" t="s">
        <v>353</v>
      </c>
      <c r="B27" s="3" t="s">
        <v>354</v>
      </c>
      <c r="D27" s="14">
        <v>9.9227305384868028E-8</v>
      </c>
      <c r="E27" s="14">
        <v>2.8725251407578895E-8</v>
      </c>
      <c r="F27" s="14">
        <v>1.0200123091633986E-5</v>
      </c>
      <c r="G27" s="14">
        <v>2.5704015124315435E-5</v>
      </c>
      <c r="H27" s="14">
        <v>0</v>
      </c>
      <c r="I27" s="14">
        <v>5.957070951978008E-7</v>
      </c>
      <c r="J27" s="14">
        <v>3.3722021320603348E-6</v>
      </c>
      <c r="K27" s="14">
        <v>0</v>
      </c>
    </row>
    <row r="28" spans="1:14">
      <c r="A28" s="2" t="s">
        <v>355</v>
      </c>
      <c r="B28" s="3" t="s">
        <v>356</v>
      </c>
      <c r="D28" s="14">
        <v>5.4053203255294454E-9</v>
      </c>
      <c r="E28" s="14">
        <v>1.020831532235413E-7</v>
      </c>
      <c r="F28" s="14">
        <v>1.8936322909243974E-5</v>
      </c>
      <c r="G28" s="14">
        <v>1.6076488941218835E-5</v>
      </c>
      <c r="H28" s="14">
        <v>0</v>
      </c>
      <c r="I28" s="14">
        <v>3.7045463168103175E-7</v>
      </c>
      <c r="J28" s="14">
        <v>4.5092450443070904E-6</v>
      </c>
      <c r="K28" s="14">
        <v>0</v>
      </c>
    </row>
    <row r="29" spans="1:14">
      <c r="A29" s="2" t="s">
        <v>357</v>
      </c>
      <c r="B29" s="3" t="s">
        <v>358</v>
      </c>
      <c r="D29" s="14">
        <v>1.0881975480852509E-6</v>
      </c>
      <c r="E29" s="14">
        <v>1.5298201734637609E-7</v>
      </c>
      <c r="F29" s="14">
        <v>2.1886784303169238E-5</v>
      </c>
      <c r="G29" s="14">
        <v>1.2024790350492513E-5</v>
      </c>
      <c r="H29" s="14">
        <v>0</v>
      </c>
      <c r="I29" s="14">
        <v>2.7646761815643283E-7</v>
      </c>
      <c r="J29" s="14">
        <v>4.5707781627501939E-6</v>
      </c>
      <c r="K29" s="14">
        <v>0</v>
      </c>
    </row>
    <row r="30" spans="1:14">
      <c r="A30" s="2" t="s">
        <v>359</v>
      </c>
      <c r="B30" s="3" t="s">
        <v>360</v>
      </c>
      <c r="D30" s="14">
        <v>5.4053203255294454E-9</v>
      </c>
      <c r="E30" s="14">
        <v>1.020831532235413E-7</v>
      </c>
      <c r="F30" s="14">
        <v>1.8936322909243974E-5</v>
      </c>
      <c r="G30" s="14">
        <v>1.6076488941218835E-5</v>
      </c>
      <c r="H30" s="14">
        <v>0</v>
      </c>
      <c r="I30" s="14">
        <v>3.7045463168103175E-7</v>
      </c>
      <c r="J30" s="14">
        <v>4.5092450443070904E-6</v>
      </c>
      <c r="K30" s="14">
        <v>0</v>
      </c>
    </row>
    <row r="31" spans="1:14">
      <c r="A31" s="2" t="s">
        <v>283</v>
      </c>
      <c r="B31" s="3" t="s">
        <v>284</v>
      </c>
      <c r="D31" s="14">
        <v>1.0485942800514562E-12</v>
      </c>
      <c r="E31" s="14">
        <v>3.9026546780292676E-5</v>
      </c>
      <c r="F31" s="14">
        <v>2.4014950690918665E-8</v>
      </c>
      <c r="G31" s="14">
        <v>9.6377854617292129E-9</v>
      </c>
      <c r="H31" s="14">
        <v>0</v>
      </c>
      <c r="I31" s="14">
        <v>5.0614635637769308E-9</v>
      </c>
      <c r="J31" s="14">
        <v>9.3473797139662351E-7</v>
      </c>
      <c r="K31" s="14">
        <v>0</v>
      </c>
    </row>
    <row r="32" spans="1:14">
      <c r="A32" s="2" t="s">
        <v>361</v>
      </c>
      <c r="B32" s="3" t="s">
        <v>362</v>
      </c>
      <c r="D32" s="14">
        <v>8.5289914556388737E-13</v>
      </c>
      <c r="E32" s="14">
        <v>1.7361070050505614E-5</v>
      </c>
      <c r="F32" s="14">
        <v>7.8045880439581591E-6</v>
      </c>
      <c r="G32" s="14">
        <v>1.9242816823717566E-6</v>
      </c>
      <c r="H32" s="14">
        <v>0</v>
      </c>
      <c r="I32" s="14">
        <v>4.5904013366270579E-8</v>
      </c>
      <c r="J32" s="14">
        <v>1.2864155356899057E-5</v>
      </c>
      <c r="K32" s="14">
        <v>0</v>
      </c>
    </row>
    <row r="33" spans="1:11">
      <c r="A33" s="2" t="s">
        <v>364</v>
      </c>
      <c r="B33" s="3" t="s">
        <v>365</v>
      </c>
      <c r="D33" s="14">
        <v>4.8280832173183308E-15</v>
      </c>
      <c r="E33" s="14">
        <v>3.9824610844927398E-5</v>
      </c>
      <c r="F33" s="14">
        <v>1.6807112807397569E-7</v>
      </c>
      <c r="G33" s="14">
        <v>5.1394948788424923E-11</v>
      </c>
      <c r="H33" s="14">
        <v>0</v>
      </c>
      <c r="I33" s="14">
        <v>4.9819067758383625E-9</v>
      </c>
      <c r="J33" s="14">
        <v>2.2847204459149587E-9</v>
      </c>
      <c r="K33" s="14">
        <v>0</v>
      </c>
    </row>
    <row r="34" spans="1:11">
      <c r="A34" s="2" t="s">
        <v>285</v>
      </c>
      <c r="B34" s="3" t="s">
        <v>286</v>
      </c>
      <c r="D34" s="14">
        <v>1.4354744580134297E-14</v>
      </c>
      <c r="E34" s="14">
        <v>2.1901902599358616E-5</v>
      </c>
      <c r="F34" s="14">
        <v>1.8083538603191787E-5</v>
      </c>
      <c r="G34" s="14">
        <v>1.4851076142143448E-9</v>
      </c>
      <c r="H34" s="14">
        <v>0</v>
      </c>
      <c r="I34" s="14">
        <v>5.2884614745999765E-9</v>
      </c>
      <c r="J34" s="14">
        <v>7.7852140060350058E-9</v>
      </c>
      <c r="K34" s="14">
        <v>0</v>
      </c>
    </row>
    <row r="35" spans="1:11">
      <c r="A35" s="2" t="s">
        <v>287</v>
      </c>
      <c r="B35" s="3" t="s">
        <v>288</v>
      </c>
      <c r="D35" s="14">
        <v>4.1813493871188604E-16</v>
      </c>
      <c r="E35" s="14">
        <v>1.2966215988137915E-5</v>
      </c>
      <c r="F35" s="14">
        <v>2.7004418263477755E-5</v>
      </c>
      <c r="G35" s="14">
        <v>5.2295238579782909E-9</v>
      </c>
      <c r="H35" s="14">
        <v>0</v>
      </c>
      <c r="I35" s="14">
        <v>5.2921510546793157E-9</v>
      </c>
      <c r="J35" s="14">
        <v>1.8844073053543007E-8</v>
      </c>
      <c r="K35" s="14">
        <v>0</v>
      </c>
    </row>
    <row r="36" spans="1:11">
      <c r="A36" s="2" t="s">
        <v>366</v>
      </c>
      <c r="B36" s="3" t="s">
        <v>305</v>
      </c>
      <c r="D36" s="14">
        <v>7.3715482006259295E-13</v>
      </c>
      <c r="E36" s="14">
        <v>4.3251220118723006E-6</v>
      </c>
      <c r="F36" s="14">
        <v>3.5638542767847946E-5</v>
      </c>
      <c r="G36" s="14">
        <v>1.0203794916823852E-8</v>
      </c>
      <c r="H36" s="14">
        <v>0</v>
      </c>
      <c r="I36" s="14">
        <v>5.0699130437739956E-9</v>
      </c>
      <c r="J36" s="14">
        <v>2.1060775164337802E-8</v>
      </c>
      <c r="K36" s="14">
        <v>0</v>
      </c>
    </row>
    <row r="37" spans="1:11">
      <c r="A37" s="2" t="s">
        <v>289</v>
      </c>
      <c r="B37" s="3" t="s">
        <v>290</v>
      </c>
      <c r="D37" s="14">
        <v>1.6763180709675999E-19</v>
      </c>
      <c r="E37" s="14">
        <v>8.3217616711305761E-6</v>
      </c>
      <c r="F37" s="14">
        <v>2.787255929932066E-5</v>
      </c>
      <c r="G37" s="14">
        <v>9.5158228637786874E-7</v>
      </c>
      <c r="H37" s="14">
        <v>0</v>
      </c>
      <c r="I37" s="14">
        <v>2.5578529490463264E-8</v>
      </c>
      <c r="J37" s="14">
        <v>2.8285182136802733E-6</v>
      </c>
      <c r="K37" s="14">
        <v>0</v>
      </c>
    </row>
    <row r="38" spans="1:11">
      <c r="A38" s="2" t="s">
        <v>291</v>
      </c>
      <c r="B38" s="3" t="s">
        <v>292</v>
      </c>
      <c r="D38" s="14">
        <v>4.8319433765280161E-17</v>
      </c>
      <c r="E38" s="14">
        <v>2.4525940466134951E-5</v>
      </c>
      <c r="F38" s="14">
        <v>1.5380386319035245E-5</v>
      </c>
      <c r="G38" s="14">
        <v>1.2849442690922446E-8</v>
      </c>
      <c r="H38" s="14">
        <v>0</v>
      </c>
      <c r="I38" s="14">
        <v>5.5234346652423732E-9</v>
      </c>
      <c r="J38" s="14">
        <v>7.5300337425318746E-8</v>
      </c>
      <c r="K38" s="14">
        <v>0</v>
      </c>
    </row>
    <row r="39" spans="1:11">
      <c r="A39" s="2" t="s">
        <v>367</v>
      </c>
      <c r="B39" s="3" t="s">
        <v>368</v>
      </c>
      <c r="D39" s="14">
        <v>5.8032582653958E-10</v>
      </c>
      <c r="E39" s="14">
        <v>4.1337531531139092E-7</v>
      </c>
      <c r="F39" s="14">
        <v>2.9843249756181677E-5</v>
      </c>
      <c r="G39" s="14">
        <v>5.2124472013551481E-6</v>
      </c>
      <c r="H39" s="14">
        <v>0</v>
      </c>
      <c r="I39" s="14">
        <v>1.1917227941352398E-7</v>
      </c>
      <c r="J39" s="14">
        <v>4.4111751219117252E-6</v>
      </c>
      <c r="K39" s="14">
        <v>0</v>
      </c>
    </row>
    <row r="40" spans="1:11">
      <c r="A40" s="2" t="s">
        <v>369</v>
      </c>
      <c r="B40" s="3" t="s">
        <v>370</v>
      </c>
      <c r="D40" s="14">
        <v>3.7015553132709015E-17</v>
      </c>
      <c r="E40" s="14">
        <v>4.0356385346704086E-8</v>
      </c>
      <c r="F40" s="14">
        <v>3.6820852098251011E-5</v>
      </c>
      <c r="G40" s="14">
        <v>2.6638772661090592E-6</v>
      </c>
      <c r="H40" s="14">
        <v>0</v>
      </c>
      <c r="I40" s="14">
        <v>3.5908270713952256E-7</v>
      </c>
      <c r="J40" s="14">
        <v>1.158315431167051E-7</v>
      </c>
      <c r="K40" s="14">
        <v>0</v>
      </c>
    </row>
    <row r="41" spans="1:11">
      <c r="A41" s="2" t="s">
        <v>371</v>
      </c>
      <c r="B41" s="3" t="s">
        <v>372</v>
      </c>
      <c r="D41" s="14">
        <v>3.2719019615554751E-6</v>
      </c>
      <c r="E41" s="14">
        <v>3.6538685782809027E-5</v>
      </c>
      <c r="F41" s="14">
        <v>1.1185991809434778E-9</v>
      </c>
      <c r="G41" s="14">
        <v>5.5997682312216465E-10</v>
      </c>
      <c r="H41" s="14">
        <v>0</v>
      </c>
      <c r="I41" s="14">
        <v>4.5517274887811967E-9</v>
      </c>
      <c r="J41" s="14">
        <v>1.8318195214265331E-7</v>
      </c>
      <c r="K41" s="14">
        <v>0</v>
      </c>
    </row>
    <row r="42" spans="1:11">
      <c r="A42" s="2" t="s">
        <v>293</v>
      </c>
      <c r="B42" s="3" t="s">
        <v>294</v>
      </c>
      <c r="D42" s="14">
        <v>7.007588681367844E-13</v>
      </c>
      <c r="E42" s="14">
        <v>2.0976896869388117E-5</v>
      </c>
      <c r="F42" s="14">
        <v>5.6213783586291114E-6</v>
      </c>
      <c r="G42" s="14">
        <v>1.4419107269978398E-6</v>
      </c>
      <c r="H42" s="14">
        <v>0</v>
      </c>
      <c r="I42" s="14">
        <v>3.5016106143790309E-8</v>
      </c>
      <c r="J42" s="14">
        <v>1.1924797238082279E-5</v>
      </c>
      <c r="K42" s="14">
        <v>0</v>
      </c>
    </row>
    <row r="43" spans="1:11">
      <c r="A43" s="2" t="s">
        <v>373</v>
      </c>
      <c r="B43" s="3" t="s">
        <v>374</v>
      </c>
      <c r="D43" s="14">
        <v>1.7251037456244564E-12</v>
      </c>
      <c r="E43" s="14">
        <v>3.5260910857888082E-7</v>
      </c>
      <c r="F43" s="14">
        <v>3.9587228794039004E-5</v>
      </c>
      <c r="G43" s="14">
        <v>3.3425431508923095E-8</v>
      </c>
      <c r="H43" s="14">
        <v>0</v>
      </c>
      <c r="I43" s="14">
        <v>9.8620438586719771E-9</v>
      </c>
      <c r="J43" s="14">
        <v>1.6872896910764949E-8</v>
      </c>
      <c r="K43" s="14">
        <v>0</v>
      </c>
    </row>
    <row r="44" spans="1:11">
      <c r="A44" s="2" t="s">
        <v>375</v>
      </c>
      <c r="B44" s="3" t="s">
        <v>376</v>
      </c>
      <c r="D44" s="14">
        <v>3.4056382447825042E-6</v>
      </c>
      <c r="E44" s="14">
        <v>3.0479732755733827E-5</v>
      </c>
      <c r="F44" s="14">
        <v>7.7852529748672261E-7</v>
      </c>
      <c r="G44" s="14">
        <v>2.3744787348426095E-7</v>
      </c>
      <c r="H44" s="14">
        <v>0</v>
      </c>
      <c r="I44" s="14">
        <v>9.0879003744767563E-9</v>
      </c>
      <c r="J44" s="14">
        <v>5.0895679281382079E-6</v>
      </c>
      <c r="K44" s="14">
        <v>0</v>
      </c>
    </row>
    <row r="45" spans="1:11">
      <c r="A45" s="2" t="s">
        <v>377</v>
      </c>
      <c r="B45" s="3" t="s">
        <v>378</v>
      </c>
      <c r="D45" s="14">
        <v>2.6657060235893012E-8</v>
      </c>
      <c r="E45" s="14">
        <v>1.9566128161576809E-5</v>
      </c>
      <c r="F45" s="14">
        <v>6.4045182602874347E-6</v>
      </c>
      <c r="G45" s="14">
        <v>1.61875835730928E-6</v>
      </c>
      <c r="H45" s="14">
        <v>0</v>
      </c>
      <c r="I45" s="14">
        <v>3.8836968932265739E-8</v>
      </c>
      <c r="J45" s="14">
        <v>1.2345101191658325E-5</v>
      </c>
      <c r="K45" s="14">
        <v>0</v>
      </c>
    </row>
    <row r="46" spans="1:11">
      <c r="A46" s="2" t="s">
        <v>379</v>
      </c>
      <c r="B46" s="3" t="s">
        <v>380</v>
      </c>
      <c r="D46" s="14">
        <v>8.0158034057619072E-8</v>
      </c>
      <c r="E46" s="14">
        <v>2.0414544670319157E-5</v>
      </c>
      <c r="F46" s="14">
        <v>5.8968661778902442E-6</v>
      </c>
      <c r="G46" s="14">
        <v>1.5042389416683391E-6</v>
      </c>
      <c r="H46" s="14">
        <v>0</v>
      </c>
      <c r="I46" s="14">
        <v>3.6354550902178543E-8</v>
      </c>
      <c r="J46" s="14">
        <v>1.2067837625162471E-5</v>
      </c>
      <c r="K46" s="14">
        <v>0</v>
      </c>
    </row>
    <row r="47" spans="1:11">
      <c r="A47" s="2" t="s">
        <v>381</v>
      </c>
      <c r="B47" s="3" t="s">
        <v>382</v>
      </c>
      <c r="D47" s="14">
        <v>1.6882237930623738E-12</v>
      </c>
      <c r="E47" s="14">
        <v>2.6227847950762712E-8</v>
      </c>
      <c r="F47" s="14">
        <v>9.7253274221817568E-6</v>
      </c>
      <c r="G47" s="14">
        <v>2.6351162974014305E-5</v>
      </c>
      <c r="H47" s="14">
        <v>0</v>
      </c>
      <c r="I47" s="14">
        <v>6.1094063791182554E-7</v>
      </c>
      <c r="J47" s="14">
        <v>3.2863394297175652E-6</v>
      </c>
      <c r="K47" s="14">
        <v>0</v>
      </c>
    </row>
    <row r="48" spans="1:11">
      <c r="A48" s="2" t="s">
        <v>383</v>
      </c>
      <c r="B48" s="3" t="s">
        <v>384</v>
      </c>
      <c r="D48" s="14">
        <v>4.7082961719504233E-7</v>
      </c>
      <c r="E48" s="14">
        <v>3.6124048324114636E-5</v>
      </c>
      <c r="F48" s="14">
        <v>2.5138420634976746E-7</v>
      </c>
      <c r="G48" s="14">
        <v>8.4378838767802106E-8</v>
      </c>
      <c r="H48" s="14">
        <v>0</v>
      </c>
      <c r="I48" s="14">
        <v>6.3648108620064045E-9</v>
      </c>
      <c r="J48" s="14">
        <v>3.0629942027107547E-6</v>
      </c>
      <c r="K48" s="14">
        <v>0</v>
      </c>
    </row>
    <row r="49" spans="1:11">
      <c r="A49" s="2" t="s">
        <v>385</v>
      </c>
      <c r="B49" s="3" t="s">
        <v>386</v>
      </c>
      <c r="D49" s="14">
        <v>8.791085707182519E-7</v>
      </c>
      <c r="E49" s="14">
        <v>3.4472688474422198E-5</v>
      </c>
      <c r="F49" s="14">
        <v>4.4824631613492116E-7</v>
      </c>
      <c r="G49" s="14">
        <v>1.4368528191559769E-7</v>
      </c>
      <c r="H49" s="14">
        <v>0</v>
      </c>
      <c r="I49" s="14">
        <v>7.4844955747637719E-9</v>
      </c>
      <c r="J49" s="14">
        <v>4.0487868612342704E-6</v>
      </c>
      <c r="K49" s="14">
        <v>0</v>
      </c>
    </row>
    <row r="50" spans="1:11">
      <c r="A50" s="2" t="s">
        <v>387</v>
      </c>
      <c r="B50" s="3" t="s">
        <v>388</v>
      </c>
      <c r="D50" s="14">
        <v>2.6320902454606387E-7</v>
      </c>
      <c r="E50" s="14">
        <v>3.0094935456615602E-6</v>
      </c>
      <c r="F50" s="14">
        <v>2.2437527105803726E-5</v>
      </c>
      <c r="G50" s="14">
        <v>4.5047484647834147E-6</v>
      </c>
      <c r="H50" s="14">
        <v>0</v>
      </c>
      <c r="I50" s="14">
        <v>1.0261837638707131E-7</v>
      </c>
      <c r="J50" s="14">
        <v>9.6824034828181656E-6</v>
      </c>
      <c r="K50" s="14">
        <v>0</v>
      </c>
    </row>
    <row r="51" spans="1:11">
      <c r="A51" s="2" t="s">
        <v>295</v>
      </c>
      <c r="B51" s="3" t="s">
        <v>296</v>
      </c>
      <c r="D51" s="14">
        <v>2.6218224357404307E-6</v>
      </c>
      <c r="E51" s="14">
        <v>3.6133989672757185E-5</v>
      </c>
      <c r="F51" s="14">
        <v>4.0520751426717636E-8</v>
      </c>
      <c r="G51" s="14">
        <v>1.5558690646130805E-8</v>
      </c>
      <c r="H51" s="14">
        <v>0</v>
      </c>
      <c r="I51" s="14">
        <v>4.8334836925715563E-9</v>
      </c>
      <c r="J51" s="14">
        <v>1.183274965736973E-6</v>
      </c>
      <c r="K51" s="14">
        <v>0</v>
      </c>
    </row>
    <row r="52" spans="1:11">
      <c r="A52" s="2" t="s">
        <v>389</v>
      </c>
      <c r="B52" s="3" t="s">
        <v>390</v>
      </c>
      <c r="D52" s="14">
        <v>2.7571721369767245E-6</v>
      </c>
      <c r="E52" s="14">
        <v>2.889591968815367E-5</v>
      </c>
      <c r="F52" s="14">
        <v>1.3450489689520345E-6</v>
      </c>
      <c r="G52" s="14">
        <v>3.9249456858924635E-7</v>
      </c>
      <c r="H52" s="14">
        <v>0</v>
      </c>
      <c r="I52" s="14">
        <v>1.2367709550502062E-8</v>
      </c>
      <c r="J52" s="14">
        <v>6.596996927777822E-6</v>
      </c>
      <c r="K52" s="14">
        <v>0</v>
      </c>
    </row>
    <row r="53" spans="1:11">
      <c r="A53" s="2" t="s">
        <v>391</v>
      </c>
      <c r="B53" s="3" t="s">
        <v>392</v>
      </c>
      <c r="D53" s="14">
        <v>7.8697027736874114E-8</v>
      </c>
      <c r="E53" s="14">
        <v>1.5140874881168639E-5</v>
      </c>
      <c r="F53" s="14">
        <v>9.2604596752337811E-6</v>
      </c>
      <c r="G53" s="14">
        <v>2.2352602770450001E-6</v>
      </c>
      <c r="H53" s="14">
        <v>0</v>
      </c>
      <c r="I53" s="14">
        <v>5.2243842311483023E-8</v>
      </c>
      <c r="J53" s="14">
        <v>1.3232464296504226E-5</v>
      </c>
      <c r="K53" s="14">
        <v>0</v>
      </c>
    </row>
    <row r="54" spans="1:11">
      <c r="A54" s="2" t="s">
        <v>393</v>
      </c>
      <c r="B54" s="3" t="s">
        <v>394</v>
      </c>
      <c r="D54" s="14">
        <v>7.7660233780007998E-9</v>
      </c>
      <c r="E54" s="14">
        <v>3.6526775394566315E-8</v>
      </c>
      <c r="F54" s="14">
        <v>1.1589719056223676E-5</v>
      </c>
      <c r="G54" s="14">
        <v>2.4186245890218978E-5</v>
      </c>
      <c r="H54" s="14">
        <v>0</v>
      </c>
      <c r="I54" s="14">
        <v>5.5997127111744208E-7</v>
      </c>
      <c r="J54" s="14">
        <v>3.619770983667337E-6</v>
      </c>
      <c r="K54" s="14">
        <v>0</v>
      </c>
    </row>
    <row r="55" spans="1:11">
      <c r="A55" s="2" t="s">
        <v>395</v>
      </c>
      <c r="B55" s="3" t="s">
        <v>396</v>
      </c>
      <c r="D55" s="14">
        <v>5.316677744388855E-6</v>
      </c>
      <c r="E55" s="14">
        <v>5.4471956973148659E-6</v>
      </c>
      <c r="F55" s="14">
        <v>1.5314913649415045E-5</v>
      </c>
      <c r="G55" s="14">
        <v>3.3037723018807637E-6</v>
      </c>
      <c r="H55" s="14">
        <v>0</v>
      </c>
      <c r="I55" s="14">
        <v>7.5447245969562671E-8</v>
      </c>
      <c r="J55" s="14">
        <v>1.054199336103091E-5</v>
      </c>
      <c r="K55" s="14">
        <v>0</v>
      </c>
    </row>
    <row r="56" spans="1:11">
      <c r="A56" s="2" t="s">
        <v>397</v>
      </c>
      <c r="B56" s="3" t="s">
        <v>398</v>
      </c>
      <c r="D56" s="14">
        <v>2.4141274146717725E-5</v>
      </c>
      <c r="E56" s="14">
        <v>6.4439598891033022E-7</v>
      </c>
      <c r="F56" s="14">
        <v>1.0172657035400206E-5</v>
      </c>
      <c r="G56" s="14">
        <v>1.9325465251692213E-6</v>
      </c>
      <c r="H56" s="14">
        <v>0</v>
      </c>
      <c r="I56" s="14">
        <v>4.4040838245341874E-8</v>
      </c>
      <c r="J56" s="14">
        <v>3.0650854655571869E-6</v>
      </c>
      <c r="K56" s="14">
        <v>0</v>
      </c>
    </row>
    <row r="57" spans="1:11">
      <c r="A57" s="2" t="s">
        <v>399</v>
      </c>
      <c r="B57" s="3" t="s">
        <v>400</v>
      </c>
      <c r="D57" s="14">
        <v>3.0655285406847404E-5</v>
      </c>
      <c r="E57" s="14">
        <v>1.1648178155149547E-6</v>
      </c>
      <c r="F57" s="14">
        <v>4.5329359101669547E-6</v>
      </c>
      <c r="G57" s="14">
        <v>9.5471805143563803E-7</v>
      </c>
      <c r="H57" s="14">
        <v>0</v>
      </c>
      <c r="I57" s="14">
        <v>2.177243979800119E-8</v>
      </c>
      <c r="J57" s="14">
        <v>2.6704703762370487E-6</v>
      </c>
      <c r="K57" s="14">
        <v>0</v>
      </c>
    </row>
    <row r="58" spans="1:11">
      <c r="A58" s="2" t="s">
        <v>297</v>
      </c>
      <c r="B58" s="3" t="s">
        <v>298</v>
      </c>
      <c r="D58" s="14">
        <v>3.7264231674765039E-5</v>
      </c>
      <c r="E58" s="14">
        <v>2.3665997364030672E-6</v>
      </c>
      <c r="F58" s="14">
        <v>3.9515400330439876E-8</v>
      </c>
      <c r="G58" s="14">
        <v>1.2435462480209908E-8</v>
      </c>
      <c r="H58" s="14">
        <v>0</v>
      </c>
      <c r="I58" s="14">
        <v>5.7131346271010732E-10</v>
      </c>
      <c r="J58" s="14">
        <v>3.1664641255853424E-7</v>
      </c>
      <c r="K58" s="14">
        <v>0</v>
      </c>
    </row>
    <row r="59" spans="1:11">
      <c r="A59" s="2" t="s">
        <v>401</v>
      </c>
      <c r="B59" s="3" t="s">
        <v>402</v>
      </c>
      <c r="D59" s="14">
        <v>3.635924438839351E-5</v>
      </c>
      <c r="E59" s="14">
        <v>4.792338539034502E-7</v>
      </c>
      <c r="F59" s="14">
        <v>1.7301711423028923E-6</v>
      </c>
      <c r="G59" s="14">
        <v>3.664245975003282E-7</v>
      </c>
      <c r="H59" s="14">
        <v>0</v>
      </c>
      <c r="I59" s="14">
        <v>8.3585121597385344E-9</v>
      </c>
      <c r="J59" s="14">
        <v>1.0565675057400954E-6</v>
      </c>
      <c r="K59" s="14">
        <v>0</v>
      </c>
    </row>
    <row r="60" spans="1:11">
      <c r="A60" s="2" t="s">
        <v>299</v>
      </c>
      <c r="B60" s="3" t="s">
        <v>300</v>
      </c>
      <c r="D60" s="14">
        <v>3.9921548388765577E-5</v>
      </c>
      <c r="E60" s="14">
        <v>1.7911007591479279E-8</v>
      </c>
      <c r="F60" s="14">
        <v>2.8332284379305923E-8</v>
      </c>
      <c r="G60" s="14">
        <v>6.3764234115345543E-9</v>
      </c>
      <c r="H60" s="14">
        <v>0</v>
      </c>
      <c r="I60" s="14">
        <v>1.462921156261011E-10</v>
      </c>
      <c r="J60" s="14">
        <v>2.5685603736474543E-8</v>
      </c>
      <c r="K60" s="14">
        <v>0</v>
      </c>
    </row>
    <row r="61" spans="1:11">
      <c r="A61" s="2" t="s">
        <v>403</v>
      </c>
      <c r="B61" s="3" t="s">
        <v>404</v>
      </c>
      <c r="D61" s="14">
        <v>1.7874512946425385E-48</v>
      </c>
      <c r="E61" s="14">
        <v>1.1351332819817936E-5</v>
      </c>
      <c r="F61" s="14">
        <v>1.2339808831539797E-5</v>
      </c>
      <c r="G61" s="14">
        <v>2.8549860268806641E-6</v>
      </c>
      <c r="H61" s="14">
        <v>0</v>
      </c>
      <c r="I61" s="14">
        <v>6.5844149177628131E-8</v>
      </c>
      <c r="J61" s="14">
        <v>1.3388028172583982E-5</v>
      </c>
      <c r="K61" s="14">
        <v>0</v>
      </c>
    </row>
    <row r="62" spans="1:11">
      <c r="A62" s="2" t="s">
        <v>405</v>
      </c>
      <c r="B62" s="3" t="s">
        <v>406</v>
      </c>
      <c r="D62" s="14">
        <v>4.2931556822266608E-12</v>
      </c>
      <c r="E62" s="14">
        <v>1.5511338594829702E-7</v>
      </c>
      <c r="F62" s="14">
        <v>2.2384678047435836E-5</v>
      </c>
      <c r="G62" s="14">
        <v>1.2478040985925459E-5</v>
      </c>
      <c r="H62" s="14">
        <v>0</v>
      </c>
      <c r="I62" s="14">
        <v>2.8690986044946272E-7</v>
      </c>
      <c r="J62" s="14">
        <v>4.6952534270852644E-6</v>
      </c>
      <c r="K62" s="14">
        <v>0</v>
      </c>
    </row>
    <row r="63" spans="1:11">
      <c r="A63" s="2" t="s">
        <v>407</v>
      </c>
      <c r="B63" s="3" t="s">
        <v>408</v>
      </c>
      <c r="D63" s="14">
        <v>1.0429735205261708E-9</v>
      </c>
      <c r="E63" s="14">
        <v>1.437957078701709E-8</v>
      </c>
      <c r="F63" s="14">
        <v>6.973446885925855E-6</v>
      </c>
      <c r="G63" s="14">
        <v>2.9623955916565929E-5</v>
      </c>
      <c r="H63" s="14">
        <v>0</v>
      </c>
      <c r="I63" s="14">
        <v>6.8846797770693438E-7</v>
      </c>
      <c r="J63" s="14">
        <v>2.698706675493743E-6</v>
      </c>
      <c r="K63" s="14">
        <v>0</v>
      </c>
    </row>
    <row r="64" spans="1:11">
      <c r="A64" s="2" t="s">
        <v>409</v>
      </c>
      <c r="B64" s="3" t="s">
        <v>410</v>
      </c>
      <c r="D64" s="14">
        <v>1.2974361345202181E-10</v>
      </c>
      <c r="E64" s="14">
        <v>5.0060897303148227E-9</v>
      </c>
      <c r="F64" s="14">
        <v>3.7753759423830335E-6</v>
      </c>
      <c r="G64" s="14">
        <v>3.3609013058644189E-5</v>
      </c>
      <c r="H64" s="14">
        <v>0</v>
      </c>
      <c r="I64" s="14">
        <v>7.8419084732812498E-7</v>
      </c>
      <c r="J64" s="14">
        <v>1.8262843183008954E-6</v>
      </c>
      <c r="K64" s="14">
        <v>0</v>
      </c>
    </row>
    <row r="65" spans="1:11">
      <c r="A65" s="2" t="s">
        <v>301</v>
      </c>
      <c r="B65" s="3" t="s">
        <v>302</v>
      </c>
      <c r="D65" s="14">
        <v>1.6086769576040044E-11</v>
      </c>
      <c r="E65" s="14">
        <v>1.4105922117781975E-9</v>
      </c>
      <c r="F65" s="14">
        <v>1.7576931329155825E-6</v>
      </c>
      <c r="G65" s="14">
        <v>3.6294315601661804E-5</v>
      </c>
      <c r="H65" s="14">
        <v>0</v>
      </c>
      <c r="I65" s="14">
        <v>8.5071425853190081E-7</v>
      </c>
      <c r="J65" s="14">
        <v>1.0958503279093588E-6</v>
      </c>
      <c r="K65" s="14">
        <v>0</v>
      </c>
    </row>
    <row r="66" spans="1:11">
      <c r="A66" s="2" t="s">
        <v>303</v>
      </c>
      <c r="B66" s="3" t="s">
        <v>304</v>
      </c>
      <c r="D66" s="14">
        <v>1.5500217496582667E-17</v>
      </c>
      <c r="E66" s="14">
        <v>2.9191098120327013E-9</v>
      </c>
      <c r="F66" s="14">
        <v>2.7334554935786696E-6</v>
      </c>
      <c r="G66" s="14">
        <v>3.4970960642916965E-5</v>
      </c>
      <c r="H66" s="14">
        <v>0</v>
      </c>
      <c r="I66" s="14">
        <v>8.1756906738754821E-7</v>
      </c>
      <c r="J66" s="14">
        <v>1.4750956862892839E-6</v>
      </c>
      <c r="K66" s="14">
        <v>0</v>
      </c>
    </row>
    <row r="67" spans="1:11">
      <c r="A67" s="2" t="s">
        <v>411</v>
      </c>
      <c r="B67" s="3" t="s">
        <v>412</v>
      </c>
      <c r="D67" s="14">
        <v>1.8626210855675928E-7</v>
      </c>
      <c r="E67" s="14">
        <v>3.2468120984243174E-5</v>
      </c>
      <c r="F67" s="14">
        <v>1.0129750063286147E-6</v>
      </c>
      <c r="G67" s="14">
        <v>3.0443479303478458E-7</v>
      </c>
      <c r="H67" s="14">
        <v>0</v>
      </c>
      <c r="I67" s="14">
        <v>1.0834345880787065E-8</v>
      </c>
      <c r="J67" s="14">
        <v>6.0173727619558876E-6</v>
      </c>
      <c r="K67" s="14">
        <v>0</v>
      </c>
    </row>
    <row r="68" spans="1:11">
      <c r="A68" s="2" t="s">
        <v>413</v>
      </c>
      <c r="B68" s="3" t="s">
        <v>414</v>
      </c>
      <c r="D68" s="14">
        <v>3.996113134415818E-7</v>
      </c>
      <c r="E68" s="14">
        <v>2.9608091597642948E-5</v>
      </c>
      <c r="F68" s="14">
        <v>1.7697502810881881E-6</v>
      </c>
      <c r="G68" s="14">
        <v>5.0699951671264579E-7</v>
      </c>
      <c r="H68" s="14">
        <v>0</v>
      </c>
      <c r="I68" s="14">
        <v>1.5025114749183831E-8</v>
      </c>
      <c r="J68" s="14">
        <v>7.7005221763654534E-6</v>
      </c>
      <c r="K68" s="14">
        <v>0</v>
      </c>
    </row>
    <row r="69" spans="1:11">
      <c r="A69" s="2" t="s">
        <v>415</v>
      </c>
      <c r="B69" s="3" t="s">
        <v>416</v>
      </c>
      <c r="D69" s="14">
        <v>4.9858308707756856E-8</v>
      </c>
      <c r="E69" s="14">
        <v>5.6448211048119037E-8</v>
      </c>
      <c r="F69" s="14">
        <v>1.4424864994290412E-5</v>
      </c>
      <c r="G69" s="14">
        <v>2.094629967196936E-5</v>
      </c>
      <c r="H69" s="14">
        <v>0</v>
      </c>
      <c r="I69" s="14">
        <v>4.8403015407557752E-7</v>
      </c>
      <c r="J69" s="14">
        <v>4.0384986599087815E-6</v>
      </c>
      <c r="K69" s="14">
        <v>0</v>
      </c>
    </row>
    <row r="70" spans="1:11">
      <c r="A70" s="2" t="s">
        <v>417</v>
      </c>
      <c r="B70" s="3" t="s">
        <v>418</v>
      </c>
      <c r="D70" s="14">
        <v>1.2741708131973536E-7</v>
      </c>
      <c r="E70" s="14">
        <v>1.0241422743964268E-6</v>
      </c>
      <c r="F70" s="14">
        <v>2.7333916763357828E-5</v>
      </c>
      <c r="G70" s="14">
        <v>4.9957123377580535E-6</v>
      </c>
      <c r="H70" s="14">
        <v>0</v>
      </c>
      <c r="I70" s="14">
        <v>1.1394546262601536E-7</v>
      </c>
      <c r="J70" s="14">
        <v>6.4048660805419453E-6</v>
      </c>
      <c r="K70" s="14">
        <v>0</v>
      </c>
    </row>
    <row r="71" spans="1:11">
      <c r="A71" s="2" t="s">
        <v>419</v>
      </c>
      <c r="B71" s="3" t="s">
        <v>420</v>
      </c>
      <c r="D71" s="14">
        <v>9.8099323642401118E-7</v>
      </c>
      <c r="E71" s="14">
        <v>2.9626384412639823E-5</v>
      </c>
      <c r="F71" s="14">
        <v>1.6022867007472469E-6</v>
      </c>
      <c r="G71" s="14">
        <v>4.6241912049421124E-7</v>
      </c>
      <c r="H71" s="14">
        <v>0</v>
      </c>
      <c r="I71" s="14">
        <v>1.4026704956937241E-8</v>
      </c>
      <c r="J71" s="14">
        <v>7.3138898247377783E-6</v>
      </c>
      <c r="K71" s="14">
        <v>0</v>
      </c>
    </row>
    <row r="72" spans="1:11">
      <c r="A72" s="2" t="s">
        <v>421</v>
      </c>
      <c r="B72" s="3" t="s">
        <v>422</v>
      </c>
      <c r="D72" s="14">
        <v>5.3396522550715404E-7</v>
      </c>
      <c r="E72" s="14">
        <v>1.1832203082371433E-6</v>
      </c>
      <c r="F72" s="14">
        <v>2.6508624261715831E-5</v>
      </c>
      <c r="G72" s="14">
        <v>4.9077535376306679E-6</v>
      </c>
      <c r="H72" s="14">
        <v>0</v>
      </c>
      <c r="I72" s="14">
        <v>1.1190292794266344E-7</v>
      </c>
      <c r="J72" s="14">
        <v>6.7545337389665439E-6</v>
      </c>
      <c r="K72" s="14">
        <v>0</v>
      </c>
    </row>
    <row r="73" spans="1:11">
      <c r="A73" s="2" t="s">
        <v>423</v>
      </c>
      <c r="B73" s="3" t="s">
        <v>424</v>
      </c>
      <c r="D73" s="14">
        <v>5.204919442833549E-7</v>
      </c>
      <c r="E73" s="14">
        <v>1.0445437933166867E-5</v>
      </c>
      <c r="F73" s="14">
        <v>1.2867323718635335E-5</v>
      </c>
      <c r="G73" s="14">
        <v>2.9497403059337394E-6</v>
      </c>
      <c r="H73" s="14">
        <v>0</v>
      </c>
      <c r="I73" s="14">
        <v>6.7894445815702746E-8</v>
      </c>
      <c r="J73" s="14">
        <v>1.3149111652165009E-5</v>
      </c>
      <c r="K73" s="14">
        <v>0</v>
      </c>
    </row>
    <row r="74" spans="1:11">
      <c r="A74" s="2" t="s">
        <v>425</v>
      </c>
      <c r="B74" s="3" t="s">
        <v>426</v>
      </c>
      <c r="D74" s="14">
        <v>1.9661297676334681E-7</v>
      </c>
      <c r="E74" s="14">
        <v>1.0687221711255736E-6</v>
      </c>
      <c r="F74" s="14">
        <v>2.7132286446954928E-5</v>
      </c>
      <c r="G74" s="14">
        <v>4.977163972740968E-6</v>
      </c>
      <c r="H74" s="14">
        <v>0</v>
      </c>
      <c r="I74" s="14">
        <v>1.1351150303167383E-7</v>
      </c>
      <c r="J74" s="14">
        <v>6.5117029293835151E-6</v>
      </c>
      <c r="K74" s="14">
        <v>0</v>
      </c>
    </row>
    <row r="75" spans="1:11">
      <c r="A75" s="2" t="s">
        <v>427</v>
      </c>
      <c r="B75" s="3" t="s">
        <v>428</v>
      </c>
      <c r="D75" s="14">
        <v>2.201206173573976E-14</v>
      </c>
      <c r="E75" s="14">
        <v>1.7270041454270105E-7</v>
      </c>
      <c r="F75" s="14">
        <v>3.9777268270330642E-5</v>
      </c>
      <c r="G75" s="14">
        <v>1.5349179446409962E-8</v>
      </c>
      <c r="H75" s="14">
        <v>0</v>
      </c>
      <c r="I75" s="14">
        <v>3.1340180243449623E-8</v>
      </c>
      <c r="J75" s="14">
        <v>3.3419334247513219E-9</v>
      </c>
      <c r="K75" s="14">
        <v>0</v>
      </c>
    </row>
    <row r="76" spans="1:11">
      <c r="A76" s="2" t="s">
        <v>429</v>
      </c>
      <c r="B76" s="3" t="s">
        <v>430</v>
      </c>
      <c r="D76" s="14">
        <v>5.5291799233218778E-16</v>
      </c>
      <c r="E76" s="14">
        <v>1.727004146353511E-7</v>
      </c>
      <c r="F76" s="14">
        <v>3.9777268291670288E-5</v>
      </c>
      <c r="G76" s="14">
        <v>1.5349179454644466E-8</v>
      </c>
      <c r="H76" s="14">
        <v>0</v>
      </c>
      <c r="I76" s="14">
        <v>3.1340180260262949E-8</v>
      </c>
      <c r="J76" s="14">
        <v>3.341933426544197E-9</v>
      </c>
      <c r="K76" s="14">
        <v>0</v>
      </c>
    </row>
    <row r="77" spans="1:11">
      <c r="A77" s="2" t="s">
        <v>431</v>
      </c>
      <c r="B77" s="3" t="s">
        <v>432</v>
      </c>
      <c r="D77" s="14">
        <v>9.4895671671505361E-7</v>
      </c>
      <c r="E77" s="14">
        <v>4.0401644662226226E-6</v>
      </c>
      <c r="F77" s="14">
        <v>2.0189270134180235E-5</v>
      </c>
      <c r="G77" s="14">
        <v>4.1746125496349108E-6</v>
      </c>
      <c r="H77" s="14">
        <v>0</v>
      </c>
      <c r="I77" s="14">
        <v>9.5141370307340714E-8</v>
      </c>
      <c r="J77" s="14">
        <v>1.055185476293984E-5</v>
      </c>
      <c r="K77" s="14">
        <v>0</v>
      </c>
    </row>
    <row r="78" spans="1:11">
      <c r="A78" s="2" t="s">
        <v>433</v>
      </c>
      <c r="B78" s="3" t="s">
        <v>434</v>
      </c>
      <c r="D78" s="14">
        <v>1.3324233933402777E-6</v>
      </c>
      <c r="E78" s="14">
        <v>2.0943771429806095E-5</v>
      </c>
      <c r="F78" s="14">
        <v>5.078277907892814E-6</v>
      </c>
      <c r="G78" s="14">
        <v>1.3122362151101519E-6</v>
      </c>
      <c r="H78" s="14">
        <v>0</v>
      </c>
      <c r="I78" s="14">
        <v>3.2088737889520804E-8</v>
      </c>
      <c r="J78" s="14">
        <v>1.1301202315961143E-5</v>
      </c>
      <c r="K78" s="14">
        <v>0</v>
      </c>
    </row>
    <row r="79" spans="1:11">
      <c r="A79" s="2" t="s">
        <v>435</v>
      </c>
      <c r="B79" s="3" t="s">
        <v>436</v>
      </c>
      <c r="D79" s="14">
        <v>3.1153552015939704E-7</v>
      </c>
      <c r="E79" s="14">
        <v>1.4708900531651729E-5</v>
      </c>
      <c r="F79" s="14">
        <v>9.4576183666566392E-6</v>
      </c>
      <c r="G79" s="14">
        <v>2.2744549582221834E-6</v>
      </c>
      <c r="H79" s="14">
        <v>0</v>
      </c>
      <c r="I79" s="14">
        <v>5.3080738508203741E-8</v>
      </c>
      <c r="J79" s="14">
        <v>1.3194409884801853E-5</v>
      </c>
      <c r="K79" s="14">
        <v>0</v>
      </c>
    </row>
    <row r="80" spans="1:11">
      <c r="A80" s="2" t="s">
        <v>437</v>
      </c>
      <c r="B80" s="3" t="s">
        <v>438</v>
      </c>
      <c r="D80" s="14">
        <v>7.8756171844931313E-15</v>
      </c>
      <c r="E80" s="14">
        <v>1.1700845793656544E-7</v>
      </c>
      <c r="F80" s="14">
        <v>3.9788615736346546E-5</v>
      </c>
      <c r="G80" s="14">
        <v>2.9492326907174257E-8</v>
      </c>
      <c r="H80" s="14">
        <v>0</v>
      </c>
      <c r="I80" s="14">
        <v>6.081321545358735E-8</v>
      </c>
      <c r="J80" s="14">
        <v>4.0702554805080395E-9</v>
      </c>
      <c r="K80" s="14">
        <v>0</v>
      </c>
    </row>
    <row r="81" spans="1:11">
      <c r="A81" s="2" t="s">
        <v>440</v>
      </c>
      <c r="B81" s="3" t="s">
        <v>441</v>
      </c>
      <c r="D81" s="14">
        <v>7.3948453260826915E-18</v>
      </c>
      <c r="E81" s="14">
        <v>3.878481596916825E-5</v>
      </c>
      <c r="F81" s="14">
        <v>3.6509283456176218E-8</v>
      </c>
      <c r="G81" s="14">
        <v>1.4200343986873633E-8</v>
      </c>
      <c r="H81" s="14">
        <v>0</v>
      </c>
      <c r="I81" s="14">
        <v>5.1326014211012681E-9</v>
      </c>
      <c r="J81" s="14">
        <v>1.1593418019602105E-6</v>
      </c>
      <c r="K81" s="14">
        <v>0</v>
      </c>
    </row>
    <row r="82" spans="1:11">
      <c r="A82" s="2" t="s">
        <v>442</v>
      </c>
      <c r="B82" s="3" t="s">
        <v>443</v>
      </c>
      <c r="D82" s="14">
        <v>3.2976492428501815E-9</v>
      </c>
      <c r="E82" s="14">
        <v>2.8666660311370092E-5</v>
      </c>
      <c r="F82" s="14">
        <v>2.2002836650944728E-6</v>
      </c>
      <c r="G82" s="14">
        <v>6.188340901041426E-7</v>
      </c>
      <c r="H82" s="14">
        <v>0</v>
      </c>
      <c r="I82" s="14">
        <v>1.742097180769035E-8</v>
      </c>
      <c r="J82" s="14">
        <v>8.4935033123807576E-6</v>
      </c>
      <c r="K82" s="14">
        <v>0</v>
      </c>
    </row>
    <row r="83" spans="1:11">
      <c r="A83" s="2" t="s">
        <v>444</v>
      </c>
      <c r="B83" s="3" t="s">
        <v>445</v>
      </c>
      <c r="D83" s="14">
        <v>2.0213442672023644E-8</v>
      </c>
      <c r="E83" s="14">
        <v>5.0751972696853008E-6</v>
      </c>
      <c r="F83" s="14">
        <v>1.9262582065929973E-5</v>
      </c>
      <c r="G83" s="14">
        <v>4.0645274166056999E-6</v>
      </c>
      <c r="H83" s="14">
        <v>0</v>
      </c>
      <c r="I83" s="14">
        <v>9.2699605304651929E-8</v>
      </c>
      <c r="J83" s="14">
        <v>1.1484780199802357E-5</v>
      </c>
      <c r="K83" s="14">
        <v>0</v>
      </c>
    </row>
    <row r="84" spans="1:11">
      <c r="A84" s="2" t="s">
        <v>446</v>
      </c>
      <c r="B84" s="3" t="s">
        <v>447</v>
      </c>
      <c r="D84" s="14">
        <v>2.2674851433028781E-19</v>
      </c>
      <c r="E84" s="14">
        <v>3.7289545563938299E-5</v>
      </c>
      <c r="F84" s="14">
        <v>1.6338743884484639E-7</v>
      </c>
      <c r="G84" s="14">
        <v>5.6743251810811295E-8</v>
      </c>
      <c r="H84" s="14">
        <v>0</v>
      </c>
      <c r="I84" s="14">
        <v>5.8932521018595834E-9</v>
      </c>
      <c r="J84" s="14">
        <v>2.4844304933039568E-6</v>
      </c>
      <c r="K84" s="14">
        <v>0</v>
      </c>
    </row>
    <row r="85" spans="1:11">
      <c r="A85" s="2" t="s">
        <v>448</v>
      </c>
      <c r="B85" s="3" t="s">
        <v>449</v>
      </c>
      <c r="D85" s="14">
        <v>1.5950495516361349E-12</v>
      </c>
      <c r="E85" s="14">
        <v>3.950179400613869E-5</v>
      </c>
      <c r="F85" s="14">
        <v>6.7057659959271931E-9</v>
      </c>
      <c r="G85" s="14">
        <v>2.9589930807074574E-9</v>
      </c>
      <c r="H85" s="14">
        <v>0</v>
      </c>
      <c r="I85" s="14">
        <v>4.9727238407384414E-9</v>
      </c>
      <c r="J85" s="14">
        <v>4.8356691589438692E-7</v>
      </c>
      <c r="K85" s="14">
        <v>0</v>
      </c>
    </row>
    <row r="86" spans="1:11">
      <c r="A86" s="2" t="s">
        <v>450</v>
      </c>
      <c r="B86" s="3" t="s">
        <v>451</v>
      </c>
      <c r="D86" s="14">
        <v>5.7047190118799714E-13</v>
      </c>
      <c r="E86" s="14">
        <v>3.7359142426153281E-5</v>
      </c>
      <c r="F86" s="14">
        <v>1.5570712031522031E-7</v>
      </c>
      <c r="G86" s="14">
        <v>5.4275524397878106E-8</v>
      </c>
      <c r="H86" s="14">
        <v>0</v>
      </c>
      <c r="I86" s="14">
        <v>5.846909726307172E-9</v>
      </c>
      <c r="J86" s="14">
        <v>2.4250274489354104E-6</v>
      </c>
      <c r="K86" s="14">
        <v>0</v>
      </c>
    </row>
    <row r="87" spans="1:11">
      <c r="A87" s="2" t="s">
        <v>452</v>
      </c>
      <c r="B87" s="3" t="s">
        <v>453</v>
      </c>
      <c r="D87" s="14">
        <v>1.9452399308423079E-12</v>
      </c>
      <c r="E87" s="14">
        <v>2.0873045341880694E-8</v>
      </c>
      <c r="F87" s="14">
        <v>8.5871172098771894E-6</v>
      </c>
      <c r="G87" s="14">
        <v>2.7691274593239958E-5</v>
      </c>
      <c r="H87" s="14">
        <v>0</v>
      </c>
      <c r="I87" s="14">
        <v>6.4260578637098224E-7</v>
      </c>
      <c r="J87" s="14">
        <v>3.0581274199300583E-6</v>
      </c>
      <c r="K87" s="14">
        <v>0</v>
      </c>
    </row>
    <row r="88" spans="1:11">
      <c r="A88" s="2" t="s">
        <v>454</v>
      </c>
      <c r="B88" s="3" t="s">
        <v>455</v>
      </c>
      <c r="D88" s="14">
        <v>1.5954406735490417E-9</v>
      </c>
      <c r="E88" s="14">
        <v>2.3995693176952696E-5</v>
      </c>
      <c r="F88" s="14">
        <v>4.0997263994593041E-6</v>
      </c>
      <c r="G88" s="14">
        <v>1.087052276454843E-6</v>
      </c>
      <c r="H88" s="14">
        <v>0</v>
      </c>
      <c r="I88" s="14">
        <v>2.7383160068732706E-8</v>
      </c>
      <c r="J88" s="14">
        <v>1.0788549546390885E-5</v>
      </c>
      <c r="K88" s="14">
        <v>0</v>
      </c>
    </row>
    <row r="89" spans="1:11">
      <c r="A89" s="2" t="s">
        <v>456</v>
      </c>
      <c r="B89" s="3" t="s">
        <v>457</v>
      </c>
      <c r="D89" s="14">
        <v>1.0873789027947478E-21</v>
      </c>
      <c r="E89" s="14">
        <v>2.7873630792225788E-5</v>
      </c>
      <c r="F89" s="14">
        <v>2.4857366605980563E-6</v>
      </c>
      <c r="G89" s="14">
        <v>6.9143390687761224E-7</v>
      </c>
      <c r="H89" s="14">
        <v>0</v>
      </c>
      <c r="I89" s="14">
        <v>1.8955088548044371E-8</v>
      </c>
      <c r="J89" s="14">
        <v>8.9302435517504997E-6</v>
      </c>
      <c r="K89" s="14">
        <v>0</v>
      </c>
    </row>
    <row r="90" spans="1:11">
      <c r="A90" s="2" t="s">
        <v>458</v>
      </c>
      <c r="B90" s="3" t="s">
        <v>459</v>
      </c>
      <c r="D90" s="14">
        <v>1.680614776000459E-33</v>
      </c>
      <c r="E90" s="14">
        <v>3.4533517606014137E-5</v>
      </c>
      <c r="F90" s="14">
        <v>5.912108455573407E-7</v>
      </c>
      <c r="G90" s="14">
        <v>1.8571113652024338E-7</v>
      </c>
      <c r="H90" s="14">
        <v>0</v>
      </c>
      <c r="I90" s="14">
        <v>8.4317458144616308E-9</v>
      </c>
      <c r="J90" s="14">
        <v>4.6811286660938203E-6</v>
      </c>
      <c r="K90" s="14">
        <v>0</v>
      </c>
    </row>
    <row r="91" spans="1:11">
      <c r="A91" s="2" t="s">
        <v>460</v>
      </c>
      <c r="B91" s="3" t="s">
        <v>461</v>
      </c>
      <c r="D91" s="14">
        <v>2.0073628315710792E-12</v>
      </c>
      <c r="E91" s="14">
        <v>1.3486477092029296E-7</v>
      </c>
      <c r="F91" s="14">
        <v>2.1222673531284932E-5</v>
      </c>
      <c r="G91" s="14">
        <v>1.3677151221650244E-5</v>
      </c>
      <c r="H91" s="14">
        <v>0</v>
      </c>
      <c r="I91" s="14">
        <v>3.1471605019653099E-7</v>
      </c>
      <c r="J91" s="14">
        <v>4.6505924185851738E-6</v>
      </c>
      <c r="K91" s="14">
        <v>0</v>
      </c>
    </row>
    <row r="92" spans="1:11">
      <c r="A92" s="2" t="s">
        <v>462</v>
      </c>
      <c r="B92" s="3" t="s">
        <v>463</v>
      </c>
      <c r="D92" s="14">
        <v>1.773133585658325E-13</v>
      </c>
      <c r="E92" s="14">
        <v>7.074473051715484E-6</v>
      </c>
      <c r="F92" s="14">
        <v>1.6696124361601279E-5</v>
      </c>
      <c r="G92" s="14">
        <v>3.648473752974087E-6</v>
      </c>
      <c r="H92" s="14">
        <v>0</v>
      </c>
      <c r="I92" s="14">
        <v>8.3408184040422074E-8</v>
      </c>
      <c r="J92" s="14">
        <v>1.2497520472355377E-5</v>
      </c>
      <c r="K92" s="14">
        <v>0</v>
      </c>
    </row>
    <row r="93" spans="1:11">
      <c r="A93" s="2" t="s">
        <v>464</v>
      </c>
      <c r="B93" s="3" t="s">
        <v>465</v>
      </c>
      <c r="D93" s="14">
        <v>7.869065833832187E-9</v>
      </c>
      <c r="E93" s="14">
        <v>1.5566673599462209E-6</v>
      </c>
      <c r="F93" s="14">
        <v>2.5834341347901697E-5</v>
      </c>
      <c r="G93" s="14">
        <v>4.8898208605794341E-6</v>
      </c>
      <c r="H93" s="14">
        <v>0</v>
      </c>
      <c r="I93" s="14">
        <v>1.1144158501820008E-7</v>
      </c>
      <c r="J93" s="14">
        <v>7.5998597807206134E-6</v>
      </c>
      <c r="K93" s="14">
        <v>0</v>
      </c>
    </row>
    <row r="94" spans="1:11">
      <c r="A94" s="2" t="s">
        <v>466</v>
      </c>
      <c r="B94" s="3" t="s">
        <v>467</v>
      </c>
      <c r="D94" s="14">
        <v>7.3365192679674186E-23</v>
      </c>
      <c r="E94" s="14">
        <v>3.5786133027413587E-5</v>
      </c>
      <c r="F94" s="14">
        <v>4.2018093808226103E-6</v>
      </c>
      <c r="G94" s="14">
        <v>5.5217258556776613E-10</v>
      </c>
      <c r="H94" s="14">
        <v>0</v>
      </c>
      <c r="I94" s="14">
        <v>5.1259069914099849E-9</v>
      </c>
      <c r="J94" s="14">
        <v>6.3795121868271197E-9</v>
      </c>
      <c r="K94" s="14">
        <v>0</v>
      </c>
    </row>
    <row r="95" spans="1:11">
      <c r="A95" s="2" t="s">
        <v>468</v>
      </c>
      <c r="B95" s="3" t="s">
        <v>469</v>
      </c>
      <c r="D95" s="14">
        <v>8.0762209350067464E-23</v>
      </c>
      <c r="E95" s="14">
        <v>3.1509450657735882E-7</v>
      </c>
      <c r="F95" s="14">
        <v>2.8001571535547305E-5</v>
      </c>
      <c r="G95" s="14">
        <v>6.9275227608141466E-6</v>
      </c>
      <c r="H95" s="14">
        <v>0</v>
      </c>
      <c r="I95" s="14">
        <v>1.586409009912172E-7</v>
      </c>
      <c r="J95" s="14">
        <v>4.5971702960699806E-6</v>
      </c>
      <c r="K95" s="14">
        <v>0</v>
      </c>
    </row>
    <row r="96" spans="1:11">
      <c r="A96" s="2" t="s">
        <v>470</v>
      </c>
      <c r="B96" s="165">
        <v>354656</v>
      </c>
      <c r="D96" s="14">
        <v>1.4742302722062232E-14</v>
      </c>
      <c r="E96" s="14">
        <v>3.8736284823615834E-5</v>
      </c>
      <c r="F96" s="14">
        <v>3.9304252373965079E-8</v>
      </c>
      <c r="G96" s="14">
        <v>1.520320302414734E-8</v>
      </c>
      <c r="H96" s="14">
        <v>0</v>
      </c>
      <c r="I96" s="14">
        <v>5.1488243328534779E-9</v>
      </c>
      <c r="J96" s="14">
        <v>1.2040588819109006E-6</v>
      </c>
      <c r="K96" s="14">
        <v>0</v>
      </c>
    </row>
    <row r="97" spans="1:11">
      <c r="A97" s="2" t="s">
        <v>472</v>
      </c>
      <c r="B97" s="3" t="s">
        <v>473</v>
      </c>
      <c r="D97" s="14">
        <v>2.2656411335410023E-14</v>
      </c>
      <c r="E97" s="14">
        <v>3.7254073015598395E-5</v>
      </c>
      <c r="F97" s="14">
        <v>1.6736526740778933E-7</v>
      </c>
      <c r="G97" s="14">
        <v>5.8017751175761071E-8</v>
      </c>
      <c r="H97" s="14">
        <v>0</v>
      </c>
      <c r="I97" s="14">
        <v>5.9172481276396601E-9</v>
      </c>
      <c r="J97" s="14">
        <v>2.5146266950340105E-6</v>
      </c>
      <c r="K97" s="14">
        <v>0</v>
      </c>
    </row>
    <row r="98" spans="1:11">
      <c r="A98" s="2" t="s">
        <v>474</v>
      </c>
      <c r="B98" s="3" t="s">
        <v>475</v>
      </c>
      <c r="D98" s="14">
        <v>1.8681309289522521E-24</v>
      </c>
      <c r="E98" s="14">
        <v>7.3390517707065685E-7</v>
      </c>
      <c r="F98" s="14">
        <v>2.8502406233220761E-5</v>
      </c>
      <c r="G98" s="14">
        <v>5.0673054178762567E-6</v>
      </c>
      <c r="H98" s="14">
        <v>0</v>
      </c>
      <c r="I98" s="14">
        <v>1.1566987680677801E-7</v>
      </c>
      <c r="J98" s="14">
        <v>5.580713295025551E-6</v>
      </c>
      <c r="K98" s="14">
        <v>0</v>
      </c>
    </row>
    <row r="99" spans="1:11">
      <c r="A99" s="2" t="s">
        <v>476</v>
      </c>
      <c r="B99" s="3" t="s">
        <v>477</v>
      </c>
      <c r="D99" s="14">
        <v>6.9622444688190433E-12</v>
      </c>
      <c r="E99" s="14">
        <v>3.9655361144173234E-5</v>
      </c>
      <c r="F99" s="14">
        <v>3.3008324771615967E-9</v>
      </c>
      <c r="G99" s="14">
        <v>1.5350376753023752E-9</v>
      </c>
      <c r="H99" s="14">
        <v>0</v>
      </c>
      <c r="I99" s="14">
        <v>4.9603900419945457E-9</v>
      </c>
      <c r="J99" s="14">
        <v>3.3483563338784658E-7</v>
      </c>
      <c r="K99" s="14">
        <v>0</v>
      </c>
    </row>
    <row r="100" spans="1:11">
      <c r="A100" s="2" t="s">
        <v>478</v>
      </c>
      <c r="B100" s="3" t="s">
        <v>479</v>
      </c>
      <c r="D100" s="14">
        <v>2.0423045999618539E-15</v>
      </c>
      <c r="E100" s="14">
        <v>1.6395820539164533E-5</v>
      </c>
      <c r="F100" s="14">
        <v>8.4177249381500175E-6</v>
      </c>
      <c r="G100" s="14">
        <v>2.0582128523357843E-6</v>
      </c>
      <c r="H100" s="14">
        <v>0</v>
      </c>
      <c r="I100" s="14">
        <v>4.8387065691856583E-8</v>
      </c>
      <c r="J100" s="14">
        <v>1.3079854602615503E-5</v>
      </c>
      <c r="K100" s="14">
        <v>0</v>
      </c>
    </row>
    <row r="101" spans="1:11">
      <c r="A101" s="2" t="s">
        <v>480</v>
      </c>
      <c r="B101" s="3" t="s">
        <v>481</v>
      </c>
      <c r="D101" s="14">
        <v>1.873190304287937E-15</v>
      </c>
      <c r="E101" s="14">
        <v>3.9421626758680194E-5</v>
      </c>
      <c r="F101" s="14">
        <v>8.9218746264841826E-9</v>
      </c>
      <c r="G101" s="14">
        <v>3.8543546379122069E-9</v>
      </c>
      <c r="H101" s="14">
        <v>0</v>
      </c>
      <c r="I101" s="14">
        <v>4.9825416340369033E-9</v>
      </c>
      <c r="J101" s="14">
        <v>5.606144685481859E-7</v>
      </c>
      <c r="K101" s="14">
        <v>0</v>
      </c>
    </row>
    <row r="102" spans="1:11">
      <c r="A102" s="2" t="s">
        <v>482</v>
      </c>
      <c r="B102" s="3" t="s">
        <v>483</v>
      </c>
      <c r="D102" s="14">
        <v>1.1774276293191366E-31</v>
      </c>
      <c r="E102" s="14">
        <v>3.9851701001341239E-5</v>
      </c>
      <c r="F102" s="14">
        <v>6.3680789283048685E-10</v>
      </c>
      <c r="G102" s="14">
        <v>3.3442904828782315E-10</v>
      </c>
      <c r="H102" s="14">
        <v>0</v>
      </c>
      <c r="I102" s="14">
        <v>4.9583719666613018E-9</v>
      </c>
      <c r="J102" s="14">
        <v>1.4236938975098836E-7</v>
      </c>
      <c r="K102" s="14">
        <v>0</v>
      </c>
    </row>
    <row r="103" spans="1:11">
      <c r="A103" s="2" t="s">
        <v>484</v>
      </c>
      <c r="B103" s="3" t="s">
        <v>485</v>
      </c>
      <c r="D103" s="14">
        <v>9.3911554726769235E-18</v>
      </c>
      <c r="E103" s="14">
        <v>3.9666298067820977E-5</v>
      </c>
      <c r="F103" s="14">
        <v>3.10165325853011E-9</v>
      </c>
      <c r="G103" s="14">
        <v>1.4490681159416757E-9</v>
      </c>
      <c r="H103" s="14">
        <v>0</v>
      </c>
      <c r="I103" s="14">
        <v>4.9598545675121458E-9</v>
      </c>
      <c r="J103" s="14">
        <v>3.2419135622765015E-7</v>
      </c>
      <c r="K103" s="14">
        <v>0</v>
      </c>
    </row>
    <row r="104" spans="1:11">
      <c r="A104" s="2" t="s">
        <v>486</v>
      </c>
      <c r="B104" s="3" t="s">
        <v>487</v>
      </c>
      <c r="D104" s="14">
        <v>1.1557076661234126E-13</v>
      </c>
      <c r="E104" s="14">
        <v>3.8055780602518619E-5</v>
      </c>
      <c r="F104" s="14">
        <v>8.8129683201115927E-8</v>
      </c>
      <c r="G104" s="14">
        <v>3.2078774181780629E-8</v>
      </c>
      <c r="H104" s="14">
        <v>0</v>
      </c>
      <c r="I104" s="14">
        <v>5.4392650788534147E-9</v>
      </c>
      <c r="J104" s="14">
        <v>1.8185715594488683E-6</v>
      </c>
      <c r="K104" s="14">
        <v>0</v>
      </c>
    </row>
    <row r="105" spans="1:11">
      <c r="A105" s="2" t="s">
        <v>488</v>
      </c>
      <c r="B105" s="3" t="s">
        <v>489</v>
      </c>
      <c r="D105" s="14">
        <v>9.3639829459625677E-21</v>
      </c>
      <c r="E105" s="14">
        <v>3.982293405733125E-5</v>
      </c>
      <c r="F105" s="14">
        <v>9.0309789284994308E-10</v>
      </c>
      <c r="G105" s="14">
        <v>4.6220047166829538E-10</v>
      </c>
      <c r="H105" s="14">
        <v>0</v>
      </c>
      <c r="I105" s="14">
        <v>4.9576022120928811E-9</v>
      </c>
      <c r="J105" s="14">
        <v>1.7074304209213294E-7</v>
      </c>
      <c r="K105" s="14">
        <v>0</v>
      </c>
    </row>
    <row r="106" spans="1:11">
      <c r="A106" s="2" t="s">
        <v>490</v>
      </c>
      <c r="B106" s="3" t="s">
        <v>491</v>
      </c>
      <c r="D106" s="14">
        <v>5.0888931951745385E-13</v>
      </c>
      <c r="E106" s="14">
        <v>3.2975848307221887E-5</v>
      </c>
      <c r="F106" s="14">
        <v>9.3088825523175935E-7</v>
      </c>
      <c r="G106" s="14">
        <v>2.8183381947042184E-7</v>
      </c>
      <c r="H106" s="14">
        <v>0</v>
      </c>
      <c r="I106" s="14">
        <v>1.0390754694754351E-8</v>
      </c>
      <c r="J106" s="14">
        <v>5.801038354491867E-6</v>
      </c>
      <c r="K106" s="14">
        <v>0</v>
      </c>
    </row>
    <row r="107" spans="1:11">
      <c r="A107" s="2" t="s">
        <v>492</v>
      </c>
      <c r="B107" s="3" t="s">
        <v>493</v>
      </c>
      <c r="D107" s="14">
        <v>8.7793071545444771E-21</v>
      </c>
      <c r="E107" s="14">
        <v>5.4564839761621353E-7</v>
      </c>
      <c r="F107" s="14">
        <v>2.9331512515900014E-5</v>
      </c>
      <c r="G107" s="14">
        <v>5.0913155412210843E-6</v>
      </c>
      <c r="H107" s="14">
        <v>0</v>
      </c>
      <c r="I107" s="14">
        <v>1.16307130083568E-7</v>
      </c>
      <c r="J107" s="14">
        <v>4.9152164151791109E-6</v>
      </c>
      <c r="K107" s="14">
        <v>0</v>
      </c>
    </row>
    <row r="108" spans="1:11">
      <c r="A108" s="2" t="s">
        <v>291</v>
      </c>
      <c r="B108" s="3" t="s">
        <v>494</v>
      </c>
      <c r="D108" s="14">
        <v>1.1759661877461149E-14</v>
      </c>
      <c r="E108" s="14">
        <v>1.8873284009896781E-5</v>
      </c>
      <c r="F108" s="14">
        <v>6.8276154056002604E-6</v>
      </c>
      <c r="G108" s="14">
        <v>1.7130285652941613E-6</v>
      </c>
      <c r="H108" s="14">
        <v>0</v>
      </c>
      <c r="I108" s="14">
        <v>4.0882227604571981E-8</v>
      </c>
      <c r="J108" s="14">
        <v>1.2545189779844566E-5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08"/>
  <sheetViews>
    <sheetView tabSelected="1" topLeftCell="A75" workbookViewId="0">
      <selection activeCell="A84" sqref="A84:D10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1.3456742362696239E-8</v>
      </c>
      <c r="B2">
        <f>'Mass Balance'!E2</f>
        <v>3.0924387921632409E-5</v>
      </c>
      <c r="C2">
        <f>SUM('Mass Balance'!E2:H2)</f>
        <v>3.2830198366686476E-5</v>
      </c>
      <c r="D2">
        <f>Concentrations!F2/Concentrations!E2</f>
        <v>0.94563593622416287</v>
      </c>
    </row>
    <row r="3" spans="1:4">
      <c r="A3">
        <f>'Mass Balance'!I3</f>
        <v>6.087538501043015E-7</v>
      </c>
      <c r="B3">
        <f>'Mass Balance'!E3</f>
        <v>2.6133968554701648E-8</v>
      </c>
      <c r="C3">
        <f>SUM('Mass Balance'!E3:H3)</f>
        <v>3.5973492949289009E-5</v>
      </c>
      <c r="D3">
        <f>Concentrations!F3/Concentrations!E3</f>
        <v>7.2932166972692735E-4</v>
      </c>
    </row>
    <row r="4" spans="1:4">
      <c r="A4">
        <f>'Mass Balance'!I4</f>
        <v>5.5818963402904095E-8</v>
      </c>
      <c r="B4">
        <f>'Mass Balance'!E4</f>
        <v>1.4137985122370345E-5</v>
      </c>
      <c r="C4">
        <f>SUM('Mass Balance'!E4:H4)</f>
        <v>2.6583232826903074E-5</v>
      </c>
      <c r="D4">
        <f>Concentrations!F4/Concentrations!E4</f>
        <v>0.53391987495413606</v>
      </c>
    </row>
    <row r="5" spans="1:4">
      <c r="A5">
        <f>'Mass Balance'!I5</f>
        <v>1.7980668427106035E-7</v>
      </c>
      <c r="B5">
        <f>'Mass Balance'!E5</f>
        <v>2.7658939537841323E-7</v>
      </c>
      <c r="C5">
        <f>SUM('Mass Balance'!E5:H5)</f>
        <v>3.5157974348347104E-5</v>
      </c>
      <c r="D5">
        <f>Concentrations!F5/Concentrations!E5</f>
        <v>7.8978347458445262E-3</v>
      </c>
    </row>
    <row r="6" spans="1:4">
      <c r="A6">
        <f>'Mass Balance'!I6</f>
        <v>7.1039784958551919E-7</v>
      </c>
      <c r="B6">
        <f>'Mass Balance'!E6</f>
        <v>1.1760523537059586E-8</v>
      </c>
      <c r="C6">
        <f>SUM('Mass Balance'!E6:H6)</f>
        <v>3.6774720883336258E-5</v>
      </c>
      <c r="D6">
        <f>Concentrations!F6/Concentrations!E6</f>
        <v>3.2105070844138674E-4</v>
      </c>
    </row>
    <row r="7" spans="1:4">
      <c r="A7">
        <f>'Mass Balance'!I7</f>
        <v>6.2700774069334867E-7</v>
      </c>
      <c r="B7">
        <f>'Mass Balance'!E7</f>
        <v>2.3413989995513978E-8</v>
      </c>
      <c r="C7">
        <f>SUM('Mass Balance'!E7:H7)</f>
        <v>3.6199922915505782E-5</v>
      </c>
      <c r="D7">
        <f>Concentrations!F7/Concentrations!E7</f>
        <v>6.4932802139476553E-4</v>
      </c>
    </row>
    <row r="8" spans="1:4">
      <c r="A8">
        <f>'Mass Balance'!I8</f>
        <v>4.9994174292825015E-7</v>
      </c>
      <c r="B8">
        <f>'Mass Balance'!E8</f>
        <v>5.1907620525179845E-8</v>
      </c>
      <c r="C8">
        <f>SUM('Mass Balance'!E8:H8)</f>
        <v>3.5529876653638684E-5</v>
      </c>
      <c r="D8">
        <f>Concentrations!F8/Concentrations!E8</f>
        <v>1.4666746427414962E-3</v>
      </c>
    </row>
    <row r="9" spans="1:4">
      <c r="A9">
        <f>'Mass Balance'!I9</f>
        <v>1.0688474499202648E-7</v>
      </c>
      <c r="B9">
        <f>'Mass Balance'!E9</f>
        <v>2.3739050831048387E-6</v>
      </c>
      <c r="C9">
        <f>SUM('Mass Balance'!E9:H9)</f>
        <v>3.0958615040393307E-5</v>
      </c>
      <c r="D9">
        <f>Concentrations!F9/Concentrations!E9</f>
        <v>7.6980049987451254E-2</v>
      </c>
    </row>
    <row r="10" spans="1:4">
      <c r="A10">
        <f>'Mass Balance'!I10</f>
        <v>1.9222891189453179E-7</v>
      </c>
      <c r="B10">
        <f>'Mass Balance'!E10</f>
        <v>2.5721867721072675E-7</v>
      </c>
      <c r="C10">
        <f>SUM('Mass Balance'!E10:H10)</f>
        <v>3.5124190692854612E-5</v>
      </c>
      <c r="D10">
        <f>Concentrations!F10/Concentrations!E10</f>
        <v>7.3517805761136156E-3</v>
      </c>
    </row>
    <row r="11" spans="1:4">
      <c r="A11">
        <f>'Mass Balance'!I11</f>
        <v>2.1420300369764756E-7</v>
      </c>
      <c r="B11">
        <f>'Mass Balance'!E11</f>
        <v>2.271935920801323E-7</v>
      </c>
      <c r="C11">
        <f>SUM('Mass Balance'!E11:H11)</f>
        <v>3.5069927866741352E-5</v>
      </c>
      <c r="D11">
        <f>Concentrations!F11/Concentrations!E11</f>
        <v>6.5036560878853986E-3</v>
      </c>
    </row>
    <row r="12" spans="1:4">
      <c r="A12">
        <f>'Mass Balance'!I12</f>
        <v>1.1164182688354562E-7</v>
      </c>
      <c r="B12">
        <f>'Mass Balance'!E12</f>
        <v>1.5237036053227807E-6</v>
      </c>
      <c r="C12">
        <f>SUM('Mass Balance'!E12:H12)</f>
        <v>3.2349726876371611E-5</v>
      </c>
      <c r="D12">
        <f>Concentrations!F12/Concentrations!E12</f>
        <v>4.728530984048708E-2</v>
      </c>
    </row>
    <row r="13" spans="1:4">
      <c r="A13">
        <f>'Mass Balance'!I13</f>
        <v>1.0741403538908605E-7</v>
      </c>
      <c r="B13">
        <f>'Mass Balance'!E13</f>
        <v>2.2776065116965868E-6</v>
      </c>
      <c r="C13">
        <f>SUM('Mass Balance'!E13:H13)</f>
        <v>3.1091829177842E-5</v>
      </c>
      <c r="D13">
        <f>Concentrations!F13/Concentrations!E13</f>
        <v>7.3540873690213074E-2</v>
      </c>
    </row>
    <row r="14" spans="1:4">
      <c r="A14">
        <f>'Mass Balance'!I14</f>
        <v>2.9235508863422241E-7</v>
      </c>
      <c r="B14">
        <f>'Mass Balance'!E14</f>
        <v>1.5087934208451169E-7</v>
      </c>
      <c r="C14">
        <f>SUM('Mass Balance'!E14:H14)</f>
        <v>3.5017805523403507E-5</v>
      </c>
      <c r="D14">
        <f>Concentrations!F14/Concentrations!E14</f>
        <v>4.3255089750456246E-3</v>
      </c>
    </row>
    <row r="15" spans="1:4">
      <c r="A15">
        <f>'Mass Balance'!I15</f>
        <v>2.0301892034391901E-7</v>
      </c>
      <c r="B15">
        <f>'Mass Balance'!E15</f>
        <v>2.4186006702242954E-7</v>
      </c>
      <c r="C15">
        <f>SUM('Mass Balance'!E15:H15)</f>
        <v>3.509658719886713E-5</v>
      </c>
      <c r="D15">
        <f>Concentrations!F15/Concentrations!E15</f>
        <v>6.9182403118300565E-3</v>
      </c>
    </row>
    <row r="16" spans="1:4">
      <c r="A16">
        <f>'Mass Balance'!I16</f>
        <v>4.9367171996436833E-7</v>
      </c>
      <c r="B16">
        <f>'Mass Balance'!E16</f>
        <v>5.3695317266195751E-8</v>
      </c>
      <c r="C16">
        <f>SUM('Mass Balance'!E16:H16)</f>
        <v>3.5494775214018029E-5</v>
      </c>
      <c r="D16">
        <f>Concentrations!F16/Concentrations!E16</f>
        <v>1.5186872432767797E-3</v>
      </c>
    </row>
    <row r="17" spans="1:4">
      <c r="A17">
        <f>'Mass Balance'!I17</f>
        <v>1.8388987617534706E-7</v>
      </c>
      <c r="B17">
        <f>'Mass Balance'!E17</f>
        <v>2.7002609453366565E-7</v>
      </c>
      <c r="C17">
        <f>SUM('Mass Balance'!E17:H17)</f>
        <v>3.514790192734451E-5</v>
      </c>
      <c r="D17">
        <f>Concentrations!F17/Concentrations!E17</f>
        <v>7.7126334484831222E-3</v>
      </c>
    </row>
    <row r="18" spans="1:4">
      <c r="A18">
        <f>'Mass Balance'!I18</f>
        <v>1.0394243512215752E-7</v>
      </c>
      <c r="B18">
        <f>'Mass Balance'!E18</f>
        <v>2.8437494316777427E-6</v>
      </c>
      <c r="C18">
        <f>SUM('Mass Balance'!E18:H18)</f>
        <v>3.0260237770488457E-5</v>
      </c>
      <c r="D18">
        <f>Concentrations!F18/Concentrations!E18</f>
        <v>9.4344231965447375E-2</v>
      </c>
    </row>
    <row r="19" spans="1:4">
      <c r="A19">
        <f>'Mass Balance'!I19</f>
        <v>2.0522632677492181E-7</v>
      </c>
      <c r="B19">
        <f>'Mass Balance'!E19</f>
        <v>2.3887427217112745E-7</v>
      </c>
      <c r="C19">
        <f>SUM('Mass Balance'!E19:H19)</f>
        <v>3.5091499799094133E-5</v>
      </c>
      <c r="D19">
        <f>Concentrations!F19/Concentrations!E19</f>
        <v>6.8338243025118017E-3</v>
      </c>
    </row>
    <row r="20" spans="1:4">
      <c r="A20">
        <f>'Mass Balance'!I20</f>
        <v>1.074284204178678E-7</v>
      </c>
      <c r="B20">
        <f>'Mass Balance'!E20</f>
        <v>2.2779115317538409E-6</v>
      </c>
      <c r="C20">
        <f>SUM('Mass Balance'!E20:H20)</f>
        <v>3.1095993036466065E-5</v>
      </c>
      <c r="D20">
        <f>Concentrations!F20/Concentrations!E20</f>
        <v>7.3540873690213074E-2</v>
      </c>
    </row>
    <row r="21" spans="1:4">
      <c r="A21">
        <f>'Mass Balance'!I21</f>
        <v>2.6810190755509119E-7</v>
      </c>
      <c r="B21">
        <f>'Mass Balance'!E21</f>
        <v>1.7054909137746492E-7</v>
      </c>
      <c r="C21">
        <f>SUM('Mass Balance'!E21:H21)</f>
        <v>3.5001601366737771E-5</v>
      </c>
      <c r="D21">
        <f>Concentrations!F21/Concentrations!E21</f>
        <v>4.8916779614992974E-3</v>
      </c>
    </row>
    <row r="22" spans="1:4">
      <c r="A22">
        <f>'Mass Balance'!I22</f>
        <v>3.0956195208300935E-8</v>
      </c>
      <c r="B22">
        <f>'Mass Balance'!E22</f>
        <v>2.2469319550622259E-5</v>
      </c>
      <c r="C22">
        <f>SUM('Mass Balance'!E22:H22)</f>
        <v>2.8531030263235557E-5</v>
      </c>
      <c r="D22">
        <f>Concentrations!F22/Concentrations!E22</f>
        <v>0.79062187913500215</v>
      </c>
    </row>
    <row r="23" spans="1:4">
      <c r="A23">
        <f>'Mass Balance'!I23</f>
        <v>1.7915774412045348E-8</v>
      </c>
      <c r="B23">
        <f>'Mass Balance'!E23</f>
        <v>2.8405883106016624E-5</v>
      </c>
      <c r="C23">
        <f>SUM('Mass Balance'!E23:H23)</f>
        <v>3.1340245142494955E-5</v>
      </c>
      <c r="D23">
        <f>Concentrations!F23/Concentrations!E23</f>
        <v>0.90991802583642023</v>
      </c>
    </row>
    <row r="24" spans="1:4">
      <c r="A24">
        <f>'Mass Balance'!I24</f>
        <v>8.3927738523424114E-8</v>
      </c>
      <c r="B24">
        <f>'Mass Balance'!E24</f>
        <v>6.9567145249326963E-6</v>
      </c>
      <c r="C24">
        <f>SUM('Mass Balance'!E24:H24)</f>
        <v>2.7462473203631589E-5</v>
      </c>
      <c r="D24">
        <f>Concentrations!F24/Concentrations!E24</f>
        <v>0.25430851284398492</v>
      </c>
    </row>
    <row r="25" spans="1:4">
      <c r="A25">
        <f>'Mass Balance'!I25</f>
        <v>1.1368581540853187E-7</v>
      </c>
      <c r="B25">
        <f>'Mass Balance'!E25</f>
        <v>8.2914294392375767E-7</v>
      </c>
      <c r="C25">
        <f>SUM('Mass Balance'!E25:H25)</f>
        <v>3.3525926401050817E-5</v>
      </c>
      <c r="D25">
        <f>Concentrations!F25/Concentrations!E25</f>
        <v>2.4828185657071927E-2</v>
      </c>
    </row>
    <row r="26" spans="1:4">
      <c r="A26">
        <f>'Mass Balance'!I26</f>
        <v>2.526679062837667E-7</v>
      </c>
      <c r="B26">
        <f>'Mass Balance'!E26</f>
        <v>1.8477879449089012E-7</v>
      </c>
      <c r="C26">
        <f>SUM('Mass Balance'!E26:H26)</f>
        <v>3.501142351602712E-5</v>
      </c>
      <c r="D26">
        <f>Concentrations!F26/Concentrations!E26</f>
        <v>5.2983265655727274E-3</v>
      </c>
    </row>
    <row r="27" spans="1:4">
      <c r="A27">
        <f>'Mass Balance'!I27</f>
        <v>5.957070951978008E-7</v>
      </c>
      <c r="B27">
        <f>'Mass Balance'!E27</f>
        <v>2.8725251407578895E-8</v>
      </c>
      <c r="C27">
        <f>SUM('Mass Balance'!E27:H27)</f>
        <v>3.5932863467357003E-5</v>
      </c>
      <c r="D27">
        <f>Concentrations!F27/Concentrations!E27</f>
        <v>8.0254311530271666E-4</v>
      </c>
    </row>
    <row r="28" spans="1:4">
      <c r="A28">
        <f>'Mass Balance'!I28</f>
        <v>3.7045463168103175E-7</v>
      </c>
      <c r="B28">
        <f>'Mass Balance'!E28</f>
        <v>1.020831532235413E-7</v>
      </c>
      <c r="C28">
        <f>SUM('Mass Balance'!E28:H28)</f>
        <v>3.5114895003686346E-5</v>
      </c>
      <c r="D28">
        <f>Concentrations!F28/Concentrations!E28</f>
        <v>2.918495745467104E-3</v>
      </c>
    </row>
    <row r="29" spans="1:4">
      <c r="A29">
        <f>'Mass Balance'!I29</f>
        <v>2.7646761815643283E-7</v>
      </c>
      <c r="B29">
        <f>'Mass Balance'!E29</f>
        <v>1.5298201734637609E-7</v>
      </c>
      <c r="C29">
        <f>SUM('Mass Balance'!E29:H29)</f>
        <v>3.4064556671008122E-5</v>
      </c>
      <c r="D29">
        <f>Concentrations!F29/Concentrations!E29</f>
        <v>4.5085200424820797E-3</v>
      </c>
    </row>
    <row r="30" spans="1:4">
      <c r="A30">
        <f>'Mass Balance'!I30</f>
        <v>3.7045463168103175E-7</v>
      </c>
      <c r="B30">
        <f>'Mass Balance'!E30</f>
        <v>1.020831532235413E-7</v>
      </c>
      <c r="C30">
        <f>SUM('Mass Balance'!E30:H30)</f>
        <v>3.5114895003686346E-5</v>
      </c>
      <c r="D30">
        <f>Concentrations!F30/Concentrations!E30</f>
        <v>2.918495745467104E-3</v>
      </c>
    </row>
    <row r="31" spans="1:4">
      <c r="A31">
        <f>'Mass Balance'!I31</f>
        <v>5.0614635637769308E-9</v>
      </c>
      <c r="B31">
        <f>'Mass Balance'!E31</f>
        <v>3.9026546780292676E-5</v>
      </c>
      <c r="C31">
        <f>SUM('Mass Balance'!E31:H31)</f>
        <v>3.9060199516445325E-5</v>
      </c>
      <c r="D31">
        <f>Concentrations!F31/Concentrations!E31</f>
        <v>1.0030487243621815</v>
      </c>
    </row>
    <row r="32" spans="1:4">
      <c r="A32">
        <f>'Mass Balance'!I32</f>
        <v>4.5904013366270579E-8</v>
      </c>
      <c r="B32">
        <f>'Mass Balance'!E32</f>
        <v>1.7361070050505614E-5</v>
      </c>
      <c r="C32">
        <f>SUM('Mass Balance'!E32:H32)</f>
        <v>2.7089939776835528E-5</v>
      </c>
      <c r="D32">
        <f>Concentrations!F32/Concentrations!E32</f>
        <v>0.64337593466145515</v>
      </c>
    </row>
    <row r="33" spans="1:4">
      <c r="A33">
        <f>'Mass Balance'!I33</f>
        <v>4.9819067758383625E-9</v>
      </c>
      <c r="B33">
        <f>'Mass Balance'!E33</f>
        <v>3.9824610844927398E-5</v>
      </c>
      <c r="C33">
        <f>SUM('Mass Balance'!E33:H33)</f>
        <v>3.9992733367950161E-5</v>
      </c>
      <c r="D33">
        <f>Concentrations!F33/Concentrations!E33</f>
        <v>0.99969337789726764</v>
      </c>
    </row>
    <row r="34" spans="1:4">
      <c r="A34">
        <f>'Mass Balance'!I34</f>
        <v>5.2884614745999765E-9</v>
      </c>
      <c r="B34">
        <f>'Mass Balance'!E34</f>
        <v>2.1901902599358616E-5</v>
      </c>
      <c r="C34">
        <f>SUM('Mass Balance'!E34:H34)</f>
        <v>3.998692631016462E-5</v>
      </c>
      <c r="D34">
        <f>Concentrations!F34/Concentrations!E34</f>
        <v>0.54987019915558155</v>
      </c>
    </row>
    <row r="35" spans="1:4">
      <c r="A35">
        <f>'Mass Balance'!I35</f>
        <v>5.2921510546793157E-9</v>
      </c>
      <c r="B35">
        <f>'Mass Balance'!E35</f>
        <v>1.2966215988137915E-5</v>
      </c>
      <c r="C35">
        <f>SUM('Mass Balance'!E35:H35)</f>
        <v>3.9975863775473649E-5</v>
      </c>
      <c r="D35">
        <f>Concentrations!F35/Concentrations!E35</f>
        <v>0.32562051399863751</v>
      </c>
    </row>
    <row r="36" spans="1:4">
      <c r="A36">
        <f>'Mass Balance'!I36</f>
        <v>5.0699130437739956E-9</v>
      </c>
      <c r="B36">
        <f>'Mass Balance'!E36</f>
        <v>4.3251220118723006E-6</v>
      </c>
      <c r="C36">
        <f>SUM('Mass Balance'!E36:H36)</f>
        <v>3.9973868574637071E-5</v>
      </c>
      <c r="D36">
        <f>Concentrations!F36/Concentrations!E36</f>
        <v>0.10862218771257091</v>
      </c>
    </row>
    <row r="37" spans="1:4">
      <c r="A37">
        <f>'Mass Balance'!I37</f>
        <v>2.5578529490463264E-8</v>
      </c>
      <c r="B37">
        <f>'Mass Balance'!E37</f>
        <v>8.3217616711305761E-6</v>
      </c>
      <c r="C37">
        <f>SUM('Mass Balance'!E37:H37)</f>
        <v>3.7145903256829105E-5</v>
      </c>
      <c r="D37">
        <f>Concentrations!F37/Concentrations!E37</f>
        <v>0.22490582970047909</v>
      </c>
    </row>
    <row r="38" spans="1:4">
      <c r="A38">
        <f>'Mass Balance'!I38</f>
        <v>5.5234346652423732E-9</v>
      </c>
      <c r="B38">
        <f>'Mass Balance'!E38</f>
        <v>2.4525940466134951E-5</v>
      </c>
      <c r="C38">
        <f>SUM('Mass Balance'!E38:H38)</f>
        <v>3.9919176227861116E-5</v>
      </c>
      <c r="D38">
        <f>Concentrations!F38/Concentrations!E38</f>
        <v>0.61679445598249327</v>
      </c>
    </row>
    <row r="39" spans="1:4">
      <c r="A39">
        <f>'Mass Balance'!I39</f>
        <v>1.1917227941352398E-7</v>
      </c>
      <c r="B39">
        <f>'Mass Balance'!E39</f>
        <v>4.1337531531139092E-7</v>
      </c>
      <c r="C39">
        <f>SUM('Mass Balance'!E39:H39)</f>
        <v>3.5469072272848217E-5</v>
      </c>
      <c r="D39">
        <f>Concentrations!F39/Concentrations!E39</f>
        <v>1.1700140373438877E-2</v>
      </c>
    </row>
    <row r="40" spans="1:4">
      <c r="A40">
        <f>'Mass Balance'!I40</f>
        <v>3.5908270713952256E-7</v>
      </c>
      <c r="B40">
        <f>'Mass Balance'!E40</f>
        <v>4.0356385346704086E-8</v>
      </c>
      <c r="C40">
        <f>SUM('Mass Balance'!E40:H40)</f>
        <v>3.9525085749706772E-5</v>
      </c>
      <c r="D40">
        <f>Concentrations!F40/Concentrations!E40</f>
        <v>1.0250281720648681E-3</v>
      </c>
    </row>
    <row r="41" spans="1:4">
      <c r="A41">
        <f>'Mass Balance'!I41</f>
        <v>4.5517274887811967E-9</v>
      </c>
      <c r="B41">
        <f>'Mass Balance'!E41</f>
        <v>3.6538685782809027E-5</v>
      </c>
      <c r="C41">
        <f>SUM('Mass Balance'!E41:H41)</f>
        <v>3.6540364358813092E-5</v>
      </c>
      <c r="D41">
        <f>Concentrations!F41/Concentrations!E41</f>
        <v>1.0038675396339611</v>
      </c>
    </row>
    <row r="42" spans="1:4">
      <c r="A42">
        <f>'Mass Balance'!I42</f>
        <v>3.5016106143790309E-8</v>
      </c>
      <c r="B42">
        <f>'Mass Balance'!E42</f>
        <v>2.0976896869388117E-5</v>
      </c>
      <c r="C42">
        <f>SUM('Mass Balance'!E42:H42)</f>
        <v>2.8040185955015067E-5</v>
      </c>
      <c r="D42">
        <f>Concentrations!F42/Concentrations!E42</f>
        <v>0.75102901537292632</v>
      </c>
    </row>
    <row r="43" spans="1:4">
      <c r="A43">
        <f>'Mass Balance'!I43</f>
        <v>9.8620438586719771E-9</v>
      </c>
      <c r="B43">
        <f>'Mass Balance'!E43</f>
        <v>3.5260910857888082E-7</v>
      </c>
      <c r="C43">
        <f>SUM('Mass Balance'!E43:H43)</f>
        <v>3.9973263334126808E-5</v>
      </c>
      <c r="D43">
        <f>Concentrations!F43/Concentrations!E43</f>
        <v>8.855646753836037E-3</v>
      </c>
    </row>
    <row r="44" spans="1:4">
      <c r="A44">
        <f>'Mass Balance'!I44</f>
        <v>9.0879003744767563E-9</v>
      </c>
      <c r="B44">
        <f>'Mass Balance'!E44</f>
        <v>3.0479732755733827E-5</v>
      </c>
      <c r="C44">
        <f>SUM('Mass Balance'!E44:H44)</f>
        <v>3.149570592670481E-5</v>
      </c>
      <c r="D44">
        <f>Concentrations!F44/Concentrations!E44</f>
        <v>0.97152989827926506</v>
      </c>
    </row>
    <row r="45" spans="1:4">
      <c r="A45">
        <f>'Mass Balance'!I45</f>
        <v>3.8836968932265739E-8</v>
      </c>
      <c r="B45">
        <f>'Mass Balance'!E45</f>
        <v>1.9566128161576809E-5</v>
      </c>
      <c r="C45">
        <f>SUM('Mass Balance'!E45:H45)</f>
        <v>2.7589404779173521E-5</v>
      </c>
      <c r="D45">
        <f>Concentrations!F45/Concentrations!E45</f>
        <v>0.71196546040949049</v>
      </c>
    </row>
    <row r="46" spans="1:4">
      <c r="A46">
        <f>'Mass Balance'!I46</f>
        <v>3.6354550902178543E-8</v>
      </c>
      <c r="B46">
        <f>'Mass Balance'!E46</f>
        <v>2.0414544670319157E-5</v>
      </c>
      <c r="C46">
        <f>SUM('Mass Balance'!E46:H46)</f>
        <v>2.7815649789877741E-5</v>
      </c>
      <c r="D46">
        <f>Concentrations!F46/Concentrations!E46</f>
        <v>0.73679530590858955</v>
      </c>
    </row>
    <row r="47" spans="1:4">
      <c r="A47">
        <f>'Mass Balance'!I47</f>
        <v>6.1094063791182554E-7</v>
      </c>
      <c r="B47">
        <f>'Mass Balance'!E47</f>
        <v>2.6227847950762712E-8</v>
      </c>
      <c r="C47">
        <f>SUM('Mass Balance'!E47:H47)</f>
        <v>3.6102718244146823E-5</v>
      </c>
      <c r="D47">
        <f>Concentrations!F47/Concentrations!E47</f>
        <v>7.2932166972692746E-4</v>
      </c>
    </row>
    <row r="48" spans="1:4">
      <c r="A48">
        <f>'Mass Balance'!I48</f>
        <v>6.3648108620064045E-9</v>
      </c>
      <c r="B48">
        <f>'Mass Balance'!E48</f>
        <v>3.6124048324114636E-5</v>
      </c>
      <c r="C48">
        <f>SUM('Mass Balance'!E48:H48)</f>
        <v>3.6459811369232209E-5</v>
      </c>
      <c r="D48">
        <f>Concentrations!F48/Concentrations!E48</f>
        <v>0.99466848831057531</v>
      </c>
    </row>
    <row r="49" spans="1:4">
      <c r="A49">
        <f>'Mass Balance'!I49</f>
        <v>7.4844955747637719E-9</v>
      </c>
      <c r="B49">
        <f>'Mass Balance'!E49</f>
        <v>3.4472688474422198E-5</v>
      </c>
      <c r="C49">
        <f>SUM('Mass Balance'!E49:H49)</f>
        <v>3.5064620072472719E-5</v>
      </c>
      <c r="D49">
        <f>Concentrations!F49/Concentrations!E49</f>
        <v>0.98696642602903817</v>
      </c>
    </row>
    <row r="50" spans="1:4">
      <c r="A50">
        <f>'Mass Balance'!I50</f>
        <v>1.0261837638707131E-7</v>
      </c>
      <c r="B50">
        <f>'Mass Balance'!E50</f>
        <v>3.0094935456615602E-6</v>
      </c>
      <c r="C50">
        <f>SUM('Mass Balance'!E50:H50)</f>
        <v>2.9951769116248701E-5</v>
      </c>
      <c r="D50">
        <f>Concentrations!F50/Concentrations!E50</f>
        <v>0.10087122598395441</v>
      </c>
    </row>
    <row r="51" spans="1:4">
      <c r="A51">
        <f>'Mass Balance'!I51</f>
        <v>4.8334836925715563E-9</v>
      </c>
      <c r="B51">
        <f>'Mass Balance'!E51</f>
        <v>3.6133989672757185E-5</v>
      </c>
      <c r="C51">
        <f>SUM('Mass Balance'!E51:H51)</f>
        <v>3.6190069114830034E-5</v>
      </c>
      <c r="D51">
        <f>Concentrations!F51/Concentrations!E51</f>
        <v>1.002358011511207</v>
      </c>
    </row>
    <row r="52" spans="1:4">
      <c r="A52">
        <f>'Mass Balance'!I52</f>
        <v>1.2367709550502062E-8</v>
      </c>
      <c r="B52">
        <f>'Mass Balance'!E52</f>
        <v>2.889591968815367E-5</v>
      </c>
      <c r="C52">
        <f>SUM('Mass Balance'!E52:H52)</f>
        <v>3.0633463225694947E-5</v>
      </c>
      <c r="D52">
        <f>Concentrations!F52/Concentrations!E52</f>
        <v>0.94697123184535315</v>
      </c>
    </row>
    <row r="53" spans="1:4">
      <c r="A53">
        <f>'Mass Balance'!I53</f>
        <v>5.2243842311483023E-8</v>
      </c>
      <c r="B53">
        <f>'Mass Balance'!E53</f>
        <v>1.5140874881168639E-5</v>
      </c>
      <c r="C53">
        <f>SUM('Mass Balance'!E53:H53)</f>
        <v>2.6636594833447422E-5</v>
      </c>
      <c r="D53">
        <f>Concentrations!F53/Concentrations!E53</f>
        <v>0.57064843187288916</v>
      </c>
    </row>
    <row r="54" spans="1:4">
      <c r="A54">
        <f>'Mass Balance'!I54</f>
        <v>5.5997127111744208E-7</v>
      </c>
      <c r="B54">
        <f>'Mass Balance'!E54</f>
        <v>3.6526775394566315E-8</v>
      </c>
      <c r="C54">
        <f>SUM('Mass Balance'!E54:H54)</f>
        <v>3.5812491721837221E-5</v>
      </c>
      <c r="D54">
        <f>Concentrations!F54/Concentrations!E54</f>
        <v>1.0239368137133337E-3</v>
      </c>
    </row>
    <row r="55" spans="1:4">
      <c r="A55">
        <f>'Mass Balance'!I55</f>
        <v>7.5447245969562671E-8</v>
      </c>
      <c r="B55">
        <f>'Mass Balance'!E55</f>
        <v>5.4471956973148659E-6</v>
      </c>
      <c r="C55">
        <f>SUM('Mass Balance'!E55:H55)</f>
        <v>2.4065881648610676E-5</v>
      </c>
      <c r="D55">
        <f>Concentrations!F55/Concentrations!E55</f>
        <v>0.22723099168919014</v>
      </c>
    </row>
    <row r="56" spans="1:4">
      <c r="A56">
        <f>'Mass Balance'!I56</f>
        <v>4.4040838245341874E-8</v>
      </c>
      <c r="B56">
        <f>'Mass Balance'!E56</f>
        <v>6.4439598891033022E-7</v>
      </c>
      <c r="C56">
        <f>SUM('Mass Balance'!E56:H56)</f>
        <v>1.2749599549479758E-5</v>
      </c>
      <c r="D56">
        <f>Concentrations!F56/Concentrations!E56</f>
        <v>5.0740255117251006E-2</v>
      </c>
    </row>
    <row r="57" spans="1:4">
      <c r="A57">
        <f>'Mass Balance'!I57</f>
        <v>2.177243979800119E-8</v>
      </c>
      <c r="B57">
        <f>'Mass Balance'!E57</f>
        <v>1.1648178155149547E-6</v>
      </c>
      <c r="C57">
        <f>SUM('Mass Balance'!E57:H57)</f>
        <v>6.6524717771175477E-6</v>
      </c>
      <c r="D57">
        <f>Concentrations!F57/Concentrations!E57</f>
        <v>0.17578075519766787</v>
      </c>
    </row>
    <row r="58" spans="1:4">
      <c r="A58">
        <f>'Mass Balance'!I58</f>
        <v>5.7131346271010732E-10</v>
      </c>
      <c r="B58">
        <f>'Mass Balance'!E58</f>
        <v>2.3665997364030672E-6</v>
      </c>
      <c r="C58">
        <f>SUM('Mass Balance'!E58:H58)</f>
        <v>2.4185505992137171E-6</v>
      </c>
      <c r="D58">
        <f>Concentrations!F58/Concentrations!E58</f>
        <v>0.98234942729794872</v>
      </c>
    </row>
    <row r="59" spans="1:4">
      <c r="A59">
        <f>'Mass Balance'!I59</f>
        <v>8.3585121597385344E-9</v>
      </c>
      <c r="B59">
        <f>'Mass Balance'!E59</f>
        <v>4.792338539034502E-7</v>
      </c>
      <c r="C59">
        <f>SUM('Mass Balance'!E59:H59)</f>
        <v>2.5758295937066708E-6</v>
      </c>
      <c r="D59">
        <f>Concentrations!F59/Concentrations!E59</f>
        <v>0.18677843130853475</v>
      </c>
    </row>
    <row r="60" spans="1:4">
      <c r="A60">
        <f>'Mass Balance'!I60</f>
        <v>1.462921156261011E-10</v>
      </c>
      <c r="B60">
        <f>'Mass Balance'!E60</f>
        <v>1.7911007591479279E-8</v>
      </c>
      <c r="C60">
        <f>SUM('Mass Balance'!E60:H60)</f>
        <v>5.2619715382319752E-8</v>
      </c>
      <c r="D60">
        <f>Concentrations!F60/Concentrations!E60</f>
        <v>0.34171802338874779</v>
      </c>
    </row>
    <row r="61" spans="1:4">
      <c r="A61">
        <f>'Mass Balance'!I61</f>
        <v>6.5844149177628131E-8</v>
      </c>
      <c r="B61">
        <f>'Mass Balance'!E61</f>
        <v>1.1351332819817936E-5</v>
      </c>
      <c r="C61">
        <f>SUM('Mass Balance'!E61:H61)</f>
        <v>2.6546127678238397E-5</v>
      </c>
      <c r="D61">
        <f>Concentrations!F61/Concentrations!E61</f>
        <v>0.42928136943734024</v>
      </c>
    </row>
    <row r="62" spans="1:4">
      <c r="A62">
        <f>'Mass Balance'!I62</f>
        <v>2.8690986044946272E-7</v>
      </c>
      <c r="B62">
        <f>'Mass Balance'!E62</f>
        <v>1.5511338594829702E-7</v>
      </c>
      <c r="C62">
        <f>SUM('Mass Balance'!E62:H62)</f>
        <v>3.5017832419309589E-5</v>
      </c>
      <c r="D62">
        <f>Concentrations!F62/Concentrations!E62</f>
        <v>4.4468899351751291E-3</v>
      </c>
    </row>
    <row r="63" spans="1:4">
      <c r="A63">
        <f>'Mass Balance'!I63</f>
        <v>6.8846797770693438E-7</v>
      </c>
      <c r="B63">
        <f>'Mass Balance'!E63</f>
        <v>1.437957078701709E-8</v>
      </c>
      <c r="C63">
        <f>SUM('Mass Balance'!E63:H63)</f>
        <v>3.6611782373278799E-5</v>
      </c>
      <c r="D63">
        <f>Concentrations!F63/Concentrations!E63</f>
        <v>3.942951301225698E-4</v>
      </c>
    </row>
    <row r="64" spans="1:4">
      <c r="A64">
        <f>'Mass Balance'!I64</f>
        <v>7.8419084732812498E-7</v>
      </c>
      <c r="B64">
        <f>'Mass Balance'!E64</f>
        <v>5.0060897303148227E-9</v>
      </c>
      <c r="C64">
        <f>SUM('Mass Balance'!E64:H64)</f>
        <v>3.7389395090757538E-5</v>
      </c>
      <c r="D64">
        <f>Concentrations!F64/Concentrations!E64</f>
        <v>1.3441463378141346E-4</v>
      </c>
    </row>
    <row r="65" spans="1:4">
      <c r="A65">
        <f>'Mass Balance'!I65</f>
        <v>8.5071425853190081E-7</v>
      </c>
      <c r="B65">
        <f>'Mass Balance'!E65</f>
        <v>1.4105922117781975E-9</v>
      </c>
      <c r="C65">
        <f>SUM('Mass Balance'!E65:H65)</f>
        <v>3.8053419326789163E-5</v>
      </c>
      <c r="D65">
        <f>Concentrations!F65/Concentrations!E65</f>
        <v>3.721381181810586E-5</v>
      </c>
    </row>
    <row r="66" spans="1:4">
      <c r="A66">
        <f>'Mass Balance'!I66</f>
        <v>8.1756906738754821E-7</v>
      </c>
      <c r="B66">
        <f>'Mass Balance'!E66</f>
        <v>2.9191098120327013E-9</v>
      </c>
      <c r="C66">
        <f>SUM('Mass Balance'!E66:H66)</f>
        <v>3.7707335246307667E-5</v>
      </c>
      <c r="D66">
        <f>Concentrations!F66/Concentrations!E66</f>
        <v>7.7717881346988231E-5</v>
      </c>
    </row>
    <row r="67" spans="1:4">
      <c r="A67">
        <f>'Mass Balance'!I67</f>
        <v>1.0834345880787065E-8</v>
      </c>
      <c r="B67">
        <f>'Mass Balance'!E67</f>
        <v>3.2468120984243174E-5</v>
      </c>
      <c r="C67">
        <f>SUM('Mass Balance'!E67:H67)</f>
        <v>3.378553078360657E-5</v>
      </c>
      <c r="D67">
        <f>Concentrations!F67/Concentrations!E67</f>
        <v>0.96476773687511463</v>
      </c>
    </row>
    <row r="68" spans="1:4">
      <c r="A68">
        <f>'Mass Balance'!I68</f>
        <v>1.5025114749183831E-8</v>
      </c>
      <c r="B68">
        <f>'Mass Balance'!E68</f>
        <v>2.9608091597642948E-5</v>
      </c>
      <c r="C68">
        <f>SUM('Mass Balance'!E68:H68)</f>
        <v>3.1884841395443785E-5</v>
      </c>
      <c r="D68">
        <f>Concentrations!F68/Concentrations!E68</f>
        <v>0.9322288025193527</v>
      </c>
    </row>
    <row r="69" spans="1:4">
      <c r="A69">
        <f>'Mass Balance'!I69</f>
        <v>4.8403015407557752E-7</v>
      </c>
      <c r="B69">
        <f>'Mass Balance'!E69</f>
        <v>5.6448211048119037E-8</v>
      </c>
      <c r="C69">
        <f>SUM('Mass Balance'!E69:H69)</f>
        <v>3.5427612877307889E-5</v>
      </c>
      <c r="D69">
        <f>Concentrations!F69/Concentrations!E69</f>
        <v>1.5995751726402131E-3</v>
      </c>
    </row>
    <row r="70" spans="1:4">
      <c r="A70">
        <f>'Mass Balance'!I70</f>
        <v>1.1394546262601536E-7</v>
      </c>
      <c r="B70">
        <f>'Mass Balance'!E70</f>
        <v>1.0241422743964268E-6</v>
      </c>
      <c r="C70">
        <f>SUM('Mass Balance'!E70:H70)</f>
        <v>3.3353771375512311E-5</v>
      </c>
      <c r="D70">
        <f>Concentrations!F70/Concentrations!E70</f>
        <v>3.082561202457974E-2</v>
      </c>
    </row>
    <row r="71" spans="1:4">
      <c r="A71">
        <f>'Mass Balance'!I71</f>
        <v>1.4026704956937241E-8</v>
      </c>
      <c r="B71">
        <f>'Mass Balance'!E71</f>
        <v>2.9626384412639823E-5</v>
      </c>
      <c r="C71">
        <f>SUM('Mass Balance'!E71:H71)</f>
        <v>3.1691090233881285E-5</v>
      </c>
      <c r="D71">
        <f>Concentrations!F71/Concentrations!E71</f>
        <v>0.93850769095966746</v>
      </c>
    </row>
    <row r="72" spans="1:4">
      <c r="A72">
        <f>'Mass Balance'!I72</f>
        <v>1.1190292794266344E-7</v>
      </c>
      <c r="B72">
        <f>'Mass Balance'!E72</f>
        <v>1.1832203082371433E-6</v>
      </c>
      <c r="C72">
        <f>SUM('Mass Balance'!E72:H72)</f>
        <v>3.259959810758364E-5</v>
      </c>
      <c r="D72">
        <f>Concentrations!F72/Concentrations!E72</f>
        <v>3.6437597259925153E-2</v>
      </c>
    </row>
    <row r="73" spans="1:4">
      <c r="A73">
        <f>'Mass Balance'!I73</f>
        <v>6.7894445815702746E-8</v>
      </c>
      <c r="B73">
        <f>'Mass Balance'!E73</f>
        <v>1.0445437933166867E-5</v>
      </c>
      <c r="C73">
        <f>SUM('Mass Balance'!E73:H73)</f>
        <v>2.6262501957735943E-5</v>
      </c>
      <c r="D73">
        <f>Concentrations!F73/Concentrations!E73</f>
        <v>0.39928860591166576</v>
      </c>
    </row>
    <row r="74" spans="1:4">
      <c r="A74">
        <f>'Mass Balance'!I74</f>
        <v>1.1351150303167383E-7</v>
      </c>
      <c r="B74">
        <f>'Mass Balance'!E74</f>
        <v>1.0687221711255736E-6</v>
      </c>
      <c r="C74">
        <f>SUM('Mass Balance'!E74:H74)</f>
        <v>3.317817259082147E-5</v>
      </c>
      <c r="D74">
        <f>Concentrations!F74/Concentrations!E74</f>
        <v>3.2337669598745421E-2</v>
      </c>
    </row>
    <row r="75" spans="1:4">
      <c r="A75">
        <f>'Mass Balance'!I75</f>
        <v>3.1340180243449623E-8</v>
      </c>
      <c r="B75">
        <f>'Mass Balance'!E75</f>
        <v>1.7270041454270105E-7</v>
      </c>
      <c r="C75">
        <f>SUM('Mass Balance'!E75:H75)</f>
        <v>3.9965317864319753E-5</v>
      </c>
      <c r="D75">
        <f>Concentrations!F75/Concentrations!E75</f>
        <v>4.3381690424097374E-3</v>
      </c>
    </row>
    <row r="76" spans="1:4">
      <c r="A76">
        <f>'Mass Balance'!I76</f>
        <v>3.1340180260262949E-8</v>
      </c>
      <c r="B76">
        <f>'Mass Balance'!E76</f>
        <v>1.727004146353511E-7</v>
      </c>
      <c r="C76">
        <f>SUM('Mass Balance'!E76:H76)</f>
        <v>3.9965317885760284E-5</v>
      </c>
      <c r="D76">
        <f>Concentrations!F76/Concentrations!E76</f>
        <v>4.3381690424097374E-3</v>
      </c>
    </row>
    <row r="77" spans="1:4">
      <c r="A77">
        <f>'Mass Balance'!I77</f>
        <v>9.5141370307340714E-8</v>
      </c>
      <c r="B77">
        <f>'Mass Balance'!E77</f>
        <v>4.0401644662226226E-6</v>
      </c>
      <c r="C77">
        <f>SUM('Mass Balance'!E77:H77)</f>
        <v>2.8404047150037768E-5</v>
      </c>
      <c r="D77">
        <f>Concentrations!F77/Concentrations!E77</f>
        <v>0.14279571719987913</v>
      </c>
    </row>
    <row r="78" spans="1:4">
      <c r="A78">
        <f>'Mass Balance'!I78</f>
        <v>3.2088737889520804E-8</v>
      </c>
      <c r="B78">
        <f>'Mass Balance'!E78</f>
        <v>2.0943771429806095E-5</v>
      </c>
      <c r="C78">
        <f>SUM('Mass Balance'!E78:H78)</f>
        <v>2.7334285552809059E-5</v>
      </c>
      <c r="D78">
        <f>Concentrations!F78/Concentrations!E78</f>
        <v>0.76920752608869425</v>
      </c>
    </row>
    <row r="79" spans="1:4">
      <c r="A79">
        <f>'Mass Balance'!I79</f>
        <v>5.3080738508203741E-8</v>
      </c>
      <c r="B79">
        <f>'Mass Balance'!E79</f>
        <v>1.4708900531651729E-5</v>
      </c>
      <c r="C79">
        <f>SUM('Mass Balance'!E79:H79)</f>
        <v>2.6440973856530551E-5</v>
      </c>
      <c r="D79">
        <f>Concentrations!F79/Concentrations!E79</f>
        <v>0.5584690716502958</v>
      </c>
    </row>
    <row r="80" spans="1:4">
      <c r="A80">
        <f>'Mass Balance'!I80</f>
        <v>6.081321545358735E-8</v>
      </c>
      <c r="B80">
        <f>'Mass Balance'!E80</f>
        <v>1.1700845793656544E-7</v>
      </c>
      <c r="C80">
        <f>SUM('Mass Balance'!E80:H80)</f>
        <v>3.9935116521190289E-5</v>
      </c>
      <c r="D80">
        <f>Concentrations!F80/Concentrations!E80</f>
        <v>2.9414309795428055E-3</v>
      </c>
    </row>
    <row r="81" spans="1:4">
      <c r="A81">
        <f>'Mass Balance'!I81</f>
        <v>5.1326014211012681E-9</v>
      </c>
      <c r="B81">
        <f>'Mass Balance'!E81</f>
        <v>3.878481596916825E-5</v>
      </c>
      <c r="C81">
        <f>SUM('Mass Balance'!E81:H81)</f>
        <v>3.8835525596611302E-5</v>
      </c>
      <c r="D81">
        <f>Concentrations!F81/Concentrations!E81</f>
        <v>1.002602793126474</v>
      </c>
    </row>
    <row r="82" spans="1:4">
      <c r="A82">
        <f>'Mass Balance'!I82</f>
        <v>1.742097180769035E-8</v>
      </c>
      <c r="B82">
        <f>'Mass Balance'!E82</f>
        <v>2.8666660311370092E-5</v>
      </c>
      <c r="C82">
        <f>SUM('Mass Balance'!E82:H82)</f>
        <v>3.1485778066568708E-5</v>
      </c>
      <c r="D82">
        <f>Concentrations!F82/Concentrations!E82</f>
        <v>0.91402701646221429</v>
      </c>
    </row>
    <row r="83" spans="1:4">
      <c r="A83">
        <f>'Mass Balance'!I83</f>
        <v>9.2699605304651929E-8</v>
      </c>
      <c r="B83">
        <f>'Mass Balance'!E83</f>
        <v>5.0751972696853008E-6</v>
      </c>
      <c r="C83">
        <f>SUM('Mass Balance'!E83:H83)</f>
        <v>2.8402306752220976E-5</v>
      </c>
      <c r="D83">
        <f>Concentrations!F83/Concentrations!E83</f>
        <v>0.17938894525213359</v>
      </c>
    </row>
    <row r="84" spans="1:4">
      <c r="A84">
        <f>'Mass Balance'!I84</f>
        <v>5.8932521018595834E-9</v>
      </c>
      <c r="B84">
        <f>'Mass Balance'!E84</f>
        <v>3.7289545563938299E-5</v>
      </c>
      <c r="C84">
        <f>SUM('Mass Balance'!E84:H84)</f>
        <v>3.7509676254593959E-5</v>
      </c>
      <c r="D84">
        <f>Concentrations!F84/Concentrations!E84</f>
        <v>0.9980220517204107</v>
      </c>
    </row>
    <row r="85" spans="1:4">
      <c r="A85">
        <f>'Mass Balance'!I85</f>
        <v>4.9727238407384414E-9</v>
      </c>
      <c r="B85">
        <f>'Mass Balance'!E85</f>
        <v>3.950179400613869E-5</v>
      </c>
      <c r="C85">
        <f>SUM('Mass Balance'!E85:H85)</f>
        <v>3.9511458765215326E-5</v>
      </c>
      <c r="D85">
        <f>Concentrations!F85/Concentrations!E85</f>
        <v>1.0036680932087843</v>
      </c>
    </row>
    <row r="86" spans="1:4">
      <c r="A86">
        <f>'Mass Balance'!I86</f>
        <v>5.846909726307172E-9</v>
      </c>
      <c r="B86">
        <f>'Mass Balance'!E86</f>
        <v>3.7359142426153281E-5</v>
      </c>
      <c r="C86">
        <f>SUM('Mass Balance'!E86:H86)</f>
        <v>3.7569125070866375E-5</v>
      </c>
      <c r="D86">
        <f>Concentrations!F86/Concentrations!E86</f>
        <v>0.9983025482944875</v>
      </c>
    </row>
    <row r="87" spans="1:4">
      <c r="A87">
        <f>'Mass Balance'!I87</f>
        <v>6.4260578637098224E-7</v>
      </c>
      <c r="B87">
        <f>'Mass Balance'!E87</f>
        <v>2.0873045341880694E-8</v>
      </c>
      <c r="C87">
        <f>SUM('Mass Balance'!E87:H87)</f>
        <v>3.6299264848459027E-5</v>
      </c>
      <c r="D87">
        <f>Concentrations!F87/Concentrations!E87</f>
        <v>5.7727712584221204E-4</v>
      </c>
    </row>
    <row r="88" spans="1:4">
      <c r="A88">
        <f>'Mass Balance'!I88</f>
        <v>2.7383160068732706E-8</v>
      </c>
      <c r="B88">
        <f>'Mass Balance'!E88</f>
        <v>2.3995693176952696E-5</v>
      </c>
      <c r="C88">
        <f>SUM('Mass Balance'!E88:H88)</f>
        <v>2.9182471852866844E-5</v>
      </c>
      <c r="D88">
        <f>Concentrations!F88/Concentrations!E88</f>
        <v>0.82548196091787918</v>
      </c>
    </row>
    <row r="89" spans="1:4">
      <c r="A89">
        <f>'Mass Balance'!I89</f>
        <v>1.8955088548044371E-8</v>
      </c>
      <c r="B89">
        <f>'Mass Balance'!E89</f>
        <v>2.7873630792225788E-5</v>
      </c>
      <c r="C89">
        <f>SUM('Mass Balance'!E89:H89)</f>
        <v>3.1050801359701452E-5</v>
      </c>
      <c r="D89">
        <f>Concentrations!F89/Concentrations!E89</f>
        <v>0.90119151188221702</v>
      </c>
    </row>
    <row r="90" spans="1:4">
      <c r="A90">
        <f>'Mass Balance'!I90</f>
        <v>8.4317458144616308E-9</v>
      </c>
      <c r="B90">
        <f>'Mass Balance'!E90</f>
        <v>3.4533517606014137E-5</v>
      </c>
      <c r="C90">
        <f>SUM('Mass Balance'!E90:H90)</f>
        <v>3.5310439588091723E-5</v>
      </c>
      <c r="D90">
        <f>Concentrations!F90/Concentrations!E90</f>
        <v>0.98182493204176757</v>
      </c>
    </row>
    <row r="91" spans="1:4">
      <c r="A91">
        <f>'Mass Balance'!I91</f>
        <v>3.1471605019653099E-7</v>
      </c>
      <c r="B91">
        <f>'Mass Balance'!E91</f>
        <v>1.3486477092029296E-7</v>
      </c>
      <c r="C91">
        <f>SUM('Mass Balance'!E91:H91)</f>
        <v>3.503468952385547E-5</v>
      </c>
      <c r="D91">
        <f>Concentrations!F91/Concentrations!E91</f>
        <v>3.8645293340741375E-3</v>
      </c>
    </row>
    <row r="92" spans="1:4">
      <c r="A92">
        <f>'Mass Balance'!I92</f>
        <v>8.3408184040422074E-8</v>
      </c>
      <c r="B92">
        <f>'Mass Balance'!E92</f>
        <v>7.074473051715484E-6</v>
      </c>
      <c r="C92">
        <f>SUM('Mass Balance'!E92:H92)</f>
        <v>2.741907116629085E-5</v>
      </c>
      <c r="D92">
        <f>Concentrations!F92/Concentrations!E92</f>
        <v>0.25902263682185789</v>
      </c>
    </row>
    <row r="93" spans="1:4">
      <c r="A93">
        <f>'Mass Balance'!I93</f>
        <v>1.1144158501820008E-7</v>
      </c>
      <c r="B93">
        <f>'Mass Balance'!E93</f>
        <v>1.5566673599462209E-6</v>
      </c>
      <c r="C93">
        <f>SUM('Mass Balance'!E93:H93)</f>
        <v>3.2280829568427355E-5</v>
      </c>
      <c r="D93">
        <f>Concentrations!F93/Concentrations!E93</f>
        <v>4.8411383565722318E-2</v>
      </c>
    </row>
    <row r="94" spans="1:4">
      <c r="A94">
        <f>'Mass Balance'!I94</f>
        <v>5.1259069914099849E-9</v>
      </c>
      <c r="B94">
        <f>'Mass Balance'!E94</f>
        <v>3.5786133027413587E-5</v>
      </c>
      <c r="C94">
        <f>SUM('Mass Balance'!E94:H94)</f>
        <v>3.998849458082177E-5</v>
      </c>
      <c r="D94">
        <f>Concentrations!F94/Concentrations!E94</f>
        <v>0.89841310742128699</v>
      </c>
    </row>
    <row r="95" spans="1:4">
      <c r="A95">
        <f>'Mass Balance'!I95</f>
        <v>1.586409009912172E-7</v>
      </c>
      <c r="B95">
        <f>'Mass Balance'!E95</f>
        <v>3.1509450657735882E-7</v>
      </c>
      <c r="C95">
        <f>SUM('Mass Balance'!E95:H95)</f>
        <v>3.5244188802938808E-5</v>
      </c>
      <c r="D95">
        <f>Concentrations!F95/Concentrations!E95</f>
        <v>8.9753144885108566E-3</v>
      </c>
    </row>
    <row r="96" spans="1:4">
      <c r="A96">
        <f>'Mass Balance'!I96</f>
        <v>5.1488243328534779E-9</v>
      </c>
      <c r="B96">
        <f>'Mass Balance'!E96</f>
        <v>3.8736284823615834E-5</v>
      </c>
      <c r="C96">
        <f>SUM('Mass Balance'!E96:H96)</f>
        <v>3.8790792279013947E-5</v>
      </c>
      <c r="D96">
        <f>Concentrations!F96/Concentrations!E96</f>
        <v>1.0025029928797253</v>
      </c>
    </row>
    <row r="97" spans="1:4">
      <c r="A97">
        <f>'Mass Balance'!I97</f>
        <v>5.9172481276396601E-9</v>
      </c>
      <c r="B97">
        <f>'Mass Balance'!E97</f>
        <v>3.7254073015598395E-5</v>
      </c>
      <c r="C97">
        <f>SUM('Mass Balance'!E97:H97)</f>
        <v>3.7479456034181946E-5</v>
      </c>
      <c r="D97">
        <f>Concentrations!F97/Concentrations!E97</f>
        <v>0.99787661392795635</v>
      </c>
    </row>
    <row r="98" spans="1:4">
      <c r="A98">
        <f>'Mass Balance'!I98</f>
        <v>1.1566987680677801E-7</v>
      </c>
      <c r="B98">
        <f>'Mass Balance'!E98</f>
        <v>7.3390517707065685E-7</v>
      </c>
      <c r="C98">
        <f>SUM('Mass Balance'!E98:H98)</f>
        <v>3.4303616828167672E-5</v>
      </c>
      <c r="D98">
        <f>Concentrations!F98/Concentrations!E98</f>
        <v>2.1478126749584533E-2</v>
      </c>
    </row>
    <row r="99" spans="1:4">
      <c r="A99">
        <f>'Mass Balance'!I99</f>
        <v>4.9603900419945457E-9</v>
      </c>
      <c r="B99">
        <f>'Mass Balance'!E99</f>
        <v>3.9655361144173234E-5</v>
      </c>
      <c r="C99">
        <f>SUM('Mass Balance'!E99:H99)</f>
        <v>3.9660197014325694E-5</v>
      </c>
      <c r="D99">
        <f>Concentrations!F99/Concentrations!E99</f>
        <v>1.0037912472179731</v>
      </c>
    </row>
    <row r="100" spans="1:4">
      <c r="A100">
        <f>'Mass Balance'!I100</f>
        <v>4.8387065691856583E-8</v>
      </c>
      <c r="B100">
        <f>'Mass Balance'!E100</f>
        <v>1.6395820539164533E-5</v>
      </c>
      <c r="C100">
        <f>SUM('Mass Balance'!E100:H100)</f>
        <v>2.6871758329650333E-5</v>
      </c>
      <c r="D100">
        <f>Concentrations!F100/Concentrations!E100</f>
        <v>0.61253856018918551</v>
      </c>
    </row>
    <row r="101" spans="1:4">
      <c r="A101">
        <f>'Mass Balance'!I101</f>
        <v>4.9825416340369033E-9</v>
      </c>
      <c r="B101">
        <f>'Mass Balance'!E101</f>
        <v>3.9421626758680194E-5</v>
      </c>
      <c r="C101">
        <f>SUM('Mass Balance'!E101:H101)</f>
        <v>3.9434402987944591E-5</v>
      </c>
      <c r="D101">
        <f>Concentrations!F101/Concentrations!E101</f>
        <v>1.0035884021450032</v>
      </c>
    </row>
    <row r="102" spans="1:4">
      <c r="A102">
        <f>'Mass Balance'!I102</f>
        <v>4.9583719666613018E-9</v>
      </c>
      <c r="B102">
        <f>'Mass Balance'!E102</f>
        <v>3.9851701001341239E-5</v>
      </c>
      <c r="C102">
        <f>SUM('Mass Balance'!E102:H102)</f>
        <v>3.9852672238282358E-5</v>
      </c>
      <c r="D102">
        <f>Concentrations!F102/Concentrations!E102</f>
        <v>1.0038891909364551</v>
      </c>
    </row>
    <row r="103" spans="1:4">
      <c r="A103">
        <f>'Mass Balance'!I103</f>
        <v>4.9598545675121458E-9</v>
      </c>
      <c r="B103">
        <f>'Mass Balance'!E103</f>
        <v>3.9666298067820977E-5</v>
      </c>
      <c r="C103">
        <f>SUM('Mass Balance'!E103:H103)</f>
        <v>3.9670848789195448E-5</v>
      </c>
      <c r="D103">
        <f>Concentrations!F103/Concentrations!E103</f>
        <v>1.0037984960831405</v>
      </c>
    </row>
    <row r="104" spans="1:4">
      <c r="A104">
        <f>'Mass Balance'!I104</f>
        <v>5.4392650788534147E-9</v>
      </c>
      <c r="B104">
        <f>'Mass Balance'!E104</f>
        <v>3.8055780602518619E-5</v>
      </c>
      <c r="C104">
        <f>SUM('Mass Balance'!E104:H104)</f>
        <v>3.8175989059901518E-5</v>
      </c>
      <c r="D104">
        <f>Concentrations!F104/Concentrations!E104</f>
        <v>1.0007525362272784</v>
      </c>
    </row>
    <row r="105" spans="1:4">
      <c r="A105">
        <f>'Mass Balance'!I105</f>
        <v>4.9576022120928811E-9</v>
      </c>
      <c r="B105">
        <f>'Mass Balance'!E105</f>
        <v>3.982293405733125E-5</v>
      </c>
      <c r="C105">
        <f>SUM('Mass Balance'!E105:H105)</f>
        <v>3.9824299355695767E-5</v>
      </c>
      <c r="D105">
        <f>Concentrations!F105/Concentrations!E105</f>
        <v>1.0038792397804066</v>
      </c>
    </row>
    <row r="106" spans="1:4">
      <c r="A106">
        <f>'Mass Balance'!I106</f>
        <v>1.0390754694754351E-8</v>
      </c>
      <c r="B106">
        <f>'Mass Balance'!E106</f>
        <v>3.2975848307221887E-5</v>
      </c>
      <c r="C106">
        <f>SUM('Mass Balance'!E106:H106)</f>
        <v>3.4188570381924064E-5</v>
      </c>
      <c r="D106">
        <f>Concentrations!F106/Concentrations!E106</f>
        <v>0.96830326910358977</v>
      </c>
    </row>
    <row r="107" spans="1:4">
      <c r="A107">
        <f>'Mass Balance'!I107</f>
        <v>1.16307130083568E-7</v>
      </c>
      <c r="B107">
        <f>'Mass Balance'!E107</f>
        <v>5.4564839761621353E-7</v>
      </c>
      <c r="C107">
        <f>SUM('Mass Balance'!E107:H107)</f>
        <v>3.4968476454737312E-5</v>
      </c>
      <c r="D107">
        <f>Concentrations!F107/Concentrations!E107</f>
        <v>1.5665077058658026E-2</v>
      </c>
    </row>
    <row r="108" spans="1:4">
      <c r="A108">
        <f>'Mass Balance'!I108</f>
        <v>4.0882227604571981E-8</v>
      </c>
      <c r="B108">
        <f>'Mass Balance'!E108</f>
        <v>1.8873284009896781E-5</v>
      </c>
      <c r="C108">
        <f>SUM('Mass Balance'!E108:H108)</f>
        <v>2.7413927980791202E-5</v>
      </c>
      <c r="D108">
        <f>Concentrations!F108/Concentrations!E108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0.77361679657132965</v>
      </c>
      <c r="M2" s="115">
        <v>2.4029897076243287</v>
      </c>
      <c r="N2" s="115">
        <v>52.936775449951995</v>
      </c>
      <c r="O2" s="115">
        <v>1.1296896000999572</v>
      </c>
      <c r="P2" s="115">
        <v>1.1594880119623308</v>
      </c>
      <c r="Q2" s="111">
        <v>1.1296896000999574</v>
      </c>
      <c r="R2" s="68">
        <v>1.1594880119623308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6.5497097263895662E-4</v>
      </c>
      <c r="M3" s="115">
        <v>108.70604466148241</v>
      </c>
      <c r="N3" s="115">
        <v>3613.6137925829362</v>
      </c>
      <c r="O3" s="115">
        <v>21.793967858453161</v>
      </c>
      <c r="P3" s="115">
        <v>9.335480189836435</v>
      </c>
      <c r="Q3" s="111">
        <v>21.793967858453161</v>
      </c>
      <c r="R3" s="68">
        <v>9.335480189836435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0.35416174333654915</v>
      </c>
      <c r="M4" s="115">
        <v>9.9676720362328748</v>
      </c>
      <c r="N4" s="115">
        <v>302.77770396082406</v>
      </c>
      <c r="O4" s="115">
        <v>3.2633470488853655</v>
      </c>
      <c r="P4" s="115">
        <v>3.0570935352815236</v>
      </c>
      <c r="Q4" s="111">
        <v>3.263347048885366</v>
      </c>
      <c r="R4" s="68">
        <v>3.0570935352815236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6.9310135786797037E-3</v>
      </c>
      <c r="M5" s="115">
        <v>32.108336476975062</v>
      </c>
      <c r="N5" s="115">
        <v>1042.1539907791973</v>
      </c>
      <c r="O5" s="115">
        <v>9.1793953715617196</v>
      </c>
      <c r="P5" s="115">
        <v>7.7401363740436961</v>
      </c>
      <c r="Q5" s="111">
        <v>9.1793953715617196</v>
      </c>
      <c r="R5" s="68">
        <v>7.7401363740436961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2.9475291989753733E-4</v>
      </c>
      <c r="M6" s="115">
        <v>126.856758854557</v>
      </c>
      <c r="N6" s="115">
        <v>4243.4884692330779</v>
      </c>
      <c r="O6" s="115">
        <v>24.865115744817896</v>
      </c>
      <c r="P6" s="115">
        <v>9.849812882694529</v>
      </c>
      <c r="Q6" s="111">
        <v>24.865115744817896</v>
      </c>
      <c r="R6" s="68">
        <v>9.849812882694529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5.8680563640376392E-4</v>
      </c>
      <c r="M7" s="115">
        <v>111.96566798095513</v>
      </c>
      <c r="N7" s="115">
        <v>3725.3904715374979</v>
      </c>
      <c r="O7" s="115">
        <v>22.353780520419594</v>
      </c>
      <c r="P7" s="115">
        <v>9.4436281407783902</v>
      </c>
      <c r="Q7" s="111">
        <v>22.353780520419598</v>
      </c>
      <c r="R7" s="68">
        <v>9.4436281407783902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1.3008707536501527E-3</v>
      </c>
      <c r="M8" s="115">
        <v>89.275311237187523</v>
      </c>
      <c r="N8" s="115">
        <v>2950.4447877368011</v>
      </c>
      <c r="O8" s="115">
        <v>18.561626202460147</v>
      </c>
      <c r="P8" s="115">
        <v>8.878717944438332</v>
      </c>
      <c r="Q8" s="111">
        <v>18.561626202460147</v>
      </c>
      <c r="R8" s="68">
        <v>8.878717944438332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5.9480982589747572E-2</v>
      </c>
      <c r="M9" s="115">
        <v>19.086561605719016</v>
      </c>
      <c r="N9" s="115">
        <v>606.95951127301078</v>
      </c>
      <c r="O9" s="115">
        <v>6.3774308331706955</v>
      </c>
      <c r="P9" s="115">
        <v>6.2603969194922575</v>
      </c>
      <c r="Q9" s="111">
        <v>6.3774308331706955</v>
      </c>
      <c r="R9" s="68">
        <v>6.2603969194922584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6.4456380407144171E-3</v>
      </c>
      <c r="M10" s="115">
        <v>34.326591409737823</v>
      </c>
      <c r="N10" s="115">
        <v>1115.2156914220548</v>
      </c>
      <c r="O10" s="115">
        <v>9.5381723339068891</v>
      </c>
      <c r="P10" s="115">
        <v>7.7753972521725849</v>
      </c>
      <c r="Q10" s="111">
        <v>9.5381723339068891</v>
      </c>
      <c r="R10" s="68">
        <v>7.7753972521725858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5.6932876312326018E-3</v>
      </c>
      <c r="M11" s="115">
        <v>38.250536374579923</v>
      </c>
      <c r="N11" s="115">
        <v>1244.6649189217922</v>
      </c>
      <c r="O11" s="115">
        <v>10.173216411705418</v>
      </c>
      <c r="P11" s="115">
        <v>7.8383276823369075</v>
      </c>
      <c r="Q11" s="111">
        <v>10.173216411705418</v>
      </c>
      <c r="R11" s="68">
        <v>7.8383276823369075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3.8179044934073161E-2</v>
      </c>
      <c r="M12" s="115">
        <v>19.936040514918862</v>
      </c>
      <c r="N12" s="115">
        <v>636.7322779116821</v>
      </c>
      <c r="O12" s="115">
        <v>6.7569331478192618</v>
      </c>
      <c r="P12" s="115">
        <v>6.7181359353134287</v>
      </c>
      <c r="Q12" s="111">
        <v>6.7569331478192627</v>
      </c>
      <c r="R12" s="68">
        <v>6.7181359353134287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5.7068237934754545E-2</v>
      </c>
      <c r="M13" s="115">
        <v>19.181077748051081</v>
      </c>
      <c r="N13" s="115">
        <v>610.23212487408466</v>
      </c>
      <c r="O13" s="115">
        <v>6.4173339283855411</v>
      </c>
      <c r="P13" s="115">
        <v>6.3071548266202253</v>
      </c>
      <c r="Q13" s="111">
        <v>6.417333928385542</v>
      </c>
      <c r="R13" s="68">
        <v>6.3071548266202253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3.7810117193849946E-3</v>
      </c>
      <c r="M14" s="115">
        <v>52.206265827539724</v>
      </c>
      <c r="N14" s="115">
        <v>1707.0496490183539</v>
      </c>
      <c r="O14" s="115">
        <v>12.446538705108221</v>
      </c>
      <c r="P14" s="115">
        <v>8.0874906887088933</v>
      </c>
      <c r="Q14" s="111">
        <v>12.446538705108221</v>
      </c>
      <c r="R14" s="68">
        <v>8.0874906887088951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6.0607922981720649E-3</v>
      </c>
      <c r="M15" s="115">
        <v>36.253378632842683</v>
      </c>
      <c r="N15" s="115">
        <v>1178.7468356106203</v>
      </c>
      <c r="O15" s="115">
        <v>9.8499228192190493</v>
      </c>
      <c r="P15" s="115">
        <v>7.8061819383853965</v>
      </c>
      <c r="Q15" s="111">
        <v>9.8499228192190511</v>
      </c>
      <c r="R15" s="68">
        <v>7.8061819383853965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1.3456704737678463E-3</v>
      </c>
      <c r="M16" s="115">
        <v>88.155664279351498</v>
      </c>
      <c r="N16" s="115">
        <v>2912.5459367576746</v>
      </c>
      <c r="O16" s="115">
        <v>18.374520276838396</v>
      </c>
      <c r="P16" s="115">
        <v>8.850671544520047</v>
      </c>
      <c r="Q16" s="111">
        <v>18.3745202768384</v>
      </c>
      <c r="R16" s="68">
        <v>8.8506715445200488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6.7665561521009976E-3</v>
      </c>
      <c r="M17" s="115">
        <v>32.837477888454835</v>
      </c>
      <c r="N17" s="115">
        <v>1066.1593160791815</v>
      </c>
      <c r="O17" s="115">
        <v>9.2974532886519921</v>
      </c>
      <c r="P17" s="115">
        <v>7.7519655860376053</v>
      </c>
      <c r="Q17" s="111">
        <v>9.2974532886519921</v>
      </c>
      <c r="R17" s="68">
        <v>7.7519655860376062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7.125273089826431E-2</v>
      </c>
      <c r="M18" s="115">
        <v>18.561149128956703</v>
      </c>
      <c r="N18" s="115">
        <v>589.04394786730199</v>
      </c>
      <c r="O18" s="115">
        <v>6.166926680936446</v>
      </c>
      <c r="P18" s="115">
        <v>6.021321948275336</v>
      </c>
      <c r="Q18" s="111">
        <v>6.166926680936446</v>
      </c>
      <c r="R18" s="68">
        <v>6.021321948275336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5.9859760148401652E-3</v>
      </c>
      <c r="M19" s="115">
        <v>36.64755835266461</v>
      </c>
      <c r="N19" s="115">
        <v>1191.7516113159675</v>
      </c>
      <c r="O19" s="115">
        <v>9.9137553615907148</v>
      </c>
      <c r="P19" s="115">
        <v>7.8125739027951084</v>
      </c>
      <c r="Q19" s="111">
        <v>9.9137553615907148</v>
      </c>
      <c r="R19" s="68">
        <v>7.8125739027951084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5.7075880588177259E-2</v>
      </c>
      <c r="M20" s="115">
        <v>19.18364650319068</v>
      </c>
      <c r="N20" s="115">
        <v>610.31384796220868</v>
      </c>
      <c r="O20" s="115">
        <v>6.4181933461788265</v>
      </c>
      <c r="P20" s="115">
        <v>6.3079994890834055</v>
      </c>
      <c r="Q20" s="111">
        <v>6.4181933461788265</v>
      </c>
      <c r="R20" s="68">
        <v>6.3079994890834055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4.2739005251859977E-3</v>
      </c>
      <c r="M21" s="115">
        <v>47.87534063483772</v>
      </c>
      <c r="N21" s="115">
        <v>1563.2404383416383</v>
      </c>
      <c r="O21" s="115">
        <v>11.737491683740103</v>
      </c>
      <c r="P21" s="115">
        <v>8.0039294930335725</v>
      </c>
      <c r="Q21" s="111">
        <v>11.737491683740105</v>
      </c>
      <c r="R21" s="68">
        <v>8.0039294930335725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0.56267648915435897</v>
      </c>
      <c r="M22" s="115">
        <v>5.5278920014823099</v>
      </c>
      <c r="N22" s="115">
        <v>156.54755592485103</v>
      </c>
      <c r="O22" s="115">
        <v>1.9621699771266843</v>
      </c>
      <c r="P22" s="115">
        <v>1.8661304653442017</v>
      </c>
      <c r="Q22" s="111">
        <v>1.9621699771266845</v>
      </c>
      <c r="R22" s="68">
        <v>1.8661304653442017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0.71093768528251688</v>
      </c>
      <c r="M23" s="115">
        <v>3.1992454307223839</v>
      </c>
      <c r="N23" s="115">
        <v>79.47392579670661</v>
      </c>
      <c r="O23" s="115">
        <v>1.3320638749025782</v>
      </c>
      <c r="P23" s="115">
        <v>1.3245858056736419</v>
      </c>
      <c r="Q23" s="111">
        <v>1.3320638749025782</v>
      </c>
      <c r="R23" s="68">
        <v>1.3245858056736421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0.17429389373831244</v>
      </c>
      <c r="M24" s="115">
        <v>14.987096164897164</v>
      </c>
      <c r="N24" s="115">
        <v>468.79238995724842</v>
      </c>
      <c r="O24" s="115">
        <v>4.8702602781083923</v>
      </c>
      <c r="P24" s="115">
        <v>4.6322414905635503</v>
      </c>
      <c r="Q24" s="111">
        <v>4.8702602781083932</v>
      </c>
      <c r="R24" s="68">
        <v>4.6322414905635512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2.0776159908261531E-2</v>
      </c>
      <c r="M25" s="115">
        <v>20.301038465809263</v>
      </c>
      <c r="N25" s="115">
        <v>651.6370668857071</v>
      </c>
      <c r="O25" s="115">
        <v>7.0191663032690386</v>
      </c>
      <c r="P25" s="115">
        <v>7.0958559614188896</v>
      </c>
      <c r="Q25" s="111">
        <v>7.0191663032690386</v>
      </c>
      <c r="R25" s="68">
        <v>7.0958559614188896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4.6304688268920674E-3</v>
      </c>
      <c r="M26" s="115">
        <v>45.119268979244055</v>
      </c>
      <c r="N26" s="115">
        <v>1471.8667698555</v>
      </c>
      <c r="O26" s="115">
        <v>11.288518717884376</v>
      </c>
      <c r="P26" s="115">
        <v>7.9547239950318129</v>
      </c>
      <c r="Q26" s="111">
        <v>11.288518717884378</v>
      </c>
      <c r="R26" s="68">
        <v>7.9547239950318138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7.199108656338936E-4</v>
      </c>
      <c r="M27" s="115">
        <v>106.37626699960728</v>
      </c>
      <c r="N27" s="115">
        <v>3533.4602445237883</v>
      </c>
      <c r="O27" s="115">
        <v>21.407346520961411</v>
      </c>
      <c r="P27" s="115">
        <v>9.282795922445537</v>
      </c>
      <c r="Q27" s="111">
        <v>21.407346520961411</v>
      </c>
      <c r="R27" s="68">
        <v>9.2827959224455387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2.5582443532712355E-3</v>
      </c>
      <c r="M28" s="115">
        <v>66.152612800184244</v>
      </c>
      <c r="N28" s="115">
        <v>2172.1531749777914</v>
      </c>
      <c r="O28" s="115">
        <v>14.735187333813508</v>
      </c>
      <c r="P28" s="115">
        <v>8.3650628515330254</v>
      </c>
      <c r="Q28" s="111">
        <v>14.73518733381351</v>
      </c>
      <c r="R28" s="68">
        <v>8.3650628515330254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3.8336948836739586E-3</v>
      </c>
      <c r="M29" s="115">
        <v>49.369217527934431</v>
      </c>
      <c r="N29" s="115">
        <v>1613.5289226223408</v>
      </c>
      <c r="O29" s="115">
        <v>11.87650713270417</v>
      </c>
      <c r="P29" s="115">
        <v>7.841113522478671</v>
      </c>
      <c r="Q29" s="111">
        <v>11.87650713270417</v>
      </c>
      <c r="R29" s="68">
        <v>7.8411135224786719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2.5582443532712355E-3</v>
      </c>
      <c r="M30" s="115">
        <v>66.152612800184244</v>
      </c>
      <c r="N30" s="115">
        <v>2172.1531749777914</v>
      </c>
      <c r="O30" s="115">
        <v>14.735187333813508</v>
      </c>
      <c r="P30" s="115">
        <v>8.3650628515330254</v>
      </c>
      <c r="Q30" s="111">
        <v>14.73518733381351</v>
      </c>
      <c r="R30" s="68">
        <v>8.3650628515330254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0.97302032883124323</v>
      </c>
      <c r="M31" s="115">
        <v>0.90383277924588046</v>
      </c>
      <c r="N31" s="115">
        <v>1.1401880787195335</v>
      </c>
      <c r="O31" s="115">
        <v>0.81358064938571917</v>
      </c>
      <c r="P31" s="115">
        <v>0.94162508149393964</v>
      </c>
      <c r="Q31" s="111">
        <v>0.81358064938571928</v>
      </c>
      <c r="R31" s="68">
        <v>0.94162508149393964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0.43847005303229486</v>
      </c>
      <c r="M32" s="115">
        <v>8.1971452439768893</v>
      </c>
      <c r="N32" s="115">
        <v>242.82845063007611</v>
      </c>
      <c r="O32" s="115">
        <v>2.4865045687416711</v>
      </c>
      <c r="P32" s="115">
        <v>2.2840154745076604</v>
      </c>
      <c r="Q32" s="111">
        <v>2.4865045687416711</v>
      </c>
      <c r="R32" s="68">
        <v>2.2840154745076608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0.99282192040813366</v>
      </c>
      <c r="M33" s="115">
        <v>0.88962620997113617</v>
      </c>
      <c r="N33" s="115">
        <v>0.59128786709398118</v>
      </c>
      <c r="O33" s="115">
        <v>0.84214841528765438</v>
      </c>
      <c r="P33" s="115">
        <v>0.9900092824436898</v>
      </c>
      <c r="Q33" s="111">
        <v>0.84214841528765438</v>
      </c>
      <c r="R33" s="68">
        <v>0.9900092824436898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0.55019862588657031</v>
      </c>
      <c r="M34" s="115">
        <v>0.94436812046428154</v>
      </c>
      <c r="N34" s="115">
        <v>45.015804637430691</v>
      </c>
      <c r="O34" s="115">
        <v>2.6269977882809079</v>
      </c>
      <c r="P34" s="115">
        <v>4.2946597679347871</v>
      </c>
      <c r="Q34" s="111">
        <v>2.6269977882809079</v>
      </c>
      <c r="R34" s="68">
        <v>4.294659767934788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0.32677721558530459</v>
      </c>
      <c r="M35" s="115">
        <v>0.9450269740498779</v>
      </c>
      <c r="N35" s="115">
        <v>63.700182798107441</v>
      </c>
      <c r="O35" s="115">
        <v>3.507373367523015</v>
      </c>
      <c r="P35" s="115">
        <v>5.936640334352993</v>
      </c>
      <c r="Q35" s="111">
        <v>3.507373367523015</v>
      </c>
      <c r="R35" s="68">
        <v>5.936640334352993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0.10932636999056408</v>
      </c>
      <c r="M36" s="115">
        <v>0.90534161495964205</v>
      </c>
      <c r="N36" s="115">
        <v>77.40501621511666</v>
      </c>
      <c r="O36" s="115">
        <v>4.3484525409883563</v>
      </c>
      <c r="P36" s="115">
        <v>7.5218268063595479</v>
      </c>
      <c r="Q36" s="111">
        <v>4.3484525409883563</v>
      </c>
      <c r="R36" s="68">
        <v>7.5218268063595479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0.20873189664024475</v>
      </c>
      <c r="M37" s="115">
        <v>4.5675945518684404</v>
      </c>
      <c r="N37" s="115">
        <v>174.88432320210578</v>
      </c>
      <c r="O37" s="115">
        <v>4.0991081536231562</v>
      </c>
      <c r="P37" s="115">
        <v>6.1241890032257178</v>
      </c>
      <c r="Q37" s="111">
        <v>4.0991081536231562</v>
      </c>
      <c r="R37" s="68">
        <v>6.1241890032257178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0.61543432452745128</v>
      </c>
      <c r="M38" s="115">
        <v>0.98632761879328112</v>
      </c>
      <c r="N38" s="115">
        <v>40.308262361573455</v>
      </c>
      <c r="O38" s="115">
        <v>2.3649334145147325</v>
      </c>
      <c r="P38" s="115">
        <v>3.7962038139933623</v>
      </c>
      <c r="Q38" s="111">
        <v>2.3649334145147325</v>
      </c>
      <c r="R38" s="68">
        <v>3.7962038139933623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1.0358403004296884E-2</v>
      </c>
      <c r="M39" s="115">
        <v>21.280764180986427</v>
      </c>
      <c r="N39" s="115">
        <v>686.81680066221952</v>
      </c>
      <c r="O39" s="115">
        <v>7.4417992825232737</v>
      </c>
      <c r="P39" s="115">
        <v>7.5916710586456571</v>
      </c>
      <c r="Q39" s="111">
        <v>7.4417992825232737</v>
      </c>
      <c r="R39" s="68">
        <v>7.5916710586456571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1.0204674317218793E-3</v>
      </c>
      <c r="M40" s="115">
        <v>64.121911989200456</v>
      </c>
      <c r="N40" s="115">
        <v>5626.4636674440608</v>
      </c>
      <c r="O40" s="115">
        <v>19.858929716189547</v>
      </c>
      <c r="P40" s="115">
        <v>13.022367743057121</v>
      </c>
      <c r="Q40" s="111">
        <v>19.858929716189547</v>
      </c>
      <c r="R40" s="68">
        <v>13.022367743057121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0.91081794614993883</v>
      </c>
      <c r="M41" s="115">
        <v>0.81280848013949947</v>
      </c>
      <c r="N41" s="115">
        <v>6.4442042004025424E-2</v>
      </c>
      <c r="O41" s="115">
        <v>0.75297376370219937</v>
      </c>
      <c r="P41" s="115">
        <v>0.87495998586854506</v>
      </c>
      <c r="Q41" s="111">
        <v>0.75297376370219937</v>
      </c>
      <c r="R41" s="68">
        <v>0.87495998586854506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0.52534864423636152</v>
      </c>
      <c r="M42" s="115">
        <v>6.2528760971054123</v>
      </c>
      <c r="N42" s="115">
        <v>180.40044896037188</v>
      </c>
      <c r="O42" s="115">
        <v>2.1676599945122836</v>
      </c>
      <c r="P42" s="115">
        <v>2.0489756635714951</v>
      </c>
      <c r="Q42" s="111">
        <v>2.1676599945122841</v>
      </c>
      <c r="R42" s="68">
        <v>2.0489756635714951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8.9245826904746743E-3</v>
      </c>
      <c r="M43" s="115">
        <v>1.7610792604771388</v>
      </c>
      <c r="N43" s="115">
        <v>164.5852250089371</v>
      </c>
      <c r="O43" s="115">
        <v>4.9527845628913028</v>
      </c>
      <c r="P43" s="115">
        <v>8.3242471792844785</v>
      </c>
      <c r="Q43" s="111">
        <v>4.9527845628913036</v>
      </c>
      <c r="R43" s="68">
        <v>8.3242471792844785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0.76198359734119514</v>
      </c>
      <c r="M44" s="115">
        <v>1.622839352585135</v>
      </c>
      <c r="N44" s="115">
        <v>29.071505702797513</v>
      </c>
      <c r="O44" s="115">
        <v>0.89535619103991859</v>
      </c>
      <c r="P44" s="115">
        <v>0.95345364203831495</v>
      </c>
      <c r="Q44" s="111">
        <v>0.89535619103991859</v>
      </c>
      <c r="R44" s="68">
        <v>0.95345364203831495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0.49004948227558059</v>
      </c>
      <c r="M45" s="115">
        <v>6.9351730236188827</v>
      </c>
      <c r="N45" s="115">
        <v>202.89963458554124</v>
      </c>
      <c r="O45" s="115">
        <v>2.3629598913209549</v>
      </c>
      <c r="P45" s="115">
        <v>2.2245333995754009</v>
      </c>
      <c r="Q45" s="111">
        <v>2.3629598913209549</v>
      </c>
      <c r="R45" s="68">
        <v>2.2245333995754009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0.51127823548406992</v>
      </c>
      <c r="M46" s="115">
        <v>6.4918840896747412</v>
      </c>
      <c r="N46" s="115">
        <v>188.32850928897713</v>
      </c>
      <c r="O46" s="115">
        <v>2.2350873140209817</v>
      </c>
      <c r="P46" s="115">
        <v>2.1091812316050422</v>
      </c>
      <c r="Q46" s="111">
        <v>2.2350873140209817</v>
      </c>
      <c r="R46" s="68">
        <v>2.1091812316050422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6.573237832815565E-4</v>
      </c>
      <c r="M47" s="115">
        <v>109.09654248425457</v>
      </c>
      <c r="N47" s="115">
        <v>3626.5947479910496</v>
      </c>
      <c r="O47" s="115">
        <v>21.872256945548497</v>
      </c>
      <c r="P47" s="115">
        <v>9.3690154426369201</v>
      </c>
      <c r="Q47" s="111">
        <v>21.872256945548497</v>
      </c>
      <c r="R47" s="68">
        <v>9.3690154426369201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0.90178174123194665</v>
      </c>
      <c r="M48" s="115">
        <v>1.1365733682154295</v>
      </c>
      <c r="N48" s="115">
        <v>10.207814882162658</v>
      </c>
      <c r="O48" s="115">
        <v>0.83587803313052866</v>
      </c>
      <c r="P48" s="115">
        <v>0.93891608390875936</v>
      </c>
      <c r="Q48" s="111">
        <v>0.83587803313052877</v>
      </c>
      <c r="R48" s="68">
        <v>0.93891608390875936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0.8611304500328768</v>
      </c>
      <c r="M49" s="115">
        <v>1.3365170669221023</v>
      </c>
      <c r="N49" s="115">
        <v>17.482821591191893</v>
      </c>
      <c r="O49" s="115">
        <v>0.86903774858272953</v>
      </c>
      <c r="P49" s="115">
        <v>0.95581954768647193</v>
      </c>
      <c r="Q49" s="111">
        <v>0.86903774858272953</v>
      </c>
      <c r="R49" s="68">
        <v>0.95581954768647204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7.5405322545534587E-2</v>
      </c>
      <c r="M50" s="115">
        <v>18.324710069119877</v>
      </c>
      <c r="N50" s="115">
        <v>581.12530513703211</v>
      </c>
      <c r="O50" s="115">
        <v>6.0773688348194224</v>
      </c>
      <c r="P50" s="115">
        <v>5.9233745809631335</v>
      </c>
      <c r="Q50" s="111">
        <v>6.0773688348194224</v>
      </c>
      <c r="R50" s="68">
        <v>5.9233745809631344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0.90103113417082392</v>
      </c>
      <c r="M51" s="115">
        <v>0.86312208795920664</v>
      </c>
      <c r="N51" s="115">
        <v>1.8508545336302449</v>
      </c>
      <c r="O51" s="115">
        <v>0.760328104779595</v>
      </c>
      <c r="P51" s="115">
        <v>0.87736191949223841</v>
      </c>
      <c r="Q51" s="111">
        <v>0.760328104779595</v>
      </c>
      <c r="R51" s="68">
        <v>0.87736191949223841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0.72285417118429651</v>
      </c>
      <c r="M52" s="115">
        <v>2.2085195625896539</v>
      </c>
      <c r="N52" s="115">
        <v>48.320663892673615</v>
      </c>
      <c r="O52" s="115">
        <v>1.0447364444306819</v>
      </c>
      <c r="P52" s="115">
        <v>1.0739411113795752</v>
      </c>
      <c r="Q52" s="111">
        <v>1.0447364444306819</v>
      </c>
      <c r="R52" s="68">
        <v>1.0739411113795754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0.37927395783739082</v>
      </c>
      <c r="M53" s="115">
        <v>9.3292575556219699</v>
      </c>
      <c r="N53" s="115">
        <v>281.79114491499297</v>
      </c>
      <c r="O53" s="115">
        <v>3.0692521709753229</v>
      </c>
      <c r="P53" s="115">
        <v>2.8746360119338386</v>
      </c>
      <c r="Q53" s="111">
        <v>3.0692521709753229</v>
      </c>
      <c r="R53" s="68">
        <v>2.874636011933839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9.1542242991122342E-4</v>
      </c>
      <c r="M54" s="115">
        <v>99.994869842400391</v>
      </c>
      <c r="N54" s="115">
        <v>3314.8791888059845</v>
      </c>
      <c r="O54" s="115">
        <v>20.348074154253347</v>
      </c>
      <c r="P54" s="115">
        <v>9.1373917190675087</v>
      </c>
      <c r="Q54" s="111">
        <v>20.348074154253347</v>
      </c>
      <c r="R54" s="68">
        <v>9.1373917190675087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0.1364759159558204</v>
      </c>
      <c r="M55" s="115">
        <v>13.472722494564763</v>
      </c>
      <c r="N55" s="115">
        <v>422.38583860104194</v>
      </c>
      <c r="O55" s="115">
        <v>4.3857816553079134</v>
      </c>
      <c r="P55" s="115">
        <v>4.1836385231752864</v>
      </c>
      <c r="Q55" s="111">
        <v>4.3857816553079134</v>
      </c>
      <c r="R55" s="68">
        <v>4.1836385231752864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1.6146413176234112E-2</v>
      </c>
      <c r="M56" s="115">
        <v>7.8644354009539059</v>
      </c>
      <c r="N56" s="115">
        <v>251.03206547124225</v>
      </c>
      <c r="O56" s="115">
        <v>2.6598659904160993</v>
      </c>
      <c r="P56" s="115">
        <v>2.6397399206884926</v>
      </c>
      <c r="Q56" s="111">
        <v>2.6598659904160997</v>
      </c>
      <c r="R56" s="68">
        <v>2.6397399206884926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2.9184399734063733E-2</v>
      </c>
      <c r="M57" s="115">
        <v>3.8879356782144989</v>
      </c>
      <c r="N57" s="115">
        <v>122.42620163722982</v>
      </c>
      <c r="O57" s="115">
        <v>1.2719656769216965</v>
      </c>
      <c r="P57" s="115">
        <v>1.2215779261476911</v>
      </c>
      <c r="Q57" s="111">
        <v>1.2719656769216965</v>
      </c>
      <c r="R57" s="68">
        <v>1.2215779261476911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5.9134966539998182E-2</v>
      </c>
      <c r="M58" s="115">
        <v>0.10202026119823347</v>
      </c>
      <c r="N58" s="115">
        <v>1.5165655373359792</v>
      </c>
      <c r="O58" s="115">
        <v>6.2598354085641697E-2</v>
      </c>
      <c r="P58" s="115">
        <v>6.8108466848377958E-2</v>
      </c>
      <c r="Q58" s="111">
        <v>6.2598354085641697E-2</v>
      </c>
      <c r="R58" s="68">
        <v>6.8108466848377958E-2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1.2007100297035831E-2</v>
      </c>
      <c r="M59" s="115">
        <v>1.4925914570961671</v>
      </c>
      <c r="N59" s="115">
        <v>46.955217952433522</v>
      </c>
      <c r="O59" s="115">
        <v>0.48768662061819829</v>
      </c>
      <c r="P59" s="115">
        <v>0.46761494385589841</v>
      </c>
      <c r="Q59" s="111">
        <v>0.48768662061819829</v>
      </c>
      <c r="R59" s="68">
        <v>0.46761494385589841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4.4872594059273084E-4</v>
      </c>
      <c r="M60" s="115">
        <v>2.612359207608948E-2</v>
      </c>
      <c r="N60" s="115">
        <v>0.81091696996300022</v>
      </c>
      <c r="O60" s="115">
        <v>8.4682141420226922E-3</v>
      </c>
      <c r="P60" s="115">
        <v>7.9955658111619133E-3</v>
      </c>
      <c r="Q60" s="111">
        <v>8.4682141420226939E-3</v>
      </c>
      <c r="R60" s="68">
        <v>7.9955658111619133E-3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0.28437345831827177</v>
      </c>
      <c r="M61" s="115">
        <v>11.757883781719309</v>
      </c>
      <c r="N61" s="115">
        <v>361.82888036202343</v>
      </c>
      <c r="O61" s="115">
        <v>3.8181204381628921</v>
      </c>
      <c r="P61" s="115">
        <v>3.5874531942712675</v>
      </c>
      <c r="Q61" s="111">
        <v>3.8181204381628921</v>
      </c>
      <c r="R61" s="68">
        <v>3.5874531942712675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3.8871097236892723E-3</v>
      </c>
      <c r="M62" s="115">
        <v>51.233903651689779</v>
      </c>
      <c r="N62" s="115">
        <v>1674.7332740447748</v>
      </c>
      <c r="O62" s="115">
        <v>12.287756265835764</v>
      </c>
      <c r="P62" s="115">
        <v>8.0694911713873037</v>
      </c>
      <c r="Q62" s="111">
        <v>12.287756265835766</v>
      </c>
      <c r="R62" s="68">
        <v>8.0694911713873037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3.6039086748943595E-4</v>
      </c>
      <c r="M63" s="115">
        <v>122.94071030480971</v>
      </c>
      <c r="N63" s="115">
        <v>4106.2207572201805</v>
      </c>
      <c r="O63" s="115">
        <v>24.202538168364274</v>
      </c>
      <c r="P63" s="115">
        <v>9.739696572629537</v>
      </c>
      <c r="Q63" s="111">
        <v>24.202538168364278</v>
      </c>
      <c r="R63" s="68">
        <v>9.739696572629537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1.2547144602263589E-4</v>
      </c>
      <c r="M64" s="115">
        <v>140.03407988002235</v>
      </c>
      <c r="N64" s="115">
        <v>4713.6246977416004</v>
      </c>
      <c r="O64" s="115">
        <v>27.10889914732935</v>
      </c>
      <c r="P64" s="115">
        <v>10.241354168869766</v>
      </c>
      <c r="Q64" s="111">
        <v>27.108899147329353</v>
      </c>
      <c r="R64" s="68">
        <v>10.241354168869766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3.5356460714860405E-5</v>
      </c>
      <c r="M65" s="115">
        <v>151.91326045212517</v>
      </c>
      <c r="N65" s="115">
        <v>5158.6712555141648</v>
      </c>
      <c r="O65" s="115">
        <v>29.161650747029569</v>
      </c>
      <c r="P65" s="115">
        <v>10.636354081314682</v>
      </c>
      <c r="Q65" s="111">
        <v>29.161650747029572</v>
      </c>
      <c r="R65" s="68">
        <v>10.636354081314682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7.3165401414228539E-5</v>
      </c>
      <c r="M66" s="115">
        <v>145.99447631920503</v>
      </c>
      <c r="N66" s="115">
        <v>4932.9510245522679</v>
      </c>
      <c r="O66" s="115">
        <v>28.133839018907793</v>
      </c>
      <c r="P66" s="115">
        <v>10.43274161686324</v>
      </c>
      <c r="Q66" s="111">
        <v>28.133839018907793</v>
      </c>
      <c r="R66" s="68">
        <v>10.43274161686324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0.81187550523197416</v>
      </c>
      <c r="M67" s="115">
        <v>1.9347046215691188</v>
      </c>
      <c r="N67" s="115">
        <v>37.341651938192783</v>
      </c>
      <c r="O67" s="115">
        <v>1.0136581428482245</v>
      </c>
      <c r="P67" s="115">
        <v>1.0673196731570145</v>
      </c>
      <c r="Q67" s="111">
        <v>1.0136581428482245</v>
      </c>
      <c r="R67" s="68">
        <v>1.0673196731570145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0.74084280281555337</v>
      </c>
      <c r="M68" s="115">
        <v>2.6830562052113982</v>
      </c>
      <c r="N68" s="115">
        <v>62.56144722425762</v>
      </c>
      <c r="O68" s="115">
        <v>1.1945815904309627</v>
      </c>
      <c r="P68" s="115">
        <v>1.209287705143405</v>
      </c>
      <c r="Q68" s="111">
        <v>1.1945815904309627</v>
      </c>
      <c r="R68" s="68">
        <v>1.2092877051434052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1.4146578570341649E-3</v>
      </c>
      <c r="M69" s="115">
        <v>86.43395608492456</v>
      </c>
      <c r="N69" s="115">
        <v>2854.3455877317697</v>
      </c>
      <c r="O69" s="115">
        <v>18.085368445597563</v>
      </c>
      <c r="P69" s="115">
        <v>8.8048986591504619</v>
      </c>
      <c r="Q69" s="111">
        <v>18.085368445597563</v>
      </c>
      <c r="R69" s="68">
        <v>8.8048986591504637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2.5662118746408048E-2</v>
      </c>
      <c r="M70" s="115">
        <v>20.347404040359887</v>
      </c>
      <c r="N70" s="115">
        <v>652.07366999525709</v>
      </c>
      <c r="O70" s="115">
        <v>6.9874846696614412</v>
      </c>
      <c r="P70" s="115">
        <v>7.0247151363641382</v>
      </c>
      <c r="Q70" s="111">
        <v>6.9874846696614421</v>
      </c>
      <c r="R70" s="68">
        <v>7.0247151363641382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0.74123336452086619</v>
      </c>
      <c r="M71" s="115">
        <v>2.5047687423102216</v>
      </c>
      <c r="N71" s="115">
        <v>57.007897564735423</v>
      </c>
      <c r="O71" s="115">
        <v>1.1420681326004056</v>
      </c>
      <c r="P71" s="115">
        <v>1.1632246318724173</v>
      </c>
      <c r="Q71" s="111">
        <v>1.1420681326004058</v>
      </c>
      <c r="R71" s="68">
        <v>1.1632246318724175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2.9647966965716675E-2</v>
      </c>
      <c r="M72" s="115">
        <v>19.982665704047044</v>
      </c>
      <c r="N72" s="115">
        <v>639.56101938801987</v>
      </c>
      <c r="O72" s="115">
        <v>6.8267226222089166</v>
      </c>
      <c r="P72" s="115">
        <v>6.83355561360551</v>
      </c>
      <c r="Q72" s="111">
        <v>6.8267226222089166</v>
      </c>
      <c r="R72" s="68">
        <v>6.83355561360551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0.2616831079524225</v>
      </c>
      <c r="M73" s="115">
        <v>12.124008181375492</v>
      </c>
      <c r="N73" s="115">
        <v>374.2682821420309</v>
      </c>
      <c r="O73" s="115">
        <v>3.9327862250996377</v>
      </c>
      <c r="P73" s="115">
        <v>3.700469477746025</v>
      </c>
      <c r="Q73" s="111">
        <v>3.9327862250996382</v>
      </c>
      <c r="R73" s="68">
        <v>3.700469477746025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2.6779114403328738E-2</v>
      </c>
      <c r="M74" s="115">
        <v>20.269911255656041</v>
      </c>
      <c r="N74" s="115">
        <v>649.35350656361277</v>
      </c>
      <c r="O74" s="115">
        <v>6.9504943247169999</v>
      </c>
      <c r="P74" s="115">
        <v>6.9789166551521831</v>
      </c>
      <c r="Q74" s="111">
        <v>6.9504943247169999</v>
      </c>
      <c r="R74" s="68">
        <v>6.9789166551521831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4.3745199704151635E-3</v>
      </c>
      <c r="M75" s="115">
        <v>5.5964607577588605</v>
      </c>
      <c r="N75" s="115">
        <v>549.8772955489851</v>
      </c>
      <c r="O75" s="115">
        <v>5.9823678422425512</v>
      </c>
      <c r="P75" s="115">
        <v>8.7287764682788342</v>
      </c>
      <c r="Q75" s="111">
        <v>5.9823678422425521</v>
      </c>
      <c r="R75" s="68">
        <v>8.728776468278836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4.374519972761998E-3</v>
      </c>
      <c r="M76" s="115">
        <v>5.5964607607612411</v>
      </c>
      <c r="N76" s="115">
        <v>549.87729584398244</v>
      </c>
      <c r="O76" s="115">
        <v>5.9823678454519627</v>
      </c>
      <c r="P76" s="115">
        <v>8.7287764729616342</v>
      </c>
      <c r="Q76" s="111">
        <v>5.9823678454519627</v>
      </c>
      <c r="R76" s="68">
        <v>8.7287764729616359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0.10122746647342203</v>
      </c>
      <c r="M77" s="115">
        <v>16.989530412025129</v>
      </c>
      <c r="N77" s="115">
        <v>536.55644467868376</v>
      </c>
      <c r="O77" s="115">
        <v>5.58473515593142</v>
      </c>
      <c r="P77" s="115">
        <v>5.3931992141512026</v>
      </c>
      <c r="Q77" s="111">
        <v>5.5847351559314209</v>
      </c>
      <c r="R77" s="68">
        <v>5.3931992141512035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0.52449978862957469</v>
      </c>
      <c r="M78" s="115">
        <v>5.7301317659858588</v>
      </c>
      <c r="N78" s="115">
        <v>164.02545854585694</v>
      </c>
      <c r="O78" s="115">
        <v>2.0062810739176915</v>
      </c>
      <c r="P78" s="115">
        <v>1.901208676758342</v>
      </c>
      <c r="Q78" s="111">
        <v>2.0062810739176915</v>
      </c>
      <c r="R78" s="68">
        <v>1.9012086767583423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0.36845667823538891</v>
      </c>
      <c r="M79" s="115">
        <v>9.4787033050363831</v>
      </c>
      <c r="N79" s="115">
        <v>286.86435152242217</v>
      </c>
      <c r="O79" s="115">
        <v>3.1129524489813409</v>
      </c>
      <c r="P79" s="115">
        <v>2.9156197871297418</v>
      </c>
      <c r="Q79" s="111">
        <v>3.1129524489813409</v>
      </c>
      <c r="R79" s="68">
        <v>2.9156197871297418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2.9638618452530433E-3</v>
      </c>
      <c r="M80" s="115">
        <v>10.859502759569169</v>
      </c>
      <c r="N80" s="115">
        <v>1067.5535369763627</v>
      </c>
      <c r="O80" s="115">
        <v>7.3537018473059534</v>
      </c>
      <c r="P80" s="115">
        <v>9.2269886423347245</v>
      </c>
      <c r="Q80" s="111">
        <v>7.3537018473059543</v>
      </c>
      <c r="R80" s="68">
        <v>9.2269886423347245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0.96708404490940969</v>
      </c>
      <c r="M81" s="115">
        <v>0.916535968053798</v>
      </c>
      <c r="N81" s="115">
        <v>1.6865456704760664</v>
      </c>
      <c r="O81" s="115">
        <v>0.81343927776034419</v>
      </c>
      <c r="P81" s="115">
        <v>0.9396234850929539</v>
      </c>
      <c r="Q81" s="111">
        <v>0.81343927776034419</v>
      </c>
      <c r="R81" s="68">
        <v>0.9396234850929539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0.71743657120533844</v>
      </c>
      <c r="M82" s="115">
        <v>3.1108878228018488</v>
      </c>
      <c r="N82" s="115">
        <v>76.537358797991544</v>
      </c>
      <c r="O82" s="115">
        <v>1.3091589048757704</v>
      </c>
      <c r="P82" s="115">
        <v>1.305591538317098</v>
      </c>
      <c r="Q82" s="111">
        <v>1.3091589048757704</v>
      </c>
      <c r="R82" s="68">
        <v>1.305591538317098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0.12715838174955921</v>
      </c>
      <c r="M83" s="115">
        <v>16.553500947259277</v>
      </c>
      <c r="N83" s="115">
        <v>521.08587221318919</v>
      </c>
      <c r="O83" s="115">
        <v>5.4132392085724392</v>
      </c>
      <c r="P83" s="115">
        <v>5.1959989623250351</v>
      </c>
      <c r="Q83" s="111">
        <v>5.4132392085724392</v>
      </c>
      <c r="R83" s="68">
        <v>5.195998962325036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0.93050155536068968</v>
      </c>
      <c r="M84" s="115">
        <v>1.05236644676064</v>
      </c>
      <c r="N84" s="115">
        <v>6.8353925662311417</v>
      </c>
      <c r="O84" s="115">
        <v>0.82904449740913033</v>
      </c>
      <c r="P84" s="115">
        <v>0.94130203299742121</v>
      </c>
      <c r="Q84" s="111">
        <v>0.82904449740913033</v>
      </c>
      <c r="R84" s="68">
        <v>0.94130203299742121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0.98473028327239998</v>
      </c>
      <c r="M85" s="115">
        <v>0.88798640013186469</v>
      </c>
      <c r="N85" s="115">
        <v>0.34593395404232413</v>
      </c>
      <c r="O85" s="115">
        <v>0.81641105452286811</v>
      </c>
      <c r="P85" s="115">
        <v>0.9476671911720993</v>
      </c>
      <c r="Q85" s="111">
        <v>0.81641105452286811</v>
      </c>
      <c r="R85" s="68">
        <v>0.9476671911720993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0.93220256240181032</v>
      </c>
      <c r="M86" s="115">
        <v>1.0440910225548523</v>
      </c>
      <c r="N86" s="115">
        <v>6.5351155284325904</v>
      </c>
      <c r="O86" s="115">
        <v>0.82774639446749787</v>
      </c>
      <c r="P86" s="115">
        <v>0.94072710484831545</v>
      </c>
      <c r="Q86" s="111">
        <v>0.82774639446749787</v>
      </c>
      <c r="R86" s="68">
        <v>0.94072710484831557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5.2312662556088809E-4</v>
      </c>
      <c r="M87" s="115">
        <v>114.75103328053252</v>
      </c>
      <c r="N87" s="115">
        <v>3821.5732425946053</v>
      </c>
      <c r="O87" s="115">
        <v>22.822020854961831</v>
      </c>
      <c r="P87" s="115">
        <v>9.5173066065786607</v>
      </c>
      <c r="Q87" s="111">
        <v>22.822020854961831</v>
      </c>
      <c r="R87" s="68">
        <v>9.5173066065786607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0.60083921681337937</v>
      </c>
      <c r="M88" s="115">
        <v>4.8898500122736985</v>
      </c>
      <c r="N88" s="115">
        <v>135.44085015055313</v>
      </c>
      <c r="O88" s="115">
        <v>1.7857167944010901</v>
      </c>
      <c r="P88" s="115">
        <v>1.7116117453353448</v>
      </c>
      <c r="Q88" s="111">
        <v>1.7857167944010903</v>
      </c>
      <c r="R88" s="68">
        <v>1.7116117453353448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0.69766850980226425</v>
      </c>
      <c r="M89" s="115">
        <v>3.3848372407222094</v>
      </c>
      <c r="N89" s="115">
        <v>85.634726331264815</v>
      </c>
      <c r="O89" s="115">
        <v>1.3805258840591941</v>
      </c>
      <c r="P89" s="115">
        <v>1.365004231739857</v>
      </c>
      <c r="Q89" s="111">
        <v>1.3805258840591941</v>
      </c>
      <c r="R89" s="68">
        <v>1.365004231739857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0.86292502269350413</v>
      </c>
      <c r="M90" s="115">
        <v>1.5056688954395772</v>
      </c>
      <c r="N90" s="115">
        <v>22.653597981077276</v>
      </c>
      <c r="O90" s="115">
        <v>0.91831354225436401</v>
      </c>
      <c r="P90" s="115">
        <v>0.99798932185671307</v>
      </c>
      <c r="Q90" s="111">
        <v>0.91831354225436401</v>
      </c>
      <c r="R90" s="68">
        <v>0.99798932185671307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3.3797115756210999E-3</v>
      </c>
      <c r="M91" s="115">
        <v>56.199294677951954</v>
      </c>
      <c r="N91" s="115">
        <v>1839.9028410559683</v>
      </c>
      <c r="O91" s="115">
        <v>13.100504285537312</v>
      </c>
      <c r="P91" s="115">
        <v>8.1647941499746572</v>
      </c>
      <c r="Q91" s="111">
        <v>13.100504285537314</v>
      </c>
      <c r="R91" s="68">
        <v>8.1647941499746572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0.1772438623211314</v>
      </c>
      <c r="M92" s="115">
        <v>14.8943185786468</v>
      </c>
      <c r="N92" s="115">
        <v>465.7045355323171</v>
      </c>
      <c r="O92" s="115">
        <v>4.8388950130649322</v>
      </c>
      <c r="P92" s="115">
        <v>4.6002377012027633</v>
      </c>
      <c r="Q92" s="111">
        <v>4.8388950130649331</v>
      </c>
      <c r="R92" s="68">
        <v>4.6002377012027633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3.9004969474389459E-2</v>
      </c>
      <c r="M93" s="115">
        <v>19.9002830389643</v>
      </c>
      <c r="N93" s="115">
        <v>635.46581160478422</v>
      </c>
      <c r="O93" s="115">
        <v>6.7400432987343049</v>
      </c>
      <c r="P93" s="115">
        <v>6.6972384864243173</v>
      </c>
      <c r="Q93" s="111">
        <v>6.7400432987343057</v>
      </c>
      <c r="R93" s="68">
        <v>6.6972384864243173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0.89392533801998586</v>
      </c>
      <c r="M94" s="115">
        <v>0.91534053418035455</v>
      </c>
      <c r="N94" s="115">
        <v>11.878415943994254</v>
      </c>
      <c r="O94" s="115">
        <v>1.2474166590360209</v>
      </c>
      <c r="P94" s="115">
        <v>1.7352470254448926</v>
      </c>
      <c r="Q94" s="111">
        <v>1.2474166590360209</v>
      </c>
      <c r="R94" s="68">
        <v>1.7352470254448926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7.8958342668693036E-3</v>
      </c>
      <c r="M95" s="115">
        <v>28.328732319860215</v>
      </c>
      <c r="N95" s="115">
        <v>917.86160361653242</v>
      </c>
      <c r="O95" s="115">
        <v>8.570980112517713</v>
      </c>
      <c r="P95" s="115">
        <v>7.6851425996997973</v>
      </c>
      <c r="Q95" s="111">
        <v>8.570980112517713</v>
      </c>
      <c r="R95" s="68">
        <v>7.6851425996997973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0.96589350905440963</v>
      </c>
      <c r="M96" s="115">
        <v>0.91943291658097825</v>
      </c>
      <c r="N96" s="115">
        <v>1.8069009091645614</v>
      </c>
      <c r="O96" s="115">
        <v>0.8135090848790939</v>
      </c>
      <c r="P96" s="115">
        <v>0.93930392198104529</v>
      </c>
      <c r="Q96" s="111">
        <v>0.8135090848790939</v>
      </c>
      <c r="R96" s="68">
        <v>0.9393039219810454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0.92963454617263297</v>
      </c>
      <c r="M97" s="115">
        <v>1.0566514513642251</v>
      </c>
      <c r="N97" s="115">
        <v>6.9905304598126543</v>
      </c>
      <c r="O97" s="115">
        <v>0.82972603637029918</v>
      </c>
      <c r="P97" s="115">
        <v>0.94161261159565091</v>
      </c>
      <c r="Q97" s="111">
        <v>0.82972603637029918</v>
      </c>
      <c r="R97" s="68">
        <v>0.94161261159565091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1.8389850877179818E-2</v>
      </c>
      <c r="M98" s="115">
        <v>20.655335144067504</v>
      </c>
      <c r="N98" s="115">
        <v>663.70688411984008</v>
      </c>
      <c r="O98" s="115">
        <v>7.1746865466346161</v>
      </c>
      <c r="P98" s="115">
        <v>7.2799788583659151</v>
      </c>
      <c r="Q98" s="111">
        <v>7.1746865466346161</v>
      </c>
      <c r="R98" s="68">
        <v>7.279978858365916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0.98852838291150169</v>
      </c>
      <c r="M99" s="115">
        <v>0.88578393607045458</v>
      </c>
      <c r="N99" s="115">
        <v>0.17828642654918192</v>
      </c>
      <c r="O99" s="115">
        <v>0.81812649420729533</v>
      </c>
      <c r="P99" s="115">
        <v>0.95026603172212298</v>
      </c>
      <c r="Q99" s="111">
        <v>0.81812649420729533</v>
      </c>
      <c r="R99" s="68">
        <v>0.95026603172212298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0.41069497187831655</v>
      </c>
      <c r="M100" s="115">
        <v>8.6405474449743913</v>
      </c>
      <c r="N100" s="115">
        <v>259.0535374462084</v>
      </c>
      <c r="O100" s="115">
        <v>2.8633467412815836</v>
      </c>
      <c r="P100" s="115">
        <v>2.682843861697096</v>
      </c>
      <c r="Q100" s="111">
        <v>2.8633467412815836</v>
      </c>
      <c r="R100" s="68">
        <v>2.682843861697096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0.98275062526303136</v>
      </c>
      <c r="M101" s="115">
        <v>0.88973957750658994</v>
      </c>
      <c r="N101" s="115">
        <v>0.45180487506654976</v>
      </c>
      <c r="O101" s="115">
        <v>0.8156795455831134</v>
      </c>
      <c r="P101" s="115">
        <v>0.94644131821112865</v>
      </c>
      <c r="Q101" s="111">
        <v>0.8156795455831134</v>
      </c>
      <c r="R101" s="68">
        <v>0.94644131821112865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0.99339731778125429</v>
      </c>
      <c r="M102" s="115">
        <v>0.88542356547523249</v>
      </c>
      <c r="N102" s="115">
        <v>3.8256323763432611E-2</v>
      </c>
      <c r="O102" s="115">
        <v>0.82097611841844054</v>
      </c>
      <c r="P102" s="115">
        <v>0.95410126572835707</v>
      </c>
      <c r="Q102" s="111">
        <v>0.82097611841844054</v>
      </c>
      <c r="R102" s="68">
        <v>0.95410126572835707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0.98879919960052087</v>
      </c>
      <c r="M103" s="115">
        <v>0.88568831562716899</v>
      </c>
      <c r="N103" s="115">
        <v>0.16820466717368604</v>
      </c>
      <c r="O103" s="115">
        <v>0.81826517283254496</v>
      </c>
      <c r="P103" s="115">
        <v>0.95046414694647263</v>
      </c>
      <c r="Q103" s="111">
        <v>0.81826517283254496</v>
      </c>
      <c r="R103" s="68">
        <v>0.95046414694647263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0.94923096886874869</v>
      </c>
      <c r="M104" s="115">
        <v>0.97129733550953845</v>
      </c>
      <c r="N104" s="115">
        <v>3.8416430156796708</v>
      </c>
      <c r="O104" s="115">
        <v>0.81771220127718269</v>
      </c>
      <c r="P104" s="115">
        <v>0.93756246978328561</v>
      </c>
      <c r="Q104" s="111">
        <v>0.8177122012771828</v>
      </c>
      <c r="R104" s="68">
        <v>0.93756246978328561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0.99268291956397992</v>
      </c>
      <c r="M105" s="115">
        <v>0.88528610930230023</v>
      </c>
      <c r="N105" s="115">
        <v>5.304318891404125E-2</v>
      </c>
      <c r="O105" s="115">
        <v>0.82050853644281796</v>
      </c>
      <c r="P105" s="115">
        <v>0.95350104741466724</v>
      </c>
      <c r="Q105" s="111">
        <v>0.82050853644281796</v>
      </c>
      <c r="R105" s="68">
        <v>0.95350104741466724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0.82447936508661479</v>
      </c>
      <c r="M106" s="115">
        <v>1.8554919097775628</v>
      </c>
      <c r="N106" s="115">
        <v>34.537615287703403</v>
      </c>
      <c r="O106" s="115">
        <v>0.99764481425364626</v>
      </c>
      <c r="P106" s="115">
        <v>1.0564866055994795</v>
      </c>
      <c r="Q106" s="111">
        <v>0.99764481425364626</v>
      </c>
      <c r="R106" s="68">
        <v>1.0564866055994795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1.3672760365074553E-2</v>
      </c>
      <c r="M107" s="115">
        <v>20.769130372065714</v>
      </c>
      <c r="N107" s="115">
        <v>668.85080660837525</v>
      </c>
      <c r="O107" s="115">
        <v>7.2880374215968819</v>
      </c>
      <c r="P107" s="115">
        <v>7.4544998153042954</v>
      </c>
      <c r="Q107" s="111">
        <v>7.2880374215968819</v>
      </c>
      <c r="R107" s="68">
        <v>7.4544998153042963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0.47271063613776393</v>
      </c>
      <c r="M108" s="115">
        <v>7.300397786530711</v>
      </c>
      <c r="N108" s="115">
        <v>214.91357389722623</v>
      </c>
      <c r="O108" s="115">
        <v>2.4689710116142329</v>
      </c>
      <c r="P108" s="115">
        <v>2.3207105925847253</v>
      </c>
      <c r="Q108" s="111">
        <v>2.4689710116142334</v>
      </c>
      <c r="R108" s="68">
        <v>2.3207105925847253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2024-10-28T23:32:31Z</dcterms:modified>
</cp:coreProperties>
</file>