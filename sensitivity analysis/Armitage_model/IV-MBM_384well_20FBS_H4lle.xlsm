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69AB470B-5859-4E53-AE54-E9AD81CA77E1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<sst xmlns="http://schemas.openxmlformats.org/spreadsheetml/2006/main" count="3131" uniqueCount="515">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</sst>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1.9599999999999999E-2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1.9599999999999999E-2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4.8999999999999998E-4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2.9399999999999998E-6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8.1316805275492867E-8</v>
      </c>
      <c r="J2" s="67" t="s">
        <v>231</v>
      </c>
      <c r="K2" s="68">
        <v>9.204673178469224E-4</v>
      </c>
      <c r="L2" s="67" t="s">
        <v>231</v>
      </c>
      <c r="M2" s="68">
        <v>1.1398180495350064E-3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7.8861789978157816E-6</v>
      </c>
      <c r="J3" s="67" t="s">
        <v>231</v>
      </c>
      <c r="K3" s="68">
        <v>2.9892394395496669E-3</v>
      </c>
      <c r="L3" s="67" t="s">
        <v>231</v>
      </c>
      <c r="M3" s="68">
        <v>0.24208611743775543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9.1619387526114942E-15</v>
      </c>
      <c r="J4" s="67" t="s">
        <v>231</v>
      </c>
      <c r="K4" s="68">
        <v>1.0469462094997021E-3</v>
      </c>
      <c r="L4" s="67" t="s">
        <v>231</v>
      </c>
      <c r="M4" s="68">
        <v>3.0589135665759601E-3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1.2211759461708215E-10</v>
      </c>
      <c r="J5" s="67" t="s">
        <v>231</v>
      </c>
      <c r="K5" s="68">
        <v>7.0789599680999267E-4</v>
      </c>
      <c r="L5" s="67" t="s">
        <v>231</v>
      </c>
      <c r="M5" s="68">
        <v>4.5000718149503821E-2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3.5094767906544431E-7</v>
      </c>
      <c r="J6" s="67" t="s">
        <v>231</v>
      </c>
      <c r="K6" s="68">
        <v>5.8249007740037914E-4</v>
      </c>
      <c r="L6" s="67" t="s">
        <v>231</v>
      </c>
      <c r="M6" s="68">
        <v>6.3975367429223301E-2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1.5824684767446098E-6</v>
      </c>
      <c r="J7" s="67" t="s">
        <v>231</v>
      </c>
      <c r="K7" s="68">
        <v>4.8393537429115428E-4</v>
      </c>
      <c r="L7" s="67" t="s">
        <v>231</v>
      </c>
      <c r="M7" s="68">
        <v>8.4373620981804218E-2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5.313104498889503E-9</v>
      </c>
      <c r="J8" s="67" t="s">
        <v>231</v>
      </c>
      <c r="K8" s="68">
        <v>5.2085126605539301E-4</v>
      </c>
      <c r="L8" s="67" t="s">
        <v>231</v>
      </c>
      <c r="M8" s="68">
        <v>7.0292685387386838E-2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4.2010873480560794E-7</v>
      </c>
      <c r="J9" s="67" t="s">
        <v>231</v>
      </c>
      <c r="K9" s="68">
        <v>7.4737008630309154E-4</v>
      </c>
      <c r="L9" s="67" t="s">
        <v>231</v>
      </c>
      <c r="M9" s="68">
        <v>3.9535230639951208E-2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2.0958524422051003E-4</v>
      </c>
      <c r="J10" s="67" t="s">
        <v>231</v>
      </c>
      <c r="K10" s="68">
        <v>4.258400581161904E-3</v>
      </c>
      <c r="L10" s="67" t="s">
        <v>231</v>
      </c>
      <c r="M10" s="68">
        <v>0.68743174774931737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5.284562918397316E-9</v>
      </c>
      <c r="J11" s="67" t="s">
        <v>231</v>
      </c>
      <c r="K11" s="68">
        <v>2.7052889881201189E-2</v>
      </c>
      <c r="L11" s="67" t="s">
        <v>231</v>
      </c>
      <c r="M11" s="68">
        <v>5.324327967448764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2.4036589375476891E-8</v>
      </c>
      <c r="J12" s="67" t="s">
        <v>231</v>
      </c>
      <c r="K12" s="68">
        <v>8.6232525214189595E-4</v>
      </c>
      <c r="L12" s="67" t="s">
        <v>231</v>
      </c>
      <c r="M12" s="68">
        <v>6.1582386195066928E-5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9.4548649316111844E-4</v>
      </c>
      <c r="J13" s="67" t="s">
        <v>231</v>
      </c>
      <c r="K13" s="68">
        <v>1.6238240098619653E-3</v>
      </c>
      <c r="L13" s="67" t="s">
        <v>231</v>
      </c>
      <c r="M13" s="68">
        <v>0.18041484468975938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9.3650285735320375E-9</v>
      </c>
      <c r="J14" s="67" t="s">
        <v>231</v>
      </c>
      <c r="K14" s="68">
        <v>7.5079938738753895E-4</v>
      </c>
      <c r="L14" s="67" t="s">
        <v>231</v>
      </c>
      <c r="M14" s="68">
        <v>0.16787951970902382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1.0660492134428669E-6</v>
      </c>
      <c r="J15" s="67" t="s">
        <v>231</v>
      </c>
      <c r="K15" s="68">
        <v>8.9700823412128424E-4</v>
      </c>
      <c r="L15" s="67" t="s">
        <v>231</v>
      </c>
      <c r="M15" s="68">
        <v>2.9065331357493795E-2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8.280848049114558E-5</v>
      </c>
      <c r="J16" s="67" t="s">
        <v>231</v>
      </c>
      <c r="K16" s="68">
        <v>1.73142661008927E-3</v>
      </c>
      <c r="L16" s="67" t="s">
        <v>231</v>
      </c>
      <c r="M16" s="68">
        <v>0.2029245190616166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1.8631317666266602E-6</v>
      </c>
      <c r="J17" s="67" t="s">
        <v>231</v>
      </c>
      <c r="K17" s="68">
        <v>1.660215732223135E-3</v>
      </c>
      <c r="L17" s="67" t="s">
        <v>231</v>
      </c>
      <c r="M17" s="68">
        <v>0.18834648426778169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2.5731825749406982E-3</v>
      </c>
      <c r="J18" s="67" t="s">
        <v>231</v>
      </c>
      <c r="K18" s="68">
        <v>2.2228199813879281E-2</v>
      </c>
      <c r="L18" s="67" t="s">
        <v>231</v>
      </c>
      <c r="M18" s="68">
        <v>3.6427318615478104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1.8053208403863318E-6</v>
      </c>
      <c r="J19" s="67" t="s">
        <v>231</v>
      </c>
      <c r="K19" s="68">
        <v>9.1005235318407189E-4</v>
      </c>
      <c r="L19" s="67" t="s">
        <v>231</v>
      </c>
      <c r="M19" s="68">
        <v>1.02048867599974E-2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5.0304062390808438E-6</v>
      </c>
      <c r="J20" s="67" t="s">
        <v>231</v>
      </c>
      <c r="K20" s="68">
        <v>9.1738010682401814E-4</v>
      </c>
      <c r="L20" s="67" t="s">
        <v>231</v>
      </c>
      <c r="M20" s="68">
        <v>1.7478233172720726E-2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2.013219694741478E-6</v>
      </c>
      <c r="J21" s="67" t="s">
        <v>231</v>
      </c>
      <c r="K21" s="68">
        <v>1.3594438749964016E-3</v>
      </c>
      <c r="L21" s="67" t="s">
        <v>231</v>
      </c>
      <c r="M21" s="68">
        <v>0.21908761679131894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4.0222680770283907E-8</v>
      </c>
      <c r="J22" s="67" t="s">
        <v>231</v>
      </c>
      <c r="K22" s="68">
        <v>8.5732519494414821E-4</v>
      </c>
      <c r="L22" s="67" t="s">
        <v>231</v>
      </c>
      <c r="M22" s="68">
        <v>1.8503005943042777E-3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1.0758611539491409E-5</v>
      </c>
      <c r="J23" s="67" t="s">
        <v>231</v>
      </c>
      <c r="K23" s="68">
        <v>9.8111005586649382E-4</v>
      </c>
      <c r="L23" s="67" t="s">
        <v>231</v>
      </c>
      <c r="M23" s="68">
        <v>4.8312371861512479E-2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1.5516801187702003E-4</v>
      </c>
      <c r="J24" s="67" t="s">
        <v>231</v>
      </c>
      <c r="K24" s="68">
        <v>2.1201209673334404E-3</v>
      </c>
      <c r="L24" s="67" t="s">
        <v>231</v>
      </c>
      <c r="M24" s="68">
        <v>0.2818665483584018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8.7596003313837514E-4</v>
      </c>
      <c r="J25" s="67" t="s">
        <v>231</v>
      </c>
      <c r="K25" s="68">
        <v>2.033514225744297E-2</v>
      </c>
      <c r="L25" s="67" t="s">
        <v>231</v>
      </c>
      <c r="M25" s="68">
        <v>3.3284448414876913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1.7125212419611636E-4</v>
      </c>
      <c r="J26" s="67" t="s">
        <v>231</v>
      </c>
      <c r="K26" s="68">
        <v>2.7634493907975231E-3</v>
      </c>
      <c r="L26" s="67" t="s">
        <v>231</v>
      </c>
      <c r="M26" s="68">
        <v>0.42261101099814935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5.0838156905317674E-5</v>
      </c>
      <c r="J27" s="67" t="s">
        <v>231</v>
      </c>
      <c r="K27" s="68">
        <v>1.5737899796944386E-3</v>
      </c>
      <c r="L27" s="67" t="s">
        <v>231</v>
      </c>
      <c r="M27" s="68">
        <v>0.251114963150952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2.3938403244882459E-5</v>
      </c>
      <c r="J28" s="67" t="s">
        <v>231</v>
      </c>
      <c r="K28" s="68">
        <v>7.9028046919625995E-4</v>
      </c>
      <c r="L28" s="67" t="s">
        <v>231</v>
      </c>
      <c r="M28" s="68">
        <v>0.12244544202993304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2.5845844289699218E-7</v>
      </c>
      <c r="J29" s="67" t="s">
        <v>231</v>
      </c>
      <c r="K29" s="68">
        <v>6.4991529639170075E-5</v>
      </c>
      <c r="L29" s="67" t="s">
        <v>231</v>
      </c>
      <c r="M29" s="68">
        <v>1.5165389014953638E-3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5.7471250391528974E-6</v>
      </c>
      <c r="J30" s="67" t="s">
        <v>231</v>
      </c>
      <c r="K30" s="68">
        <v>3.0389582741083661E-4</v>
      </c>
      <c r="L30" s="67" t="s">
        <v>231</v>
      </c>
      <c r="M30" s="68">
        <v>4.6958038383346792E-2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8.97120764207426E-8</v>
      </c>
      <c r="J31" s="67" t="s">
        <v>231</v>
      </c>
      <c r="K31" s="68">
        <v>5.485235925435182E-6</v>
      </c>
      <c r="L31" s="67" t="s">
        <v>231</v>
      </c>
      <c r="M31" s="68">
        <v>8.1091775618011492E-4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8.6526348819014341E-5</v>
      </c>
      <c r="J32" s="67" t="s">
        <v>231</v>
      </c>
      <c r="K32" s="68">
        <v>1.5095432451879935E-3</v>
      </c>
      <c r="L32" s="67" t="s">
        <v>231</v>
      </c>
      <c r="M32" s="68">
        <v>0.15655291849274075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2.9313974934181849E-5</v>
      </c>
      <c r="J33" s="67" t="s">
        <v>231</v>
      </c>
      <c r="K33" s="68">
        <v>1.1654602924785124E-3</v>
      </c>
      <c r="L33" s="67" t="s">
        <v>231</v>
      </c>
      <c r="M33" s="68">
        <v>7.9464131717795553E-2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8.1584733761703277E-5</v>
      </c>
      <c r="J34" s="67" t="s">
        <v>231</v>
      </c>
      <c r="K34" s="68">
        <v>3.0897951857591596E-3</v>
      </c>
      <c r="L34" s="67" t="s">
        <v>231</v>
      </c>
      <c r="M34" s="68">
        <v>0.46906683140654681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4.0540233949533199E-4</v>
      </c>
      <c r="J35" s="67" t="s">
        <v>231</v>
      </c>
      <c r="K35" s="68">
        <v>4.059264287694259E-3</v>
      </c>
      <c r="L35" s="67" t="s">
        <v>231</v>
      </c>
      <c r="M35" s="68">
        <v>0.65219456679766019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8.3690664155692477E-4</v>
      </c>
      <c r="J36" s="67" t="s">
        <v>231</v>
      </c>
      <c r="K36" s="68">
        <v>9.0767105822400704E-3</v>
      </c>
      <c r="L36" s="67" t="s">
        <v>231</v>
      </c>
      <c r="M36" s="68">
        <v>1.4746353381853419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5.567223077401469E-4</v>
      </c>
      <c r="J37" s="67" t="s">
        <v>231</v>
      </c>
      <c r="K37" s="68">
        <v>2.1662358318921882E-2</v>
      </c>
      <c r="L37" s="67" t="s">
        <v>231</v>
      </c>
      <c r="M37" s="68">
        <v>3.5488053475063803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2.9796850212023408E-4</v>
      </c>
      <c r="J38" s="67" t="s">
        <v>231</v>
      </c>
      <c r="K38" s="68">
        <v>1.3364563321739915E-2</v>
      </c>
      <c r="L38" s="67" t="s">
        <v>231</v>
      </c>
      <c r="M38" s="68">
        <v>2.1781007219564659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1.8229423779523958E-4</v>
      </c>
      <c r="J39" s="67" t="s">
        <v>231</v>
      </c>
      <c r="K39" s="68">
        <v>9.9427527917723274E-3</v>
      </c>
      <c r="L39" s="67" t="s">
        <v>231</v>
      </c>
      <c r="M39" s="68">
        <v>1.6168430106162859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2.9796850212023408E-4</v>
      </c>
      <c r="J40" s="67" t="s">
        <v>231</v>
      </c>
      <c r="K40" s="68">
        <v>1.3364563321739915E-2</v>
      </c>
      <c r="L40" s="67" t="s">
        <v>231</v>
      </c>
      <c r="M40" s="68">
        <v>2.1781007219564659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8.4537954397373382E-9</v>
      </c>
      <c r="J41" s="67" t="s">
        <v>231</v>
      </c>
      <c r="K41" s="68">
        <v>9.1687510341381792E-4</v>
      </c>
      <c r="L41" s="67" t="s">
        <v>231</v>
      </c>
      <c r="M41" s="68">
        <v>5.4753413767464698E-3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1.0138380155675806E-3</v>
      </c>
      <c r="J42" s="67" t="s">
        <v>231</v>
      </c>
      <c r="K42" s="68">
        <v>2.2148283916415146E-2</v>
      </c>
      <c r="L42" s="67" t="s">
        <v>231</v>
      </c>
      <c r="M42" s="68">
        <v>3.6296353360363285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1.7495708191878887E-3</v>
      </c>
      <c r="J43" s="67" t="s">
        <v>231</v>
      </c>
      <c r="K43" s="68">
        <v>2.2274115450328586E-3</v>
      </c>
      <c r="L43" s="67" t="s">
        <v>231</v>
      </c>
      <c r="M43" s="68">
        <v>0.30286988987213287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1.5485387733612961E-3</v>
      </c>
      <c r="J44" s="67" t="s">
        <v>231</v>
      </c>
      <c r="K44" s="68">
        <v>6.4407745280669684E-3</v>
      </c>
      <c r="L44" s="67" t="s">
        <v>231</v>
      </c>
      <c r="M44" s="68">
        <v>1.0435559324304546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2.7749094721264515E-3</v>
      </c>
      <c r="J45" s="67" t="s">
        <v>231</v>
      </c>
      <c r="K45" s="68">
        <v>2.595564354645136E-2</v>
      </c>
      <c r="L45" s="67" t="s">
        <v>231</v>
      </c>
      <c r="M45" s="68">
        <v>4.2652696160013877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4.0349255473787855E-4</v>
      </c>
      <c r="J46" s="67" t="s">
        <v>231</v>
      </c>
      <c r="K46" s="68">
        <v>2.2827060916950581E-2</v>
      </c>
      <c r="L46" s="67" t="s">
        <v>231</v>
      </c>
      <c r="M46" s="68">
        <v>3.7423835981909623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7.7599957385209094E-4</v>
      </c>
      <c r="J47" s="142" t="s">
        <v>231</v>
      </c>
      <c r="K47" s="143">
        <v>1.811658472984818E-2</v>
      </c>
      <c r="L47" s="142" t="s">
        <v>231</v>
      </c>
      <c r="M47" s="143">
        <v>2.9612648133745569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2.1792055371679236E-4</v>
      </c>
      <c r="J48" s="142" t="s">
        <v>231</v>
      </c>
      <c r="K48" s="143">
        <v>3.8308132601211214E-3</v>
      </c>
      <c r="L48" s="142" t="s">
        <v>231</v>
      </c>
      <c r="M48" s="143">
        <v>0.60744334917321863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9.3220241758042611E-4</v>
      </c>
      <c r="J49" s="142" t="s">
        <v>231</v>
      </c>
      <c r="K49" s="143">
        <v>6.8892113949051018E-3</v>
      </c>
      <c r="L49" s="142" t="s">
        <v>231</v>
      </c>
      <c r="M49" s="143">
        <v>1.1168181611615888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2.2960212670183761E-4</v>
      </c>
      <c r="J50" s="142" t="s">
        <v>231</v>
      </c>
      <c r="K50" s="143">
        <v>7.6834720142883277E-3</v>
      </c>
      <c r="L50" s="142" t="s">
        <v>231</v>
      </c>
      <c r="M50" s="143">
        <v>1.2466548084804239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4.6811435114518329E-4</v>
      </c>
      <c r="J51" s="142" t="s">
        <v>231</v>
      </c>
      <c r="K51" s="143">
        <v>3.9904589044436195E-3</v>
      </c>
      <c r="L51" s="142" t="s">
        <v>231</v>
      </c>
      <c r="M51" s="143">
        <v>0.63726589768319208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1.0156472690052785E-2</v>
      </c>
      <c r="J52" s="142" t="s">
        <v>232</v>
      </c>
      <c r="K52" s="143">
        <v>3.8484014100753352E-3</v>
      </c>
      <c r="L52" s="142" t="s">
        <v>231</v>
      </c>
      <c r="M52" s="143">
        <v>0.61072140122596763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2.1961347819618288E-3</v>
      </c>
      <c r="J53" s="142" t="s">
        <v>231</v>
      </c>
      <c r="K53" s="143">
        <v>1.0517866947366379E-2</v>
      </c>
      <c r="L53" s="142" t="s">
        <v>231</v>
      </c>
      <c r="M53" s="143">
        <v>1.7107556365828178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1.100675366031389E-3</v>
      </c>
      <c r="J54" s="67" t="s">
        <v>231</v>
      </c>
      <c r="K54" s="68">
        <v>7.2790621383882941E-3</v>
      </c>
      <c r="L54" s="67" t="s">
        <v>231</v>
      </c>
      <c r="M54" s="68">
        <v>1.1805343216797288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8.1606510150631566E-4</v>
      </c>
      <c r="J55" s="67" t="s">
        <v>231</v>
      </c>
      <c r="K55" s="68">
        <v>1.7885538826910109E-2</v>
      </c>
      <c r="L55" s="67" t="s">
        <v>231</v>
      </c>
      <c r="M55" s="68">
        <v>2.9230968913225683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6.5242109956708833E-4</v>
      </c>
      <c r="J56" s="67" t="s">
        <v>231</v>
      </c>
      <c r="K56" s="68">
        <v>6.5881280297842631E-3</v>
      </c>
      <c r="L56" s="67" t="s">
        <v>231</v>
      </c>
      <c r="M56" s="68">
        <v>1.0676256979174796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1.6201690227119472E-3</v>
      </c>
      <c r="J57" s="67" t="s">
        <v>231</v>
      </c>
      <c r="K57" s="68">
        <v>3.7325928949034875E-3</v>
      </c>
      <c r="L57" s="67" t="s">
        <v>231</v>
      </c>
      <c r="M57" s="68">
        <v>0.58949845146620361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6.6922509285922043E-3</v>
      </c>
      <c r="J58" s="67" t="s">
        <v>231</v>
      </c>
      <c r="K58" s="68">
        <v>7.358854563436679E-3</v>
      </c>
      <c r="L58" s="67" t="s">
        <v>231</v>
      </c>
      <c r="M58" s="68">
        <v>1.1935781888776444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1.0509379546327869E-3</v>
      </c>
      <c r="J59" s="67" t="s">
        <v>231</v>
      </c>
      <c r="K59" s="68">
        <v>3.8489172063325963E-3</v>
      </c>
      <c r="L59" s="67" t="s">
        <v>231</v>
      </c>
      <c r="M59" s="68">
        <v>0.61080325542448155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3.1645023559242463E-3</v>
      </c>
      <c r="J60" s="67" t="s">
        <v>231</v>
      </c>
      <c r="K60" s="68">
        <v>9.636744114429047E-3</v>
      </c>
      <c r="L60" s="67" t="s">
        <v>231</v>
      </c>
      <c r="M60" s="68">
        <v>1.5663573949129912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2.5167762424785155E-5</v>
      </c>
      <c r="J61" s="67" t="s">
        <v>231</v>
      </c>
      <c r="K61" s="68">
        <v>2.2635172633117664E-2</v>
      </c>
      <c r="L61" s="67" t="s">
        <v>231</v>
      </c>
      <c r="M61" s="68">
        <v>0.7926244562385284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1.2547318836057757E-4</v>
      </c>
      <c r="J62" s="67" t="s">
        <v>231</v>
      </c>
      <c r="K62" s="68">
        <v>3.0232660460511691E-3</v>
      </c>
      <c r="L62" s="67" t="s">
        <v>231</v>
      </c>
      <c r="M62" s="68">
        <v>0.45648395345339271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1.68268674657371E-6</v>
      </c>
      <c r="J63" s="67" t="s">
        <v>231</v>
      </c>
      <c r="K63" s="68">
        <v>4.641458021843391E-3</v>
      </c>
      <c r="L63" s="67" t="s">
        <v>231</v>
      </c>
      <c r="M63" s="68">
        <v>0.11139518051543615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1.0526345711194175E-7</v>
      </c>
      <c r="J64" s="67" t="s">
        <v>231</v>
      </c>
      <c r="K64" s="68">
        <v>9.3148788319287533E-4</v>
      </c>
      <c r="L64" s="67" t="s">
        <v>231</v>
      </c>
      <c r="M64" s="68">
        <v>2.2541856202959194E-3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2.0137468957900624E-8</v>
      </c>
      <c r="J65" s="67" t="s">
        <v>231</v>
      </c>
      <c r="K65" s="68">
        <v>1.2774318110370638E-3</v>
      </c>
      <c r="L65" s="67" t="s">
        <v>231</v>
      </c>
      <c r="M65" s="68">
        <v>9.5748444502229014E-3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1.4398139311520508E-7</v>
      </c>
      <c r="J66" s="67" t="s">
        <v>231</v>
      </c>
      <c r="K66" s="68">
        <v>3.2407970757139741E-2</v>
      </c>
      <c r="L66" s="67" t="s">
        <v>231</v>
      </c>
      <c r="M66" s="68">
        <v>0.87720381189515473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1.9839332572187736E-8</v>
      </c>
      <c r="J67" s="67" t="s">
        <v>231</v>
      </c>
      <c r="K67" s="68">
        <v>1.2188143865729342E-3</v>
      </c>
      <c r="L67" s="67" t="s">
        <v>231</v>
      </c>
      <c r="M67" s="68">
        <v>7.9719587093874042E-3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6.4472042099193302E-9</v>
      </c>
      <c r="J68" s="67" t="s">
        <v>231</v>
      </c>
      <c r="K68" s="68">
        <v>9.7271834623345892E-4</v>
      </c>
      <c r="L68" s="67" t="s">
        <v>231</v>
      </c>
      <c r="M68" s="68">
        <v>1.0582523266429731E-3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3.6428036817996959E-5</v>
      </c>
      <c r="J69" s="67" t="s">
        <v>231</v>
      </c>
      <c r="K69" s="68">
        <v>5.8583995360064235E-3</v>
      </c>
      <c r="L69" s="67" t="s">
        <v>231</v>
      </c>
      <c r="M69" s="68">
        <v>0.9484543257169552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2.2296648009830208E-14</v>
      </c>
      <c r="J70" s="67" t="s">
        <v>231</v>
      </c>
      <c r="K70" s="68">
        <v>9.2361059595848867E-4</v>
      </c>
      <c r="L70" s="67" t="s">
        <v>231</v>
      </c>
      <c r="M70" s="68">
        <v>3.7176386589123176E-3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1.8888329907436296E-10</v>
      </c>
      <c r="J71" s="67" t="s">
        <v>231</v>
      </c>
      <c r="K71" s="68">
        <v>9.1183903454507753E-4</v>
      </c>
      <c r="L71" s="67" t="s">
        <v>231</v>
      </c>
      <c r="M71" s="68">
        <v>6.645906118682321E-3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2.8961908342526498E-14</v>
      </c>
      <c r="J72" s="67" t="s">
        <v>231</v>
      </c>
      <c r="K72" s="68">
        <v>2.8510636800169993E-3</v>
      </c>
      <c r="L72" s="67" t="s">
        <v>231</v>
      </c>
      <c r="M72" s="68">
        <v>0.65607066786240653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1.5691237585941232E-11</v>
      </c>
      <c r="J73" s="67" t="s">
        <v>231</v>
      </c>
      <c r="K73" s="68">
        <v>3.6654936840175488E-4</v>
      </c>
      <c r="L73" s="67" t="s">
        <v>231</v>
      </c>
      <c r="M73" s="68">
        <v>7.6662506000952035E-2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1.7796048823986867E-11</v>
      </c>
      <c r="J74" s="67" t="s">
        <v>231</v>
      </c>
      <c r="K74" s="68">
        <v>9.1417210632550676E-4</v>
      </c>
      <c r="L74" s="67" t="s">
        <v>231</v>
      </c>
      <c r="M74" s="68">
        <v>6.0848350808159679E-3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9.7192688508683988E-14</v>
      </c>
      <c r="J75" s="67" t="s">
        <v>231</v>
      </c>
      <c r="K75" s="68">
        <v>3.7420318043916175E-4</v>
      </c>
      <c r="L75" s="67" t="s">
        <v>231</v>
      </c>
      <c r="M75" s="68">
        <v>7.6999640023303728E-2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8.3707161617472624E-9</v>
      </c>
      <c r="J76" s="67" t="s">
        <v>231</v>
      </c>
      <c r="K76" s="68">
        <v>6.5155263401284799E-4</v>
      </c>
      <c r="L76" s="67" t="s">
        <v>231</v>
      </c>
      <c r="M76" s="68">
        <v>5.3512605871311063E-2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6.5969886121405773E-8</v>
      </c>
      <c r="J77" s="67" t="s">
        <v>231</v>
      </c>
      <c r="K77" s="68">
        <v>3.6867865004647563E-4</v>
      </c>
      <c r="L77" s="67" t="s">
        <v>231</v>
      </c>
      <c r="M77" s="68">
        <v>7.6768414699710116E-2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2.8617657529842059E-13</v>
      </c>
      <c r="J78" s="67" t="s">
        <v>231</v>
      </c>
      <c r="K78" s="68">
        <v>2.3896558806522391E-3</v>
      </c>
      <c r="L78" s="67" t="s">
        <v>231</v>
      </c>
      <c r="M78" s="68">
        <v>0.54966414509772654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1.5743949012802502E-16</v>
      </c>
      <c r="J79" s="67" t="s">
        <v>231</v>
      </c>
      <c r="K79" s="68">
        <v>2.3896541590391601E-3</v>
      </c>
      <c r="L79" s="67" t="s">
        <v>231</v>
      </c>
      <c r="M79" s="68">
        <v>0.54966388405868627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2.0689947088010142E-14</v>
      </c>
      <c r="J80" s="67" t="s">
        <v>231</v>
      </c>
      <c r="K80" s="68">
        <v>4.7647623424945868E-4</v>
      </c>
      <c r="L80" s="67" t="s">
        <v>231</v>
      </c>
      <c r="M80" s="68">
        <v>7.3821578519942851E-2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7.0078494572512086E-11</v>
      </c>
      <c r="J81" s="67" t="s">
        <v>231</v>
      </c>
      <c r="K81" s="68">
        <v>8.4432001654959283E-4</v>
      </c>
      <c r="L81" s="67" t="s">
        <v>231</v>
      </c>
      <c r="M81" s="68">
        <v>2.1009685617921024E-2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1.3927558100643927E-15</v>
      </c>
      <c r="J82" s="67" t="s">
        <v>231</v>
      </c>
      <c r="K82" s="68">
        <v>7.4127197656848162E-4</v>
      </c>
      <c r="L82" s="67" t="s">
        <v>231</v>
      </c>
      <c r="M82" s="68">
        <v>3.9565134873951691E-2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1.7021042369240926E-14</v>
      </c>
      <c r="J83" s="67" t="s">
        <v>231</v>
      </c>
      <c r="K83" s="68">
        <v>4.6325075784381378E-3</v>
      </c>
      <c r="L83" s="67" t="s">
        <v>231</v>
      </c>
      <c r="M83" s="68">
        <v>1.0667521737832952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3.3743430451268881E-2</v>
      </c>
      <c r="J84" s="67" t="s">
        <v>232</v>
      </c>
      <c r="K84" s="68">
        <v>2.5295546786963841E-3</v>
      </c>
      <c r="L84" s="67" t="s">
        <v>231</v>
      </c>
      <c r="M84" s="68">
        <v>0.36197625050872329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4.5587881800927893E-6</v>
      </c>
      <c r="J85" s="67" t="s">
        <v>231</v>
      </c>
      <c r="K85" s="68">
        <v>0.3230489503096623</v>
      </c>
      <c r="L85" s="67" t="s">
        <v>231</v>
      </c>
      <c r="M85" s="68">
        <v>8.9231871993300853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2.6831621358808049E-4</v>
      </c>
      <c r="J86" s="67" t="s">
        <v>231</v>
      </c>
      <c r="K86" s="68">
        <v>2.5129058202723809E-2</v>
      </c>
      <c r="L86" s="67" t="s">
        <v>231</v>
      </c>
      <c r="M86" s="68">
        <v>4.1266871810781343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1.9500991229562696E-4</v>
      </c>
      <c r="J87" s="67" t="s">
        <v>231</v>
      </c>
      <c r="K87" s="68">
        <v>2.8766998811355915E-2</v>
      </c>
      <c r="L87" s="67" t="s">
        <v>231</v>
      </c>
      <c r="M87" s="68">
        <v>4.7401110403937095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2.9970675526057869E-4</v>
      </c>
      <c r="J88" s="67" t="s">
        <v>231</v>
      </c>
      <c r="K88" s="68">
        <v>3.1376115502318877E-2</v>
      </c>
      <c r="L88" s="67" t="s">
        <v>231</v>
      </c>
      <c r="M88" s="68">
        <v>5.1897348494506161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4.1260102252507353E-7</v>
      </c>
      <c r="J89" s="67" t="s">
        <v>231</v>
      </c>
      <c r="K89" s="68">
        <v>1.1316280871414488</v>
      </c>
      <c r="L89" s="67" t="s">
        <v>232</v>
      </c>
      <c r="M89" s="68">
        <v>31.625014498198791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1.9097450556092303E-5</v>
      </c>
      <c r="J90" s="67" t="s">
        <v>231</v>
      </c>
      <c r="K90" s="68">
        <v>9.2059515991374844E-4</v>
      </c>
      <c r="L90" s="67" t="s">
        <v>231</v>
      </c>
      <c r="M90" s="68">
        <v>1.4805168920171469E-3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3.3345426236783797E-5</v>
      </c>
      <c r="J91" s="67" t="s">
        <v>231</v>
      </c>
      <c r="K91" s="68">
        <v>1.1531262012634809E-3</v>
      </c>
      <c r="L91" s="67" t="s">
        <v>231</v>
      </c>
      <c r="M91" s="68">
        <v>7.6527442313803443E-2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2.7741128085078562E-5</v>
      </c>
      <c r="J92" s="67" t="s">
        <v>231</v>
      </c>
      <c r="K92" s="68">
        <v>3.3683880160967103E-3</v>
      </c>
      <c r="L92" s="67" t="s">
        <v>231</v>
      </c>
      <c r="M92" s="68">
        <v>0.52143423339430195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1.2892695028514106E-8</v>
      </c>
      <c r="J93" s="67" t="s">
        <v>231</v>
      </c>
      <c r="K93" s="68">
        <v>9.3433532650519843E-4</v>
      </c>
      <c r="L93" s="67" t="s">
        <v>231</v>
      </c>
      <c r="M93" s="68">
        <v>6.2160102199144637E-4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2.1136673509450041E-18</v>
      </c>
      <c r="J94" s="67" t="s">
        <v>231</v>
      </c>
      <c r="K94" s="68">
        <v>9.4133689667928754E-4</v>
      </c>
      <c r="L94" s="67" t="s">
        <v>231</v>
      </c>
      <c r="M94" s="68">
        <v>1.5143039091262758E-4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2.2732492457556189E-6</v>
      </c>
      <c r="J95" s="67" t="s">
        <v>231</v>
      </c>
      <c r="K95" s="68">
        <v>9.2694850813640386E-4</v>
      </c>
      <c r="L95" s="67" t="s">
        <v>231</v>
      </c>
      <c r="M95" s="68">
        <v>6.3760786445961606E-3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2.9771009372343035E-3</v>
      </c>
      <c r="J96" s="67" t="s">
        <v>231</v>
      </c>
      <c r="K96" s="68">
        <v>2.3409497446945648E-2</v>
      </c>
      <c r="L96" s="67" t="s">
        <v>231</v>
      </c>
      <c r="M96" s="68">
        <v>3.8394181064397395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9.8643372431040811E-5</v>
      </c>
      <c r="J97" s="67" t="s">
        <v>231</v>
      </c>
      <c r="K97" s="68">
        <v>1.4131456897016109E-3</v>
      </c>
      <c r="L97" s="67" t="s">
        <v>231</v>
      </c>
      <c r="M97" s="68">
        <v>0.13543978453277761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2.6858450491387137E-5</v>
      </c>
      <c r="J98" s="67" t="s">
        <v>231</v>
      </c>
      <c r="K98" s="68">
        <v>1.1916749871845006E-3</v>
      </c>
      <c r="L98" s="67" t="s">
        <v>231</v>
      </c>
      <c r="M98" s="68">
        <v>8.5625298315965478E-2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1.7608630752717065E-6</v>
      </c>
      <c r="J99" s="67" t="s">
        <v>231</v>
      </c>
      <c r="K99" s="68">
        <v>9.5143740937950151E-4</v>
      </c>
      <c r="L99" s="67" t="s">
        <v>231</v>
      </c>
      <c r="M99" s="68">
        <v>2.2647810790190844E-2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2.3006775016754782E-3</v>
      </c>
      <c r="J100" s="67" t="s">
        <v>231</v>
      </c>
      <c r="K100" s="68">
        <v>1.1331471312500702E-2</v>
      </c>
      <c r="L100" s="67" t="s">
        <v>231</v>
      </c>
      <c r="M100" s="68">
        <v>1.8441968849735642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1.852857029896763E-2</v>
      </c>
      <c r="J101" s="67" t="s">
        <v>232</v>
      </c>
      <c r="K101" s="68">
        <v>3.0734635654297315E-3</v>
      </c>
      <c r="L101" s="67" t="s">
        <v>231</v>
      </c>
      <c r="M101" s="68">
        <v>0.46597483870806139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5.6683040648232907E-3</v>
      </c>
      <c r="J102" s="67" t="s">
        <v>231</v>
      </c>
      <c r="K102" s="68">
        <v>3.9836326586362185E-3</v>
      </c>
      <c r="L102" s="67" t="s">
        <v>231</v>
      </c>
      <c r="M102" s="68">
        <v>0.63599730875197769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1.5547374896052102E-9</v>
      </c>
      <c r="J103" s="67" t="s">
        <v>231</v>
      </c>
      <c r="K103" s="68">
        <v>8.8890047958479427E-4</v>
      </c>
      <c r="L103" s="67" t="s">
        <v>231</v>
      </c>
      <c r="M103" s="68">
        <v>1.185886600432812E-2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2.460988747468262E-7</v>
      </c>
      <c r="J104" s="67" t="s">
        <v>231</v>
      </c>
      <c r="K104" s="68">
        <v>5.0846135953232794E-4</v>
      </c>
      <c r="L104" s="67" t="s">
        <v>231</v>
      </c>
      <c r="M104" s="68">
        <v>0.11258966608452257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9.7165759590965197E-8</v>
      </c>
      <c r="J105" s="67" t="s">
        <v>231</v>
      </c>
      <c r="K105" s="68">
        <v>9.1792095643970935E-4</v>
      </c>
      <c r="L105" s="67" t="s">
        <v>231</v>
      </c>
      <c r="M105" s="68">
        <v>1.8063207096818759E-3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3.3208547103442622E-8</v>
      </c>
      <c r="J106" s="67" t="s">
        <v>231</v>
      </c>
      <c r="K106" s="68">
        <v>9.2575274636507679E-4</v>
      </c>
      <c r="L106" s="67" t="s">
        <v>231</v>
      </c>
      <c r="M106" s="68">
        <v>6.8544164070380841E-3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8.5240264964079883E-6</v>
      </c>
      <c r="J107" s="67" t="s">
        <v>231</v>
      </c>
      <c r="K107" s="68">
        <v>7.3351743663599015E-3</v>
      </c>
      <c r="L107" s="67" t="s">
        <v>231</v>
      </c>
      <c r="M107" s="68">
        <v>0.6987410012598454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2.6556761023992906E-10</v>
      </c>
      <c r="J108" s="67" t="s">
        <v>231</v>
      </c>
      <c r="K108" s="68">
        <v>9.3861909280774968E-4</v>
      </c>
      <c r="L108" s="67" t="s">
        <v>231</v>
      </c>
      <c r="M108" s="68">
        <v>7.8377785722971033E-5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2.7417077896731503E-6</v>
      </c>
      <c r="J109" s="67" t="s">
        <v>231</v>
      </c>
      <c r="K109" s="68">
        <v>1.011460747487797E-2</v>
      </c>
      <c r="L109" s="67" t="s">
        <v>231</v>
      </c>
      <c r="M109" s="68">
        <v>0.25860082452475752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5.8429194775503629E-6</v>
      </c>
      <c r="J110" s="67" t="s">
        <v>231</v>
      </c>
      <c r="K110" s="68">
        <v>9.3111504407827526E-4</v>
      </c>
      <c r="L110" s="67" t="s">
        <v>231</v>
      </c>
      <c r="M110" s="68">
        <v>2.2267990966230987E-4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8.1447924488131115E-14</v>
      </c>
      <c r="J111" s="67" t="s">
        <v>231</v>
      </c>
      <c r="K111" s="68">
        <v>9.3582936533565312E-4</v>
      </c>
      <c r="L111" s="67" t="s">
        <v>231</v>
      </c>
      <c r="M111" s="68">
        <v>3.244186896465908E-6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9.187885888996502E-9</v>
      </c>
      <c r="J112" s="67" t="s">
        <v>231</v>
      </c>
      <c r="K112" s="68">
        <v>9.2922747391963262E-4</v>
      </c>
      <c r="L112" s="67" t="s">
        <v>231</v>
      </c>
      <c r="M112" s="68">
        <v>1.6814892983461774E-4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4.2179492560455912E-7</v>
      </c>
      <c r="J113" s="67" t="s">
        <v>231</v>
      </c>
      <c r="K113" s="68">
        <v>9.1492633353997433E-4</v>
      </c>
      <c r="L113" s="67" t="s">
        <v>231</v>
      </c>
      <c r="M113" s="68">
        <v>3.8404429833888815E-3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5.7159961771683783E-8</v>
      </c>
      <c r="J114" s="67" t="s">
        <v>231</v>
      </c>
      <c r="K114" s="68">
        <v>9.3220936943373179E-4</v>
      </c>
      <c r="L114" s="67" t="s">
        <v>231</v>
      </c>
      <c r="M114" s="68">
        <v>5.2270710085233735E-5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4.7470426308447526E-11</v>
      </c>
      <c r="J115" s="67" t="s">
        <v>231</v>
      </c>
      <c r="K115" s="68">
        <v>9.2484064336164609E-4</v>
      </c>
      <c r="L115" s="67" t="s">
        <v>231</v>
      </c>
      <c r="M115" s="68">
        <v>3.3982363642192093E-3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9.0498865039122937E-6</v>
      </c>
      <c r="J116" s="67" t="s">
        <v>231</v>
      </c>
      <c r="K116" s="68">
        <v>0.10004712448194089</v>
      </c>
      <c r="L116" s="67" t="s">
        <v>231</v>
      </c>
      <c r="M116" s="68">
        <v>2.7726997565529818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6.7469454931623935E-5</v>
      </c>
      <c r="J117" s="67" t="s">
        <v>231</v>
      </c>
      <c r="K117" s="68">
        <v>1.7902624190469607E-3</v>
      </c>
      <c r="L117" s="67" t="s">
        <v>231</v>
      </c>
      <c r="M117" s="68">
        <v>0.21494473105225956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0.97618807936673824</v>
      </c>
      <c r="F2" s="14">
        <v>0.97916420774637469</v>
      </c>
      <c r="G2" s="14">
        <v>2.9118166003319701E-10</v>
      </c>
      <c r="H2" s="14">
        <v>0.17058291436328293</v>
      </c>
      <c r="I2" s="14">
        <v>0.63385905775310702</v>
      </c>
      <c r="J2" s="14">
        <v>0</v>
      </c>
      <c r="K2" s="14">
        <v>1.0212791604194567</v>
      </c>
      <c r="L2" s="14">
        <v>0.97916420774637469</v>
      </c>
      <c r="M2" s="14">
        <v>0.80340423245590042</v>
      </c>
      <c r="N2" s="14">
        <v>0.92046731784692248</v>
      </c>
      <c r="O2" s="14">
        <v>178.74554845269387</v>
      </c>
      <c r="P2" s="8">
        <v>0.92046731784692248</v>
      </c>
      <c r="Q2" s="54">
        <v>1.5768584172787991E-2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0.69733760916741649</v>
      </c>
      <c r="F3" s="14">
        <v>0.46864980455276772</v>
      </c>
      <c r="G3" s="14">
        <v>2.21873223853829E-10</v>
      </c>
      <c r="H3" s="14">
        <v>52.711519346189611</v>
      </c>
      <c r="I3" s="14">
        <v>118.5646824870626</v>
      </c>
      <c r="J3" s="14">
        <v>0</v>
      </c>
      <c r="K3" s="14">
        <v>2.1337894314376156</v>
      </c>
      <c r="L3" s="14">
        <v>0.46864980455276772</v>
      </c>
      <c r="M3" s="14">
        <v>0.38452716463554593</v>
      </c>
      <c r="N3" s="14">
        <v>2.9892394395496669</v>
      </c>
      <c r="O3" s="14">
        <v>765.51432807427409</v>
      </c>
      <c r="P3" s="8">
        <v>2.9892394395496669</v>
      </c>
      <c r="Q3" s="54">
        <v>0.20330840938856454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0.99946635517462379</v>
      </c>
      <c r="F4" s="14">
        <v>1.0029541824814787</v>
      </c>
      <c r="G4" s="14">
        <v>1.5108090631744476E-19</v>
      </c>
      <c r="H4" s="14">
        <v>0.11983428639687513</v>
      </c>
      <c r="I4" s="14">
        <v>1.2219075582289179E-3</v>
      </c>
      <c r="J4" s="14">
        <v>0</v>
      </c>
      <c r="K4" s="14">
        <v>0.9970545190068707</v>
      </c>
      <c r="L4" s="14">
        <v>1.0029541824814787</v>
      </c>
      <c r="M4" s="14">
        <v>0.82292390672605331</v>
      </c>
      <c r="N4" s="14">
        <v>1.0469462094997022</v>
      </c>
      <c r="O4" s="14">
        <v>310.05311994333675</v>
      </c>
      <c r="P4" s="8">
        <v>1.0469462094997022</v>
      </c>
      <c r="Q4" s="54">
        <v>1.3932798336899102E-5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0.99946506682923997</v>
      </c>
      <c r="F5" s="14">
        <v>0.54957673989790612</v>
      </c>
      <c r="G5" s="14">
        <v>2.5154064254758292E-12</v>
      </c>
      <c r="H5" s="14">
        <v>128.4660418994018</v>
      </c>
      <c r="I5" s="14">
        <v>9.4408092885374023E-2</v>
      </c>
      <c r="J5" s="14">
        <v>0</v>
      </c>
      <c r="K5" s="14">
        <v>1.8195821027392243</v>
      </c>
      <c r="L5" s="14">
        <v>0.54957673989790623</v>
      </c>
      <c r="M5" s="14">
        <v>0.45092771508623203</v>
      </c>
      <c r="N5" s="14">
        <v>0.7078959968099926</v>
      </c>
      <c r="O5" s="14">
        <v>156.47333113488077</v>
      </c>
      <c r="P5" s="8">
        <v>0.70789599680999271</v>
      </c>
      <c r="Q5" s="54">
        <v>1.2694313650724439E-4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0.99900942669557624</v>
      </c>
      <c r="F6" s="14">
        <v>0.32527679375588869</v>
      </c>
      <c r="G6" s="14">
        <v>2.0636093677944822E-13</v>
      </c>
      <c r="H6" s="14">
        <v>191.79314489762928</v>
      </c>
      <c r="I6" s="14">
        <v>0.51497627538611146</v>
      </c>
      <c r="J6" s="14">
        <v>0</v>
      </c>
      <c r="K6" s="14">
        <v>3.0743047742608796</v>
      </c>
      <c r="L6" s="14">
        <v>0.32527679375588869</v>
      </c>
      <c r="M6" s="14">
        <v>0.26688960927670669</v>
      </c>
      <c r="N6" s="14">
        <v>0.58249007740037917</v>
      </c>
      <c r="O6" s="14">
        <v>134.1241652222113</v>
      </c>
      <c r="P6" s="8">
        <v>0.58249007740037917</v>
      </c>
      <c r="Q6" s="54">
        <v>4.7597837484941594E-4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0.9960375028041506</v>
      </c>
      <c r="F7" s="14">
        <v>0.10802330155994304</v>
      </c>
      <c r="G7" s="14">
        <v>1.8001328636955603E-9</v>
      </c>
      <c r="H7" s="14">
        <v>251.99820464154348</v>
      </c>
      <c r="I7" s="14">
        <v>4.7495686110587183</v>
      </c>
      <c r="J7" s="14">
        <v>0</v>
      </c>
      <c r="K7" s="14">
        <v>9.2572619569963024</v>
      </c>
      <c r="L7" s="14">
        <v>0.10802330155994304</v>
      </c>
      <c r="M7" s="14">
        <v>8.8633118929933266E-2</v>
      </c>
      <c r="N7" s="14">
        <v>0.48393537429115424</v>
      </c>
      <c r="O7" s="14">
        <v>99.826189008779309</v>
      </c>
      <c r="P7" s="8">
        <v>0.4839353742911543</v>
      </c>
      <c r="Q7" s="54">
        <v>2.5145146240802339E-3</v>
      </c>
    </row>
    <row r="8" spans="1:20">
      <c r="A8" s="2" t="s">
        <v>289</v>
      </c>
      <c r="B8" s="16" t="s">
        <v>290</v>
      </c>
      <c r="D8" s="14">
        <v>1</v>
      </c>
      <c r="E8" s="14">
        <v>0.99939695787459981</v>
      </c>
      <c r="F8" s="14">
        <v>0.23065260953103395</v>
      </c>
      <c r="G8" s="14">
        <v>1.2785979352877604E-19</v>
      </c>
      <c r="H8" s="14">
        <v>218.71490100315103</v>
      </c>
      <c r="I8" s="14">
        <v>0.30793891335592227</v>
      </c>
      <c r="J8" s="14">
        <v>0</v>
      </c>
      <c r="K8" s="14">
        <v>4.3355243282667111</v>
      </c>
      <c r="L8" s="14">
        <v>0.23065260953103395</v>
      </c>
      <c r="M8" s="14">
        <v>0.18925046612021337</v>
      </c>
      <c r="N8" s="14">
        <v>0.520851266055393</v>
      </c>
      <c r="O8" s="14">
        <v>181.47499811902003</v>
      </c>
      <c r="P8" s="8">
        <v>0.520851266055393</v>
      </c>
      <c r="Q8" s="54">
        <v>2.3478187839727225E-4</v>
      </c>
    </row>
    <row r="9" spans="1:20">
      <c r="A9" s="2" t="s">
        <v>291</v>
      </c>
      <c r="B9" s="16" t="s">
        <v>292</v>
      </c>
      <c r="D9" s="14">
        <v>1</v>
      </c>
      <c r="E9" s="14">
        <v>0.9987788873444402</v>
      </c>
      <c r="F9" s="14">
        <v>0.61614963114612153</v>
      </c>
      <c r="G9" s="14">
        <v>5.3588090238834551E-15</v>
      </c>
      <c r="H9" s="14">
        <v>109.39215875622833</v>
      </c>
      <c r="I9" s="14">
        <v>0.38390145385510416</v>
      </c>
      <c r="J9" s="14">
        <v>0</v>
      </c>
      <c r="K9" s="14">
        <v>1.6229823884498071</v>
      </c>
      <c r="L9" s="14">
        <v>0.61614963114612153</v>
      </c>
      <c r="M9" s="14">
        <v>0.5055507723553927</v>
      </c>
      <c r="N9" s="14">
        <v>0.74737008630309154</v>
      </c>
      <c r="O9" s="14">
        <v>230.4366187098322</v>
      </c>
      <c r="P9" s="8">
        <v>0.74737008630309154</v>
      </c>
      <c r="Q9" s="54">
        <v>5.7705838613257988E-4</v>
      </c>
    </row>
    <row r="10" spans="1:20">
      <c r="A10" s="2" t="s">
        <v>367</v>
      </c>
      <c r="B10" s="16" t="s">
        <v>368</v>
      </c>
      <c r="D10" s="14">
        <v>1</v>
      </c>
      <c r="E10" s="14">
        <v>0.88752074498110545</v>
      </c>
      <c r="F10" s="14">
        <v>1.0384117300617982E-2</v>
      </c>
      <c r="G10" s="14">
        <v>1.613459516818602E-7</v>
      </c>
      <c r="H10" s="14">
        <v>212.24114765225363</v>
      </c>
      <c r="I10" s="14">
        <v>343.23119795706071</v>
      </c>
      <c r="J10" s="14">
        <v>0</v>
      </c>
      <c r="K10" s="14">
        <v>96.300915239130418</v>
      </c>
      <c r="L10" s="14">
        <v>1.0384117300617982E-2</v>
      </c>
      <c r="M10" s="14">
        <v>8.5201682451570542E-3</v>
      </c>
      <c r="N10" s="14">
        <v>4.2584005811619035</v>
      </c>
      <c r="O10" s="14">
        <v>1185.2832177606042</v>
      </c>
      <c r="P10" s="8">
        <v>4.2584005811619035</v>
      </c>
      <c r="Q10" s="54">
        <v>7.4505229378969931E-2</v>
      </c>
    </row>
    <row r="11" spans="1:20">
      <c r="A11" s="2" t="s">
        <v>369</v>
      </c>
      <c r="B11" s="16" t="s">
        <v>370</v>
      </c>
      <c r="D11" s="14">
        <v>1</v>
      </c>
      <c r="E11" s="14">
        <v>0.96896790023290469</v>
      </c>
      <c r="F11" s="14">
        <v>6.1566762340152753E-4</v>
      </c>
      <c r="G11" s="14">
        <v>6.6334953294823098E-14</v>
      </c>
      <c r="H11" s="14">
        <v>159.03265726664009</v>
      </c>
      <c r="I11" s="14">
        <v>1075.8266615821574</v>
      </c>
      <c r="J11" s="14">
        <v>0</v>
      </c>
      <c r="K11" s="14">
        <v>1624.2530254799799</v>
      </c>
      <c r="L11" s="14">
        <v>6.1566762340152753E-4</v>
      </c>
      <c r="M11" s="14">
        <v>5.0515528500095336E-4</v>
      </c>
      <c r="N11" s="14">
        <v>27.052889881201189</v>
      </c>
      <c r="O11" s="14">
        <v>11007.820892660764</v>
      </c>
      <c r="P11" s="8">
        <v>27.052889881201189</v>
      </c>
      <c r="Q11" s="54">
        <v>1.1998924010552203E-2</v>
      </c>
    </row>
    <row r="12" spans="1:20">
      <c r="A12" s="2" t="s">
        <v>371</v>
      </c>
      <c r="B12" s="16" t="s">
        <v>372</v>
      </c>
      <c r="D12" s="14">
        <v>1</v>
      </c>
      <c r="E12" s="14">
        <v>0.92045529562231232</v>
      </c>
      <c r="F12" s="14">
        <v>0.92401879423585409</v>
      </c>
      <c r="G12" s="14">
        <v>8.3252370295759269E-4</v>
      </c>
      <c r="H12" s="14">
        <v>7.3534220550974328E-3</v>
      </c>
      <c r="I12" s="14">
        <v>3.3747299338735458E-2</v>
      </c>
      <c r="J12" s="14">
        <v>0</v>
      </c>
      <c r="K12" s="14">
        <v>1.0822290696229626</v>
      </c>
      <c r="L12" s="14">
        <v>0.92401879423585409</v>
      </c>
      <c r="M12" s="14">
        <v>0.75815742067051828</v>
      </c>
      <c r="N12" s="14">
        <v>0.86232525214189593</v>
      </c>
      <c r="O12" s="14">
        <v>120.88937709777238</v>
      </c>
      <c r="P12" s="8">
        <v>0.86232525214189593</v>
      </c>
      <c r="Q12" s="54">
        <v>2.8316464231194789E-3</v>
      </c>
    </row>
    <row r="13" spans="1:20">
      <c r="A13" s="2" t="s">
        <v>293</v>
      </c>
      <c r="B13" s="16" t="s">
        <v>294</v>
      </c>
      <c r="D13" s="14">
        <v>1</v>
      </c>
      <c r="E13" s="14">
        <v>0.70106058816645256</v>
      </c>
      <c r="F13" s="14">
        <v>0.52651684324741554</v>
      </c>
      <c r="G13" s="14">
        <v>1.9467077439301828E-10</v>
      </c>
      <c r="H13" s="14">
        <v>39.94590536583496</v>
      </c>
      <c r="I13" s="14">
        <v>94.870117741050052</v>
      </c>
      <c r="J13" s="14">
        <v>0</v>
      </c>
      <c r="K13" s="14">
        <v>1.8992744730297071</v>
      </c>
      <c r="L13" s="14">
        <v>0.52651684324741554</v>
      </c>
      <c r="M13" s="14">
        <v>0.43200706988450449</v>
      </c>
      <c r="N13" s="14">
        <v>1.6238240098619652</v>
      </c>
      <c r="O13" s="14">
        <v>536.44649989799882</v>
      </c>
      <c r="P13" s="8">
        <v>1.6238240098619654</v>
      </c>
      <c r="Q13" s="54">
        <v>0.20124701137013309</v>
      </c>
    </row>
    <row r="14" spans="1:20">
      <c r="A14" s="2" t="s">
        <v>373</v>
      </c>
      <c r="B14" s="16" t="s">
        <v>374</v>
      </c>
      <c r="D14" s="14">
        <v>1</v>
      </c>
      <c r="E14" s="14">
        <v>0.99885029817255122</v>
      </c>
      <c r="F14" s="14">
        <v>8.8391427350508582E-3</v>
      </c>
      <c r="G14" s="14">
        <v>9.5308823722972982E-10</v>
      </c>
      <c r="H14" s="14">
        <v>280.95071842193812</v>
      </c>
      <c r="I14" s="14">
        <v>4.0752796205043396</v>
      </c>
      <c r="J14" s="14">
        <v>0</v>
      </c>
      <c r="K14" s="14">
        <v>113.13314310839061</v>
      </c>
      <c r="L14" s="14">
        <v>8.8391427350508582E-3</v>
      </c>
      <c r="M14" s="14">
        <v>7.2525166141092301E-3</v>
      </c>
      <c r="N14" s="14">
        <v>0.75079938738753893</v>
      </c>
      <c r="O14" s="14">
        <v>199.96790883679711</v>
      </c>
      <c r="P14" s="8">
        <v>0.75079938738753893</v>
      </c>
      <c r="Q14" s="54">
        <v>5.2766393603908678E-4</v>
      </c>
    </row>
    <row r="15" spans="1:20">
      <c r="A15" s="2" t="s">
        <v>375</v>
      </c>
      <c r="B15" s="16" t="s">
        <v>376</v>
      </c>
      <c r="D15" s="14">
        <v>1</v>
      </c>
      <c r="E15" s="14">
        <v>0.78722541795432832</v>
      </c>
      <c r="F15" s="14">
        <v>0.76481303022802039</v>
      </c>
      <c r="G15" s="14">
        <v>9.45809705293812E-4</v>
      </c>
      <c r="H15" s="14">
        <v>5.5306385755154492</v>
      </c>
      <c r="I15" s="14">
        <v>15.618252840145395</v>
      </c>
      <c r="J15" s="14">
        <v>0</v>
      </c>
      <c r="K15" s="14">
        <v>1.3075091041556406</v>
      </c>
      <c r="L15" s="14">
        <v>0.7648130302280205</v>
      </c>
      <c r="M15" s="14">
        <v>0.62752909130209078</v>
      </c>
      <c r="N15" s="14">
        <v>0.89700823412128428</v>
      </c>
      <c r="O15" s="14">
        <v>134.01303017771988</v>
      </c>
      <c r="P15" s="8">
        <v>0.89700823412128428</v>
      </c>
      <c r="Q15" s="54">
        <v>8.5868217810793651E-2</v>
      </c>
    </row>
    <row r="16" spans="1:20">
      <c r="A16" s="2" t="s">
        <v>377</v>
      </c>
      <c r="B16" s="16" t="s">
        <v>378</v>
      </c>
      <c r="D16" s="14">
        <v>1</v>
      </c>
      <c r="E16" s="14">
        <v>0.68981971153448918</v>
      </c>
      <c r="F16" s="14">
        <v>0.49112780852219456</v>
      </c>
      <c r="G16" s="14">
        <v>7.4056471031638943E-6</v>
      </c>
      <c r="H16" s="14">
        <v>45.512901728819102</v>
      </c>
      <c r="I16" s="14">
        <v>106.51032162726433</v>
      </c>
      <c r="J16" s="14">
        <v>0</v>
      </c>
      <c r="K16" s="14">
        <v>2.0361298681274103</v>
      </c>
      <c r="L16" s="14">
        <v>0.49112780852219456</v>
      </c>
      <c r="M16" s="14">
        <v>0.40297036689246069</v>
      </c>
      <c r="N16" s="14">
        <v>1.7314266100892701</v>
      </c>
      <c r="O16" s="14">
        <v>384.79224982623941</v>
      </c>
      <c r="P16" s="8">
        <v>1.7314266100892701</v>
      </c>
      <c r="Q16" s="54">
        <v>0.20834913230141558</v>
      </c>
    </row>
    <row r="17" spans="1:21">
      <c r="A17" s="2" t="s">
        <v>379</v>
      </c>
      <c r="B17" s="16" t="s">
        <v>380</v>
      </c>
      <c r="D17" s="14">
        <v>1</v>
      </c>
      <c r="E17" s="14">
        <v>0.69545761623224012</v>
      </c>
      <c r="F17" s="14">
        <v>0.51240990709829182</v>
      </c>
      <c r="G17" s="14">
        <v>2.2268245757210359E-5</v>
      </c>
      <c r="H17" s="14">
        <v>41.904196532250097</v>
      </c>
      <c r="I17" s="14">
        <v>98.972533780820001</v>
      </c>
      <c r="J17" s="14">
        <v>0</v>
      </c>
      <c r="K17" s="14">
        <v>1.9515625793866187</v>
      </c>
      <c r="L17" s="14">
        <v>0.51240990709829182</v>
      </c>
      <c r="M17" s="14">
        <v>0.42043232877414849</v>
      </c>
      <c r="N17" s="14">
        <v>1.660215732223135</v>
      </c>
      <c r="O17" s="14">
        <v>213.43733453460624</v>
      </c>
      <c r="P17" s="8">
        <v>1.6602157322231352</v>
      </c>
      <c r="Q17" s="54">
        <v>0.20366419676005457</v>
      </c>
    </row>
    <row r="18" spans="1:21">
      <c r="A18" s="2" t="s">
        <v>381</v>
      </c>
      <c r="B18" s="16" t="s">
        <v>382</v>
      </c>
      <c r="D18" s="14">
        <v>1</v>
      </c>
      <c r="E18" s="14">
        <v>0.90658407662786389</v>
      </c>
      <c r="F18" s="14">
        <v>6.6119141251407844E-4</v>
      </c>
      <c r="G18" s="14">
        <v>4.7103772636989997E-10</v>
      </c>
      <c r="H18" s="14">
        <v>69.410824682524762</v>
      </c>
      <c r="I18" s="14">
        <v>1741.3432032656772</v>
      </c>
      <c r="J18" s="14">
        <v>0</v>
      </c>
      <c r="K18" s="14">
        <v>1512.4213368072251</v>
      </c>
      <c r="L18" s="14">
        <v>6.6119141251407844E-4</v>
      </c>
      <c r="M18" s="14">
        <v>5.4250755396780133E-4</v>
      </c>
      <c r="N18" s="14">
        <v>22.228199813879282</v>
      </c>
      <c r="O18" s="14">
        <v>8697.6723051728241</v>
      </c>
      <c r="P18" s="8">
        <v>22.228199813879282</v>
      </c>
      <c r="Q18" s="54">
        <v>5.5703742572209371E-2</v>
      </c>
    </row>
    <row r="19" spans="1:21">
      <c r="A19" s="2" t="s">
        <v>383</v>
      </c>
      <c r="B19" s="16" t="s">
        <v>384</v>
      </c>
      <c r="D19" s="14">
        <v>1</v>
      </c>
      <c r="E19" s="14">
        <v>0.91123382087394622</v>
      </c>
      <c r="F19" s="14">
        <v>0.90637556710615763</v>
      </c>
      <c r="G19" s="14">
        <v>1.3074848867683262E-4</v>
      </c>
      <c r="H19" s="14">
        <v>1.7856987304771059</v>
      </c>
      <c r="I19" s="14">
        <v>5.5496470139069718</v>
      </c>
      <c r="J19" s="14">
        <v>0</v>
      </c>
      <c r="K19" s="14">
        <v>1.1032954067735552</v>
      </c>
      <c r="L19" s="14">
        <v>0.90637556710615763</v>
      </c>
      <c r="M19" s="14">
        <v>0.74368115281060232</v>
      </c>
      <c r="N19" s="14">
        <v>0.91005235318407196</v>
      </c>
      <c r="O19" s="14">
        <v>84.75317565203261</v>
      </c>
      <c r="P19" s="8">
        <v>0.91005235318407196</v>
      </c>
      <c r="Q19" s="54">
        <v>5.1673200407153126E-2</v>
      </c>
    </row>
    <row r="20" spans="1:21">
      <c r="A20" s="2" t="s">
        <v>385</v>
      </c>
      <c r="B20" s="16" t="s">
        <v>386</v>
      </c>
      <c r="D20" s="14">
        <v>1</v>
      </c>
      <c r="E20" s="14">
        <v>0.87638543146878745</v>
      </c>
      <c r="F20" s="14">
        <v>0.86496299712066582</v>
      </c>
      <c r="G20" s="14">
        <v>2.4413273501718876E-4</v>
      </c>
      <c r="H20" s="14">
        <v>3.184179403687986</v>
      </c>
      <c r="I20" s="14">
        <v>9.4504981109502975</v>
      </c>
      <c r="J20" s="14">
        <v>0</v>
      </c>
      <c r="K20" s="14">
        <v>1.1561188204915729</v>
      </c>
      <c r="L20" s="14">
        <v>0.86496299712066582</v>
      </c>
      <c r="M20" s="14">
        <v>0.70970213913750635</v>
      </c>
      <c r="N20" s="14">
        <v>0.91738010682401816</v>
      </c>
      <c r="O20" s="14">
        <v>101.93927747028491</v>
      </c>
      <c r="P20" s="8">
        <v>0.91738010682401816</v>
      </c>
      <c r="Q20" s="54">
        <v>6.8305346635942274E-2</v>
      </c>
    </row>
    <row r="21" spans="1:21">
      <c r="A21" s="2" t="s">
        <v>387</v>
      </c>
      <c r="B21" s="16" t="s">
        <v>388</v>
      </c>
      <c r="D21" s="14">
        <v>1</v>
      </c>
      <c r="E21" s="14">
        <v>0.92886898035512211</v>
      </c>
      <c r="F21" s="14">
        <v>0.10649320072539971</v>
      </c>
      <c r="G21" s="14">
        <v>2.06951021417427E-5</v>
      </c>
      <c r="H21" s="14">
        <v>224.78218074483681</v>
      </c>
      <c r="I21" s="14">
        <v>83.992915765253869</v>
      </c>
      <c r="J21" s="14">
        <v>0</v>
      </c>
      <c r="K21" s="14">
        <v>9.390270864133111</v>
      </c>
      <c r="L21" s="14">
        <v>0.10649320072539972</v>
      </c>
      <c r="M21" s="14">
        <v>8.7377671195190465E-2</v>
      </c>
      <c r="N21" s="14">
        <v>1.3594438749964017</v>
      </c>
      <c r="O21" s="14">
        <v>268.4221931180395</v>
      </c>
      <c r="P21" s="8">
        <v>1.3594438749964017</v>
      </c>
      <c r="Q21" s="54">
        <v>4.6306574743526792E-2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0.90448094615711638</v>
      </c>
      <c r="F22" s="14">
        <v>0.90661372263982221</v>
      </c>
      <c r="G22" s="14">
        <v>7.28066042958456E-4</v>
      </c>
      <c r="H22" s="14">
        <v>0.28783412939910724</v>
      </c>
      <c r="I22" s="14">
        <v>1.0232917177773497</v>
      </c>
      <c r="J22" s="14">
        <v>0</v>
      </c>
      <c r="K22" s="14">
        <v>1.1030055855411733</v>
      </c>
      <c r="L22" s="14">
        <v>0.90661372263982221</v>
      </c>
      <c r="M22" s="14">
        <v>0.74387655942597408</v>
      </c>
      <c r="N22" s="14">
        <v>0.85732519494414816</v>
      </c>
      <c r="O22" s="14">
        <v>49.793447322356123</v>
      </c>
      <c r="P22" s="8">
        <v>0.85732519494414827</v>
      </c>
      <c r="Q22" s="54">
        <v>1.9961788925992562E-2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0.76570515983232179</v>
      </c>
      <c r="F23" s="14">
        <v>0.7251007584367567</v>
      </c>
      <c r="G23" s="14">
        <v>7.6574972070200245E-4</v>
      </c>
      <c r="H23" s="14">
        <v>9.5556087485504939</v>
      </c>
      <c r="I23" s="14">
        <v>25.817579924618109</v>
      </c>
      <c r="J23" s="14">
        <v>0</v>
      </c>
      <c r="K23" s="14">
        <v>1.37911867883837</v>
      </c>
      <c r="L23" s="14">
        <v>0.7251007584367567</v>
      </c>
      <c r="M23" s="14">
        <v>0.59494517229735888</v>
      </c>
      <c r="N23" s="14">
        <v>0.98111005586649391</v>
      </c>
      <c r="O23" s="14">
        <v>105.12594248609483</v>
      </c>
      <c r="P23" s="8">
        <v>0.98111005586649391</v>
      </c>
      <c r="Q23" s="54">
        <v>0.11130521942955827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0.66609306051738837</v>
      </c>
      <c r="F24" s="14">
        <v>0.38010496046566111</v>
      </c>
      <c r="G24" s="14">
        <v>2.1866134994875281E-5</v>
      </c>
      <c r="H24" s="14">
        <v>65.817826619793166</v>
      </c>
      <c r="I24" s="14">
        <v>147.09594750138504</v>
      </c>
      <c r="J24" s="14">
        <v>0</v>
      </c>
      <c r="K24" s="14">
        <v>2.6308522750529599</v>
      </c>
      <c r="L24" s="14">
        <v>0.38010496046566111</v>
      </c>
      <c r="M24" s="14">
        <v>0.31187612006207494</v>
      </c>
      <c r="N24" s="14">
        <v>2.12012096733344</v>
      </c>
      <c r="O24" s="14">
        <v>343.501999127364</v>
      </c>
      <c r="P24" s="8">
        <v>2.1201209673334405</v>
      </c>
      <c r="Q24" s="54">
        <v>0.22335758643987871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0.89897622615400175</v>
      </c>
      <c r="F25" s="14">
        <v>9.2049485261216598E-4</v>
      </c>
      <c r="G25" s="14">
        <v>2.1660568554946912E-6</v>
      </c>
      <c r="H25" s="14">
        <v>82.687786116521877</v>
      </c>
      <c r="I25" s="14">
        <v>1597.7121397004012</v>
      </c>
      <c r="J25" s="14">
        <v>0</v>
      </c>
      <c r="K25" s="14">
        <v>1086.3721803138992</v>
      </c>
      <c r="L25" s="14">
        <v>9.2049485261216598E-4</v>
      </c>
      <c r="M25" s="14">
        <v>7.5526602656828218E-4</v>
      </c>
      <c r="N25" s="14">
        <v>20.335142257442971</v>
      </c>
      <c r="O25" s="14">
        <v>4746.0188514646152</v>
      </c>
      <c r="P25" s="8">
        <v>20.335142257442971</v>
      </c>
      <c r="Q25" s="54">
        <v>6.1333611090428092E-2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0.60196777712566507</v>
      </c>
      <c r="F26" s="14">
        <v>0.13678573496120228</v>
      </c>
      <c r="G26" s="14">
        <v>1.4776422351377621E-3</v>
      </c>
      <c r="H26" s="14">
        <v>108.87816888167804</v>
      </c>
      <c r="I26" s="14">
        <v>217.46931126405147</v>
      </c>
      <c r="J26" s="14">
        <v>0</v>
      </c>
      <c r="K26" s="14">
        <v>7.3107038558051292</v>
      </c>
      <c r="L26" s="14">
        <v>0.13678573496120228</v>
      </c>
      <c r="M26" s="14">
        <v>0.11223269553566648</v>
      </c>
      <c r="N26" s="14">
        <v>2.7634493907975228</v>
      </c>
      <c r="O26" s="14">
        <v>354.19130841851847</v>
      </c>
      <c r="P26" s="8">
        <v>2.7634493907975228</v>
      </c>
      <c r="Q26" s="54">
        <v>0.1779909737695507</v>
      </c>
    </row>
    <row r="27" spans="1:21">
      <c r="A27" s="2" t="s">
        <v>397</v>
      </c>
      <c r="B27" s="16" t="s">
        <v>398</v>
      </c>
      <c r="D27" s="14">
        <v>1</v>
      </c>
      <c r="E27" s="14">
        <v>0.31884524543178072</v>
      </c>
      <c r="F27" s="14">
        <v>1.6178289096131067E-2</v>
      </c>
      <c r="G27" s="14">
        <v>6.7081239606115962E-3</v>
      </c>
      <c r="H27" s="14">
        <v>72.305709456198983</v>
      </c>
      <c r="I27" s="14">
        <v>127.18320428203043</v>
      </c>
      <c r="J27" s="14">
        <v>0</v>
      </c>
      <c r="K27" s="14">
        <v>61.811233193944069</v>
      </c>
      <c r="L27" s="14">
        <v>1.6178289096131067E-2</v>
      </c>
      <c r="M27" s="14">
        <v>1.327428620337554E-2</v>
      </c>
      <c r="N27" s="14">
        <v>1.5737899796944386</v>
      </c>
      <c r="O27" s="14">
        <v>285.56419181555583</v>
      </c>
      <c r="P27" s="8">
        <v>1.5737899796944386</v>
      </c>
      <c r="Q27" s="54">
        <v>5.174039769060975E-2</v>
      </c>
    </row>
    <row r="28" spans="1:21">
      <c r="A28" s="2" t="s">
        <v>399</v>
      </c>
      <c r="B28" s="16" t="s">
        <v>400</v>
      </c>
      <c r="D28" s="14">
        <v>1</v>
      </c>
      <c r="E28" s="14">
        <v>0.16633793184127979</v>
      </c>
      <c r="F28" s="14">
        <v>2.9239007277078368E-2</v>
      </c>
      <c r="G28" s="14">
        <v>8.5166953233811061E-3</v>
      </c>
      <c r="H28" s="14">
        <v>32.213849351504727</v>
      </c>
      <c r="I28" s="14">
        <v>62.820269346937252</v>
      </c>
      <c r="J28" s="14">
        <v>0</v>
      </c>
      <c r="K28" s="14">
        <v>34.200887551471013</v>
      </c>
      <c r="L28" s="14">
        <v>2.9239007277078368E-2</v>
      </c>
      <c r="M28" s="14">
        <v>2.39906054708428E-2</v>
      </c>
      <c r="N28" s="14">
        <v>0.79028046919625994</v>
      </c>
      <c r="O28" s="14">
        <v>116.17122897185021</v>
      </c>
      <c r="P28" s="8">
        <v>0.79028046919625994</v>
      </c>
      <c r="Q28" s="54">
        <v>4.5071269846547378E-2</v>
      </c>
    </row>
    <row r="29" spans="1:21">
      <c r="A29" s="2" t="s">
        <v>297</v>
      </c>
      <c r="B29" s="16" t="s">
        <v>298</v>
      </c>
      <c r="D29" s="14">
        <v>1</v>
      </c>
      <c r="E29" s="14">
        <v>6.0462703039287705E-2</v>
      </c>
      <c r="F29" s="14">
        <v>5.9395501703530224E-2</v>
      </c>
      <c r="G29" s="14">
        <v>1.0350993664787086E-2</v>
      </c>
      <c r="H29" s="14">
        <v>0.28077184452477949</v>
      </c>
      <c r="I29" s="14">
        <v>0.81810816269090691</v>
      </c>
      <c r="J29" s="14">
        <v>0</v>
      </c>
      <c r="K29" s="14">
        <v>16.836291828823192</v>
      </c>
      <c r="L29" s="14">
        <v>5.9395501703530224E-2</v>
      </c>
      <c r="M29" s="14">
        <v>4.8734009147746546E-2</v>
      </c>
      <c r="N29" s="14">
        <v>6.499152963917007E-2</v>
      </c>
      <c r="O29" s="14">
        <v>5.5197306122547145</v>
      </c>
      <c r="P29" s="8">
        <v>6.499152963917007E-2</v>
      </c>
      <c r="Q29" s="54">
        <v>5.3433143642372012E-3</v>
      </c>
    </row>
    <row r="30" spans="1:21">
      <c r="A30" s="2" t="s">
        <v>401</v>
      </c>
      <c r="B30" s="16" t="s">
        <v>402</v>
      </c>
      <c r="D30" s="14">
        <v>1</v>
      </c>
      <c r="E30" s="14">
        <v>6.4399607862947683E-2</v>
      </c>
      <c r="F30" s="14">
        <v>1.2028457733526147E-2</v>
      </c>
      <c r="G30" s="14">
        <v>1.0100396765921695E-2</v>
      </c>
      <c r="H30" s="14">
        <v>12.294473819457352</v>
      </c>
      <c r="I30" s="14">
        <v>24.108329428082023</v>
      </c>
      <c r="J30" s="14">
        <v>0</v>
      </c>
      <c r="K30" s="14">
        <v>83.136177733972019</v>
      </c>
      <c r="L30" s="14">
        <v>1.2028457733526147E-2</v>
      </c>
      <c r="M30" s="14">
        <v>9.8693495703582046E-3</v>
      </c>
      <c r="N30" s="14">
        <v>0.30389582741083659</v>
      </c>
      <c r="O30" s="14">
        <v>50.395045059539044</v>
      </c>
      <c r="P30" s="8">
        <v>0.30389582741083665</v>
      </c>
      <c r="Q30" s="54">
        <v>1.7830647617851223E-2</v>
      </c>
    </row>
    <row r="31" spans="1:21">
      <c r="A31" s="2" t="s">
        <v>299</v>
      </c>
      <c r="B31" s="16" t="s">
        <v>300</v>
      </c>
      <c r="D31" s="14">
        <v>1</v>
      </c>
      <c r="E31" s="14">
        <v>1.3154941599820612E-3</v>
      </c>
      <c r="F31" s="14">
        <v>4.4952806412851113E-4</v>
      </c>
      <c r="G31" s="14">
        <v>1.1089329748426907E-2</v>
      </c>
      <c r="H31" s="14">
        <v>0.20131531270330638</v>
      </c>
      <c r="I31" s="14">
        <v>0.4195019469564093</v>
      </c>
      <c r="J31" s="14">
        <v>0</v>
      </c>
      <c r="K31" s="14">
        <v>2224.5552164550063</v>
      </c>
      <c r="L31" s="14">
        <v>4.4952806412851113E-4</v>
      </c>
      <c r="M31" s="14">
        <v>3.6883777661744337E-4</v>
      </c>
      <c r="N31" s="14">
        <v>5.4852359254351814E-3</v>
      </c>
      <c r="O31" s="14">
        <v>0.45055727891524583</v>
      </c>
      <c r="P31" s="8">
        <v>5.4852359254351822E-3</v>
      </c>
      <c r="Q31" s="54">
        <v>4.3344498329521061E-4</v>
      </c>
    </row>
    <row r="32" spans="1:21">
      <c r="A32" s="2" t="s">
        <v>343</v>
      </c>
      <c r="B32" s="16" t="s">
        <v>344</v>
      </c>
      <c r="D32" s="14">
        <v>1</v>
      </c>
      <c r="E32" s="14">
        <v>0.71330018998482259</v>
      </c>
      <c r="F32" s="14">
        <v>0.56395073659315442</v>
      </c>
      <c r="G32" s="14">
        <v>2.1806685287964983E-5</v>
      </c>
      <c r="H32" s="14">
        <v>34.163406477270414</v>
      </c>
      <c r="I32" s="14">
        <v>82.493235772564958</v>
      </c>
      <c r="J32" s="14">
        <v>0</v>
      </c>
      <c r="K32" s="14">
        <v>1.773204528539202</v>
      </c>
      <c r="L32" s="14">
        <v>0.56395073659315442</v>
      </c>
      <c r="M32" s="14">
        <v>0.46272157937468322</v>
      </c>
      <c r="N32" s="14">
        <v>1.5095432451879933</v>
      </c>
      <c r="O32" s="14">
        <v>247.86700085986851</v>
      </c>
      <c r="P32" s="8">
        <v>1.5095432451879935</v>
      </c>
      <c r="Q32" s="54">
        <v>0.19169833420065499</v>
      </c>
    </row>
    <row r="33" spans="1:17">
      <c r="A33" s="2" t="s">
        <v>345</v>
      </c>
      <c r="B33" s="16" t="s">
        <v>346</v>
      </c>
      <c r="D33" s="14">
        <v>1</v>
      </c>
      <c r="E33" s="14">
        <v>0.78340957210346585</v>
      </c>
      <c r="F33" s="14">
        <v>0.7128384912697403</v>
      </c>
      <c r="G33" s="14">
        <v>9.2896559539842148E-7</v>
      </c>
      <c r="H33" s="14">
        <v>16.284376780816306</v>
      </c>
      <c r="I33" s="14">
        <v>42.250155638072115</v>
      </c>
      <c r="J33" s="14">
        <v>0</v>
      </c>
      <c r="K33" s="14">
        <v>1.4028423159624201</v>
      </c>
      <c r="L33" s="14">
        <v>0.71283849126974042</v>
      </c>
      <c r="M33" s="14">
        <v>0.58488398208682202</v>
      </c>
      <c r="N33" s="14">
        <v>1.1654602924785125</v>
      </c>
      <c r="O33" s="14">
        <v>176.17097781105196</v>
      </c>
      <c r="P33" s="8">
        <v>1.1654602924785125</v>
      </c>
      <c r="Q33" s="54">
        <v>0.14575662817850288</v>
      </c>
    </row>
    <row r="34" spans="1:17">
      <c r="A34" s="2" t="s">
        <v>347</v>
      </c>
      <c r="B34" s="16" t="s">
        <v>348</v>
      </c>
      <c r="D34" s="14">
        <v>1</v>
      </c>
      <c r="E34" s="14">
        <v>0.68696375859415182</v>
      </c>
      <c r="F34" s="14">
        <v>0.17470073182579302</v>
      </c>
      <c r="G34" s="14">
        <v>8.043836082373882E-7</v>
      </c>
      <c r="H34" s="14">
        <v>119.68362211887849</v>
      </c>
      <c r="I34" s="14">
        <v>241.70848431117486</v>
      </c>
      <c r="J34" s="14">
        <v>0</v>
      </c>
      <c r="K34" s="14">
        <v>5.7240744760999274</v>
      </c>
      <c r="L34" s="14">
        <v>0.17470073182579302</v>
      </c>
      <c r="M34" s="14">
        <v>0.14334195046306317</v>
      </c>
      <c r="N34" s="14">
        <v>3.0897951857591597</v>
      </c>
      <c r="O34" s="14">
        <v>544.57640149005181</v>
      </c>
      <c r="P34" s="8">
        <v>3.0897951857591597</v>
      </c>
      <c r="Q34" s="54">
        <v>0.21022864688705734</v>
      </c>
    </row>
    <row r="35" spans="1:17">
      <c r="A35" s="2" t="s">
        <v>349</v>
      </c>
      <c r="B35" s="16" t="s">
        <v>350</v>
      </c>
      <c r="D35" s="14">
        <v>1</v>
      </c>
      <c r="E35" s="14">
        <v>0.83886522716250833</v>
      </c>
      <c r="F35" s="14">
        <v>2.0827501601252577E-2</v>
      </c>
      <c r="G35" s="14">
        <v>1.4726707609005261E-4</v>
      </c>
      <c r="H35" s="14">
        <v>197.09571228510816</v>
      </c>
      <c r="I35" s="14">
        <v>328.0456983936146</v>
      </c>
      <c r="J35" s="14">
        <v>0</v>
      </c>
      <c r="K35" s="14">
        <v>48.013440072901467</v>
      </c>
      <c r="L35" s="14">
        <v>2.0827501601252577E-2</v>
      </c>
      <c r="M35" s="14">
        <v>1.7088965063827739E-2</v>
      </c>
      <c r="N35" s="14">
        <v>4.0592642876942584</v>
      </c>
      <c r="O35" s="14">
        <v>780.59652252360604</v>
      </c>
      <c r="P35" s="8">
        <v>4.0592642876942593</v>
      </c>
      <c r="Q35" s="54">
        <v>9.8476895129681274E-2</v>
      </c>
    </row>
    <row r="36" spans="1:17">
      <c r="A36" s="2" t="s">
        <v>351</v>
      </c>
      <c r="B36" s="16" t="s">
        <v>352</v>
      </c>
      <c r="D36" s="14">
        <v>1</v>
      </c>
      <c r="E36" s="14">
        <v>0.87693199232250396</v>
      </c>
      <c r="F36" s="14">
        <v>4.6462720711229416E-3</v>
      </c>
      <c r="G36" s="14">
        <v>4.004175691715192E-6</v>
      </c>
      <c r="H36" s="14">
        <v>169.62295982451158</v>
      </c>
      <c r="I36" s="14">
        <v>725.00634587331979</v>
      </c>
      <c r="J36" s="14">
        <v>0</v>
      </c>
      <c r="K36" s="14">
        <v>215.22631147992877</v>
      </c>
      <c r="L36" s="14">
        <v>4.6462720711229416E-3</v>
      </c>
      <c r="M36" s="14">
        <v>3.8122662343563741E-3</v>
      </c>
      <c r="N36" s="14">
        <v>9.0767105822400698</v>
      </c>
      <c r="O36" s="14">
        <v>2018.3881321727245</v>
      </c>
      <c r="P36" s="8">
        <v>9.0767105822400698</v>
      </c>
      <c r="Q36" s="54">
        <v>7.9825529483962238E-2</v>
      </c>
    </row>
    <row r="37" spans="1:17">
      <c r="A37" s="2" t="s">
        <v>353</v>
      </c>
      <c r="B37" s="16" t="s">
        <v>354</v>
      </c>
      <c r="D37" s="14">
        <v>1</v>
      </c>
      <c r="E37" s="14">
        <v>0.90222281559417339</v>
      </c>
      <c r="F37" s="14">
        <v>7.2407270912413656E-4</v>
      </c>
      <c r="G37" s="14">
        <v>2.768284152703806E-5</v>
      </c>
      <c r="H37" s="14">
        <v>72.791753088190092</v>
      </c>
      <c r="I37" s="14">
        <v>1698.3975303805541</v>
      </c>
      <c r="J37" s="14">
        <v>0</v>
      </c>
      <c r="K37" s="14">
        <v>1381.0767722617727</v>
      </c>
      <c r="L37" s="14">
        <v>7.2407270912413656E-4</v>
      </c>
      <c r="M37" s="14">
        <v>5.9410165783635406E-4</v>
      </c>
      <c r="N37" s="14">
        <v>21.662358318921882</v>
      </c>
      <c r="O37" s="14">
        <v>5120.7648830099433</v>
      </c>
      <c r="P37" s="8">
        <v>21.662358318921882</v>
      </c>
      <c r="Q37" s="54">
        <v>5.7153041837181937E-2</v>
      </c>
    </row>
    <row r="38" spans="1:17">
      <c r="A38" s="2" t="s">
        <v>355</v>
      </c>
      <c r="B38" s="16" t="s">
        <v>356</v>
      </c>
      <c r="D38" s="14">
        <v>1</v>
      </c>
      <c r="E38" s="14">
        <v>0.88027606708418171</v>
      </c>
      <c r="F38" s="14">
        <v>2.5690819566216989E-3</v>
      </c>
      <c r="G38" s="14">
        <v>1.5055890470372686E-6</v>
      </c>
      <c r="H38" s="14">
        <v>134.92050528342264</v>
      </c>
      <c r="I38" s="14">
        <v>1060.5597227564881</v>
      </c>
      <c r="J38" s="14">
        <v>0</v>
      </c>
      <c r="K38" s="14">
        <v>389.24410232322202</v>
      </c>
      <c r="L38" s="14">
        <v>2.5690819566216989E-3</v>
      </c>
      <c r="M38" s="14">
        <v>2.1079317454081041E-3</v>
      </c>
      <c r="N38" s="14">
        <v>13.364563321739915</v>
      </c>
      <c r="O38" s="14">
        <v>3453.4031623375936</v>
      </c>
      <c r="P38" s="8">
        <v>13.364563321739915</v>
      </c>
      <c r="Q38" s="54">
        <v>7.6301860864904342E-2</v>
      </c>
    </row>
    <row r="39" spans="1:17">
      <c r="A39" s="2" t="s">
        <v>357</v>
      </c>
      <c r="B39" s="16" t="s">
        <v>358</v>
      </c>
      <c r="D39" s="14">
        <v>1</v>
      </c>
      <c r="E39" s="14">
        <v>0.85336307876262762</v>
      </c>
      <c r="F39" s="14">
        <v>3.84740454411552E-3</v>
      </c>
      <c r="G39" s="14">
        <v>3.0289795503564312E-4</v>
      </c>
      <c r="H39" s="14">
        <v>155.83602202755321</v>
      </c>
      <c r="I39" s="14">
        <v>792.72950799643081</v>
      </c>
      <c r="J39" s="14">
        <v>0</v>
      </c>
      <c r="K39" s="14">
        <v>259.91548030203046</v>
      </c>
      <c r="L39" s="14">
        <v>3.8474045441155204E-3</v>
      </c>
      <c r="M39" s="14">
        <v>3.1567954284467846E-3</v>
      </c>
      <c r="N39" s="14">
        <v>9.9427527917723282</v>
      </c>
      <c r="O39" s="14">
        <v>2350.3673324470606</v>
      </c>
      <c r="P39" s="8">
        <v>9.9427527917723282</v>
      </c>
      <c r="Q39" s="54">
        <v>7.7290305580932375E-2</v>
      </c>
    </row>
    <row r="40" spans="1:17">
      <c r="A40" s="2" t="s">
        <v>359</v>
      </c>
      <c r="B40" s="16" t="s">
        <v>360</v>
      </c>
      <c r="D40" s="14">
        <v>1</v>
      </c>
      <c r="E40" s="14">
        <v>0.88027606708418171</v>
      </c>
      <c r="F40" s="14">
        <v>2.5690819566216989E-3</v>
      </c>
      <c r="G40" s="14">
        <v>1.5055890470372686E-6</v>
      </c>
      <c r="H40" s="14">
        <v>134.92050528342264</v>
      </c>
      <c r="I40" s="14">
        <v>1060.5597227564881</v>
      </c>
      <c r="J40" s="14">
        <v>0</v>
      </c>
      <c r="K40" s="14">
        <v>389.24410232322202</v>
      </c>
      <c r="L40" s="14">
        <v>2.5690819566216989E-3</v>
      </c>
      <c r="M40" s="14">
        <v>2.1079317454081041E-3</v>
      </c>
      <c r="N40" s="14">
        <v>13.364563321739915</v>
      </c>
      <c r="O40" s="14">
        <v>3453.4031623375936</v>
      </c>
      <c r="P40" s="8">
        <v>13.364563321739915</v>
      </c>
      <c r="Q40" s="54">
        <v>7.6301860864904342E-2</v>
      </c>
    </row>
    <row r="41" spans="1:17">
      <c r="A41" s="2" t="s">
        <v>313</v>
      </c>
      <c r="B41" s="16" t="s">
        <v>314</v>
      </c>
      <c r="D41" s="14">
        <v>1</v>
      </c>
      <c r="E41" s="14">
        <v>0.99937042790390296</v>
      </c>
      <c r="F41" s="14">
        <v>0.95756911392822042</v>
      </c>
      <c r="G41" s="14">
        <v>6.2330557157985325E-10</v>
      </c>
      <c r="H41" s="14">
        <v>12.938684695063666</v>
      </c>
      <c r="I41" s="14">
        <v>2.8508363969246317E-2</v>
      </c>
      <c r="J41" s="14">
        <v>0</v>
      </c>
      <c r="K41" s="14">
        <v>1.0443110428841171</v>
      </c>
      <c r="L41" s="14">
        <v>0.95756911392822053</v>
      </c>
      <c r="M41" s="14">
        <v>0.78568545797810496</v>
      </c>
      <c r="N41" s="14">
        <v>0.91687510341381795</v>
      </c>
      <c r="O41" s="14">
        <v>168.80587528951801</v>
      </c>
      <c r="P41" s="8">
        <v>0.91687510341381795</v>
      </c>
      <c r="Q41" s="54">
        <v>1.2166685859787582E-4</v>
      </c>
    </row>
    <row r="42" spans="1:17">
      <c r="A42" s="2" t="s">
        <v>315</v>
      </c>
      <c r="B42" s="16" t="s">
        <v>316</v>
      </c>
      <c r="D42" s="14">
        <v>1</v>
      </c>
      <c r="E42" s="14">
        <v>0.90332468177281267</v>
      </c>
      <c r="F42" s="14">
        <v>6.5881426521609309E-4</v>
      </c>
      <c r="G42" s="14">
        <v>3.9947672613193788E-5</v>
      </c>
      <c r="H42" s="14">
        <v>69.161275533485437</v>
      </c>
      <c r="I42" s="14">
        <v>1735.0826420845078</v>
      </c>
      <c r="J42" s="14">
        <v>0</v>
      </c>
      <c r="K42" s="14">
        <v>1517.8784868478781</v>
      </c>
      <c r="L42" s="14">
        <v>6.5881426521609309E-4</v>
      </c>
      <c r="M42" s="14">
        <v>5.4055710460980443E-4</v>
      </c>
      <c r="N42" s="14">
        <v>22.148283916415146</v>
      </c>
      <c r="O42" s="14">
        <v>8082.1302839390519</v>
      </c>
      <c r="P42" s="8">
        <v>22.148283916415149</v>
      </c>
      <c r="Q42" s="54">
        <v>5.5503473786745715E-2</v>
      </c>
    </row>
    <row r="43" spans="1:17">
      <c r="A43" s="2" t="s">
        <v>317</v>
      </c>
      <c r="B43" s="16" t="s">
        <v>318</v>
      </c>
      <c r="D43" s="14">
        <v>1</v>
      </c>
      <c r="E43" s="14">
        <v>0.66478316380349622</v>
      </c>
      <c r="F43" s="14">
        <v>0.35494094368957768</v>
      </c>
      <c r="G43" s="14">
        <v>4.9021273266861579E-14</v>
      </c>
      <c r="H43" s="14">
        <v>71.409517663546396</v>
      </c>
      <c r="I43" s="14">
        <v>157.83861826678006</v>
      </c>
      <c r="J43" s="14">
        <v>0</v>
      </c>
      <c r="K43" s="14">
        <v>2.8173700943179285</v>
      </c>
      <c r="L43" s="14">
        <v>0.35494094368957768</v>
      </c>
      <c r="M43" s="14">
        <v>0.29122904429729851</v>
      </c>
      <c r="N43" s="14">
        <v>2.2274115450328584</v>
      </c>
      <c r="O43" s="14">
        <v>706.80223146982667</v>
      </c>
      <c r="P43" s="8">
        <v>2.2274115450328584</v>
      </c>
      <c r="Q43" s="54">
        <v>0.2255346480611424</v>
      </c>
    </row>
    <row r="44" spans="1:17">
      <c r="A44" s="2" t="s">
        <v>307</v>
      </c>
      <c r="B44" s="16" t="s">
        <v>308</v>
      </c>
      <c r="D44" s="14">
        <v>1</v>
      </c>
      <c r="E44" s="14">
        <v>0.88013175183505066</v>
      </c>
      <c r="F44" s="14">
        <v>6.9511351305638737E-3</v>
      </c>
      <c r="G44" s="14">
        <v>1.3351935293717213E-6</v>
      </c>
      <c r="H44" s="14">
        <v>192.36042649574239</v>
      </c>
      <c r="I44" s="14">
        <v>516.85997480805202</v>
      </c>
      <c r="J44" s="14">
        <v>0</v>
      </c>
      <c r="K44" s="14">
        <v>143.86139547237954</v>
      </c>
      <c r="L44" s="14">
        <v>6.9511351305638737E-3</v>
      </c>
      <c r="M44" s="14">
        <v>5.7034063746276582E-3</v>
      </c>
      <c r="N44" s="14">
        <v>6.4407745280669682</v>
      </c>
      <c r="O44" s="14">
        <v>2258.0711417949983</v>
      </c>
      <c r="P44" s="8">
        <v>6.4407745280669682</v>
      </c>
      <c r="Q44" s="54">
        <v>7.8699668329273331E-2</v>
      </c>
    </row>
    <row r="45" spans="1:17">
      <c r="A45" s="2" t="s">
        <v>319</v>
      </c>
      <c r="B45" s="16" t="s">
        <v>320</v>
      </c>
      <c r="D45" s="14">
        <v>1</v>
      </c>
      <c r="E45" s="14">
        <v>0.92408699091489421</v>
      </c>
      <c r="F45" s="14">
        <v>2.9667878309469606E-4</v>
      </c>
      <c r="G45" s="14">
        <v>1.3106145247123205E-7</v>
      </c>
      <c r="H45" s="14">
        <v>44.416720461614105</v>
      </c>
      <c r="I45" s="14">
        <v>2019.778103769012</v>
      </c>
      <c r="J45" s="14">
        <v>0</v>
      </c>
      <c r="K45" s="14">
        <v>3370.6488531767122</v>
      </c>
      <c r="L45" s="14">
        <v>2.9667878309469611E-4</v>
      </c>
      <c r="M45" s="14">
        <v>2.4342494152919815E-4</v>
      </c>
      <c r="N45" s="14">
        <v>25.955643546451359</v>
      </c>
      <c r="O45" s="14">
        <v>9201.0160807815428</v>
      </c>
      <c r="P45" s="8">
        <v>25.955643546451359</v>
      </c>
      <c r="Q45" s="54">
        <v>4.2648490046220108E-2</v>
      </c>
    </row>
    <row r="46" spans="1:17">
      <c r="A46" s="2" t="s">
        <v>321</v>
      </c>
      <c r="B46" s="16" t="s">
        <v>322</v>
      </c>
      <c r="D46" s="14">
        <v>1</v>
      </c>
      <c r="E46" s="14">
        <v>0.90912616281304082</v>
      </c>
      <c r="F46" s="14">
        <v>5.9032109249760722E-4</v>
      </c>
      <c r="G46" s="14">
        <v>1.9238747234800312E-7</v>
      </c>
      <c r="H46" s="14">
        <v>65.275213515943207</v>
      </c>
      <c r="I46" s="14">
        <v>1786.5100836678832</v>
      </c>
      <c r="J46" s="14">
        <v>0</v>
      </c>
      <c r="K46" s="14">
        <v>1693.9933414357092</v>
      </c>
      <c r="L46" s="14">
        <v>5.9032109249760722E-4</v>
      </c>
      <c r="M46" s="14">
        <v>4.8435845639428673E-4</v>
      </c>
      <c r="N46" s="14">
        <v>22.827060916950582</v>
      </c>
      <c r="O46" s="14">
        <v>8091.9648244498121</v>
      </c>
      <c r="P46" s="8">
        <v>22.827060916950582</v>
      </c>
      <c r="Q46" s="54">
        <v>5.3778102163971039E-2</v>
      </c>
    </row>
    <row r="47" spans="1:17">
      <c r="A47" s="2" t="s">
        <v>323</v>
      </c>
      <c r="B47" s="16" t="s">
        <v>324</v>
      </c>
      <c r="D47" s="14">
        <v>1</v>
      </c>
      <c r="E47" s="14">
        <v>0.89150434194927319</v>
      </c>
      <c r="F47" s="14">
        <v>1.3075468122309428E-3</v>
      </c>
      <c r="G47" s="14">
        <v>1.8067819112252459E-6</v>
      </c>
      <c r="H47" s="14">
        <v>98.781870656092352</v>
      </c>
      <c r="I47" s="14">
        <v>1428.0204177924732</v>
      </c>
      <c r="J47" s="14">
        <v>0</v>
      </c>
      <c r="K47" s="14">
        <v>764.79097394134203</v>
      </c>
      <c r="L47" s="14">
        <v>1.307546812230943E-3</v>
      </c>
      <c r="M47" s="14">
        <v>1.0728421594354887E-3</v>
      </c>
      <c r="N47" s="14">
        <v>18.116584729848181</v>
      </c>
      <c r="O47" s="14">
        <v>5798.031776940612</v>
      </c>
      <c r="P47" s="8">
        <v>18.116584729848181</v>
      </c>
      <c r="Q47" s="54">
        <v>6.7132746783736458E-2</v>
      </c>
    </row>
    <row r="48" spans="1:17">
      <c r="A48" s="2" t="s">
        <v>325</v>
      </c>
      <c r="B48" s="16" t="s">
        <v>326</v>
      </c>
      <c r="D48" s="14">
        <v>1</v>
      </c>
      <c r="E48" s="14">
        <v>0.77458234266972847</v>
      </c>
      <c r="F48" s="14">
        <v>5.9627387458112802E-2</v>
      </c>
      <c r="G48" s="14">
        <v>1.1272864039618012E-6</v>
      </c>
      <c r="H48" s="14">
        <v>169.9048520471768</v>
      </c>
      <c r="I48" s="14">
        <v>308.93203993709363</v>
      </c>
      <c r="J48" s="14">
        <v>0</v>
      </c>
      <c r="K48" s="14">
        <v>16.770816945526626</v>
      </c>
      <c r="L48" s="14">
        <v>5.9627387458112809E-2</v>
      </c>
      <c r="M48" s="14">
        <v>4.8924271409381555E-2</v>
      </c>
      <c r="N48" s="14">
        <v>3.8308132601211216</v>
      </c>
      <c r="O48" s="14">
        <v>1165.9080157178635</v>
      </c>
      <c r="P48" s="8">
        <v>3.8308132601211216</v>
      </c>
      <c r="Q48" s="54">
        <v>0.15082139456310753</v>
      </c>
    </row>
    <row r="49" spans="1:17">
      <c r="A49" s="2" t="s">
        <v>275</v>
      </c>
      <c r="B49" s="16" t="s">
        <v>276</v>
      </c>
      <c r="D49" s="14">
        <v>1</v>
      </c>
      <c r="E49" s="14">
        <v>0.87936652890578015</v>
      </c>
      <c r="F49" s="14">
        <v>6.4649097664939668E-3</v>
      </c>
      <c r="G49" s="14">
        <v>1.7155799236081735E-8</v>
      </c>
      <c r="H49" s="14">
        <v>188.44406657216942</v>
      </c>
      <c r="I49" s="14">
        <v>552.3821529368397</v>
      </c>
      <c r="J49" s="14">
        <v>0</v>
      </c>
      <c r="K49" s="14">
        <v>154.68119991136663</v>
      </c>
      <c r="L49" s="14">
        <v>6.4649097664939677E-3</v>
      </c>
      <c r="M49" s="14">
        <v>5.3044584634083002E-3</v>
      </c>
      <c r="N49" s="14">
        <v>6.8892113949051019</v>
      </c>
      <c r="O49" s="14">
        <v>2552.3839296983911</v>
      </c>
      <c r="P49" s="8">
        <v>6.8892113949051019</v>
      </c>
      <c r="Q49" s="54">
        <v>7.9147944104930035E-2</v>
      </c>
    </row>
    <row r="50" spans="1:17">
      <c r="A50" s="2" t="s">
        <v>327</v>
      </c>
      <c r="B50" s="16" t="s">
        <v>328</v>
      </c>
      <c r="D50" s="14">
        <v>1</v>
      </c>
      <c r="E50" s="14">
        <v>0.87814988483020495</v>
      </c>
      <c r="F50" s="14">
        <v>5.7111848445518237E-3</v>
      </c>
      <c r="G50" s="14">
        <v>8.9366490711799559E-7</v>
      </c>
      <c r="H50" s="14">
        <v>181.52908412198954</v>
      </c>
      <c r="I50" s="14">
        <v>615.18167077327155</v>
      </c>
      <c r="J50" s="14">
        <v>0</v>
      </c>
      <c r="K50" s="14">
        <v>175.09501569607724</v>
      </c>
      <c r="L50" s="14">
        <v>5.7111848445518237E-3</v>
      </c>
      <c r="M50" s="14">
        <v>4.6860271649547718E-3</v>
      </c>
      <c r="N50" s="14">
        <v>7.6834720142883279</v>
      </c>
      <c r="O50" s="14">
        <v>2926.7113249625672</v>
      </c>
      <c r="P50" s="8">
        <v>7.6834720142883279</v>
      </c>
      <c r="Q50" s="54">
        <v>7.9653229227778469E-2</v>
      </c>
    </row>
    <row r="51" spans="1:17">
      <c r="A51" s="2" t="s">
        <v>329</v>
      </c>
      <c r="B51" s="16" t="s">
        <v>330</v>
      </c>
      <c r="D51" s="14">
        <v>1</v>
      </c>
      <c r="E51" s="14">
        <v>0.80942094710865653</v>
      </c>
      <c r="F51" s="14">
        <v>3.8273720275413328E-2</v>
      </c>
      <c r="G51" s="14">
        <v>5.8986029838750353E-7</v>
      </c>
      <c r="H51" s="14">
        <v>184.38291577399389</v>
      </c>
      <c r="I51" s="14">
        <v>322.53574275038113</v>
      </c>
      <c r="J51" s="14">
        <v>0</v>
      </c>
      <c r="K51" s="14">
        <v>26.127588141526715</v>
      </c>
      <c r="L51" s="14">
        <v>3.8273720275413335E-2</v>
      </c>
      <c r="M51" s="14">
        <v>3.1403587485976638E-2</v>
      </c>
      <c r="N51" s="14">
        <v>3.9904589044436194</v>
      </c>
      <c r="O51" s="14">
        <v>1094.9819233793291</v>
      </c>
      <c r="P51" s="8">
        <v>3.9904589044436194</v>
      </c>
      <c r="Q51" s="54">
        <v>0.12728518240588516</v>
      </c>
    </row>
    <row r="52" spans="1:17">
      <c r="A52" s="2" t="s">
        <v>277</v>
      </c>
      <c r="B52" s="16" t="s">
        <v>278</v>
      </c>
      <c r="D52" s="14">
        <v>1</v>
      </c>
      <c r="E52" s="14">
        <v>0.77791895527001986</v>
      </c>
      <c r="F52" s="14">
        <v>5.7208839630735052E-2</v>
      </c>
      <c r="G52" s="14">
        <v>1.754573746336207E-6</v>
      </c>
      <c r="H52" s="14">
        <v>171.37329185768039</v>
      </c>
      <c r="I52" s="14">
        <v>310.45618028325958</v>
      </c>
      <c r="J52" s="14">
        <v>0</v>
      </c>
      <c r="K52" s="14">
        <v>17.479816169226353</v>
      </c>
      <c r="L52" s="14">
        <v>5.7208839630735052E-2</v>
      </c>
      <c r="M52" s="14">
        <v>4.6939852917018111E-2</v>
      </c>
      <c r="N52" s="14">
        <v>3.8484014100753354</v>
      </c>
      <c r="O52" s="14">
        <v>1566.0299858019562</v>
      </c>
      <c r="P52" s="8">
        <v>3.8484014100753354</v>
      </c>
      <c r="Q52" s="54">
        <v>0.14852525607126435</v>
      </c>
    </row>
    <row r="53" spans="1:17">
      <c r="A53" s="2" t="s">
        <v>331</v>
      </c>
      <c r="B53" s="16" t="s">
        <v>332</v>
      </c>
      <c r="D53" s="14">
        <v>1</v>
      </c>
      <c r="E53" s="14">
        <v>0.87734572064692429</v>
      </c>
      <c r="F53" s="14">
        <v>3.7949667888761427E-3</v>
      </c>
      <c r="G53" s="14">
        <v>5.9637093217104563E-7</v>
      </c>
      <c r="H53" s="14">
        <v>157.75676051173841</v>
      </c>
      <c r="I53" s="14">
        <v>838.19516308441473</v>
      </c>
      <c r="J53" s="14">
        <v>0</v>
      </c>
      <c r="K53" s="14">
        <v>263.50691735464284</v>
      </c>
      <c r="L53" s="14">
        <v>3.7949667888761427E-3</v>
      </c>
      <c r="M53" s="14">
        <v>3.113770250272875E-3</v>
      </c>
      <c r="N53" s="14">
        <v>10.517866947366379</v>
      </c>
      <c r="O53" s="14">
        <v>4006.3606989213276</v>
      </c>
      <c r="P53" s="8">
        <v>10.517866947366379</v>
      </c>
      <c r="Q53" s="54">
        <v>7.9276624536355284E-2</v>
      </c>
    </row>
    <row r="54" spans="1:17">
      <c r="A54" s="2" t="s">
        <v>333</v>
      </c>
      <c r="B54" s="16" t="s">
        <v>334</v>
      </c>
      <c r="D54" s="14">
        <v>1</v>
      </c>
      <c r="E54" s="14">
        <v>0.87874521717432352</v>
      </c>
      <c r="F54" s="14">
        <v>6.0793705852832634E-3</v>
      </c>
      <c r="G54" s="14">
        <v>9.7276313911019643E-10</v>
      </c>
      <c r="H54" s="14">
        <v>185.04553817981875</v>
      </c>
      <c r="I54" s="14">
        <v>583.22453914593609</v>
      </c>
      <c r="J54" s="14">
        <v>0</v>
      </c>
      <c r="K54" s="14">
        <v>164.49071264396457</v>
      </c>
      <c r="L54" s="14">
        <v>6.0793705852832634E-3</v>
      </c>
      <c r="M54" s="14">
        <v>4.9881235652249178E-3</v>
      </c>
      <c r="N54" s="14">
        <v>7.2790621383882943</v>
      </c>
      <c r="O54" s="14">
        <v>2798.6538109675316</v>
      </c>
      <c r="P54" s="8">
        <v>7.2790621383882943</v>
      </c>
      <c r="Q54" s="54">
        <v>7.943936950969907E-2</v>
      </c>
    </row>
    <row r="55" spans="1:17">
      <c r="A55" s="2" t="s">
        <v>335</v>
      </c>
      <c r="B55" s="16" t="s">
        <v>336</v>
      </c>
      <c r="D55" s="14">
        <v>1</v>
      </c>
      <c r="E55" s="14">
        <v>0.8905839542035856</v>
      </c>
      <c r="F55" s="14">
        <v>1.3525184903159773E-3</v>
      </c>
      <c r="G55" s="14">
        <v>4.6932284941840726E-6</v>
      </c>
      <c r="H55" s="14">
        <v>100.42531694952856</v>
      </c>
      <c r="I55" s="14">
        <v>1410.2638768845552</v>
      </c>
      <c r="J55" s="14">
        <v>0</v>
      </c>
      <c r="K55" s="14">
        <v>739.36142622817567</v>
      </c>
      <c r="L55" s="14">
        <v>1.3525184903159773E-3</v>
      </c>
      <c r="M55" s="14">
        <v>1.1097414213042595E-3</v>
      </c>
      <c r="N55" s="14">
        <v>17.885538826910107</v>
      </c>
      <c r="O55" s="14">
        <v>6677.0293548620812</v>
      </c>
      <c r="P55" s="8">
        <v>17.885538826910111</v>
      </c>
      <c r="Q55" s="54">
        <v>6.7655075314557625E-2</v>
      </c>
    </row>
    <row r="56" spans="1:17">
      <c r="A56" s="2" t="s">
        <v>337</v>
      </c>
      <c r="B56" s="16" t="s">
        <v>338</v>
      </c>
      <c r="D56" s="14">
        <v>1</v>
      </c>
      <c r="E56" s="14">
        <v>0.87990609751257398</v>
      </c>
      <c r="F56" s="14">
        <v>6.7863931991997304E-3</v>
      </c>
      <c r="G56" s="14">
        <v>3.4296318719160665E-7</v>
      </c>
      <c r="H56" s="14">
        <v>191.08166583687421</v>
      </c>
      <c r="I56" s="14">
        <v>528.53796660043133</v>
      </c>
      <c r="J56" s="14">
        <v>0</v>
      </c>
      <c r="K56" s="14">
        <v>147.35367825694547</v>
      </c>
      <c r="L56" s="14">
        <v>6.7863931991997313E-3</v>
      </c>
      <c r="M56" s="14">
        <v>5.5682356199433791E-3</v>
      </c>
      <c r="N56" s="14">
        <v>6.5881280297842633</v>
      </c>
      <c r="O56" s="14">
        <v>2564.8900045556093</v>
      </c>
      <c r="P56" s="8">
        <v>6.5881280297842633</v>
      </c>
      <c r="Q56" s="54">
        <v>7.8863525819539537E-2</v>
      </c>
    </row>
    <row r="57" spans="1:17">
      <c r="A57" s="2" t="s">
        <v>279</v>
      </c>
      <c r="B57" s="16" t="s">
        <v>280</v>
      </c>
      <c r="D57" s="14">
        <v>1</v>
      </c>
      <c r="E57" s="14">
        <v>0.75708966076673123</v>
      </c>
      <c r="F57" s="14">
        <v>7.1427042574018357E-2</v>
      </c>
      <c r="G57" s="14">
        <v>3.3877484580777151E-5</v>
      </c>
      <c r="H57" s="14">
        <v>162.5109647819751</v>
      </c>
      <c r="I57" s="14">
        <v>300.42760759626907</v>
      </c>
      <c r="J57" s="14">
        <v>0</v>
      </c>
      <c r="K57" s="14">
        <v>14.000299661906352</v>
      </c>
      <c r="L57" s="14">
        <v>7.1427042574018371E-2</v>
      </c>
      <c r="M57" s="14">
        <v>5.860588843198207E-2</v>
      </c>
      <c r="N57" s="14">
        <v>3.7325928949034877</v>
      </c>
      <c r="O57" s="14">
        <v>1085.5499916247813</v>
      </c>
      <c r="P57" s="8">
        <v>3.7325928949034877</v>
      </c>
      <c r="Q57" s="54">
        <v>0.16067186669418485</v>
      </c>
    </row>
    <row r="58" spans="1:17">
      <c r="A58" s="2" t="s">
        <v>339</v>
      </c>
      <c r="B58" s="16" t="s">
        <v>340</v>
      </c>
      <c r="D58" s="14">
        <v>1</v>
      </c>
      <c r="E58" s="14">
        <v>0.87863209870035219</v>
      </c>
      <c r="F58" s="14">
        <v>6.004417389065415E-3</v>
      </c>
      <c r="G58" s="14">
        <v>3.4094110290223287E-9</v>
      </c>
      <c r="H58" s="14">
        <v>184.3532821546259</v>
      </c>
      <c r="I58" s="14">
        <v>589.53289736631734</v>
      </c>
      <c r="J58" s="14">
        <v>0</v>
      </c>
      <c r="K58" s="14">
        <v>166.54405168786067</v>
      </c>
      <c r="L58" s="14">
        <v>6.0044173890654159E-3</v>
      </c>
      <c r="M58" s="14">
        <v>4.9266244677281731E-3</v>
      </c>
      <c r="N58" s="14">
        <v>7.3588545634366787</v>
      </c>
      <c r="O58" s="14">
        <v>2543.5880798518879</v>
      </c>
      <c r="P58" s="8">
        <v>7.3588545634366795</v>
      </c>
      <c r="Q58" s="54">
        <v>7.9489185108685509E-2</v>
      </c>
    </row>
    <row r="59" spans="1:17">
      <c r="A59" s="2" t="s">
        <v>281</v>
      </c>
      <c r="B59" s="16" t="s">
        <v>282</v>
      </c>
      <c r="D59" s="14">
        <v>1</v>
      </c>
      <c r="E59" s="14">
        <v>0.77802321874017932</v>
      </c>
      <c r="F59" s="14">
        <v>5.7216507257424547E-2</v>
      </c>
      <c r="G59" s="14">
        <v>2.6560107639557766E-7</v>
      </c>
      <c r="H59" s="14">
        <v>171.39626079805737</v>
      </c>
      <c r="I59" s="14">
        <v>310.4977903230581</v>
      </c>
      <c r="J59" s="14">
        <v>0</v>
      </c>
      <c r="K59" s="14">
        <v>17.477473686061771</v>
      </c>
      <c r="L59" s="14">
        <v>5.7216507257424554E-2</v>
      </c>
      <c r="M59" s="14">
        <v>4.6946144204716843E-2</v>
      </c>
      <c r="N59" s="14">
        <v>3.8489172063325965</v>
      </c>
      <c r="O59" s="14">
        <v>1121.035625516432</v>
      </c>
      <c r="P59" s="8">
        <v>3.8489172063325965</v>
      </c>
      <c r="Q59" s="54">
        <v>0.1485451627189934</v>
      </c>
    </row>
    <row r="60" spans="1:17">
      <c r="A60" s="2" t="s">
        <v>341</v>
      </c>
      <c r="B60" s="16" t="s">
        <v>342</v>
      </c>
      <c r="D60" s="14">
        <v>1</v>
      </c>
      <c r="E60" s="14">
        <v>0.87678478290817852</v>
      </c>
      <c r="F60" s="14">
        <v>4.2889487995298823E-3</v>
      </c>
      <c r="G60" s="14">
        <v>4.9902160587615424E-6</v>
      </c>
      <c r="H60" s="14">
        <v>164.92665915720272</v>
      </c>
      <c r="I60" s="14">
        <v>769.03841202091235</v>
      </c>
      <c r="J60" s="14">
        <v>0</v>
      </c>
      <c r="K60" s="14">
        <v>233.15736483252292</v>
      </c>
      <c r="L60" s="14">
        <v>4.2889487995298823E-3</v>
      </c>
      <c r="M60" s="14">
        <v>3.5190824900142689E-3</v>
      </c>
      <c r="N60" s="14">
        <v>9.6367441144290478</v>
      </c>
      <c r="O60" s="14">
        <v>3231.0075666857711</v>
      </c>
      <c r="P60" s="8">
        <v>9.6367441144290478</v>
      </c>
      <c r="Q60" s="54">
        <v>7.9679762795562409E-2</v>
      </c>
    </row>
    <row r="61" spans="1:17">
      <c r="A61" s="2" t="s">
        <v>483</v>
      </c>
      <c r="B61" s="16" t="s">
        <v>484</v>
      </c>
      <c r="D61" s="14">
        <v>1</v>
      </c>
      <c r="E61" s="14">
        <v>0.7940723972092848</v>
      </c>
      <c r="F61" s="14">
        <v>0.2768676760361094</v>
      </c>
      <c r="G61" s="14">
        <v>8.4411239967721723E-16</v>
      </c>
      <c r="H61" s="14">
        <v>126.26837341971799</v>
      </c>
      <c r="I61" s="14">
        <v>194.79320284604972</v>
      </c>
      <c r="J61" s="14">
        <v>0</v>
      </c>
      <c r="K61" s="14">
        <v>3.6118336900750339</v>
      </c>
      <c r="L61" s="14">
        <v>0.2768676760361094</v>
      </c>
      <c r="M61" s="14">
        <v>0.22716992818762777</v>
      </c>
      <c r="N61" s="14">
        <v>22.635172633117662</v>
      </c>
      <c r="O61" s="14">
        <v>10546.858688401175</v>
      </c>
      <c r="P61" s="8">
        <v>22.635172633117666</v>
      </c>
      <c r="Q61" s="54">
        <v>0.13151454853527775</v>
      </c>
    </row>
    <row r="62" spans="1:17">
      <c r="A62" s="2" t="s">
        <v>485</v>
      </c>
      <c r="B62" s="16" t="s">
        <v>486</v>
      </c>
      <c r="D62" s="14">
        <v>1</v>
      </c>
      <c r="E62" s="14">
        <v>0.68259709022344406</v>
      </c>
      <c r="F62" s="14">
        <v>0.18669191718662356</v>
      </c>
      <c r="G62" s="14">
        <v>2.2806256437346202E-9</v>
      </c>
      <c r="H62" s="14">
        <v>115.72455397625711</v>
      </c>
      <c r="I62" s="14">
        <v>235.44132130715232</v>
      </c>
      <c r="J62" s="14">
        <v>0</v>
      </c>
      <c r="K62" s="14">
        <v>5.3564182909984579</v>
      </c>
      <c r="L62" s="14">
        <v>0.18669191718662359</v>
      </c>
      <c r="M62" s="14">
        <v>0.15318071805162464</v>
      </c>
      <c r="N62" s="14">
        <v>3.0232660460511691</v>
      </c>
      <c r="O62" s="14">
        <v>980.71727267853873</v>
      </c>
      <c r="P62" s="8">
        <v>3.0232660460511691</v>
      </c>
      <c r="Q62" s="54">
        <v>0.21324688030643599</v>
      </c>
    </row>
    <row r="63" spans="1:17">
      <c r="A63" s="2" t="s">
        <v>487</v>
      </c>
      <c r="B63" s="16" t="s">
        <v>488</v>
      </c>
      <c r="D63" s="14">
        <v>1</v>
      </c>
      <c r="E63" s="14">
        <v>0.95775686064519949</v>
      </c>
      <c r="F63" s="14">
        <v>0.92527637743593982</v>
      </c>
      <c r="G63" s="14">
        <v>7.9422815253133189E-15</v>
      </c>
      <c r="H63" s="14">
        <v>9.0612223004980628</v>
      </c>
      <c r="I63" s="14">
        <v>11.06993709732504</v>
      </c>
      <c r="J63" s="14">
        <v>0</v>
      </c>
      <c r="K63" s="14">
        <v>1.0807581652210001</v>
      </c>
      <c r="L63" s="14">
        <v>0.92527637743593982</v>
      </c>
      <c r="M63" s="14">
        <v>0.75918926768618866</v>
      </c>
      <c r="N63" s="14">
        <v>4.6414580218433912</v>
      </c>
      <c r="O63" s="14">
        <v>2049.4822041251678</v>
      </c>
      <c r="P63" s="8">
        <v>4.6414580218433912</v>
      </c>
      <c r="Q63" s="54">
        <v>2.6978956823283339E-2</v>
      </c>
    </row>
    <row r="64" spans="1:17">
      <c r="A64" s="2" t="s">
        <v>489</v>
      </c>
      <c r="B64" s="16" t="s">
        <v>490</v>
      </c>
      <c r="D64" s="14">
        <v>1</v>
      </c>
      <c r="E64" s="14">
        <v>0.99520328030098026</v>
      </c>
      <c r="F64" s="14">
        <v>0.98674198733806939</v>
      </c>
      <c r="G64" s="14">
        <v>1.4647307763403608E-16</v>
      </c>
      <c r="H64" s="14">
        <v>3.4552828809558349</v>
      </c>
      <c r="I64" s="14">
        <v>0.39721220524881296</v>
      </c>
      <c r="J64" s="14">
        <v>0</v>
      </c>
      <c r="K64" s="14">
        <v>1.0134361492994706</v>
      </c>
      <c r="L64" s="14">
        <v>0.9867419873380695</v>
      </c>
      <c r="M64" s="14">
        <v>0.80962180061088607</v>
      </c>
      <c r="N64" s="14">
        <v>0.93148788319287534</v>
      </c>
      <c r="O64" s="14">
        <v>373.92718095011594</v>
      </c>
      <c r="P64" s="8">
        <v>0.93148788319287534</v>
      </c>
      <c r="Q64" s="54">
        <v>2.9296961794634019E-3</v>
      </c>
    </row>
    <row r="65" spans="1:17">
      <c r="A65" s="2" t="s">
        <v>491</v>
      </c>
      <c r="B65" s="16" t="s">
        <v>492</v>
      </c>
      <c r="D65" s="14">
        <v>1</v>
      </c>
      <c r="E65" s="14">
        <v>0.99743752949991793</v>
      </c>
      <c r="F65" s="14">
        <v>0.99967013105356861</v>
      </c>
      <c r="G65" s="14">
        <v>2.4425253257774348E-14</v>
      </c>
      <c r="H65" s="14">
        <v>0.45294202973849407</v>
      </c>
      <c r="I65" s="14">
        <v>0.18652959951764331</v>
      </c>
      <c r="J65" s="14">
        <v>0</v>
      </c>
      <c r="K65" s="14">
        <v>1.0003299777958592</v>
      </c>
      <c r="L65" s="14">
        <v>0.99967013105356861</v>
      </c>
      <c r="M65" s="14">
        <v>0.82022934252945312</v>
      </c>
      <c r="N65" s="14">
        <v>1.2774318110370637</v>
      </c>
      <c r="O65" s="14">
        <v>354.30848710924005</v>
      </c>
      <c r="P65" s="8">
        <v>1.2774318110370637</v>
      </c>
      <c r="Q65" s="54">
        <v>1.3071570145710123E-3</v>
      </c>
    </row>
    <row r="66" spans="1:17">
      <c r="A66" s="2" t="s">
        <v>493</v>
      </c>
      <c r="B66" s="16" t="s">
        <v>494</v>
      </c>
      <c r="D66" s="14">
        <v>1</v>
      </c>
      <c r="E66" s="14">
        <v>0.96700296132425545</v>
      </c>
      <c r="F66" s="14">
        <v>0.76622217270645354</v>
      </c>
      <c r="G66" s="14">
        <v>3.1623642284628995E-13</v>
      </c>
      <c r="H66" s="14">
        <v>56.498945620001187</v>
      </c>
      <c r="I66" s="14">
        <v>13.110365438075233</v>
      </c>
      <c r="J66" s="14">
        <v>0</v>
      </c>
      <c r="K66" s="14">
        <v>1.3051044926927593</v>
      </c>
      <c r="L66" s="14">
        <v>0.76622217270645365</v>
      </c>
      <c r="M66" s="14">
        <v>0.62868529270564522</v>
      </c>
      <c r="N66" s="14">
        <v>32.407970757139744</v>
      </c>
      <c r="O66" s="14">
        <v>10513.793873031276</v>
      </c>
      <c r="P66" s="8">
        <v>32.407970757139744</v>
      </c>
      <c r="Q66" s="54">
        <v>1.155406475899233E-2</v>
      </c>
    </row>
    <row r="67" spans="1:17">
      <c r="A67" s="2" t="s">
        <v>495</v>
      </c>
      <c r="B67" s="16" t="s">
        <v>496</v>
      </c>
      <c r="D67" s="14">
        <v>1</v>
      </c>
      <c r="E67" s="14">
        <v>0.99722519925742781</v>
      </c>
      <c r="F67" s="14">
        <v>0.9997051500499029</v>
      </c>
      <c r="G67" s="14">
        <v>1.9081847375867638E-14</v>
      </c>
      <c r="H67" s="14">
        <v>0.3819457481887682</v>
      </c>
      <c r="I67" s="14">
        <v>0.19332064224234044</v>
      </c>
      <c r="J67" s="14">
        <v>0</v>
      </c>
      <c r="K67" s="14">
        <v>1.0002949369122309</v>
      </c>
      <c r="L67" s="14">
        <v>0.99970515004990301</v>
      </c>
      <c r="M67" s="14">
        <v>0.82025807561594544</v>
      </c>
      <c r="N67" s="14">
        <v>1.2188143865729342</v>
      </c>
      <c r="O67" s="14">
        <v>382.00080503968906</v>
      </c>
      <c r="P67" s="8">
        <v>1.2188143865729342</v>
      </c>
      <c r="Q67" s="54">
        <v>1.4698676417180367E-3</v>
      </c>
    </row>
    <row r="68" spans="1:17">
      <c r="A68" s="2" t="s">
        <v>497</v>
      </c>
      <c r="B68" s="16" t="s">
        <v>498</v>
      </c>
      <c r="D68" s="14">
        <v>1</v>
      </c>
      <c r="E68" s="14">
        <v>0.99864268010359702</v>
      </c>
      <c r="F68" s="14">
        <v>1.0023780282369912</v>
      </c>
      <c r="G68" s="14">
        <v>1.7273637472932838E-13</v>
      </c>
      <c r="H68" s="14">
        <v>4.5469283082836175E-2</v>
      </c>
      <c r="I68" s="14">
        <v>3.248222706917691E-2</v>
      </c>
      <c r="J68" s="14">
        <v>0</v>
      </c>
      <c r="K68" s="14">
        <v>0.99762761336541494</v>
      </c>
      <c r="L68" s="14">
        <v>1.0023780282369912</v>
      </c>
      <c r="M68" s="14">
        <v>0.82245117216845132</v>
      </c>
      <c r="N68" s="14">
        <v>0.97271834623345887</v>
      </c>
      <c r="O68" s="14">
        <v>264.92956878014485</v>
      </c>
      <c r="P68" s="8">
        <v>0.97271834623345887</v>
      </c>
      <c r="Q68" s="54">
        <v>5.9446432656159824E-4</v>
      </c>
    </row>
    <row r="69" spans="1:17">
      <c r="A69" s="2" t="s">
        <v>499</v>
      </c>
      <c r="B69" s="16" t="s">
        <v>500</v>
      </c>
      <c r="D69" s="14">
        <v>1</v>
      </c>
      <c r="E69" s="14">
        <v>0.88164591564513395</v>
      </c>
      <c r="F69" s="14">
        <v>7.6715729932199054E-3</v>
      </c>
      <c r="G69" s="14">
        <v>8.5285442927252701E-14</v>
      </c>
      <c r="H69" s="14">
        <v>197.57701581741492</v>
      </c>
      <c r="I69" s="14">
        <v>470.65599226336371</v>
      </c>
      <c r="J69" s="14">
        <v>0</v>
      </c>
      <c r="K69" s="14">
        <v>130.35136351877179</v>
      </c>
      <c r="L69" s="14">
        <v>7.6715729932199054E-3</v>
      </c>
      <c r="M69" s="14">
        <v>6.2945256409369325E-3</v>
      </c>
      <c r="N69" s="14">
        <v>5.8583995360064236</v>
      </c>
      <c r="O69" s="14">
        <v>2516.7098566729992</v>
      </c>
      <c r="P69" s="8">
        <v>5.8583995360064236</v>
      </c>
      <c r="Q69" s="54">
        <v>7.7951341287819553E-2</v>
      </c>
    </row>
    <row r="70" spans="1:17">
      <c r="A70" s="2" t="s">
        <v>501</v>
      </c>
      <c r="B70" s="16" t="s">
        <v>411</v>
      </c>
      <c r="D70" s="14">
        <v>1</v>
      </c>
      <c r="E70" s="14">
        <v>0.9994906260390789</v>
      </c>
      <c r="F70" s="14">
        <v>0.97304142211762867</v>
      </c>
      <c r="G70" s="14">
        <v>3.0964196591651702E-15</v>
      </c>
      <c r="H70" s="14">
        <v>8.594711999216571</v>
      </c>
      <c r="I70" s="14">
        <v>7.5629036577430919E-3</v>
      </c>
      <c r="J70" s="14">
        <v>0</v>
      </c>
      <c r="K70" s="14">
        <v>1.0277054781734793</v>
      </c>
      <c r="L70" s="14">
        <v>0.97304142211762878</v>
      </c>
      <c r="M70" s="14">
        <v>0.79838048684751439</v>
      </c>
      <c r="N70" s="14">
        <v>0.9236105959584886</v>
      </c>
      <c r="O70" s="14">
        <v>277.17553984714249</v>
      </c>
      <c r="P70" s="8">
        <v>0.92361059595848871</v>
      </c>
      <c r="Q70" s="54">
        <v>3.8343218820525192E-5</v>
      </c>
    </row>
    <row r="71" spans="1:17">
      <c r="A71" s="2" t="s">
        <v>502</v>
      </c>
      <c r="B71" s="16" t="s">
        <v>412</v>
      </c>
      <c r="D71" s="14">
        <v>1</v>
      </c>
      <c r="E71" s="14">
        <v>0.99947537572840472</v>
      </c>
      <c r="F71" s="14">
        <v>0.94678982182573967</v>
      </c>
      <c r="G71" s="14">
        <v>1.4143003013946513E-10</v>
      </c>
      <c r="H71" s="14">
        <v>16.02188390609837</v>
      </c>
      <c r="I71" s="14">
        <v>1.3481602247325057E-2</v>
      </c>
      <c r="J71" s="14">
        <v>0</v>
      </c>
      <c r="K71" s="14">
        <v>1.0562006233565677</v>
      </c>
      <c r="L71" s="14">
        <v>0.94678982182573979</v>
      </c>
      <c r="M71" s="14">
        <v>0.77684104880801952</v>
      </c>
      <c r="N71" s="14">
        <v>0.91183903454507753</v>
      </c>
      <c r="O71" s="14">
        <v>299.21997918596713</v>
      </c>
      <c r="P71" s="8">
        <v>0.91183903454507753</v>
      </c>
      <c r="Q71" s="54">
        <v>5.2522030776843188E-5</v>
      </c>
    </row>
    <row r="72" spans="1:17">
      <c r="A72" s="2" t="s">
        <v>503</v>
      </c>
      <c r="B72" s="16" t="s">
        <v>413</v>
      </c>
      <c r="D72" s="14">
        <v>1</v>
      </c>
      <c r="E72" s="14">
        <v>0.99851494740127256</v>
      </c>
      <c r="F72" s="14">
        <v>3.9056609108609366E-3</v>
      </c>
      <c r="G72" s="14">
        <v>1.9135640402019343E-12</v>
      </c>
      <c r="H72" s="14">
        <v>282.56250702751248</v>
      </c>
      <c r="I72" s="14">
        <v>1.2015462981755995</v>
      </c>
      <c r="J72" s="14">
        <v>0</v>
      </c>
      <c r="K72" s="14">
        <v>256.03861236882619</v>
      </c>
      <c r="L72" s="14">
        <v>3.9056609108609371E-3</v>
      </c>
      <c r="M72" s="14">
        <v>3.2045947773613986E-3</v>
      </c>
      <c r="N72" s="14">
        <v>2.8510636800169991</v>
      </c>
      <c r="O72" s="14">
        <v>1323.1216326222889</v>
      </c>
      <c r="P72" s="8">
        <v>2.8510636800169995</v>
      </c>
      <c r="Q72" s="54">
        <v>5.9421075726479767E-5</v>
      </c>
    </row>
    <row r="73" spans="1:17">
      <c r="A73" s="2" t="s">
        <v>504</v>
      </c>
      <c r="B73" s="16" t="s">
        <v>414</v>
      </c>
      <c r="D73" s="14">
        <v>1</v>
      </c>
      <c r="E73" s="14">
        <v>0.99974897892458514</v>
      </c>
      <c r="F73" s="14">
        <v>3.624490163578465E-2</v>
      </c>
      <c r="G73" s="14">
        <v>2.5013553390893866E-12</v>
      </c>
      <c r="H73" s="14">
        <v>273.8715536171029</v>
      </c>
      <c r="I73" s="14">
        <v>0.14657938663857115</v>
      </c>
      <c r="J73" s="14">
        <v>0</v>
      </c>
      <c r="K73" s="14">
        <v>27.590087291413649</v>
      </c>
      <c r="L73" s="14">
        <v>3.6244901635784657E-2</v>
      </c>
      <c r="M73" s="14">
        <v>2.973894179216131E-2</v>
      </c>
      <c r="N73" s="14">
        <v>0.36654936840175489</v>
      </c>
      <c r="O73" s="14">
        <v>115.11482914657113</v>
      </c>
      <c r="P73" s="8">
        <v>0.36654936840175489</v>
      </c>
      <c r="Q73" s="54">
        <v>4.8202870348895409E-5</v>
      </c>
    </row>
    <row r="74" spans="1:17">
      <c r="A74" s="2" t="s">
        <v>505</v>
      </c>
      <c r="B74" s="16" t="s">
        <v>415</v>
      </c>
      <c r="D74" s="14">
        <v>1</v>
      </c>
      <c r="E74" s="14">
        <v>0.99947801946141224</v>
      </c>
      <c r="F74" s="14">
        <v>0.95190306607701891</v>
      </c>
      <c r="G74" s="14">
        <v>1.7484015853209939E-11</v>
      </c>
      <c r="H74" s="14">
        <v>14.575139686604523</v>
      </c>
      <c r="I74" s="14">
        <v>1.23179574698754E-2</v>
      </c>
      <c r="J74" s="14">
        <v>0</v>
      </c>
      <c r="K74" s="14">
        <v>1.0505271341557896</v>
      </c>
      <c r="L74" s="14">
        <v>0.95190306607701902</v>
      </c>
      <c r="M74" s="14">
        <v>0.78103646571619412</v>
      </c>
      <c r="N74" s="14">
        <v>0.91417210632550672</v>
      </c>
      <c r="O74" s="14">
        <v>195.66939763791146</v>
      </c>
      <c r="P74" s="8">
        <v>0.91417210632550672</v>
      </c>
      <c r="Q74" s="54">
        <v>4.9973377225674136E-5</v>
      </c>
    </row>
    <row r="75" spans="1:17">
      <c r="A75" s="2" t="s">
        <v>506</v>
      </c>
      <c r="B75" s="16" t="s">
        <v>416</v>
      </c>
      <c r="D75" s="14">
        <v>1</v>
      </c>
      <c r="E75" s="14">
        <v>0.99973951809225114</v>
      </c>
      <c r="F75" s="14">
        <v>4.2881760668428304E-2</v>
      </c>
      <c r="G75" s="14">
        <v>1.0734481565899711E-11</v>
      </c>
      <c r="H75" s="14">
        <v>271.9897943149964</v>
      </c>
      <c r="I75" s="14">
        <v>0.1474614782351075</v>
      </c>
      <c r="J75" s="14">
        <v>0</v>
      </c>
      <c r="K75" s="14">
        <v>23.319937997234568</v>
      </c>
      <c r="L75" s="14">
        <v>4.2881760668428304E-2</v>
      </c>
      <c r="M75" s="14">
        <v>3.5184484628445423E-2</v>
      </c>
      <c r="N75" s="14">
        <v>0.37420318043916173</v>
      </c>
      <c r="O75" s="14">
        <v>154.94631092444371</v>
      </c>
      <c r="P75" s="8">
        <v>0.37420318043916179</v>
      </c>
      <c r="Q75" s="54">
        <v>5.2056933680528391E-5</v>
      </c>
    </row>
    <row r="76" spans="1:17">
      <c r="A76" s="2" t="s">
        <v>507</v>
      </c>
      <c r="B76" s="16" t="s">
        <v>417</v>
      </c>
      <c r="D76" s="14">
        <v>1</v>
      </c>
      <c r="E76" s="14">
        <v>0.99950188720023236</v>
      </c>
      <c r="F76" s="14">
        <v>0.44956809080225335</v>
      </c>
      <c r="G76" s="14">
        <v>2.4793825022458102E-10</v>
      </c>
      <c r="H76" s="14">
        <v>156.78895969092466</v>
      </c>
      <c r="I76" s="14">
        <v>0.10557070161388875</v>
      </c>
      <c r="J76" s="14">
        <v>0</v>
      </c>
      <c r="K76" s="14">
        <v>2.2243571562552447</v>
      </c>
      <c r="L76" s="14">
        <v>0.44956809080225341</v>
      </c>
      <c r="M76" s="14">
        <v>0.36887061850324893</v>
      </c>
      <c r="N76" s="14">
        <v>0.65155263401284791</v>
      </c>
      <c r="O76" s="14">
        <v>278.97529130528113</v>
      </c>
      <c r="P76" s="8">
        <v>0.65155263401284802</v>
      </c>
      <c r="Q76" s="54">
        <v>1.2071004389471577E-4</v>
      </c>
    </row>
    <row r="77" spans="1:17">
      <c r="A77" s="2" t="s">
        <v>508</v>
      </c>
      <c r="B77" s="16" t="s">
        <v>418</v>
      </c>
      <c r="D77" s="14">
        <v>1</v>
      </c>
      <c r="E77" s="14">
        <v>0.99974611435758776</v>
      </c>
      <c r="F77" s="14">
        <v>3.8033119747948083E-2</v>
      </c>
      <c r="G77" s="14">
        <v>7.7440830921055719E-11</v>
      </c>
      <c r="H77" s="14">
        <v>273.36439664606911</v>
      </c>
      <c r="I77" s="14">
        <v>0.14728885298819783</v>
      </c>
      <c r="J77" s="14">
        <v>0</v>
      </c>
      <c r="K77" s="14">
        <v>26.292873333220339</v>
      </c>
      <c r="L77" s="14">
        <v>3.8033119747948083E-2</v>
      </c>
      <c r="M77" s="14">
        <v>3.1206174753191401E-2</v>
      </c>
      <c r="N77" s="14">
        <v>0.3686786500464756</v>
      </c>
      <c r="O77" s="14">
        <v>194.72868938154747</v>
      </c>
      <c r="P77" s="8">
        <v>0.3686786500464756</v>
      </c>
      <c r="Q77" s="54">
        <v>4.9427640595144644E-5</v>
      </c>
    </row>
    <row r="78" spans="1:17">
      <c r="A78" s="2" t="s">
        <v>509</v>
      </c>
      <c r="B78" s="16" t="s">
        <v>419</v>
      </c>
      <c r="D78" s="14">
        <v>1</v>
      </c>
      <c r="E78" s="14">
        <v>0.9987455492647308</v>
      </c>
      <c r="F78" s="14">
        <v>4.3327269688464721E-3</v>
      </c>
      <c r="G78" s="14">
        <v>7.694666266173189E-12</v>
      </c>
      <c r="H78" s="14">
        <v>282.52788762055496</v>
      </c>
      <c r="I78" s="14">
        <v>1.0094557751033713</v>
      </c>
      <c r="J78" s="14">
        <v>0</v>
      </c>
      <c r="K78" s="14">
        <v>230.80152688832734</v>
      </c>
      <c r="L78" s="14">
        <v>4.3327269688464721E-3</v>
      </c>
      <c r="M78" s="14">
        <v>3.5550024779385306E-3</v>
      </c>
      <c r="N78" s="14">
        <v>2.3896558806522394</v>
      </c>
      <c r="O78" s="14">
        <v>1347.9809857171217</v>
      </c>
      <c r="P78" s="8">
        <v>2.3896558806522394</v>
      </c>
      <c r="Q78" s="54">
        <v>5.6375096330019863E-5</v>
      </c>
    </row>
    <row r="79" spans="1:17">
      <c r="A79" s="2" t="s">
        <v>510</v>
      </c>
      <c r="B79" s="16" t="s">
        <v>420</v>
      </c>
      <c r="D79" s="14">
        <v>1</v>
      </c>
      <c r="E79" s="14">
        <v>0.99874556401181758</v>
      </c>
      <c r="F79" s="14">
        <v>4.3327272961738725E-3</v>
      </c>
      <c r="G79" s="14">
        <v>1.932813021692229E-16</v>
      </c>
      <c r="H79" s="14">
        <v>282.52790896487681</v>
      </c>
      <c r="I79" s="14">
        <v>1.0092960992437345</v>
      </c>
      <c r="J79" s="14">
        <v>0</v>
      </c>
      <c r="K79" s="14">
        <v>230.80150945181248</v>
      </c>
      <c r="L79" s="14">
        <v>4.3327272961738725E-3</v>
      </c>
      <c r="M79" s="14">
        <v>3.5550027465106626E-3</v>
      </c>
      <c r="N79" s="14">
        <v>2.3896541590391602</v>
      </c>
      <c r="O79" s="14">
        <v>1195.137734560255</v>
      </c>
      <c r="P79" s="8">
        <v>2.3896541590391602</v>
      </c>
      <c r="Q79" s="54">
        <v>5.6366178909177257E-5</v>
      </c>
    </row>
    <row r="80" spans="1:17">
      <c r="A80" s="2" t="s">
        <v>511</v>
      </c>
      <c r="B80" s="16" t="s">
        <v>421</v>
      </c>
      <c r="D80" s="14">
        <v>1</v>
      </c>
      <c r="E80" s="14">
        <v>0.99962884513150674</v>
      </c>
      <c r="F80" s="14">
        <v>0.16732746871506382</v>
      </c>
      <c r="G80" s="14">
        <v>2.1800964470503928E-11</v>
      </c>
      <c r="H80" s="14">
        <v>236.7266984683595</v>
      </c>
      <c r="I80" s="14">
        <v>0.14334191948905564</v>
      </c>
      <c r="J80" s="14">
        <v>0</v>
      </c>
      <c r="K80" s="14">
        <v>5.9763050721986692</v>
      </c>
      <c r="L80" s="14">
        <v>0.16732746871506382</v>
      </c>
      <c r="M80" s="14">
        <v>0.13729218808070986</v>
      </c>
      <c r="N80" s="14">
        <v>0.47647623424945873</v>
      </c>
      <c r="O80" s="14">
        <v>173.46593784085795</v>
      </c>
      <c r="P80" s="8">
        <v>0.47647623424945873</v>
      </c>
      <c r="Q80" s="54">
        <v>9.293369734625874E-5</v>
      </c>
    </row>
    <row r="81" spans="1:17">
      <c r="A81" s="2" t="s">
        <v>512</v>
      </c>
      <c r="B81" s="16" t="s">
        <v>422</v>
      </c>
      <c r="D81" s="14">
        <v>1</v>
      </c>
      <c r="E81" s="14">
        <v>0.99944900113320823</v>
      </c>
      <c r="F81" s="14">
        <v>0.80753892911965575</v>
      </c>
      <c r="G81" s="14">
        <v>2.849783932411854E-11</v>
      </c>
      <c r="H81" s="14">
        <v>55.434925421080294</v>
      </c>
      <c r="I81" s="14">
        <v>4.1947824483570199E-2</v>
      </c>
      <c r="J81" s="14">
        <v>0</v>
      </c>
      <c r="K81" s="14">
        <v>1.2383303936692651</v>
      </c>
      <c r="L81" s="14">
        <v>0.80753892911965575</v>
      </c>
      <c r="M81" s="14">
        <v>0.66258569134267764</v>
      </c>
      <c r="N81" s="14">
        <v>0.84432001654959288</v>
      </c>
      <c r="O81" s="14">
        <v>222.94270036992</v>
      </c>
      <c r="P81" s="8">
        <v>0.84432001654959288</v>
      </c>
      <c r="Q81" s="54">
        <v>9.2663658366895306E-5</v>
      </c>
    </row>
    <row r="82" spans="1:17">
      <c r="A82" s="2" t="s">
        <v>513</v>
      </c>
      <c r="B82" s="16" t="s">
        <v>423</v>
      </c>
      <c r="D82" s="14">
        <v>1</v>
      </c>
      <c r="E82" s="14">
        <v>0.99946422064928897</v>
      </c>
      <c r="F82" s="14">
        <v>0.61068436812986016</v>
      </c>
      <c r="G82" s="14">
        <v>7.1747255184674079E-15</v>
      </c>
      <c r="H82" s="14">
        <v>111.16723488205953</v>
      </c>
      <c r="I82" s="14">
        <v>7.8276976599988252E-2</v>
      </c>
      <c r="J82" s="14">
        <v>0</v>
      </c>
      <c r="K82" s="14">
        <v>1.6375071185502375</v>
      </c>
      <c r="L82" s="14">
        <v>0.61068436812986027</v>
      </c>
      <c r="M82" s="14">
        <v>0.5010665240505503</v>
      </c>
      <c r="N82" s="14">
        <v>0.74127197656848165</v>
      </c>
      <c r="O82" s="14">
        <v>296.59033054481517</v>
      </c>
      <c r="P82" s="8">
        <v>0.74127197656848165</v>
      </c>
      <c r="Q82" s="54">
        <v>1.164753550440123E-4</v>
      </c>
    </row>
    <row r="83" spans="1:17">
      <c r="A83" s="2" t="s">
        <v>514</v>
      </c>
      <c r="B83" s="16" t="s">
        <v>424</v>
      </c>
      <c r="D83" s="14">
        <v>1</v>
      </c>
      <c r="E83" s="14">
        <v>0.99762838773424234</v>
      </c>
      <c r="F83" s="14">
        <v>2.9344549751431749E-3</v>
      </c>
      <c r="G83" s="14">
        <v>2.7520474411901459E-12</v>
      </c>
      <c r="H83" s="14">
        <v>282.50585317394604</v>
      </c>
      <c r="I83" s="14">
        <v>1.9388911346380391</v>
      </c>
      <c r="J83" s="14">
        <v>0</v>
      </c>
      <c r="K83" s="14">
        <v>340.77878463656066</v>
      </c>
      <c r="L83" s="14">
        <v>2.9344549751431749E-3</v>
      </c>
      <c r="M83" s="14">
        <v>2.407720307104975E-3</v>
      </c>
      <c r="N83" s="14">
        <v>4.6325075784381378</v>
      </c>
      <c r="O83" s="14">
        <v>2381.4794959234778</v>
      </c>
      <c r="P83" s="8">
        <v>4.6325075784381378</v>
      </c>
      <c r="Q83" s="54">
        <v>6.8636230631210945E-5</v>
      </c>
    </row>
    <row r="84" spans="1:17">
      <c r="A84" s="2" t="s">
        <v>403</v>
      </c>
      <c r="B84" s="16" t="s">
        <v>404</v>
      </c>
      <c r="D84" s="14">
        <v>1</v>
      </c>
      <c r="E84" s="14">
        <v>0.66392349284559171</v>
      </c>
      <c r="F84" s="14">
        <v>0.28500998621037776</v>
      </c>
      <c r="G84" s="14">
        <v>4.9671647498298277E-46</v>
      </c>
      <c r="H84" s="14">
        <v>87.716254133107512</v>
      </c>
      <c r="I84" s="14">
        <v>187.90452900929208</v>
      </c>
      <c r="J84" s="14">
        <v>0</v>
      </c>
      <c r="K84" s="14">
        <v>3.508648989098432</v>
      </c>
      <c r="L84" s="14">
        <v>0.28500998621037776</v>
      </c>
      <c r="M84" s="14">
        <v>0.23385069368561498</v>
      </c>
      <c r="N84" s="14">
        <v>2.5295546786963841</v>
      </c>
      <c r="O84" s="14">
        <v>3042.0677521470579</v>
      </c>
      <c r="P84" s="8">
        <v>2.5295546786963841</v>
      </c>
      <c r="Q84" s="54">
        <v>0.22601499211924678</v>
      </c>
    </row>
    <row r="85" spans="1:17">
      <c r="A85" s="2" t="s">
        <v>405</v>
      </c>
      <c r="B85" s="16" t="s">
        <v>406</v>
      </c>
      <c r="D85" s="14">
        <v>1</v>
      </c>
      <c r="E85" s="14">
        <v>0.82712521162380215</v>
      </c>
      <c r="F85" s="14">
        <v>4.7344343946460386E-2</v>
      </c>
      <c r="G85" s="14">
        <v>1.4359364399309366E-10</v>
      </c>
      <c r="H85" s="14">
        <v>210.66840844159475</v>
      </c>
      <c r="I85" s="14">
        <v>101.97291212335732</v>
      </c>
      <c r="J85" s="14">
        <v>0</v>
      </c>
      <c r="K85" s="14">
        <v>21.121847229118973</v>
      </c>
      <c r="L85" s="14">
        <v>4.7344343946460386E-2</v>
      </c>
      <c r="M85" s="14">
        <v>3.884603420807075E-2</v>
      </c>
      <c r="N85" s="14">
        <v>323.0489503096623</v>
      </c>
      <c r="O85" s="14">
        <v>103007.38829573891</v>
      </c>
      <c r="P85" s="8">
        <v>323.0489503096623</v>
      </c>
      <c r="Q85" s="54">
        <v>9.842033115698803E-3</v>
      </c>
    </row>
    <row r="86" spans="1:17">
      <c r="A86" s="2" t="s">
        <v>407</v>
      </c>
      <c r="B86" s="16" t="s">
        <v>408</v>
      </c>
      <c r="D86" s="14">
        <v>1</v>
      </c>
      <c r="E86" s="14">
        <v>0.91985661468986302</v>
      </c>
      <c r="F86" s="14">
        <v>3.6269498358324609E-4</v>
      </c>
      <c r="G86" s="14">
        <v>2.9115887764729291E-7</v>
      </c>
      <c r="H86" s="14">
        <v>49.796813017010741</v>
      </c>
      <c r="I86" s="14">
        <v>1958.6584913614556</v>
      </c>
      <c r="J86" s="14">
        <v>0</v>
      </c>
      <c r="K86" s="14">
        <v>2757.1376646031804</v>
      </c>
      <c r="L86" s="14">
        <v>3.6269498358324609E-4</v>
      </c>
      <c r="M86" s="14">
        <v>2.9759123403005341E-4</v>
      </c>
      <c r="N86" s="14">
        <v>25.129058202723808</v>
      </c>
      <c r="O86" s="14">
        <v>12207.445184301199</v>
      </c>
      <c r="P86" s="8">
        <v>25.129058202723808</v>
      </c>
      <c r="Q86" s="54">
        <v>4.5767661181974513E-2</v>
      </c>
    </row>
    <row r="87" spans="1:17">
      <c r="A87" s="2" t="s">
        <v>409</v>
      </c>
      <c r="B87" s="16" t="s">
        <v>410</v>
      </c>
      <c r="D87" s="14">
        <v>1</v>
      </c>
      <c r="E87" s="14">
        <v>0.93998724881648321</v>
      </c>
      <c r="F87" s="14">
        <v>1.2634804180886597E-4</v>
      </c>
      <c r="G87" s="14">
        <v>3.6242404494120691E-8</v>
      </c>
      <c r="H87" s="14">
        <v>26.976680939096635</v>
      </c>
      <c r="I87" s="14">
        <v>2223.5437871414815</v>
      </c>
      <c r="J87" s="14">
        <v>0</v>
      </c>
      <c r="K87" s="14">
        <v>7914.6458123407892</v>
      </c>
      <c r="L87" s="14">
        <v>1.2634804180886597E-4</v>
      </c>
      <c r="M87" s="14">
        <v>1.0366856830417452E-4</v>
      </c>
      <c r="N87" s="14">
        <v>28.766998811355915</v>
      </c>
      <c r="O87" s="14">
        <v>16244.436558784573</v>
      </c>
      <c r="P87" s="8">
        <v>28.766998811355915</v>
      </c>
      <c r="Q87" s="54">
        <v>3.0991720465944977E-2</v>
      </c>
    </row>
    <row r="88" spans="1:17">
      <c r="A88" s="2" t="s">
        <v>301</v>
      </c>
      <c r="B88" s="16" t="s">
        <v>302</v>
      </c>
      <c r="D88" s="14">
        <v>1</v>
      </c>
      <c r="E88" s="14">
        <v>0.95706407056806986</v>
      </c>
      <c r="F88" s="14">
        <v>3.5616002219990541E-5</v>
      </c>
      <c r="G88" s="14">
        <v>4.495455028194716E-9</v>
      </c>
      <c r="H88" s="14">
        <v>12.564498815378958</v>
      </c>
      <c r="I88" s="14">
        <v>2402.1622652085357</v>
      </c>
      <c r="J88" s="14">
        <v>0</v>
      </c>
      <c r="K88" s="14">
        <v>28077.266893214652</v>
      </c>
      <c r="L88" s="14">
        <v>3.5616002219990541E-5</v>
      </c>
      <c r="M88" s="14">
        <v>2.922292982150224E-5</v>
      </c>
      <c r="N88" s="14">
        <v>31.376115502318875</v>
      </c>
      <c r="O88" s="14">
        <v>20193.040414982384</v>
      </c>
      <c r="P88" s="8">
        <v>31.376115502318878</v>
      </c>
      <c r="Q88" s="54">
        <v>1.8603829065267769E-2</v>
      </c>
    </row>
    <row r="89" spans="1:17">
      <c r="A89" s="2" t="s">
        <v>303</v>
      </c>
      <c r="B89" s="16" t="s">
        <v>304</v>
      </c>
      <c r="D89" s="14">
        <v>1</v>
      </c>
      <c r="E89" s="14">
        <v>0.43236168780301049</v>
      </c>
      <c r="F89" s="14">
        <v>1.0521581893639697E-3</v>
      </c>
      <c r="G89" s="14">
        <v>1.5151488550998505E-15</v>
      </c>
      <c r="H89" s="14">
        <v>34.044707561969503</v>
      </c>
      <c r="I89" s="14">
        <v>819.81771647657479</v>
      </c>
      <c r="J89" s="14">
        <v>0</v>
      </c>
      <c r="K89" s="14">
        <v>950.42742632122713</v>
      </c>
      <c r="L89" s="14">
        <v>1.0521581893639697E-3</v>
      </c>
      <c r="M89" s="14">
        <v>8.6329579437313718E-4</v>
      </c>
      <c r="N89" s="14">
        <v>1131.6280871414488</v>
      </c>
      <c r="O89" s="14">
        <v>730250.92091324821</v>
      </c>
      <c r="P89" s="8">
        <v>1131.6280871414488</v>
      </c>
      <c r="Q89" s="54">
        <v>8.8698709108417078E-3</v>
      </c>
    </row>
    <row r="90" spans="1:17">
      <c r="A90" s="2" t="s">
        <v>425</v>
      </c>
      <c r="B90" s="16" t="s">
        <v>426</v>
      </c>
      <c r="D90" s="14">
        <v>1</v>
      </c>
      <c r="E90" s="14">
        <v>0.97443655994725187</v>
      </c>
      <c r="F90" s="14">
        <v>0.9770216757176089</v>
      </c>
      <c r="G90" s="14">
        <v>1.7796748060990102E-15</v>
      </c>
      <c r="H90" s="14">
        <v>0.26037794728060698</v>
      </c>
      <c r="I90" s="14">
        <v>0.80945200144315244</v>
      </c>
      <c r="J90" s="14">
        <v>0</v>
      </c>
      <c r="K90" s="14">
        <v>1.0235187456465731</v>
      </c>
      <c r="L90" s="14">
        <v>0.97702167571760901</v>
      </c>
      <c r="M90" s="14">
        <v>0.80164628492629819</v>
      </c>
      <c r="N90" s="14">
        <v>0.92059515991374852</v>
      </c>
      <c r="O90" s="14">
        <v>255.24421403768591</v>
      </c>
      <c r="P90" s="8">
        <v>0.92059515991374852</v>
      </c>
      <c r="Q90" s="54">
        <v>1.6950835186355401E-2</v>
      </c>
    </row>
    <row r="91" spans="1:17">
      <c r="A91" s="2" t="s">
        <v>427</v>
      </c>
      <c r="B91" s="16" t="s">
        <v>428</v>
      </c>
      <c r="D91" s="14">
        <v>1</v>
      </c>
      <c r="E91" s="14">
        <v>0.78704246610277073</v>
      </c>
      <c r="F91" s="14">
        <v>0.71937807712097901</v>
      </c>
      <c r="G91" s="14">
        <v>9.1589499619918239E-7</v>
      </c>
      <c r="H91" s="14">
        <v>15.632095466717761</v>
      </c>
      <c r="I91" s="14">
        <v>40.707494177737829</v>
      </c>
      <c r="J91" s="14">
        <v>0</v>
      </c>
      <c r="K91" s="14">
        <v>1.3900896229728006</v>
      </c>
      <c r="L91" s="14">
        <v>0.71937807712097901</v>
      </c>
      <c r="M91" s="14">
        <v>0.59024971227776335</v>
      </c>
      <c r="N91" s="14">
        <v>1.1531262012634809</v>
      </c>
      <c r="O91" s="14">
        <v>190.4849171867144</v>
      </c>
      <c r="P91" s="8">
        <v>1.1531262012634809</v>
      </c>
      <c r="Q91" s="54">
        <v>0.14330929826854277</v>
      </c>
    </row>
    <row r="92" spans="1:17">
      <c r="A92" s="2" t="s">
        <v>429</v>
      </c>
      <c r="B92" s="16" t="s">
        <v>430</v>
      </c>
      <c r="D92" s="14">
        <v>1</v>
      </c>
      <c r="E92" s="14">
        <v>0.71053236317233293</v>
      </c>
      <c r="F92" s="14">
        <v>0.12746165119699074</v>
      </c>
      <c r="G92" s="14">
        <v>5.6185988752786977E-6</v>
      </c>
      <c r="H92" s="14">
        <v>136.96182687244314</v>
      </c>
      <c r="I92" s="14">
        <v>267.58188633780173</v>
      </c>
      <c r="J92" s="14">
        <v>0</v>
      </c>
      <c r="K92" s="14">
        <v>7.8454969836732289</v>
      </c>
      <c r="L92" s="14">
        <v>0.12746165119699074</v>
      </c>
      <c r="M92" s="14">
        <v>0.1045822848071309</v>
      </c>
      <c r="N92" s="14">
        <v>3.3683880160967106</v>
      </c>
      <c r="O92" s="14">
        <v>607.11825602127112</v>
      </c>
      <c r="P92" s="8">
        <v>3.3683880160967106</v>
      </c>
      <c r="Q92" s="54">
        <v>0.19393523064067802</v>
      </c>
    </row>
    <row r="93" spans="1:17">
      <c r="A93" s="2" t="s">
        <v>431</v>
      </c>
      <c r="B93" s="16" t="s">
        <v>432</v>
      </c>
      <c r="D93" s="14">
        <v>1</v>
      </c>
      <c r="E93" s="14">
        <v>0.99938924292660813</v>
      </c>
      <c r="F93" s="14">
        <v>0.99892014616279878</v>
      </c>
      <c r="G93" s="14">
        <v>1.3387010118468576E-19</v>
      </c>
      <c r="H93" s="14">
        <v>1.2391411287826759</v>
      </c>
      <c r="I93" s="14">
        <v>9.1918792141846596E-3</v>
      </c>
      <c r="J93" s="14">
        <v>0</v>
      </c>
      <c r="K93" s="14">
        <v>1.0010810211820729</v>
      </c>
      <c r="L93" s="14">
        <v>0.99892014616279878</v>
      </c>
      <c r="M93" s="14">
        <v>0.81961397992657647</v>
      </c>
      <c r="N93" s="14">
        <v>0.93433532650519846</v>
      </c>
      <c r="O93" s="14">
        <v>363.35366512460661</v>
      </c>
      <c r="P93" s="8">
        <v>0.93433532650519846</v>
      </c>
      <c r="Q93" s="54">
        <v>1.0322961529804176E-4</v>
      </c>
    </row>
    <row r="94" spans="1:17">
      <c r="A94" s="2" t="s">
        <v>433</v>
      </c>
      <c r="B94" s="16" t="s">
        <v>434</v>
      </c>
      <c r="D94" s="14">
        <v>1</v>
      </c>
      <c r="E94" s="14">
        <v>0.99953487563833154</v>
      </c>
      <c r="F94" s="14">
        <v>1.003429654459308</v>
      </c>
      <c r="G94" s="14">
        <v>2.82947212186864E-20</v>
      </c>
      <c r="H94" s="14">
        <v>4.8225521408124684E-3</v>
      </c>
      <c r="I94" s="14">
        <v>6.230661952289999E-5</v>
      </c>
      <c r="J94" s="14">
        <v>0</v>
      </c>
      <c r="K94" s="14">
        <v>0.99658206786687376</v>
      </c>
      <c r="L94" s="14">
        <v>1.0034296544593082</v>
      </c>
      <c r="M94" s="14">
        <v>0.82331403148386229</v>
      </c>
      <c r="N94" s="14">
        <v>0.94133689667928755</v>
      </c>
      <c r="O94" s="14">
        <v>168.72522536079549</v>
      </c>
      <c r="P94" s="8">
        <v>0.94133689667928755</v>
      </c>
      <c r="Q94" s="54">
        <v>2.6117655495672724E-6</v>
      </c>
    </row>
    <row r="95" spans="1:17">
      <c r="A95" s="2" t="s">
        <v>435</v>
      </c>
      <c r="B95" s="16" t="s">
        <v>436</v>
      </c>
      <c r="D95" s="14">
        <v>1</v>
      </c>
      <c r="E95" s="14">
        <v>0.94164950871324704</v>
      </c>
      <c r="F95" s="14">
        <v>0.94028331035297608</v>
      </c>
      <c r="G95" s="14">
        <v>1.5132783311665521E-10</v>
      </c>
      <c r="H95" s="14">
        <v>1.0618459571795889</v>
      </c>
      <c r="I95" s="14">
        <v>3.4100000042379106</v>
      </c>
      <c r="J95" s="14">
        <v>0</v>
      </c>
      <c r="K95" s="14">
        <v>1.0635092519345117</v>
      </c>
      <c r="L95" s="14">
        <v>0.94028331035297608</v>
      </c>
      <c r="M95" s="14">
        <v>0.77150245614461688</v>
      </c>
      <c r="N95" s="14">
        <v>0.92694850813640384</v>
      </c>
      <c r="O95" s="14">
        <v>242.01698598933365</v>
      </c>
      <c r="P95" s="8">
        <v>0.92694850813640384</v>
      </c>
      <c r="Q95" s="54">
        <v>3.9079984206326301E-2</v>
      </c>
    </row>
    <row r="96" spans="1:17">
      <c r="A96" s="2" t="s">
        <v>437</v>
      </c>
      <c r="B96" s="164" t="s">
        <v>438</v>
      </c>
      <c r="D96" s="14">
        <v>1</v>
      </c>
      <c r="E96" s="14">
        <v>0.91171911319304633</v>
      </c>
      <c r="F96" s="14">
        <v>5.2631458923949222E-4</v>
      </c>
      <c r="G96" s="14">
        <v>5.4286756742847822E-10</v>
      </c>
      <c r="H96" s="14">
        <v>61.300696450667452</v>
      </c>
      <c r="I96" s="14">
        <v>1830.3012631488768</v>
      </c>
      <c r="J96" s="14">
        <v>0</v>
      </c>
      <c r="K96" s="14">
        <v>1900.004332855314</v>
      </c>
      <c r="L96" s="14">
        <v>5.2631458923949222E-4</v>
      </c>
      <c r="M96" s="14">
        <v>4.3184112047100337E-4</v>
      </c>
      <c r="N96" s="14">
        <v>23.409497446945647</v>
      </c>
      <c r="O96" s="14">
        <v>9745.373787163473</v>
      </c>
      <c r="P96" s="8">
        <v>23.409497446945647</v>
      </c>
      <c r="Q96" s="54">
        <v>5.1846874334911648E-2</v>
      </c>
    </row>
    <row r="97" spans="1:17">
      <c r="A97" s="2" t="s">
        <v>439</v>
      </c>
      <c r="B97" s="16" t="s">
        <v>440</v>
      </c>
      <c r="D97" s="14">
        <v>1</v>
      </c>
      <c r="E97" s="14">
        <v>0.72955605629554432</v>
      </c>
      <c r="F97" s="14">
        <v>0.6022353639503607</v>
      </c>
      <c r="G97" s="14">
        <v>4.431744780513968E-7</v>
      </c>
      <c r="H97" s="14">
        <v>29.130386992278506</v>
      </c>
      <c r="I97" s="14">
        <v>71.516034458881705</v>
      </c>
      <c r="J97" s="14">
        <v>0</v>
      </c>
      <c r="K97" s="14">
        <v>1.6604803700674493</v>
      </c>
      <c r="L97" s="14">
        <v>0.6022353639503607</v>
      </c>
      <c r="M97" s="14">
        <v>0.49413411612127095</v>
      </c>
      <c r="N97" s="14">
        <v>1.4131456897016108</v>
      </c>
      <c r="O97" s="14">
        <v>270.29237606922715</v>
      </c>
      <c r="P97" s="8">
        <v>1.4131456897016108</v>
      </c>
      <c r="Q97" s="54">
        <v>0.18205534121409725</v>
      </c>
    </row>
    <row r="98" spans="1:17">
      <c r="A98" s="2" t="s">
        <v>441</v>
      </c>
      <c r="B98" s="16" t="s">
        <v>442</v>
      </c>
      <c r="D98" s="14">
        <v>1</v>
      </c>
      <c r="E98" s="14">
        <v>0.7761845699983082</v>
      </c>
      <c r="F98" s="14">
        <v>0.69949094613642393</v>
      </c>
      <c r="G98" s="14">
        <v>3.0201644084757028E-19</v>
      </c>
      <c r="H98" s="14">
        <v>17.660463503835267</v>
      </c>
      <c r="I98" s="14">
        <v>45.484064669496192</v>
      </c>
      <c r="J98" s="14">
        <v>0</v>
      </c>
      <c r="K98" s="14">
        <v>1.4296110700551754</v>
      </c>
      <c r="L98" s="14">
        <v>0.69949094613642393</v>
      </c>
      <c r="M98" s="14">
        <v>0.57393232130493588</v>
      </c>
      <c r="N98" s="14">
        <v>1.1916749871845007</v>
      </c>
      <c r="O98" s="14">
        <v>467.68476547042911</v>
      </c>
      <c r="P98" s="8">
        <v>1.1916749871845007</v>
      </c>
      <c r="Q98" s="54">
        <v>0.15068126874913068</v>
      </c>
    </row>
    <row r="99" spans="1:17">
      <c r="A99" s="2" t="s">
        <v>443</v>
      </c>
      <c r="B99" s="16" t="s">
        <v>444</v>
      </c>
      <c r="D99" s="14">
        <v>1</v>
      </c>
      <c r="E99" s="14">
        <v>0.88253547557607015</v>
      </c>
      <c r="F99" s="14">
        <v>0.8664953333319243</v>
      </c>
      <c r="G99" s="14">
        <v>4.6671817736869298E-31</v>
      </c>
      <c r="H99" s="14">
        <v>4.199776973576606</v>
      </c>
      <c r="I99" s="14">
        <v>12.214716704671616</v>
      </c>
      <c r="J99" s="14">
        <v>0</v>
      </c>
      <c r="K99" s="14">
        <v>1.154074305460725</v>
      </c>
      <c r="L99" s="14">
        <v>0.8664953333319243</v>
      </c>
      <c r="M99" s="14">
        <v>0.71095942099884391</v>
      </c>
      <c r="N99" s="14">
        <v>0.9514374093795015</v>
      </c>
      <c r="O99" s="14">
        <v>743.01553048082803</v>
      </c>
      <c r="P99" s="8">
        <v>0.95143740937950161</v>
      </c>
      <c r="Q99" s="54">
        <v>7.89738660630004E-2</v>
      </c>
    </row>
    <row r="100" spans="1:17">
      <c r="A100" s="2" t="s">
        <v>445</v>
      </c>
      <c r="B100" s="16" t="s">
        <v>446</v>
      </c>
      <c r="D100" s="14">
        <v>1</v>
      </c>
      <c r="E100" s="14">
        <v>0.87791137450535628</v>
      </c>
      <c r="F100" s="14">
        <v>3.3927142594932951E-3</v>
      </c>
      <c r="G100" s="14">
        <v>5.5890213910402259E-10</v>
      </c>
      <c r="H100" s="14">
        <v>151.14969811684142</v>
      </c>
      <c r="I100" s="14">
        <v>901.91260144430873</v>
      </c>
      <c r="J100" s="14">
        <v>0</v>
      </c>
      <c r="K100" s="14">
        <v>294.74925487811367</v>
      </c>
      <c r="L100" s="14">
        <v>3.3927142594932951E-3</v>
      </c>
      <c r="M100" s="14">
        <v>2.7837220499142487E-3</v>
      </c>
      <c r="N100" s="14">
        <v>11.331471312500703</v>
      </c>
      <c r="O100" s="14">
        <v>3471.9628101502149</v>
      </c>
      <c r="P100" s="8">
        <v>11.331471312500703</v>
      </c>
      <c r="Q100" s="54">
        <v>7.8661904118970019E-2</v>
      </c>
    </row>
    <row r="101" spans="1:17">
      <c r="A101" s="2" t="s">
        <v>447</v>
      </c>
      <c r="B101" s="16" t="s">
        <v>448</v>
      </c>
      <c r="D101" s="14">
        <v>1</v>
      </c>
      <c r="E101" s="14">
        <v>0.68587464204278803</v>
      </c>
      <c r="F101" s="14">
        <v>0.17765705831117085</v>
      </c>
      <c r="G101" s="14">
        <v>4.928229844037197E-11</v>
      </c>
      <c r="H101" s="14">
        <v>118.70321089438214</v>
      </c>
      <c r="I101" s="14">
        <v>240.17048630774576</v>
      </c>
      <c r="J101" s="14">
        <v>0</v>
      </c>
      <c r="K101" s="14">
        <v>5.6288222348502162</v>
      </c>
      <c r="L101" s="14">
        <v>0.17765705831117087</v>
      </c>
      <c r="M101" s="14">
        <v>0.1457676163443157</v>
      </c>
      <c r="N101" s="14">
        <v>3.0734635654297313</v>
      </c>
      <c r="O101" s="14">
        <v>1035.203998108042</v>
      </c>
      <c r="P101" s="8">
        <v>3.0734635654297313</v>
      </c>
      <c r="Q101" s="54">
        <v>0.21101806555295252</v>
      </c>
    </row>
    <row r="102" spans="1:17">
      <c r="A102" s="2" t="s">
        <v>449</v>
      </c>
      <c r="B102" s="16" t="s">
        <v>450</v>
      </c>
      <c r="D102" s="14">
        <v>1</v>
      </c>
      <c r="E102" s="14">
        <v>0.80769572315597793</v>
      </c>
      <c r="F102" s="14">
        <v>3.9101667458097511E-2</v>
      </c>
      <c r="G102" s="14">
        <v>2.1876798445916106E-6</v>
      </c>
      <c r="H102" s="14">
        <v>183.71950978054886</v>
      </c>
      <c r="I102" s="14">
        <v>321.96780638530521</v>
      </c>
      <c r="J102" s="14">
        <v>0</v>
      </c>
      <c r="K102" s="14">
        <v>25.574356926635652</v>
      </c>
      <c r="L102" s="14">
        <v>3.9101667458097511E-2</v>
      </c>
      <c r="M102" s="14">
        <v>3.2082918149369012E-2</v>
      </c>
      <c r="N102" s="14">
        <v>3.9836326586362181</v>
      </c>
      <c r="O102" s="14">
        <v>1852.7477132051185</v>
      </c>
      <c r="P102" s="8">
        <v>3.9836326586362185</v>
      </c>
      <c r="Q102" s="54">
        <v>0.12835489881731202</v>
      </c>
    </row>
    <row r="103" spans="1:17">
      <c r="A103" s="2" t="s">
        <v>451</v>
      </c>
      <c r="B103" s="16" t="s">
        <v>452</v>
      </c>
      <c r="D103" s="14">
        <v>1</v>
      </c>
      <c r="E103" s="14">
        <v>0.99944669163421351</v>
      </c>
      <c r="F103" s="14">
        <v>0.89791925049056476</v>
      </c>
      <c r="G103" s="14">
        <v>4.8879694282709478E-21</v>
      </c>
      <c r="H103" s="14">
        <v>29.848140648957457</v>
      </c>
      <c r="I103" s="14">
        <v>2.6819711761571392E-2</v>
      </c>
      <c r="J103" s="14">
        <v>0</v>
      </c>
      <c r="K103" s="14">
        <v>1.1136858904112648</v>
      </c>
      <c r="L103" s="14">
        <v>0.89791925049056476</v>
      </c>
      <c r="M103" s="14">
        <v>0.73674274502750836</v>
      </c>
      <c r="N103" s="14">
        <v>0.88890047958479435</v>
      </c>
      <c r="O103" s="14">
        <v>293.99494461787486</v>
      </c>
      <c r="P103" s="8">
        <v>0.88890047958479435</v>
      </c>
      <c r="Q103" s="54">
        <v>7.9479313283190313E-5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0.99905734117889744</v>
      </c>
      <c r="F104" s="14">
        <v>1.1148872787308578E-2</v>
      </c>
      <c r="G104" s="14">
        <v>1.254105067412782E-22</v>
      </c>
      <c r="H104" s="14">
        <v>280.49876924752431</v>
      </c>
      <c r="I104" s="14">
        <v>2.7501616757198142</v>
      </c>
      <c r="J104" s="14">
        <v>0</v>
      </c>
      <c r="K104" s="14">
        <v>89.695166415241474</v>
      </c>
      <c r="L104" s="14">
        <v>1.1148872787308578E-2</v>
      </c>
      <c r="M104" s="14">
        <v>9.1476501219866883E-3</v>
      </c>
      <c r="N104" s="14">
        <v>0.50846135953232796</v>
      </c>
      <c r="O104" s="14">
        <v>251.17991160896997</v>
      </c>
      <c r="P104" s="8">
        <v>0.50846135953232796</v>
      </c>
      <c r="Q104" s="54">
        <v>4.6812110957882041E-4</v>
      </c>
    </row>
    <row r="105" spans="1:17">
      <c r="A105" s="2" t="s">
        <v>455</v>
      </c>
      <c r="B105" s="164">
        <v>354656</v>
      </c>
      <c r="D105" s="14">
        <v>1</v>
      </c>
      <c r="E105" s="14">
        <v>0.96945841195779292</v>
      </c>
      <c r="F105" s="14">
        <v>0.97188495946011311</v>
      </c>
      <c r="G105" s="14">
        <v>4.0937691498000115E-12</v>
      </c>
      <c r="H105" s="14">
        <v>0.27918678731954261</v>
      </c>
      <c r="I105" s="14">
        <v>0.9998895556157682</v>
      </c>
      <c r="J105" s="14">
        <v>0</v>
      </c>
      <c r="K105" s="14">
        <v>1.0289283626279235</v>
      </c>
      <c r="L105" s="14">
        <v>0.97188495946011311</v>
      </c>
      <c r="M105" s="14">
        <v>0.79743160923702283</v>
      </c>
      <c r="N105" s="14">
        <v>0.91792095643970939</v>
      </c>
      <c r="O105" s="14">
        <v>181.00483340034629</v>
      </c>
      <c r="P105" s="8">
        <v>0.91792095643970939</v>
      </c>
      <c r="Q105" s="54">
        <v>2.0311969323450883E-2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0.93894740880291327</v>
      </c>
      <c r="F106" s="14">
        <v>0.93715338759809153</v>
      </c>
      <c r="G106" s="14">
        <v>6.0664535666572699E-12</v>
      </c>
      <c r="H106" s="14">
        <v>1.15088496131817</v>
      </c>
      <c r="I106" s="14">
        <v>3.6793324292953034</v>
      </c>
      <c r="J106" s="14">
        <v>0</v>
      </c>
      <c r="K106" s="14">
        <v>1.0670611804146417</v>
      </c>
      <c r="L106" s="14">
        <v>0.93715338759809164</v>
      </c>
      <c r="M106" s="14">
        <v>0.7689343545242342</v>
      </c>
      <c r="N106" s="14">
        <v>0.92575274636507676</v>
      </c>
      <c r="O106" s="14">
        <v>148.28707491275802</v>
      </c>
      <c r="P106" s="8">
        <v>0.92575274636507687</v>
      </c>
      <c r="Q106" s="54">
        <v>4.0904305968636374E-2</v>
      </c>
    </row>
    <row r="107" spans="1:17">
      <c r="A107" s="2" t="s">
        <v>459</v>
      </c>
      <c r="B107" s="16" t="s">
        <v>460</v>
      </c>
      <c r="D107" s="14">
        <v>1</v>
      </c>
      <c r="E107" s="14">
        <v>0.85893893632005469</v>
      </c>
      <c r="F107" s="14">
        <v>2.1023972645275033E-2</v>
      </c>
      <c r="G107" s="14">
        <v>5.1127109031084465E-22</v>
      </c>
      <c r="H107" s="14">
        <v>202.69912640960354</v>
      </c>
      <c r="I107" s="14">
        <v>328.4745188689235</v>
      </c>
      <c r="J107" s="14">
        <v>0</v>
      </c>
      <c r="K107" s="14">
        <v>47.564749863044639</v>
      </c>
      <c r="L107" s="14">
        <v>2.1023972645275037E-2</v>
      </c>
      <c r="M107" s="14">
        <v>1.7250169555448166E-2</v>
      </c>
      <c r="N107" s="14">
        <v>7.3351743663599018</v>
      </c>
      <c r="O107" s="14">
        <v>3898.1317135146423</v>
      </c>
      <c r="P107" s="8">
        <v>7.3351743663599018</v>
      </c>
      <c r="Q107" s="54">
        <v>9.2790109062289558E-2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0.99948450960042035</v>
      </c>
      <c r="F108" s="14">
        <v>1.0033870701159933</v>
      </c>
      <c r="G108" s="14">
        <v>1.2224901925032758E-11</v>
      </c>
      <c r="H108" s="14">
        <v>2.4979818099836941E-3</v>
      </c>
      <c r="I108" s="14">
        <v>6.7036675522151752E-4</v>
      </c>
      <c r="J108" s="14">
        <v>0</v>
      </c>
      <c r="K108" s="14">
        <v>0.99662436340185079</v>
      </c>
      <c r="L108" s="14">
        <v>1.0033870701159933</v>
      </c>
      <c r="M108" s="14">
        <v>0.82327909103017249</v>
      </c>
      <c r="N108" s="14">
        <v>0.93861909280774969</v>
      </c>
      <c r="O108" s="14">
        <v>121.23204202704895</v>
      </c>
      <c r="P108" s="8">
        <v>0.93861909280774969</v>
      </c>
      <c r="Q108" s="54">
        <v>3.7507012107315732E-5</v>
      </c>
    </row>
    <row r="109" spans="1:17">
      <c r="A109" s="2" t="s">
        <v>463</v>
      </c>
      <c r="B109" s="16" t="s">
        <v>464</v>
      </c>
      <c r="D109" s="14">
        <v>1</v>
      </c>
      <c r="E109" s="14">
        <v>0.97690069202994134</v>
      </c>
      <c r="F109" s="14">
        <v>0.92019572602374911</v>
      </c>
      <c r="G109" s="14">
        <v>3.1085257836140828E-14</v>
      </c>
      <c r="H109" s="14">
        <v>16.324834231848708</v>
      </c>
      <c r="I109" s="14">
        <v>7.5130533241756838</v>
      </c>
      <c r="J109" s="14">
        <v>0</v>
      </c>
      <c r="K109" s="14">
        <v>1.0867253256229439</v>
      </c>
      <c r="L109" s="14">
        <v>0.92019572602374911</v>
      </c>
      <c r="M109" s="14">
        <v>0.75502059320248616</v>
      </c>
      <c r="N109" s="14">
        <v>10.114607474877971</v>
      </c>
      <c r="O109" s="14">
        <v>3032.3593209684154</v>
      </c>
      <c r="P109" s="8">
        <v>10.114607474877971</v>
      </c>
      <c r="Q109" s="54">
        <v>1.2246626455585349E-2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0.99328972884032785</v>
      </c>
      <c r="F110" s="14">
        <v>0.99690833840123472</v>
      </c>
      <c r="G110" s="14">
        <v>2.3209288404140844E-13</v>
      </c>
      <c r="H110" s="14">
        <v>6.3875634705318915E-2</v>
      </c>
      <c r="I110" s="14">
        <v>0.11315229570868864</v>
      </c>
      <c r="J110" s="14">
        <v>0</v>
      </c>
      <c r="K110" s="14">
        <v>1.0031012496131022</v>
      </c>
      <c r="L110" s="14">
        <v>0.99690833840123483</v>
      </c>
      <c r="M110" s="14">
        <v>0.81796329165821313</v>
      </c>
      <c r="N110" s="14">
        <v>0.93111504407827528</v>
      </c>
      <c r="O110" s="14">
        <v>221.75435889768204</v>
      </c>
      <c r="P110" s="8">
        <v>0.93111504407827528</v>
      </c>
      <c r="Q110" s="54">
        <v>4.2214667178501327E-3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0.9995358261822298</v>
      </c>
      <c r="F111" s="14">
        <v>1.003431619042404</v>
      </c>
      <c r="G111" s="14">
        <v>4.1256261306357819E-32</v>
      </c>
      <c r="H111" s="14">
        <v>4.5394975069220148E-3</v>
      </c>
      <c r="I111" s="14">
        <v>3.4724927358784634E-5</v>
      </c>
      <c r="J111" s="14">
        <v>0</v>
      </c>
      <c r="K111" s="14">
        <v>0.99658011669427082</v>
      </c>
      <c r="L111" s="14">
        <v>1.003431619042404</v>
      </c>
      <c r="M111" s="14">
        <v>0.82331564342429253</v>
      </c>
      <c r="N111" s="14">
        <v>0.93582936533565309</v>
      </c>
      <c r="O111" s="14">
        <v>430.88391468149479</v>
      </c>
      <c r="P111" s="8">
        <v>0.9358293653356532</v>
      </c>
      <c r="Q111" s="54">
        <v>3.7917644099951195E-6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0.99144258028318666</v>
      </c>
      <c r="F112" s="14">
        <v>0.99520857104105087</v>
      </c>
      <c r="G112" s="14">
        <v>2.6077898781398894E-15</v>
      </c>
      <c r="H112" s="14">
        <v>2.2031502071387616E-2</v>
      </c>
      <c r="I112" s="14">
        <v>9.530183840569087E-2</v>
      </c>
      <c r="J112" s="14">
        <v>0</v>
      </c>
      <c r="K112" s="14">
        <v>1.0048144972806423</v>
      </c>
      <c r="L112" s="14">
        <v>0.99520857104105098</v>
      </c>
      <c r="M112" s="14">
        <v>0.81656863253918233</v>
      </c>
      <c r="N112" s="14">
        <v>0.92922747391963267</v>
      </c>
      <c r="O112" s="14">
        <v>190.7239390220046</v>
      </c>
      <c r="P112" s="8">
        <v>0.92922747391963267</v>
      </c>
      <c r="Q112" s="54">
        <v>5.4689163216917608E-3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0.9541015961180509</v>
      </c>
      <c r="F113" s="14">
        <v>0.95481959213363388</v>
      </c>
      <c r="G113" s="14">
        <v>3.2092962561829693E-11</v>
      </c>
      <c r="H113" s="14">
        <v>0.62601007356350302</v>
      </c>
      <c r="I113" s="14">
        <v>2.1097864199076906</v>
      </c>
      <c r="J113" s="14">
        <v>0</v>
      </c>
      <c r="K113" s="14">
        <v>1.0473182664438274</v>
      </c>
      <c r="L113" s="14">
        <v>0.95481959213363399</v>
      </c>
      <c r="M113" s="14">
        <v>0.78342947534564666</v>
      </c>
      <c r="N113" s="14">
        <v>0.91492633353997432</v>
      </c>
      <c r="O113" s="14">
        <v>138.30026457790251</v>
      </c>
      <c r="P113" s="8">
        <v>0.91492633353997432</v>
      </c>
      <c r="Q113" s="54">
        <v>3.0678808785849842E-2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0.99534233548747586</v>
      </c>
      <c r="F114" s="14">
        <v>0.99920368794177272</v>
      </c>
      <c r="G114" s="14">
        <v>2.5598433397655364E-18</v>
      </c>
      <c r="H114" s="14">
        <v>6.4152565432093146E-3</v>
      </c>
      <c r="I114" s="14">
        <v>2.9925695141067226E-2</v>
      </c>
      <c r="J114" s="14">
        <v>0</v>
      </c>
      <c r="K114" s="14">
        <v>1.0007969466764755</v>
      </c>
      <c r="L114" s="14">
        <v>0.99920368794177283</v>
      </c>
      <c r="M114" s="14">
        <v>0.8198466259562246</v>
      </c>
      <c r="N114" s="14">
        <v>0.93220936943373189</v>
      </c>
      <c r="O114" s="14">
        <v>316.35457161103125</v>
      </c>
      <c r="P114" s="8">
        <v>0.93220936943373189</v>
      </c>
      <c r="Q114" s="54">
        <v>2.8355952970136175E-3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0.9994791761264834</v>
      </c>
      <c r="F115" s="14">
        <v>0.97584011877588761</v>
      </c>
      <c r="G115" s="14">
        <v>1.3238313474936267E-14</v>
      </c>
      <c r="H115" s="14">
        <v>7.7989954841947382</v>
      </c>
      <c r="I115" s="14">
        <v>8.6493632658537836E-3</v>
      </c>
      <c r="J115" s="14">
        <v>0</v>
      </c>
      <c r="K115" s="14">
        <v>1.0247580323449081</v>
      </c>
      <c r="L115" s="14">
        <v>0.97584011877588761</v>
      </c>
      <c r="M115" s="14">
        <v>0.80067681745561581</v>
      </c>
      <c r="N115" s="14">
        <v>0.92484064336164606</v>
      </c>
      <c r="O115" s="14">
        <v>177.68963280907306</v>
      </c>
      <c r="P115" s="8">
        <v>0.92484064336164618</v>
      </c>
      <c r="Q115" s="54">
        <v>4.5665071027591439E-5</v>
      </c>
    </row>
    <row r="116" spans="1:17">
      <c r="A116" s="2" t="s">
        <v>477</v>
      </c>
      <c r="B116" s="16" t="s">
        <v>478</v>
      </c>
      <c r="D116" s="14">
        <v>1</v>
      </c>
      <c r="E116" s="14">
        <v>0.932610675482065</v>
      </c>
      <c r="F116" s="14">
        <v>0.12862809362976116</v>
      </c>
      <c r="G116" s="14">
        <v>3.5736761393525811E-19</v>
      </c>
      <c r="H116" s="14">
        <v>223.24345691547757</v>
      </c>
      <c r="I116" s="14">
        <v>50.063807371299504</v>
      </c>
      <c r="J116" s="14">
        <v>0</v>
      </c>
      <c r="K116" s="14">
        <v>7.7743514016336652</v>
      </c>
      <c r="L116" s="14">
        <v>0.12862809362976116</v>
      </c>
      <c r="M116" s="14">
        <v>0.10553935082321904</v>
      </c>
      <c r="N116" s="14">
        <v>100.0471244819409</v>
      </c>
      <c r="O116" s="14">
        <v>45481.422789490331</v>
      </c>
      <c r="P116" s="8">
        <v>100.0471244819409</v>
      </c>
      <c r="Q116" s="54">
        <v>1.2397207627204261E-2</v>
      </c>
    </row>
    <row r="117" spans="1:17">
      <c r="A117" s="2" t="s">
        <v>291</v>
      </c>
      <c r="B117" s="16" t="s">
        <v>479</v>
      </c>
      <c r="D117" s="14">
        <v>1</v>
      </c>
      <c r="E117" s="14">
        <v>0.68544755806525037</v>
      </c>
      <c r="F117" s="14">
        <v>0.47374736094905195</v>
      </c>
      <c r="G117" s="14">
        <v>3.2670463160294955E-12</v>
      </c>
      <c r="H117" s="14">
        <v>48.520671619478719</v>
      </c>
      <c r="I117" s="14">
        <v>112.71558632144293</v>
      </c>
      <c r="J117" s="14">
        <v>0</v>
      </c>
      <c r="K117" s="14">
        <v>2.1108297004477512</v>
      </c>
      <c r="L117" s="14">
        <v>0.47374736094905195</v>
      </c>
      <c r="M117" s="14">
        <v>0.38870970965869717</v>
      </c>
      <c r="N117" s="14">
        <v>1.7902624190469607</v>
      </c>
      <c r="O117" s="14">
        <v>551.99161166474937</v>
      </c>
      <c r="P117" s="8">
        <v>1.7902624190469609</v>
      </c>
      <c r="Q117" s="54">
        <v>0.2117307688123832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2.6206349402987729E-8</v>
      </c>
      <c r="E2" s="20">
        <v>0.97618807936673813</v>
      </c>
      <c r="F2" s="20">
        <v>6.0017892589577459E-4</v>
      </c>
      <c r="G2" s="20">
        <v>2.4086644194618064E-4</v>
      </c>
      <c r="H2" s="20">
        <v>0</v>
      </c>
      <c r="I2" s="20">
        <v>0.97534703399889622</v>
      </c>
      <c r="J2" s="20">
        <v>4.5102898574499195E-4</v>
      </c>
      <c r="K2" s="20">
        <v>2.3360865441167396E-2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1.9968590146844606E-8</v>
      </c>
      <c r="E3" s="20">
        <v>0.69733760916741649</v>
      </c>
      <c r="F3" s="20">
        <v>0.18546020966763349</v>
      </c>
      <c r="G3" s="20">
        <v>4.5054579345083785E-2</v>
      </c>
      <c r="H3" s="20">
        <v>0</v>
      </c>
      <c r="I3" s="20">
        <v>0.46682282015469923</v>
      </c>
      <c r="J3" s="20">
        <v>1.4647273253793366E-3</v>
      </c>
      <c r="K3" s="20">
        <v>0.30119764353861417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1.3597281568570025E-17</v>
      </c>
      <c r="E4" s="20">
        <v>0.99946635517462379</v>
      </c>
      <c r="F4" s="20">
        <v>4.2162495325876544E-4</v>
      </c>
      <c r="G4" s="20">
        <v>4.6432487212698878E-7</v>
      </c>
      <c r="H4" s="20">
        <v>0</v>
      </c>
      <c r="I4" s="20">
        <v>0.99904426589649287</v>
      </c>
      <c r="J4" s="20">
        <v>5.1300364265485397E-4</v>
      </c>
      <c r="K4" s="20">
        <v>2.0641182721332003E-5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2.2638657829282458E-10</v>
      </c>
      <c r="E5" s="20">
        <v>0.99946506682923986</v>
      </c>
      <c r="F5" s="20">
        <v>0.45199492181885526</v>
      </c>
      <c r="G5" s="20">
        <v>3.5875075296442127E-5</v>
      </c>
      <c r="H5" s="20">
        <v>0</v>
      </c>
      <c r="I5" s="20">
        <v>0.54743426993508815</v>
      </c>
      <c r="J5" s="20">
        <v>3.4686903843689638E-4</v>
      </c>
      <c r="K5" s="20">
        <v>1.8806390593665838E-4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1.8572484310150336E-11</v>
      </c>
      <c r="E6" s="20">
        <v>0.99900942669557613</v>
      </c>
      <c r="F6" s="20">
        <v>0.67480500100781871</v>
      </c>
      <c r="G6" s="20">
        <v>1.9569098464672233E-4</v>
      </c>
      <c r="H6" s="20">
        <v>0</v>
      </c>
      <c r="I6" s="20">
        <v>0.3240087347031107</v>
      </c>
      <c r="J6" s="20">
        <v>2.8542013792618576E-4</v>
      </c>
      <c r="K6" s="20">
        <v>7.0515314792506069E-4</v>
      </c>
      <c r="L6" s="20">
        <v>0</v>
      </c>
    </row>
    <row r="7" spans="1:14">
      <c r="A7" s="2" t="s">
        <v>366</v>
      </c>
      <c r="B7" s="3" t="s">
        <v>305</v>
      </c>
      <c r="D7" s="20">
        <v>1.6201195773260042E-7</v>
      </c>
      <c r="E7" s="20">
        <v>0.9960375028041506</v>
      </c>
      <c r="F7" s="20">
        <v>0.88663048321080651</v>
      </c>
      <c r="G7" s="20">
        <v>1.8048360722023127E-3</v>
      </c>
      <c r="H7" s="20">
        <v>0</v>
      </c>
      <c r="I7" s="20">
        <v>0.10760218352114174</v>
      </c>
      <c r="J7" s="20">
        <v>2.3712833340266558E-4</v>
      </c>
      <c r="K7" s="20">
        <v>3.7252068504892355E-3</v>
      </c>
      <c r="L7" s="20">
        <v>0</v>
      </c>
    </row>
    <row r="8" spans="1:14">
      <c r="A8" s="2" t="s">
        <v>289</v>
      </c>
      <c r="B8" s="3" t="s">
        <v>290</v>
      </c>
      <c r="D8" s="20">
        <v>1.1507381417589841E-17</v>
      </c>
      <c r="E8" s="20">
        <v>0.99939695787459981</v>
      </c>
      <c r="F8" s="20">
        <v>0.76952650768948638</v>
      </c>
      <c r="G8" s="20">
        <v>1.1701678707525045E-4</v>
      </c>
      <c r="H8" s="20">
        <v>0</v>
      </c>
      <c r="I8" s="20">
        <v>0.22975343339803814</v>
      </c>
      <c r="J8" s="20">
        <v>2.5521712036714254E-4</v>
      </c>
      <c r="K8" s="20">
        <v>3.4782500503299595E-4</v>
      </c>
      <c r="L8" s="20">
        <v>0</v>
      </c>
    </row>
    <row r="9" spans="1:14">
      <c r="A9" s="2" t="s">
        <v>291</v>
      </c>
      <c r="B9" s="3" t="s">
        <v>292</v>
      </c>
      <c r="D9" s="20">
        <v>4.8229281214951086E-13</v>
      </c>
      <c r="E9" s="20">
        <v>0.99877888734444009</v>
      </c>
      <c r="F9" s="20">
        <v>0.38488537136791368</v>
      </c>
      <c r="G9" s="20">
        <v>1.4588255246493958E-4</v>
      </c>
      <c r="H9" s="20">
        <v>0</v>
      </c>
      <c r="I9" s="20">
        <v>0.61374763342406147</v>
      </c>
      <c r="J9" s="20">
        <v>3.6621134228851477E-4</v>
      </c>
      <c r="K9" s="20">
        <v>8.5490131278900719E-4</v>
      </c>
      <c r="L9" s="20">
        <v>0</v>
      </c>
    </row>
    <row r="10" spans="1:14">
      <c r="A10" s="2" t="s">
        <v>367</v>
      </c>
      <c r="B10" s="3" t="s">
        <v>368</v>
      </c>
      <c r="D10" s="20">
        <v>1.4521135651367418E-5</v>
      </c>
      <c r="E10" s="20">
        <v>0.88752074498110534</v>
      </c>
      <c r="F10" s="20">
        <v>0.74674925389968905</v>
      </c>
      <c r="G10" s="20">
        <v>0.13042785522368308</v>
      </c>
      <c r="H10" s="20">
        <v>0</v>
      </c>
      <c r="I10" s="20">
        <v>1.0343635857733253E-2</v>
      </c>
      <c r="J10" s="20">
        <v>2.0866162847693326E-3</v>
      </c>
      <c r="K10" s="20">
        <v>0.11037811759847396</v>
      </c>
      <c r="L10" s="20">
        <v>0</v>
      </c>
    </row>
    <row r="11" spans="1:14">
      <c r="A11" s="2" t="s">
        <v>369</v>
      </c>
      <c r="B11" s="3" t="s">
        <v>370</v>
      </c>
      <c r="D11" s="20">
        <v>5.9701457965340785E-12</v>
      </c>
      <c r="E11" s="20">
        <v>0.96896790023290458</v>
      </c>
      <c r="F11" s="20">
        <v>0.55954050132694644</v>
      </c>
      <c r="G11" s="20">
        <v>0.40881413140121969</v>
      </c>
      <c r="H11" s="20">
        <v>0</v>
      </c>
      <c r="I11" s="20">
        <v>6.1326750473845895E-4</v>
      </c>
      <c r="J11" s="20">
        <v>1.3255916041788581E-2</v>
      </c>
      <c r="K11" s="20">
        <v>1.7776183719336595E-2</v>
      </c>
      <c r="L11" s="20">
        <v>0</v>
      </c>
    </row>
    <row r="12" spans="1:14">
      <c r="A12" s="2" t="s">
        <v>371</v>
      </c>
      <c r="B12" s="3" t="s">
        <v>372</v>
      </c>
      <c r="D12" s="20">
        <v>7.4927133266183346E-2</v>
      </c>
      <c r="E12" s="20">
        <v>0.92045529562231232</v>
      </c>
      <c r="F12" s="20">
        <v>2.5872280158654802E-5</v>
      </c>
      <c r="G12" s="20">
        <v>1.2823973748719474E-5</v>
      </c>
      <c r="H12" s="20">
        <v>0</v>
      </c>
      <c r="I12" s="20">
        <v>0.92041659936840492</v>
      </c>
      <c r="J12" s="20">
        <v>4.2253937354952897E-4</v>
      </c>
      <c r="K12" s="20">
        <v>4.1950317379547833E-3</v>
      </c>
      <c r="L12" s="20">
        <v>0</v>
      </c>
    </row>
    <row r="13" spans="1:14">
      <c r="A13" s="2" t="s">
        <v>293</v>
      </c>
      <c r="B13" s="3" t="s">
        <v>294</v>
      </c>
      <c r="D13" s="20">
        <v>1.7520369695371644E-8</v>
      </c>
      <c r="E13" s="20">
        <v>0.70106058816645245</v>
      </c>
      <c r="F13" s="20">
        <v>0.1405456734391537</v>
      </c>
      <c r="G13" s="20">
        <v>3.6050644741599018E-2</v>
      </c>
      <c r="H13" s="20">
        <v>0</v>
      </c>
      <c r="I13" s="20">
        <v>0.52446426998569973</v>
      </c>
      <c r="J13" s="20">
        <v>7.9567376483236291E-4</v>
      </c>
      <c r="K13" s="20">
        <v>0.29814372054834531</v>
      </c>
      <c r="L13" s="20">
        <v>0</v>
      </c>
    </row>
    <row r="14" spans="1:14">
      <c r="A14" s="2" t="s">
        <v>373</v>
      </c>
      <c r="B14" s="3" t="s">
        <v>374</v>
      </c>
      <c r="D14" s="20">
        <v>8.5777941350675663E-8</v>
      </c>
      <c r="E14" s="20">
        <v>0.99885029817255122</v>
      </c>
      <c r="F14" s="20">
        <v>0.988497007695747</v>
      </c>
      <c r="G14" s="20">
        <v>1.5486062557916488E-3</v>
      </c>
      <c r="H14" s="20">
        <v>0</v>
      </c>
      <c r="I14" s="20">
        <v>8.8046842210125348E-3</v>
      </c>
      <c r="J14" s="20">
        <v>3.67891699819894E-4</v>
      </c>
      <c r="K14" s="20">
        <v>7.8172434968753601E-4</v>
      </c>
      <c r="L14" s="20">
        <v>0</v>
      </c>
    </row>
    <row r="15" spans="1:14">
      <c r="A15" s="2" t="s">
        <v>375</v>
      </c>
      <c r="B15" s="3" t="s">
        <v>376</v>
      </c>
      <c r="D15" s="20">
        <v>8.5122873476443067E-2</v>
      </c>
      <c r="E15" s="20">
        <v>0.78722541795432832</v>
      </c>
      <c r="F15" s="20">
        <v>1.9458998764093554E-2</v>
      </c>
      <c r="G15" s="20">
        <v>5.93493607925525E-3</v>
      </c>
      <c r="H15" s="20">
        <v>0</v>
      </c>
      <c r="I15" s="20">
        <v>0.76183148311097948</v>
      </c>
      <c r="J15" s="20">
        <v>4.3953403471942926E-4</v>
      </c>
      <c r="K15" s="20">
        <v>0.12721217453450911</v>
      </c>
      <c r="L15" s="20">
        <v>0</v>
      </c>
    </row>
    <row r="16" spans="1:14">
      <c r="A16" s="2" t="s">
        <v>377</v>
      </c>
      <c r="B16" s="3" t="s">
        <v>378</v>
      </c>
      <c r="D16" s="20">
        <v>6.6650823928475044E-4</v>
      </c>
      <c r="E16" s="20">
        <v>0.68981971153448918</v>
      </c>
      <c r="F16" s="20">
        <v>0.16013259344267711</v>
      </c>
      <c r="G16" s="20">
        <v>4.0473922218360443E-2</v>
      </c>
      <c r="H16" s="20">
        <v>0</v>
      </c>
      <c r="I16" s="20">
        <v>0.48921319587345163</v>
      </c>
      <c r="J16" s="20">
        <v>8.4839903894374233E-4</v>
      </c>
      <c r="K16" s="20">
        <v>0.30866538118728232</v>
      </c>
      <c r="L16" s="20">
        <v>0</v>
      </c>
    </row>
    <row r="17" spans="1:12">
      <c r="A17" s="2" t="s">
        <v>379</v>
      </c>
      <c r="B17" s="3" t="s">
        <v>380</v>
      </c>
      <c r="D17" s="20">
        <v>2.004142118148932E-3</v>
      </c>
      <c r="E17" s="20">
        <v>0.69545761623224012</v>
      </c>
      <c r="F17" s="20">
        <v>0.14743572507906874</v>
      </c>
      <c r="G17" s="20">
        <v>3.7609562836711595E-2</v>
      </c>
      <c r="H17" s="20">
        <v>0</v>
      </c>
      <c r="I17" s="20">
        <v>0.51041232831645977</v>
      </c>
      <c r="J17" s="20">
        <v>8.135057087893361E-4</v>
      </c>
      <c r="K17" s="20">
        <v>0.30172473594082161</v>
      </c>
      <c r="L17" s="20">
        <v>0</v>
      </c>
    </row>
    <row r="18" spans="1:12">
      <c r="A18" s="2" t="s">
        <v>381</v>
      </c>
      <c r="B18" s="3" t="s">
        <v>382</v>
      </c>
      <c r="D18" s="20">
        <v>4.2393395373290991E-8</v>
      </c>
      <c r="E18" s="20">
        <v>0.90658407662786389</v>
      </c>
      <c r="F18" s="20">
        <v>0.24421504556299509</v>
      </c>
      <c r="G18" s="20">
        <v>0.66171041724095725</v>
      </c>
      <c r="H18" s="20">
        <v>0</v>
      </c>
      <c r="I18" s="20">
        <v>6.5861382391153346E-4</v>
      </c>
      <c r="J18" s="20">
        <v>1.0891817908800847E-2</v>
      </c>
      <c r="K18" s="20">
        <v>8.2524063069939813E-2</v>
      </c>
      <c r="L18" s="20">
        <v>0</v>
      </c>
    </row>
    <row r="19" spans="1:12">
      <c r="A19" s="2" t="s">
        <v>383</v>
      </c>
      <c r="B19" s="3" t="s">
        <v>384</v>
      </c>
      <c r="D19" s="20">
        <v>1.1767363980914934E-2</v>
      </c>
      <c r="E19" s="20">
        <v>0.91123382087394611</v>
      </c>
      <c r="F19" s="20">
        <v>6.2828024133106484E-3</v>
      </c>
      <c r="G19" s="20">
        <v>2.1088658652846492E-3</v>
      </c>
      <c r="H19" s="20">
        <v>0</v>
      </c>
      <c r="I19" s="20">
        <v>0.90284215259535083</v>
      </c>
      <c r="J19" s="20">
        <v>4.4592565306019523E-4</v>
      </c>
      <c r="K19" s="20">
        <v>7.655288949207871E-2</v>
      </c>
      <c r="L19" s="20">
        <v>0</v>
      </c>
    </row>
    <row r="20" spans="1:12">
      <c r="A20" s="2" t="s">
        <v>385</v>
      </c>
      <c r="B20" s="3" t="s">
        <v>386</v>
      </c>
      <c r="D20" s="20">
        <v>2.1971946151546986E-2</v>
      </c>
      <c r="E20" s="20">
        <v>0.87638543146878745</v>
      </c>
      <c r="F20" s="20">
        <v>1.1203216813935808E-2</v>
      </c>
      <c r="G20" s="20">
        <v>3.5911892821611125E-3</v>
      </c>
      <c r="H20" s="20">
        <v>0</v>
      </c>
      <c r="I20" s="20">
        <v>0.8615910253726905</v>
      </c>
      <c r="J20" s="20">
        <v>4.4951625234376888E-4</v>
      </c>
      <c r="K20" s="20">
        <v>0.10119310612732189</v>
      </c>
      <c r="L20" s="20">
        <v>0</v>
      </c>
    </row>
    <row r="21" spans="1:12">
      <c r="A21" s="2" t="s">
        <v>387</v>
      </c>
      <c r="B21" s="3" t="s">
        <v>388</v>
      </c>
      <c r="D21" s="20">
        <v>1.8625591927568428E-3</v>
      </c>
      <c r="E21" s="20">
        <v>0.92886898035512211</v>
      </c>
      <c r="F21" s="20">
        <v>0.79087362473263378</v>
      </c>
      <c r="G21" s="20">
        <v>3.1917307990796465E-2</v>
      </c>
      <c r="H21" s="20">
        <v>0</v>
      </c>
      <c r="I21" s="20">
        <v>0.10607804763169182</v>
      </c>
      <c r="J21" s="20">
        <v>6.6612749874823669E-4</v>
      </c>
      <c r="K21" s="20">
        <v>6.8602332953373021E-2</v>
      </c>
      <c r="L21" s="20">
        <v>0</v>
      </c>
    </row>
    <row r="22" spans="1:12">
      <c r="A22" s="2" t="s">
        <v>295</v>
      </c>
      <c r="B22" s="3" t="s">
        <v>296</v>
      </c>
      <c r="D22" s="20">
        <v>6.5525943866261038E-2</v>
      </c>
      <c r="E22" s="20">
        <v>0.90448094615711627</v>
      </c>
      <c r="F22" s="20">
        <v>1.0127156008778188E-3</v>
      </c>
      <c r="G22" s="20">
        <v>3.8885085275539288E-4</v>
      </c>
      <c r="H22" s="20">
        <v>0</v>
      </c>
      <c r="I22" s="20">
        <v>0.90307937970348307</v>
      </c>
      <c r="J22" s="20">
        <v>4.200893455226326E-4</v>
      </c>
      <c r="K22" s="20">
        <v>2.9573020631100091E-2</v>
      </c>
      <c r="L22" s="20">
        <v>0</v>
      </c>
    </row>
    <row r="23" spans="1:12">
      <c r="A23" s="2" t="s">
        <v>389</v>
      </c>
      <c r="B23" s="3" t="s">
        <v>390</v>
      </c>
      <c r="D23" s="20">
        <v>6.8917474863180214E-2</v>
      </c>
      <c r="E23" s="20">
        <v>0.76570515983232179</v>
      </c>
      <c r="F23" s="20">
        <v>3.3620453820900058E-2</v>
      </c>
      <c r="G23" s="20">
        <v>9.8106803713548813E-3</v>
      </c>
      <c r="H23" s="20">
        <v>0</v>
      </c>
      <c r="I23" s="20">
        <v>0.72227402564006682</v>
      </c>
      <c r="J23" s="20">
        <v>4.8074392737458197E-4</v>
      </c>
      <c r="K23" s="20">
        <v>0.16489662137712338</v>
      </c>
      <c r="L23" s="20">
        <v>0</v>
      </c>
    </row>
    <row r="24" spans="1:12">
      <c r="A24" s="2" t="s">
        <v>391</v>
      </c>
      <c r="B24" s="3" t="s">
        <v>392</v>
      </c>
      <c r="D24" s="20">
        <v>1.9679521495387748E-3</v>
      </c>
      <c r="E24" s="20">
        <v>0.66609306051738826</v>
      </c>
      <c r="F24" s="20">
        <v>0.23157344117908021</v>
      </c>
      <c r="G24" s="20">
        <v>5.5896460050526314E-2</v>
      </c>
      <c r="H24" s="20">
        <v>0</v>
      </c>
      <c r="I24" s="20">
        <v>0.37862315928778179</v>
      </c>
      <c r="J24" s="20">
        <v>1.0388592739933855E-3</v>
      </c>
      <c r="K24" s="20">
        <v>0.33090012805907953</v>
      </c>
      <c r="L24" s="20">
        <v>0</v>
      </c>
    </row>
    <row r="25" spans="1:12">
      <c r="A25" s="2" t="s">
        <v>393</v>
      </c>
      <c r="B25" s="3" t="s">
        <v>394</v>
      </c>
      <c r="D25" s="20">
        <v>1.9494511699452217E-4</v>
      </c>
      <c r="E25" s="20">
        <v>0.89897622615400175</v>
      </c>
      <c r="F25" s="20">
        <v>0.29092870667237053</v>
      </c>
      <c r="G25" s="20">
        <v>0.60713061308615246</v>
      </c>
      <c r="H25" s="20">
        <v>0</v>
      </c>
      <c r="I25" s="20">
        <v>9.1690639547874252E-4</v>
      </c>
      <c r="J25" s="20">
        <v>9.9642197061470556E-3</v>
      </c>
      <c r="K25" s="20">
        <v>9.0864609022856438E-2</v>
      </c>
      <c r="L25" s="20">
        <v>0</v>
      </c>
    </row>
    <row r="26" spans="1:12">
      <c r="A26" s="2" t="s">
        <v>395</v>
      </c>
      <c r="B26" s="3" t="s">
        <v>396</v>
      </c>
      <c r="D26" s="20">
        <v>0.13298780116239856</v>
      </c>
      <c r="E26" s="20">
        <v>0.60196777712566507</v>
      </c>
      <c r="F26" s="20">
        <v>0.38307694939329595</v>
      </c>
      <c r="G26" s="20">
        <v>8.2638338280339549E-2</v>
      </c>
      <c r="H26" s="20">
        <v>0</v>
      </c>
      <c r="I26" s="20">
        <v>0.13625248945202953</v>
      </c>
      <c r="J26" s="20">
        <v>1.3540902014907861E-3</v>
      </c>
      <c r="K26" s="20">
        <v>0.26369033151044546</v>
      </c>
      <c r="L26" s="20">
        <v>0</v>
      </c>
    </row>
    <row r="27" spans="1:12">
      <c r="A27" s="2" t="s">
        <v>397</v>
      </c>
      <c r="B27" s="3" t="s">
        <v>398</v>
      </c>
      <c r="D27" s="20">
        <v>0.6037311564550436</v>
      </c>
      <c r="E27" s="20">
        <v>0.31884524543178078</v>
      </c>
      <c r="F27" s="20">
        <v>0.25440040815069048</v>
      </c>
      <c r="G27" s="20">
        <v>4.8329617627171563E-2</v>
      </c>
      <c r="H27" s="20">
        <v>0</v>
      </c>
      <c r="I27" s="20">
        <v>1.6115219653918707E-2</v>
      </c>
      <c r="J27" s="20">
        <v>7.7115709005027492E-4</v>
      </c>
      <c r="K27" s="20">
        <v>7.6652441023125559E-2</v>
      </c>
      <c r="L27" s="20">
        <v>0</v>
      </c>
    </row>
    <row r="28" spans="1:12">
      <c r="A28" s="2" t="s">
        <v>399</v>
      </c>
      <c r="B28" s="3" t="s">
        <v>400</v>
      </c>
      <c r="D28" s="20">
        <v>0.76650257910429942</v>
      </c>
      <c r="E28" s="20">
        <v>0.16633793184127979</v>
      </c>
      <c r="F28" s="20">
        <v>0.11334120755833423</v>
      </c>
      <c r="G28" s="20">
        <v>2.3871702351836156E-2</v>
      </c>
      <c r="H28" s="20">
        <v>0</v>
      </c>
      <c r="I28" s="20">
        <v>2.9125021931109402E-2</v>
      </c>
      <c r="J28" s="20">
        <v>3.8723742990616733E-4</v>
      </c>
      <c r="K28" s="20">
        <v>6.6772251624514639E-2</v>
      </c>
      <c r="L28" s="20">
        <v>0</v>
      </c>
    </row>
    <row r="29" spans="1:12">
      <c r="A29" s="2" t="s">
        <v>297</v>
      </c>
      <c r="B29" s="3" t="s">
        <v>298</v>
      </c>
      <c r="D29" s="20">
        <v>0.93158942983083759</v>
      </c>
      <c r="E29" s="20">
        <v>6.0462703039287698E-2</v>
      </c>
      <c r="F29" s="20">
        <v>9.8786765777598398E-4</v>
      </c>
      <c r="G29" s="20">
        <v>3.1088110182254458E-4</v>
      </c>
      <c r="H29" s="20">
        <v>0</v>
      </c>
      <c r="I29" s="20">
        <v>5.9163954279689172E-2</v>
      </c>
      <c r="J29" s="20">
        <v>3.1845849523193332E-5</v>
      </c>
      <c r="K29" s="20">
        <v>7.9160212803514093E-3</v>
      </c>
      <c r="L29" s="20">
        <v>0</v>
      </c>
    </row>
    <row r="30" spans="1:12">
      <c r="A30" s="2" t="s">
        <v>401</v>
      </c>
      <c r="B30" s="3" t="s">
        <v>402</v>
      </c>
      <c r="D30" s="20">
        <v>0.90903570893295249</v>
      </c>
      <c r="E30" s="20">
        <v>6.4399607862947683E-2</v>
      </c>
      <c r="F30" s="20">
        <v>4.3256876686378738E-2</v>
      </c>
      <c r="G30" s="20">
        <v>9.1611651826711687E-3</v>
      </c>
      <c r="H30" s="20">
        <v>0</v>
      </c>
      <c r="I30" s="20">
        <v>1.1981565993897769E-2</v>
      </c>
      <c r="J30" s="20">
        <v>1.4890895543130992E-4</v>
      </c>
      <c r="K30" s="20">
        <v>2.6415774248668478E-2</v>
      </c>
      <c r="L30" s="20">
        <v>0</v>
      </c>
    </row>
    <row r="31" spans="1:12">
      <c r="A31" s="2" t="s">
        <v>299</v>
      </c>
      <c r="B31" s="3" t="s">
        <v>300</v>
      </c>
      <c r="D31" s="20">
        <v>0.99803967735842147</v>
      </c>
      <c r="E31" s="20">
        <v>1.3154941599820612E-3</v>
      </c>
      <c r="F31" s="20">
        <v>7.0830779621531312E-4</v>
      </c>
      <c r="G31" s="20">
        <v>1.5941073984343551E-4</v>
      </c>
      <c r="H31" s="20">
        <v>0</v>
      </c>
      <c r="I31" s="20">
        <v>4.4777562392331251E-4</v>
      </c>
      <c r="J31" s="20">
        <v>2.6877656034632387E-6</v>
      </c>
      <c r="K31" s="20">
        <v>6.4214071599290464E-4</v>
      </c>
      <c r="L31" s="20">
        <v>0</v>
      </c>
    </row>
    <row r="32" spans="1:12">
      <c r="A32" s="2" t="s">
        <v>343</v>
      </c>
      <c r="B32" s="3" t="s">
        <v>344</v>
      </c>
      <c r="D32" s="20">
        <v>1.9626016759168485E-3</v>
      </c>
      <c r="E32" s="20">
        <v>0.71330018998482247</v>
      </c>
      <c r="F32" s="20">
        <v>0.1202005293496282</v>
      </c>
      <c r="G32" s="20">
        <v>3.1347429593574679E-2</v>
      </c>
      <c r="H32" s="20">
        <v>0</v>
      </c>
      <c r="I32" s="20">
        <v>0.56175223104161964</v>
      </c>
      <c r="J32" s="20">
        <v>7.3967619014211666E-4</v>
      </c>
      <c r="K32" s="20">
        <v>0.28399753214911849</v>
      </c>
      <c r="L32" s="20">
        <v>0</v>
      </c>
    </row>
    <row r="33" spans="1:12">
      <c r="A33" s="2" t="s">
        <v>345</v>
      </c>
      <c r="B33" s="3" t="s">
        <v>346</v>
      </c>
      <c r="D33" s="20">
        <v>8.3606903585857909E-5</v>
      </c>
      <c r="E33" s="20">
        <v>0.78340957210346585</v>
      </c>
      <c r="F33" s="20">
        <v>5.7294951265624089E-2</v>
      </c>
      <c r="G33" s="20">
        <v>1.6055059142467402E-2</v>
      </c>
      <c r="H33" s="20">
        <v>0</v>
      </c>
      <c r="I33" s="20">
        <v>0.71005956169537432</v>
      </c>
      <c r="J33" s="20">
        <v>5.7107554331447099E-4</v>
      </c>
      <c r="K33" s="20">
        <v>0.2159357454496339</v>
      </c>
      <c r="L33" s="20">
        <v>0</v>
      </c>
    </row>
    <row r="34" spans="1:12">
      <c r="A34" s="2" t="s">
        <v>347</v>
      </c>
      <c r="B34" s="3" t="s">
        <v>348</v>
      </c>
      <c r="D34" s="20">
        <v>7.2394524741364928E-5</v>
      </c>
      <c r="E34" s="20">
        <v>0.68696375859415182</v>
      </c>
      <c r="F34" s="20">
        <v>0.42109485606306202</v>
      </c>
      <c r="G34" s="20">
        <v>9.1849224038246441E-2</v>
      </c>
      <c r="H34" s="20">
        <v>0</v>
      </c>
      <c r="I34" s="20">
        <v>0.17401967849284333</v>
      </c>
      <c r="J34" s="20">
        <v>1.5139996410219881E-3</v>
      </c>
      <c r="K34" s="20">
        <v>0.3114498472400849</v>
      </c>
      <c r="L34" s="20">
        <v>0</v>
      </c>
    </row>
    <row r="35" spans="1:12">
      <c r="A35" s="2" t="s">
        <v>349</v>
      </c>
      <c r="B35" s="3" t="s">
        <v>350</v>
      </c>
      <c r="D35" s="20">
        <v>1.3254036848104734E-2</v>
      </c>
      <c r="E35" s="20">
        <v>0.83886522716250833</v>
      </c>
      <c r="F35" s="20">
        <v>0.69346155410392452</v>
      </c>
      <c r="G35" s="20">
        <v>0.12465736538957353</v>
      </c>
      <c r="H35" s="20">
        <v>0</v>
      </c>
      <c r="I35" s="20">
        <v>2.0746307669010252E-2</v>
      </c>
      <c r="J35" s="20">
        <v>1.9890395009701865E-3</v>
      </c>
      <c r="K35" s="20">
        <v>0.14589169648841671</v>
      </c>
      <c r="L35" s="20">
        <v>0</v>
      </c>
    </row>
    <row r="36" spans="1:12">
      <c r="A36" s="2" t="s">
        <v>351</v>
      </c>
      <c r="B36" s="3" t="s">
        <v>352</v>
      </c>
      <c r="D36" s="20">
        <v>3.6037581225436719E-4</v>
      </c>
      <c r="E36" s="20">
        <v>0.87693199232250396</v>
      </c>
      <c r="F36" s="20">
        <v>0.59680142184656149</v>
      </c>
      <c r="G36" s="20">
        <v>0.27550241143186155</v>
      </c>
      <c r="H36" s="20">
        <v>0</v>
      </c>
      <c r="I36" s="20">
        <v>4.6281590440808758E-3</v>
      </c>
      <c r="J36" s="20">
        <v>4.4475881852976337E-3</v>
      </c>
      <c r="K36" s="20">
        <v>0.11826004367994405</v>
      </c>
      <c r="L36" s="20">
        <v>0</v>
      </c>
    </row>
    <row r="37" spans="1:12">
      <c r="A37" s="2" t="s">
        <v>353</v>
      </c>
      <c r="B37" s="3" t="s">
        <v>354</v>
      </c>
      <c r="D37" s="20">
        <v>2.4914557374334251E-3</v>
      </c>
      <c r="E37" s="20">
        <v>0.90222281559417339</v>
      </c>
      <c r="F37" s="20">
        <v>0.25611050406548796</v>
      </c>
      <c r="G37" s="20">
        <v>0.64539106154461057</v>
      </c>
      <c r="H37" s="20">
        <v>0</v>
      </c>
      <c r="I37" s="20">
        <v>7.2124998407488688E-4</v>
      </c>
      <c r="J37" s="20">
        <v>1.0614555576271721E-2</v>
      </c>
      <c r="K37" s="20">
        <v>8.4671173092121396E-2</v>
      </c>
      <c r="L37" s="20">
        <v>0</v>
      </c>
    </row>
    <row r="38" spans="1:12">
      <c r="A38" s="2" t="s">
        <v>355</v>
      </c>
      <c r="B38" s="3" t="s">
        <v>356</v>
      </c>
      <c r="D38" s="20">
        <v>1.3550301423335417E-4</v>
      </c>
      <c r="E38" s="20">
        <v>0.88027606708418171</v>
      </c>
      <c r="F38" s="20">
        <v>0.4747043057891942</v>
      </c>
      <c r="G38" s="20">
        <v>0.40301269464746547</v>
      </c>
      <c r="H38" s="20">
        <v>0</v>
      </c>
      <c r="I38" s="20">
        <v>2.5590666475220048E-3</v>
      </c>
      <c r="J38" s="20">
        <v>6.5486360276525574E-3</v>
      </c>
      <c r="K38" s="20">
        <v>0.11303979387393236</v>
      </c>
      <c r="L38" s="20">
        <v>0</v>
      </c>
    </row>
    <row r="39" spans="1:12">
      <c r="A39" s="2" t="s">
        <v>357</v>
      </c>
      <c r="B39" s="3" t="s">
        <v>358</v>
      </c>
      <c r="D39" s="20">
        <v>2.7260815953207874E-2</v>
      </c>
      <c r="E39" s="20">
        <v>0.85336307876262751</v>
      </c>
      <c r="F39" s="20">
        <v>0.54829345990174316</v>
      </c>
      <c r="G39" s="20">
        <v>0.30123721303864365</v>
      </c>
      <c r="H39" s="20">
        <v>0</v>
      </c>
      <c r="I39" s="20">
        <v>3.8324058222407404E-3</v>
      </c>
      <c r="J39" s="20">
        <v>4.8719488679684394E-3</v>
      </c>
      <c r="K39" s="20">
        <v>0.11450415641619613</v>
      </c>
      <c r="L39" s="20">
        <v>0</v>
      </c>
    </row>
    <row r="40" spans="1:12">
      <c r="A40" s="2" t="s">
        <v>359</v>
      </c>
      <c r="B40" s="3" t="s">
        <v>360</v>
      </c>
      <c r="D40" s="20">
        <v>1.3550301423335417E-4</v>
      </c>
      <c r="E40" s="20">
        <v>0.88027606708418171</v>
      </c>
      <c r="F40" s="20">
        <v>0.4747043057891942</v>
      </c>
      <c r="G40" s="20">
        <v>0.40301269464746547</v>
      </c>
      <c r="H40" s="20">
        <v>0</v>
      </c>
      <c r="I40" s="20">
        <v>2.5590666475220048E-3</v>
      </c>
      <c r="J40" s="20">
        <v>6.5486360276525574E-3</v>
      </c>
      <c r="K40" s="20">
        <v>0.11303979387393236</v>
      </c>
      <c r="L40" s="20">
        <v>0</v>
      </c>
    </row>
    <row r="41" spans="1:12">
      <c r="A41" s="2" t="s">
        <v>313</v>
      </c>
      <c r="B41" s="3" t="s">
        <v>314</v>
      </c>
      <c r="D41" s="20">
        <v>5.6097501442186787E-8</v>
      </c>
      <c r="E41" s="20">
        <v>0.99937042790390285</v>
      </c>
      <c r="F41" s="20">
        <v>4.5523468231111995E-2</v>
      </c>
      <c r="G41" s="20">
        <v>1.0833178308313601E-5</v>
      </c>
      <c r="H41" s="20">
        <v>0</v>
      </c>
      <c r="I41" s="20">
        <v>0.95383612649448257</v>
      </c>
      <c r="J41" s="20">
        <v>4.4926880067277071E-4</v>
      </c>
      <c r="K41" s="20">
        <v>1.8024719792277902E-4</v>
      </c>
      <c r="L41" s="20">
        <v>0</v>
      </c>
    </row>
    <row r="42" spans="1:12">
      <c r="A42" s="2" t="s">
        <v>315</v>
      </c>
      <c r="B42" s="3" t="s">
        <v>316</v>
      </c>
      <c r="D42" s="20">
        <v>3.5952905351874409E-3</v>
      </c>
      <c r="E42" s="20">
        <v>0.90332468177281255</v>
      </c>
      <c r="F42" s="20">
        <v>0.24333703183701516</v>
      </c>
      <c r="G42" s="20">
        <v>0.65933140399211287</v>
      </c>
      <c r="H42" s="20">
        <v>0</v>
      </c>
      <c r="I42" s="20">
        <v>6.5624594368457456E-4</v>
      </c>
      <c r="J42" s="20">
        <v>1.0852659119043422E-2</v>
      </c>
      <c r="K42" s="20">
        <v>8.2227368572956608E-2</v>
      </c>
      <c r="L42" s="20">
        <v>0</v>
      </c>
    </row>
    <row r="43" spans="1:12">
      <c r="A43" s="2" t="s">
        <v>317</v>
      </c>
      <c r="B43" s="3" t="s">
        <v>318</v>
      </c>
      <c r="D43" s="20">
        <v>4.4119145940175416E-12</v>
      </c>
      <c r="E43" s="20">
        <v>0.66478316380349622</v>
      </c>
      <c r="F43" s="20">
        <v>0.25124724694742157</v>
      </c>
      <c r="G43" s="20">
        <v>5.9978674941376424E-2</v>
      </c>
      <c r="H43" s="20">
        <v>0</v>
      </c>
      <c r="I43" s="20">
        <v>0.35355724191469823</v>
      </c>
      <c r="J43" s="20">
        <v>1.0914316570661007E-3</v>
      </c>
      <c r="K43" s="20">
        <v>0.33412540453502582</v>
      </c>
      <c r="L43" s="20">
        <v>0</v>
      </c>
    </row>
    <row r="44" spans="1:12">
      <c r="A44" s="2" t="s">
        <v>307</v>
      </c>
      <c r="B44" s="3" t="s">
        <v>308</v>
      </c>
      <c r="D44" s="20">
        <v>1.2016741764345491E-4</v>
      </c>
      <c r="E44" s="20">
        <v>0.88013175183505066</v>
      </c>
      <c r="F44" s="20">
        <v>0.67680092458261998</v>
      </c>
      <c r="G44" s="20">
        <v>0.19640679042705977</v>
      </c>
      <c r="H44" s="20">
        <v>0</v>
      </c>
      <c r="I44" s="20">
        <v>6.9240368253708834E-3</v>
      </c>
      <c r="J44" s="20">
        <v>3.1559795187528143E-3</v>
      </c>
      <c r="K44" s="20">
        <v>0.11659210122855308</v>
      </c>
      <c r="L44" s="20">
        <v>0</v>
      </c>
    </row>
    <row r="45" spans="1:12">
      <c r="A45" s="2" t="s">
        <v>319</v>
      </c>
      <c r="B45" s="3" t="s">
        <v>320</v>
      </c>
      <c r="D45" s="20">
        <v>1.1795530722410883E-5</v>
      </c>
      <c r="E45" s="20">
        <v>0.92408699091489421</v>
      </c>
      <c r="F45" s="20">
        <v>0.15627578927214306</v>
      </c>
      <c r="G45" s="20">
        <v>0.76751567943222443</v>
      </c>
      <c r="H45" s="20">
        <v>0</v>
      </c>
      <c r="I45" s="20">
        <v>2.9552221052667969E-4</v>
      </c>
      <c r="J45" s="20">
        <v>1.2718265337761166E-2</v>
      </c>
      <c r="K45" s="20">
        <v>6.3182948216622389E-2</v>
      </c>
      <c r="L45" s="20">
        <v>0</v>
      </c>
    </row>
    <row r="46" spans="1:12">
      <c r="A46" s="2" t="s">
        <v>321</v>
      </c>
      <c r="B46" s="3" t="s">
        <v>322</v>
      </c>
      <c r="D46" s="20">
        <v>1.7314872511320281E-5</v>
      </c>
      <c r="E46" s="20">
        <v>0.90912616281304071</v>
      </c>
      <c r="F46" s="20">
        <v>0.22966431123449454</v>
      </c>
      <c r="G46" s="20">
        <v>0.67887383179379557</v>
      </c>
      <c r="H46" s="20">
        <v>0</v>
      </c>
      <c r="I46" s="20">
        <v>5.8801978475061449E-4</v>
      </c>
      <c r="J46" s="20">
        <v>1.1185259849305785E-2</v>
      </c>
      <c r="K46" s="20">
        <v>7.9671262465142278E-2</v>
      </c>
      <c r="L46" s="20">
        <v>0</v>
      </c>
    </row>
    <row r="47" spans="1:12">
      <c r="A47" s="2" t="s">
        <v>323</v>
      </c>
      <c r="B47" s="3" t="s">
        <v>324</v>
      </c>
      <c r="D47" s="20">
        <v>1.626103720102721E-4</v>
      </c>
      <c r="E47" s="20">
        <v>0.89150434194927308</v>
      </c>
      <c r="F47" s="20">
        <v>0.34755413371639526</v>
      </c>
      <c r="G47" s="20">
        <v>0.54264775876113969</v>
      </c>
      <c r="H47" s="20">
        <v>0</v>
      </c>
      <c r="I47" s="20">
        <v>1.3024494717381416E-3</v>
      </c>
      <c r="J47" s="20">
        <v>8.8771265176256064E-3</v>
      </c>
      <c r="K47" s="20">
        <v>9.9455921161091046E-2</v>
      </c>
      <c r="L47" s="20">
        <v>0</v>
      </c>
    </row>
    <row r="48" spans="1:12">
      <c r="A48" s="2" t="s">
        <v>325</v>
      </c>
      <c r="B48" s="3" t="s">
        <v>326</v>
      </c>
      <c r="D48" s="20">
        <v>1.0145577635656208E-4</v>
      </c>
      <c r="E48" s="20">
        <v>0.77458234266972847</v>
      </c>
      <c r="F48" s="20">
        <v>0.59779323144278684</v>
      </c>
      <c r="G48" s="20">
        <v>0.11739417517609559</v>
      </c>
      <c r="H48" s="20">
        <v>0</v>
      </c>
      <c r="I48" s="20">
        <v>5.9394936050846087E-2</v>
      </c>
      <c r="J48" s="20">
        <v>1.8770984974593493E-3</v>
      </c>
      <c r="K48" s="20">
        <v>0.22343910305645559</v>
      </c>
      <c r="L48" s="20">
        <v>0</v>
      </c>
    </row>
    <row r="49" spans="1:12">
      <c r="A49" s="2" t="s">
        <v>275</v>
      </c>
      <c r="B49" s="3" t="s">
        <v>276</v>
      </c>
      <c r="D49" s="20">
        <v>1.5440219312473561E-6</v>
      </c>
      <c r="E49" s="20">
        <v>0.87936652890578004</v>
      </c>
      <c r="F49" s="20">
        <v>0.66302160382752073</v>
      </c>
      <c r="G49" s="20">
        <v>0.20990521811599905</v>
      </c>
      <c r="H49" s="20">
        <v>0</v>
      </c>
      <c r="I49" s="20">
        <v>6.439706962260267E-3</v>
      </c>
      <c r="J49" s="20">
        <v>3.3757135835034997E-3</v>
      </c>
      <c r="K49" s="20">
        <v>0.11725621348878526</v>
      </c>
      <c r="L49" s="20">
        <v>0</v>
      </c>
    </row>
    <row r="50" spans="1:12">
      <c r="A50" s="2" t="s">
        <v>327</v>
      </c>
      <c r="B50" s="3" t="s">
        <v>328</v>
      </c>
      <c r="D50" s="20">
        <v>8.0429841640619596E-5</v>
      </c>
      <c r="E50" s="20">
        <v>0.87814988483020495</v>
      </c>
      <c r="F50" s="20">
        <v>0.63869192957480792</v>
      </c>
      <c r="G50" s="20">
        <v>0.23376903489384318</v>
      </c>
      <c r="H50" s="20">
        <v>0</v>
      </c>
      <c r="I50" s="20">
        <v>5.6889203615538226E-3</v>
      </c>
      <c r="J50" s="20">
        <v>3.7649012870012806E-3</v>
      </c>
      <c r="K50" s="20">
        <v>0.11800478404115328</v>
      </c>
      <c r="L50" s="20">
        <v>0</v>
      </c>
    </row>
    <row r="51" spans="1:12">
      <c r="A51" s="2" t="s">
        <v>329</v>
      </c>
      <c r="B51" s="3" t="s">
        <v>330</v>
      </c>
      <c r="D51" s="20">
        <v>5.3087426854875314E-5</v>
      </c>
      <c r="E51" s="20">
        <v>0.80942094710865642</v>
      </c>
      <c r="F51" s="20">
        <v>0.64873285085921994</v>
      </c>
      <c r="G51" s="20">
        <v>0.12256358224514484</v>
      </c>
      <c r="H51" s="20">
        <v>0</v>
      </c>
      <c r="I51" s="20">
        <v>3.8124514004291656E-2</v>
      </c>
      <c r="J51" s="20">
        <v>1.9553248631773734E-3</v>
      </c>
      <c r="K51" s="20">
        <v>0.18857064060131135</v>
      </c>
      <c r="L51" s="20">
        <v>0</v>
      </c>
    </row>
    <row r="52" spans="1:12">
      <c r="A52" s="2" t="s">
        <v>277</v>
      </c>
      <c r="B52" s="3" t="s">
        <v>278</v>
      </c>
      <c r="D52" s="20">
        <v>1.5791163717025861E-4</v>
      </c>
      <c r="E52" s="20">
        <v>0.77791895527001975</v>
      </c>
      <c r="F52" s="20">
        <v>0.60295979007206257</v>
      </c>
      <c r="G52" s="20">
        <v>0.11797334850763865</v>
      </c>
      <c r="H52" s="20">
        <v>0</v>
      </c>
      <c r="I52" s="20">
        <v>5.6985816690318582E-2</v>
      </c>
      <c r="J52" s="20">
        <v>1.8857166909369142E-3</v>
      </c>
      <c r="K52" s="20">
        <v>0.2200374164018731</v>
      </c>
      <c r="L52" s="20">
        <v>0</v>
      </c>
    </row>
    <row r="53" spans="1:12">
      <c r="A53" s="2" t="s">
        <v>331</v>
      </c>
      <c r="B53" s="3" t="s">
        <v>332</v>
      </c>
      <c r="D53" s="20">
        <v>5.3673383895394104E-5</v>
      </c>
      <c r="E53" s="20">
        <v>0.87734572064692429</v>
      </c>
      <c r="F53" s="20">
        <v>0.55505138618450034</v>
      </c>
      <c r="G53" s="20">
        <v>0.31851416197207755</v>
      </c>
      <c r="H53" s="20">
        <v>0</v>
      </c>
      <c r="I53" s="20">
        <v>3.7801724903463872E-3</v>
      </c>
      <c r="J53" s="20">
        <v>5.1537548042095245E-3</v>
      </c>
      <c r="K53" s="20">
        <v>0.11744685116497078</v>
      </c>
      <c r="L53" s="20">
        <v>0</v>
      </c>
    </row>
    <row r="54" spans="1:12">
      <c r="A54" s="2" t="s">
        <v>333</v>
      </c>
      <c r="B54" s="3" t="s">
        <v>334</v>
      </c>
      <c r="D54" s="20">
        <v>8.754868251991766E-8</v>
      </c>
      <c r="E54" s="20">
        <v>0.87874521717432341</v>
      </c>
      <c r="F54" s="20">
        <v>0.65106422153187415</v>
      </c>
      <c r="G54" s="20">
        <v>0.22162532487545569</v>
      </c>
      <c r="H54" s="20">
        <v>0</v>
      </c>
      <c r="I54" s="20">
        <v>6.0556707669935945E-3</v>
      </c>
      <c r="J54" s="20">
        <v>3.5667404478102634E-3</v>
      </c>
      <c r="K54" s="20">
        <v>0.11768795482918383</v>
      </c>
      <c r="L54" s="20">
        <v>0</v>
      </c>
    </row>
    <row r="55" spans="1:12">
      <c r="A55" s="2" t="s">
        <v>335</v>
      </c>
      <c r="B55" s="3" t="s">
        <v>336</v>
      </c>
      <c r="D55" s="20">
        <v>4.2239056447656648E-4</v>
      </c>
      <c r="E55" s="20">
        <v>0.89058395420358549</v>
      </c>
      <c r="F55" s="20">
        <v>0.35333643515522128</v>
      </c>
      <c r="G55" s="20">
        <v>0.53590027321613087</v>
      </c>
      <c r="H55" s="20">
        <v>0</v>
      </c>
      <c r="I55" s="20">
        <v>1.3472458322333293E-3</v>
      </c>
      <c r="J55" s="20">
        <v>8.7639140251859517E-3</v>
      </c>
      <c r="K55" s="20">
        <v>0.10022974120675203</v>
      </c>
      <c r="L55" s="20">
        <v>0</v>
      </c>
    </row>
    <row r="56" spans="1:12">
      <c r="A56" s="2" t="s">
        <v>337</v>
      </c>
      <c r="B56" s="3" t="s">
        <v>338</v>
      </c>
      <c r="D56" s="20">
        <v>3.0866686847244592E-5</v>
      </c>
      <c r="E56" s="20">
        <v>0.87990609751257387</v>
      </c>
      <c r="F56" s="20">
        <v>0.67230173308045804</v>
      </c>
      <c r="G56" s="20">
        <v>0.2008444273081639</v>
      </c>
      <c r="H56" s="20">
        <v>0</v>
      </c>
      <c r="I56" s="20">
        <v>6.7599371239519699E-3</v>
      </c>
      <c r="J56" s="20">
        <v>3.2281827345942886E-3</v>
      </c>
      <c r="K56" s="20">
        <v>0.1168348530659845</v>
      </c>
      <c r="L56" s="20">
        <v>0</v>
      </c>
    </row>
    <row r="57" spans="1:12">
      <c r="A57" s="2" t="s">
        <v>279</v>
      </c>
      <c r="B57" s="3" t="s">
        <v>280</v>
      </c>
      <c r="D57" s="20">
        <v>3.048973612269943E-3</v>
      </c>
      <c r="E57" s="20">
        <v>0.75708966076673123</v>
      </c>
      <c r="F57" s="20">
        <v>0.57177857848890123</v>
      </c>
      <c r="G57" s="20">
        <v>0.11416249088658224</v>
      </c>
      <c r="H57" s="20">
        <v>0</v>
      </c>
      <c r="I57" s="20">
        <v>7.1148591391247809E-2</v>
      </c>
      <c r="J57" s="20">
        <v>1.8289705185027087E-3</v>
      </c>
      <c r="K57" s="20">
        <v>0.23803239510249605</v>
      </c>
      <c r="L57" s="20">
        <v>0</v>
      </c>
    </row>
    <row r="58" spans="1:12">
      <c r="A58" s="2" t="s">
        <v>339</v>
      </c>
      <c r="B58" s="3" t="s">
        <v>340</v>
      </c>
      <c r="D58" s="20">
        <v>3.0684699261200954E-7</v>
      </c>
      <c r="E58" s="20">
        <v>0.87863209870035208</v>
      </c>
      <c r="F58" s="20">
        <v>0.64862858793283562</v>
      </c>
      <c r="G58" s="20">
        <v>0.2240225009992006</v>
      </c>
      <c r="H58" s="20">
        <v>0</v>
      </c>
      <c r="I58" s="20">
        <v>5.9810097683158829E-3</v>
      </c>
      <c r="J58" s="20">
        <v>3.6058387360839721E-3</v>
      </c>
      <c r="K58" s="20">
        <v>0.11776175571657112</v>
      </c>
      <c r="L58" s="20">
        <v>0</v>
      </c>
    </row>
    <row r="59" spans="1:12">
      <c r="A59" s="2" t="s">
        <v>281</v>
      </c>
      <c r="B59" s="3" t="s">
        <v>282</v>
      </c>
      <c r="D59" s="20">
        <v>2.3904096875601989E-5</v>
      </c>
      <c r="E59" s="20">
        <v>0.77802321874017921</v>
      </c>
      <c r="F59" s="20">
        <v>0.60304060399188497</v>
      </c>
      <c r="G59" s="20">
        <v>0.11798916032276208</v>
      </c>
      <c r="H59" s="20">
        <v>0</v>
      </c>
      <c r="I59" s="20">
        <v>5.6993454425532206E-2</v>
      </c>
      <c r="J59" s="20">
        <v>1.885969431102972E-3</v>
      </c>
      <c r="K59" s="20">
        <v>0.22006690773184207</v>
      </c>
      <c r="L59" s="20">
        <v>0</v>
      </c>
    </row>
    <row r="60" spans="1:12">
      <c r="A60" s="2" t="s">
        <v>341</v>
      </c>
      <c r="B60" s="3" t="s">
        <v>342</v>
      </c>
      <c r="D60" s="20">
        <v>4.4911944528853873E-4</v>
      </c>
      <c r="E60" s="20">
        <v>0.87678478290817841</v>
      </c>
      <c r="F60" s="20">
        <v>0.58027795757870193</v>
      </c>
      <c r="G60" s="20">
        <v>0.2922345965679467</v>
      </c>
      <c r="H60" s="20">
        <v>0</v>
      </c>
      <c r="I60" s="20">
        <v>4.2722287615297953E-3</v>
      </c>
      <c r="J60" s="20">
        <v>4.7220046160702332E-3</v>
      </c>
      <c r="K60" s="20">
        <v>0.11804409303046284</v>
      </c>
      <c r="L60" s="20">
        <v>0</v>
      </c>
    </row>
    <row r="61" spans="1:12">
      <c r="A61" s="2" t="s">
        <v>483</v>
      </c>
      <c r="B61" s="3" t="s">
        <v>484</v>
      </c>
      <c r="D61" s="20">
        <v>7.5970115970949542E-14</v>
      </c>
      <c r="E61" s="20">
        <v>0.7940723972092848</v>
      </c>
      <c r="F61" s="20">
        <v>0.44426264503993568</v>
      </c>
      <c r="G61" s="20">
        <v>7.4021417081498883E-2</v>
      </c>
      <c r="H61" s="20">
        <v>0</v>
      </c>
      <c r="I61" s="20">
        <v>0.27578833508785022</v>
      </c>
      <c r="J61" s="20">
        <v>1.1091234590227653E-2</v>
      </c>
      <c r="K61" s="20">
        <v>0.1948363682004115</v>
      </c>
      <c r="L61" s="20">
        <v>0</v>
      </c>
    </row>
    <row r="62" spans="1:12">
      <c r="A62" s="2" t="s">
        <v>485</v>
      </c>
      <c r="B62" s="3" t="s">
        <v>486</v>
      </c>
      <c r="D62" s="20">
        <v>2.052563079361158E-7</v>
      </c>
      <c r="E62" s="20">
        <v>0.68259709022344406</v>
      </c>
      <c r="F62" s="20">
        <v>0.40716527071006298</v>
      </c>
      <c r="G62" s="20">
        <v>8.946770209671788E-2</v>
      </c>
      <c r="H62" s="20">
        <v>0</v>
      </c>
      <c r="I62" s="20">
        <v>0.18596411741666322</v>
      </c>
      <c r="J62" s="20">
        <v>1.4814003625650727E-3</v>
      </c>
      <c r="K62" s="20">
        <v>0.31592130415768294</v>
      </c>
      <c r="L62" s="20">
        <v>0</v>
      </c>
    </row>
    <row r="63" spans="1:12">
      <c r="A63" s="2" t="s">
        <v>487</v>
      </c>
      <c r="B63" s="3" t="s">
        <v>488</v>
      </c>
      <c r="D63" s="20">
        <v>7.1480533727819866E-13</v>
      </c>
      <c r="E63" s="20">
        <v>0.95775686064519949</v>
      </c>
      <c r="F63" s="20">
        <v>3.1881004542072384E-2</v>
      </c>
      <c r="G63" s="20">
        <v>4.2065760969835142E-3</v>
      </c>
      <c r="H63" s="20">
        <v>0</v>
      </c>
      <c r="I63" s="20">
        <v>0.92166928000614357</v>
      </c>
      <c r="J63" s="20">
        <v>2.2743144307032616E-3</v>
      </c>
      <c r="K63" s="20">
        <v>3.9968824923382731E-2</v>
      </c>
      <c r="L63" s="20">
        <v>0</v>
      </c>
    </row>
    <row r="64" spans="1:12">
      <c r="A64" s="2" t="s">
        <v>489</v>
      </c>
      <c r="B64" s="3" t="s">
        <v>490</v>
      </c>
      <c r="D64" s="20">
        <v>1.3182576987063245E-14</v>
      </c>
      <c r="E64" s="20">
        <v>0.99520328030098026</v>
      </c>
      <c r="F64" s="20">
        <v>1.2157067288355009E-2</v>
      </c>
      <c r="G64" s="20">
        <v>1.5094063799454892E-4</v>
      </c>
      <c r="H64" s="20">
        <v>0</v>
      </c>
      <c r="I64" s="20">
        <v>0.9828952723746307</v>
      </c>
      <c r="J64" s="20">
        <v>4.5642906276450887E-4</v>
      </c>
      <c r="K64" s="20">
        <v>4.3402906362420774E-3</v>
      </c>
      <c r="L64" s="20">
        <v>0</v>
      </c>
    </row>
    <row r="65" spans="1:12">
      <c r="A65" s="2" t="s">
        <v>491</v>
      </c>
      <c r="B65" s="3" t="s">
        <v>492</v>
      </c>
      <c r="D65" s="20">
        <v>2.1982727931996909E-12</v>
      </c>
      <c r="E65" s="20">
        <v>0.99743752949991782</v>
      </c>
      <c r="F65" s="20">
        <v>1.5936312374319171E-3</v>
      </c>
      <c r="G65" s="20">
        <v>7.0881247816704455E-5</v>
      </c>
      <c r="H65" s="20">
        <v>0</v>
      </c>
      <c r="I65" s="20">
        <v>0.99577301701466925</v>
      </c>
      <c r="J65" s="20">
        <v>6.2594158740816115E-4</v>
      </c>
      <c r="K65" s="20">
        <v>1.9365289104755741E-3</v>
      </c>
      <c r="L65" s="20">
        <v>0</v>
      </c>
    </row>
    <row r="66" spans="1:12">
      <c r="A66" s="2" t="s">
        <v>493</v>
      </c>
      <c r="B66" s="3" t="s">
        <v>494</v>
      </c>
      <c r="D66" s="20">
        <v>2.8461278056166089E-11</v>
      </c>
      <c r="E66" s="20">
        <v>0.96700296132425545</v>
      </c>
      <c r="F66" s="20">
        <v>0.19878589026941215</v>
      </c>
      <c r="G66" s="20">
        <v>4.9819388664685878E-3</v>
      </c>
      <c r="H66" s="20">
        <v>0</v>
      </c>
      <c r="I66" s="20">
        <v>0.76323513218837469</v>
      </c>
      <c r="J66" s="20">
        <v>1.5879905670998472E-2</v>
      </c>
      <c r="K66" s="20">
        <v>1.7117132976284935E-2</v>
      </c>
      <c r="L66" s="20">
        <v>0</v>
      </c>
    </row>
    <row r="67" spans="1:12">
      <c r="A67" s="2" t="s">
        <v>495</v>
      </c>
      <c r="B67" s="3" t="s">
        <v>496</v>
      </c>
      <c r="D67" s="20">
        <v>1.7173662638280872E-12</v>
      </c>
      <c r="E67" s="20">
        <v>0.99722519925742781</v>
      </c>
      <c r="F67" s="20">
        <v>1.3438379204273618E-3</v>
      </c>
      <c r="G67" s="20">
        <v>7.3461844052089351E-5</v>
      </c>
      <c r="H67" s="20">
        <v>0</v>
      </c>
      <c r="I67" s="20">
        <v>0.99580789949294835</v>
      </c>
      <c r="J67" s="20">
        <v>5.9721904942073765E-4</v>
      </c>
      <c r="K67" s="20">
        <v>2.1775816914341288E-3</v>
      </c>
      <c r="L67" s="20">
        <v>0</v>
      </c>
    </row>
    <row r="68" spans="1:12">
      <c r="A68" s="2" t="s">
        <v>497</v>
      </c>
      <c r="B68" s="3" t="s">
        <v>498</v>
      </c>
      <c r="D68" s="20">
        <v>1.554627372563955E-11</v>
      </c>
      <c r="E68" s="20">
        <v>0.99864268010359691</v>
      </c>
      <c r="F68" s="20">
        <v>1.5997912559865076E-4</v>
      </c>
      <c r="G68" s="20">
        <v>1.2343246286287224E-5</v>
      </c>
      <c r="H68" s="20">
        <v>0</v>
      </c>
      <c r="I68" s="20">
        <v>0.998470357731712</v>
      </c>
      <c r="J68" s="20">
        <v>4.7663198965439482E-4</v>
      </c>
      <c r="K68" s="20">
        <v>8.8068789120236777E-4</v>
      </c>
      <c r="L68" s="20">
        <v>0</v>
      </c>
    </row>
    <row r="69" spans="1:12">
      <c r="A69" s="2" t="s">
        <v>499</v>
      </c>
      <c r="B69" s="3" t="s">
        <v>500</v>
      </c>
      <c r="D69" s="20">
        <v>7.6756898634527415E-12</v>
      </c>
      <c r="E69" s="20">
        <v>0.88164591564513384</v>
      </c>
      <c r="F69" s="20">
        <v>0.69515497245199254</v>
      </c>
      <c r="G69" s="20">
        <v>0.17884927706007819</v>
      </c>
      <c r="H69" s="20">
        <v>0</v>
      </c>
      <c r="I69" s="20">
        <v>7.641666133063137E-3</v>
      </c>
      <c r="J69" s="20">
        <v>2.8706157726431474E-3</v>
      </c>
      <c r="K69" s="20">
        <v>0.1154834685745475</v>
      </c>
      <c r="L69" s="20">
        <v>0</v>
      </c>
    </row>
    <row r="70" spans="1:12">
      <c r="A70" s="2" t="s">
        <v>501</v>
      </c>
      <c r="B70" s="3" t="s">
        <v>411</v>
      </c>
      <c r="D70" s="20">
        <v>2.7867776932486529E-13</v>
      </c>
      <c r="E70" s="20">
        <v>0.99949062603907879</v>
      </c>
      <c r="F70" s="20">
        <v>3.0239634698043583E-2</v>
      </c>
      <c r="G70" s="20">
        <v>2.8739033899423746E-6</v>
      </c>
      <c r="H70" s="20">
        <v>0</v>
      </c>
      <c r="I70" s="20">
        <v>0.96924811743764527</v>
      </c>
      <c r="J70" s="20">
        <v>4.5256919201965939E-4</v>
      </c>
      <c r="K70" s="20">
        <v>5.6804768623000289E-5</v>
      </c>
      <c r="L70" s="20">
        <v>0</v>
      </c>
    </row>
    <row r="71" spans="1:12">
      <c r="A71" s="2" t="s">
        <v>502</v>
      </c>
      <c r="B71" s="3" t="s">
        <v>412</v>
      </c>
      <c r="D71" s="20">
        <v>1.2728702712551861E-8</v>
      </c>
      <c r="E71" s="20">
        <v>0.99947537572840472</v>
      </c>
      <c r="F71" s="20">
        <v>5.6371396335216498E-2</v>
      </c>
      <c r="G71" s="20">
        <v>5.123008853983521E-6</v>
      </c>
      <c r="H71" s="20">
        <v>0</v>
      </c>
      <c r="I71" s="20">
        <v>0.94309885638433422</v>
      </c>
      <c r="J71" s="20">
        <v>4.4680112692708796E-4</v>
      </c>
      <c r="K71" s="20">
        <v>7.7810415965693614E-5</v>
      </c>
      <c r="L71" s="20">
        <v>0</v>
      </c>
    </row>
    <row r="72" spans="1:12">
      <c r="A72" s="2" t="s">
        <v>503</v>
      </c>
      <c r="B72" s="3" t="s">
        <v>413</v>
      </c>
      <c r="D72" s="20">
        <v>1.7222076361817408E-10</v>
      </c>
      <c r="E72" s="20">
        <v>0.99851494740127245</v>
      </c>
      <c r="F72" s="20">
        <v>0.99416792472559967</v>
      </c>
      <c r="G72" s="20">
        <v>4.5658759330672775E-4</v>
      </c>
      <c r="H72" s="20">
        <v>0</v>
      </c>
      <c r="I72" s="20">
        <v>3.8904350823660361E-3</v>
      </c>
      <c r="J72" s="20">
        <v>1.3970212032083293E-3</v>
      </c>
      <c r="K72" s="20">
        <v>8.8031223298488544E-5</v>
      </c>
      <c r="L72" s="20">
        <v>0</v>
      </c>
    </row>
    <row r="73" spans="1:12">
      <c r="A73" s="2" t="s">
        <v>504</v>
      </c>
      <c r="B73" s="3" t="s">
        <v>414</v>
      </c>
      <c r="D73" s="20">
        <v>2.2512198051804476E-10</v>
      </c>
      <c r="E73" s="20">
        <v>0.99974897892458514</v>
      </c>
      <c r="F73" s="20">
        <v>0.96358967424641473</v>
      </c>
      <c r="G73" s="20">
        <v>5.5700166922657031E-5</v>
      </c>
      <c r="H73" s="20">
        <v>0</v>
      </c>
      <c r="I73" s="20">
        <v>3.6103604511247708E-2</v>
      </c>
      <c r="J73" s="20">
        <v>1.7960919051685986E-4</v>
      </c>
      <c r="K73" s="20">
        <v>7.1411659776141338E-5</v>
      </c>
      <c r="L73" s="20">
        <v>0</v>
      </c>
    </row>
    <row r="74" spans="1:12">
      <c r="A74" s="2" t="s">
        <v>505</v>
      </c>
      <c r="B74" s="3" t="s">
        <v>415</v>
      </c>
      <c r="D74" s="20">
        <v>1.5735614267888942E-9</v>
      </c>
      <c r="E74" s="20">
        <v>0.99947801946141213</v>
      </c>
      <c r="F74" s="20">
        <v>5.1281171473349353E-2</v>
      </c>
      <c r="G74" s="20">
        <v>4.6808238385526513E-6</v>
      </c>
      <c r="H74" s="20">
        <v>0</v>
      </c>
      <c r="I74" s="20">
        <v>0.94819216716422428</v>
      </c>
      <c r="J74" s="20">
        <v>4.4794433209949822E-4</v>
      </c>
      <c r="K74" s="20">
        <v>7.4034632926924646E-5</v>
      </c>
      <c r="L74" s="20">
        <v>0</v>
      </c>
    </row>
    <row r="75" spans="1:12">
      <c r="A75" s="2" t="s">
        <v>506</v>
      </c>
      <c r="B75" s="3" t="s">
        <v>416</v>
      </c>
      <c r="D75" s="20">
        <v>9.6610334093097378E-10</v>
      </c>
      <c r="E75" s="20">
        <v>0.99973951809225114</v>
      </c>
      <c r="F75" s="20">
        <v>0.95696889231788329</v>
      </c>
      <c r="G75" s="20">
        <v>5.6035361729340845E-5</v>
      </c>
      <c r="H75" s="20">
        <v>0</v>
      </c>
      <c r="I75" s="20">
        <v>4.2714590412638496E-2</v>
      </c>
      <c r="J75" s="20">
        <v>1.8335955841518924E-4</v>
      </c>
      <c r="K75" s="20">
        <v>7.7121383230412433E-5</v>
      </c>
      <c r="L75" s="20">
        <v>0</v>
      </c>
    </row>
    <row r="76" spans="1:12">
      <c r="A76" s="2" t="s">
        <v>507</v>
      </c>
      <c r="B76" s="3" t="s">
        <v>417</v>
      </c>
      <c r="D76" s="20">
        <v>2.2314442520212288E-8</v>
      </c>
      <c r="E76" s="20">
        <v>0.99950188720023236</v>
      </c>
      <c r="F76" s="20">
        <v>0.55164627577654923</v>
      </c>
      <c r="G76" s="20">
        <v>4.0116866613277721E-5</v>
      </c>
      <c r="H76" s="20">
        <v>0</v>
      </c>
      <c r="I76" s="20">
        <v>0.44781549455706987</v>
      </c>
      <c r="J76" s="20">
        <v>3.1926079066629549E-4</v>
      </c>
      <c r="K76" s="20">
        <v>1.7882969465883819E-4</v>
      </c>
      <c r="L76" s="20">
        <v>0</v>
      </c>
    </row>
    <row r="77" spans="1:12">
      <c r="A77" s="2" t="s">
        <v>508</v>
      </c>
      <c r="B77" s="3" t="s">
        <v>418</v>
      </c>
      <c r="D77" s="20">
        <v>6.9696747828950145E-9</v>
      </c>
      <c r="E77" s="20">
        <v>0.99974611435758776</v>
      </c>
      <c r="F77" s="20">
        <v>0.96180529315952956</v>
      </c>
      <c r="G77" s="20">
        <v>5.596976413551517E-5</v>
      </c>
      <c r="H77" s="20">
        <v>0</v>
      </c>
      <c r="I77" s="20">
        <v>3.7884851433922673E-2</v>
      </c>
      <c r="J77" s="20">
        <v>1.8065253852277304E-4</v>
      </c>
      <c r="K77" s="20">
        <v>7.3226134215029098E-5</v>
      </c>
      <c r="L77" s="20">
        <v>0</v>
      </c>
    </row>
    <row r="78" spans="1:12">
      <c r="A78" s="2" t="s">
        <v>509</v>
      </c>
      <c r="B78" s="3" t="s">
        <v>419</v>
      </c>
      <c r="D78" s="20">
        <v>6.9251996395558682E-10</v>
      </c>
      <c r="E78" s="20">
        <v>0.9987455492647308</v>
      </c>
      <c r="F78" s="20">
        <v>0.99404611980416036</v>
      </c>
      <c r="G78" s="20">
        <v>3.8359319453928111E-4</v>
      </c>
      <c r="H78" s="20">
        <v>0</v>
      </c>
      <c r="I78" s="20">
        <v>4.3158362660311207E-3</v>
      </c>
      <c r="J78" s="20">
        <v>1.1709313815195972E-3</v>
      </c>
      <c r="K78" s="20">
        <v>8.3518661229659062E-5</v>
      </c>
      <c r="L78" s="20">
        <v>0</v>
      </c>
    </row>
    <row r="79" spans="1:12">
      <c r="A79" s="2" t="s">
        <v>510</v>
      </c>
      <c r="B79" s="3" t="s">
        <v>420</v>
      </c>
      <c r="D79" s="20">
        <v>1.7395317195230059E-14</v>
      </c>
      <c r="E79" s="20">
        <v>0.99874556401181758</v>
      </c>
      <c r="F79" s="20">
        <v>0.99404619490202251</v>
      </c>
      <c r="G79" s="20">
        <v>3.835325177126191E-4</v>
      </c>
      <c r="H79" s="20">
        <v>0</v>
      </c>
      <c r="I79" s="20">
        <v>4.3158365920824681E-3</v>
      </c>
      <c r="J79" s="20">
        <v>1.1709305379291883E-3</v>
      </c>
      <c r="K79" s="20">
        <v>8.3505450235818159E-5</v>
      </c>
      <c r="L79" s="20">
        <v>0</v>
      </c>
    </row>
    <row r="80" spans="1:12">
      <c r="A80" s="2" t="s">
        <v>511</v>
      </c>
      <c r="B80" s="3" t="s">
        <v>421</v>
      </c>
      <c r="D80" s="20">
        <v>1.9620868023453536E-9</v>
      </c>
      <c r="E80" s="20">
        <v>0.99962884513150674</v>
      </c>
      <c r="F80" s="20">
        <v>0.83289921589107585</v>
      </c>
      <c r="G80" s="20">
        <v>5.4469929405841143E-5</v>
      </c>
      <c r="H80" s="20">
        <v>0</v>
      </c>
      <c r="I80" s="20">
        <v>0.166675159311025</v>
      </c>
      <c r="J80" s="20">
        <v>2.3347335478223475E-4</v>
      </c>
      <c r="K80" s="20">
        <v>1.3767955162408702E-4</v>
      </c>
      <c r="L80" s="20">
        <v>0</v>
      </c>
    </row>
    <row r="81" spans="1:12">
      <c r="A81" s="2" t="s">
        <v>512</v>
      </c>
      <c r="B81" s="3" t="s">
        <v>422</v>
      </c>
      <c r="D81" s="20">
        <v>2.5648055391706682E-9</v>
      </c>
      <c r="E81" s="20">
        <v>0.99944900113320811</v>
      </c>
      <c r="F81" s="20">
        <v>0.19504224160152886</v>
      </c>
      <c r="G81" s="20">
        <v>1.5940173303756674E-5</v>
      </c>
      <c r="H81" s="20">
        <v>0</v>
      </c>
      <c r="I81" s="20">
        <v>0.80439081935837553</v>
      </c>
      <c r="J81" s="20">
        <v>4.1371680810930046E-4</v>
      </c>
      <c r="K81" s="20">
        <v>1.3727949387688191E-4</v>
      </c>
      <c r="L81" s="20">
        <v>0</v>
      </c>
    </row>
    <row r="82" spans="1:12">
      <c r="A82" s="2" t="s">
        <v>513</v>
      </c>
      <c r="B82" s="3" t="s">
        <v>423</v>
      </c>
      <c r="D82" s="20">
        <v>6.4572529666206665E-13</v>
      </c>
      <c r="E82" s="20">
        <v>0.99946422064928897</v>
      </c>
      <c r="F82" s="20">
        <v>0.3911307992090382</v>
      </c>
      <c r="G82" s="20">
        <v>2.9745251107995536E-5</v>
      </c>
      <c r="H82" s="20">
        <v>0</v>
      </c>
      <c r="I82" s="20">
        <v>0.60830367618914272</v>
      </c>
      <c r="J82" s="20">
        <v>3.6322326851855594E-4</v>
      </c>
      <c r="K82" s="20">
        <v>1.7255608154668488E-4</v>
      </c>
      <c r="L82" s="20">
        <v>0</v>
      </c>
    </row>
    <row r="83" spans="1:12">
      <c r="A83" s="2" t="s">
        <v>514</v>
      </c>
      <c r="B83" s="3" t="s">
        <v>424</v>
      </c>
      <c r="D83" s="20">
        <v>2.4768426970711309E-10</v>
      </c>
      <c r="E83" s="20">
        <v>0.99762838773424223</v>
      </c>
      <c r="F83" s="20">
        <v>0.9939685938072117</v>
      </c>
      <c r="G83" s="20">
        <v>7.3677863116245487E-4</v>
      </c>
      <c r="H83" s="20">
        <v>0</v>
      </c>
      <c r="I83" s="20">
        <v>2.9230152958680767E-3</v>
      </c>
      <c r="J83" s="20">
        <v>2.2699287134346872E-3</v>
      </c>
      <c r="K83" s="20">
        <v>1.0168330463883103E-4</v>
      </c>
      <c r="L83" s="20">
        <v>0</v>
      </c>
    </row>
    <row r="84" spans="1:12">
      <c r="A84" s="2" t="s">
        <v>403</v>
      </c>
      <c r="B84" s="3" t="s">
        <v>404</v>
      </c>
      <c r="D84" s="20">
        <v>4.4704482748468447E-44</v>
      </c>
      <c r="E84" s="20">
        <v>0.66392349284559171</v>
      </c>
      <c r="F84" s="20">
        <v>0.30862086854192544</v>
      </c>
      <c r="G84" s="20">
        <v>7.1403721023530986E-2</v>
      </c>
      <c r="H84" s="20">
        <v>0</v>
      </c>
      <c r="I84" s="20">
        <v>0.28389890328013523</v>
      </c>
      <c r="J84" s="20">
        <v>1.239481792561228E-3</v>
      </c>
      <c r="K84" s="20">
        <v>0.33483702536184706</v>
      </c>
      <c r="L84" s="20">
        <v>0</v>
      </c>
    </row>
    <row r="85" spans="1:12">
      <c r="A85" s="2" t="s">
        <v>405</v>
      </c>
      <c r="B85" s="3" t="s">
        <v>406</v>
      </c>
      <c r="D85" s="20">
        <v>1.2923427959378427E-8</v>
      </c>
      <c r="E85" s="20">
        <v>0.82712521162380204</v>
      </c>
      <c r="F85" s="20">
        <v>0.74121572826090676</v>
      </c>
      <c r="G85" s="20">
        <v>3.8749706606875774E-2</v>
      </c>
      <c r="H85" s="20">
        <v>0</v>
      </c>
      <c r="I85" s="20">
        <v>4.7159776756019497E-2</v>
      </c>
      <c r="J85" s="20">
        <v>0.1582939856517345</v>
      </c>
      <c r="K85" s="20">
        <v>1.4580789801035264E-2</v>
      </c>
      <c r="L85" s="20">
        <v>0</v>
      </c>
    </row>
    <row r="86" spans="1:12">
      <c r="A86" s="2" t="s">
        <v>407</v>
      </c>
      <c r="B86" s="3" t="s">
        <v>408</v>
      </c>
      <c r="D86" s="20">
        <v>2.6204298988256359E-5</v>
      </c>
      <c r="E86" s="20">
        <v>0.91985661468986291</v>
      </c>
      <c r="F86" s="20">
        <v>0.17520510691905056</v>
      </c>
      <c r="G86" s="20">
        <v>0.74429022671735312</v>
      </c>
      <c r="H86" s="20">
        <v>0</v>
      </c>
      <c r="I86" s="20">
        <v>3.6128105345924514E-4</v>
      </c>
      <c r="J86" s="20">
        <v>1.2313238519334666E-2</v>
      </c>
      <c r="K86" s="20">
        <v>6.7803942491814095E-2</v>
      </c>
      <c r="L86" s="20">
        <v>0</v>
      </c>
    </row>
    <row r="87" spans="1:12">
      <c r="A87" s="2" t="s">
        <v>409</v>
      </c>
      <c r="B87" s="3" t="s">
        <v>410</v>
      </c>
      <c r="D87" s="20">
        <v>3.2618164044708619E-6</v>
      </c>
      <c r="E87" s="20">
        <v>0.9399872488164831</v>
      </c>
      <c r="F87" s="20">
        <v>9.4914754216117586E-2</v>
      </c>
      <c r="G87" s="20">
        <v>0.84494663911376289</v>
      </c>
      <c r="H87" s="20">
        <v>0</v>
      </c>
      <c r="I87" s="20">
        <v>1.2585548660267828E-4</v>
      </c>
      <c r="J87" s="20">
        <v>1.4095829417564397E-2</v>
      </c>
      <c r="K87" s="20">
        <v>4.5913659949548116E-2</v>
      </c>
      <c r="L87" s="20">
        <v>0</v>
      </c>
    </row>
    <row r="88" spans="1:12">
      <c r="A88" s="2" t="s">
        <v>301</v>
      </c>
      <c r="B88" s="3" t="s">
        <v>302</v>
      </c>
      <c r="D88" s="20">
        <v>4.0459095253752437E-7</v>
      </c>
      <c r="E88" s="20">
        <v>0.95706407056806986</v>
      </c>
      <c r="F88" s="20">
        <v>4.4206932632029315E-2</v>
      </c>
      <c r="G88" s="20">
        <v>0.91282166077924365</v>
      </c>
      <c r="H88" s="20">
        <v>0</v>
      </c>
      <c r="I88" s="20">
        <v>3.5477156796936125E-5</v>
      </c>
      <c r="J88" s="20">
        <v>1.5374296596136247E-2</v>
      </c>
      <c r="K88" s="20">
        <v>2.7561228244841144E-2</v>
      </c>
      <c r="L88" s="20">
        <v>0</v>
      </c>
    </row>
    <row r="89" spans="1:12">
      <c r="A89" s="2" t="s">
        <v>303</v>
      </c>
      <c r="B89" s="3" t="s">
        <v>304</v>
      </c>
      <c r="D89" s="20">
        <v>1.363633969589865E-13</v>
      </c>
      <c r="E89" s="20">
        <v>0.43236168780301043</v>
      </c>
      <c r="F89" s="20">
        <v>0.11978289908603347</v>
      </c>
      <c r="G89" s="20">
        <v>0.3115307322610984</v>
      </c>
      <c r="H89" s="20">
        <v>0</v>
      </c>
      <c r="I89" s="20">
        <v>1.0480564558785531E-3</v>
      </c>
      <c r="J89" s="20">
        <v>0.55449776269930984</v>
      </c>
      <c r="K89" s="20">
        <v>1.3140549497543272E-2</v>
      </c>
      <c r="L89" s="20">
        <v>0</v>
      </c>
    </row>
    <row r="90" spans="1:12">
      <c r="A90" s="2" t="s">
        <v>425</v>
      </c>
      <c r="B90" s="3" t="s">
        <v>426</v>
      </c>
      <c r="D90" s="20">
        <v>1.6017073254891088E-13</v>
      </c>
      <c r="E90" s="20">
        <v>0.97443655994725187</v>
      </c>
      <c r="F90" s="20">
        <v>9.1611376971208755E-4</v>
      </c>
      <c r="G90" s="20">
        <v>3.0759176054839793E-4</v>
      </c>
      <c r="H90" s="20">
        <v>0</v>
      </c>
      <c r="I90" s="20">
        <v>0.97321285441699135</v>
      </c>
      <c r="J90" s="20">
        <v>4.510916283577367E-4</v>
      </c>
      <c r="K90" s="20">
        <v>2.5112348424230223E-2</v>
      </c>
      <c r="L90" s="20">
        <v>0</v>
      </c>
    </row>
    <row r="91" spans="1:12">
      <c r="A91" s="2" t="s">
        <v>427</v>
      </c>
      <c r="B91" s="3" t="s">
        <v>428</v>
      </c>
      <c r="D91" s="20">
        <v>8.2430549657926401E-5</v>
      </c>
      <c r="E91" s="20">
        <v>0.78704246610277073</v>
      </c>
      <c r="F91" s="20">
        <v>5.4999964690099767E-2</v>
      </c>
      <c r="G91" s="20">
        <v>1.5468847787540374E-2</v>
      </c>
      <c r="H91" s="20">
        <v>0</v>
      </c>
      <c r="I91" s="20">
        <v>0.71657365362513059</v>
      </c>
      <c r="J91" s="20">
        <v>5.650318386191056E-4</v>
      </c>
      <c r="K91" s="20">
        <v>0.21231007150895229</v>
      </c>
      <c r="L91" s="20">
        <v>0</v>
      </c>
    </row>
    <row r="92" spans="1:12">
      <c r="A92" s="2" t="s">
        <v>429</v>
      </c>
      <c r="B92" s="3" t="s">
        <v>430</v>
      </c>
      <c r="D92" s="20">
        <v>5.0567389877508267E-4</v>
      </c>
      <c r="E92" s="20">
        <v>0.71053236317233293</v>
      </c>
      <c r="F92" s="20">
        <v>0.48188649166800385</v>
      </c>
      <c r="G92" s="20">
        <v>0.10168111680836465</v>
      </c>
      <c r="H92" s="20">
        <v>0</v>
      </c>
      <c r="I92" s="20">
        <v>0.12696475469596438</v>
      </c>
      <c r="J92" s="20">
        <v>1.650510127887388E-3</v>
      </c>
      <c r="K92" s="20">
        <v>0.28731145280100445</v>
      </c>
      <c r="L92" s="20">
        <v>0</v>
      </c>
    </row>
    <row r="93" spans="1:12">
      <c r="A93" s="2" t="s">
        <v>431</v>
      </c>
      <c r="B93" s="3" t="s">
        <v>432</v>
      </c>
      <c r="D93" s="20">
        <v>1.2048309106621717E-17</v>
      </c>
      <c r="E93" s="20">
        <v>0.99938924292660802</v>
      </c>
      <c r="F93" s="20">
        <v>4.3597941475089661E-3</v>
      </c>
      <c r="G93" s="20">
        <v>3.4929141013901708E-6</v>
      </c>
      <c r="H93" s="20">
        <v>0</v>
      </c>
      <c r="I93" s="20">
        <v>0.99502595586499765</v>
      </c>
      <c r="J93" s="20">
        <v>4.578243099875472E-4</v>
      </c>
      <c r="K93" s="20">
        <v>1.5293276340450632E-4</v>
      </c>
      <c r="L93" s="20">
        <v>0</v>
      </c>
    </row>
    <row r="94" spans="1:12">
      <c r="A94" s="2" t="s">
        <v>433</v>
      </c>
      <c r="B94" s="3" t="s">
        <v>434</v>
      </c>
      <c r="D94" s="20">
        <v>2.5465249096817762E-18</v>
      </c>
      <c r="E94" s="20">
        <v>0.99953487563833143</v>
      </c>
      <c r="F94" s="20">
        <v>1.6967667452234587E-5</v>
      </c>
      <c r="G94" s="20">
        <v>2.3676515418701996E-8</v>
      </c>
      <c r="H94" s="20">
        <v>0</v>
      </c>
      <c r="I94" s="20">
        <v>0.99951788429436383</v>
      </c>
      <c r="J94" s="20">
        <v>4.6125507937285084E-4</v>
      </c>
      <c r="K94" s="20">
        <v>3.8692822956552183E-6</v>
      </c>
      <c r="L94" s="20">
        <v>0</v>
      </c>
    </row>
    <row r="95" spans="1:12">
      <c r="A95" s="2" t="s">
        <v>435</v>
      </c>
      <c r="B95" s="3" t="s">
        <v>436</v>
      </c>
      <c r="D95" s="20">
        <v>1.3619504980498969E-8</v>
      </c>
      <c r="E95" s="20">
        <v>0.94164950871324693</v>
      </c>
      <c r="F95" s="20">
        <v>3.735998815740665E-3</v>
      </c>
      <c r="G95" s="20">
        <v>1.295800001610406E-3</v>
      </c>
      <c r="H95" s="20">
        <v>0</v>
      </c>
      <c r="I95" s="20">
        <v>0.93661770989589588</v>
      </c>
      <c r="J95" s="20">
        <v>4.5420476898683785E-4</v>
      </c>
      <c r="K95" s="20">
        <v>5.7896272898261179E-2</v>
      </c>
      <c r="L95" s="20">
        <v>0</v>
      </c>
    </row>
    <row r="96" spans="1:12">
      <c r="A96" s="2" t="s">
        <v>437</v>
      </c>
      <c r="B96" s="163" t="s">
        <v>438</v>
      </c>
      <c r="D96" s="20">
        <v>4.8858081068563031E-8</v>
      </c>
      <c r="E96" s="20">
        <v>0.91171911319304622</v>
      </c>
      <c r="F96" s="20">
        <v>0.21568037039202834</v>
      </c>
      <c r="G96" s="20">
        <v>0.69551447999657312</v>
      </c>
      <c r="H96" s="20">
        <v>0</v>
      </c>
      <c r="I96" s="20">
        <v>5.2426280444480087E-4</v>
      </c>
      <c r="J96" s="20">
        <v>1.1470653749003365E-2</v>
      </c>
      <c r="K96" s="20">
        <v>7.6810184199869097E-2</v>
      </c>
      <c r="L96" s="20">
        <v>0</v>
      </c>
    </row>
    <row r="97" spans="1:12">
      <c r="A97" s="2" t="s">
        <v>439</v>
      </c>
      <c r="B97" s="3" t="s">
        <v>440</v>
      </c>
      <c r="D97" s="20">
        <v>3.9885703024625706E-5</v>
      </c>
      <c r="E97" s="20">
        <v>0.72955605629554432</v>
      </c>
      <c r="F97" s="20">
        <v>0.10249235359363267</v>
      </c>
      <c r="G97" s="20">
        <v>2.7176093094375048E-2</v>
      </c>
      <c r="H97" s="20">
        <v>0</v>
      </c>
      <c r="I97" s="20">
        <v>0.59988760960753662</v>
      </c>
      <c r="J97" s="20">
        <v>6.9244138795378923E-4</v>
      </c>
      <c r="K97" s="20">
        <v>0.26971161661347742</v>
      </c>
      <c r="L97" s="20">
        <v>0</v>
      </c>
    </row>
    <row r="98" spans="1:12">
      <c r="A98" s="2" t="s">
        <v>441</v>
      </c>
      <c r="B98" s="3" t="s">
        <v>442</v>
      </c>
      <c r="D98" s="20">
        <v>2.718147967628132E-17</v>
      </c>
      <c r="E98" s="20">
        <v>0.7761845699983082</v>
      </c>
      <c r="F98" s="20">
        <v>6.2136574791893988E-2</v>
      </c>
      <c r="G98" s="20">
        <v>1.7283944574408551E-2</v>
      </c>
      <c r="H98" s="20">
        <v>0</v>
      </c>
      <c r="I98" s="20">
        <v>0.69676405063200564</v>
      </c>
      <c r="J98" s="20">
        <v>5.8392074372040528E-4</v>
      </c>
      <c r="K98" s="20">
        <v>0.22323150925797139</v>
      </c>
      <c r="L98" s="20">
        <v>0</v>
      </c>
    </row>
    <row r="99" spans="1:12">
      <c r="A99" s="2" t="s">
        <v>443</v>
      </c>
      <c r="B99" s="3" t="s">
        <v>444</v>
      </c>
      <c r="D99" s="20">
        <v>4.200463596318236E-29</v>
      </c>
      <c r="E99" s="20">
        <v>0.88253547557607015</v>
      </c>
      <c r="F99" s="20">
        <v>1.4776495303831929E-2</v>
      </c>
      <c r="G99" s="20">
        <v>4.6415923477752131E-3</v>
      </c>
      <c r="H99" s="20">
        <v>0</v>
      </c>
      <c r="I99" s="20">
        <v>0.86311738792446302</v>
      </c>
      <c r="J99" s="20">
        <v>4.6620433059595568E-4</v>
      </c>
      <c r="K99" s="20">
        <v>0.11699832009333391</v>
      </c>
      <c r="L99" s="20">
        <v>0</v>
      </c>
    </row>
    <row r="100" spans="1:12">
      <c r="A100" s="2" t="s">
        <v>445</v>
      </c>
      <c r="B100" s="3" t="s">
        <v>446</v>
      </c>
      <c r="D100" s="20">
        <v>5.0301192519362027E-8</v>
      </c>
      <c r="E100" s="20">
        <v>0.87791137450535628</v>
      </c>
      <c r="F100" s="20">
        <v>0.53180509785429486</v>
      </c>
      <c r="G100" s="20">
        <v>0.34272678854883731</v>
      </c>
      <c r="H100" s="20">
        <v>0</v>
      </c>
      <c r="I100" s="20">
        <v>3.3794881022240863E-3</v>
      </c>
      <c r="J100" s="20">
        <v>5.5524209431253441E-3</v>
      </c>
      <c r="K100" s="20">
        <v>0.11653615425032594</v>
      </c>
      <c r="L100" s="20">
        <v>0</v>
      </c>
    </row>
    <row r="101" spans="1:12">
      <c r="A101" s="2" t="s">
        <v>447</v>
      </c>
      <c r="B101" s="3" t="s">
        <v>448</v>
      </c>
      <c r="D101" s="20">
        <v>4.4354068596334773E-9</v>
      </c>
      <c r="E101" s="20">
        <v>0.68587464204278803</v>
      </c>
      <c r="F101" s="20">
        <v>0.41764537721079403</v>
      </c>
      <c r="G101" s="20">
        <v>9.1264784796943374E-2</v>
      </c>
      <c r="H101" s="20">
        <v>0</v>
      </c>
      <c r="I101" s="20">
        <v>0.17696448003505058</v>
      </c>
      <c r="J101" s="20">
        <v>1.5059971470605682E-3</v>
      </c>
      <c r="K101" s="20">
        <v>0.31261935637474447</v>
      </c>
      <c r="L101" s="20">
        <v>0</v>
      </c>
    </row>
    <row r="102" spans="1:12">
      <c r="A102" s="2" t="s">
        <v>449</v>
      </c>
      <c r="B102" s="3" t="s">
        <v>450</v>
      </c>
      <c r="D102" s="20">
        <v>1.9689118601324491E-4</v>
      </c>
      <c r="E102" s="20">
        <v>0.80769572315597793</v>
      </c>
      <c r="F102" s="20">
        <v>0.64639872321188308</v>
      </c>
      <c r="G102" s="20">
        <v>0.12234776642641597</v>
      </c>
      <c r="H102" s="20">
        <v>0</v>
      </c>
      <c r="I102" s="20">
        <v>3.8949233517678865E-2</v>
      </c>
      <c r="J102" s="20">
        <v>1.9519800027317468E-3</v>
      </c>
      <c r="K102" s="20">
        <v>0.19015540565527708</v>
      </c>
      <c r="L102" s="20">
        <v>0</v>
      </c>
    </row>
    <row r="103" spans="1:12">
      <c r="A103" s="2" t="s">
        <v>451</v>
      </c>
      <c r="B103" s="3" t="s">
        <v>452</v>
      </c>
      <c r="D103" s="20">
        <v>4.3991724854438525E-19</v>
      </c>
      <c r="E103" s="20">
        <v>0.9994466916342134</v>
      </c>
      <c r="F103" s="20">
        <v>0.1050176980592919</v>
      </c>
      <c r="G103" s="20">
        <v>1.0191490469397128E-5</v>
      </c>
      <c r="H103" s="20">
        <v>0</v>
      </c>
      <c r="I103" s="20">
        <v>0.89441880208445212</v>
      </c>
      <c r="J103" s="20">
        <v>4.3556123499654918E-4</v>
      </c>
      <c r="K103" s="20">
        <v>1.1774713078991157E-4</v>
      </c>
      <c r="L103" s="20">
        <v>0</v>
      </c>
    </row>
    <row r="104" spans="1:12">
      <c r="A104" s="2" t="s">
        <v>453</v>
      </c>
      <c r="B104" s="3" t="s">
        <v>454</v>
      </c>
      <c r="D104" s="20">
        <v>1.1286945606715036E-20</v>
      </c>
      <c r="E104" s="20">
        <v>0.99905734117889744</v>
      </c>
      <c r="F104" s="20">
        <v>0.98690686972048935</v>
      </c>
      <c r="G104" s="20">
        <v>1.0450614367735294E-3</v>
      </c>
      <c r="H104" s="20">
        <v>0</v>
      </c>
      <c r="I104" s="20">
        <v>1.1105410021634534E-2</v>
      </c>
      <c r="J104" s="20">
        <v>2.4914606617084067E-4</v>
      </c>
      <c r="K104" s="20">
        <v>6.9351275493158586E-4</v>
      </c>
      <c r="L104" s="20">
        <v>0</v>
      </c>
    </row>
    <row r="105" spans="1:12">
      <c r="A105" s="2" t="s">
        <v>455</v>
      </c>
      <c r="B105" s="163">
        <v>354656</v>
      </c>
      <c r="D105" s="20">
        <v>3.6843922348200098E-10</v>
      </c>
      <c r="E105" s="20">
        <v>0.96945841195779292</v>
      </c>
      <c r="F105" s="20">
        <v>9.8229079250507852E-4</v>
      </c>
      <c r="G105" s="20">
        <v>3.7995803113399193E-4</v>
      </c>
      <c r="H105" s="20">
        <v>0</v>
      </c>
      <c r="I105" s="20">
        <v>0.96809616313415381</v>
      </c>
      <c r="J105" s="20">
        <v>4.4978126865545754E-4</v>
      </c>
      <c r="K105" s="20">
        <v>3.0091806405112421E-2</v>
      </c>
      <c r="L105" s="20">
        <v>0</v>
      </c>
    </row>
    <row r="106" spans="1:12">
      <c r="A106" s="2" t="s">
        <v>457</v>
      </c>
      <c r="B106" s="3" t="s">
        <v>458</v>
      </c>
      <c r="D106" s="20">
        <v>5.459808209991543E-10</v>
      </c>
      <c r="E106" s="20">
        <v>0.93894740880291316</v>
      </c>
      <c r="F106" s="20">
        <v>4.0492736479018484E-3</v>
      </c>
      <c r="G106" s="20">
        <v>1.3981463231322153E-3</v>
      </c>
      <c r="H106" s="20">
        <v>0</v>
      </c>
      <c r="I106" s="20">
        <v>0.93349998883187912</v>
      </c>
      <c r="J106" s="20">
        <v>4.5361884571888759E-4</v>
      </c>
      <c r="K106" s="20">
        <v>6.0598971805387217E-2</v>
      </c>
      <c r="L106" s="20">
        <v>0</v>
      </c>
    </row>
    <row r="107" spans="1:12">
      <c r="A107" s="2" t="s">
        <v>459</v>
      </c>
      <c r="B107" s="3" t="s">
        <v>460</v>
      </c>
      <c r="D107" s="20">
        <v>4.6014398127976016E-20</v>
      </c>
      <c r="E107" s="20">
        <v>0.85893893632005469</v>
      </c>
      <c r="F107" s="20">
        <v>0.71317660635954905</v>
      </c>
      <c r="G107" s="20">
        <v>0.12482031717019093</v>
      </c>
      <c r="H107" s="20">
        <v>0</v>
      </c>
      <c r="I107" s="20">
        <v>2.0942012790314692E-2</v>
      </c>
      <c r="J107" s="20">
        <v>3.5942354395163516E-3</v>
      </c>
      <c r="K107" s="20">
        <v>0.13746682824042897</v>
      </c>
      <c r="L107" s="20">
        <v>0</v>
      </c>
    </row>
    <row r="108" spans="1:12">
      <c r="A108" s="2" t="s">
        <v>461</v>
      </c>
      <c r="B108" s="3" t="s">
        <v>462</v>
      </c>
      <c r="D108" s="20">
        <v>1.1002411732529481E-9</v>
      </c>
      <c r="E108" s="20">
        <v>0.99948450960042023</v>
      </c>
      <c r="F108" s="20">
        <v>8.7888992002466292E-6</v>
      </c>
      <c r="G108" s="20">
        <v>2.5473936698417668E-7</v>
      </c>
      <c r="H108" s="20">
        <v>0</v>
      </c>
      <c r="I108" s="20">
        <v>0.99947546596185299</v>
      </c>
      <c r="J108" s="20">
        <v>4.5992335547579728E-4</v>
      </c>
      <c r="K108" s="20">
        <v>5.5565943862689972E-5</v>
      </c>
      <c r="L108" s="20">
        <v>0</v>
      </c>
    </row>
    <row r="109" spans="1:12">
      <c r="A109" s="2" t="s">
        <v>463</v>
      </c>
      <c r="B109" s="3" t="s">
        <v>464</v>
      </c>
      <c r="D109" s="20">
        <v>2.7976732052526744E-12</v>
      </c>
      <c r="E109" s="20">
        <v>0.97690069202994123</v>
      </c>
      <c r="F109" s="20">
        <v>5.7437296761336493E-2</v>
      </c>
      <c r="G109" s="20">
        <v>2.8549602631867598E-3</v>
      </c>
      <c r="H109" s="20">
        <v>0</v>
      </c>
      <c r="I109" s="20">
        <v>0.916608435005418</v>
      </c>
      <c r="J109" s="20">
        <v>4.9561576626902049E-3</v>
      </c>
      <c r="K109" s="20">
        <v>1.814315030457089E-2</v>
      </c>
      <c r="L109" s="20">
        <v>0</v>
      </c>
    </row>
    <row r="110" spans="1:12">
      <c r="A110" s="2" t="s">
        <v>465</v>
      </c>
      <c r="B110" s="3" t="s">
        <v>466</v>
      </c>
      <c r="D110" s="20">
        <v>2.0888359563726755E-11</v>
      </c>
      <c r="E110" s="20">
        <v>0.99328972884032785</v>
      </c>
      <c r="F110" s="20">
        <v>2.2474003314719402E-4</v>
      </c>
      <c r="G110" s="20">
        <v>4.2997872369301683E-5</v>
      </c>
      <c r="H110" s="20">
        <v>0</v>
      </c>
      <c r="I110" s="20">
        <v>0.99302199093481136</v>
      </c>
      <c r="J110" s="20">
        <v>4.5624637159835489E-4</v>
      </c>
      <c r="K110" s="20">
        <v>6.2540247671853825E-3</v>
      </c>
      <c r="L110" s="20">
        <v>0</v>
      </c>
    </row>
    <row r="111" spans="1:12">
      <c r="A111" s="2" t="s">
        <v>467</v>
      </c>
      <c r="B111" s="3" t="s">
        <v>468</v>
      </c>
      <c r="D111" s="20">
        <v>3.713063517572203E-30</v>
      </c>
      <c r="E111" s="20">
        <v>0.9995358261822298</v>
      </c>
      <c r="F111" s="20">
        <v>1.5971768028354415E-5</v>
      </c>
      <c r="G111" s="20">
        <v>1.3195472396338159E-8</v>
      </c>
      <c r="H111" s="20">
        <v>0</v>
      </c>
      <c r="I111" s="20">
        <v>0.99951984121872905</v>
      </c>
      <c r="J111" s="20">
        <v>4.5855638901446999E-4</v>
      </c>
      <c r="K111" s="20">
        <v>5.6174287555483259E-6</v>
      </c>
      <c r="L111" s="20">
        <v>0</v>
      </c>
    </row>
    <row r="112" spans="1:12">
      <c r="A112" s="2" t="s">
        <v>469</v>
      </c>
      <c r="B112" s="3" t="s">
        <v>470</v>
      </c>
      <c r="D112" s="20">
        <v>2.3470108903259E-13</v>
      </c>
      <c r="E112" s="20">
        <v>0.99144258028318655</v>
      </c>
      <c r="F112" s="20">
        <v>7.751563688797017E-5</v>
      </c>
      <c r="G112" s="20">
        <v>3.6214698594162528E-5</v>
      </c>
      <c r="H112" s="20">
        <v>0</v>
      </c>
      <c r="I112" s="20">
        <v>0.99132884994770443</v>
      </c>
      <c r="J112" s="20">
        <v>4.5532146222061992E-4</v>
      </c>
      <c r="K112" s="20">
        <v>8.102098254358165E-3</v>
      </c>
      <c r="L112" s="20">
        <v>0</v>
      </c>
    </row>
    <row r="113" spans="1:12">
      <c r="A113" s="2" t="s">
        <v>471</v>
      </c>
      <c r="B113" s="3" t="s">
        <v>472</v>
      </c>
      <c r="D113" s="20">
        <v>2.8883666305646725E-9</v>
      </c>
      <c r="E113" s="20">
        <v>0.9541015961180509</v>
      </c>
      <c r="F113" s="20">
        <v>2.2025538428258285E-3</v>
      </c>
      <c r="G113" s="20">
        <v>8.0171883956492245E-4</v>
      </c>
      <c r="H113" s="20">
        <v>0</v>
      </c>
      <c r="I113" s="20">
        <v>0.95109732343566011</v>
      </c>
      <c r="J113" s="20">
        <v>4.4831390343458738E-4</v>
      </c>
      <c r="K113" s="20">
        <v>4.5450087090147917E-2</v>
      </c>
      <c r="L113" s="20">
        <v>0</v>
      </c>
    </row>
    <row r="114" spans="1:12">
      <c r="A114" s="2" t="s">
        <v>473</v>
      </c>
      <c r="B114" s="3" t="s">
        <v>474</v>
      </c>
      <c r="D114" s="20">
        <v>2.3038590057889821E-16</v>
      </c>
      <c r="E114" s="20">
        <v>0.99534233548747586</v>
      </c>
      <c r="F114" s="20">
        <v>2.257143862162765E-5</v>
      </c>
      <c r="G114" s="20">
        <v>1.1371764153605546E-5</v>
      </c>
      <c r="H114" s="20">
        <v>0</v>
      </c>
      <c r="I114" s="20">
        <v>0.99530839228470058</v>
      </c>
      <c r="J114" s="20">
        <v>4.5678259102252853E-4</v>
      </c>
      <c r="K114" s="20">
        <v>4.2008819215016554E-3</v>
      </c>
      <c r="L114" s="20">
        <v>0</v>
      </c>
    </row>
    <row r="115" spans="1:12">
      <c r="A115" s="2" t="s">
        <v>475</v>
      </c>
      <c r="B115" s="3" t="s">
        <v>476</v>
      </c>
      <c r="D115" s="20">
        <v>1.191448212744264E-12</v>
      </c>
      <c r="E115" s="20">
        <v>0.99947917612648329</v>
      </c>
      <c r="F115" s="20">
        <v>2.7439985711590766E-2</v>
      </c>
      <c r="G115" s="20">
        <v>3.2867580410244375E-6</v>
      </c>
      <c r="H115" s="20">
        <v>0</v>
      </c>
      <c r="I115" s="20">
        <v>0.97203590365685155</v>
      </c>
      <c r="J115" s="20">
        <v>4.5317191524720652E-4</v>
      </c>
      <c r="K115" s="20">
        <v>6.7651957077913239E-5</v>
      </c>
      <c r="L115" s="20">
        <v>0</v>
      </c>
    </row>
    <row r="116" spans="1:12">
      <c r="A116" s="2" t="s">
        <v>477</v>
      </c>
      <c r="B116" s="3" t="s">
        <v>478</v>
      </c>
      <c r="D116" s="20">
        <v>3.2163085254173228E-17</v>
      </c>
      <c r="E116" s="20">
        <v>0.932610675482065</v>
      </c>
      <c r="F116" s="20">
        <v>0.78545977881141626</v>
      </c>
      <c r="G116" s="20">
        <v>1.9024246801093811E-2</v>
      </c>
      <c r="H116" s="20">
        <v>0</v>
      </c>
      <c r="I116" s="20">
        <v>0.12812664986955488</v>
      </c>
      <c r="J116" s="20">
        <v>4.9023090996151035E-2</v>
      </c>
      <c r="K116" s="20">
        <v>1.8366233521784091E-2</v>
      </c>
      <c r="L116" s="20">
        <v>0</v>
      </c>
    </row>
    <row r="117" spans="1:12">
      <c r="A117" s="2" t="s">
        <v>291</v>
      </c>
      <c r="B117" s="3" t="s">
        <v>479</v>
      </c>
      <c r="D117" s="20">
        <v>2.9403416844265453E-10</v>
      </c>
      <c r="E117" s="20">
        <v>0.68544755806525026</v>
      </c>
      <c r="F117" s="20">
        <v>0.17071513102597388</v>
      </c>
      <c r="G117" s="20">
        <v>4.2831922802148314E-2</v>
      </c>
      <c r="H117" s="20">
        <v>0</v>
      </c>
      <c r="I117" s="20">
        <v>0.47190050423712809</v>
      </c>
      <c r="J117" s="20">
        <v>8.7722858533301066E-4</v>
      </c>
      <c r="K117" s="20">
        <v>0.31367521305538254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1.0482539761195092E-12</v>
      </c>
      <c r="E2" s="14">
        <v>3.901388135995585E-5</v>
      </c>
      <c r="F2" s="14">
        <v>2.4007157035830987E-8</v>
      </c>
      <c r="G2" s="14">
        <v>9.6346576778472264E-9</v>
      </c>
      <c r="H2" s="14">
        <v>0</v>
      </c>
      <c r="I2" s="14">
        <v>1.8041159429799678E-8</v>
      </c>
      <c r="J2" s="14">
        <v>9.3443461764669589E-7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7.9874360587378433E-13</v>
      </c>
      <c r="E3" s="14">
        <v>1.867291280618797E-5</v>
      </c>
      <c r="F3" s="14">
        <v>7.418408386705341E-6</v>
      </c>
      <c r="G3" s="14">
        <v>1.8021831738033516E-6</v>
      </c>
      <c r="H3" s="14">
        <v>0</v>
      </c>
      <c r="I3" s="14">
        <v>5.8589093015173466E-8</v>
      </c>
      <c r="J3" s="14">
        <v>1.2047905741544567E-5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5.4389126274280103E-22</v>
      </c>
      <c r="E4" s="14">
        <v>3.9961770635859718E-5</v>
      </c>
      <c r="F4" s="14">
        <v>1.6864998130350617E-8</v>
      </c>
      <c r="G4" s="14">
        <v>1.8572994885079552E-11</v>
      </c>
      <c r="H4" s="14">
        <v>0</v>
      </c>
      <c r="I4" s="14">
        <v>2.052014570619416E-8</v>
      </c>
      <c r="J4" s="14">
        <v>8.2564730885328029E-10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9.0554631317129839E-15</v>
      </c>
      <c r="E5" s="14">
        <v>2.1897370797403528E-5</v>
      </c>
      <c r="F5" s="14">
        <v>1.8079796872754212E-5</v>
      </c>
      <c r="G5" s="14">
        <v>1.4350030118576852E-9</v>
      </c>
      <c r="H5" s="14">
        <v>0</v>
      </c>
      <c r="I5" s="14">
        <v>1.3874761537475856E-8</v>
      </c>
      <c r="J5" s="14">
        <v>7.5225562374663366E-9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7.4289937240601355E-16</v>
      </c>
      <c r="E6" s="14">
        <v>1.2960349388124429E-5</v>
      </c>
      <c r="F6" s="14">
        <v>2.6992200040312753E-5</v>
      </c>
      <c r="G6" s="14">
        <v>7.827639385868893E-9</v>
      </c>
      <c r="H6" s="14">
        <v>0</v>
      </c>
      <c r="I6" s="14">
        <v>1.1416805517047431E-8</v>
      </c>
      <c r="J6" s="14">
        <v>2.8206125917002429E-8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6.4804783093040174E-12</v>
      </c>
      <c r="E7" s="14">
        <v>4.3040873408456703E-6</v>
      </c>
      <c r="F7" s="14">
        <v>3.5465219328432261E-5</v>
      </c>
      <c r="G7" s="14">
        <v>7.2193442888092517E-8</v>
      </c>
      <c r="H7" s="14">
        <v>0</v>
      </c>
      <c r="I7" s="14">
        <v>9.4851333361066237E-9</v>
      </c>
      <c r="J7" s="14">
        <v>1.4900827401956945E-7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4.6029525670359373E-22</v>
      </c>
      <c r="E8" s="14">
        <v>9.1901373359215269E-6</v>
      </c>
      <c r="F8" s="14">
        <v>3.0781060307579462E-5</v>
      </c>
      <c r="G8" s="14">
        <v>4.680671483010019E-9</v>
      </c>
      <c r="H8" s="14">
        <v>0</v>
      </c>
      <c r="I8" s="14">
        <v>1.0208684814685703E-8</v>
      </c>
      <c r="J8" s="14">
        <v>1.3913000201319838E-8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1.9291712485980436E-17</v>
      </c>
      <c r="E9" s="14">
        <v>2.454990533696246E-5</v>
      </c>
      <c r="F9" s="14">
        <v>1.5395414854716549E-5</v>
      </c>
      <c r="G9" s="14">
        <v>5.8353020985975841E-9</v>
      </c>
      <c r="H9" s="14">
        <v>0</v>
      </c>
      <c r="I9" s="14">
        <v>1.4648453691540593E-8</v>
      </c>
      <c r="J9" s="14">
        <v>3.4196052511560295E-8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5.8084542605469675E-10</v>
      </c>
      <c r="E10" s="14">
        <v>4.1374543430933015E-7</v>
      </c>
      <c r="F10" s="14">
        <v>2.9869970155987566E-5</v>
      </c>
      <c r="G10" s="14">
        <v>5.2171142089473236E-6</v>
      </c>
      <c r="H10" s="14">
        <v>0</v>
      </c>
      <c r="I10" s="14">
        <v>8.3464651390773308E-8</v>
      </c>
      <c r="J10" s="14">
        <v>4.4151247039389587E-6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2.3880583186136315E-16</v>
      </c>
      <c r="E11" s="14">
        <v>2.4530700189538362E-8</v>
      </c>
      <c r="F11" s="14">
        <v>2.238162005307786E-5</v>
      </c>
      <c r="G11" s="14">
        <v>1.6352565256048791E-5</v>
      </c>
      <c r="H11" s="14">
        <v>0</v>
      </c>
      <c r="I11" s="14">
        <v>5.3023664167154324E-7</v>
      </c>
      <c r="J11" s="14">
        <v>7.1104734877346387E-7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2.9970853306473339E-6</v>
      </c>
      <c r="E12" s="14">
        <v>3.6816663974736203E-5</v>
      </c>
      <c r="F12" s="14">
        <v>1.0348912063461922E-9</v>
      </c>
      <c r="G12" s="14">
        <v>5.1295894994877904E-10</v>
      </c>
      <c r="H12" s="14">
        <v>0</v>
      </c>
      <c r="I12" s="14">
        <v>1.690157494198116E-8</v>
      </c>
      <c r="J12" s="14">
        <v>1.6780126951819136E-7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7.0081478781486577E-13</v>
      </c>
      <c r="E13" s="14">
        <v>2.0978570799427992E-5</v>
      </c>
      <c r="F13" s="14">
        <v>5.6218269375661482E-6</v>
      </c>
      <c r="G13" s="14">
        <v>1.4420257896639609E-6</v>
      </c>
      <c r="H13" s="14">
        <v>0</v>
      </c>
      <c r="I13" s="14">
        <v>3.1826950593294522E-8</v>
      </c>
      <c r="J13" s="14">
        <v>1.1925748821933814E-5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3.4311176540270269E-12</v>
      </c>
      <c r="E14" s="14">
        <v>3.5218736884050144E-7</v>
      </c>
      <c r="F14" s="14">
        <v>3.9539880307829882E-5</v>
      </c>
      <c r="G14" s="14">
        <v>6.1944250231665955E-8</v>
      </c>
      <c r="H14" s="14">
        <v>0</v>
      </c>
      <c r="I14" s="14">
        <v>1.4715667992795762E-8</v>
      </c>
      <c r="J14" s="14">
        <v>3.1268973987501445E-8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3.4049149390577231E-6</v>
      </c>
      <c r="E15" s="14">
        <v>3.0473259324439185E-5</v>
      </c>
      <c r="F15" s="14">
        <v>7.7835995056374227E-7</v>
      </c>
      <c r="G15" s="14">
        <v>2.3739744317021001E-7</v>
      </c>
      <c r="H15" s="14">
        <v>0</v>
      </c>
      <c r="I15" s="14">
        <v>1.7581361388777174E-8</v>
      </c>
      <c r="J15" s="14">
        <v>5.088486981380365E-6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2.6660329571390021E-8</v>
      </c>
      <c r="E16" s="14">
        <v>1.9568527834938067E-5</v>
      </c>
      <c r="F16" s="14">
        <v>6.4053037377070851E-6</v>
      </c>
      <c r="G16" s="14">
        <v>1.6189568887344178E-6</v>
      </c>
      <c r="H16" s="14">
        <v>0</v>
      </c>
      <c r="I16" s="14">
        <v>3.3935961557749693E-8</v>
      </c>
      <c r="J16" s="14">
        <v>1.2346615247491295E-5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8.01656847259573E-8</v>
      </c>
      <c r="E17" s="14">
        <v>2.0416493132658395E-5</v>
      </c>
      <c r="F17" s="14">
        <v>5.8974290031627505E-6</v>
      </c>
      <c r="G17" s="14">
        <v>1.504382513468464E-6</v>
      </c>
      <c r="H17" s="14">
        <v>0</v>
      </c>
      <c r="I17" s="14">
        <v>3.2540228351573444E-8</v>
      </c>
      <c r="J17" s="14">
        <v>1.2068989437632865E-5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1.6957358149316398E-12</v>
      </c>
      <c r="E18" s="14">
        <v>2.6344552956461344E-8</v>
      </c>
      <c r="F18" s="14">
        <v>9.7686018225198046E-6</v>
      </c>
      <c r="G18" s="14">
        <v>2.6468416689638294E-5</v>
      </c>
      <c r="H18" s="14">
        <v>0</v>
      </c>
      <c r="I18" s="14">
        <v>4.3567271635203392E-7</v>
      </c>
      <c r="J18" s="14">
        <v>3.3009625227975929E-6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4.7069455923659738E-7</v>
      </c>
      <c r="E19" s="14">
        <v>3.611368610381404E-5</v>
      </c>
      <c r="F19" s="14">
        <v>2.5131209653242598E-7</v>
      </c>
      <c r="G19" s="14">
        <v>8.4354634611385972E-8</v>
      </c>
      <c r="H19" s="14">
        <v>0</v>
      </c>
      <c r="I19" s="14">
        <v>1.783702612240781E-8</v>
      </c>
      <c r="J19" s="14">
        <v>3.0621155796831488E-6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8.7887784606187953E-7</v>
      </c>
      <c r="E20" s="14">
        <v>3.4463641014907623E-5</v>
      </c>
      <c r="F20" s="14">
        <v>4.4812867255743236E-7</v>
      </c>
      <c r="G20" s="14">
        <v>1.4364757128644452E-7</v>
      </c>
      <c r="H20" s="14">
        <v>0</v>
      </c>
      <c r="I20" s="14">
        <v>1.7980650093750756E-8</v>
      </c>
      <c r="J20" s="14">
        <v>4.0477242450928763E-6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7.4502367710273716E-8</v>
      </c>
      <c r="E21" s="14">
        <v>4.2431219052676728E-6</v>
      </c>
      <c r="F21" s="14">
        <v>3.1634944989305349E-5</v>
      </c>
      <c r="G21" s="14">
        <v>1.2766923196318588E-6</v>
      </c>
      <c r="H21" s="14">
        <v>0</v>
      </c>
      <c r="I21" s="14">
        <v>2.6645099949929471E-8</v>
      </c>
      <c r="J21" s="14">
        <v>2.7440933181349211E-6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2.6210377546504416E-6</v>
      </c>
      <c r="E22" s="14">
        <v>3.6123175188139324E-5</v>
      </c>
      <c r="F22" s="14">
        <v>4.050862403511276E-8</v>
      </c>
      <c r="G22" s="14">
        <v>1.5554034110215718E-8</v>
      </c>
      <c r="H22" s="14">
        <v>0</v>
      </c>
      <c r="I22" s="14">
        <v>1.6803573820905305E-8</v>
      </c>
      <c r="J22" s="14">
        <v>1.1829208252440037E-6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2.7566989945272087E-6</v>
      </c>
      <c r="E23" s="14">
        <v>2.8890961025602677E-5</v>
      </c>
      <c r="F23" s="14">
        <v>1.3448181528360023E-6</v>
      </c>
      <c r="G23" s="14">
        <v>3.9242721485419528E-7</v>
      </c>
      <c r="H23" s="14">
        <v>0</v>
      </c>
      <c r="I23" s="14">
        <v>1.922975709498328E-8</v>
      </c>
      <c r="J23" s="14">
        <v>6.5958648550849353E-6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7.8718085981550999E-8</v>
      </c>
      <c r="E24" s="14">
        <v>1.5144926371511272E-5</v>
      </c>
      <c r="F24" s="14">
        <v>9.2629376471632094E-6</v>
      </c>
      <c r="G24" s="14">
        <v>2.2358584020210527E-6</v>
      </c>
      <c r="H24" s="14">
        <v>0</v>
      </c>
      <c r="I24" s="14">
        <v>4.1554370959735427E-8</v>
      </c>
      <c r="J24" s="14">
        <v>1.3236005122363183E-5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7.7978046797808872E-9</v>
      </c>
      <c r="E25" s="14">
        <v>3.6676255819149703E-8</v>
      </c>
      <c r="F25" s="14">
        <v>1.1637148266894824E-5</v>
      </c>
      <c r="G25" s="14">
        <v>2.4285224523446099E-5</v>
      </c>
      <c r="H25" s="14">
        <v>0</v>
      </c>
      <c r="I25" s="14">
        <v>3.9856878824588223E-7</v>
      </c>
      <c r="J25" s="14">
        <v>3.6345843609142576E-6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5.3195120464959424E-6</v>
      </c>
      <c r="E26" s="14">
        <v>5.450099578081181E-6</v>
      </c>
      <c r="F26" s="14">
        <v>1.5323077975731841E-5</v>
      </c>
      <c r="G26" s="14">
        <v>3.3055335312135825E-6</v>
      </c>
      <c r="H26" s="14">
        <v>0</v>
      </c>
      <c r="I26" s="14">
        <v>5.4163608059631446E-8</v>
      </c>
      <c r="J26" s="14">
        <v>1.0547613260417819E-5</v>
      </c>
      <c r="K26" s="14">
        <v>0</v>
      </c>
    </row>
    <row r="27" spans="1:13">
      <c r="A27" s="2" t="s">
        <v>397</v>
      </c>
      <c r="B27" s="3" t="s">
        <v>398</v>
      </c>
      <c r="D27" s="14">
        <v>2.4149246258201746E-5</v>
      </c>
      <c r="E27" s="14">
        <v>6.4460878615674836E-7</v>
      </c>
      <c r="F27" s="14">
        <v>1.0176016326027619E-5</v>
      </c>
      <c r="G27" s="14">
        <v>1.9331847050868627E-6</v>
      </c>
      <c r="H27" s="14">
        <v>0</v>
      </c>
      <c r="I27" s="14">
        <v>3.0846283602010997E-8</v>
      </c>
      <c r="J27" s="14">
        <v>3.0660976409250223E-6</v>
      </c>
      <c r="K27" s="14">
        <v>0</v>
      </c>
    </row>
    <row r="28" spans="1:13">
      <c r="A28" s="2" t="s">
        <v>399</v>
      </c>
      <c r="B28" s="3" t="s">
        <v>400</v>
      </c>
      <c r="D28" s="14">
        <v>3.0660103164171976E-5</v>
      </c>
      <c r="E28" s="14">
        <v>1.1650008772443762E-6</v>
      </c>
      <c r="F28" s="14">
        <v>4.5336483023333695E-6</v>
      </c>
      <c r="G28" s="14">
        <v>9.5486809407344627E-7</v>
      </c>
      <c r="H28" s="14">
        <v>0</v>
      </c>
      <c r="I28" s="14">
        <v>1.5489497196246695E-8</v>
      </c>
      <c r="J28" s="14">
        <v>2.6708900649805856E-6</v>
      </c>
      <c r="K28" s="14">
        <v>0</v>
      </c>
    </row>
    <row r="29" spans="1:13">
      <c r="A29" s="2" t="s">
        <v>297</v>
      </c>
      <c r="B29" s="3" t="s">
        <v>298</v>
      </c>
      <c r="D29" s="14">
        <v>3.7263577193233508E-5</v>
      </c>
      <c r="E29" s="14">
        <v>2.3665581711875669E-6</v>
      </c>
      <c r="F29" s="14">
        <v>3.9514706311039365E-8</v>
      </c>
      <c r="G29" s="14">
        <v>1.2435244072901785E-8</v>
      </c>
      <c r="H29" s="14">
        <v>0</v>
      </c>
      <c r="I29" s="14">
        <v>1.2738339809277334E-9</v>
      </c>
      <c r="J29" s="14">
        <v>3.1664085121405642E-7</v>
      </c>
      <c r="K29" s="14">
        <v>0</v>
      </c>
    </row>
    <row r="30" spans="1:13">
      <c r="A30" s="2" t="s">
        <v>401</v>
      </c>
      <c r="B30" s="3" t="s">
        <v>402</v>
      </c>
      <c r="D30" s="14">
        <v>3.6361428357318101E-5</v>
      </c>
      <c r="E30" s="14">
        <v>4.7926263975591074E-7</v>
      </c>
      <c r="F30" s="14">
        <v>1.7302750674551496E-6</v>
      </c>
      <c r="G30" s="14">
        <v>3.6644660730684677E-7</v>
      </c>
      <c r="H30" s="14">
        <v>0</v>
      </c>
      <c r="I30" s="14">
        <v>5.9563582172523974E-9</v>
      </c>
      <c r="J30" s="14">
        <v>1.0566309699467391E-6</v>
      </c>
      <c r="K30" s="14">
        <v>0</v>
      </c>
    </row>
    <row r="31" spans="1:13">
      <c r="A31" s="2" t="s">
        <v>299</v>
      </c>
      <c r="B31" s="3" t="s">
        <v>300</v>
      </c>
      <c r="D31" s="14">
        <v>3.9921587094336863E-5</v>
      </c>
      <c r="E31" s="14">
        <v>1.7911024956932503E-8</v>
      </c>
      <c r="F31" s="14">
        <v>2.8332311848612526E-8</v>
      </c>
      <c r="G31" s="14">
        <v>6.3764295937374213E-9</v>
      </c>
      <c r="H31" s="14">
        <v>0</v>
      </c>
      <c r="I31" s="14">
        <v>1.0751062413852956E-10</v>
      </c>
      <c r="J31" s="14">
        <v>2.5685628639716187E-8</v>
      </c>
      <c r="K31" s="14">
        <v>0</v>
      </c>
    </row>
    <row r="32" spans="1:13">
      <c r="A32" s="2" t="s">
        <v>343</v>
      </c>
      <c r="B32" s="3" t="s">
        <v>344</v>
      </c>
      <c r="D32" s="14">
        <v>7.8504067036673937E-8</v>
      </c>
      <c r="E32" s="14">
        <v>2.2470089241664788E-5</v>
      </c>
      <c r="F32" s="14">
        <v>4.8080211739851281E-6</v>
      </c>
      <c r="G32" s="14">
        <v>1.2538971837429875E-6</v>
      </c>
      <c r="H32" s="14">
        <v>0</v>
      </c>
      <c r="I32" s="14">
        <v>2.9587047605684667E-8</v>
      </c>
      <c r="J32" s="14">
        <v>1.1359901285964742E-5</v>
      </c>
      <c r="K32" s="14">
        <v>0</v>
      </c>
    </row>
    <row r="33" spans="1:11">
      <c r="A33" s="2" t="s">
        <v>345</v>
      </c>
      <c r="B33" s="3" t="s">
        <v>346</v>
      </c>
      <c r="D33" s="14">
        <v>3.3442761434343167E-9</v>
      </c>
      <c r="E33" s="14">
        <v>2.8402382467814977E-5</v>
      </c>
      <c r="F33" s="14">
        <v>2.2917980506249635E-6</v>
      </c>
      <c r="G33" s="14">
        <v>6.4220236569869617E-7</v>
      </c>
      <c r="H33" s="14">
        <v>0</v>
      </c>
      <c r="I33" s="14">
        <v>2.2843021732578843E-8</v>
      </c>
      <c r="J33" s="14">
        <v>8.6374298179853574E-6</v>
      </c>
      <c r="K33" s="14">
        <v>0</v>
      </c>
    </row>
    <row r="34" spans="1:11">
      <c r="A34" s="2" t="s">
        <v>347</v>
      </c>
      <c r="B34" s="3" t="s">
        <v>348</v>
      </c>
      <c r="D34" s="14">
        <v>2.8957809896545973E-9</v>
      </c>
      <c r="E34" s="14">
        <v>6.9607871397137341E-6</v>
      </c>
      <c r="F34" s="14">
        <v>1.6843794242522483E-5</v>
      </c>
      <c r="G34" s="14">
        <v>3.6739689615298579E-6</v>
      </c>
      <c r="H34" s="14">
        <v>0</v>
      </c>
      <c r="I34" s="14">
        <v>6.0559985640879534E-8</v>
      </c>
      <c r="J34" s="14">
        <v>1.2457993889603398E-5</v>
      </c>
      <c r="K34" s="14">
        <v>0</v>
      </c>
    </row>
    <row r="35" spans="1:11">
      <c r="A35" s="2" t="s">
        <v>349</v>
      </c>
      <c r="B35" s="3" t="s">
        <v>350</v>
      </c>
      <c r="D35" s="14">
        <v>5.3016147392418942E-7</v>
      </c>
      <c r="E35" s="14">
        <v>8.2985230676041015E-7</v>
      </c>
      <c r="F35" s="14">
        <v>2.7738462164156982E-5</v>
      </c>
      <c r="G35" s="14">
        <v>4.9862946155829421E-6</v>
      </c>
      <c r="H35" s="14">
        <v>0</v>
      </c>
      <c r="I35" s="14">
        <v>7.9561580038807469E-8</v>
      </c>
      <c r="J35" s="14">
        <v>5.8356678595366693E-6</v>
      </c>
      <c r="K35" s="14">
        <v>0</v>
      </c>
    </row>
    <row r="36" spans="1:11">
      <c r="A36" s="2" t="s">
        <v>351</v>
      </c>
      <c r="B36" s="3" t="s">
        <v>352</v>
      </c>
      <c r="D36" s="14">
        <v>1.4415032490174688E-8</v>
      </c>
      <c r="E36" s="14">
        <v>1.8512636176323505E-7</v>
      </c>
      <c r="F36" s="14">
        <v>2.3872056873862463E-5</v>
      </c>
      <c r="G36" s="14">
        <v>1.1020096457274462E-5</v>
      </c>
      <c r="H36" s="14">
        <v>0</v>
      </c>
      <c r="I36" s="14">
        <v>1.7790352741190538E-7</v>
      </c>
      <c r="J36" s="14">
        <v>4.7304017471977629E-6</v>
      </c>
      <c r="K36" s="14">
        <v>0</v>
      </c>
    </row>
    <row r="37" spans="1:11">
      <c r="A37" s="2" t="s">
        <v>353</v>
      </c>
      <c r="B37" s="3" t="s">
        <v>354</v>
      </c>
      <c r="D37" s="14">
        <v>9.9658229497337011E-8</v>
      </c>
      <c r="E37" s="14">
        <v>2.884999936299548E-8</v>
      </c>
      <c r="F37" s="14">
        <v>1.0244420162619521E-5</v>
      </c>
      <c r="G37" s="14">
        <v>2.5815642461784422E-5</v>
      </c>
      <c r="H37" s="14">
        <v>0</v>
      </c>
      <c r="I37" s="14">
        <v>4.2458222305086885E-7</v>
      </c>
      <c r="J37" s="14">
        <v>3.3868469236848562E-6</v>
      </c>
      <c r="K37" s="14">
        <v>0</v>
      </c>
    </row>
    <row r="38" spans="1:11">
      <c r="A38" s="2" t="s">
        <v>355</v>
      </c>
      <c r="B38" s="3" t="s">
        <v>356</v>
      </c>
      <c r="D38" s="14">
        <v>5.4201205693341667E-9</v>
      </c>
      <c r="E38" s="14">
        <v>1.023626659008802E-7</v>
      </c>
      <c r="F38" s="14">
        <v>1.8988172231567772E-5</v>
      </c>
      <c r="G38" s="14">
        <v>1.612050778589862E-5</v>
      </c>
      <c r="H38" s="14">
        <v>0</v>
      </c>
      <c r="I38" s="14">
        <v>2.6194544110610233E-7</v>
      </c>
      <c r="J38" s="14">
        <v>4.521591754957295E-6</v>
      </c>
      <c r="K38" s="14">
        <v>0</v>
      </c>
    </row>
    <row r="39" spans="1:11">
      <c r="A39" s="2" t="s">
        <v>357</v>
      </c>
      <c r="B39" s="3" t="s">
        <v>358</v>
      </c>
      <c r="D39" s="14">
        <v>1.0904326381283151E-6</v>
      </c>
      <c r="E39" s="14">
        <v>1.5329623288962962E-7</v>
      </c>
      <c r="F39" s="14">
        <v>2.1931738396069729E-5</v>
      </c>
      <c r="G39" s="14">
        <v>1.2049488521545747E-5</v>
      </c>
      <c r="H39" s="14">
        <v>0</v>
      </c>
      <c r="I39" s="14">
        <v>1.948779547187376E-7</v>
      </c>
      <c r="J39" s="14">
        <v>4.5801662566478457E-6</v>
      </c>
      <c r="K39" s="14">
        <v>0</v>
      </c>
    </row>
    <row r="40" spans="1:11">
      <c r="A40" s="2" t="s">
        <v>359</v>
      </c>
      <c r="B40" s="3" t="s">
        <v>360</v>
      </c>
      <c r="D40" s="14">
        <v>5.4201205693341667E-9</v>
      </c>
      <c r="E40" s="14">
        <v>1.023626659008802E-7</v>
      </c>
      <c r="F40" s="14">
        <v>1.8988172231567772E-5</v>
      </c>
      <c r="G40" s="14">
        <v>1.612050778589862E-5</v>
      </c>
      <c r="H40" s="14">
        <v>0</v>
      </c>
      <c r="I40" s="14">
        <v>2.6194544110610233E-7</v>
      </c>
      <c r="J40" s="14">
        <v>4.521591754957295E-6</v>
      </c>
      <c r="K40" s="14">
        <v>0</v>
      </c>
    </row>
    <row r="41" spans="1:11">
      <c r="A41" s="2" t="s">
        <v>313</v>
      </c>
      <c r="B41" s="3" t="s">
        <v>314</v>
      </c>
      <c r="D41" s="14">
        <v>2.2439000576874719E-12</v>
      </c>
      <c r="E41" s="14">
        <v>3.8153445059779306E-5</v>
      </c>
      <c r="F41" s="14">
        <v>1.82093872924448E-6</v>
      </c>
      <c r="G41" s="14">
        <v>4.3332713233254404E-10</v>
      </c>
      <c r="H41" s="14">
        <v>0</v>
      </c>
      <c r="I41" s="14">
        <v>1.7970752026910829E-8</v>
      </c>
      <c r="J41" s="14">
        <v>7.2098879169111612E-9</v>
      </c>
      <c r="K41" s="14">
        <v>0</v>
      </c>
    </row>
    <row r="42" spans="1:11">
      <c r="A42" s="2" t="s">
        <v>315</v>
      </c>
      <c r="B42" s="3" t="s">
        <v>316</v>
      </c>
      <c r="D42" s="14">
        <v>1.4381162140749764E-7</v>
      </c>
      <c r="E42" s="14">
        <v>2.6249837747382986E-8</v>
      </c>
      <c r="F42" s="14">
        <v>9.7334812734806067E-6</v>
      </c>
      <c r="G42" s="14">
        <v>2.6373256159684518E-5</v>
      </c>
      <c r="H42" s="14">
        <v>0</v>
      </c>
      <c r="I42" s="14">
        <v>4.3410636476173689E-7</v>
      </c>
      <c r="J42" s="14">
        <v>3.2890947429182648E-6</v>
      </c>
      <c r="K42" s="14">
        <v>0</v>
      </c>
    </row>
    <row r="43" spans="1:11">
      <c r="A43" s="2" t="s">
        <v>317</v>
      </c>
      <c r="B43" s="3" t="s">
        <v>318</v>
      </c>
      <c r="D43" s="14">
        <v>1.7647658376070167E-16</v>
      </c>
      <c r="E43" s="14">
        <v>1.4142289676587929E-5</v>
      </c>
      <c r="F43" s="14">
        <v>1.0049889877896864E-5</v>
      </c>
      <c r="G43" s="14">
        <v>2.3991469976550569E-6</v>
      </c>
      <c r="H43" s="14">
        <v>0</v>
      </c>
      <c r="I43" s="14">
        <v>4.3657266282644026E-8</v>
      </c>
      <c r="J43" s="14">
        <v>1.3365016181401034E-5</v>
      </c>
      <c r="K43" s="14">
        <v>0</v>
      </c>
    </row>
    <row r="44" spans="1:11">
      <c r="A44" s="2" t="s">
        <v>307</v>
      </c>
      <c r="B44" s="3" t="s">
        <v>308</v>
      </c>
      <c r="D44" s="14">
        <v>4.8066967057381963E-9</v>
      </c>
      <c r="E44" s="14">
        <v>2.7696147301483537E-7</v>
      </c>
      <c r="F44" s="14">
        <v>2.70720369833048E-5</v>
      </c>
      <c r="G44" s="14">
        <v>7.8562716170823912E-6</v>
      </c>
      <c r="H44" s="14">
        <v>0</v>
      </c>
      <c r="I44" s="14">
        <v>1.2623918075011259E-7</v>
      </c>
      <c r="J44" s="14">
        <v>4.6636840491421236E-6</v>
      </c>
      <c r="K44" s="14">
        <v>0</v>
      </c>
    </row>
    <row r="45" spans="1:11">
      <c r="A45" s="2" t="s">
        <v>319</v>
      </c>
      <c r="B45" s="3" t="s">
        <v>320</v>
      </c>
      <c r="D45" s="14">
        <v>4.7182122889643542E-10</v>
      </c>
      <c r="E45" s="14">
        <v>1.182088842106719E-8</v>
      </c>
      <c r="F45" s="14">
        <v>6.2510315708857228E-6</v>
      </c>
      <c r="G45" s="14">
        <v>3.0700627177288979E-5</v>
      </c>
      <c r="H45" s="14">
        <v>0</v>
      </c>
      <c r="I45" s="14">
        <v>5.087306135104467E-7</v>
      </c>
      <c r="J45" s="14">
        <v>2.5273179286648956E-6</v>
      </c>
      <c r="K45" s="14">
        <v>0</v>
      </c>
    </row>
    <row r="46" spans="1:11">
      <c r="A46" s="2" t="s">
        <v>321</v>
      </c>
      <c r="B46" s="3" t="s">
        <v>322</v>
      </c>
      <c r="D46" s="14">
        <v>6.9259490045281128E-10</v>
      </c>
      <c r="E46" s="14">
        <v>2.3520791390024581E-8</v>
      </c>
      <c r="F46" s="14">
        <v>9.1865724493797822E-6</v>
      </c>
      <c r="G46" s="14">
        <v>2.7154953271751824E-5</v>
      </c>
      <c r="H46" s="14">
        <v>0</v>
      </c>
      <c r="I46" s="14">
        <v>4.4741039397223141E-7</v>
      </c>
      <c r="J46" s="14">
        <v>3.1868504986056914E-6</v>
      </c>
      <c r="K46" s="14">
        <v>0</v>
      </c>
    </row>
    <row r="47" spans="1:11">
      <c r="A47" s="2" t="s">
        <v>323</v>
      </c>
      <c r="B47" s="3" t="s">
        <v>324</v>
      </c>
      <c r="D47" s="14">
        <v>6.5044148804108847E-9</v>
      </c>
      <c r="E47" s="14">
        <v>5.2097978869525676E-8</v>
      </c>
      <c r="F47" s="14">
        <v>1.3902165348655812E-5</v>
      </c>
      <c r="G47" s="14">
        <v>2.170591035044559E-5</v>
      </c>
      <c r="H47" s="14">
        <v>0</v>
      </c>
      <c r="I47" s="14">
        <v>3.5508506070502434E-7</v>
      </c>
      <c r="J47" s="14">
        <v>3.9782368464436423E-6</v>
      </c>
      <c r="K47" s="14">
        <v>0</v>
      </c>
    </row>
    <row r="48" spans="1:11">
      <c r="A48" s="2" t="s">
        <v>325</v>
      </c>
      <c r="B48" s="3" t="s">
        <v>326</v>
      </c>
      <c r="D48" s="14">
        <v>4.0582310542624839E-9</v>
      </c>
      <c r="E48" s="14">
        <v>2.3757974420338436E-6</v>
      </c>
      <c r="F48" s="14">
        <v>2.3911729257711474E-5</v>
      </c>
      <c r="G48" s="14">
        <v>4.6957670070438241E-6</v>
      </c>
      <c r="H48" s="14">
        <v>0</v>
      </c>
      <c r="I48" s="14">
        <v>7.5083939898373986E-8</v>
      </c>
      <c r="J48" s="14">
        <v>8.9375641222582255E-6</v>
      </c>
      <c r="K48" s="14">
        <v>0</v>
      </c>
    </row>
    <row r="49" spans="1:11">
      <c r="A49" s="2" t="s">
        <v>275</v>
      </c>
      <c r="B49" s="3" t="s">
        <v>276</v>
      </c>
      <c r="D49" s="14">
        <v>6.1760877249894246E-11</v>
      </c>
      <c r="E49" s="14">
        <v>2.5758827849041071E-7</v>
      </c>
      <c r="F49" s="14">
        <v>2.6520864153100833E-5</v>
      </c>
      <c r="G49" s="14">
        <v>8.3962087246399623E-6</v>
      </c>
      <c r="H49" s="14">
        <v>0</v>
      </c>
      <c r="I49" s="14">
        <v>1.3502854334014E-7</v>
      </c>
      <c r="J49" s="14">
        <v>4.6902485395514113E-6</v>
      </c>
      <c r="K49" s="14">
        <v>0</v>
      </c>
    </row>
    <row r="50" spans="1:11">
      <c r="A50" s="2" t="s">
        <v>327</v>
      </c>
      <c r="B50" s="3" t="s">
        <v>328</v>
      </c>
      <c r="D50" s="14">
        <v>3.2171936656247838E-9</v>
      </c>
      <c r="E50" s="14">
        <v>2.2755681446215292E-7</v>
      </c>
      <c r="F50" s="14">
        <v>2.554767718299232E-5</v>
      </c>
      <c r="G50" s="14">
        <v>9.350761395753729E-6</v>
      </c>
      <c r="H50" s="14">
        <v>0</v>
      </c>
      <c r="I50" s="14">
        <v>1.5059605148005124E-7</v>
      </c>
      <c r="J50" s="14">
        <v>4.7201913616461316E-6</v>
      </c>
      <c r="K50" s="14">
        <v>0</v>
      </c>
    </row>
    <row r="51" spans="1:11">
      <c r="A51" s="2" t="s">
        <v>329</v>
      </c>
      <c r="B51" s="3" t="s">
        <v>330</v>
      </c>
      <c r="D51" s="14">
        <v>2.1234970741950129E-9</v>
      </c>
      <c r="E51" s="14">
        <v>1.5249805601716665E-6</v>
      </c>
      <c r="F51" s="14">
        <v>2.5949314034368803E-5</v>
      </c>
      <c r="G51" s="14">
        <v>4.9025432898057942E-6</v>
      </c>
      <c r="H51" s="14">
        <v>0</v>
      </c>
      <c r="I51" s="14">
        <v>7.8212994527094936E-8</v>
      </c>
      <c r="J51" s="14">
        <v>7.542825624052454E-6</v>
      </c>
      <c r="K51" s="14">
        <v>0</v>
      </c>
    </row>
    <row r="52" spans="1:11">
      <c r="A52" s="2" t="s">
        <v>277</v>
      </c>
      <c r="B52" s="3" t="s">
        <v>278</v>
      </c>
      <c r="D52" s="14">
        <v>6.316465486810345E-9</v>
      </c>
      <c r="E52" s="14">
        <v>2.2794326676127438E-6</v>
      </c>
      <c r="F52" s="14">
        <v>2.4118391602882505E-5</v>
      </c>
      <c r="G52" s="14">
        <v>4.7189339403055457E-6</v>
      </c>
      <c r="H52" s="14">
        <v>0</v>
      </c>
      <c r="I52" s="14">
        <v>7.5428667637476576E-8</v>
      </c>
      <c r="J52" s="14">
        <v>8.8014966560749252E-6</v>
      </c>
      <c r="K52" s="14">
        <v>0</v>
      </c>
    </row>
    <row r="53" spans="1:11">
      <c r="A53" s="2" t="s">
        <v>331</v>
      </c>
      <c r="B53" s="3" t="s">
        <v>332</v>
      </c>
      <c r="D53" s="14">
        <v>2.1469353558157644E-9</v>
      </c>
      <c r="E53" s="14">
        <v>1.5120689961385551E-7</v>
      </c>
      <c r="F53" s="14">
        <v>2.2202055447380017E-5</v>
      </c>
      <c r="G53" s="14">
        <v>1.2740566478883104E-5</v>
      </c>
      <c r="H53" s="14">
        <v>0</v>
      </c>
      <c r="I53" s="14">
        <v>2.06150192168381E-7</v>
      </c>
      <c r="J53" s="14">
        <v>4.6978740465988316E-6</v>
      </c>
      <c r="K53" s="14">
        <v>0</v>
      </c>
    </row>
    <row r="54" spans="1:11">
      <c r="A54" s="2" t="s">
        <v>333</v>
      </c>
      <c r="B54" s="3" t="s">
        <v>334</v>
      </c>
      <c r="D54" s="14">
        <v>3.5019473007967067E-12</v>
      </c>
      <c r="E54" s="14">
        <v>2.4222683067974379E-7</v>
      </c>
      <c r="F54" s="14">
        <v>2.6042568861274969E-5</v>
      </c>
      <c r="G54" s="14">
        <v>8.8650129950182278E-6</v>
      </c>
      <c r="H54" s="14">
        <v>0</v>
      </c>
      <c r="I54" s="14">
        <v>1.4266961791241056E-7</v>
      </c>
      <c r="J54" s="14">
        <v>4.7075181931673539E-6</v>
      </c>
      <c r="K54" s="14">
        <v>0</v>
      </c>
    </row>
    <row r="55" spans="1:11">
      <c r="A55" s="2" t="s">
        <v>335</v>
      </c>
      <c r="B55" s="3" t="s">
        <v>336</v>
      </c>
      <c r="D55" s="14">
        <v>1.6895622579062662E-8</v>
      </c>
      <c r="E55" s="14">
        <v>5.3889833289333178E-8</v>
      </c>
      <c r="F55" s="14">
        <v>1.4133457406208853E-5</v>
      </c>
      <c r="G55" s="14">
        <v>2.1436010928645239E-5</v>
      </c>
      <c r="H55" s="14">
        <v>0</v>
      </c>
      <c r="I55" s="14">
        <v>3.5055656100743812E-7</v>
      </c>
      <c r="J55" s="14">
        <v>4.0091896482700818E-6</v>
      </c>
      <c r="K55" s="14">
        <v>0</v>
      </c>
    </row>
    <row r="56" spans="1:11">
      <c r="A56" s="2" t="s">
        <v>337</v>
      </c>
      <c r="B56" s="3" t="s">
        <v>338</v>
      </c>
      <c r="D56" s="14">
        <v>1.2346674738897839E-9</v>
      </c>
      <c r="E56" s="14">
        <v>2.7039748495807883E-7</v>
      </c>
      <c r="F56" s="14">
        <v>2.6892069323218325E-5</v>
      </c>
      <c r="G56" s="14">
        <v>8.033777092326557E-6</v>
      </c>
      <c r="H56" s="14">
        <v>0</v>
      </c>
      <c r="I56" s="14">
        <v>1.2912730938377157E-7</v>
      </c>
      <c r="J56" s="14">
        <v>4.6733941226393808E-6</v>
      </c>
      <c r="K56" s="14">
        <v>0</v>
      </c>
    </row>
    <row r="57" spans="1:11">
      <c r="A57" s="2" t="s">
        <v>279</v>
      </c>
      <c r="B57" s="3" t="s">
        <v>280</v>
      </c>
      <c r="D57" s="14">
        <v>1.2195894449079773E-7</v>
      </c>
      <c r="E57" s="14">
        <v>2.8459436556499125E-6</v>
      </c>
      <c r="F57" s="14">
        <v>2.287114313955605E-5</v>
      </c>
      <c r="G57" s="14">
        <v>4.5664996354632905E-6</v>
      </c>
      <c r="H57" s="14">
        <v>0</v>
      </c>
      <c r="I57" s="14">
        <v>7.3158820740108348E-8</v>
      </c>
      <c r="J57" s="14">
        <v>9.5212958040998434E-6</v>
      </c>
      <c r="K57" s="14">
        <v>0</v>
      </c>
    </row>
    <row r="58" spans="1:11">
      <c r="A58" s="2" t="s">
        <v>339</v>
      </c>
      <c r="B58" s="3" t="s">
        <v>340</v>
      </c>
      <c r="D58" s="14">
        <v>1.2273879704480384E-11</v>
      </c>
      <c r="E58" s="14">
        <v>2.3924039073263533E-7</v>
      </c>
      <c r="F58" s="14">
        <v>2.594514351731343E-5</v>
      </c>
      <c r="G58" s="14">
        <v>8.9609000399680247E-6</v>
      </c>
      <c r="H58" s="14">
        <v>0</v>
      </c>
      <c r="I58" s="14">
        <v>1.4423354944335891E-7</v>
      </c>
      <c r="J58" s="14">
        <v>4.7104702286628457E-6</v>
      </c>
      <c r="K58" s="14">
        <v>0</v>
      </c>
    </row>
    <row r="59" spans="1:11">
      <c r="A59" s="2" t="s">
        <v>281</v>
      </c>
      <c r="B59" s="3" t="s">
        <v>282</v>
      </c>
      <c r="D59" s="14">
        <v>9.5616387502407957E-10</v>
      </c>
      <c r="E59" s="14">
        <v>2.2797381770212883E-6</v>
      </c>
      <c r="F59" s="14">
        <v>2.4121624159675403E-5</v>
      </c>
      <c r="G59" s="14">
        <v>4.7195664129104836E-6</v>
      </c>
      <c r="H59" s="14">
        <v>0</v>
      </c>
      <c r="I59" s="14">
        <v>7.5438777244118895E-8</v>
      </c>
      <c r="J59" s="14">
        <v>8.8026763092736831E-6</v>
      </c>
      <c r="K59" s="14">
        <v>0</v>
      </c>
    </row>
    <row r="60" spans="1:11">
      <c r="A60" s="2" t="s">
        <v>341</v>
      </c>
      <c r="B60" s="3" t="s">
        <v>342</v>
      </c>
      <c r="D60" s="14">
        <v>1.796477781154155E-8</v>
      </c>
      <c r="E60" s="14">
        <v>1.7088915046119181E-7</v>
      </c>
      <c r="F60" s="14">
        <v>2.3211118303148082E-5</v>
      </c>
      <c r="G60" s="14">
        <v>1.1689383862717868E-5</v>
      </c>
      <c r="H60" s="14">
        <v>0</v>
      </c>
      <c r="I60" s="14">
        <v>1.8888018464280935E-7</v>
      </c>
      <c r="J60" s="14">
        <v>4.7217637212185144E-6</v>
      </c>
      <c r="K60" s="14">
        <v>0</v>
      </c>
    </row>
    <row r="61" spans="1:11">
      <c r="A61" s="2" t="s">
        <v>483</v>
      </c>
      <c r="B61" s="3" t="s">
        <v>484</v>
      </c>
      <c r="D61" s="14">
        <v>3.0388046388379821E-18</v>
      </c>
      <c r="E61" s="14">
        <v>1.103153340351401E-5</v>
      </c>
      <c r="F61" s="14">
        <v>1.7770505801597428E-5</v>
      </c>
      <c r="G61" s="14">
        <v>2.9608566832599557E-6</v>
      </c>
      <c r="H61" s="14">
        <v>0</v>
      </c>
      <c r="I61" s="14">
        <v>4.4364938360910623E-7</v>
      </c>
      <c r="J61" s="14">
        <v>7.7934547280164613E-6</v>
      </c>
      <c r="K61" s="14">
        <v>0</v>
      </c>
    </row>
    <row r="62" spans="1:11">
      <c r="A62" s="2" t="s">
        <v>485</v>
      </c>
      <c r="B62" s="3" t="s">
        <v>486</v>
      </c>
      <c r="D62" s="14">
        <v>8.2102523174446335E-12</v>
      </c>
      <c r="E62" s="14">
        <v>7.4385646966665295E-6</v>
      </c>
      <c r="F62" s="14">
        <v>1.628661082840252E-5</v>
      </c>
      <c r="G62" s="14">
        <v>3.5787080838687152E-6</v>
      </c>
      <c r="H62" s="14">
        <v>0</v>
      </c>
      <c r="I62" s="14">
        <v>5.925601450260291E-8</v>
      </c>
      <c r="J62" s="14">
        <v>1.2636852166307319E-5</v>
      </c>
      <c r="K62" s="14">
        <v>0</v>
      </c>
    </row>
    <row r="63" spans="1:11">
      <c r="A63" s="2" t="s">
        <v>487</v>
      </c>
      <c r="B63" s="3" t="s">
        <v>488</v>
      </c>
      <c r="D63" s="14">
        <v>2.8592213491127949E-17</v>
      </c>
      <c r="E63" s="14">
        <v>3.6866771200245743E-5</v>
      </c>
      <c r="F63" s="14">
        <v>1.2752401816828954E-6</v>
      </c>
      <c r="G63" s="14">
        <v>1.6826304387934058E-7</v>
      </c>
      <c r="H63" s="14">
        <v>0</v>
      </c>
      <c r="I63" s="14">
        <v>9.0972577228130475E-8</v>
      </c>
      <c r="J63" s="14">
        <v>1.5987529969353092E-6</v>
      </c>
      <c r="K63" s="14">
        <v>0</v>
      </c>
    </row>
    <row r="64" spans="1:11">
      <c r="A64" s="2" t="s">
        <v>489</v>
      </c>
      <c r="B64" s="3" t="s">
        <v>490</v>
      </c>
      <c r="D64" s="14">
        <v>5.273030794825298E-19</v>
      </c>
      <c r="E64" s="14">
        <v>3.9315810894985232E-5</v>
      </c>
      <c r="F64" s="14">
        <v>4.8628269153420039E-7</v>
      </c>
      <c r="G64" s="14">
        <v>6.0376255197819579E-9</v>
      </c>
      <c r="H64" s="14">
        <v>0</v>
      </c>
      <c r="I64" s="14">
        <v>1.8257162510580355E-8</v>
      </c>
      <c r="J64" s="14">
        <v>1.7361162544968312E-7</v>
      </c>
      <c r="K64" s="14">
        <v>0</v>
      </c>
    </row>
    <row r="65" spans="1:11">
      <c r="A65" s="2" t="s">
        <v>491</v>
      </c>
      <c r="B65" s="3" t="s">
        <v>492</v>
      </c>
      <c r="D65" s="14">
        <v>8.7930911727987649E-17</v>
      </c>
      <c r="E65" s="14">
        <v>3.9830920680586772E-5</v>
      </c>
      <c r="F65" s="14">
        <v>6.3745249497276694E-8</v>
      </c>
      <c r="G65" s="14">
        <v>2.8352499126681785E-9</v>
      </c>
      <c r="H65" s="14">
        <v>0</v>
      </c>
      <c r="I65" s="14">
        <v>2.503766349632645E-8</v>
      </c>
      <c r="J65" s="14">
        <v>7.7461156419022968E-8</v>
      </c>
      <c r="K65" s="14">
        <v>0</v>
      </c>
    </row>
    <row r="66" spans="1:11">
      <c r="A66" s="2" t="s">
        <v>493</v>
      </c>
      <c r="B66" s="3" t="s">
        <v>494</v>
      </c>
      <c r="D66" s="14">
        <v>1.1384511222466437E-15</v>
      </c>
      <c r="E66" s="14">
        <v>3.052940528753499E-5</v>
      </c>
      <c r="F66" s="14">
        <v>7.951435610776487E-6</v>
      </c>
      <c r="G66" s="14">
        <v>1.9927755465874355E-7</v>
      </c>
      <c r="H66" s="14">
        <v>0</v>
      </c>
      <c r="I66" s="14">
        <v>6.3519622683993898E-7</v>
      </c>
      <c r="J66" s="14">
        <v>6.8468531905139752E-7</v>
      </c>
      <c r="K66" s="14">
        <v>0</v>
      </c>
    </row>
    <row r="67" spans="1:11">
      <c r="A67" s="2" t="s">
        <v>495</v>
      </c>
      <c r="B67" s="3" t="s">
        <v>496</v>
      </c>
      <c r="D67" s="14">
        <v>6.8694650553123495E-17</v>
      </c>
      <c r="E67" s="14">
        <v>3.9832315979717937E-5</v>
      </c>
      <c r="F67" s="14">
        <v>5.3753516817094479E-8</v>
      </c>
      <c r="G67" s="14">
        <v>2.9384737620835744E-9</v>
      </c>
      <c r="H67" s="14">
        <v>0</v>
      </c>
      <c r="I67" s="14">
        <v>2.388876197682951E-8</v>
      </c>
      <c r="J67" s="14">
        <v>8.7103267657365156E-8</v>
      </c>
      <c r="K67" s="14">
        <v>0</v>
      </c>
    </row>
    <row r="68" spans="1:11">
      <c r="A68" s="2" t="s">
        <v>497</v>
      </c>
      <c r="B68" s="3" t="s">
        <v>498</v>
      </c>
      <c r="D68" s="14">
        <v>6.2185094902558211E-16</v>
      </c>
      <c r="E68" s="14">
        <v>3.9938814309268483E-5</v>
      </c>
      <c r="F68" s="14">
        <v>6.3991650239460313E-9</v>
      </c>
      <c r="G68" s="14">
        <v>4.9372985145148904E-10</v>
      </c>
      <c r="H68" s="14">
        <v>0</v>
      </c>
      <c r="I68" s="14">
        <v>1.9065279586175796E-8</v>
      </c>
      <c r="J68" s="14">
        <v>3.5227515648094717E-8</v>
      </c>
      <c r="K68" s="14">
        <v>0</v>
      </c>
    </row>
    <row r="69" spans="1:11">
      <c r="A69" s="2" t="s">
        <v>499</v>
      </c>
      <c r="B69" s="3" t="s">
        <v>500</v>
      </c>
      <c r="D69" s="14">
        <v>3.0702759453810968E-16</v>
      </c>
      <c r="E69" s="14">
        <v>3.0566664532252549E-7</v>
      </c>
      <c r="F69" s="14">
        <v>2.7806198898079706E-5</v>
      </c>
      <c r="G69" s="14">
        <v>7.1539710824031279E-6</v>
      </c>
      <c r="H69" s="14">
        <v>0</v>
      </c>
      <c r="I69" s="14">
        <v>1.1482463090572592E-7</v>
      </c>
      <c r="J69" s="14">
        <v>4.6193387429819002E-6</v>
      </c>
      <c r="K69" s="14">
        <v>0</v>
      </c>
    </row>
    <row r="70" spans="1:11">
      <c r="A70" s="2" t="s">
        <v>501</v>
      </c>
      <c r="B70" s="3" t="s">
        <v>411</v>
      </c>
      <c r="D70" s="14">
        <v>1.1147110772994612E-17</v>
      </c>
      <c r="E70" s="14">
        <v>3.8769924697505816E-5</v>
      </c>
      <c r="F70" s="14">
        <v>1.2095853879217434E-6</v>
      </c>
      <c r="G70" s="14">
        <v>1.1495613559769499E-10</v>
      </c>
      <c r="H70" s="14">
        <v>0</v>
      </c>
      <c r="I70" s="14">
        <v>1.8102767680786378E-8</v>
      </c>
      <c r="J70" s="14">
        <v>2.2721907449200117E-9</v>
      </c>
      <c r="K70" s="14">
        <v>0</v>
      </c>
    </row>
    <row r="71" spans="1:11">
      <c r="A71" s="2" t="s">
        <v>502</v>
      </c>
      <c r="B71" s="3" t="s">
        <v>412</v>
      </c>
      <c r="D71" s="14">
        <v>5.0914810850207447E-13</v>
      </c>
      <c r="E71" s="14">
        <v>3.7723954255373374E-5</v>
      </c>
      <c r="F71" s="14">
        <v>2.2548558534086604E-6</v>
      </c>
      <c r="G71" s="14">
        <v>2.0492035415934085E-10</v>
      </c>
      <c r="H71" s="14">
        <v>0</v>
      </c>
      <c r="I71" s="14">
        <v>1.7872045077083519E-8</v>
      </c>
      <c r="J71" s="14">
        <v>3.1124166386277448E-9</v>
      </c>
      <c r="K71" s="14">
        <v>0</v>
      </c>
    </row>
    <row r="72" spans="1:11">
      <c r="A72" s="2" t="s">
        <v>503</v>
      </c>
      <c r="B72" s="3" t="s">
        <v>413</v>
      </c>
      <c r="D72" s="14">
        <v>6.8888305447269637E-15</v>
      </c>
      <c r="E72" s="14">
        <v>1.5561740329464146E-7</v>
      </c>
      <c r="F72" s="14">
        <v>3.9766716989023991E-5</v>
      </c>
      <c r="G72" s="14">
        <v>1.8263503732269113E-8</v>
      </c>
      <c r="H72" s="14">
        <v>0</v>
      </c>
      <c r="I72" s="14">
        <v>5.5880848128333181E-8</v>
      </c>
      <c r="J72" s="14">
        <v>3.5212489319395425E-9</v>
      </c>
      <c r="K72" s="14">
        <v>0</v>
      </c>
    </row>
    <row r="73" spans="1:11">
      <c r="A73" s="2" t="s">
        <v>504</v>
      </c>
      <c r="B73" s="3" t="s">
        <v>414</v>
      </c>
      <c r="D73" s="14">
        <v>9.0048792207217918E-15</v>
      </c>
      <c r="E73" s="14">
        <v>1.4441441804499086E-6</v>
      </c>
      <c r="F73" s="14">
        <v>3.8543586969856597E-5</v>
      </c>
      <c r="G73" s="14">
        <v>2.2280066769062814E-9</v>
      </c>
      <c r="H73" s="14">
        <v>0</v>
      </c>
      <c r="I73" s="14">
        <v>7.1843676206743956E-9</v>
      </c>
      <c r="J73" s="14">
        <v>2.8564663910456539E-9</v>
      </c>
      <c r="K73" s="14">
        <v>0</v>
      </c>
    </row>
    <row r="74" spans="1:11">
      <c r="A74" s="2" t="s">
        <v>505</v>
      </c>
      <c r="B74" s="3" t="s">
        <v>415</v>
      </c>
      <c r="D74" s="14">
        <v>6.2942457071555781E-14</v>
      </c>
      <c r="E74" s="14">
        <v>3.7927686686568974E-5</v>
      </c>
      <c r="F74" s="14">
        <v>2.0512468589339744E-6</v>
      </c>
      <c r="G74" s="14">
        <v>1.8723295354210608E-10</v>
      </c>
      <c r="H74" s="14">
        <v>0</v>
      </c>
      <c r="I74" s="14">
        <v>1.7917773283979931E-8</v>
      </c>
      <c r="J74" s="14">
        <v>2.9613853170769862E-9</v>
      </c>
      <c r="K74" s="14">
        <v>0</v>
      </c>
    </row>
    <row r="75" spans="1:11">
      <c r="A75" s="2" t="s">
        <v>506</v>
      </c>
      <c r="B75" s="3" t="s">
        <v>416</v>
      </c>
      <c r="D75" s="14">
        <v>3.8644133637238949E-14</v>
      </c>
      <c r="E75" s="14">
        <v>1.7085836165055401E-6</v>
      </c>
      <c r="F75" s="14">
        <v>3.8278755692715335E-5</v>
      </c>
      <c r="G75" s="14">
        <v>2.241414469173634E-9</v>
      </c>
      <c r="H75" s="14">
        <v>0</v>
      </c>
      <c r="I75" s="14">
        <v>7.3343823366075703E-9</v>
      </c>
      <c r="J75" s="14">
        <v>3.0848553292164975E-9</v>
      </c>
      <c r="K75" s="14">
        <v>0</v>
      </c>
    </row>
    <row r="76" spans="1:11">
      <c r="A76" s="2" t="s">
        <v>507</v>
      </c>
      <c r="B76" s="3" t="s">
        <v>417</v>
      </c>
      <c r="D76" s="14">
        <v>8.9257770080849161E-13</v>
      </c>
      <c r="E76" s="14">
        <v>1.7912619782282795E-5</v>
      </c>
      <c r="F76" s="14">
        <v>2.206585103106197E-5</v>
      </c>
      <c r="G76" s="14">
        <v>1.6046746645311089E-9</v>
      </c>
      <c r="H76" s="14">
        <v>0</v>
      </c>
      <c r="I76" s="14">
        <v>1.277043162665182E-8</v>
      </c>
      <c r="J76" s="14">
        <v>7.1531877863535282E-9</v>
      </c>
      <c r="K76" s="14">
        <v>0</v>
      </c>
    </row>
    <row r="77" spans="1:11">
      <c r="A77" s="2" t="s">
        <v>508</v>
      </c>
      <c r="B77" s="3" t="s">
        <v>418</v>
      </c>
      <c r="D77" s="14">
        <v>2.7878699131580062E-13</v>
      </c>
      <c r="E77" s="14">
        <v>1.5153940573569071E-6</v>
      </c>
      <c r="F77" s="14">
        <v>3.8472211726381185E-5</v>
      </c>
      <c r="G77" s="14">
        <v>2.2387905654206071E-9</v>
      </c>
      <c r="H77" s="14">
        <v>0</v>
      </c>
      <c r="I77" s="14">
        <v>7.2261015409109227E-9</v>
      </c>
      <c r="J77" s="14">
        <v>2.9290453686011646E-9</v>
      </c>
      <c r="K77" s="14">
        <v>0</v>
      </c>
    </row>
    <row r="78" spans="1:11">
      <c r="A78" s="2" t="s">
        <v>509</v>
      </c>
      <c r="B78" s="3" t="s">
        <v>419</v>
      </c>
      <c r="D78" s="14">
        <v>2.7700798558223478E-14</v>
      </c>
      <c r="E78" s="14">
        <v>1.7263345064124486E-7</v>
      </c>
      <c r="F78" s="14">
        <v>3.9761844792166418E-5</v>
      </c>
      <c r="G78" s="14">
        <v>1.5343727781571244E-8</v>
      </c>
      <c r="H78" s="14">
        <v>0</v>
      </c>
      <c r="I78" s="14">
        <v>4.6837255260783891E-8</v>
      </c>
      <c r="J78" s="14">
        <v>3.340746449186363E-9</v>
      </c>
      <c r="K78" s="14">
        <v>0</v>
      </c>
    </row>
    <row r="79" spans="1:11">
      <c r="A79" s="2" t="s">
        <v>510</v>
      </c>
      <c r="B79" s="3" t="s">
        <v>420</v>
      </c>
      <c r="D79" s="14">
        <v>6.9581268780920242E-19</v>
      </c>
      <c r="E79" s="14">
        <v>1.7263346368329875E-7</v>
      </c>
      <c r="F79" s="14">
        <v>3.9761847796080905E-5</v>
      </c>
      <c r="G79" s="14">
        <v>1.5341300708504766E-8</v>
      </c>
      <c r="H79" s="14">
        <v>0</v>
      </c>
      <c r="I79" s="14">
        <v>4.6837221517167539E-8</v>
      </c>
      <c r="J79" s="14">
        <v>3.3402180094327265E-9</v>
      </c>
      <c r="K79" s="14">
        <v>0</v>
      </c>
    </row>
    <row r="80" spans="1:11">
      <c r="A80" s="2" t="s">
        <v>511</v>
      </c>
      <c r="B80" s="3" t="s">
        <v>421</v>
      </c>
      <c r="D80" s="14">
        <v>7.8483472093814144E-14</v>
      </c>
      <c r="E80" s="14">
        <v>6.6670063724410006E-6</v>
      </c>
      <c r="F80" s="14">
        <v>3.3315968635643038E-5</v>
      </c>
      <c r="G80" s="14">
        <v>2.1787971762336459E-9</v>
      </c>
      <c r="H80" s="14">
        <v>0</v>
      </c>
      <c r="I80" s="14">
        <v>9.3389341912893901E-9</v>
      </c>
      <c r="J80" s="14">
        <v>5.5071820649634816E-9</v>
      </c>
      <c r="K80" s="14">
        <v>0</v>
      </c>
    </row>
    <row r="81" spans="1:11">
      <c r="A81" s="2" t="s">
        <v>512</v>
      </c>
      <c r="B81" s="3" t="s">
        <v>422</v>
      </c>
      <c r="D81" s="14">
        <v>1.0259222156682674E-13</v>
      </c>
      <c r="E81" s="14">
        <v>3.2175632774335028E-5</v>
      </c>
      <c r="F81" s="14">
        <v>7.8016896640611558E-6</v>
      </c>
      <c r="G81" s="14">
        <v>6.3760693215026707E-10</v>
      </c>
      <c r="H81" s="14">
        <v>0</v>
      </c>
      <c r="I81" s="14">
        <v>1.6548672324372021E-8</v>
      </c>
      <c r="J81" s="14">
        <v>5.4911797550752771E-9</v>
      </c>
      <c r="K81" s="14">
        <v>0</v>
      </c>
    </row>
    <row r="82" spans="1:11">
      <c r="A82" s="2" t="s">
        <v>513</v>
      </c>
      <c r="B82" s="3" t="s">
        <v>423</v>
      </c>
      <c r="D82" s="14">
        <v>2.5829011866482667E-17</v>
      </c>
      <c r="E82" s="14">
        <v>2.433214704756571E-5</v>
      </c>
      <c r="F82" s="14">
        <v>1.5645231968361529E-5</v>
      </c>
      <c r="G82" s="14">
        <v>1.1898100443198215E-9</v>
      </c>
      <c r="H82" s="14">
        <v>0</v>
      </c>
      <c r="I82" s="14">
        <v>1.4528930740742238E-8</v>
      </c>
      <c r="J82" s="14">
        <v>6.9022432618673966E-9</v>
      </c>
      <c r="K82" s="14">
        <v>0</v>
      </c>
    </row>
    <row r="83" spans="1:11">
      <c r="A83" s="2" t="s">
        <v>514</v>
      </c>
      <c r="B83" s="3" t="s">
        <v>424</v>
      </c>
      <c r="D83" s="14">
        <v>9.9073707882845263E-15</v>
      </c>
      <c r="E83" s="14">
        <v>1.1692061183472308E-7</v>
      </c>
      <c r="F83" s="14">
        <v>3.975874375228847E-5</v>
      </c>
      <c r="G83" s="14">
        <v>2.9471145246498198E-8</v>
      </c>
      <c r="H83" s="14">
        <v>0</v>
      </c>
      <c r="I83" s="14">
        <v>9.079714853738749E-8</v>
      </c>
      <c r="J83" s="14">
        <v>4.0673321855532419E-9</v>
      </c>
      <c r="K83" s="14">
        <v>0</v>
      </c>
    </row>
    <row r="84" spans="1:11">
      <c r="A84" s="2" t="s">
        <v>403</v>
      </c>
      <c r="B84" s="3" t="s">
        <v>404</v>
      </c>
      <c r="D84" s="14">
        <v>1.7881793099387378E-48</v>
      </c>
      <c r="E84" s="14">
        <v>1.1355956131205409E-5</v>
      </c>
      <c r="F84" s="14">
        <v>1.234483474167702E-5</v>
      </c>
      <c r="G84" s="14">
        <v>2.8561488409412397E-6</v>
      </c>
      <c r="H84" s="14">
        <v>0</v>
      </c>
      <c r="I84" s="14">
        <v>4.9579271702449129E-8</v>
      </c>
      <c r="J84" s="14">
        <v>1.3393481014473885E-5</v>
      </c>
      <c r="K84" s="14">
        <v>0</v>
      </c>
    </row>
    <row r="85" spans="1:11">
      <c r="A85" s="2" t="s">
        <v>405</v>
      </c>
      <c r="B85" s="3" t="s">
        <v>406</v>
      </c>
      <c r="D85" s="14">
        <v>5.169371183751372E-13</v>
      </c>
      <c r="E85" s="14">
        <v>1.8863910702407802E-6</v>
      </c>
      <c r="F85" s="14">
        <v>2.9648629130436276E-5</v>
      </c>
      <c r="G85" s="14">
        <v>1.5499882642750311E-6</v>
      </c>
      <c r="H85" s="14">
        <v>0</v>
      </c>
      <c r="I85" s="14">
        <v>6.3317594260693806E-6</v>
      </c>
      <c r="J85" s="14">
        <v>5.8323159204141061E-7</v>
      </c>
      <c r="K85" s="14">
        <v>0</v>
      </c>
    </row>
    <row r="86" spans="1:11">
      <c r="A86" s="2" t="s">
        <v>407</v>
      </c>
      <c r="B86" s="3" t="s">
        <v>408</v>
      </c>
      <c r="D86" s="14">
        <v>1.0481719595302544E-9</v>
      </c>
      <c r="E86" s="14">
        <v>1.4451242138369808E-8</v>
      </c>
      <c r="F86" s="14">
        <v>7.008204276762023E-6</v>
      </c>
      <c r="G86" s="14">
        <v>2.9771609068694127E-5</v>
      </c>
      <c r="H86" s="14">
        <v>0</v>
      </c>
      <c r="I86" s="14">
        <v>4.9252954077338666E-7</v>
      </c>
      <c r="J86" s="14">
        <v>2.7121576996725641E-6</v>
      </c>
      <c r="K86" s="14">
        <v>0</v>
      </c>
    </row>
    <row r="87" spans="1:11">
      <c r="A87" s="2" t="s">
        <v>409</v>
      </c>
      <c r="B87" s="3" t="s">
        <v>410</v>
      </c>
      <c r="D87" s="14">
        <v>1.3047265617883448E-10</v>
      </c>
      <c r="E87" s="14">
        <v>5.0342194641071322E-9</v>
      </c>
      <c r="F87" s="14">
        <v>3.7965901686447036E-6</v>
      </c>
      <c r="G87" s="14">
        <v>3.3797865564550517E-5</v>
      </c>
      <c r="H87" s="14">
        <v>0</v>
      </c>
      <c r="I87" s="14">
        <v>5.63833176702576E-7</v>
      </c>
      <c r="J87" s="14">
        <v>1.8365463979819246E-6</v>
      </c>
      <c r="K87" s="14">
        <v>0</v>
      </c>
    </row>
    <row r="88" spans="1:11">
      <c r="A88" s="2" t="s">
        <v>301</v>
      </c>
      <c r="B88" s="3" t="s">
        <v>302</v>
      </c>
      <c r="D88" s="14">
        <v>1.6183638101500977E-11</v>
      </c>
      <c r="E88" s="14">
        <v>1.4190862718774453E-9</v>
      </c>
      <c r="F88" s="14">
        <v>1.7682773052811728E-6</v>
      </c>
      <c r="G88" s="14">
        <v>3.6512866431169749E-5</v>
      </c>
      <c r="H88" s="14">
        <v>0</v>
      </c>
      <c r="I88" s="14">
        <v>6.1497186384544999E-7</v>
      </c>
      <c r="J88" s="14">
        <v>1.1024491297936458E-6</v>
      </c>
      <c r="K88" s="14">
        <v>0</v>
      </c>
    </row>
    <row r="89" spans="1:11">
      <c r="A89" s="2" t="s">
        <v>303</v>
      </c>
      <c r="B89" s="3" t="s">
        <v>304</v>
      </c>
      <c r="D89" s="14">
        <v>5.454535878359461E-18</v>
      </c>
      <c r="E89" s="14">
        <v>4.1922258235142129E-8</v>
      </c>
      <c r="F89" s="14">
        <v>4.7913159634413395E-6</v>
      </c>
      <c r="G89" s="14">
        <v>1.2461229290443938E-5</v>
      </c>
      <c r="H89" s="14">
        <v>0</v>
      </c>
      <c r="I89" s="14">
        <v>2.2179910507972396E-5</v>
      </c>
      <c r="J89" s="14">
        <v>5.2562197990173094E-7</v>
      </c>
      <c r="K89" s="14">
        <v>0</v>
      </c>
    </row>
    <row r="90" spans="1:11">
      <c r="A90" s="2" t="s">
        <v>425</v>
      </c>
      <c r="B90" s="3" t="s">
        <v>426</v>
      </c>
      <c r="D90" s="14">
        <v>6.4068293019564358E-18</v>
      </c>
      <c r="E90" s="14">
        <v>3.8928514176679658E-5</v>
      </c>
      <c r="F90" s="14">
        <v>3.6644550788483506E-8</v>
      </c>
      <c r="G90" s="14">
        <v>1.230367042193592E-8</v>
      </c>
      <c r="H90" s="14">
        <v>0</v>
      </c>
      <c r="I90" s="14">
        <v>1.804366513430947E-8</v>
      </c>
      <c r="J90" s="14">
        <v>1.0044939369692091E-6</v>
      </c>
      <c r="K90" s="14">
        <v>0</v>
      </c>
    </row>
    <row r="91" spans="1:11">
      <c r="A91" s="2" t="s">
        <v>427</v>
      </c>
      <c r="B91" s="3" t="s">
        <v>428</v>
      </c>
      <c r="D91" s="14">
        <v>3.297221986317056E-9</v>
      </c>
      <c r="E91" s="14">
        <v>2.8662946145005226E-5</v>
      </c>
      <c r="F91" s="14">
        <v>2.199998587603991E-6</v>
      </c>
      <c r="G91" s="14">
        <v>6.1875391150161503E-7</v>
      </c>
      <c r="H91" s="14">
        <v>0</v>
      </c>
      <c r="I91" s="14">
        <v>2.2601273544764227E-8</v>
      </c>
      <c r="J91" s="14">
        <v>8.4924028603580925E-6</v>
      </c>
      <c r="K91" s="14">
        <v>0</v>
      </c>
    </row>
    <row r="92" spans="1:11">
      <c r="A92" s="2" t="s">
        <v>429</v>
      </c>
      <c r="B92" s="3" t="s">
        <v>430</v>
      </c>
      <c r="D92" s="14">
        <v>2.0226955951003312E-8</v>
      </c>
      <c r="E92" s="14">
        <v>5.0785901878385754E-6</v>
      </c>
      <c r="F92" s="14">
        <v>1.9275459666720155E-5</v>
      </c>
      <c r="G92" s="14">
        <v>4.0672446723345865E-6</v>
      </c>
      <c r="H92" s="14">
        <v>0</v>
      </c>
      <c r="I92" s="14">
        <v>6.6020405115495528E-8</v>
      </c>
      <c r="J92" s="14">
        <v>1.1492458112040181E-5</v>
      </c>
      <c r="K92" s="14">
        <v>0</v>
      </c>
    </row>
    <row r="93" spans="1:11">
      <c r="A93" s="2" t="s">
        <v>431</v>
      </c>
      <c r="B93" s="3" t="s">
        <v>432</v>
      </c>
      <c r="D93" s="14">
        <v>4.8193236426486875E-22</v>
      </c>
      <c r="E93" s="14">
        <v>3.9801038234599908E-5</v>
      </c>
      <c r="F93" s="14">
        <v>1.7439176590035866E-7</v>
      </c>
      <c r="G93" s="14">
        <v>1.3971656405560685E-10</v>
      </c>
      <c r="H93" s="14">
        <v>0</v>
      </c>
      <c r="I93" s="14">
        <v>1.8312972399501889E-8</v>
      </c>
      <c r="J93" s="14">
        <v>6.117310536180253E-9</v>
      </c>
      <c r="K93" s="14">
        <v>0</v>
      </c>
    </row>
    <row r="94" spans="1:11">
      <c r="A94" s="2" t="s">
        <v>433</v>
      </c>
      <c r="B94" s="3" t="s">
        <v>434</v>
      </c>
      <c r="D94" s="14">
        <v>1.0186099638727105E-22</v>
      </c>
      <c r="E94" s="14">
        <v>3.9980715371774554E-5</v>
      </c>
      <c r="F94" s="14">
        <v>6.7870669808938361E-10</v>
      </c>
      <c r="G94" s="14">
        <v>9.470606167480799E-13</v>
      </c>
      <c r="H94" s="14">
        <v>0</v>
      </c>
      <c r="I94" s="14">
        <v>1.8450203174914036E-8</v>
      </c>
      <c r="J94" s="14">
        <v>1.5477129182620875E-10</v>
      </c>
      <c r="K94" s="14">
        <v>0</v>
      </c>
    </row>
    <row r="95" spans="1:11">
      <c r="A95" s="2" t="s">
        <v>435</v>
      </c>
      <c r="B95" s="3" t="s">
        <v>436</v>
      </c>
      <c r="D95" s="14">
        <v>5.4478019921995873E-13</v>
      </c>
      <c r="E95" s="14">
        <v>3.7464708395835839E-5</v>
      </c>
      <c r="F95" s="14">
        <v>1.4943995262962662E-7</v>
      </c>
      <c r="G95" s="14">
        <v>5.1832000064416244E-8</v>
      </c>
      <c r="H95" s="14">
        <v>0</v>
      </c>
      <c r="I95" s="14">
        <v>1.8168190759473516E-8</v>
      </c>
      <c r="J95" s="14">
        <v>2.3158509159304475E-6</v>
      </c>
      <c r="K95" s="14">
        <v>0</v>
      </c>
    </row>
    <row r="96" spans="1:11">
      <c r="A96" s="2" t="s">
        <v>437</v>
      </c>
      <c r="B96" s="163" t="s">
        <v>438</v>
      </c>
      <c r="D96" s="14">
        <v>1.9543232427425216E-12</v>
      </c>
      <c r="E96" s="14">
        <v>2.097051217779204E-8</v>
      </c>
      <c r="F96" s="14">
        <v>8.627214815681135E-6</v>
      </c>
      <c r="G96" s="14">
        <v>2.7820579199862928E-5</v>
      </c>
      <c r="H96" s="14">
        <v>0</v>
      </c>
      <c r="I96" s="14">
        <v>4.5882614996013466E-7</v>
      </c>
      <c r="J96" s="14">
        <v>3.0724073679947645E-6</v>
      </c>
      <c r="K96" s="14">
        <v>0</v>
      </c>
    </row>
    <row r="97" spans="1:11">
      <c r="A97" s="2" t="s">
        <v>439</v>
      </c>
      <c r="B97" s="3" t="s">
        <v>440</v>
      </c>
      <c r="D97" s="14">
        <v>1.5954281209850284E-9</v>
      </c>
      <c r="E97" s="14">
        <v>2.3995504384301466E-5</v>
      </c>
      <c r="F97" s="14">
        <v>4.0996941437453072E-6</v>
      </c>
      <c r="G97" s="14">
        <v>1.0870437237750019E-6</v>
      </c>
      <c r="H97" s="14">
        <v>0</v>
      </c>
      <c r="I97" s="14">
        <v>2.7697655518151574E-8</v>
      </c>
      <c r="J97" s="14">
        <v>1.0788464664539097E-5</v>
      </c>
      <c r="K97" s="14">
        <v>0</v>
      </c>
    </row>
    <row r="98" spans="1:11">
      <c r="A98" s="2" t="s">
        <v>441</v>
      </c>
      <c r="B98" s="3" t="s">
        <v>442</v>
      </c>
      <c r="D98" s="14">
        <v>1.0872591870512528E-21</v>
      </c>
      <c r="E98" s="14">
        <v>2.7870562025280227E-5</v>
      </c>
      <c r="F98" s="14">
        <v>2.4854629916757598E-6</v>
      </c>
      <c r="G98" s="14">
        <v>6.9135778297634207E-7</v>
      </c>
      <c r="H98" s="14">
        <v>0</v>
      </c>
      <c r="I98" s="14">
        <v>2.3356829748816212E-8</v>
      </c>
      <c r="J98" s="14">
        <v>8.9292603703188556E-6</v>
      </c>
      <c r="K98" s="14">
        <v>0</v>
      </c>
    </row>
    <row r="99" spans="1:11">
      <c r="A99" s="2" t="s">
        <v>443</v>
      </c>
      <c r="B99" s="3" t="s">
        <v>444</v>
      </c>
      <c r="D99" s="14">
        <v>1.6801854385272945E-33</v>
      </c>
      <c r="E99" s="14">
        <v>3.4524695516978521E-5</v>
      </c>
      <c r="F99" s="14">
        <v>5.9105981215327724E-7</v>
      </c>
      <c r="G99" s="14">
        <v>1.8566369391100856E-7</v>
      </c>
      <c r="H99" s="14">
        <v>0</v>
      </c>
      <c r="I99" s="14">
        <v>1.8648173223838228E-8</v>
      </c>
      <c r="J99" s="14">
        <v>4.6799328037333573E-6</v>
      </c>
      <c r="K99" s="14">
        <v>0</v>
      </c>
    </row>
    <row r="100" spans="1:11">
      <c r="A100" s="2" t="s">
        <v>445</v>
      </c>
      <c r="B100" s="3" t="s">
        <v>446</v>
      </c>
      <c r="D100" s="14">
        <v>2.0120477007744814E-12</v>
      </c>
      <c r="E100" s="14">
        <v>1.3517952408896346E-7</v>
      </c>
      <c r="F100" s="14">
        <v>2.1272203914171795E-5</v>
      </c>
      <c r="G100" s="14">
        <v>1.3709071541953494E-5</v>
      </c>
      <c r="H100" s="14">
        <v>0</v>
      </c>
      <c r="I100" s="14">
        <v>2.2209683772501377E-7</v>
      </c>
      <c r="J100" s="14">
        <v>4.6614461700130379E-6</v>
      </c>
      <c r="K100" s="14">
        <v>0</v>
      </c>
    </row>
    <row r="101" spans="1:11">
      <c r="A101" s="2" t="s">
        <v>447</v>
      </c>
      <c r="B101" s="3" t="s">
        <v>448</v>
      </c>
      <c r="D101" s="14">
        <v>1.7741627438533911E-13</v>
      </c>
      <c r="E101" s="14">
        <v>7.0785792014020236E-6</v>
      </c>
      <c r="F101" s="14">
        <v>1.6705815088431764E-5</v>
      </c>
      <c r="G101" s="14">
        <v>3.6505913918777354E-6</v>
      </c>
      <c r="H101" s="14">
        <v>0</v>
      </c>
      <c r="I101" s="14">
        <v>6.0239885882422733E-8</v>
      </c>
      <c r="J101" s="14">
        <v>1.250477425498978E-5</v>
      </c>
      <c r="K101" s="14">
        <v>0</v>
      </c>
    </row>
    <row r="102" spans="1:11">
      <c r="A102" s="2" t="s">
        <v>449</v>
      </c>
      <c r="B102" s="3" t="s">
        <v>450</v>
      </c>
      <c r="D102" s="14">
        <v>7.8756474405297976E-9</v>
      </c>
      <c r="E102" s="14">
        <v>1.5579693407071547E-6</v>
      </c>
      <c r="F102" s="14">
        <v>2.5855948928475323E-5</v>
      </c>
      <c r="G102" s="14">
        <v>4.8939106570566393E-6</v>
      </c>
      <c r="H102" s="14">
        <v>0</v>
      </c>
      <c r="I102" s="14">
        <v>7.8079200109269875E-8</v>
      </c>
      <c r="J102" s="14">
        <v>7.6062162262110835E-6</v>
      </c>
      <c r="K102" s="14">
        <v>0</v>
      </c>
    </row>
    <row r="103" spans="1:11">
      <c r="A103" s="2" t="s">
        <v>451</v>
      </c>
      <c r="B103" s="3" t="s">
        <v>452</v>
      </c>
      <c r="D103" s="14">
        <v>1.7596689941775412E-23</v>
      </c>
      <c r="E103" s="14">
        <v>3.5776752083378089E-5</v>
      </c>
      <c r="F103" s="14">
        <v>4.2007079223716764E-6</v>
      </c>
      <c r="G103" s="14">
        <v>4.0765961877588517E-10</v>
      </c>
      <c r="H103" s="14">
        <v>0</v>
      </c>
      <c r="I103" s="14">
        <v>1.742244939986197E-8</v>
      </c>
      <c r="J103" s="14">
        <v>4.7098852315964633E-9</v>
      </c>
      <c r="K103" s="14">
        <v>0</v>
      </c>
    </row>
    <row r="104" spans="1:11">
      <c r="A104" s="2" t="s">
        <v>453</v>
      </c>
      <c r="B104" s="3" t="s">
        <v>454</v>
      </c>
      <c r="D104" s="14">
        <v>4.5147782426860146E-25</v>
      </c>
      <c r="E104" s="14">
        <v>4.4421640086538144E-7</v>
      </c>
      <c r="F104" s="14">
        <v>3.947627478881958E-5</v>
      </c>
      <c r="G104" s="14">
        <v>4.1802457470941176E-8</v>
      </c>
      <c r="H104" s="14">
        <v>0</v>
      </c>
      <c r="I104" s="14">
        <v>9.9658426468336271E-9</v>
      </c>
      <c r="J104" s="14">
        <v>2.7740510197263434E-8</v>
      </c>
      <c r="K104" s="14">
        <v>0</v>
      </c>
    </row>
    <row r="105" spans="1:11">
      <c r="A105" s="2" t="s">
        <v>455</v>
      </c>
      <c r="B105" s="163">
        <v>354656</v>
      </c>
      <c r="D105" s="14">
        <v>1.4737568939280039E-14</v>
      </c>
      <c r="E105" s="14">
        <v>3.8723846525366157E-5</v>
      </c>
      <c r="F105" s="14">
        <v>3.9291631700203144E-8</v>
      </c>
      <c r="G105" s="14">
        <v>1.5198321245359678E-8</v>
      </c>
      <c r="H105" s="14">
        <v>0</v>
      </c>
      <c r="I105" s="14">
        <v>1.7991250746218304E-8</v>
      </c>
      <c r="J105" s="14">
        <v>1.203672256204497E-6</v>
      </c>
      <c r="K105" s="14">
        <v>0</v>
      </c>
    </row>
    <row r="106" spans="1:11">
      <c r="A106" s="2" t="s">
        <v>457</v>
      </c>
      <c r="B106" s="3" t="s">
        <v>458</v>
      </c>
      <c r="D106" s="14">
        <v>2.1839232839966171E-14</v>
      </c>
      <c r="E106" s="14">
        <v>3.7339999553275167E-5</v>
      </c>
      <c r="F106" s="14">
        <v>1.6197094591607397E-7</v>
      </c>
      <c r="G106" s="14">
        <v>5.5925852925288614E-8</v>
      </c>
      <c r="H106" s="14">
        <v>0</v>
      </c>
      <c r="I106" s="14">
        <v>1.8144753828755507E-8</v>
      </c>
      <c r="J106" s="14">
        <v>2.4239588722154889E-6</v>
      </c>
      <c r="K106" s="14">
        <v>0</v>
      </c>
    </row>
    <row r="107" spans="1:11">
      <c r="A107" s="2" t="s">
        <v>459</v>
      </c>
      <c r="B107" s="3" t="s">
        <v>460</v>
      </c>
      <c r="D107" s="14">
        <v>1.8405759251190406E-24</v>
      </c>
      <c r="E107" s="14">
        <v>8.3768051161258775E-7</v>
      </c>
      <c r="F107" s="14">
        <v>2.8527064254381963E-5</v>
      </c>
      <c r="G107" s="14">
        <v>4.9928126868076378E-6</v>
      </c>
      <c r="H107" s="14">
        <v>0</v>
      </c>
      <c r="I107" s="14">
        <v>1.4376941758065408E-7</v>
      </c>
      <c r="J107" s="14">
        <v>5.498673129617159E-6</v>
      </c>
      <c r="K107" s="14">
        <v>0</v>
      </c>
    </row>
    <row r="108" spans="1:11">
      <c r="A108" s="2" t="s">
        <v>461</v>
      </c>
      <c r="B108" s="3" t="s">
        <v>462</v>
      </c>
      <c r="D108" s="14">
        <v>4.400964693011793E-14</v>
      </c>
      <c r="E108" s="14">
        <v>3.9979018638474124E-5</v>
      </c>
      <c r="F108" s="14">
        <v>3.5155596800986519E-10</v>
      </c>
      <c r="G108" s="14">
        <v>1.0189574679367068E-11</v>
      </c>
      <c r="H108" s="14">
        <v>0</v>
      </c>
      <c r="I108" s="14">
        <v>1.8396934219031892E-8</v>
      </c>
      <c r="J108" s="14">
        <v>2.2226377545075989E-9</v>
      </c>
      <c r="K108" s="14">
        <v>0</v>
      </c>
    </row>
    <row r="109" spans="1:11">
      <c r="A109" s="2" t="s">
        <v>463</v>
      </c>
      <c r="B109" s="3" t="s">
        <v>464</v>
      </c>
      <c r="D109" s="14">
        <v>1.1190692821010699E-16</v>
      </c>
      <c r="E109" s="14">
        <v>3.6664337400216727E-5</v>
      </c>
      <c r="F109" s="14">
        <v>2.2974918704534599E-6</v>
      </c>
      <c r="G109" s="14">
        <v>1.141984105274704E-7</v>
      </c>
      <c r="H109" s="14">
        <v>0</v>
      </c>
      <c r="I109" s="14">
        <v>1.9824630650760822E-7</v>
      </c>
      <c r="J109" s="14">
        <v>7.2572601218283557E-7</v>
      </c>
      <c r="K109" s="14">
        <v>0</v>
      </c>
    </row>
    <row r="110" spans="1:11">
      <c r="A110" s="2" t="s">
        <v>465</v>
      </c>
      <c r="B110" s="3" t="s">
        <v>466</v>
      </c>
      <c r="D110" s="14">
        <v>8.3553438254907029E-16</v>
      </c>
      <c r="E110" s="14">
        <v>3.9720879637392459E-5</v>
      </c>
      <c r="F110" s="14">
        <v>8.9896013258877621E-9</v>
      </c>
      <c r="G110" s="14">
        <v>1.7199148947720674E-9</v>
      </c>
      <c r="H110" s="14">
        <v>0</v>
      </c>
      <c r="I110" s="14">
        <v>1.8249854863934197E-8</v>
      </c>
      <c r="J110" s="14">
        <v>2.5016099068741531E-7</v>
      </c>
      <c r="K110" s="14">
        <v>0</v>
      </c>
    </row>
    <row r="111" spans="1:11">
      <c r="A111" s="2" t="s">
        <v>467</v>
      </c>
      <c r="B111" s="3" t="s">
        <v>468</v>
      </c>
      <c r="D111" s="14">
        <v>1.4852254070288814E-34</v>
      </c>
      <c r="E111" s="14">
        <v>3.9980793648749164E-5</v>
      </c>
      <c r="F111" s="14">
        <v>6.3887072113417659E-10</v>
      </c>
      <c r="G111" s="14">
        <v>5.2781889585352639E-13</v>
      </c>
      <c r="H111" s="14">
        <v>0</v>
      </c>
      <c r="I111" s="14">
        <v>1.8342255560578801E-8</v>
      </c>
      <c r="J111" s="14">
        <v>2.2469715022193306E-10</v>
      </c>
      <c r="K111" s="14">
        <v>0</v>
      </c>
    </row>
    <row r="112" spans="1:11">
      <c r="A112" s="2" t="s">
        <v>469</v>
      </c>
      <c r="B112" s="3" t="s">
        <v>470</v>
      </c>
      <c r="D112" s="14">
        <v>9.388043561303602E-18</v>
      </c>
      <c r="E112" s="14">
        <v>3.9653153997908184E-5</v>
      </c>
      <c r="F112" s="14">
        <v>3.1006254755188069E-9</v>
      </c>
      <c r="G112" s="14">
        <v>1.4485879437665013E-9</v>
      </c>
      <c r="H112" s="14">
        <v>0</v>
      </c>
      <c r="I112" s="14">
        <v>1.8212858488824798E-8</v>
      </c>
      <c r="J112" s="14">
        <v>3.2408393017432662E-7</v>
      </c>
      <c r="K112" s="14">
        <v>0</v>
      </c>
    </row>
    <row r="113" spans="1:11">
      <c r="A113" s="2" t="s">
        <v>471</v>
      </c>
      <c r="B113" s="3" t="s">
        <v>472</v>
      </c>
      <c r="D113" s="14">
        <v>1.1553466522258691E-13</v>
      </c>
      <c r="E113" s="14">
        <v>3.8043892937426408E-5</v>
      </c>
      <c r="F113" s="14">
        <v>8.8102153713033158E-8</v>
      </c>
      <c r="G113" s="14">
        <v>3.2068753582596902E-8</v>
      </c>
      <c r="H113" s="14">
        <v>0</v>
      </c>
      <c r="I113" s="14">
        <v>1.7932556137383496E-8</v>
      </c>
      <c r="J113" s="14">
        <v>1.818003483605917E-6</v>
      </c>
      <c r="K113" s="14">
        <v>0</v>
      </c>
    </row>
    <row r="114" spans="1:11">
      <c r="A114" s="2" t="s">
        <v>473</v>
      </c>
      <c r="B114" s="3" t="s">
        <v>474</v>
      </c>
      <c r="D114" s="14">
        <v>9.2154360231559297E-21</v>
      </c>
      <c r="E114" s="14">
        <v>3.9812335691388028E-5</v>
      </c>
      <c r="F114" s="14">
        <v>9.0285754486510602E-10</v>
      </c>
      <c r="G114" s="14">
        <v>4.5487056614422187E-10</v>
      </c>
      <c r="H114" s="14">
        <v>0</v>
      </c>
      <c r="I114" s="14">
        <v>1.8271303640901143E-8</v>
      </c>
      <c r="J114" s="14">
        <v>1.6803527686006625E-7</v>
      </c>
      <c r="K114" s="14">
        <v>0</v>
      </c>
    </row>
    <row r="115" spans="1:11">
      <c r="A115" s="2" t="s">
        <v>475</v>
      </c>
      <c r="B115" s="3" t="s">
        <v>476</v>
      </c>
      <c r="D115" s="14">
        <v>4.7657928509770559E-17</v>
      </c>
      <c r="E115" s="14">
        <v>3.8881436146274067E-5</v>
      </c>
      <c r="F115" s="14">
        <v>1.0975994284636308E-6</v>
      </c>
      <c r="G115" s="14">
        <v>1.3147032164097751E-10</v>
      </c>
      <c r="H115" s="14">
        <v>0</v>
      </c>
      <c r="I115" s="14">
        <v>1.8126876609888264E-8</v>
      </c>
      <c r="J115" s="14">
        <v>2.7060782831165299E-9</v>
      </c>
      <c r="K115" s="14">
        <v>0</v>
      </c>
    </row>
    <row r="116" spans="1:11">
      <c r="A116" s="2" t="s">
        <v>477</v>
      </c>
      <c r="B116" s="3" t="s">
        <v>478</v>
      </c>
      <c r="D116" s="14">
        <v>1.2865234101669292E-21</v>
      </c>
      <c r="E116" s="14">
        <v>5.1250659947821955E-6</v>
      </c>
      <c r="F116" s="14">
        <v>3.1418391152456653E-5</v>
      </c>
      <c r="G116" s="14">
        <v>7.6096987204375251E-7</v>
      </c>
      <c r="H116" s="14">
        <v>0</v>
      </c>
      <c r="I116" s="14">
        <v>1.9609236398460415E-6</v>
      </c>
      <c r="J116" s="14">
        <v>7.3464934087136372E-7</v>
      </c>
      <c r="K116" s="14">
        <v>0</v>
      </c>
    </row>
    <row r="117" spans="1:11">
      <c r="A117" s="2" t="s">
        <v>291</v>
      </c>
      <c r="B117" s="3" t="s">
        <v>479</v>
      </c>
      <c r="D117" s="14">
        <v>1.1761366737706184E-14</v>
      </c>
      <c r="E117" s="14">
        <v>1.8876020169485128E-5</v>
      </c>
      <c r="F117" s="14">
        <v>6.8286052410389559E-6</v>
      </c>
      <c r="G117" s="14">
        <v>1.7132769120859326E-6</v>
      </c>
      <c r="H117" s="14">
        <v>0</v>
      </c>
      <c r="I117" s="14">
        <v>3.5089143413320427E-8</v>
      </c>
      <c r="J117" s="14">
        <v>1.2547008522215303E-5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17"/>
  <sheetViews>
    <sheetView tabSelected="1" topLeftCell="A94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1.8041159429799678E-8</v>
      </c>
      <c r="B2">
        <f>'Mass Balance'!E2</f>
        <v>3.901388135995585E-5</v>
      </c>
      <c r="C2">
        <f>SUM('Mass Balance'!E2:H2)</f>
        <v>3.9047523174669528E-5</v>
      </c>
      <c r="D2">
        <f>Concentrations!F2/Concentrations!E2</f>
        <v>1.0030487243621815</v>
      </c>
    </row>
    <row r="3" spans="1:4">
      <c r="A3">
        <f>'Mass Balance'!I3</f>
        <v>5.8589093015173466E-8</v>
      </c>
      <c r="B3">
        <f>'Mass Balance'!E3</f>
        <v>1.867291280618797E-5</v>
      </c>
      <c r="C3">
        <f>SUM('Mass Balance'!E3:H3)</f>
        <v>2.7893504366696664E-5</v>
      </c>
      <c r="D3">
        <f>Concentrations!F3/Concentrations!E3</f>
        <v>0.67205582832727229</v>
      </c>
    </row>
    <row r="4" spans="1:4">
      <c r="A4">
        <f>'Mass Balance'!I4</f>
        <v>2.052014570619416E-8</v>
      </c>
      <c r="B4">
        <f>'Mass Balance'!E4</f>
        <v>3.9961770635859718E-5</v>
      </c>
      <c r="C4">
        <f>SUM('Mass Balance'!E4:H4)</f>
        <v>3.9978654206984954E-5</v>
      </c>
      <c r="D4">
        <f>Concentrations!F4/Concentrations!E4</f>
        <v>1.0034896895616316</v>
      </c>
    </row>
    <row r="5" spans="1:4">
      <c r="A5">
        <f>'Mass Balance'!I5</f>
        <v>1.3874761537475856E-8</v>
      </c>
      <c r="B5">
        <f>'Mass Balance'!E5</f>
        <v>2.1897370797403528E-5</v>
      </c>
      <c r="C5">
        <f>SUM('Mass Balance'!E5:H5)</f>
        <v>3.9978602673169598E-5</v>
      </c>
      <c r="D5">
        <f>Concentrations!F5/Concentrations!E5</f>
        <v>0.5498708840734321</v>
      </c>
    </row>
    <row r="6" spans="1:4">
      <c r="A6">
        <f>'Mass Balance'!I6</f>
        <v>1.1416805517047431E-8</v>
      </c>
      <c r="B6">
        <f>'Mass Balance'!E6</f>
        <v>1.2960349388124429E-5</v>
      </c>
      <c r="C6">
        <f>SUM('Mass Balance'!E6:H6)</f>
        <v>3.9960377067823048E-5</v>
      </c>
      <c r="D6">
        <f>Concentrations!F6/Concentrations!E6</f>
        <v>0.3255993237539378</v>
      </c>
    </row>
    <row r="7" spans="1:4">
      <c r="A7">
        <f>'Mass Balance'!I7</f>
        <v>9.4851333361066237E-9</v>
      </c>
      <c r="B7">
        <f>'Mass Balance'!E7</f>
        <v>4.3040873408456703E-6</v>
      </c>
      <c r="C7">
        <f>SUM('Mass Balance'!E7:H7)</f>
        <v>3.9841500112166022E-5</v>
      </c>
      <c r="D7">
        <f>Concentrations!F7/Concentrations!E7</f>
        <v>0.10845304645239197</v>
      </c>
    </row>
    <row r="8" spans="1:4">
      <c r="A8">
        <f>'Mass Balance'!I8</f>
        <v>1.0208684814685703E-8</v>
      </c>
      <c r="B8">
        <f>'Mass Balance'!E8</f>
        <v>9.1901373359215269E-6</v>
      </c>
      <c r="C8">
        <f>SUM('Mass Balance'!E8:H8)</f>
        <v>3.9975878314983998E-5</v>
      </c>
      <c r="D8">
        <f>Concentrations!F8/Concentrations!E8</f>
        <v>0.23079178670061079</v>
      </c>
    </row>
    <row r="9" spans="1:4">
      <c r="A9">
        <f>'Mass Balance'!I9</f>
        <v>1.4648453691540593E-8</v>
      </c>
      <c r="B9">
        <f>'Mass Balance'!E9</f>
        <v>2.454990533696246E-5</v>
      </c>
      <c r="C9">
        <f>SUM('Mass Balance'!E9:H9)</f>
        <v>3.9951155493777607E-5</v>
      </c>
      <c r="D9">
        <f>Concentrations!F9/Concentrations!E9</f>
        <v>0.61690293913234806</v>
      </c>
    </row>
    <row r="10" spans="1:4">
      <c r="A10">
        <f>'Mass Balance'!I10</f>
        <v>8.3464651390773308E-8</v>
      </c>
      <c r="B10">
        <f>'Mass Balance'!E10</f>
        <v>4.1374543430933015E-7</v>
      </c>
      <c r="C10">
        <f>SUM('Mass Balance'!E10:H10)</f>
        <v>3.5500829799244219E-5</v>
      </c>
      <c r="D10">
        <f>Concentrations!F10/Concentrations!E10</f>
        <v>1.1700140373438878E-2</v>
      </c>
    </row>
    <row r="11" spans="1:4">
      <c r="A11">
        <f>'Mass Balance'!I11</f>
        <v>5.3023664167154324E-7</v>
      </c>
      <c r="B11">
        <f>'Mass Balance'!E11</f>
        <v>2.4530700189538362E-8</v>
      </c>
      <c r="C11">
        <f>SUM('Mass Balance'!E11:H11)</f>
        <v>3.8758716009316193E-5</v>
      </c>
      <c r="D11">
        <f>Concentrations!F11/Concentrations!E11</f>
        <v>6.353849526424388E-4</v>
      </c>
    </row>
    <row r="12" spans="1:4">
      <c r="A12">
        <f>'Mass Balance'!I12</f>
        <v>1.690157494198116E-8</v>
      </c>
      <c r="B12">
        <f>'Mass Balance'!E12</f>
        <v>3.6816663974736203E-5</v>
      </c>
      <c r="C12">
        <f>SUM('Mass Balance'!E12:H12)</f>
        <v>3.6818211824892498E-5</v>
      </c>
      <c r="D12">
        <f>Concentrations!F12/Concentrations!E12</f>
        <v>1.0038714521286256</v>
      </c>
    </row>
    <row r="13" spans="1:4">
      <c r="A13">
        <f>'Mass Balance'!I13</f>
        <v>3.1826950593294522E-8</v>
      </c>
      <c r="B13">
        <f>'Mass Balance'!E13</f>
        <v>2.0978570799427992E-5</v>
      </c>
      <c r="C13">
        <f>SUM('Mass Balance'!E13:H13)</f>
        <v>2.8042423526658101E-5</v>
      </c>
      <c r="D13">
        <f>Concentrations!F13/Concentrations!E13</f>
        <v>0.75102901537292643</v>
      </c>
    </row>
    <row r="14" spans="1:4">
      <c r="A14">
        <f>'Mass Balance'!I14</f>
        <v>1.4715667992795762E-8</v>
      </c>
      <c r="B14">
        <f>'Mass Balance'!E14</f>
        <v>3.5218736884050144E-7</v>
      </c>
      <c r="C14">
        <f>SUM('Mass Balance'!E14:H14)</f>
        <v>3.995401192690205E-5</v>
      </c>
      <c r="D14">
        <f>Concentrations!F14/Concentrations!E14</f>
        <v>8.8493168107598615E-3</v>
      </c>
    </row>
    <row r="15" spans="1:4">
      <c r="A15">
        <f>'Mass Balance'!I15</f>
        <v>1.7581361388777174E-8</v>
      </c>
      <c r="B15">
        <f>'Mass Balance'!E15</f>
        <v>3.0473259324439185E-5</v>
      </c>
      <c r="C15">
        <f>SUM('Mass Balance'!E15:H15)</f>
        <v>3.1489016718173141E-5</v>
      </c>
      <c r="D15">
        <f>Concentrations!F15/Concentrations!E15</f>
        <v>0.97152989827926495</v>
      </c>
    </row>
    <row r="16" spans="1:4">
      <c r="A16">
        <f>'Mass Balance'!I16</f>
        <v>3.3935961557749693E-8</v>
      </c>
      <c r="B16">
        <f>'Mass Balance'!E16</f>
        <v>1.9568527834938067E-5</v>
      </c>
      <c r="C16">
        <f>SUM('Mass Balance'!E16:H16)</f>
        <v>2.759278846137957E-5</v>
      </c>
      <c r="D16">
        <f>Concentrations!F16/Concentrations!E16</f>
        <v>0.7119654604094906</v>
      </c>
    </row>
    <row r="17" spans="1:4">
      <c r="A17">
        <f>'Mass Balance'!I17</f>
        <v>3.2540228351573444E-8</v>
      </c>
      <c r="B17">
        <f>'Mass Balance'!E17</f>
        <v>2.0416493132658395E-5</v>
      </c>
      <c r="C17">
        <f>SUM('Mass Balance'!E17:H17)</f>
        <v>2.7818304649289611E-5</v>
      </c>
      <c r="D17">
        <f>Concentrations!F17/Concentrations!E17</f>
        <v>0.73679530590858955</v>
      </c>
    </row>
    <row r="18" spans="1:4">
      <c r="A18">
        <f>'Mass Balance'!I18</f>
        <v>4.3567271635203392E-7</v>
      </c>
      <c r="B18">
        <f>'Mass Balance'!E18</f>
        <v>2.6344552956461344E-8</v>
      </c>
      <c r="C18">
        <f>SUM('Mass Balance'!E18:H18)</f>
        <v>3.6263363065114561E-5</v>
      </c>
      <c r="D18">
        <f>Concentrations!F18/Concentrations!E18</f>
        <v>7.2932166972692746E-4</v>
      </c>
    </row>
    <row r="19" spans="1:4">
      <c r="A19">
        <f>'Mass Balance'!I19</f>
        <v>1.783702612240781E-8</v>
      </c>
      <c r="B19">
        <f>'Mass Balance'!E19</f>
        <v>3.611368610381404E-5</v>
      </c>
      <c r="C19">
        <f>SUM('Mass Balance'!E19:H19)</f>
        <v>3.6449352834957848E-5</v>
      </c>
      <c r="D19">
        <f>Concentrations!F19/Concentrations!E19</f>
        <v>0.99466848831057531</v>
      </c>
    </row>
    <row r="20" spans="1:4">
      <c r="A20">
        <f>'Mass Balance'!I20</f>
        <v>1.7980650093750756E-8</v>
      </c>
      <c r="B20">
        <f>'Mass Balance'!E20</f>
        <v>3.4463641014907623E-5</v>
      </c>
      <c r="C20">
        <f>SUM('Mass Balance'!E20:H20)</f>
        <v>3.5055417258751499E-5</v>
      </c>
      <c r="D20">
        <f>Concentrations!F20/Concentrations!E20</f>
        <v>0.98696642602903828</v>
      </c>
    </row>
    <row r="21" spans="1:4">
      <c r="A21">
        <f>'Mass Balance'!I21</f>
        <v>2.6645099949929471E-8</v>
      </c>
      <c r="B21">
        <f>'Mass Balance'!E21</f>
        <v>4.2431219052676728E-6</v>
      </c>
      <c r="C21">
        <f>SUM('Mass Balance'!E21:H21)</f>
        <v>3.7154759214204881E-5</v>
      </c>
      <c r="D21">
        <f>Concentrations!F21/Concentrations!E21</f>
        <v>0.11464824746831957</v>
      </c>
    </row>
    <row r="22" spans="1:4">
      <c r="A22">
        <f>'Mass Balance'!I22</f>
        <v>1.6803573820905305E-8</v>
      </c>
      <c r="B22">
        <f>'Mass Balance'!E22</f>
        <v>3.6123175188139324E-5</v>
      </c>
      <c r="C22">
        <f>SUM('Mass Balance'!E22:H22)</f>
        <v>3.6179237846284653E-5</v>
      </c>
      <c r="D22">
        <f>Concentrations!F22/Concentrations!E22</f>
        <v>1.002358011511207</v>
      </c>
    </row>
    <row r="23" spans="1:4">
      <c r="A23">
        <f>'Mass Balance'!I23</f>
        <v>1.922975709498328E-8</v>
      </c>
      <c r="B23">
        <f>'Mass Balance'!E23</f>
        <v>2.8890961025602677E-5</v>
      </c>
      <c r="C23">
        <f>SUM('Mass Balance'!E23:H23)</f>
        <v>3.0628206393292877E-5</v>
      </c>
      <c r="D23">
        <f>Concentrations!F23/Concentrations!E23</f>
        <v>0.94697123184535303</v>
      </c>
    </row>
    <row r="24" spans="1:4">
      <c r="A24">
        <f>'Mass Balance'!I24</f>
        <v>4.1554370959735427E-8</v>
      </c>
      <c r="B24">
        <f>'Mass Balance'!E24</f>
        <v>1.5144926371511272E-5</v>
      </c>
      <c r="C24">
        <f>SUM('Mass Balance'!E24:H24)</f>
        <v>2.6643722420695536E-5</v>
      </c>
      <c r="D24">
        <f>Concentrations!F24/Concentrations!E24</f>
        <v>0.57064843187288916</v>
      </c>
    </row>
    <row r="25" spans="1:4">
      <c r="A25">
        <f>'Mass Balance'!I25</f>
        <v>3.9856878824588223E-7</v>
      </c>
      <c r="B25">
        <f>'Mass Balance'!E25</f>
        <v>3.6676255819149703E-8</v>
      </c>
      <c r="C25">
        <f>SUM('Mass Balance'!E25:H25)</f>
        <v>3.595904904616007E-5</v>
      </c>
      <c r="D25">
        <f>Concentrations!F25/Concentrations!E25</f>
        <v>1.0239368137133339E-3</v>
      </c>
    </row>
    <row r="26" spans="1:4">
      <c r="A26">
        <f>'Mass Balance'!I26</f>
        <v>5.4163608059631446E-8</v>
      </c>
      <c r="B26">
        <f>'Mass Balance'!E26</f>
        <v>5.450099578081181E-6</v>
      </c>
      <c r="C26">
        <f>SUM('Mass Balance'!E26:H26)</f>
        <v>2.4078711085026604E-5</v>
      </c>
      <c r="D26">
        <f>Concentrations!F26/Concentrations!E26</f>
        <v>0.22723099168919017</v>
      </c>
    </row>
    <row r="27" spans="1:4">
      <c r="A27">
        <f>'Mass Balance'!I27</f>
        <v>3.0846283602010997E-8</v>
      </c>
      <c r="B27">
        <f>'Mass Balance'!E27</f>
        <v>6.4460878615674836E-7</v>
      </c>
      <c r="C27">
        <f>SUM('Mass Balance'!E27:H27)</f>
        <v>1.2753809817271229E-5</v>
      </c>
      <c r="D27">
        <f>Concentrations!F27/Concentrations!E27</f>
        <v>5.0740255117251012E-2</v>
      </c>
    </row>
    <row r="28" spans="1:4">
      <c r="A28">
        <f>'Mass Balance'!I28</f>
        <v>1.5489497196246695E-8</v>
      </c>
      <c r="B28">
        <f>'Mass Balance'!E28</f>
        <v>1.1650008772443762E-6</v>
      </c>
      <c r="C28">
        <f>SUM('Mass Balance'!E28:H28)</f>
        <v>6.6535172736511915E-6</v>
      </c>
      <c r="D28">
        <f>Concentrations!F28/Concentrations!E28</f>
        <v>0.17578075519766789</v>
      </c>
    </row>
    <row r="29" spans="1:4">
      <c r="A29">
        <f>'Mass Balance'!I29</f>
        <v>1.2738339809277334E-9</v>
      </c>
      <c r="B29">
        <f>'Mass Balance'!E29</f>
        <v>2.3665581711875669E-6</v>
      </c>
      <c r="C29">
        <f>SUM('Mass Balance'!E29:H29)</f>
        <v>2.4185081215715079E-6</v>
      </c>
      <c r="D29">
        <f>Concentrations!F29/Concentrations!E29</f>
        <v>0.98234942729794883</v>
      </c>
    </row>
    <row r="30" spans="1:4">
      <c r="A30">
        <f>'Mass Balance'!I30</f>
        <v>5.9563582172523974E-9</v>
      </c>
      <c r="B30">
        <f>'Mass Balance'!E30</f>
        <v>4.7926263975591074E-7</v>
      </c>
      <c r="C30">
        <f>SUM('Mass Balance'!E30:H30)</f>
        <v>2.5759843145179073E-6</v>
      </c>
      <c r="D30">
        <f>Concentrations!F30/Concentrations!E30</f>
        <v>0.18677843130853472</v>
      </c>
    </row>
    <row r="31" spans="1:4">
      <c r="A31">
        <f>'Mass Balance'!I31</f>
        <v>1.0751062413852956E-10</v>
      </c>
      <c r="B31">
        <f>'Mass Balance'!E31</f>
        <v>1.7911024956932503E-8</v>
      </c>
      <c r="C31">
        <f>SUM('Mass Balance'!E31:H31)</f>
        <v>5.2619766399282453E-8</v>
      </c>
      <c r="D31">
        <f>Concentrations!F31/Concentrations!E31</f>
        <v>0.34171802338874779</v>
      </c>
    </row>
    <row r="32" spans="1:4">
      <c r="A32">
        <f>'Mass Balance'!I32</f>
        <v>2.9587047605684667E-8</v>
      </c>
      <c r="B32">
        <f>'Mass Balance'!E32</f>
        <v>2.2470089241664788E-5</v>
      </c>
      <c r="C32">
        <f>SUM('Mass Balance'!E32:H32)</f>
        <v>2.8532007599392904E-5</v>
      </c>
      <c r="D32">
        <f>Concentrations!F32/Concentrations!E32</f>
        <v>0.79062187913500204</v>
      </c>
    </row>
    <row r="33" spans="1:4">
      <c r="A33">
        <f>'Mass Balance'!I33</f>
        <v>2.2843021732578843E-8</v>
      </c>
      <c r="B33">
        <f>'Mass Balance'!E33</f>
        <v>2.8402382467814977E-5</v>
      </c>
      <c r="C33">
        <f>SUM('Mass Balance'!E33:H33)</f>
        <v>3.1336382884138633E-5</v>
      </c>
      <c r="D33">
        <f>Concentrations!F33/Concentrations!E33</f>
        <v>0.90991802583642012</v>
      </c>
    </row>
    <row r="34" spans="1:4">
      <c r="A34">
        <f>'Mass Balance'!I34</f>
        <v>6.0559985640879534E-8</v>
      </c>
      <c r="B34">
        <f>'Mass Balance'!E34</f>
        <v>6.9607871397137341E-6</v>
      </c>
      <c r="C34">
        <f>SUM('Mass Balance'!E34:H34)</f>
        <v>2.7478550343766077E-5</v>
      </c>
      <c r="D34">
        <f>Concentrations!F34/Concentrations!E34</f>
        <v>0.25430851284398492</v>
      </c>
    </row>
    <row r="35" spans="1:4">
      <c r="A35">
        <f>'Mass Balance'!I35</f>
        <v>7.9561580038807469E-8</v>
      </c>
      <c r="B35">
        <f>'Mass Balance'!E35</f>
        <v>8.2985230676041015E-7</v>
      </c>
      <c r="C35">
        <f>SUM('Mass Balance'!E35:H35)</f>
        <v>3.3554609086500336E-5</v>
      </c>
      <c r="D35">
        <f>Concentrations!F35/Concentrations!E35</f>
        <v>2.4828185657071931E-2</v>
      </c>
    </row>
    <row r="36" spans="1:4">
      <c r="A36">
        <f>'Mass Balance'!I36</f>
        <v>1.7790352741190538E-7</v>
      </c>
      <c r="B36">
        <f>'Mass Balance'!E36</f>
        <v>1.8512636176323505E-7</v>
      </c>
      <c r="C36">
        <f>SUM('Mass Balance'!E36:H36)</f>
        <v>3.5077279692900164E-5</v>
      </c>
      <c r="D36">
        <f>Concentrations!F36/Concentrations!E36</f>
        <v>5.2983265655727274E-3</v>
      </c>
    </row>
    <row r="37" spans="1:4">
      <c r="A37">
        <f>'Mass Balance'!I37</f>
        <v>4.2458222305086885E-7</v>
      </c>
      <c r="B37">
        <f>'Mass Balance'!E37</f>
        <v>2.884999936299548E-8</v>
      </c>
      <c r="C37">
        <f>SUM('Mass Balance'!E37:H37)</f>
        <v>3.608891262376694E-5</v>
      </c>
      <c r="D37">
        <f>Concentrations!F37/Concentrations!E37</f>
        <v>8.0254311530271688E-4</v>
      </c>
    </row>
    <row r="38" spans="1:4">
      <c r="A38">
        <f>'Mass Balance'!I38</f>
        <v>2.6194544110610233E-7</v>
      </c>
      <c r="B38">
        <f>'Mass Balance'!E38</f>
        <v>1.023626659008802E-7</v>
      </c>
      <c r="C38">
        <f>SUM('Mass Balance'!E38:H38)</f>
        <v>3.521104268336727E-5</v>
      </c>
      <c r="D38">
        <f>Concentrations!F38/Concentrations!E38</f>
        <v>2.9184957454671035E-3</v>
      </c>
    </row>
    <row r="39" spans="1:4">
      <c r="A39">
        <f>'Mass Balance'!I39</f>
        <v>1.948779547187376E-7</v>
      </c>
      <c r="B39">
        <f>'Mass Balance'!E39</f>
        <v>1.5329623288962962E-7</v>
      </c>
      <c r="C39">
        <f>SUM('Mass Balance'!E39:H39)</f>
        <v>3.4134523150505103E-5</v>
      </c>
      <c r="D39">
        <f>Concentrations!F39/Concentrations!E39</f>
        <v>4.5085200424820797E-3</v>
      </c>
    </row>
    <row r="40" spans="1:4">
      <c r="A40">
        <f>'Mass Balance'!I40</f>
        <v>2.6194544110610233E-7</v>
      </c>
      <c r="B40">
        <f>'Mass Balance'!E40</f>
        <v>1.023626659008802E-7</v>
      </c>
      <c r="C40">
        <f>SUM('Mass Balance'!E40:H40)</f>
        <v>3.521104268336727E-5</v>
      </c>
      <c r="D40">
        <f>Concentrations!F40/Concentrations!E40</f>
        <v>2.9184957454671035E-3</v>
      </c>
    </row>
    <row r="41" spans="1:4">
      <c r="A41">
        <f>'Mass Balance'!I41</f>
        <v>1.7970752026910829E-8</v>
      </c>
      <c r="B41">
        <f>'Mass Balance'!E41</f>
        <v>3.8153445059779306E-5</v>
      </c>
      <c r="C41">
        <f>SUM('Mass Balance'!E41:H41)</f>
        <v>3.9974817116156124E-5</v>
      </c>
      <c r="D41">
        <f>Concentrations!F41/Concentrations!E41</f>
        <v>0.95817235250460897</v>
      </c>
    </row>
    <row r="42" spans="1:4">
      <c r="A42">
        <f>'Mass Balance'!I42</f>
        <v>4.3410636476173689E-7</v>
      </c>
      <c r="B42">
        <f>'Mass Balance'!E42</f>
        <v>2.6249837747382986E-8</v>
      </c>
      <c r="C42">
        <f>SUM('Mass Balance'!E42:H42)</f>
        <v>3.613298727091251E-5</v>
      </c>
      <c r="D42">
        <f>Concentrations!F42/Concentrations!E42</f>
        <v>7.2932166972692746E-4</v>
      </c>
    </row>
    <row r="43" spans="1:4">
      <c r="A43">
        <f>'Mass Balance'!I43</f>
        <v>4.3657266282644026E-8</v>
      </c>
      <c r="B43">
        <f>'Mass Balance'!E43</f>
        <v>1.4142289676587929E-5</v>
      </c>
      <c r="C43">
        <f>SUM('Mass Balance'!E43:H43)</f>
        <v>2.6591326552139852E-5</v>
      </c>
      <c r="D43">
        <f>Concentrations!F43/Concentrations!E43</f>
        <v>0.53391987495413606</v>
      </c>
    </row>
    <row r="44" spans="1:4">
      <c r="A44">
        <f>'Mass Balance'!I44</f>
        <v>1.2623918075011259E-7</v>
      </c>
      <c r="B44">
        <f>'Mass Balance'!E44</f>
        <v>2.7696147301483537E-7</v>
      </c>
      <c r="C44">
        <f>SUM('Mass Balance'!E44:H44)</f>
        <v>3.520527007340203E-5</v>
      </c>
      <c r="D44">
        <f>Concentrations!F44/Concentrations!E44</f>
        <v>7.8978347458445244E-3</v>
      </c>
    </row>
    <row r="45" spans="1:4">
      <c r="A45">
        <f>'Mass Balance'!I45</f>
        <v>5.087306135104467E-7</v>
      </c>
      <c r="B45">
        <f>'Mass Balance'!E45</f>
        <v>1.182088842106719E-8</v>
      </c>
      <c r="C45">
        <f>SUM('Mass Balance'!E45:H45)</f>
        <v>3.6963479636595772E-5</v>
      </c>
      <c r="D45">
        <f>Concentrations!F45/Concentrations!E45</f>
        <v>3.2105070844138669E-4</v>
      </c>
    </row>
    <row r="46" spans="1:4">
      <c r="A46">
        <f>'Mass Balance'!I46</f>
        <v>4.4741039397223141E-7</v>
      </c>
      <c r="B46">
        <f>'Mass Balance'!E46</f>
        <v>2.3520791390024581E-8</v>
      </c>
      <c r="C46">
        <f>SUM('Mass Balance'!E46:H46)</f>
        <v>3.6365046512521633E-5</v>
      </c>
      <c r="D46">
        <f>Concentrations!F46/Concentrations!E46</f>
        <v>6.4932802139476553E-4</v>
      </c>
    </row>
    <row r="47" spans="1:4">
      <c r="A47">
        <f>'Mass Balance'!I47</f>
        <v>3.5508506070502434E-7</v>
      </c>
      <c r="B47">
        <f>'Mass Balance'!E47</f>
        <v>5.2097978869525676E-8</v>
      </c>
      <c r="C47">
        <f>SUM('Mass Balance'!E47:H47)</f>
        <v>3.5660173677970925E-5</v>
      </c>
      <c r="D47">
        <f>Concentrations!F47/Concentrations!E47</f>
        <v>1.4666746427414962E-3</v>
      </c>
    </row>
    <row r="48" spans="1:4">
      <c r="A48">
        <f>'Mass Balance'!I48</f>
        <v>7.5083939898373986E-8</v>
      </c>
      <c r="B48">
        <f>'Mass Balance'!E48</f>
        <v>2.3757974420338436E-6</v>
      </c>
      <c r="C48">
        <f>SUM('Mass Balance'!E48:H48)</f>
        <v>3.0983293706789139E-5</v>
      </c>
      <c r="D48">
        <f>Concentrations!F48/Concentrations!E48</f>
        <v>7.6980049987451268E-2</v>
      </c>
    </row>
    <row r="49" spans="1:4">
      <c r="A49">
        <f>'Mass Balance'!I49</f>
        <v>1.3502854334014E-7</v>
      </c>
      <c r="B49">
        <f>'Mass Balance'!E49</f>
        <v>2.5758827849041071E-7</v>
      </c>
      <c r="C49">
        <f>SUM('Mass Balance'!E49:H49)</f>
        <v>3.5174661156231203E-5</v>
      </c>
      <c r="D49">
        <f>Concentrations!F49/Concentrations!E49</f>
        <v>7.3517805761136156E-3</v>
      </c>
    </row>
    <row r="50" spans="1:4">
      <c r="A50">
        <f>'Mass Balance'!I50</f>
        <v>1.5059605148005124E-7</v>
      </c>
      <c r="B50">
        <f>'Mass Balance'!E50</f>
        <v>2.2755681446215292E-7</v>
      </c>
      <c r="C50">
        <f>SUM('Mass Balance'!E50:H50)</f>
        <v>3.51259953932082E-5</v>
      </c>
      <c r="D50">
        <f>Concentrations!F50/Concentrations!E50</f>
        <v>6.5036560878853978E-3</v>
      </c>
    </row>
    <row r="51" spans="1:4">
      <c r="A51">
        <f>'Mass Balance'!I51</f>
        <v>7.8212994527094936E-8</v>
      </c>
      <c r="B51">
        <f>'Mass Balance'!E51</f>
        <v>1.5249805601716665E-6</v>
      </c>
      <c r="C51">
        <f>SUM('Mass Balance'!E51:H51)</f>
        <v>3.2376837884346259E-5</v>
      </c>
      <c r="D51">
        <f>Concentrations!F51/Concentrations!E51</f>
        <v>4.728530984048708E-2</v>
      </c>
    </row>
    <row r="52" spans="1:4">
      <c r="A52">
        <f>'Mass Balance'!I52</f>
        <v>7.5428667637476576E-8</v>
      </c>
      <c r="B52">
        <f>'Mass Balance'!E52</f>
        <v>2.2794326676127438E-6</v>
      </c>
      <c r="C52">
        <f>SUM('Mass Balance'!E52:H52)</f>
        <v>3.111675821080079E-5</v>
      </c>
      <c r="D52">
        <f>Concentrations!F52/Concentrations!E52</f>
        <v>7.3540873690213088E-2</v>
      </c>
    </row>
    <row r="53" spans="1:4">
      <c r="A53">
        <f>'Mass Balance'!I53</f>
        <v>2.06150192168381E-7</v>
      </c>
      <c r="B53">
        <f>'Mass Balance'!E53</f>
        <v>1.5120689961385551E-7</v>
      </c>
      <c r="C53">
        <f>SUM('Mass Balance'!E53:H53)</f>
        <v>3.5093828825876974E-5</v>
      </c>
      <c r="D53">
        <f>Concentrations!F53/Concentrations!E53</f>
        <v>4.3255089750456246E-3</v>
      </c>
    </row>
    <row r="54" spans="1:4">
      <c r="A54">
        <f>'Mass Balance'!I54</f>
        <v>1.4266961791241056E-7</v>
      </c>
      <c r="B54">
        <f>'Mass Balance'!E54</f>
        <v>2.4222683067974379E-7</v>
      </c>
      <c r="C54">
        <f>SUM('Mass Balance'!E54:H54)</f>
        <v>3.5149808686972942E-5</v>
      </c>
      <c r="D54">
        <f>Concentrations!F54/Concentrations!E54</f>
        <v>6.9182403118300574E-3</v>
      </c>
    </row>
    <row r="55" spans="1:4">
      <c r="A55">
        <f>'Mass Balance'!I55</f>
        <v>3.5055656100743812E-7</v>
      </c>
      <c r="B55">
        <f>'Mass Balance'!E55</f>
        <v>5.3889833289333178E-8</v>
      </c>
      <c r="C55">
        <f>SUM('Mass Balance'!E55:H55)</f>
        <v>3.5623358168143426E-5</v>
      </c>
      <c r="D55">
        <f>Concentrations!F55/Concentrations!E55</f>
        <v>1.5186872432767797E-3</v>
      </c>
    </row>
    <row r="56" spans="1:4">
      <c r="A56">
        <f>'Mass Balance'!I56</f>
        <v>1.2912730938377157E-7</v>
      </c>
      <c r="B56">
        <f>'Mass Balance'!E56</f>
        <v>2.7039748495807883E-7</v>
      </c>
      <c r="C56">
        <f>SUM('Mass Balance'!E56:H56)</f>
        <v>3.5196243900502964E-5</v>
      </c>
      <c r="D56">
        <f>Concentrations!F56/Concentrations!E56</f>
        <v>7.712633448483123E-3</v>
      </c>
    </row>
    <row r="57" spans="1:4">
      <c r="A57">
        <f>'Mass Balance'!I57</f>
        <v>7.3158820740108348E-8</v>
      </c>
      <c r="B57">
        <f>'Mass Balance'!E57</f>
        <v>2.8459436556499125E-6</v>
      </c>
      <c r="C57">
        <f>SUM('Mass Balance'!E57:H57)</f>
        <v>3.0283586430669251E-5</v>
      </c>
      <c r="D57">
        <f>Concentrations!F57/Concentrations!E57</f>
        <v>9.4344231965447375E-2</v>
      </c>
    </row>
    <row r="58" spans="1:4">
      <c r="A58">
        <f>'Mass Balance'!I58</f>
        <v>1.4423354944335891E-7</v>
      </c>
      <c r="B58">
        <f>'Mass Balance'!E58</f>
        <v>2.3924039073263533E-7</v>
      </c>
      <c r="C58">
        <f>SUM('Mass Balance'!E58:H58)</f>
        <v>3.5145283948014091E-5</v>
      </c>
      <c r="D58">
        <f>Concentrations!F58/Concentrations!E58</f>
        <v>6.8338243025118017E-3</v>
      </c>
    </row>
    <row r="59" spans="1:4">
      <c r="A59">
        <f>'Mass Balance'!I59</f>
        <v>7.5438777244118895E-8</v>
      </c>
      <c r="B59">
        <f>'Mass Balance'!E59</f>
        <v>2.2797381770212883E-6</v>
      </c>
      <c r="C59">
        <f>SUM('Mass Balance'!E59:H59)</f>
        <v>3.1120928749607176E-5</v>
      </c>
      <c r="D59">
        <f>Concentrations!F59/Concentrations!E59</f>
        <v>7.3540873690213074E-2</v>
      </c>
    </row>
    <row r="60" spans="1:4">
      <c r="A60">
        <f>'Mass Balance'!I60</f>
        <v>1.8888018464280935E-7</v>
      </c>
      <c r="B60">
        <f>'Mass Balance'!E60</f>
        <v>1.7088915046119181E-7</v>
      </c>
      <c r="C60">
        <f>SUM('Mass Balance'!E60:H60)</f>
        <v>3.5071391316327144E-5</v>
      </c>
      <c r="D60">
        <f>Concentrations!F60/Concentrations!E60</f>
        <v>4.8916779614992974E-3</v>
      </c>
    </row>
    <row r="61" spans="1:4">
      <c r="A61">
        <f>'Mass Balance'!I61</f>
        <v>4.4364938360910623E-7</v>
      </c>
      <c r="B61">
        <f>'Mass Balance'!E61</f>
        <v>1.103153340351401E-5</v>
      </c>
      <c r="C61">
        <f>SUM('Mass Balance'!E61:H61)</f>
        <v>3.1762895888371394E-5</v>
      </c>
      <c r="D61">
        <f>Concentrations!F61/Concentrations!E61</f>
        <v>0.34866805219416092</v>
      </c>
    </row>
    <row r="62" spans="1:4">
      <c r="A62">
        <f>'Mass Balance'!I62</f>
        <v>5.925601450260291E-8</v>
      </c>
      <c r="B62">
        <f>'Mass Balance'!E62</f>
        <v>7.4385646966665295E-6</v>
      </c>
      <c r="C62">
        <f>SUM('Mass Balance'!E62:H62)</f>
        <v>2.7303883608937764E-5</v>
      </c>
      <c r="D62">
        <f>Concentrations!F62/Concentrations!E62</f>
        <v>0.27350236304920533</v>
      </c>
    </row>
    <row r="63" spans="1:4">
      <c r="A63">
        <f>'Mass Balance'!I63</f>
        <v>9.0972577228130475E-8</v>
      </c>
      <c r="B63">
        <f>'Mass Balance'!E63</f>
        <v>3.6866771200245743E-5</v>
      </c>
      <c r="C63">
        <f>SUM('Mass Balance'!E63:H63)</f>
        <v>3.8310274425807976E-5</v>
      </c>
      <c r="D63">
        <f>Concentrations!F63/Concentrations!E63</f>
        <v>0.96608692190690337</v>
      </c>
    </row>
    <row r="64" spans="1:4">
      <c r="A64">
        <f>'Mass Balance'!I64</f>
        <v>1.8257162510580355E-8</v>
      </c>
      <c r="B64">
        <f>'Mass Balance'!E64</f>
        <v>3.9315810894985232E-5</v>
      </c>
      <c r="C64">
        <f>SUM('Mass Balance'!E64:H64)</f>
        <v>3.9808131212039215E-5</v>
      </c>
      <c r="D64">
        <f>Concentrations!F64/Concentrations!E64</f>
        <v>0.99149792496629241</v>
      </c>
    </row>
    <row r="65" spans="1:4">
      <c r="A65">
        <f>'Mass Balance'!I65</f>
        <v>2.503766349632645E-8</v>
      </c>
      <c r="B65">
        <f>'Mass Balance'!E65</f>
        <v>3.9830920680586772E-5</v>
      </c>
      <c r="C65">
        <f>SUM('Mass Balance'!E65:H65)</f>
        <v>3.9897501179996715E-5</v>
      </c>
      <c r="D65">
        <f>Concentrations!F65/Concentrations!E65</f>
        <v>1.0022383372267636</v>
      </c>
    </row>
    <row r="66" spans="1:4">
      <c r="A66">
        <f>'Mass Balance'!I66</f>
        <v>6.3519622683993898E-7</v>
      </c>
      <c r="B66">
        <f>'Mass Balance'!E66</f>
        <v>3.052940528753499E-5</v>
      </c>
      <c r="C66">
        <f>SUM('Mass Balance'!E66:H66)</f>
        <v>3.868011845297022E-5</v>
      </c>
      <c r="D66">
        <f>Concentrations!F66/Concentrations!E66</f>
        <v>0.7923679692326443</v>
      </c>
    </row>
    <row r="67" spans="1:4">
      <c r="A67">
        <f>'Mass Balance'!I67</f>
        <v>2.388876197682951E-8</v>
      </c>
      <c r="B67">
        <f>'Mass Balance'!E67</f>
        <v>3.9832315979717937E-5</v>
      </c>
      <c r="C67">
        <f>SUM('Mass Balance'!E67:H67)</f>
        <v>3.9889007970297115E-5</v>
      </c>
      <c r="D67">
        <f>Concentrations!F67/Concentrations!E67</f>
        <v>1.0024868513093348</v>
      </c>
    </row>
    <row r="68" spans="1:4">
      <c r="A68">
        <f>'Mass Balance'!I68</f>
        <v>1.9065279586175796E-8</v>
      </c>
      <c r="B68">
        <f>'Mass Balance'!E68</f>
        <v>3.9938814309268483E-5</v>
      </c>
      <c r="C68">
        <f>SUM('Mass Balance'!E68:H68)</f>
        <v>3.9945707204143877E-5</v>
      </c>
      <c r="D68">
        <f>Concentrations!F68/Concentrations!E68</f>
        <v>1.0037404250867854</v>
      </c>
    </row>
    <row r="69" spans="1:4">
      <c r="A69">
        <f>'Mass Balance'!I69</f>
        <v>1.1482463090572592E-7</v>
      </c>
      <c r="B69">
        <f>'Mass Balance'!E69</f>
        <v>3.0566664532252549E-7</v>
      </c>
      <c r="C69">
        <f>SUM('Mass Balance'!E69:H69)</f>
        <v>3.5265836625805359E-5</v>
      </c>
      <c r="D69">
        <f>Concentrations!F69/Concentrations!E69</f>
        <v>8.7014218033396352E-3</v>
      </c>
    </row>
    <row r="70" spans="1:4">
      <c r="A70">
        <f>'Mass Balance'!I70</f>
        <v>1.8102767680786378E-8</v>
      </c>
      <c r="B70">
        <f>'Mass Balance'!E70</f>
        <v>3.8769924697505816E-5</v>
      </c>
      <c r="C70">
        <f>SUM('Mass Balance'!E70:H70)</f>
        <v>3.9979625041563162E-5</v>
      </c>
      <c r="D70">
        <f>Concentrations!F70/Concentrations!E70</f>
        <v>0.97353731667672883</v>
      </c>
    </row>
    <row r="71" spans="1:4">
      <c r="A71">
        <f>'Mass Balance'!I71</f>
        <v>1.7872045077083519E-8</v>
      </c>
      <c r="B71">
        <f>'Mass Balance'!E71</f>
        <v>3.7723954255373374E-5</v>
      </c>
      <c r="C71">
        <f>SUM('Mass Balance'!E71:H71)</f>
        <v>3.9979015029136191E-5</v>
      </c>
      <c r="D71">
        <f>Concentrations!F71/Concentrations!E71</f>
        <v>0.94728679146870576</v>
      </c>
    </row>
    <row r="72" spans="1:4">
      <c r="A72">
        <f>'Mass Balance'!I72</f>
        <v>5.5880848128333181E-8</v>
      </c>
      <c r="B72">
        <f>'Mass Balance'!E72</f>
        <v>1.5561740329464146E-7</v>
      </c>
      <c r="C72">
        <f>SUM('Mass Balance'!E72:H72)</f>
        <v>3.99405978960509E-5</v>
      </c>
      <c r="D72">
        <f>Concentrations!F72/Concentrations!E72</f>
        <v>3.911469649028069E-3</v>
      </c>
    </row>
    <row r="73" spans="1:4">
      <c r="A73">
        <f>'Mass Balance'!I73</f>
        <v>7.1843676206743956E-9</v>
      </c>
      <c r="B73">
        <f>'Mass Balance'!E73</f>
        <v>1.4441441804499086E-6</v>
      </c>
      <c r="C73">
        <f>SUM('Mass Balance'!E73:H73)</f>
        <v>3.9989959156983411E-5</v>
      </c>
      <c r="D73">
        <f>Concentrations!F73/Concentrations!E73</f>
        <v>3.625400215439354E-2</v>
      </c>
    </row>
    <row r="74" spans="1:4">
      <c r="A74">
        <f>'Mass Balance'!I74</f>
        <v>1.7917773283979931E-8</v>
      </c>
      <c r="B74">
        <f>'Mass Balance'!E74</f>
        <v>3.7927686686568974E-5</v>
      </c>
      <c r="C74">
        <f>SUM('Mass Balance'!E74:H74)</f>
        <v>3.9979120778456488E-5</v>
      </c>
      <c r="D74">
        <f>Concentrations!F74/Concentrations!E74</f>
        <v>0.95240020044659912</v>
      </c>
    </row>
    <row r="75" spans="1:4">
      <c r="A75">
        <f>'Mass Balance'!I75</f>
        <v>7.3343823366075703E-9</v>
      </c>
      <c r="B75">
        <f>'Mass Balance'!E75</f>
        <v>1.7085836165055401E-6</v>
      </c>
      <c r="C75">
        <f>SUM('Mass Balance'!E75:H75)</f>
        <v>3.9989580723690049E-5</v>
      </c>
      <c r="D75">
        <f>Concentrations!F75/Concentrations!E75</f>
        <v>4.289293350157574E-2</v>
      </c>
    </row>
    <row r="76" spans="1:4">
      <c r="A76">
        <f>'Mass Balance'!I76</f>
        <v>1.277043162665182E-8</v>
      </c>
      <c r="B76">
        <f>'Mass Balance'!E76</f>
        <v>1.7912619782282795E-5</v>
      </c>
      <c r="C76">
        <f>SUM('Mass Balance'!E76:H76)</f>
        <v>3.998007548800929E-5</v>
      </c>
      <c r="D76">
        <f>Concentrations!F76/Concentrations!E76</f>
        <v>0.44979213802343765</v>
      </c>
    </row>
    <row r="77" spans="1:4">
      <c r="A77">
        <f>'Mass Balance'!I77</f>
        <v>7.2261015409109227E-9</v>
      </c>
      <c r="B77">
        <f>'Mass Balance'!E77</f>
        <v>1.5153940573569071E-6</v>
      </c>
      <c r="C77">
        <f>SUM('Mass Balance'!E77:H77)</f>
        <v>3.9989844574303519E-5</v>
      </c>
      <c r="D77">
        <f>Concentrations!F77/Concentrations!E77</f>
        <v>3.8042778263146566E-2</v>
      </c>
    </row>
    <row r="78" spans="1:4">
      <c r="A78">
        <f>'Mass Balance'!I78</f>
        <v>4.6837255260783891E-8</v>
      </c>
      <c r="B78">
        <f>'Mass Balance'!E78</f>
        <v>1.7263345064124486E-7</v>
      </c>
      <c r="C78">
        <f>SUM('Mass Balance'!E78:H78)</f>
        <v>3.9949821970589229E-5</v>
      </c>
      <c r="D78">
        <f>Concentrations!F78/Concentrations!E78</f>
        <v>4.3381689881233452E-3</v>
      </c>
    </row>
    <row r="79" spans="1:4">
      <c r="A79">
        <f>'Mass Balance'!I79</f>
        <v>4.6837221517167539E-8</v>
      </c>
      <c r="B79">
        <f>'Mass Balance'!E79</f>
        <v>1.7263346368329875E-7</v>
      </c>
      <c r="C79">
        <f>SUM('Mass Balance'!E79:H79)</f>
        <v>3.9949822560472711E-5</v>
      </c>
      <c r="D79">
        <f>Concentrations!F79/Concentrations!E79</f>
        <v>4.3381692518061647E-3</v>
      </c>
    </row>
    <row r="80" spans="1:4">
      <c r="A80">
        <f>'Mass Balance'!I80</f>
        <v>9.3389341912893901E-9</v>
      </c>
      <c r="B80">
        <f>'Mass Balance'!E80</f>
        <v>6.6670063724410006E-6</v>
      </c>
      <c r="C80">
        <f>SUM('Mass Balance'!E80:H80)</f>
        <v>3.9985153805260273E-5</v>
      </c>
      <c r="D80">
        <f>Concentrations!F80/Concentrations!E80</f>
        <v>0.16738959617862065</v>
      </c>
    </row>
    <row r="81" spans="1:4">
      <c r="A81">
        <f>'Mass Balance'!I81</f>
        <v>1.6548672324372021E-8</v>
      </c>
      <c r="B81">
        <f>'Mass Balance'!E81</f>
        <v>3.2175632774335028E-5</v>
      </c>
      <c r="C81">
        <f>SUM('Mass Balance'!E81:H81)</f>
        <v>3.9977960045328338E-5</v>
      </c>
      <c r="D81">
        <f>Concentrations!F81/Concentrations!E81</f>
        <v>0.80798412745827097</v>
      </c>
    </row>
    <row r="82" spans="1:4">
      <c r="A82">
        <f>'Mass Balance'!I82</f>
        <v>1.4528930740742238E-8</v>
      </c>
      <c r="B82">
        <f>'Mass Balance'!E82</f>
        <v>2.433214704756571E-5</v>
      </c>
      <c r="C82">
        <f>SUM('Mass Balance'!E82:H82)</f>
        <v>3.9978568825971557E-5</v>
      </c>
      <c r="D82">
        <f>Concentrations!F82/Concentrations!E82</f>
        <v>0.61101173560083721</v>
      </c>
    </row>
    <row r="83" spans="1:4">
      <c r="A83">
        <f>'Mass Balance'!I83</f>
        <v>9.079714853738749E-8</v>
      </c>
      <c r="B83">
        <f>'Mass Balance'!E83</f>
        <v>1.1692061183472308E-7</v>
      </c>
      <c r="C83">
        <f>SUM('Mass Balance'!E83:H83)</f>
        <v>3.9905135509369688E-5</v>
      </c>
      <c r="D83">
        <f>Concentrations!F83/Concentrations!E83</f>
        <v>2.9414309087652814E-3</v>
      </c>
    </row>
    <row r="84" spans="1:4">
      <c r="A84">
        <f>'Mass Balance'!I84</f>
        <v>4.9579271702449129E-8</v>
      </c>
      <c r="B84">
        <f>'Mass Balance'!E84</f>
        <v>1.1355956131205409E-5</v>
      </c>
      <c r="C84">
        <f>SUM('Mass Balance'!E84:H84)</f>
        <v>2.655693971382367E-5</v>
      </c>
      <c r="D84">
        <f>Concentrations!F84/Concentrations!E84</f>
        <v>0.42928136943734024</v>
      </c>
    </row>
    <row r="85" spans="1:4">
      <c r="A85">
        <f>'Mass Balance'!I85</f>
        <v>6.3317594260693806E-6</v>
      </c>
      <c r="B85">
        <f>'Mass Balance'!E85</f>
        <v>1.8863910702407802E-6</v>
      </c>
      <c r="C85">
        <f>SUM('Mass Balance'!E85:H85)</f>
        <v>3.3085008464952086E-5</v>
      </c>
      <c r="D85">
        <f>Concentrations!F85/Concentrations!E85</f>
        <v>5.7239633469175176E-2</v>
      </c>
    </row>
    <row r="86" spans="1:4">
      <c r="A86">
        <f>'Mass Balance'!I86</f>
        <v>4.9252954077338666E-7</v>
      </c>
      <c r="B86">
        <f>'Mass Balance'!E86</f>
        <v>1.4451242138369808E-8</v>
      </c>
      <c r="C86">
        <f>SUM('Mass Balance'!E86:H86)</f>
        <v>3.6794264587594524E-5</v>
      </c>
      <c r="D86">
        <f>Concentrations!F86/Concentrations!E86</f>
        <v>3.942951301225698E-4</v>
      </c>
    </row>
    <row r="87" spans="1:4">
      <c r="A87">
        <f>'Mass Balance'!I87</f>
        <v>5.63833176702576E-7</v>
      </c>
      <c r="B87">
        <f>'Mass Balance'!E87</f>
        <v>5.0342194641071322E-9</v>
      </c>
      <c r="C87">
        <f>SUM('Mass Balance'!E87:H87)</f>
        <v>3.7599489952659326E-5</v>
      </c>
      <c r="D87">
        <f>Concentrations!F87/Concentrations!E87</f>
        <v>1.3441463378141346E-4</v>
      </c>
    </row>
    <row r="88" spans="1:4">
      <c r="A88">
        <f>'Mass Balance'!I88</f>
        <v>6.1497186384544999E-7</v>
      </c>
      <c r="B88">
        <f>'Mass Balance'!E88</f>
        <v>1.4190862718774453E-9</v>
      </c>
      <c r="C88">
        <f>SUM('Mass Balance'!E88:H88)</f>
        <v>3.8282562822722798E-5</v>
      </c>
      <c r="D88">
        <f>Concentrations!F88/Concentrations!E88</f>
        <v>3.721381181810586E-5</v>
      </c>
    </row>
    <row r="89" spans="1:4">
      <c r="A89">
        <f>'Mass Balance'!I89</f>
        <v>2.2179910507972396E-5</v>
      </c>
      <c r="B89">
        <f>'Mass Balance'!E89</f>
        <v>4.1922258235142129E-8</v>
      </c>
      <c r="C89">
        <f>SUM('Mass Balance'!E89:H89)</f>
        <v>1.7294467512120421E-5</v>
      </c>
      <c r="D89">
        <f>Concentrations!F89/Concentrations!E89</f>
        <v>2.4335139283741219E-3</v>
      </c>
    </row>
    <row r="90" spans="1:4">
      <c r="A90">
        <f>'Mass Balance'!I90</f>
        <v>1.804366513430947E-8</v>
      </c>
      <c r="B90">
        <f>'Mass Balance'!E90</f>
        <v>3.8928514176679658E-5</v>
      </c>
      <c r="C90">
        <f>SUM('Mass Balance'!E90:H90)</f>
        <v>3.8977462397890081E-5</v>
      </c>
      <c r="D90">
        <f>Concentrations!F90/Concentrations!E90</f>
        <v>1.0026529338867345</v>
      </c>
    </row>
    <row r="91" spans="1:4">
      <c r="A91">
        <f>'Mass Balance'!I91</f>
        <v>2.2601273544764227E-8</v>
      </c>
      <c r="B91">
        <f>'Mass Balance'!E91</f>
        <v>2.8662946145005226E-5</v>
      </c>
      <c r="C91">
        <f>SUM('Mass Balance'!E91:H91)</f>
        <v>3.1481698644110831E-5</v>
      </c>
      <c r="D91">
        <f>Concentrations!F91/Concentrations!E91</f>
        <v>0.9140270164622144</v>
      </c>
    </row>
    <row r="92" spans="1:4">
      <c r="A92">
        <f>'Mass Balance'!I92</f>
        <v>6.6020405115495528E-8</v>
      </c>
      <c r="B92">
        <f>'Mass Balance'!E92</f>
        <v>5.0785901878385754E-6</v>
      </c>
      <c r="C92">
        <f>SUM('Mass Balance'!E92:H92)</f>
        <v>2.8421294526893316E-5</v>
      </c>
      <c r="D92">
        <f>Concentrations!F92/Concentrations!E92</f>
        <v>0.17938894525213359</v>
      </c>
    </row>
    <row r="93" spans="1:4">
      <c r="A93">
        <f>'Mass Balance'!I93</f>
        <v>1.8312972399501889E-8</v>
      </c>
      <c r="B93">
        <f>'Mass Balance'!E93</f>
        <v>3.9801038234599908E-5</v>
      </c>
      <c r="C93">
        <f>SUM('Mass Balance'!E93:H93)</f>
        <v>3.9975569717064319E-5</v>
      </c>
      <c r="D93">
        <f>Concentrations!F93/Concentrations!E93</f>
        <v>0.99953061655693265</v>
      </c>
    </row>
    <row r="94" spans="1:4">
      <c r="A94">
        <f>'Mass Balance'!I94</f>
        <v>1.8450203174914036E-8</v>
      </c>
      <c r="B94">
        <f>'Mass Balance'!E94</f>
        <v>3.9980715371774554E-5</v>
      </c>
      <c r="C94">
        <f>SUM('Mass Balance'!E94:H94)</f>
        <v>3.9981395025533262E-5</v>
      </c>
      <c r="D94">
        <f>Concentrations!F94/Concentrations!E94</f>
        <v>1.0038965912204805</v>
      </c>
    </row>
    <row r="95" spans="1:4">
      <c r="A95">
        <f>'Mass Balance'!I95</f>
        <v>1.8168190759473516E-8</v>
      </c>
      <c r="B95">
        <f>'Mass Balance'!E95</f>
        <v>3.7464708395835839E-5</v>
      </c>
      <c r="C95">
        <f>SUM('Mass Balance'!E95:H95)</f>
        <v>3.766598034852988E-5</v>
      </c>
      <c r="D95">
        <f>Concentrations!F95/Concentrations!E95</f>
        <v>0.99854914344707957</v>
      </c>
    </row>
    <row r="96" spans="1:4">
      <c r="A96">
        <f>'Mass Balance'!I96</f>
        <v>4.5882614996013466E-7</v>
      </c>
      <c r="B96">
        <f>'Mass Balance'!E96</f>
        <v>2.097051217779204E-8</v>
      </c>
      <c r="C96">
        <f>SUM('Mass Balance'!E96:H96)</f>
        <v>3.6468764527721855E-5</v>
      </c>
      <c r="D96">
        <f>Concentrations!F96/Concentrations!E96</f>
        <v>5.7727712584221204E-4</v>
      </c>
    </row>
    <row r="97" spans="1:4">
      <c r="A97">
        <f>'Mass Balance'!I97</f>
        <v>2.7697655518151574E-8</v>
      </c>
      <c r="B97">
        <f>'Mass Balance'!E97</f>
        <v>2.3995504384301466E-5</v>
      </c>
      <c r="C97">
        <f>SUM('Mass Balance'!E97:H97)</f>
        <v>2.9182242251821775E-5</v>
      </c>
      <c r="D97">
        <f>Concentrations!F97/Concentrations!E97</f>
        <v>0.8254819609178794</v>
      </c>
    </row>
    <row r="98" spans="1:4">
      <c r="A98">
        <f>'Mass Balance'!I98</f>
        <v>2.3356829748816212E-8</v>
      </c>
      <c r="B98">
        <f>'Mass Balance'!E98</f>
        <v>2.7870562025280227E-5</v>
      </c>
      <c r="C98">
        <f>SUM('Mass Balance'!E98:H98)</f>
        <v>3.1047382799932326E-5</v>
      </c>
      <c r="D98">
        <f>Concentrations!F98/Concentrations!E98</f>
        <v>0.90119151188221713</v>
      </c>
    </row>
    <row r="99" spans="1:4">
      <c r="A99">
        <f>'Mass Balance'!I99</f>
        <v>1.8648173223838228E-8</v>
      </c>
      <c r="B99">
        <f>'Mass Balance'!E99</f>
        <v>3.4524695516978521E-5</v>
      </c>
      <c r="C99">
        <f>SUM('Mass Balance'!E99:H99)</f>
        <v>3.5301419023042805E-5</v>
      </c>
      <c r="D99">
        <f>Concentrations!F99/Concentrations!E99</f>
        <v>0.98182493204176779</v>
      </c>
    </row>
    <row r="100" spans="1:4">
      <c r="A100">
        <f>'Mass Balance'!I100</f>
        <v>2.2209683772501377E-7</v>
      </c>
      <c r="B100">
        <f>'Mass Balance'!E100</f>
        <v>1.3517952408896346E-7</v>
      </c>
      <c r="C100">
        <f>SUM('Mass Balance'!E100:H100)</f>
        <v>3.5116454980214251E-5</v>
      </c>
      <c r="D100">
        <f>Concentrations!F100/Concentrations!E100</f>
        <v>3.8645293340741375E-3</v>
      </c>
    </row>
    <row r="101" spans="1:4">
      <c r="A101">
        <f>'Mass Balance'!I101</f>
        <v>6.0239885882422733E-8</v>
      </c>
      <c r="B101">
        <f>'Mass Balance'!E101</f>
        <v>7.0785792014020236E-6</v>
      </c>
      <c r="C101">
        <f>SUM('Mass Balance'!E101:H101)</f>
        <v>2.7434985681711526E-5</v>
      </c>
      <c r="D101">
        <f>Concentrations!F101/Concentrations!E101</f>
        <v>0.25902263682185783</v>
      </c>
    </row>
    <row r="102" spans="1:4">
      <c r="A102">
        <f>'Mass Balance'!I102</f>
        <v>7.8079200109269875E-8</v>
      </c>
      <c r="B102">
        <f>'Mass Balance'!E102</f>
        <v>1.5579693407071547E-6</v>
      </c>
      <c r="C102">
        <f>SUM('Mass Balance'!E102:H102)</f>
        <v>3.2307828926239119E-5</v>
      </c>
      <c r="D102">
        <f>Concentrations!F102/Concentrations!E102</f>
        <v>4.8411383565722318E-2</v>
      </c>
    </row>
    <row r="103" spans="1:4">
      <c r="A103">
        <f>'Mass Balance'!I103</f>
        <v>1.742244939986197E-8</v>
      </c>
      <c r="B103">
        <f>'Mass Balance'!E103</f>
        <v>3.5776752083378089E-5</v>
      </c>
      <c r="C103">
        <f>SUM('Mass Balance'!E103:H103)</f>
        <v>3.9977867665368543E-5</v>
      </c>
      <c r="D103">
        <f>Concentrations!F103/Concentrations!E103</f>
        <v>0.89841635177396062</v>
      </c>
    </row>
    <row r="104" spans="1:4">
      <c r="A104">
        <f>'Mass Balance'!I104</f>
        <v>9.9658426468336271E-9</v>
      </c>
      <c r="B104">
        <f>'Mass Balance'!E104</f>
        <v>4.4421640086538144E-7</v>
      </c>
      <c r="C104">
        <f>SUM('Mass Balance'!E104:H104)</f>
        <v>3.9962293647155902E-5</v>
      </c>
      <c r="D104">
        <f>Concentrations!F104/Concentrations!E104</f>
        <v>1.1159392286885955E-2</v>
      </c>
    </row>
    <row r="105" spans="1:4">
      <c r="A105">
        <f>'Mass Balance'!I105</f>
        <v>1.7991250746218304E-8</v>
      </c>
      <c r="B105">
        <f>'Mass Balance'!E105</f>
        <v>3.8723846525366157E-5</v>
      </c>
      <c r="C105">
        <f>SUM('Mass Balance'!E105:H105)</f>
        <v>3.8778336478311719E-5</v>
      </c>
      <c r="D105">
        <f>Concentrations!F105/Concentrations!E105</f>
        <v>1.0025029928797253</v>
      </c>
    </row>
    <row r="106" spans="1:4">
      <c r="A106">
        <f>'Mass Balance'!I106</f>
        <v>1.8144753828755507E-8</v>
      </c>
      <c r="B106">
        <f>'Mass Balance'!E106</f>
        <v>3.7339999553275167E-5</v>
      </c>
      <c r="C106">
        <f>SUM('Mass Balance'!E106:H106)</f>
        <v>3.7557896352116533E-5</v>
      </c>
      <c r="D106">
        <f>Concentrations!F106/Concentrations!E106</f>
        <v>0.99808932727434752</v>
      </c>
    </row>
    <row r="107" spans="1:4">
      <c r="A107">
        <f>'Mass Balance'!I107</f>
        <v>1.4376941758065408E-7</v>
      </c>
      <c r="B107">
        <f>'Mass Balance'!E107</f>
        <v>8.3768051161258775E-7</v>
      </c>
      <c r="C107">
        <f>SUM('Mass Balance'!E107:H107)</f>
        <v>3.4357557452802191E-5</v>
      </c>
      <c r="D107">
        <f>Concentrations!F107/Concentrations!E107</f>
        <v>2.4476679023712526E-2</v>
      </c>
    </row>
    <row r="108" spans="1:4">
      <c r="A108">
        <f>'Mass Balance'!I108</f>
        <v>1.8396934219031892E-8</v>
      </c>
      <c r="B108">
        <f>'Mass Balance'!E108</f>
        <v>3.9979018638474124E-5</v>
      </c>
      <c r="C108">
        <f>SUM('Mass Balance'!E108:H108)</f>
        <v>3.9979380384016817E-5</v>
      </c>
      <c r="D108">
        <f>Concentrations!F108/Concentrations!E108</f>
        <v>1.003904573285616</v>
      </c>
    </row>
    <row r="109" spans="1:4">
      <c r="A109">
        <f>'Mass Balance'!I109</f>
        <v>1.9824630650760822E-7</v>
      </c>
      <c r="B109">
        <f>'Mass Balance'!E109</f>
        <v>3.6664337400216727E-5</v>
      </c>
      <c r="C109">
        <f>SUM('Mass Balance'!E109:H109)</f>
        <v>3.9076027681197656E-5</v>
      </c>
      <c r="D109">
        <f>Concentrations!F109/Concentrations!E109</f>
        <v>0.94195421656590017</v>
      </c>
    </row>
    <row r="110" spans="1:4">
      <c r="A110">
        <f>'Mass Balance'!I110</f>
        <v>1.8249854863934197E-8</v>
      </c>
      <c r="B110">
        <f>'Mass Balance'!E110</f>
        <v>3.9720879637392459E-5</v>
      </c>
      <c r="C110">
        <f>SUM('Mass Balance'!E110:H110)</f>
        <v>3.9731589153613119E-5</v>
      </c>
      <c r="D110">
        <f>Concentrations!F110/Concentrations!E110</f>
        <v>1.0036430554508318</v>
      </c>
    </row>
    <row r="111" spans="1:4">
      <c r="A111">
        <f>'Mass Balance'!I111</f>
        <v>1.8342255560578801E-8</v>
      </c>
      <c r="B111">
        <f>'Mass Balance'!E111</f>
        <v>3.9980793648749164E-5</v>
      </c>
      <c r="C111">
        <f>SUM('Mass Balance'!E111:H111)</f>
        <v>3.9981433047289199E-5</v>
      </c>
      <c r="D111">
        <f>Concentrations!F111/Concentrations!E111</f>
        <v>1.0038976020249863</v>
      </c>
    </row>
    <row r="112" spans="1:4">
      <c r="A112">
        <f>'Mass Balance'!I112</f>
        <v>1.8212858488824798E-8</v>
      </c>
      <c r="B112">
        <f>'Mass Balance'!E112</f>
        <v>3.9653153997908184E-5</v>
      </c>
      <c r="C112">
        <f>SUM('Mass Balance'!E112:H112)</f>
        <v>3.9657703211327469E-5</v>
      </c>
      <c r="D112">
        <f>Concentrations!F112/Concentrations!E112</f>
        <v>1.0037984960831403</v>
      </c>
    </row>
    <row r="113" spans="1:4">
      <c r="A113">
        <f>'Mass Balance'!I113</f>
        <v>1.7932556137383496E-8</v>
      </c>
      <c r="B113">
        <f>'Mass Balance'!E113</f>
        <v>3.8043892937426408E-5</v>
      </c>
      <c r="C113">
        <f>SUM('Mass Balance'!E113:H113)</f>
        <v>3.816406384472204E-5</v>
      </c>
      <c r="D113">
        <f>Concentrations!F113/Concentrations!E113</f>
        <v>1.0007525362272784</v>
      </c>
    </row>
    <row r="114" spans="1:4">
      <c r="A114">
        <f>'Mass Balance'!I114</f>
        <v>1.8271303640901143E-8</v>
      </c>
      <c r="B114">
        <f>'Mass Balance'!E114</f>
        <v>3.9812335691388028E-5</v>
      </c>
      <c r="C114">
        <f>SUM('Mass Balance'!E114:H114)</f>
        <v>3.9813693419499039E-5</v>
      </c>
      <c r="D114">
        <f>Concentrations!F114/Concentrations!E114</f>
        <v>1.0038794214981379</v>
      </c>
    </row>
    <row r="115" spans="1:4">
      <c r="A115">
        <f>'Mass Balance'!I115</f>
        <v>1.8126876609888264E-8</v>
      </c>
      <c r="B115">
        <f>'Mass Balance'!E115</f>
        <v>3.8881436146274067E-5</v>
      </c>
      <c r="C115">
        <f>SUM('Mass Balance'!E115:H115)</f>
        <v>3.9979167045059342E-5</v>
      </c>
      <c r="D115">
        <f>Concentrations!F115/Concentrations!E115</f>
        <v>0.97634862444837545</v>
      </c>
    </row>
    <row r="116" spans="1:4">
      <c r="A116">
        <f>'Mass Balance'!I116</f>
        <v>1.9609236398460415E-6</v>
      </c>
      <c r="B116">
        <f>'Mass Balance'!E116</f>
        <v>5.1250659947821955E-6</v>
      </c>
      <c r="C116">
        <f>SUM('Mass Balance'!E116:H116)</f>
        <v>3.7304427019282605E-5</v>
      </c>
      <c r="D116">
        <f>Concentrations!F116/Concentrations!E116</f>
        <v>0.13792260480320312</v>
      </c>
    </row>
    <row r="117" spans="1:4">
      <c r="A117">
        <f>'Mass Balance'!I117</f>
        <v>3.5089143413320427E-8</v>
      </c>
      <c r="B117">
        <f>'Mass Balance'!E117</f>
        <v>1.8876020169485128E-5</v>
      </c>
      <c r="C117">
        <f>SUM('Mass Balance'!E117:H117)</f>
        <v>2.7417902322610017E-5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0.97270089698343287</v>
      </c>
      <c r="M2" s="115">
        <v>0.92046731784692248</v>
      </c>
      <c r="N2" s="115">
        <v>1.1398180495350065</v>
      </c>
      <c r="O2" s="115">
        <v>0.81331661524095133</v>
      </c>
      <c r="P2" s="115">
        <v>0.94131949264632875</v>
      </c>
      <c r="Q2" s="111">
        <v>0.81331661524095133</v>
      </c>
      <c r="R2" s="68">
        <v>0.94131949264632886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0.73791057583192643</v>
      </c>
      <c r="M3" s="115">
        <v>2.9892394395496669</v>
      </c>
      <c r="N3" s="115">
        <v>242.08611743775543</v>
      </c>
      <c r="O3" s="115">
        <v>2.398353769510968</v>
      </c>
      <c r="P3" s="115">
        <v>2.2221300157446957</v>
      </c>
      <c r="Q3" s="111">
        <v>2.3983537695109685</v>
      </c>
      <c r="R3" s="68">
        <v>2.2221300157446957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1.0999481651664327</v>
      </c>
      <c r="M4" s="115">
        <v>1.0469462094997022</v>
      </c>
      <c r="N4" s="115">
        <v>3.0589135665759599</v>
      </c>
      <c r="O4" s="115">
        <v>0.82777345861427853</v>
      </c>
      <c r="P4" s="115">
        <v>0.96213910578121953</v>
      </c>
      <c r="Q4" s="111">
        <v>0.82777345861427853</v>
      </c>
      <c r="R4" s="68">
        <v>0.96213910578121964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0.55151570499886027</v>
      </c>
      <c r="M5" s="115">
        <v>0.7078959968099926</v>
      </c>
      <c r="N5" s="115">
        <v>45.000718149503825</v>
      </c>
      <c r="O5" s="115">
        <v>2.6264234191413331</v>
      </c>
      <c r="P5" s="115">
        <v>4.2937648987083286</v>
      </c>
      <c r="Q5" s="111">
        <v>2.6264234191413336</v>
      </c>
      <c r="R5" s="68">
        <v>4.2937648987083286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0.32891344599157146</v>
      </c>
      <c r="M6" s="115">
        <v>0.58249007740037917</v>
      </c>
      <c r="N6" s="115">
        <v>63.975367429223297</v>
      </c>
      <c r="O6" s="115">
        <v>3.507401097000292</v>
      </c>
      <c r="P6" s="115">
        <v>5.9342827773015472</v>
      </c>
      <c r="Q6" s="111">
        <v>3.507401097000292</v>
      </c>
      <c r="R6" s="68">
        <v>5.9342827773015481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0.11040511796058237</v>
      </c>
      <c r="M7" s="115">
        <v>0.48393537429115424</v>
      </c>
      <c r="N7" s="115">
        <v>84.373620981804223</v>
      </c>
      <c r="O7" s="115">
        <v>4.3660279599361793</v>
      </c>
      <c r="P7" s="115">
        <v>7.493158735467115</v>
      </c>
      <c r="Q7" s="111">
        <v>4.3660279599361793</v>
      </c>
      <c r="R7" s="68">
        <v>7.4931587354671159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0.23420130698236918</v>
      </c>
      <c r="M8" s="115">
        <v>0.520851266055393</v>
      </c>
      <c r="N8" s="115">
        <v>70.29268538738684</v>
      </c>
      <c r="O8" s="115">
        <v>3.8760734712448404</v>
      </c>
      <c r="P8" s="115">
        <v>6.6306381438093016</v>
      </c>
      <c r="Q8" s="111">
        <v>3.8760734712448408</v>
      </c>
      <c r="R8" s="68">
        <v>6.6306381438093016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0.61724606810602833</v>
      </c>
      <c r="M9" s="115">
        <v>0.74737008630309154</v>
      </c>
      <c r="N9" s="115">
        <v>39.535230639951209</v>
      </c>
      <c r="O9" s="115">
        <v>2.3629019402923812</v>
      </c>
      <c r="P9" s="115">
        <v>3.7990339201991077</v>
      </c>
      <c r="Q9" s="111">
        <v>2.3629019402923812</v>
      </c>
      <c r="R9" s="68">
        <v>3.7990339201991081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1.059028346685521E-2</v>
      </c>
      <c r="M10" s="115">
        <v>4.2584005811619035</v>
      </c>
      <c r="N10" s="115">
        <v>687.43174774931731</v>
      </c>
      <c r="O10" s="115">
        <v>7.4484623588882393</v>
      </c>
      <c r="P10" s="115">
        <v>7.5984683239414643</v>
      </c>
      <c r="Q10" s="111">
        <v>7.4484623588882402</v>
      </c>
      <c r="R10" s="68">
        <v>7.5984683239414643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6.3160621356623224E-4</v>
      </c>
      <c r="M11" s="115">
        <v>27.052889881201189</v>
      </c>
      <c r="N11" s="115">
        <v>5324.3279674487649</v>
      </c>
      <c r="O11" s="115">
        <v>21.613311035460825</v>
      </c>
      <c r="P11" s="115">
        <v>9.920965953637074</v>
      </c>
      <c r="Q11" s="111">
        <v>21.613311035460825</v>
      </c>
      <c r="R11" s="68">
        <v>9.9209659536370758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0.91793762188853179</v>
      </c>
      <c r="M12" s="115">
        <v>0.86232525214189593</v>
      </c>
      <c r="N12" s="115">
        <v>6.1582386195066931E-2</v>
      </c>
      <c r="O12" s="115">
        <v>0.75870685465508569</v>
      </c>
      <c r="P12" s="115">
        <v>0.88164419148217621</v>
      </c>
      <c r="Q12" s="111">
        <v>0.75870685465508569</v>
      </c>
      <c r="R12" s="68">
        <v>0.88164419148217621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0.532515227295416</v>
      </c>
      <c r="M13" s="115">
        <v>1.6238240098619652</v>
      </c>
      <c r="N13" s="115">
        <v>180.41484468975938</v>
      </c>
      <c r="O13" s="115">
        <v>2.1678329710589885</v>
      </c>
      <c r="P13" s="115">
        <v>2.0491391692575638</v>
      </c>
      <c r="Q13" s="111">
        <v>2.1678329710589885</v>
      </c>
      <c r="R13" s="68">
        <v>2.0491391692575638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9.1087792350869421E-3</v>
      </c>
      <c r="M14" s="115">
        <v>0.75079938738753893</v>
      </c>
      <c r="N14" s="115">
        <v>167.87951970902381</v>
      </c>
      <c r="O14" s="115">
        <v>4.9649246763808614</v>
      </c>
      <c r="P14" s="115">
        <v>8.318020782418694</v>
      </c>
      <c r="Q14" s="111">
        <v>4.9649246763808623</v>
      </c>
      <c r="R14" s="68">
        <v>8.3180207824186958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0.76361816622828271</v>
      </c>
      <c r="M15" s="115">
        <v>0.89700823412128428</v>
      </c>
      <c r="N15" s="115">
        <v>29.065331357493797</v>
      </c>
      <c r="O15" s="115">
        <v>0.89516603101347136</v>
      </c>
      <c r="P15" s="115">
        <v>0.95325114299759739</v>
      </c>
      <c r="Q15" s="111">
        <v>0.89516603101347147</v>
      </c>
      <c r="R15" s="68">
        <v>0.95325114299759739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0.49722271935148621</v>
      </c>
      <c r="M16" s="115">
        <v>1.7314266100892701</v>
      </c>
      <c r="N16" s="115">
        <v>202.92451906161659</v>
      </c>
      <c r="O16" s="115">
        <v>2.3632496947944932</v>
      </c>
      <c r="P16" s="115">
        <v>2.2248062258339285</v>
      </c>
      <c r="Q16" s="111">
        <v>2.3632496947944936</v>
      </c>
      <c r="R16" s="68">
        <v>2.2248062258339285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0.51844776057967412</v>
      </c>
      <c r="M17" s="115">
        <v>1.660215732223135</v>
      </c>
      <c r="N17" s="115">
        <v>188.3464842677817</v>
      </c>
      <c r="O17" s="115">
        <v>2.2353006415052143</v>
      </c>
      <c r="P17" s="115">
        <v>2.109382542007149</v>
      </c>
      <c r="Q17" s="111">
        <v>2.2353006415052143</v>
      </c>
      <c r="R17" s="68">
        <v>2.109382542007149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6.7459337886448744E-4</v>
      </c>
      <c r="M18" s="115">
        <v>22.228199813879282</v>
      </c>
      <c r="N18" s="115">
        <v>3642.7318615478102</v>
      </c>
      <c r="O18" s="115">
        <v>21.969581052210398</v>
      </c>
      <c r="P18" s="115">
        <v>9.4107043758149729</v>
      </c>
      <c r="Q18" s="111">
        <v>21.969581052210398</v>
      </c>
      <c r="R18" s="68">
        <v>9.4107043758149747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0.90184947092067591</v>
      </c>
      <c r="M19" s="115">
        <v>0.91005235318407196</v>
      </c>
      <c r="N19" s="115">
        <v>10.2048867599974</v>
      </c>
      <c r="O19" s="115">
        <v>0.83563826065967994</v>
      </c>
      <c r="P19" s="115">
        <v>0.93864675486739757</v>
      </c>
      <c r="Q19" s="111">
        <v>0.83563826065968005</v>
      </c>
      <c r="R19" s="68">
        <v>0.93864675486739768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0.86173931181414931</v>
      </c>
      <c r="M20" s="115">
        <v>0.91738010682401816</v>
      </c>
      <c r="N20" s="115">
        <v>17.478233172720724</v>
      </c>
      <c r="O20" s="115">
        <v>0.86880966704354889</v>
      </c>
      <c r="P20" s="115">
        <v>0.95556869000627254</v>
      </c>
      <c r="Q20" s="111">
        <v>0.86880966704354901</v>
      </c>
      <c r="R20" s="68">
        <v>0.95556869000627254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0.10860264415703395</v>
      </c>
      <c r="M21" s="115">
        <v>1.3594438749964017</v>
      </c>
      <c r="N21" s="115">
        <v>219.08761679131894</v>
      </c>
      <c r="O21" s="115">
        <v>4.6603648638873212</v>
      </c>
      <c r="P21" s="115">
        <v>6.8485157407488</v>
      </c>
      <c r="Q21" s="111">
        <v>4.6603648638873212</v>
      </c>
      <c r="R21" s="68">
        <v>6.8485157407488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0.90076348693469344</v>
      </c>
      <c r="M22" s="115">
        <v>0.85732519494414816</v>
      </c>
      <c r="N22" s="115">
        <v>1.8503005943042776</v>
      </c>
      <c r="O22" s="115">
        <v>0.76010054738368804</v>
      </c>
      <c r="P22" s="115">
        <v>0.87709933523103256</v>
      </c>
      <c r="Q22" s="111">
        <v>0.76010054738368815</v>
      </c>
      <c r="R22" s="68">
        <v>0.87709933523103256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0.72595760061208503</v>
      </c>
      <c r="M23" s="115">
        <v>0.98111005586649391</v>
      </c>
      <c r="N23" s="115">
        <v>48.312371861512482</v>
      </c>
      <c r="O23" s="115">
        <v>1.0445571632194048</v>
      </c>
      <c r="P23" s="115">
        <v>1.0737568185234059</v>
      </c>
      <c r="Q23" s="111">
        <v>1.0445571632194048</v>
      </c>
      <c r="R23" s="68">
        <v>1.0737568185234059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0.38582475948950284</v>
      </c>
      <c r="M24" s="115">
        <v>2.12012096733344</v>
      </c>
      <c r="N24" s="115">
        <v>281.86654835840176</v>
      </c>
      <c r="O24" s="115">
        <v>3.0700734607374671</v>
      </c>
      <c r="P24" s="115">
        <v>2.8754052250825066</v>
      </c>
      <c r="Q24" s="111">
        <v>3.0700734607374671</v>
      </c>
      <c r="R24" s="68">
        <v>2.8754052250825071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9.3912160511876099E-4</v>
      </c>
      <c r="M25" s="115">
        <v>20.335142257442971</v>
      </c>
      <c r="N25" s="115">
        <v>3328.4448414876911</v>
      </c>
      <c r="O25" s="115">
        <v>20.431345637464666</v>
      </c>
      <c r="P25" s="115">
        <v>9.1747851429051419</v>
      </c>
      <c r="Q25" s="111">
        <v>20.431345637464666</v>
      </c>
      <c r="R25" s="68">
        <v>9.1747851429051419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0.13930461392697027</v>
      </c>
      <c r="M26" s="115">
        <v>2.7634493907975228</v>
      </c>
      <c r="N26" s="115">
        <v>422.61101099814937</v>
      </c>
      <c r="O26" s="115">
        <v>4.3881197000013294</v>
      </c>
      <c r="P26" s="115">
        <v>4.1858688060796903</v>
      </c>
      <c r="Q26" s="111">
        <v>4.3881197000013303</v>
      </c>
      <c r="R26" s="68">
        <v>4.1858688060796903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1.6494368026002924E-2</v>
      </c>
      <c r="M27" s="115">
        <v>1.5737899796944386</v>
      </c>
      <c r="N27" s="115">
        <v>251.11496315095204</v>
      </c>
      <c r="O27" s="115">
        <v>2.6607443511885789</v>
      </c>
      <c r="P27" s="115">
        <v>2.6406116352802185</v>
      </c>
      <c r="Q27" s="111">
        <v>2.6607443511885793</v>
      </c>
      <c r="R27" s="68">
        <v>2.6406116352802185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2.9787378520327461E-2</v>
      </c>
      <c r="M28" s="115">
        <v>0.79028046919625994</v>
      </c>
      <c r="N28" s="115">
        <v>122.44544202993303</v>
      </c>
      <c r="O28" s="115">
        <v>1.2721655779134915</v>
      </c>
      <c r="P28" s="115">
        <v>1.2217699082454965</v>
      </c>
      <c r="Q28" s="111">
        <v>1.2721655779134917</v>
      </c>
      <c r="R28" s="68">
        <v>1.2217699082454967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5.9215315395521578E-2</v>
      </c>
      <c r="M29" s="115">
        <v>6.499152963917007E-2</v>
      </c>
      <c r="N29" s="115">
        <v>1.5165389014953639</v>
      </c>
      <c r="O29" s="115">
        <v>6.2597254654234893E-2</v>
      </c>
      <c r="P29" s="115">
        <v>6.8107270641407092E-2</v>
      </c>
      <c r="Q29" s="111">
        <v>6.2597254654234893E-2</v>
      </c>
      <c r="R29" s="68">
        <v>6.8107270641407092E-2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1.2253196181110051E-2</v>
      </c>
      <c r="M30" s="115">
        <v>0.30389582741083659</v>
      </c>
      <c r="N30" s="115">
        <v>46.958038383346789</v>
      </c>
      <c r="O30" s="115">
        <v>0.4877159141979272</v>
      </c>
      <c r="P30" s="115">
        <v>0.46764303180225814</v>
      </c>
      <c r="Q30" s="111">
        <v>0.4877159141979272</v>
      </c>
      <c r="R30" s="68">
        <v>0.46764303180225814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4.5741933360472135E-4</v>
      </c>
      <c r="M31" s="115">
        <v>5.4852359254351814E-3</v>
      </c>
      <c r="N31" s="115">
        <v>0.81091775618011497</v>
      </c>
      <c r="O31" s="115">
        <v>8.4682223523020878E-3</v>
      </c>
      <c r="P31" s="115">
        <v>7.9955735631894505E-3</v>
      </c>
      <c r="Q31" s="111">
        <v>8.4682223523020878E-3</v>
      </c>
      <c r="R31" s="68">
        <v>7.9955735631894505E-3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0.56968094859873386</v>
      </c>
      <c r="M32" s="115">
        <v>1.5095432451879933</v>
      </c>
      <c r="N32" s="115">
        <v>156.55291849274073</v>
      </c>
      <c r="O32" s="115">
        <v>1.9622371916523365</v>
      </c>
      <c r="P32" s="115">
        <v>1.8661943900171378</v>
      </c>
      <c r="Q32" s="111">
        <v>1.9622371916523365</v>
      </c>
      <c r="R32" s="68">
        <v>1.8661943900171378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0.7158936684911652</v>
      </c>
      <c r="M33" s="115">
        <v>1.1654602924785125</v>
      </c>
      <c r="N33" s="115">
        <v>79.464131717795553</v>
      </c>
      <c r="O33" s="115">
        <v>1.331899716172849</v>
      </c>
      <c r="P33" s="115">
        <v>1.3244225685140933</v>
      </c>
      <c r="Q33" s="111">
        <v>1.331899716172849</v>
      </c>
      <c r="R33" s="68">
        <v>1.3244225685140933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0.17788481642809525</v>
      </c>
      <c r="M34" s="115">
        <v>3.0897951857591597</v>
      </c>
      <c r="N34" s="115">
        <v>469.06683140654684</v>
      </c>
      <c r="O34" s="115">
        <v>4.8731114363563037</v>
      </c>
      <c r="P34" s="115">
        <v>4.6349533073408802</v>
      </c>
      <c r="Q34" s="111">
        <v>4.8731114363563037</v>
      </c>
      <c r="R34" s="68">
        <v>4.6349533073408802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2.1238322357995578E-2</v>
      </c>
      <c r="M35" s="115">
        <v>4.0592642876942584</v>
      </c>
      <c r="N35" s="115">
        <v>652.19456679766017</v>
      </c>
      <c r="O35" s="115">
        <v>7.0251714628815174</v>
      </c>
      <c r="P35" s="115">
        <v>7.1019267319056398</v>
      </c>
      <c r="Q35" s="111">
        <v>7.0251714628815174</v>
      </c>
      <c r="R35" s="68">
        <v>7.1019267319056407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4.7393338312667361E-3</v>
      </c>
      <c r="M36" s="115">
        <v>9.0767105822400698</v>
      </c>
      <c r="N36" s="115">
        <v>1474.6353381853419</v>
      </c>
      <c r="O36" s="115">
        <v>11.309752321396079</v>
      </c>
      <c r="P36" s="115">
        <v>7.969686760260517</v>
      </c>
      <c r="Q36" s="111">
        <v>11.309752321396079</v>
      </c>
      <c r="R36" s="68">
        <v>7.9696867602605179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7.3874245361747976E-4</v>
      </c>
      <c r="M37" s="115">
        <v>21.662358318921882</v>
      </c>
      <c r="N37" s="115">
        <v>3548.8053475063803</v>
      </c>
      <c r="O37" s="115">
        <v>21.500314295951181</v>
      </c>
      <c r="P37" s="115">
        <v>9.3231092271210532</v>
      </c>
      <c r="Q37" s="111">
        <v>21.500314295951181</v>
      </c>
      <c r="R37" s="68">
        <v>9.3231092271210532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2.6207621639407603E-3</v>
      </c>
      <c r="M38" s="115">
        <v>13.364563321739915</v>
      </c>
      <c r="N38" s="115">
        <v>2178.1007219564658</v>
      </c>
      <c r="O38" s="115">
        <v>14.775533576388376</v>
      </c>
      <c r="P38" s="115">
        <v>8.3879671314255173</v>
      </c>
      <c r="Q38" s="111">
        <v>14.775533576388376</v>
      </c>
      <c r="R38" s="68">
        <v>8.3879671314255173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3.9245644402542568E-3</v>
      </c>
      <c r="M39" s="115">
        <v>9.9427527917723282</v>
      </c>
      <c r="N39" s="115">
        <v>1616.8430106162857</v>
      </c>
      <c r="O39" s="115">
        <v>11.900900739256029</v>
      </c>
      <c r="P39" s="115">
        <v>7.8572186816857164</v>
      </c>
      <c r="Q39" s="111">
        <v>11.900900739256031</v>
      </c>
      <c r="R39" s="68">
        <v>7.8572186816857172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2.6207621639407603E-3</v>
      </c>
      <c r="M40" s="115">
        <v>13.364563321739915</v>
      </c>
      <c r="N40" s="115">
        <v>2178.1007219564658</v>
      </c>
      <c r="O40" s="115">
        <v>14.775533576388376</v>
      </c>
      <c r="P40" s="115">
        <v>8.3879671314255173</v>
      </c>
      <c r="Q40" s="111">
        <v>14.775533576388376</v>
      </c>
      <c r="R40" s="68">
        <v>8.3879671314255173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0.95197802806438148</v>
      </c>
      <c r="M41" s="115">
        <v>0.91687510341381795</v>
      </c>
      <c r="N41" s="115">
        <v>5.4753413767464698</v>
      </c>
      <c r="O41" s="115">
        <v>1.0086217848085766</v>
      </c>
      <c r="P41" s="115">
        <v>1.2952471224283184</v>
      </c>
      <c r="Q41" s="111">
        <v>1.0086217848085766</v>
      </c>
      <c r="R41" s="68">
        <v>1.2952471224283184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6.7216804816984182E-4</v>
      </c>
      <c r="M42" s="115">
        <v>22.148283916415146</v>
      </c>
      <c r="N42" s="115">
        <v>3629.6353360363287</v>
      </c>
      <c r="O42" s="115">
        <v>21.890594953408002</v>
      </c>
      <c r="P42" s="115">
        <v>9.3768705569605419</v>
      </c>
      <c r="Q42" s="111">
        <v>21.890594953408005</v>
      </c>
      <c r="R42" s="68">
        <v>9.3768705569605419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0.36046252784448723</v>
      </c>
      <c r="M43" s="115">
        <v>2.2274115450328584</v>
      </c>
      <c r="N43" s="115">
        <v>302.86988987213283</v>
      </c>
      <c r="O43" s="115">
        <v>3.2643406313641377</v>
      </c>
      <c r="P43" s="115">
        <v>3.0580243203090189</v>
      </c>
      <c r="Q43" s="111">
        <v>3.2643406313641381</v>
      </c>
      <c r="R43" s="68">
        <v>3.0580243203090189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7.0898427705424769E-3</v>
      </c>
      <c r="M44" s="115">
        <v>6.4407745280669682</v>
      </c>
      <c r="N44" s="115">
        <v>1043.5559324304545</v>
      </c>
      <c r="O44" s="115">
        <v>9.1917438122131117</v>
      </c>
      <c r="P44" s="115">
        <v>7.750548673632041</v>
      </c>
      <c r="Q44" s="111">
        <v>9.1917438122131134</v>
      </c>
      <c r="R44" s="68">
        <v>7.750548673632041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3.0271496151849264E-4</v>
      </c>
      <c r="M45" s="115">
        <v>25.955643546451359</v>
      </c>
      <c r="N45" s="115">
        <v>4265.2696160013884</v>
      </c>
      <c r="O45" s="115">
        <v>24.992744402083169</v>
      </c>
      <c r="P45" s="115">
        <v>9.9003703948908868</v>
      </c>
      <c r="Q45" s="111">
        <v>24.992744402083169</v>
      </c>
      <c r="R45" s="68">
        <v>9.9003703948908868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6.0229318929929407E-4</v>
      </c>
      <c r="M46" s="115">
        <v>22.827060916950582</v>
      </c>
      <c r="N46" s="115">
        <v>3742.3835981909624</v>
      </c>
      <c r="O46" s="115">
        <v>22.45574583827538</v>
      </c>
      <c r="P46" s="115">
        <v>9.4867046371324051</v>
      </c>
      <c r="Q46" s="111">
        <v>22.455745838275384</v>
      </c>
      <c r="R46" s="68">
        <v>9.4867046371324051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1.3339562217461604E-3</v>
      </c>
      <c r="M47" s="115">
        <v>18.116584729848181</v>
      </c>
      <c r="N47" s="115">
        <v>2961.264813374557</v>
      </c>
      <c r="O47" s="115">
        <v>18.62969637012565</v>
      </c>
      <c r="P47" s="115">
        <v>8.9112784438547319</v>
      </c>
      <c r="Q47" s="111">
        <v>18.629696370125654</v>
      </c>
      <c r="R47" s="68">
        <v>8.9112784438547319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6.0782311286147146E-2</v>
      </c>
      <c r="M48" s="115">
        <v>3.8308132601211216</v>
      </c>
      <c r="N48" s="115">
        <v>607.44334917321862</v>
      </c>
      <c r="O48" s="115">
        <v>6.3825146034811242</v>
      </c>
      <c r="P48" s="115">
        <v>6.265387396194142</v>
      </c>
      <c r="Q48" s="111">
        <v>6.3825146034811242</v>
      </c>
      <c r="R48" s="68">
        <v>6.265387396194142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6.5940112110753181E-3</v>
      </c>
      <c r="M49" s="115">
        <v>6.8892113949051019</v>
      </c>
      <c r="N49" s="115">
        <v>1116.8181611615889</v>
      </c>
      <c r="O49" s="115">
        <v>9.5518778732506338</v>
      </c>
      <c r="P49" s="115">
        <v>7.7865698342168486</v>
      </c>
      <c r="Q49" s="111">
        <v>9.5518778732506338</v>
      </c>
      <c r="R49" s="68">
        <v>7.7865698342168486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5.8253706315006563E-3</v>
      </c>
      <c r="M50" s="115">
        <v>7.6834720142883279</v>
      </c>
      <c r="N50" s="115">
        <v>1246.654808480424</v>
      </c>
      <c r="O50" s="115">
        <v>10.189480690394088</v>
      </c>
      <c r="P50" s="115">
        <v>7.850859092337382</v>
      </c>
      <c r="Q50" s="111">
        <v>10.189480690394088</v>
      </c>
      <c r="R50" s="68">
        <v>7.850859092337382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3.9022369469921291E-2</v>
      </c>
      <c r="M51" s="115">
        <v>3.9904589044436194</v>
      </c>
      <c r="N51" s="115">
        <v>637.26589768319218</v>
      </c>
      <c r="O51" s="115">
        <v>6.7625958623502003</v>
      </c>
      <c r="P51" s="115">
        <v>6.7237661354574092</v>
      </c>
      <c r="Q51" s="111">
        <v>6.7625958623502003</v>
      </c>
      <c r="R51" s="68">
        <v>6.7237661354574092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5.8318150229227574E-2</v>
      </c>
      <c r="M52" s="115">
        <v>3.8484014100753354</v>
      </c>
      <c r="N52" s="115">
        <v>610.72140122596761</v>
      </c>
      <c r="O52" s="115">
        <v>6.4224792650620453</v>
      </c>
      <c r="P52" s="115">
        <v>6.3122118230950779</v>
      </c>
      <c r="Q52" s="111">
        <v>6.4224792650620461</v>
      </c>
      <c r="R52" s="68">
        <v>6.3122118230950788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3.8710989289720992E-3</v>
      </c>
      <c r="M53" s="115">
        <v>10.517866947366379</v>
      </c>
      <c r="N53" s="115">
        <v>1710.7556365828179</v>
      </c>
      <c r="O53" s="115">
        <v>12.473560015055636</v>
      </c>
      <c r="P53" s="115">
        <v>8.105048549394029</v>
      </c>
      <c r="Q53" s="111">
        <v>12.473560015055638</v>
      </c>
      <c r="R53" s="68">
        <v>8.105048549394029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6.2008462040449141E-3</v>
      </c>
      <c r="M54" s="115">
        <v>7.2790621383882943</v>
      </c>
      <c r="N54" s="115">
        <v>1180.5343216797287</v>
      </c>
      <c r="O54" s="115">
        <v>9.8648595293668446</v>
      </c>
      <c r="P54" s="115">
        <v>7.8180194602741073</v>
      </c>
      <c r="Q54" s="111">
        <v>9.8648595293668464</v>
      </c>
      <c r="R54" s="68">
        <v>7.8180194602741073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1.3798310648028918E-3</v>
      </c>
      <c r="M55" s="115">
        <v>17.885538826910107</v>
      </c>
      <c r="N55" s="115">
        <v>2923.0968913225684</v>
      </c>
      <c r="O55" s="115">
        <v>18.441083597315483</v>
      </c>
      <c r="P55" s="115">
        <v>8.882733882887484</v>
      </c>
      <c r="Q55" s="111">
        <v>18.441083597315487</v>
      </c>
      <c r="R55" s="68">
        <v>8.8827338828874858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6.9218475400828769E-3</v>
      </c>
      <c r="M56" s="115">
        <v>6.5881280297842633</v>
      </c>
      <c r="N56" s="115">
        <v>1067.6256979174796</v>
      </c>
      <c r="O56" s="115">
        <v>9.310240886564694</v>
      </c>
      <c r="P56" s="115">
        <v>7.7626275400017466</v>
      </c>
      <c r="Q56" s="111">
        <v>9.3102408865646957</v>
      </c>
      <c r="R56" s="68">
        <v>7.7626275400017466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7.2802832009623578E-2</v>
      </c>
      <c r="M57" s="115">
        <v>3.7325928949034877</v>
      </c>
      <c r="N57" s="115">
        <v>589.49845146620362</v>
      </c>
      <c r="O57" s="115">
        <v>6.1716850531781038</v>
      </c>
      <c r="P57" s="115">
        <v>6.0259679725754678</v>
      </c>
      <c r="Q57" s="111">
        <v>6.1716850531781047</v>
      </c>
      <c r="R57" s="68">
        <v>6.0259679725754678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6.1244095685288585E-3</v>
      </c>
      <c r="M58" s="115">
        <v>7.3588545634366787</v>
      </c>
      <c r="N58" s="115">
        <v>1193.5781888776444</v>
      </c>
      <c r="O58" s="115">
        <v>9.928950006954306</v>
      </c>
      <c r="P58" s="115">
        <v>7.8245481028333446</v>
      </c>
      <c r="Q58" s="111">
        <v>9.9289500069543077</v>
      </c>
      <c r="R58" s="68">
        <v>7.8245481028333455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5.8325966535380018E-2</v>
      </c>
      <c r="M59" s="115">
        <v>3.8489172063325965</v>
      </c>
      <c r="N59" s="115">
        <v>610.80325542448156</v>
      </c>
      <c r="O59" s="115">
        <v>6.4233400616407454</v>
      </c>
      <c r="P59" s="115">
        <v>6.3130578406713296</v>
      </c>
      <c r="Q59" s="111">
        <v>6.4233400616407463</v>
      </c>
      <c r="R59" s="68">
        <v>6.3130578406713296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4.3749092406820738E-3</v>
      </c>
      <c r="M60" s="115">
        <v>9.6367441144290478</v>
      </c>
      <c r="N60" s="115">
        <v>1566.3573949129914</v>
      </c>
      <c r="O60" s="115">
        <v>11.760895154465086</v>
      </c>
      <c r="P60" s="115">
        <v>8.0198885867328276</v>
      </c>
      <c r="Q60" s="111">
        <v>11.760895154465086</v>
      </c>
      <c r="R60" s="68">
        <v>8.0198885867328276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1.4524958787835309</v>
      </c>
      <c r="M61" s="115">
        <v>22.635172633117662</v>
      </c>
      <c r="N61" s="115">
        <v>792.6244562385283</v>
      </c>
      <c r="O61" s="115">
        <v>4.3844206291315233</v>
      </c>
      <c r="P61" s="115">
        <v>4.4088117838738352</v>
      </c>
      <c r="Q61" s="111">
        <v>4.3844206291315242</v>
      </c>
      <c r="R61" s="68">
        <v>4.4088117838738361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0.19006864305596768</v>
      </c>
      <c r="M62" s="115">
        <v>3.0232660460511691</v>
      </c>
      <c r="N62" s="115">
        <v>456.4839534533927</v>
      </c>
      <c r="O62" s="115">
        <v>4.7456950801105808</v>
      </c>
      <c r="P62" s="115">
        <v>4.5053756203212991</v>
      </c>
      <c r="Q62" s="111">
        <v>4.7456950801105808</v>
      </c>
      <c r="R62" s="68">
        <v>4.5053756203213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3.1167273460382456</v>
      </c>
      <c r="M63" s="115">
        <v>4.6414580218433912</v>
      </c>
      <c r="N63" s="115">
        <v>111.39518051543615</v>
      </c>
      <c r="O63" s="115">
        <v>1.0593844120747551</v>
      </c>
      <c r="P63" s="115">
        <v>1.185854592414489</v>
      </c>
      <c r="Q63" s="111">
        <v>1.0593844120747551</v>
      </c>
      <c r="R63" s="68">
        <v>1.1858545924144892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0.98041625936187782</v>
      </c>
      <c r="M64" s="115">
        <v>0.93148788319287534</v>
      </c>
      <c r="N64" s="115">
        <v>2.2541856202959196</v>
      </c>
      <c r="O64" s="115">
        <v>0.87406281857402979</v>
      </c>
      <c r="P64" s="115">
        <v>1.0450184605814505</v>
      </c>
      <c r="Q64" s="111">
        <v>0.87406281857402979</v>
      </c>
      <c r="R64" s="68">
        <v>1.0450184605814505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1.3036047149572674</v>
      </c>
      <c r="M65" s="115">
        <v>1.2774318110370637</v>
      </c>
      <c r="N65" s="115">
        <v>9.5748444502229031</v>
      </c>
      <c r="O65" s="115">
        <v>0.83531653472794676</v>
      </c>
      <c r="P65" s="115">
        <v>0.97015864234728832</v>
      </c>
      <c r="Q65" s="111">
        <v>0.83531653472794676</v>
      </c>
      <c r="R65" s="68">
        <v>0.97015864234728832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5.5769318223287003</v>
      </c>
      <c r="M66" s="115">
        <v>32.407970757139744</v>
      </c>
      <c r="N66" s="115">
        <v>877.20381189515467</v>
      </c>
      <c r="O66" s="115">
        <v>2.095335689427646</v>
      </c>
      <c r="P66" s="115">
        <v>2.5548583481573157</v>
      </c>
      <c r="Q66" s="111">
        <v>2.0953356894276465</v>
      </c>
      <c r="R66" s="68">
        <v>2.5548583481573157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1.2523621201406538</v>
      </c>
      <c r="M67" s="115">
        <v>1.2188143865729342</v>
      </c>
      <c r="N67" s="115">
        <v>7.9719587093874038</v>
      </c>
      <c r="O67" s="115">
        <v>0.83344726375767531</v>
      </c>
      <c r="P67" s="115">
        <v>0.96784032714178214</v>
      </c>
      <c r="Q67" s="111">
        <v>0.83344726375767531</v>
      </c>
      <c r="R67" s="68">
        <v>0.96784032714178225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1.0309081368754209</v>
      </c>
      <c r="M68" s="115">
        <v>0.97271834623345887</v>
      </c>
      <c r="N68" s="115">
        <v>1.0582523266429731</v>
      </c>
      <c r="O68" s="115">
        <v>0.82532362041027763</v>
      </c>
      <c r="P68" s="115">
        <v>0.95906562715369348</v>
      </c>
      <c r="Q68" s="111">
        <v>0.82532362041027763</v>
      </c>
      <c r="R68" s="68">
        <v>0.95906562715369348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7.8244916924675202E-3</v>
      </c>
      <c r="M69" s="115">
        <v>5.8583995360064236</v>
      </c>
      <c r="N69" s="115">
        <v>948.45432571695528</v>
      </c>
      <c r="O69" s="115">
        <v>8.7257680839300438</v>
      </c>
      <c r="P69" s="115">
        <v>7.7074864235631839</v>
      </c>
      <c r="Q69" s="111">
        <v>8.7257680839300438</v>
      </c>
      <c r="R69" s="68">
        <v>7.7074864235631848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0.96705492909860657</v>
      </c>
      <c r="M70" s="115">
        <v>0.9236105959584886</v>
      </c>
      <c r="N70" s="115">
        <v>3.7176386589123176</v>
      </c>
      <c r="O70" s="115">
        <v>0.94709119747644677</v>
      </c>
      <c r="P70" s="115">
        <v>1.1823573397970026</v>
      </c>
      <c r="Q70" s="111">
        <v>0.94709119747644677</v>
      </c>
      <c r="R70" s="68">
        <v>1.1823573397970026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0.94146256453677701</v>
      </c>
      <c r="M71" s="115">
        <v>0.91183903454507753</v>
      </c>
      <c r="N71" s="115">
        <v>6.645906118682321</v>
      </c>
      <c r="O71" s="115">
        <v>1.0521148436640329</v>
      </c>
      <c r="P71" s="115">
        <v>1.3754856095400521</v>
      </c>
      <c r="Q71" s="111">
        <v>1.0521148436640329</v>
      </c>
      <c r="R71" s="68">
        <v>1.3754856095400521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4.0292107682884217E-3</v>
      </c>
      <c r="M72" s="115">
        <v>2.8510636800169991</v>
      </c>
      <c r="N72" s="115">
        <v>656.07066786240648</v>
      </c>
      <c r="O72" s="115">
        <v>6.2620999195048874</v>
      </c>
      <c r="P72" s="115">
        <v>8.828187993061686</v>
      </c>
      <c r="Q72" s="111">
        <v>6.2620999195048883</v>
      </c>
      <c r="R72" s="68">
        <v>8.828187993061686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3.726007628217512E-2</v>
      </c>
      <c r="M73" s="115">
        <v>0.36654936840175489</v>
      </c>
      <c r="N73" s="115">
        <v>76.662506000952035</v>
      </c>
      <c r="O73" s="115">
        <v>4.6148444345366073</v>
      </c>
      <c r="P73" s="115">
        <v>8.0505379197318181</v>
      </c>
      <c r="Q73" s="111">
        <v>4.6148444345366073</v>
      </c>
      <c r="R73" s="68">
        <v>8.0505379197318181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0.94645003018268059</v>
      </c>
      <c r="M74" s="115">
        <v>0.91417210632550672</v>
      </c>
      <c r="N74" s="115">
        <v>6.0848350808159681</v>
      </c>
      <c r="O74" s="115">
        <v>1.0316817396636877</v>
      </c>
      <c r="P74" s="115">
        <v>1.3378749053584449</v>
      </c>
      <c r="Q74" s="111">
        <v>1.0316817396636877</v>
      </c>
      <c r="R74" s="68">
        <v>1.3378749053584451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4.4057894542091768E-2</v>
      </c>
      <c r="M75" s="115">
        <v>0.37420318043916173</v>
      </c>
      <c r="N75" s="115">
        <v>76.999640023303726</v>
      </c>
      <c r="O75" s="115">
        <v>4.5910858083462864</v>
      </c>
      <c r="P75" s="115">
        <v>8.0026313275968803</v>
      </c>
      <c r="Q75" s="111">
        <v>4.5910858083462864</v>
      </c>
      <c r="R75" s="68">
        <v>8.0026313275968821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0.45252821359308198</v>
      </c>
      <c r="M76" s="115">
        <v>0.65155263401284791</v>
      </c>
      <c r="N76" s="115">
        <v>53.512605871311067</v>
      </c>
      <c r="O76" s="115">
        <v>3.0199209376037492</v>
      </c>
      <c r="P76" s="115">
        <v>5.0277654831733622</v>
      </c>
      <c r="Q76" s="111">
        <v>3.0199209376037497</v>
      </c>
      <c r="R76" s="68">
        <v>5.0277654831733622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3.9092349202229829E-2</v>
      </c>
      <c r="M77" s="115">
        <v>0.3686786500464756</v>
      </c>
      <c r="N77" s="115">
        <v>76.768414699710107</v>
      </c>
      <c r="O77" s="115">
        <v>4.60848275214728</v>
      </c>
      <c r="P77" s="115">
        <v>8.0376405852512907</v>
      </c>
      <c r="Q77" s="111">
        <v>4.60848275214728</v>
      </c>
      <c r="R77" s="68">
        <v>8.0376405852512907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4.4697141015491628E-3</v>
      </c>
      <c r="M78" s="115">
        <v>2.3896558806522394</v>
      </c>
      <c r="N78" s="115">
        <v>549.66414509772653</v>
      </c>
      <c r="O78" s="115">
        <v>5.980048521569759</v>
      </c>
      <c r="P78" s="115">
        <v>8.7253919860062936</v>
      </c>
      <c r="Q78" s="111">
        <v>5.980048521569759</v>
      </c>
      <c r="R78" s="68">
        <v>8.7253919860062936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4.4697144816761222E-3</v>
      </c>
      <c r="M79" s="115">
        <v>2.3896541590391602</v>
      </c>
      <c r="N79" s="115">
        <v>549.66388405868622</v>
      </c>
      <c r="O79" s="115">
        <v>5.9800474250772799</v>
      </c>
      <c r="P79" s="115">
        <v>8.7253923235544448</v>
      </c>
      <c r="Q79" s="111">
        <v>5.9800474250772799</v>
      </c>
      <c r="R79" s="68">
        <v>8.7253923235544466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0.170465464302924</v>
      </c>
      <c r="M80" s="115">
        <v>0.47647623424945873</v>
      </c>
      <c r="N80" s="115">
        <v>73.821578519942847</v>
      </c>
      <c r="O80" s="115">
        <v>4.120751199815194</v>
      </c>
      <c r="P80" s="115">
        <v>7.0958371272525795</v>
      </c>
      <c r="Q80" s="111">
        <v>4.1207511998151949</v>
      </c>
      <c r="R80" s="68">
        <v>7.0958371272525804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0.80529185934817293</v>
      </c>
      <c r="M81" s="115">
        <v>0.84432001654959288</v>
      </c>
      <c r="N81" s="115">
        <v>21.009685617921022</v>
      </c>
      <c r="O81" s="115">
        <v>1.6063447780710018</v>
      </c>
      <c r="P81" s="115">
        <v>2.3992449453303877</v>
      </c>
      <c r="Q81" s="111">
        <v>1.6063447780710018</v>
      </c>
      <c r="R81" s="68">
        <v>2.3992449453303877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0.61181858771525077</v>
      </c>
      <c r="M82" s="115">
        <v>0.74127197656848165</v>
      </c>
      <c r="N82" s="115">
        <v>39.565134873951692</v>
      </c>
      <c r="O82" s="115">
        <v>2.3854376644046922</v>
      </c>
      <c r="P82" s="115">
        <v>3.8452533000333031</v>
      </c>
      <c r="Q82" s="111">
        <v>2.3854376644046922</v>
      </c>
      <c r="R82" s="68">
        <v>3.8452533000333031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3.027364105293113E-3</v>
      </c>
      <c r="M83" s="115">
        <v>4.6325075784381378</v>
      </c>
      <c r="N83" s="115">
        <v>1066.7521737832953</v>
      </c>
      <c r="O83" s="115">
        <v>7.3481815447529977</v>
      </c>
      <c r="P83" s="115">
        <v>9.2200614508998662</v>
      </c>
      <c r="Q83" s="111">
        <v>7.3481815447529986</v>
      </c>
      <c r="R83" s="68">
        <v>9.2200614508998662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0.28978549279191879</v>
      </c>
      <c r="M84" s="115">
        <v>2.5295546786963841</v>
      </c>
      <c r="N84" s="115">
        <v>361.97625050872324</v>
      </c>
      <c r="O84" s="115">
        <v>3.8196755295324003</v>
      </c>
      <c r="P84" s="115">
        <v>3.5889143366294718</v>
      </c>
      <c r="Q84" s="111">
        <v>3.8196755295324003</v>
      </c>
      <c r="R84" s="68">
        <v>3.5889143366294718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0.40353187257790663</v>
      </c>
      <c r="M85" s="115">
        <v>323.0489503096623</v>
      </c>
      <c r="N85" s="115">
        <v>8923.1871993300847</v>
      </c>
      <c r="O85" s="115">
        <v>8.8607382436449669</v>
      </c>
      <c r="P85" s="115">
        <v>7.9827695416123055</v>
      </c>
      <c r="Q85" s="111">
        <v>8.8607382436449669</v>
      </c>
      <c r="R85" s="68">
        <v>7.9827695416123063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3.7006758027584844E-4</v>
      </c>
      <c r="M86" s="115">
        <v>25.129058202723808</v>
      </c>
      <c r="N86" s="115">
        <v>4126.6871810781349</v>
      </c>
      <c r="O86" s="115">
        <v>24.32316962825865</v>
      </c>
      <c r="P86" s="115">
        <v>9.7882416387838092</v>
      </c>
      <c r="Q86" s="111">
        <v>24.32316962825865</v>
      </c>
      <c r="R86" s="68">
        <v>9.7882416387838092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1.2892828010184574E-4</v>
      </c>
      <c r="M87" s="115">
        <v>28.766998811355915</v>
      </c>
      <c r="N87" s="115">
        <v>4740.1110403937091</v>
      </c>
      <c r="O87" s="115">
        <v>27.261226843694665</v>
      </c>
      <c r="P87" s="115">
        <v>10.298901392743625</v>
      </c>
      <c r="Q87" s="111">
        <v>27.261226843694665</v>
      </c>
      <c r="R87" s="68">
        <v>10.298901392743627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3.6347137269788794E-5</v>
      </c>
      <c r="M88" s="115">
        <v>31.376115502318875</v>
      </c>
      <c r="N88" s="115">
        <v>5189.7348494506159</v>
      </c>
      <c r="O88" s="115">
        <v>29.33725132951562</v>
      </c>
      <c r="P88" s="115">
        <v>10.700402237861409</v>
      </c>
      <c r="Q88" s="111">
        <v>29.33725132951562</v>
      </c>
      <c r="R88" s="68">
        <v>10.700402237861409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8.762532378062628E-3</v>
      </c>
      <c r="M89" s="115">
        <v>1131.6280871414488</v>
      </c>
      <c r="N89" s="115">
        <v>31625.014498198791</v>
      </c>
      <c r="O89" s="115">
        <v>24.159719810470534</v>
      </c>
      <c r="P89" s="115">
        <v>8.3365782749218376</v>
      </c>
      <c r="Q89" s="111">
        <v>24.159719810470538</v>
      </c>
      <c r="R89" s="68">
        <v>8.3365782749218376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0.97063064845846603</v>
      </c>
      <c r="M90" s="115">
        <v>0.92059515991374852</v>
      </c>
      <c r="N90" s="115">
        <v>1.480516892017147</v>
      </c>
      <c r="O90" s="115">
        <v>0.81379231572638255</v>
      </c>
      <c r="P90" s="115">
        <v>0.94115834814613863</v>
      </c>
      <c r="Q90" s="111">
        <v>0.81379231572638255</v>
      </c>
      <c r="R90" s="68">
        <v>0.94115834814613863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0.72224639890413922</v>
      </c>
      <c r="M91" s="115">
        <v>1.1531262012634809</v>
      </c>
      <c r="N91" s="115">
        <v>76.527442313803448</v>
      </c>
      <c r="O91" s="115">
        <v>1.3089892850484888</v>
      </c>
      <c r="P91" s="115">
        <v>1.3054223806919962</v>
      </c>
      <c r="Q91" s="111">
        <v>1.3089892850484888</v>
      </c>
      <c r="R91" s="68">
        <v>1.3054223806919962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0.12984921446616604</v>
      </c>
      <c r="M92" s="115">
        <v>3.3683880160967106</v>
      </c>
      <c r="N92" s="115">
        <v>521.43423339430194</v>
      </c>
      <c r="O92" s="115">
        <v>5.4168581176714987</v>
      </c>
      <c r="P92" s="115">
        <v>5.1994726399511206</v>
      </c>
      <c r="Q92" s="111">
        <v>5.4168581176714996</v>
      </c>
      <c r="R92" s="68">
        <v>5.1994726399511206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0.99223436127773135</v>
      </c>
      <c r="M93" s="115">
        <v>0.93433532650519846</v>
      </c>
      <c r="N93" s="115">
        <v>0.6216010219914464</v>
      </c>
      <c r="O93" s="115">
        <v>0.84248699026316798</v>
      </c>
      <c r="P93" s="115">
        <v>0.99077508039115281</v>
      </c>
      <c r="Q93" s="111">
        <v>0.84248699026316809</v>
      </c>
      <c r="R93" s="68">
        <v>0.99077508039115281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1.0018122284331283</v>
      </c>
      <c r="M94" s="115">
        <v>0.94133689667928755</v>
      </c>
      <c r="N94" s="115">
        <v>0.15143039091262758</v>
      </c>
      <c r="O94" s="115">
        <v>0.82481449262545548</v>
      </c>
      <c r="P94" s="115">
        <v>0.95869174675106617</v>
      </c>
      <c r="Q94" s="111">
        <v>0.82481449262545559</v>
      </c>
      <c r="R94" s="68">
        <v>0.95869174675106617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0.94491200474934678</v>
      </c>
      <c r="M95" s="115">
        <v>0.92694850813640384</v>
      </c>
      <c r="N95" s="115">
        <v>6.376078644596161</v>
      </c>
      <c r="O95" s="115">
        <v>0.82144974850247621</v>
      </c>
      <c r="P95" s="115">
        <v>0.93442254280862491</v>
      </c>
      <c r="Q95" s="111">
        <v>0.82144974850247621</v>
      </c>
      <c r="R95" s="68">
        <v>0.93442254280862491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5.3699449401784036E-4</v>
      </c>
      <c r="M96" s="115">
        <v>23.409497446945647</v>
      </c>
      <c r="N96" s="115">
        <v>3839.4181064397394</v>
      </c>
      <c r="O96" s="115">
        <v>22.928588446101624</v>
      </c>
      <c r="P96" s="115">
        <v>9.5617477384857619</v>
      </c>
      <c r="Q96" s="111">
        <v>22.928588446101628</v>
      </c>
      <c r="R96" s="68">
        <v>9.5617477384857619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0.60756763243940759</v>
      </c>
      <c r="M97" s="115">
        <v>1.4131456897016108</v>
      </c>
      <c r="N97" s="115">
        <v>135.43978453277762</v>
      </c>
      <c r="O97" s="115">
        <v>1.7857027447878751</v>
      </c>
      <c r="P97" s="115">
        <v>1.7115982787637856</v>
      </c>
      <c r="Q97" s="111">
        <v>1.7857027447878753</v>
      </c>
      <c r="R97" s="68">
        <v>1.7115982787637856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0.70291125594982617</v>
      </c>
      <c r="M98" s="115">
        <v>1.1916749871845007</v>
      </c>
      <c r="N98" s="115">
        <v>85.62529831596548</v>
      </c>
      <c r="O98" s="115">
        <v>1.3803738940930477</v>
      </c>
      <c r="P98" s="115">
        <v>1.3648539506409167</v>
      </c>
      <c r="Q98" s="111">
        <v>1.3803738940930477</v>
      </c>
      <c r="R98" s="68">
        <v>1.3648539506409167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0.86393257307108284</v>
      </c>
      <c r="M99" s="115">
        <v>0.9514374093795015</v>
      </c>
      <c r="N99" s="115">
        <v>22.647810790190846</v>
      </c>
      <c r="O99" s="115">
        <v>0.91807894571181647</v>
      </c>
      <c r="P99" s="115">
        <v>0.997734370978136</v>
      </c>
      <c r="Q99" s="111">
        <v>0.91807894571181647</v>
      </c>
      <c r="R99" s="68">
        <v>0.997734370978136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3.4608328697949779E-3</v>
      </c>
      <c r="M100" s="115">
        <v>11.331471312500703</v>
      </c>
      <c r="N100" s="115">
        <v>1844.1968849735642</v>
      </c>
      <c r="O100" s="115">
        <v>13.131078802565867</v>
      </c>
      <c r="P100" s="115">
        <v>8.183849495656931</v>
      </c>
      <c r="Q100" s="111">
        <v>13.131078802565867</v>
      </c>
      <c r="R100" s="68">
        <v>8.183849495656931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0.18088903987006358</v>
      </c>
      <c r="M101" s="115">
        <v>3.0734635654297313</v>
      </c>
      <c r="N101" s="115">
        <v>465.97483870806138</v>
      </c>
      <c r="O101" s="115">
        <v>4.8417035935904149</v>
      </c>
      <c r="P101" s="115">
        <v>4.602907760789777</v>
      </c>
      <c r="Q101" s="111">
        <v>4.8417035935904149</v>
      </c>
      <c r="R101" s="68">
        <v>4.602907760789777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3.9866214823019865E-2</v>
      </c>
      <c r="M102" s="115">
        <v>3.9836326586362181</v>
      </c>
      <c r="N102" s="115">
        <v>635.9973087519777</v>
      </c>
      <c r="O102" s="115">
        <v>6.7456806024567371</v>
      </c>
      <c r="P102" s="115">
        <v>6.7028399886367174</v>
      </c>
      <c r="Q102" s="111">
        <v>6.7456806024567371</v>
      </c>
      <c r="R102" s="68">
        <v>6.7028399886367174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0.89374378586957159</v>
      </c>
      <c r="M103" s="115">
        <v>0.88890047958479435</v>
      </c>
      <c r="N103" s="115">
        <v>11.858866004328121</v>
      </c>
      <c r="O103" s="115">
        <v>1.2470011225583169</v>
      </c>
      <c r="P103" s="115">
        <v>1.7347744281128645</v>
      </c>
      <c r="Q103" s="111">
        <v>1.2470011225583169</v>
      </c>
      <c r="R103" s="68">
        <v>1.7347744281128648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1.1484782887198003E-2</v>
      </c>
      <c r="M104" s="115">
        <v>0.50846135953232796</v>
      </c>
      <c r="N104" s="115">
        <v>112.58966608452256</v>
      </c>
      <c r="O104" s="115">
        <v>4.807383637103138</v>
      </c>
      <c r="P104" s="115">
        <v>8.2537745594775949</v>
      </c>
      <c r="Q104" s="111">
        <v>4.8073836371031389</v>
      </c>
      <c r="R104" s="68">
        <v>8.2537745594775949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0.96558376607782692</v>
      </c>
      <c r="M105" s="115">
        <v>0.91792095643970939</v>
      </c>
      <c r="N105" s="115">
        <v>1.8063207096818761</v>
      </c>
      <c r="O105" s="115">
        <v>0.8132478654907962</v>
      </c>
      <c r="P105" s="115">
        <v>0.93900230961987297</v>
      </c>
      <c r="Q105" s="111">
        <v>0.8132478654907962</v>
      </c>
      <c r="R105" s="68">
        <v>0.93900230961987297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0.94047707726915464</v>
      </c>
      <c r="M106" s="115">
        <v>0.92575274636507676</v>
      </c>
      <c r="N106" s="115">
        <v>6.8544164070380837</v>
      </c>
      <c r="O106" s="115">
        <v>0.82288733182568086</v>
      </c>
      <c r="P106" s="115">
        <v>0.93454160499409433</v>
      </c>
      <c r="Q106" s="111">
        <v>0.82288733182568086</v>
      </c>
      <c r="R106" s="68">
        <v>0.93454160499409433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3.6910894945898394E-2</v>
      </c>
      <c r="M107" s="115">
        <v>7.3351743663599018</v>
      </c>
      <c r="N107" s="115">
        <v>698.74100125984535</v>
      </c>
      <c r="O107" s="115">
        <v>6.5615004705495705</v>
      </c>
      <c r="P107" s="115">
        <v>6.6024168428738941</v>
      </c>
      <c r="Q107" s="111">
        <v>6.5615004705495705</v>
      </c>
      <c r="R107" s="68">
        <v>6.602416842873895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0.99924257615842837</v>
      </c>
      <c r="M108" s="115">
        <v>0.93861909280774969</v>
      </c>
      <c r="N108" s="115">
        <v>7.8377785722971022E-2</v>
      </c>
      <c r="O108" s="115">
        <v>0.82469675955548405</v>
      </c>
      <c r="P108" s="115">
        <v>0.95855535470071451</v>
      </c>
      <c r="Q108" s="111">
        <v>0.82469675955548416</v>
      </c>
      <c r="R108" s="68">
        <v>0.95855535470071462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4.7050570460976262</v>
      </c>
      <c r="M109" s="115">
        <v>10.114607474877971</v>
      </c>
      <c r="N109" s="115">
        <v>258.60082452475751</v>
      </c>
      <c r="O109" s="115">
        <v>1.2151042713607414</v>
      </c>
      <c r="P109" s="115">
        <v>1.4129760121047761</v>
      </c>
      <c r="Q109" s="111">
        <v>1.2151042713607416</v>
      </c>
      <c r="R109" s="68">
        <v>1.4129760121047761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0.99016769953776018</v>
      </c>
      <c r="M110" s="115">
        <v>0.93111504407827528</v>
      </c>
      <c r="N110" s="115">
        <v>0.22267990966230986</v>
      </c>
      <c r="O110" s="115">
        <v>0.82086460204775014</v>
      </c>
      <c r="P110" s="115">
        <v>0.95370611303791974</v>
      </c>
      <c r="Q110" s="111">
        <v>0.82086460204775014</v>
      </c>
      <c r="R110" s="68">
        <v>0.95370611303791986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0.99660884337191324</v>
      </c>
      <c r="M111" s="115">
        <v>0.93582936533565309</v>
      </c>
      <c r="N111" s="115">
        <v>3.244186896465908E-3</v>
      </c>
      <c r="O111" s="115">
        <v>0.82472380683585378</v>
      </c>
      <c r="P111" s="115">
        <v>0.9586384244287629</v>
      </c>
      <c r="Q111" s="111">
        <v>0.82472380683585378</v>
      </c>
      <c r="R111" s="68">
        <v>0.95863842442876301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0.98847011130541196</v>
      </c>
      <c r="M112" s="115">
        <v>0.92922747391963267</v>
      </c>
      <c r="N112" s="115">
        <v>0.16814892983461774</v>
      </c>
      <c r="O112" s="115">
        <v>0.8179940274228944</v>
      </c>
      <c r="P112" s="115">
        <v>0.95014919526694575</v>
      </c>
      <c r="Q112" s="111">
        <v>0.8179940274228944</v>
      </c>
      <c r="R112" s="68">
        <v>0.95014919526694575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0.94897171482546727</v>
      </c>
      <c r="M113" s="115">
        <v>0.91492633353997432</v>
      </c>
      <c r="N113" s="115">
        <v>3.8404429833888818</v>
      </c>
      <c r="O113" s="115">
        <v>0.81745676862971917</v>
      </c>
      <c r="P113" s="115">
        <v>0.93726959893771777</v>
      </c>
      <c r="Q113" s="111">
        <v>0.81745676862971917</v>
      </c>
      <c r="R113" s="68">
        <v>0.93726959893771777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0.99241811195083618</v>
      </c>
      <c r="M114" s="115">
        <v>0.93220936943373189</v>
      </c>
      <c r="N114" s="115">
        <v>5.2270710085233735E-2</v>
      </c>
      <c r="O114" s="115">
        <v>0.82025257552339659</v>
      </c>
      <c r="P114" s="115">
        <v>0.95320801790011578</v>
      </c>
      <c r="Q114" s="111">
        <v>0.82025257552339659</v>
      </c>
      <c r="R114" s="68">
        <v>0.95320801790011589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0.9697813074450562</v>
      </c>
      <c r="M115" s="115">
        <v>0.92484064336164606</v>
      </c>
      <c r="N115" s="115">
        <v>3.3982363642192093</v>
      </c>
      <c r="O115" s="115">
        <v>0.93582094188720988</v>
      </c>
      <c r="P115" s="115">
        <v>1.1616477363580633</v>
      </c>
      <c r="Q115" s="111">
        <v>0.93582094188720988</v>
      </c>
      <c r="R115" s="68">
        <v>1.1616477363580635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1.0766579495981756</v>
      </c>
      <c r="M116" s="115">
        <v>100.0471244819409</v>
      </c>
      <c r="N116" s="115">
        <v>2772.6997565529819</v>
      </c>
      <c r="O116" s="115">
        <v>5.5341657602817396</v>
      </c>
      <c r="P116" s="115">
        <v>7.1964089132596039</v>
      </c>
      <c r="Q116" s="111">
        <v>5.5341657602817405</v>
      </c>
      <c r="R116" s="68">
        <v>7.1964089132596047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0.47985326005484902</v>
      </c>
      <c r="M117" s="115">
        <v>1.7902624190469607</v>
      </c>
      <c r="N117" s="115">
        <v>214.94473105225956</v>
      </c>
      <c r="O117" s="115">
        <v>2.4693289513720007</v>
      </c>
      <c r="P117" s="115">
        <v>2.3210470382470887</v>
      </c>
      <c r="Q117" s="111">
        <v>2.4693289513720007</v>
      </c>
      <c r="R117" s="68">
        <v>2.3210470382470887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2025-02-02T14:10:36Z</dcterms:modified>
</cp:coreProperties>
</file>