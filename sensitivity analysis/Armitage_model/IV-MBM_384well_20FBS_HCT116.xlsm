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19CC878E-EC34-454E-BC19-0D164B345520}" xr6:coauthVersionLast="47" xr6:coauthVersionMax="47" xr10:uidLastSave="{00000000-0000-0000-0000-000000000000}"/>
  <bookViews>
    <workbookView xWindow="43080" yWindow="-120" windowWidth="29040" windowHeight="15720" tabRatio="841" firstSheet="1" activeTab="10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VIVE" sheetId="22" r:id="rId5"/>
    <sheet name="Input System Parameters" sheetId="2" r:id="rId6"/>
    <sheet name="QA-QC" sheetId="17" r:id="rId7"/>
    <sheet name="Concentrations" sheetId="15" r:id="rId8"/>
    <sheet name="Mass Fractions" sheetId="11" r:id="rId9"/>
    <sheet name="Mass Balance" sheetId="12" r:id="rId10"/>
    <sheet name="工作表1" sheetId="23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<sst xmlns="http://schemas.openxmlformats.org/spreadsheetml/2006/main" count="2915" uniqueCount="495">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</sst>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71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2.4700000000000002</v>
      </c>
      <c r="K5" s="136">
        <v>2.6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0.98799999999999999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0.49399999999999999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0.247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5.1999999999999998E-2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4.1599999999999998E-2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1.456E-2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8.0599999999999995E-3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5.1999999999999998E-3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5.9800000000000001E-3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3.1199999999999999E-3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5.1999999999999998E-2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0.77400617592509569</v>
      </c>
      <c r="M2" s="115">
        <v>1.9324133113187338</v>
      </c>
      <c r="N2" s="115">
        <v>52.917342180406251</v>
      </c>
      <c r="O2" s="115">
        <v>1.1292748872219029</v>
      </c>
      <c r="P2" s="115">
        <v>1.159062359986365</v>
      </c>
      <c r="Q2" s="111">
        <v>1.1292748872219029</v>
      </c>
      <c r="R2" s="68">
        <v>1.159062359986365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6.4598506567463182E-4</v>
      </c>
      <c r="M3" s="115">
        <v>83.09035374752581</v>
      </c>
      <c r="N3" s="115">
        <v>3558.4763498517846</v>
      </c>
      <c r="O3" s="115">
        <v>21.461429927270125</v>
      </c>
      <c r="P3" s="115">
        <v>9.1930370473535774</v>
      </c>
      <c r="Q3" s="111">
        <v>21.461429927270125</v>
      </c>
      <c r="R3" s="68">
        <v>9.1930370473535792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0.35425539454208183</v>
      </c>
      <c r="M4" s="115">
        <v>7.5136243459719934</v>
      </c>
      <c r="N4" s="115">
        <v>302.37157096641573</v>
      </c>
      <c r="O4" s="115">
        <v>3.2589697354589817</v>
      </c>
      <c r="P4" s="115">
        <v>3.0529928814505833</v>
      </c>
      <c r="Q4" s="111">
        <v>3.2589697354589822</v>
      </c>
      <c r="R4" s="68">
        <v>3.0529928814505838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6.9116184250432554E-3</v>
      </c>
      <c r="M5" s="115">
        <v>24.439502895117691</v>
      </c>
      <c r="N5" s="115">
        <v>1037.546957662187</v>
      </c>
      <c r="O5" s="115">
        <v>9.1388161684448193</v>
      </c>
      <c r="P5" s="115">
        <v>7.7059196796579315</v>
      </c>
      <c r="Q5" s="111">
        <v>9.1388161684448193</v>
      </c>
      <c r="R5" s="68">
        <v>7.7059196796579315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2.8992368545892739E-4</v>
      </c>
      <c r="M6" s="115">
        <v>97.094797637197431</v>
      </c>
      <c r="N6" s="115">
        <v>4167.5280247779874</v>
      </c>
      <c r="O6" s="115">
        <v>24.42001844878471</v>
      </c>
      <c r="P6" s="115">
        <v>9.6734965877891295</v>
      </c>
      <c r="Q6" s="111">
        <v>24.42001844878471</v>
      </c>
      <c r="R6" s="68">
        <v>9.6734965877891295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5.7847805716120502E-4</v>
      </c>
      <c r="M7" s="115">
        <v>85.591700448387115</v>
      </c>
      <c r="N7" s="115">
        <v>3666.8023561330051</v>
      </c>
      <c r="O7" s="115">
        <v>22.00222921784794</v>
      </c>
      <c r="P7" s="115">
        <v>9.2951109908108336</v>
      </c>
      <c r="Q7" s="111">
        <v>22.00222921784794</v>
      </c>
      <c r="R7" s="68">
        <v>9.2951109908108336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1.2866736275129762E-3</v>
      </c>
      <c r="M8" s="115">
        <v>68.175722994487799</v>
      </c>
      <c r="N8" s="115">
        <v>2913.642951940823</v>
      </c>
      <c r="O8" s="115">
        <v>18.330101138019526</v>
      </c>
      <c r="P8" s="115">
        <v>8.7679708729363881</v>
      </c>
      <c r="Q8" s="111">
        <v>18.330101138019526</v>
      </c>
      <c r="R8" s="68">
        <v>8.7679708729363899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5.9426752458217019E-2</v>
      </c>
      <c r="M9" s="115">
        <v>14.400493497622016</v>
      </c>
      <c r="N9" s="115">
        <v>605.39565226647721</v>
      </c>
      <c r="O9" s="115">
        <v>6.3609990902590781</v>
      </c>
      <c r="P9" s="115">
        <v>6.2442667198245916</v>
      </c>
      <c r="Q9" s="111">
        <v>6.3609990902590789</v>
      </c>
      <c r="R9" s="68">
        <v>6.2442667198245916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6.4255868140676176E-3</v>
      </c>
      <c r="M10" s="115">
        <v>26.135133958896613</v>
      </c>
      <c r="N10" s="115">
        <v>1109.9405004068067</v>
      </c>
      <c r="O10" s="115">
        <v>9.4930548903623553</v>
      </c>
      <c r="P10" s="115">
        <v>7.73861808376585</v>
      </c>
      <c r="Q10" s="111">
        <v>9.4930548903623553</v>
      </c>
      <c r="R10" s="68">
        <v>7.7386180837658509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5.6724269732611942E-3</v>
      </c>
      <c r="M11" s="115">
        <v>29.135151256307793</v>
      </c>
      <c r="N11" s="115">
        <v>1238.0950968910881</v>
      </c>
      <c r="O11" s="115">
        <v>10.119518247413426</v>
      </c>
      <c r="P11" s="115">
        <v>7.7969539623031618</v>
      </c>
      <c r="Q11" s="111">
        <v>10.119518247413426</v>
      </c>
      <c r="R11" s="68">
        <v>7.7969539623031627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3.8139302818167332E-2</v>
      </c>
      <c r="M12" s="115">
        <v>15.066317024521151</v>
      </c>
      <c r="N12" s="115">
        <v>635.01269878575965</v>
      </c>
      <c r="O12" s="115">
        <v>6.7386851625995536</v>
      </c>
      <c r="P12" s="115">
        <v>6.699992727060561</v>
      </c>
      <c r="Q12" s="111">
        <v>6.7386851625995545</v>
      </c>
      <c r="R12" s="68">
        <v>6.699992727060561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5.7015409542677975E-2</v>
      </c>
      <c r="M13" s="115">
        <v>14.473961190105626</v>
      </c>
      <c r="N13" s="115">
        <v>608.65154654546359</v>
      </c>
      <c r="O13" s="115">
        <v>6.4007122224456525</v>
      </c>
      <c r="P13" s="115">
        <v>6.2908184984790765</v>
      </c>
      <c r="Q13" s="111">
        <v>6.4007122224456525</v>
      </c>
      <c r="R13" s="68">
        <v>6.2908184984790774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3.7597016713773932E-3</v>
      </c>
      <c r="M14" s="115">
        <v>39.807891386531381</v>
      </c>
      <c r="N14" s="115">
        <v>1694.7007354966063</v>
      </c>
      <c r="O14" s="115">
        <v>12.356499595699276</v>
      </c>
      <c r="P14" s="115">
        <v>8.0289852297843467</v>
      </c>
      <c r="Q14" s="111">
        <v>12.356499595699276</v>
      </c>
      <c r="R14" s="68">
        <v>8.0289852297843467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6.0402921706488467E-3</v>
      </c>
      <c r="M15" s="115">
        <v>27.608161421885651</v>
      </c>
      <c r="N15" s="115">
        <v>1172.8539602485298</v>
      </c>
      <c r="O15" s="115">
        <v>9.8006803816181041</v>
      </c>
      <c r="P15" s="115">
        <v>7.7671567161519235</v>
      </c>
      <c r="Q15" s="111">
        <v>9.8006803816181041</v>
      </c>
      <c r="R15" s="68">
        <v>7.7671567161519244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1.3312002694505836E-3</v>
      </c>
      <c r="M16" s="115">
        <v>67.318293837580555</v>
      </c>
      <c r="N16" s="115">
        <v>2876.6807198873103</v>
      </c>
      <c r="O16" s="115">
        <v>18.14825563795296</v>
      </c>
      <c r="P16" s="115">
        <v>8.7416839916075091</v>
      </c>
      <c r="Q16" s="111">
        <v>18.14825563795296</v>
      </c>
      <c r="R16" s="68">
        <v>8.7416839916075091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6.7469263007839874E-3</v>
      </c>
      <c r="M17" s="115">
        <v>24.996821416874624</v>
      </c>
      <c r="N17" s="115">
        <v>1061.3377314541624</v>
      </c>
      <c r="O17" s="115">
        <v>9.255406610306343</v>
      </c>
      <c r="P17" s="115">
        <v>7.7169082005984668</v>
      </c>
      <c r="Q17" s="111">
        <v>9.255406610306343</v>
      </c>
      <c r="R17" s="68">
        <v>7.7169082005984668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7.1193176483866763E-2</v>
      </c>
      <c r="M18" s="115">
        <v>13.995187140537267</v>
      </c>
      <c r="N18" s="115">
        <v>587.57004838462763</v>
      </c>
      <c r="O18" s="115">
        <v>6.1514958627816512</v>
      </c>
      <c r="P18" s="115">
        <v>6.0062554607293546</v>
      </c>
      <c r="Q18" s="111">
        <v>6.1514958627816512</v>
      </c>
      <c r="R18" s="68">
        <v>6.0062554607293546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5.9653962542977916E-3</v>
      </c>
      <c r="M19" s="115">
        <v>27.909529041491158</v>
      </c>
      <c r="N19" s="115">
        <v>1185.7280904910192</v>
      </c>
      <c r="O19" s="115">
        <v>9.8636478464785302</v>
      </c>
      <c r="P19" s="115">
        <v>7.7730864784416642</v>
      </c>
      <c r="Q19" s="111">
        <v>9.8636478464785302</v>
      </c>
      <c r="R19" s="68">
        <v>7.7730864784416651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5.7023025341497745E-2</v>
      </c>
      <c r="M20" s="115">
        <v>14.475894540710893</v>
      </c>
      <c r="N20" s="115">
        <v>608.732846807393</v>
      </c>
      <c r="O20" s="115">
        <v>6.4015671937065859</v>
      </c>
      <c r="P20" s="115">
        <v>6.2916587907523471</v>
      </c>
      <c r="Q20" s="111">
        <v>6.4015671937065868</v>
      </c>
      <c r="R20" s="68">
        <v>6.291658790752348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4.2524308772161701E-3</v>
      </c>
      <c r="M21" s="115">
        <v>36.495566415840273</v>
      </c>
      <c r="N21" s="115">
        <v>1552.8820144306812</v>
      </c>
      <c r="O21" s="115">
        <v>11.659716114781247</v>
      </c>
      <c r="P21" s="115">
        <v>7.9508934452134392</v>
      </c>
      <c r="Q21" s="111">
        <v>11.659716114781249</v>
      </c>
      <c r="R21" s="68">
        <v>7.9508934452134401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0.56304631288360441</v>
      </c>
      <c r="M22" s="115">
        <v>4.2221346415475276</v>
      </c>
      <c r="N22" s="115">
        <v>156.42802512825219</v>
      </c>
      <c r="O22" s="115">
        <v>1.9606717758993149</v>
      </c>
      <c r="P22" s="115">
        <v>1.8647055944175226</v>
      </c>
      <c r="Q22" s="111">
        <v>1.9606717758993149</v>
      </c>
      <c r="R22" s="68">
        <v>1.8647055944175226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0.71138921720170667</v>
      </c>
      <c r="M23" s="115">
        <v>2.5125126877367099</v>
      </c>
      <c r="N23" s="115">
        <v>79.436821855341179</v>
      </c>
      <c r="O23" s="115">
        <v>1.3314419750855762</v>
      </c>
      <c r="P23" s="115">
        <v>1.3239673971380814</v>
      </c>
      <c r="Q23" s="111">
        <v>1.3314419750855762</v>
      </c>
      <c r="R23" s="68">
        <v>1.3239673971380814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0.17423320834682032</v>
      </c>
      <c r="M24" s="115">
        <v>11.274622888495122</v>
      </c>
      <c r="N24" s="115">
        <v>467.85012353099074</v>
      </c>
      <c r="O24" s="115">
        <v>4.8604711201666086</v>
      </c>
      <c r="P24" s="115">
        <v>4.6229307471974437</v>
      </c>
      <c r="Q24" s="111">
        <v>4.8604711201666086</v>
      </c>
      <c r="R24" s="68">
        <v>4.6229307471974437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2.0753045623488668E-2</v>
      </c>
      <c r="M25" s="115">
        <v>15.378840007026621</v>
      </c>
      <c r="N25" s="115">
        <v>649.83619815872919</v>
      </c>
      <c r="O25" s="115">
        <v>6.9997680864895262</v>
      </c>
      <c r="P25" s="115">
        <v>7.0762458045671153</v>
      </c>
      <c r="Q25" s="111">
        <v>6.9997680864895271</v>
      </c>
      <c r="R25" s="68">
        <v>7.0762458045671153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4.6090119274351977E-3</v>
      </c>
      <c r="M26" s="115">
        <v>34.387712230715444</v>
      </c>
      <c r="N26" s="115">
        <v>1462.6825496336</v>
      </c>
      <c r="O26" s="115">
        <v>11.218080112972963</v>
      </c>
      <c r="P26" s="115">
        <v>7.9050877518126148</v>
      </c>
      <c r="Q26" s="111">
        <v>11.218080112972963</v>
      </c>
      <c r="R26" s="68">
        <v>7.9050877518126148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7.102782134995124E-4</v>
      </c>
      <c r="M27" s="115">
        <v>81.297324511680998</v>
      </c>
      <c r="N27" s="115">
        <v>3480.7347496454872</v>
      </c>
      <c r="O27" s="115">
        <v>21.087910936225949</v>
      </c>
      <c r="P27" s="115">
        <v>9.1442801404656056</v>
      </c>
      <c r="Q27" s="111">
        <v>21.087910936225949</v>
      </c>
      <c r="R27" s="68">
        <v>9.1442801404656056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2.5387659936086122E-3</v>
      </c>
      <c r="M28" s="115">
        <v>50.476308491128123</v>
      </c>
      <c r="N28" s="115">
        <v>2152.1754716240685</v>
      </c>
      <c r="O28" s="115">
        <v>14.599665030502889</v>
      </c>
      <c r="P28" s="115">
        <v>8.2881277872344938</v>
      </c>
      <c r="Q28" s="111">
        <v>14.599665030502889</v>
      </c>
      <c r="R28" s="68">
        <v>8.2881277872344938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3.8136074452252994E-3</v>
      </c>
      <c r="M29" s="115">
        <v>37.648461432319401</v>
      </c>
      <c r="N29" s="115">
        <v>1602.4929933122426</v>
      </c>
      <c r="O29" s="115">
        <v>11.795276302980717</v>
      </c>
      <c r="P29" s="115">
        <v>7.7874832631549689</v>
      </c>
      <c r="Q29" s="111">
        <v>11.795276302980717</v>
      </c>
      <c r="R29" s="68">
        <v>7.7874832631549689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2.5387659936086122E-3</v>
      </c>
      <c r="M30" s="115">
        <v>50.476308491128123</v>
      </c>
      <c r="N30" s="115">
        <v>2152.1754716240685</v>
      </c>
      <c r="O30" s="115">
        <v>14.599665030502889</v>
      </c>
      <c r="P30" s="115">
        <v>8.2881277872344938</v>
      </c>
      <c r="Q30" s="111">
        <v>14.599665030502889</v>
      </c>
      <c r="R30" s="68">
        <v>8.2881277872344938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0.97284670214741487</v>
      </c>
      <c r="M31" s="115">
        <v>0.86372790048056469</v>
      </c>
      <c r="N31" s="115">
        <v>1.1399738554619001</v>
      </c>
      <c r="O31" s="115">
        <v>0.81342779048435732</v>
      </c>
      <c r="P31" s="115">
        <v>0.94144816507445417</v>
      </c>
      <c r="Q31" s="111">
        <v>0.81342779048435732</v>
      </c>
      <c r="R31" s="68">
        <v>0.94144816507445417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0.43980956840108631</v>
      </c>
      <c r="M32" s="115">
        <v>6.2240653145660332</v>
      </c>
      <c r="N32" s="115">
        <v>242.55666637160394</v>
      </c>
      <c r="O32" s="115">
        <v>2.4837215637080785</v>
      </c>
      <c r="P32" s="115">
        <v>2.2814591041545689</v>
      </c>
      <c r="Q32" s="111">
        <v>2.4837215637080785</v>
      </c>
      <c r="R32" s="68">
        <v>2.2814591041545689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0.99263658161170232</v>
      </c>
      <c r="M33" s="115">
        <v>0.86375029279283244</v>
      </c>
      <c r="N33" s="115">
        <v>0.59117559271138609</v>
      </c>
      <c r="O33" s="115">
        <v>0.84198850723162655</v>
      </c>
      <c r="P33" s="115">
        <v>0.98982129840556632</v>
      </c>
      <c r="Q33" s="111">
        <v>0.84198850723162655</v>
      </c>
      <c r="R33" s="68">
        <v>0.98982129840556632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0.54891531619665834</v>
      </c>
      <c r="M34" s="115">
        <v>1.2722360953513558</v>
      </c>
      <c r="N34" s="115">
        <v>45.000907730328393</v>
      </c>
      <c r="O34" s="115">
        <v>2.6261284460060077</v>
      </c>
      <c r="P34" s="115">
        <v>4.2932385526946248</v>
      </c>
      <c r="Q34" s="111">
        <v>2.6261284460060077</v>
      </c>
      <c r="R34" s="68">
        <v>4.2932385526946248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0.32545589659055335</v>
      </c>
      <c r="M35" s="115">
        <v>1.4164688629901967</v>
      </c>
      <c r="N35" s="115">
        <v>63.675763867648079</v>
      </c>
      <c r="O35" s="115">
        <v>3.5060288453788946</v>
      </c>
      <c r="P35" s="115">
        <v>5.9343645731052383</v>
      </c>
      <c r="Q35" s="111">
        <v>3.5060288453788946</v>
      </c>
      <c r="R35" s="68">
        <v>5.9343645731052383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0.10868907390647711</v>
      </c>
      <c r="M36" s="115">
        <v>1.4792652511811255</v>
      </c>
      <c r="N36" s="115">
        <v>77.373144164463085</v>
      </c>
      <c r="O36" s="115">
        <v>4.3466620355866672</v>
      </c>
      <c r="P36" s="115">
        <v>7.518729642161385</v>
      </c>
      <c r="Q36" s="111">
        <v>4.3466620355866672</v>
      </c>
      <c r="R36" s="68">
        <v>7.518729642161385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0.2087378814751232</v>
      </c>
      <c r="M37" s="115">
        <v>4.0156868063411233</v>
      </c>
      <c r="N37" s="115">
        <v>174.74043312151818</v>
      </c>
      <c r="O37" s="115">
        <v>4.0957355185477953</v>
      </c>
      <c r="P37" s="115">
        <v>6.1191501865206357</v>
      </c>
      <c r="Q37" s="111">
        <v>4.0957355185477962</v>
      </c>
      <c r="R37" s="68">
        <v>6.1191501865206357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0.61436602794046102</v>
      </c>
      <c r="M38" s="115">
        <v>1.253238873520643</v>
      </c>
      <c r="N38" s="115">
        <v>40.295438811364136</v>
      </c>
      <c r="O38" s="115">
        <v>2.3641810416609812</v>
      </c>
      <c r="P38" s="115">
        <v>3.7949961010491307</v>
      </c>
      <c r="Q38" s="111">
        <v>2.3641810416609812</v>
      </c>
      <c r="R38" s="68">
        <v>3.7949961010491311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1.0345191694613115E-2</v>
      </c>
      <c r="M39" s="115">
        <v>16.167556682571856</v>
      </c>
      <c r="N39" s="115">
        <v>684.81516482834752</v>
      </c>
      <c r="O39" s="115">
        <v>7.4201111524454717</v>
      </c>
      <c r="P39" s="115">
        <v>7.569546147293309</v>
      </c>
      <c r="Q39" s="111">
        <v>7.4201111524454717</v>
      </c>
      <c r="R39" s="68">
        <v>7.5695461472933099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9.8711406094561713E-4</v>
      </c>
      <c r="M40" s="115">
        <v>99.485638108009411</v>
      </c>
      <c r="N40" s="115">
        <v>5471.8348517517625</v>
      </c>
      <c r="O40" s="115">
        <v>19.313158346385972</v>
      </c>
      <c r="P40" s="115">
        <v>12.664481614107276</v>
      </c>
      <c r="Q40" s="111">
        <v>19.313158346385976</v>
      </c>
      <c r="R40" s="68">
        <v>12.664481614107276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0.91066194710720194</v>
      </c>
      <c r="M41" s="115">
        <v>0.7843688414284018</v>
      </c>
      <c r="N41" s="115">
        <v>6.4430974945963518E-2</v>
      </c>
      <c r="O41" s="115">
        <v>0.7528444505379539</v>
      </c>
      <c r="P41" s="115">
        <v>0.87480972320360895</v>
      </c>
      <c r="Q41" s="111">
        <v>0.7528444505379539</v>
      </c>
      <c r="R41" s="68">
        <v>0.87480972320360895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0.52567100657320243</v>
      </c>
      <c r="M42" s="115">
        <v>4.7574772673783308</v>
      </c>
      <c r="N42" s="115">
        <v>180.24583326438773</v>
      </c>
      <c r="O42" s="115">
        <v>2.1658021595643113</v>
      </c>
      <c r="P42" s="115">
        <v>2.0472195493261958</v>
      </c>
      <c r="Q42" s="111">
        <v>2.1658021595643118</v>
      </c>
      <c r="R42" s="68">
        <v>2.0472195493261962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8.8618444407795888E-3</v>
      </c>
      <c r="M43" s="115">
        <v>2.9635925350395906</v>
      </c>
      <c r="N43" s="115">
        <v>164.44822396877458</v>
      </c>
      <c r="O43" s="115">
        <v>4.9486618560275488</v>
      </c>
      <c r="P43" s="115">
        <v>8.3173180608167065</v>
      </c>
      <c r="Q43" s="111">
        <v>4.9486618560275488</v>
      </c>
      <c r="R43" s="68">
        <v>8.3173180608167083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0.76222622432245779</v>
      </c>
      <c r="M44" s="115">
        <v>1.351502762977369</v>
      </c>
      <c r="N44" s="115">
        <v>29.063807287243382</v>
      </c>
      <c r="O44" s="115">
        <v>0.89511909207098117</v>
      </c>
      <c r="P44" s="115">
        <v>0.95320115830310526</v>
      </c>
      <c r="Q44" s="111">
        <v>0.89511909207098117</v>
      </c>
      <c r="R44" s="68">
        <v>0.95320115830310526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0.49032539359516081</v>
      </c>
      <c r="M45" s="115">
        <v>5.2618730808564234</v>
      </c>
      <c r="N45" s="115">
        <v>202.70783043474003</v>
      </c>
      <c r="O45" s="115">
        <v>2.3607261489277862</v>
      </c>
      <c r="P45" s="115">
        <v>2.2224305138777205</v>
      </c>
      <c r="Q45" s="111">
        <v>2.3607261489277862</v>
      </c>
      <c r="R45" s="68">
        <v>2.2224305138777209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0.51158380364680078</v>
      </c>
      <c r="M46" s="115">
        <v>4.9338360638329251</v>
      </c>
      <c r="N46" s="115">
        <v>188.16130003325813</v>
      </c>
      <c r="O46" s="115">
        <v>2.2331028705203382</v>
      </c>
      <c r="P46" s="115">
        <v>2.1073085750155292</v>
      </c>
      <c r="Q46" s="111">
        <v>2.2331028705203382</v>
      </c>
      <c r="R46" s="68">
        <v>2.1073085750155296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6.4827006431332067E-4</v>
      </c>
      <c r="M47" s="115">
        <v>83.384263553324473</v>
      </c>
      <c r="N47" s="115">
        <v>3571.0635040249631</v>
      </c>
      <c r="O47" s="115">
        <v>21.537343970448369</v>
      </c>
      <c r="P47" s="115">
        <v>9.2255549463806723</v>
      </c>
      <c r="Q47" s="111">
        <v>21.537343970448372</v>
      </c>
      <c r="R47" s="68">
        <v>9.2255549463806723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0.90174024205807302</v>
      </c>
      <c r="M48" s="115">
        <v>1.0199460110141212</v>
      </c>
      <c r="N48" s="115">
        <v>10.20564905090542</v>
      </c>
      <c r="O48" s="115">
        <v>0.83570068168045897</v>
      </c>
      <c r="P48" s="115">
        <v>0.93871687048003538</v>
      </c>
      <c r="Q48" s="111">
        <v>0.83570068168045908</v>
      </c>
      <c r="R48" s="68">
        <v>0.93871687048003549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0.86120709633835879</v>
      </c>
      <c r="M49" s="115">
        <v>1.159280369177375</v>
      </c>
      <c r="N49" s="115">
        <v>17.478714708223915</v>
      </c>
      <c r="O49" s="115">
        <v>0.86883360325586867</v>
      </c>
      <c r="P49" s="115">
        <v>0.95559501648020306</v>
      </c>
      <c r="Q49" s="111">
        <v>0.86883360325586867</v>
      </c>
      <c r="R49" s="68">
        <v>0.95559501648020317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7.5344811984218329E-2</v>
      </c>
      <c r="M50" s="115">
        <v>13.814223703719097</v>
      </c>
      <c r="N50" s="115">
        <v>579.69035985814912</v>
      </c>
      <c r="O50" s="115">
        <v>6.0623622748908392</v>
      </c>
      <c r="P50" s="115">
        <v>5.9087482717749555</v>
      </c>
      <c r="Q50" s="111">
        <v>6.0623622748908392</v>
      </c>
      <c r="R50" s="68">
        <v>5.9087482717749555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0.90088822527357548</v>
      </c>
      <c r="M51" s="115">
        <v>0.81893507956057188</v>
      </c>
      <c r="N51" s="115">
        <v>1.8505264202495886</v>
      </c>
      <c r="O51" s="115">
        <v>0.76019331632359577</v>
      </c>
      <c r="P51" s="115">
        <v>0.87720638366798365</v>
      </c>
      <c r="Q51" s="111">
        <v>0.76019331632359577</v>
      </c>
      <c r="R51" s="68">
        <v>0.87720638366798365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0.72323051424276819</v>
      </c>
      <c r="M52" s="115">
        <v>1.7783375944124464</v>
      </c>
      <c r="N52" s="115">
        <v>48.304320552879254</v>
      </c>
      <c r="O52" s="115">
        <v>1.04438308664684</v>
      </c>
      <c r="P52" s="115">
        <v>1.0735778757969392</v>
      </c>
      <c r="Q52" s="111">
        <v>1.04438308664684</v>
      </c>
      <c r="R52" s="68">
        <v>1.0735778757969392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0.37940084215188391</v>
      </c>
      <c r="M53" s="115">
        <v>7.0381957921264098</v>
      </c>
      <c r="N53" s="115">
        <v>281.43680676367785</v>
      </c>
      <c r="O53" s="115">
        <v>3.0653927411819866</v>
      </c>
      <c r="P53" s="115">
        <v>2.8710213021441477</v>
      </c>
      <c r="Q53" s="111">
        <v>3.065392741181987</v>
      </c>
      <c r="R53" s="68">
        <v>2.8710213021441482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9.0402038918546387E-4</v>
      </c>
      <c r="M54" s="115">
        <v>76.393733164757165</v>
      </c>
      <c r="N54" s="115">
        <v>3268.4573414833831</v>
      </c>
      <c r="O54" s="115">
        <v>20.063118010184049</v>
      </c>
      <c r="P54" s="115">
        <v>9.0094309159282115</v>
      </c>
      <c r="Q54" s="111">
        <v>20.063118010184049</v>
      </c>
      <c r="R54" s="68">
        <v>9.0094309159282133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0.13645633361651341</v>
      </c>
      <c r="M55" s="115">
        <v>10.139558344550746</v>
      </c>
      <c r="N55" s="115">
        <v>421.62215302717919</v>
      </c>
      <c r="O55" s="115">
        <v>4.3778520377067078</v>
      </c>
      <c r="P55" s="115">
        <v>4.1760743860891862</v>
      </c>
      <c r="Q55" s="111">
        <v>4.3778520377067087</v>
      </c>
      <c r="R55" s="68">
        <v>4.1760743860891862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1.6156047685359796E-2</v>
      </c>
      <c r="M56" s="115">
        <v>5.9515859959793778</v>
      </c>
      <c r="N56" s="115">
        <v>250.76433208707513</v>
      </c>
      <c r="O56" s="115">
        <v>2.6570291618949771</v>
      </c>
      <c r="P56" s="115">
        <v>2.6369245572369744</v>
      </c>
      <c r="Q56" s="111">
        <v>2.6570291618949771</v>
      </c>
      <c r="R56" s="68">
        <v>2.6369245572369744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2.9217866891441634E-2</v>
      </c>
      <c r="M57" s="115">
        <v>2.9316346824814867</v>
      </c>
      <c r="N57" s="115">
        <v>122.36216186815034</v>
      </c>
      <c r="O57" s="115">
        <v>1.2713003259826183</v>
      </c>
      <c r="P57" s="115">
        <v>1.2209389324743032</v>
      </c>
      <c r="Q57" s="111">
        <v>1.2713003259826183</v>
      </c>
      <c r="R57" s="68">
        <v>1.2209389324743034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5.9158191901437181E-2</v>
      </c>
      <c r="M58" s="115">
        <v>8.7197516491656066E-2</v>
      </c>
      <c r="N58" s="115">
        <v>1.5165390621831163</v>
      </c>
      <c r="O58" s="115">
        <v>6.2597261286845604E-2</v>
      </c>
      <c r="P58" s="115">
        <v>6.8107277857841986E-2</v>
      </c>
      <c r="Q58" s="111">
        <v>6.2597261286845604E-2</v>
      </c>
      <c r="R58" s="68">
        <v>6.8107277857841986E-2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1.2024739379297242E-2</v>
      </c>
      <c r="M59" s="115">
        <v>1.1256470023267295</v>
      </c>
      <c r="N59" s="115">
        <v>46.945788655945996</v>
      </c>
      <c r="O59" s="115">
        <v>0.48758868599156174</v>
      </c>
      <c r="P59" s="115">
        <v>0.46752103991636002</v>
      </c>
      <c r="Q59" s="111">
        <v>0.48758868599156174</v>
      </c>
      <c r="R59" s="68">
        <v>0.46752103991636007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4.4946660853616334E-4</v>
      </c>
      <c r="M60" s="115">
        <v>1.9686940404747378E-2</v>
      </c>
      <c r="N60" s="115">
        <v>0.81091412465301416</v>
      </c>
      <c r="O60" s="115">
        <v>8.4681844291234001E-3</v>
      </c>
      <c r="P60" s="115">
        <v>7.9955377566704056E-3</v>
      </c>
      <c r="Q60" s="111">
        <v>8.4681844291234019E-3</v>
      </c>
      <c r="R60" s="68">
        <v>7.9955377566704056E-3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0.2843897098522456</v>
      </c>
      <c r="M61" s="115">
        <v>8.8497784945246121</v>
      </c>
      <c r="N61" s="115">
        <v>361.25798209197347</v>
      </c>
      <c r="O61" s="115">
        <v>3.8120961585343327</v>
      </c>
      <c r="P61" s="115">
        <v>3.5817928643925541</v>
      </c>
      <c r="Q61" s="111">
        <v>3.8120961585343327</v>
      </c>
      <c r="R61" s="68">
        <v>3.5817928643925541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3.8657366901405912E-3</v>
      </c>
      <c r="M62" s="115">
        <v>39.064146361937631</v>
      </c>
      <c r="N62" s="115">
        <v>1662.8468355155849</v>
      </c>
      <c r="O62" s="115">
        <v>12.200543775477362</v>
      </c>
      <c r="P62" s="115">
        <v>8.0122178656871785</v>
      </c>
      <c r="Q62" s="111">
        <v>12.200543775477362</v>
      </c>
      <c r="R62" s="68">
        <v>8.0122178656871785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3.5469576457943067E-4</v>
      </c>
      <c r="M63" s="115">
        <v>94.060112473252417</v>
      </c>
      <c r="N63" s="115">
        <v>4035.0830973172719</v>
      </c>
      <c r="O63" s="115">
        <v>23.78324460603427</v>
      </c>
      <c r="P63" s="115">
        <v>9.570962531449954</v>
      </c>
      <c r="Q63" s="111">
        <v>23.78324460603427</v>
      </c>
      <c r="R63" s="68">
        <v>9.5709625314499558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1.231649984525862E-4</v>
      </c>
      <c r="M64" s="115">
        <v>107.39691314139357</v>
      </c>
      <c r="N64" s="115">
        <v>4619.9301082186248</v>
      </c>
      <c r="O64" s="115">
        <v>26.570044796187286</v>
      </c>
      <c r="P64" s="115">
        <v>10.037782706026869</v>
      </c>
      <c r="Q64" s="111">
        <v>26.57004479618729</v>
      </c>
      <c r="R64" s="68">
        <v>10.037782706026871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3.4638804996179378E-5</v>
      </c>
      <c r="M65" s="115">
        <v>116.94748394601157</v>
      </c>
      <c r="N65" s="115">
        <v>5046.3984544227696</v>
      </c>
      <c r="O65" s="115">
        <v>28.526979520341431</v>
      </c>
      <c r="P65" s="115">
        <v>10.404865543479938</v>
      </c>
      <c r="Q65" s="111">
        <v>28.526979520341435</v>
      </c>
      <c r="R65" s="68">
        <v>10.404865543479938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7.1751737274069091E-5</v>
      </c>
      <c r="M66" s="115">
        <v>112.1373933062638</v>
      </c>
      <c r="N66" s="115">
        <v>4830.3259006066155</v>
      </c>
      <c r="O66" s="115">
        <v>27.548542570187319</v>
      </c>
      <c r="P66" s="115">
        <v>10.215698837359721</v>
      </c>
      <c r="Q66" s="111">
        <v>27.548542570187323</v>
      </c>
      <c r="R66" s="68">
        <v>10.215698837359721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0.81217120844125124</v>
      </c>
      <c r="M67" s="115">
        <v>1.5923279885517636</v>
      </c>
      <c r="N67" s="115">
        <v>37.330119626550655</v>
      </c>
      <c r="O67" s="115">
        <v>1.0133450923805789</v>
      </c>
      <c r="P67" s="115">
        <v>1.0669900502706731</v>
      </c>
      <c r="Q67" s="111">
        <v>1.0133450923805791</v>
      </c>
      <c r="R67" s="68">
        <v>1.0669900502706731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0.74126629422236379</v>
      </c>
      <c r="M68" s="115">
        <v>2.1342549928130712</v>
      </c>
      <c r="N68" s="115">
        <v>62.53633557718971</v>
      </c>
      <c r="O68" s="115">
        <v>1.1941020952686274</v>
      </c>
      <c r="P68" s="115">
        <v>1.2088023070683531</v>
      </c>
      <c r="Q68" s="111">
        <v>1.1941020952686274</v>
      </c>
      <c r="R68" s="68">
        <v>1.2088023070683531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1.3997942556693457E-3</v>
      </c>
      <c r="M69" s="115">
        <v>66.000389493822283</v>
      </c>
      <c r="N69" s="115">
        <v>2819.8952428772832</v>
      </c>
      <c r="O69" s="115">
        <v>17.867088226674809</v>
      </c>
      <c r="P69" s="115">
        <v>8.6986284876196258</v>
      </c>
      <c r="Q69" s="111">
        <v>17.867088226674809</v>
      </c>
      <c r="R69" s="68">
        <v>8.6986284876196276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2.563360445504731E-2</v>
      </c>
      <c r="M70" s="115">
        <v>15.40112112590483</v>
      </c>
      <c r="N70" s="115">
        <v>650.27052411866805</v>
      </c>
      <c r="O70" s="115">
        <v>6.9681625366731232</v>
      </c>
      <c r="P70" s="115">
        <v>7.0052900518756935</v>
      </c>
      <c r="Q70" s="111">
        <v>6.9681625366731232</v>
      </c>
      <c r="R70" s="68">
        <v>7.0052900518756944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0.74164085071117958</v>
      </c>
      <c r="M71" s="115">
        <v>2.0018553170274225</v>
      </c>
      <c r="N71" s="115">
        <v>56.986340580504553</v>
      </c>
      <c r="O71" s="115">
        <v>1.1416362705992313</v>
      </c>
      <c r="P71" s="115">
        <v>1.1627847697459857</v>
      </c>
      <c r="Q71" s="111">
        <v>1.1416362705992316</v>
      </c>
      <c r="R71" s="68">
        <v>1.1627847697459857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2.9616662158527759E-2</v>
      </c>
      <c r="M72" s="115">
        <v>15.116207866656444</v>
      </c>
      <c r="N72" s="115">
        <v>637.82632884920588</v>
      </c>
      <c r="O72" s="115">
        <v>6.8082064043894102</v>
      </c>
      <c r="P72" s="115">
        <v>6.8150208625652979</v>
      </c>
      <c r="Q72" s="111">
        <v>6.8082064043894102</v>
      </c>
      <c r="R72" s="68">
        <v>6.8150208625652979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0.26168702727626936</v>
      </c>
      <c r="M73" s="115">
        <v>9.1232736699418151</v>
      </c>
      <c r="N73" s="115">
        <v>373.6596205486706</v>
      </c>
      <c r="O73" s="115">
        <v>3.9263904495441602</v>
      </c>
      <c r="P73" s="115">
        <v>3.694451512142273</v>
      </c>
      <c r="Q73" s="111">
        <v>3.9263904495441602</v>
      </c>
      <c r="R73" s="68">
        <v>3.694451512142273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2.6749685479693665E-2</v>
      </c>
      <c r="M74" s="115">
        <v>15.339834396131565</v>
      </c>
      <c r="N74" s="115">
        <v>647.56536451664624</v>
      </c>
      <c r="O74" s="115">
        <v>6.931354563364204</v>
      </c>
      <c r="P74" s="115">
        <v>6.9596986264710212</v>
      </c>
      <c r="Q74" s="111">
        <v>6.931354563364204</v>
      </c>
      <c r="R74" s="68">
        <v>6.9596986264710212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4.3322557680613178E-3</v>
      </c>
      <c r="M75" s="115">
        <v>9.7874419960282921</v>
      </c>
      <c r="N75" s="115">
        <v>548.34791987792926</v>
      </c>
      <c r="O75" s="115">
        <v>5.9657290613594487</v>
      </c>
      <c r="P75" s="115">
        <v>8.7044990913499642</v>
      </c>
      <c r="Q75" s="111">
        <v>5.9657290613594496</v>
      </c>
      <c r="R75" s="68">
        <v>8.704499091349966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4.3322557703790151E-3</v>
      </c>
      <c r="M76" s="115">
        <v>9.7874420012644379</v>
      </c>
      <c r="N76" s="115">
        <v>548.3479201712878</v>
      </c>
      <c r="O76" s="115">
        <v>5.9657290645510317</v>
      </c>
      <c r="P76" s="115">
        <v>8.7044990960067512</v>
      </c>
      <c r="Q76" s="111">
        <v>5.9657290645510317</v>
      </c>
      <c r="R76" s="68">
        <v>8.7044990960067512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0.10116503177238058</v>
      </c>
      <c r="M77" s="115">
        <v>12.795739405093075</v>
      </c>
      <c r="N77" s="115">
        <v>535.33065531657007</v>
      </c>
      <c r="O77" s="115">
        <v>5.5719765561377619</v>
      </c>
      <c r="P77" s="115">
        <v>5.3808781875564602</v>
      </c>
      <c r="Q77" s="111">
        <v>5.5719765561377628</v>
      </c>
      <c r="R77" s="68">
        <v>5.3808781875564602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0.52484680116110727</v>
      </c>
      <c r="M78" s="115">
        <v>4.3669156613425297</v>
      </c>
      <c r="N78" s="115">
        <v>163.89621124481303</v>
      </c>
      <c r="O78" s="115">
        <v>2.0047001826570408</v>
      </c>
      <c r="P78" s="115">
        <v>1.8997105794972784</v>
      </c>
      <c r="Q78" s="111">
        <v>2.0047001826570412</v>
      </c>
      <c r="R78" s="68">
        <v>1.8997105794972784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0.36857457060472149</v>
      </c>
      <c r="M79" s="115">
        <v>7.1488942818207155</v>
      </c>
      <c r="N79" s="115">
        <v>286.49806203657238</v>
      </c>
      <c r="O79" s="115">
        <v>3.1089776025218181</v>
      </c>
      <c r="P79" s="115">
        <v>2.9118969095149621</v>
      </c>
      <c r="Q79" s="111">
        <v>3.1089776025218185</v>
      </c>
      <c r="R79" s="68">
        <v>2.9118969095149621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2.9275460434080181E-3</v>
      </c>
      <c r="M80" s="115">
        <v>18.947236628985259</v>
      </c>
      <c r="N80" s="115">
        <v>1061.8051346164623</v>
      </c>
      <c r="O80" s="115">
        <v>7.3141047352278239</v>
      </c>
      <c r="P80" s="115">
        <v>9.1773045361524748</v>
      </c>
      <c r="Q80" s="111">
        <v>7.3141047352278239</v>
      </c>
      <c r="R80" s="68">
        <v>9.1773045361524748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0.96691598384303734</v>
      </c>
      <c r="M81" s="115">
        <v>0.87175405831616037</v>
      </c>
      <c r="N81" s="115">
        <v>1.6862268666324365</v>
      </c>
      <c r="O81" s="115">
        <v>0.81328551520718639</v>
      </c>
      <c r="P81" s="115">
        <v>0.93944587022971215</v>
      </c>
      <c r="Q81" s="111">
        <v>0.8132855152071865</v>
      </c>
      <c r="R81" s="68">
        <v>0.93944587022971215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0.71788537262318675</v>
      </c>
      <c r="M82" s="115">
        <v>2.4479839774891072</v>
      </c>
      <c r="N82" s="115">
        <v>76.502477634645714</v>
      </c>
      <c r="O82" s="115">
        <v>1.3085622683269817</v>
      </c>
      <c r="P82" s="115">
        <v>1.3049965275612241</v>
      </c>
      <c r="Q82" s="111">
        <v>1.3085622683269817</v>
      </c>
      <c r="R82" s="68">
        <v>1.3049965275612241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0.12708764908241679</v>
      </c>
      <c r="M83" s="115">
        <v>12.459989672626397</v>
      </c>
      <c r="N83" s="115">
        <v>519.92744719231052</v>
      </c>
      <c r="O83" s="115">
        <v>5.4012050466854964</v>
      </c>
      <c r="P83" s="115">
        <v>5.1844477468202816</v>
      </c>
      <c r="Q83" s="111">
        <v>5.4012050466854964</v>
      </c>
      <c r="R83" s="68">
        <v>5.1844477468202816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0.93040194427981215</v>
      </c>
      <c r="M84" s="115">
        <v>0.96381175898446225</v>
      </c>
      <c r="N84" s="115">
        <v>6.8340013850061307</v>
      </c>
      <c r="O84" s="115">
        <v>0.82887576516320316</v>
      </c>
      <c r="P84" s="115">
        <v>0.9411104534059519</v>
      </c>
      <c r="Q84" s="111">
        <v>0.82887576516320316</v>
      </c>
      <c r="R84" s="68">
        <v>0.94111045340595201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0.98454873618672722</v>
      </c>
      <c r="M85" s="115">
        <v>0.85467748434127111</v>
      </c>
      <c r="N85" s="115">
        <v>0.345869330904995</v>
      </c>
      <c r="O85" s="115">
        <v>0.81625854262550446</v>
      </c>
      <c r="P85" s="115">
        <v>0.94749015961355509</v>
      </c>
      <c r="Q85" s="111">
        <v>0.81625854262550457</v>
      </c>
      <c r="R85" s="68">
        <v>0.94749015961355521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0.93209837773376081</v>
      </c>
      <c r="M86" s="115">
        <v>0.95807614658373619</v>
      </c>
      <c r="N86" s="115">
        <v>6.5337915363223971</v>
      </c>
      <c r="O86" s="115">
        <v>0.82757869587200272</v>
      </c>
      <c r="P86" s="115">
        <v>0.94053651674635375</v>
      </c>
      <c r="Q86" s="111">
        <v>0.82757869587200283</v>
      </c>
      <c r="R86" s="68">
        <v>0.94053651674635386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5.1548995316356191E-4</v>
      </c>
      <c r="M87" s="115">
        <v>87.73680283338382</v>
      </c>
      <c r="N87" s="115">
        <v>3759.9305579285706</v>
      </c>
      <c r="O87" s="115">
        <v>22.453897428901588</v>
      </c>
      <c r="P87" s="115">
        <v>9.3637906871451815</v>
      </c>
      <c r="Q87" s="111">
        <v>22.453897428901588</v>
      </c>
      <c r="R87" s="68">
        <v>9.3637906871451815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0.60124809527432554</v>
      </c>
      <c r="M88" s="115">
        <v>3.7524434764543835</v>
      </c>
      <c r="N88" s="115">
        <v>135.34850967319741</v>
      </c>
      <c r="O88" s="115">
        <v>1.7844993334870911</v>
      </c>
      <c r="P88" s="115">
        <v>1.7104448075507974</v>
      </c>
      <c r="Q88" s="111">
        <v>1.7844993334870911</v>
      </c>
      <c r="R88" s="68">
        <v>1.7104448075507974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0.69812336180324108</v>
      </c>
      <c r="M89" s="115">
        <v>2.6481745297286459</v>
      </c>
      <c r="N89" s="115">
        <v>85.592740425399057</v>
      </c>
      <c r="O89" s="115">
        <v>1.3798490251224451</v>
      </c>
      <c r="P89" s="115">
        <v>1.3643349829241547</v>
      </c>
      <c r="Q89" s="111">
        <v>1.3798490251224453</v>
      </c>
      <c r="R89" s="68">
        <v>1.3643349829241547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0.86306529450617486</v>
      </c>
      <c r="M90" s="115">
        <v>1.2846523086196937</v>
      </c>
      <c r="N90" s="115">
        <v>22.647778862054995</v>
      </c>
      <c r="O90" s="115">
        <v>0.91807765143443265</v>
      </c>
      <c r="P90" s="115">
        <v>0.99773296440516368</v>
      </c>
      <c r="Q90" s="111">
        <v>0.91807765143443265</v>
      </c>
      <c r="R90" s="68">
        <v>0.99773296440516379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3.3587520538309714E-3</v>
      </c>
      <c r="M91" s="115">
        <v>42.862106692476992</v>
      </c>
      <c r="N91" s="115">
        <v>1825.5603609878283</v>
      </c>
      <c r="O91" s="115">
        <v>12.998382740091975</v>
      </c>
      <c r="P91" s="115">
        <v>8.101147638461434</v>
      </c>
      <c r="Q91" s="111">
        <v>12.998382740091975</v>
      </c>
      <c r="R91" s="68">
        <v>8.1011476384614358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0.17718429322268597</v>
      </c>
      <c r="M92" s="115">
        <v>11.204635620071185</v>
      </c>
      <c r="N92" s="115">
        <v>464.77431500808291</v>
      </c>
      <c r="O92" s="115">
        <v>4.8292295726143211</v>
      </c>
      <c r="P92" s="115">
        <v>4.5910489662871301</v>
      </c>
      <c r="Q92" s="111">
        <v>4.8292295726143211</v>
      </c>
      <c r="R92" s="68">
        <v>4.5910489662871301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3.8964585830859044E-2</v>
      </c>
      <c r="M93" s="115">
        <v>15.038053549459052</v>
      </c>
      <c r="N93" s="115">
        <v>633.75302717026273</v>
      </c>
      <c r="O93" s="115">
        <v>6.7218767175599075</v>
      </c>
      <c r="P93" s="115">
        <v>6.6791872779653483</v>
      </c>
      <c r="Q93" s="111">
        <v>6.7218767175599083</v>
      </c>
      <c r="R93" s="68">
        <v>6.6791872779653492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0.8935992404070815</v>
      </c>
      <c r="M94" s="115">
        <v>0.97868582649536806</v>
      </c>
      <c r="N94" s="115">
        <v>11.87570620174392</v>
      </c>
      <c r="O94" s="115">
        <v>1.2471320943566313</v>
      </c>
      <c r="P94" s="115">
        <v>1.7348511753414961</v>
      </c>
      <c r="Q94" s="111">
        <v>1.2471320943566313</v>
      </c>
      <c r="R94" s="68">
        <v>1.7348511753414964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7.8779406458831594E-3</v>
      </c>
      <c r="M95" s="115">
        <v>21.55092438359539</v>
      </c>
      <c r="N95" s="115">
        <v>914.28748956512345</v>
      </c>
      <c r="O95" s="115">
        <v>8.5376050804499215</v>
      </c>
      <c r="P95" s="115">
        <v>7.6552169812357045</v>
      </c>
      <c r="Q95" s="111">
        <v>8.5376050804499215</v>
      </c>
      <c r="R95" s="68">
        <v>7.6552169812357045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0.96572671978199198</v>
      </c>
      <c r="M96" s="115">
        <v>0.87362150349337597</v>
      </c>
      <c r="N96" s="115">
        <v>1.8065588592339203</v>
      </c>
      <c r="O96" s="115">
        <v>0.81335508599368334</v>
      </c>
      <c r="P96" s="115">
        <v>0.93912610988314071</v>
      </c>
      <c r="Q96" s="111">
        <v>0.81335508599368334</v>
      </c>
      <c r="R96" s="68">
        <v>0.93912610988314071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0.92953731472225387</v>
      </c>
      <c r="M97" s="115">
        <v>0.96678509171517957</v>
      </c>
      <c r="N97" s="115">
        <v>6.9891043304355351</v>
      </c>
      <c r="O97" s="115">
        <v>0.82955676499923059</v>
      </c>
      <c r="P97" s="115">
        <v>0.94142051438429009</v>
      </c>
      <c r="Q97" s="111">
        <v>0.8295567649992307</v>
      </c>
      <c r="R97" s="68">
        <v>0.94142051438429009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1.8368407967074084E-2</v>
      </c>
      <c r="M98" s="115">
        <v>15.655207307555791</v>
      </c>
      <c r="N98" s="115">
        <v>661.83862325439043</v>
      </c>
      <c r="O98" s="115">
        <v>7.1544906040918139</v>
      </c>
      <c r="P98" s="115">
        <v>7.2594865297072744</v>
      </c>
      <c r="Q98" s="111">
        <v>7.1544906040918148</v>
      </c>
      <c r="R98" s="68">
        <v>7.2594865297072744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0.98834489071646059</v>
      </c>
      <c r="M99" s="115">
        <v>0.8538970082972912</v>
      </c>
      <c r="N99" s="115">
        <v>0.17825311695220392</v>
      </c>
      <c r="O99" s="115">
        <v>0.81797364205625656</v>
      </c>
      <c r="P99" s="115">
        <v>0.95008849168639964</v>
      </c>
      <c r="Q99" s="111">
        <v>0.81797364205625656</v>
      </c>
      <c r="R99" s="68">
        <v>0.95008849168639964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0.41086162604061854</v>
      </c>
      <c r="M100" s="115">
        <v>6.5263961733153764</v>
      </c>
      <c r="N100" s="115">
        <v>258.7511329382595</v>
      </c>
      <c r="O100" s="115">
        <v>2.8600042315790706</v>
      </c>
      <c r="P100" s="115">
        <v>2.6797120608890537</v>
      </c>
      <c r="Q100" s="111">
        <v>2.8600042315790706</v>
      </c>
      <c r="R100" s="68">
        <v>2.6797120608890537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0.98257019176446192</v>
      </c>
      <c r="M101" s="115">
        <v>0.85552750854449189</v>
      </c>
      <c r="N101" s="115">
        <v>0.45172044549903845</v>
      </c>
      <c r="O101" s="115">
        <v>0.81552711811926359</v>
      </c>
      <c r="P101" s="115">
        <v>0.9462644550660384</v>
      </c>
      <c r="Q101" s="111">
        <v>0.81552711811926359</v>
      </c>
      <c r="R101" s="68">
        <v>0.94626445506603851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0.99321162933241403</v>
      </c>
      <c r="M102" s="115">
        <v>0.85469459133781955</v>
      </c>
      <c r="N102" s="115">
        <v>3.8249163222725556E-2</v>
      </c>
      <c r="O102" s="115">
        <v>0.82082245407390475</v>
      </c>
      <c r="P102" s="115">
        <v>0.95392268398605085</v>
      </c>
      <c r="Q102" s="111">
        <v>0.82082245407390486</v>
      </c>
      <c r="R102" s="68">
        <v>0.95392268398605096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0.98861557720130033</v>
      </c>
      <c r="M103" s="115">
        <v>0.85388627008509221</v>
      </c>
      <c r="N103" s="115">
        <v>0.16817323957721284</v>
      </c>
      <c r="O103" s="115">
        <v>0.8181122870173535</v>
      </c>
      <c r="P103" s="115">
        <v>0.95028656088911534</v>
      </c>
      <c r="Q103" s="111">
        <v>0.81811228701735361</v>
      </c>
      <c r="R103" s="68">
        <v>0.95028656088911534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0.94908841686416301</v>
      </c>
      <c r="M104" s="115">
        <v>0.9081306134543744</v>
      </c>
      <c r="N104" s="115">
        <v>3.8408954151264716</v>
      </c>
      <c r="O104" s="115">
        <v>0.8175530709020965</v>
      </c>
      <c r="P104" s="115">
        <v>0.93738001602113019</v>
      </c>
      <c r="Q104" s="111">
        <v>0.8175530709020965</v>
      </c>
      <c r="R104" s="68">
        <v>0.9373800160211303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0.99249753535023821</v>
      </c>
      <c r="M105" s="115">
        <v>0.85443904045419827</v>
      </c>
      <c r="N105" s="115">
        <v>5.3033264589383775E-2</v>
      </c>
      <c r="O105" s="115">
        <v>0.82035502016171569</v>
      </c>
      <c r="P105" s="115">
        <v>0.95332264837513891</v>
      </c>
      <c r="Q105" s="111">
        <v>0.8203550201617158</v>
      </c>
      <c r="R105" s="68">
        <v>0.95332264837513891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0.8247499756138752</v>
      </c>
      <c r="M106" s="115">
        <v>1.5360710826021198</v>
      </c>
      <c r="N106" s="115">
        <v>34.527273385917795</v>
      </c>
      <c r="O106" s="115">
        <v>0.9973460806960458</v>
      </c>
      <c r="P106" s="115">
        <v>1.0561702525269843</v>
      </c>
      <c r="Q106" s="111">
        <v>0.9973460806960458</v>
      </c>
      <c r="R106" s="68">
        <v>1.0561702525269843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1.3656444386420193E-2</v>
      </c>
      <c r="M107" s="115">
        <v>15.760459197024526</v>
      </c>
      <c r="N107" s="115">
        <v>666.95302332134463</v>
      </c>
      <c r="O107" s="115">
        <v>7.2673584966747518</v>
      </c>
      <c r="P107" s="115">
        <v>7.433348573468475</v>
      </c>
      <c r="Q107" s="111">
        <v>7.2673584966747518</v>
      </c>
      <c r="R107" s="68">
        <v>7.433348573468475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0.47296224278638049</v>
      </c>
      <c r="M108" s="115">
        <v>5.5323398583078731</v>
      </c>
      <c r="N108" s="115">
        <v>214.70022260653951</v>
      </c>
      <c r="O108" s="115">
        <v>2.4665199884310822</v>
      </c>
      <c r="P108" s="115">
        <v>2.3184067520628835</v>
      </c>
      <c r="Q108" s="111">
        <v>2.4665199884310822</v>
      </c>
      <c r="R108" s="68">
        <v>2.3184067520628839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7.62E-3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1.7780000000000001E-2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0.115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1.456E-2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1.456E-2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3.6400000000000001E-4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9.2456E-6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1.3673422605192361E-5</v>
      </c>
      <c r="J2" s="67" t="s">
        <v>231</v>
      </c>
      <c r="K2" s="68">
        <v>1.9324133113187338E-3</v>
      </c>
      <c r="L2" s="67" t="s">
        <v>231</v>
      </c>
      <c r="M2" s="68">
        <v>5.2917342180406252E-2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9.9396172534446355E-4</v>
      </c>
      <c r="J3" s="67" t="s">
        <v>231</v>
      </c>
      <c r="K3" s="68">
        <v>8.3090353747525811E-2</v>
      </c>
      <c r="L3" s="67" t="s">
        <v>231</v>
      </c>
      <c r="M3" s="68">
        <v>3.5584763498517846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1.7466922094440797E-3</v>
      </c>
      <c r="J4" s="67" t="s">
        <v>231</v>
      </c>
      <c r="K4" s="68">
        <v>7.5136243459719932E-3</v>
      </c>
      <c r="L4" s="67" t="s">
        <v>231</v>
      </c>
      <c r="M4" s="68">
        <v>0.30237157096641576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1.5396220204325478E-3</v>
      </c>
      <c r="J5" s="67" t="s">
        <v>231</v>
      </c>
      <c r="K5" s="68">
        <v>2.443950289511769E-2</v>
      </c>
      <c r="L5" s="67" t="s">
        <v>231</v>
      </c>
      <c r="M5" s="68">
        <v>1.037546957662187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2.7113205101792362E-3</v>
      </c>
      <c r="J6" s="67" t="s">
        <v>231</v>
      </c>
      <c r="K6" s="68">
        <v>9.7094797637197444E-2</v>
      </c>
      <c r="L6" s="67" t="s">
        <v>231</v>
      </c>
      <c r="M6" s="68">
        <v>4.1675280247779876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3.9534361231974454E-4</v>
      </c>
      <c r="J7" s="67" t="s">
        <v>231</v>
      </c>
      <c r="K7" s="68">
        <v>8.5591700448387112E-2</v>
      </c>
      <c r="L7" s="67" t="s">
        <v>231</v>
      </c>
      <c r="M7" s="68">
        <v>3.666802356133005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7.6352026298069718E-4</v>
      </c>
      <c r="J8" s="67" t="s">
        <v>231</v>
      </c>
      <c r="K8" s="68">
        <v>6.8175722994487792E-2</v>
      </c>
      <c r="L8" s="67" t="s">
        <v>231</v>
      </c>
      <c r="M8" s="68">
        <v>2.9136429519408233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2.1718594160132746E-4</v>
      </c>
      <c r="J9" s="67" t="s">
        <v>231</v>
      </c>
      <c r="K9" s="68">
        <v>1.4400493497622015E-2</v>
      </c>
      <c r="L9" s="67" t="s">
        <v>231</v>
      </c>
      <c r="M9" s="68">
        <v>0.60539565226647718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9.2646166926000349E-4</v>
      </c>
      <c r="J10" s="67" t="s">
        <v>231</v>
      </c>
      <c r="K10" s="68">
        <v>2.6135133958896613E-2</v>
      </c>
      <c r="L10" s="67" t="s">
        <v>231</v>
      </c>
      <c r="M10" s="68">
        <v>1.1099405004068068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2.2802564540846224E-4</v>
      </c>
      <c r="J11" s="67" t="s">
        <v>231</v>
      </c>
      <c r="K11" s="68">
        <v>2.9135151256307792E-2</v>
      </c>
      <c r="L11" s="67" t="s">
        <v>231</v>
      </c>
      <c r="M11" s="68">
        <v>1.238095096891088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4.6645922611227746E-4</v>
      </c>
      <c r="J12" s="67" t="s">
        <v>231</v>
      </c>
      <c r="K12" s="68">
        <v>1.5066317024521152E-2</v>
      </c>
      <c r="L12" s="67" t="s">
        <v>231</v>
      </c>
      <c r="M12" s="68">
        <v>0.63501269878575961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1.0122050410937109E-2</v>
      </c>
      <c r="J13" s="67" t="s">
        <v>232</v>
      </c>
      <c r="K13" s="68">
        <v>1.4473961190105626E-2</v>
      </c>
      <c r="L13" s="67" t="s">
        <v>231</v>
      </c>
      <c r="M13" s="68">
        <v>0.60865154654546361</v>
      </c>
      <c r="N13" s="67" t="s">
        <v>231</v>
      </c>
      <c r="P13" s="109" t="s">
        <v>192</v>
      </c>
      <c r="Q13" s="103">
        <f>COUNTIF(J2:J50000,"Yes")</f>
        <v>4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2.1755247509659269E-3</v>
      </c>
      <c r="J14" s="67" t="s">
        <v>231</v>
      </c>
      <c r="K14" s="68">
        <v>3.9807891386531381E-2</v>
      </c>
      <c r="L14" s="67" t="s">
        <v>231</v>
      </c>
      <c r="M14" s="68">
        <v>1.6947007354966062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1.093514553783669E-3</v>
      </c>
      <c r="J15" s="67" t="s">
        <v>231</v>
      </c>
      <c r="K15" s="68">
        <v>2.7608161421885651E-2</v>
      </c>
      <c r="L15" s="67" t="s">
        <v>231</v>
      </c>
      <c r="M15" s="68">
        <v>1.1728539602485299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8.0310671556765791E-4</v>
      </c>
      <c r="J16" s="67" t="s">
        <v>231</v>
      </c>
      <c r="K16" s="68">
        <v>6.7318293837580548E-2</v>
      </c>
      <c r="L16" s="67" t="s">
        <v>231</v>
      </c>
      <c r="M16" s="68">
        <v>2.8766807198873101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6.4857855250022723E-4</v>
      </c>
      <c r="J17" s="67" t="s">
        <v>231</v>
      </c>
      <c r="K17" s="68">
        <v>2.4996821416874627E-2</v>
      </c>
      <c r="L17" s="67" t="s">
        <v>231</v>
      </c>
      <c r="M17" s="68">
        <v>1.0613377314541625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1.6148690275579296E-3</v>
      </c>
      <c r="J18" s="67" t="s">
        <v>231</v>
      </c>
      <c r="K18" s="68">
        <v>1.3995187140537267E-2</v>
      </c>
      <c r="L18" s="67" t="s">
        <v>231</v>
      </c>
      <c r="M18" s="68">
        <v>0.58757004838462767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6.6482363607096992E-3</v>
      </c>
      <c r="J19" s="67" t="s">
        <v>231</v>
      </c>
      <c r="K19" s="68">
        <v>2.7909529041491157E-2</v>
      </c>
      <c r="L19" s="67" t="s">
        <v>231</v>
      </c>
      <c r="M19" s="68">
        <v>1.1857280904910192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1.0473756438920147E-3</v>
      </c>
      <c r="J20" s="67" t="s">
        <v>231</v>
      </c>
      <c r="K20" s="68">
        <v>1.4475894540710894E-2</v>
      </c>
      <c r="L20" s="67" t="s">
        <v>231</v>
      </c>
      <c r="M20" s="68">
        <v>0.60873284680739292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3.1372781263699087E-3</v>
      </c>
      <c r="J21" s="67" t="s">
        <v>231</v>
      </c>
      <c r="K21" s="68">
        <v>3.6495566415840272E-2</v>
      </c>
      <c r="L21" s="67" t="s">
        <v>231</v>
      </c>
      <c r="M21" s="68">
        <v>1.5528820144306812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8.6457320614845669E-5</v>
      </c>
      <c r="J22" s="67" t="s">
        <v>231</v>
      </c>
      <c r="K22" s="68">
        <v>4.2221346415475276E-3</v>
      </c>
      <c r="L22" s="67" t="s">
        <v>231</v>
      </c>
      <c r="M22" s="68">
        <v>0.15642802512825218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2.930390044389123E-5</v>
      </c>
      <c r="J23" s="67" t="s">
        <v>231</v>
      </c>
      <c r="K23" s="68">
        <v>2.5125126877367098E-3</v>
      </c>
      <c r="L23" s="67" t="s">
        <v>231</v>
      </c>
      <c r="M23" s="68">
        <v>7.9436821855341178E-2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8.1373111917124434E-5</v>
      </c>
      <c r="J24" s="67" t="s">
        <v>231</v>
      </c>
      <c r="K24" s="68">
        <v>1.1274622888495123E-2</v>
      </c>
      <c r="L24" s="67" t="s">
        <v>231</v>
      </c>
      <c r="M24" s="68">
        <v>0.4678501235309907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4.0393638406992959E-4</v>
      </c>
      <c r="J25" s="67" t="s">
        <v>231</v>
      </c>
      <c r="K25" s="68">
        <v>1.5378840007026622E-2</v>
      </c>
      <c r="L25" s="67" t="s">
        <v>231</v>
      </c>
      <c r="M25" s="68">
        <v>0.64983619815872917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8.3012301996245779E-4</v>
      </c>
      <c r="J26" s="67" t="s">
        <v>231</v>
      </c>
      <c r="K26" s="68">
        <v>3.4387712230715448E-2</v>
      </c>
      <c r="L26" s="67" t="s">
        <v>231</v>
      </c>
      <c r="M26" s="68">
        <v>1.4626825496336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5.4604366616376506E-4</v>
      </c>
      <c r="J27" s="67" t="s">
        <v>231</v>
      </c>
      <c r="K27" s="68">
        <v>8.1297324511680993E-2</v>
      </c>
      <c r="L27" s="67" t="s">
        <v>231</v>
      </c>
      <c r="M27" s="68">
        <v>3.4807347496454875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2.9442187641520344E-4</v>
      </c>
      <c r="J28" s="67" t="s">
        <v>231</v>
      </c>
      <c r="K28" s="68">
        <v>5.0476308491128122E-2</v>
      </c>
      <c r="L28" s="67" t="s">
        <v>231</v>
      </c>
      <c r="M28" s="68">
        <v>2.1521754716240684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1.8067631604921184E-4</v>
      </c>
      <c r="J29" s="67" t="s">
        <v>231</v>
      </c>
      <c r="K29" s="68">
        <v>3.7648461432319397E-2</v>
      </c>
      <c r="L29" s="67" t="s">
        <v>231</v>
      </c>
      <c r="M29" s="68">
        <v>1.6024929933122427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2.9442187641520344E-4</v>
      </c>
      <c r="J30" s="67" t="s">
        <v>231</v>
      </c>
      <c r="K30" s="68">
        <v>5.0476308491128122E-2</v>
      </c>
      <c r="L30" s="67" t="s">
        <v>231</v>
      </c>
      <c r="M30" s="68">
        <v>2.1521754716240684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8.1327920769078123E-8</v>
      </c>
      <c r="J31" s="67" t="s">
        <v>231</v>
      </c>
      <c r="K31" s="68">
        <v>8.6372790048056469E-4</v>
      </c>
      <c r="L31" s="67" t="s">
        <v>231</v>
      </c>
      <c r="M31" s="68">
        <v>1.1399738554619E-3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8.4114440680866081E-6</v>
      </c>
      <c r="J32" s="67" t="s">
        <v>231</v>
      </c>
      <c r="K32" s="68">
        <v>6.2240653145660338E-3</v>
      </c>
      <c r="L32" s="67" t="s">
        <v>231</v>
      </c>
      <c r="M32" s="68">
        <v>0.24255666637160395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8.1314421548396885E-8</v>
      </c>
      <c r="J33" s="67" t="s">
        <v>231</v>
      </c>
      <c r="K33" s="68">
        <v>8.6375029279283245E-4</v>
      </c>
      <c r="L33" s="67" t="s">
        <v>231</v>
      </c>
      <c r="M33" s="68">
        <v>5.9117559271138604E-4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1.9351707929149521E-10</v>
      </c>
      <c r="J34" s="67" t="s">
        <v>231</v>
      </c>
      <c r="K34" s="68">
        <v>1.2722360953513559E-3</v>
      </c>
      <c r="L34" s="67" t="s">
        <v>231</v>
      </c>
      <c r="M34" s="68">
        <v>4.5000907730328388E-2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1.9745235874697852E-7</v>
      </c>
      <c r="J35" s="67" t="s">
        <v>231</v>
      </c>
      <c r="K35" s="68">
        <v>1.4164688629901968E-3</v>
      </c>
      <c r="L35" s="67" t="s">
        <v>231</v>
      </c>
      <c r="M35" s="68">
        <v>6.3675763867648075E-2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1.799317712587694E-7</v>
      </c>
      <c r="J36" s="67" t="s">
        <v>231</v>
      </c>
      <c r="K36" s="68">
        <v>1.4792652511811256E-3</v>
      </c>
      <c r="L36" s="67" t="s">
        <v>231</v>
      </c>
      <c r="M36" s="68">
        <v>7.7373144164463087E-2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1.9333514666185885E-6</v>
      </c>
      <c r="J37" s="67" t="s">
        <v>231</v>
      </c>
      <c r="K37" s="68">
        <v>4.0156868063411233E-3</v>
      </c>
      <c r="L37" s="67" t="s">
        <v>231</v>
      </c>
      <c r="M37" s="68">
        <v>0.17474043312151818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1.0519003019954907E-6</v>
      </c>
      <c r="J38" s="67" t="s">
        <v>231</v>
      </c>
      <c r="K38" s="68">
        <v>1.253238873520643E-3</v>
      </c>
      <c r="L38" s="67" t="s">
        <v>231</v>
      </c>
      <c r="M38" s="68">
        <v>4.0295438811364138E-2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2.0878749641164003E-4</v>
      </c>
      <c r="J39" s="67" t="s">
        <v>231</v>
      </c>
      <c r="K39" s="68">
        <v>1.6167556682571856E-2</v>
      </c>
      <c r="L39" s="67" t="s">
        <v>231</v>
      </c>
      <c r="M39" s="68">
        <v>0.68481516482834748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7.9661017729146406E-10</v>
      </c>
      <c r="J40" s="67" t="s">
        <v>231</v>
      </c>
      <c r="K40" s="68">
        <v>9.9485638108009408E-2</v>
      </c>
      <c r="L40" s="67" t="s">
        <v>231</v>
      </c>
      <c r="M40" s="68">
        <v>5.4718348517517628</v>
      </c>
      <c r="N40" s="67" t="s">
        <v>231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2.6236109073769085E-8</v>
      </c>
      <c r="J41" s="67" t="s">
        <v>231</v>
      </c>
      <c r="K41" s="68">
        <v>7.843688414284018E-4</v>
      </c>
      <c r="L41" s="67" t="s">
        <v>231</v>
      </c>
      <c r="M41" s="68">
        <v>6.4430974945963525E-5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9.4460076770901613E-4</v>
      </c>
      <c r="J42" s="67" t="s">
        <v>231</v>
      </c>
      <c r="K42" s="68">
        <v>4.7574772673783308E-3</v>
      </c>
      <c r="L42" s="67" t="s">
        <v>231</v>
      </c>
      <c r="M42" s="68">
        <v>0.18024583326438773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4.7046471467323948E-9</v>
      </c>
      <c r="J43" s="67" t="s">
        <v>231</v>
      </c>
      <c r="K43" s="68">
        <v>2.9635925350395909E-3</v>
      </c>
      <c r="L43" s="67" t="s">
        <v>231</v>
      </c>
      <c r="M43" s="68">
        <v>0.16444822396877459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1.0659933140666752E-6</v>
      </c>
      <c r="J44" s="67" t="s">
        <v>231</v>
      </c>
      <c r="K44" s="68">
        <v>1.3515027629773691E-3</v>
      </c>
      <c r="L44" s="67" t="s">
        <v>231</v>
      </c>
      <c r="M44" s="68">
        <v>2.9063807287243382E-2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8.2720055218466173E-5</v>
      </c>
      <c r="J45" s="67" t="s">
        <v>231</v>
      </c>
      <c r="K45" s="68">
        <v>5.2618730808564234E-3</v>
      </c>
      <c r="L45" s="67" t="s">
        <v>231</v>
      </c>
      <c r="M45" s="68">
        <v>0.20270783043474006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1.8612999159745994E-6</v>
      </c>
      <c r="J46" s="67" t="s">
        <v>231</v>
      </c>
      <c r="K46" s="68">
        <v>4.9338360638329247E-3</v>
      </c>
      <c r="L46" s="67" t="s">
        <v>231</v>
      </c>
      <c r="M46" s="68">
        <v>0.18816130003325815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2.5225568973554001E-3</v>
      </c>
      <c r="J47" s="142" t="s">
        <v>231</v>
      </c>
      <c r="K47" s="143">
        <v>8.338426355332447E-2</v>
      </c>
      <c r="L47" s="142" t="s">
        <v>231</v>
      </c>
      <c r="M47" s="143">
        <v>3.5710635040249632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1.8054556953528833E-6</v>
      </c>
      <c r="J48" s="142" t="s">
        <v>231</v>
      </c>
      <c r="K48" s="143">
        <v>1.0199460110141211E-3</v>
      </c>
      <c r="L48" s="142" t="s">
        <v>231</v>
      </c>
      <c r="M48" s="143">
        <v>1.0205649050905419E-2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5.0305448297024277E-6</v>
      </c>
      <c r="J49" s="142" t="s">
        <v>231</v>
      </c>
      <c r="K49" s="143">
        <v>1.159280369177375E-3</v>
      </c>
      <c r="L49" s="142" t="s">
        <v>231</v>
      </c>
      <c r="M49" s="143">
        <v>1.7478714708223913E-2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7.0949307678355742E-6</v>
      </c>
      <c r="J50" s="142" t="s">
        <v>231</v>
      </c>
      <c r="K50" s="143">
        <v>1.3814223703719097E-2</v>
      </c>
      <c r="L50" s="142" t="s">
        <v>231</v>
      </c>
      <c r="M50" s="143">
        <v>0.5796903598581491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4.0227589877990975E-8</v>
      </c>
      <c r="J51" s="142" t="s">
        <v>231</v>
      </c>
      <c r="K51" s="143">
        <v>8.1893507956057191E-4</v>
      </c>
      <c r="L51" s="142" t="s">
        <v>231</v>
      </c>
      <c r="M51" s="143">
        <v>1.8505264202495885E-3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1.0756818605329166E-5</v>
      </c>
      <c r="J52" s="142" t="s">
        <v>231</v>
      </c>
      <c r="K52" s="143">
        <v>1.7783375944124464E-3</v>
      </c>
      <c r="L52" s="142" t="s">
        <v>231</v>
      </c>
      <c r="M52" s="143">
        <v>4.8304320552879254E-2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1.5493143840186833E-4</v>
      </c>
      <c r="J53" s="142" t="s">
        <v>231</v>
      </c>
      <c r="K53" s="143">
        <v>7.0381957921264102E-3</v>
      </c>
      <c r="L53" s="142" t="s">
        <v>231</v>
      </c>
      <c r="M53" s="143">
        <v>0.28143680676367788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8.6017288478708234E-4</v>
      </c>
      <c r="J54" s="67" t="s">
        <v>231</v>
      </c>
      <c r="K54" s="68">
        <v>7.6393733164757158E-2</v>
      </c>
      <c r="L54" s="67" t="s">
        <v>231</v>
      </c>
      <c r="M54" s="68">
        <v>3.2684573414833831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1.7085141521397949E-4</v>
      </c>
      <c r="J55" s="67" t="s">
        <v>231</v>
      </c>
      <c r="K55" s="68">
        <v>1.0139558344550747E-2</v>
      </c>
      <c r="L55" s="67" t="s">
        <v>231</v>
      </c>
      <c r="M55" s="68">
        <v>0.4216221530271792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5.0767171740524705E-5</v>
      </c>
      <c r="J56" s="67" t="s">
        <v>231</v>
      </c>
      <c r="K56" s="68">
        <v>5.9515859959793777E-3</v>
      </c>
      <c r="L56" s="67" t="s">
        <v>231</v>
      </c>
      <c r="M56" s="68">
        <v>0.25076433208707516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2.3922121756065864E-5</v>
      </c>
      <c r="J57" s="67" t="s">
        <v>231</v>
      </c>
      <c r="K57" s="68">
        <v>2.9316346824814869E-3</v>
      </c>
      <c r="L57" s="67" t="s">
        <v>231</v>
      </c>
      <c r="M57" s="68">
        <v>0.12236216186815033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2.5845847028244616E-7</v>
      </c>
      <c r="J58" s="67" t="s">
        <v>231</v>
      </c>
      <c r="K58" s="68">
        <v>8.719751649165607E-5</v>
      </c>
      <c r="L58" s="67" t="s">
        <v>231</v>
      </c>
      <c r="M58" s="68">
        <v>1.5165390621831162E-3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5.7456258130886988E-6</v>
      </c>
      <c r="J59" s="67" t="s">
        <v>231</v>
      </c>
      <c r="K59" s="68">
        <v>1.1256470023267295E-3</v>
      </c>
      <c r="L59" s="67" t="s">
        <v>231</v>
      </c>
      <c r="M59" s="68">
        <v>4.6945788655945994E-2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8.9711674663802024E-8</v>
      </c>
      <c r="J60" s="67" t="s">
        <v>231</v>
      </c>
      <c r="K60" s="68">
        <v>1.9686940404747378E-5</v>
      </c>
      <c r="L60" s="67" t="s">
        <v>231</v>
      </c>
      <c r="M60" s="68">
        <v>8.1091412465301418E-4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3.3676473460770538E-2</v>
      </c>
      <c r="J61" s="67" t="s">
        <v>232</v>
      </c>
      <c r="K61" s="68">
        <v>8.8497784945246113E-3</v>
      </c>
      <c r="L61" s="67" t="s">
        <v>231</v>
      </c>
      <c r="M61" s="68">
        <v>0.36125798209197346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3.7591956785159137E-5</v>
      </c>
      <c r="J62" s="67" t="s">
        <v>231</v>
      </c>
      <c r="K62" s="68">
        <v>3.9064146361937627E-2</v>
      </c>
      <c r="L62" s="67" t="s">
        <v>231</v>
      </c>
      <c r="M62" s="68">
        <v>1.662846835515585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2.6236013796969584E-4</v>
      </c>
      <c r="J63" s="67" t="s">
        <v>231</v>
      </c>
      <c r="K63" s="68">
        <v>9.4060112473252425E-2</v>
      </c>
      <c r="L63" s="67" t="s">
        <v>231</v>
      </c>
      <c r="M63" s="68">
        <v>4.0350830973172718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1.9006562452613133E-4</v>
      </c>
      <c r="J64" s="67" t="s">
        <v>231</v>
      </c>
      <c r="K64" s="68">
        <v>0.10739691314139357</v>
      </c>
      <c r="L64" s="67" t="s">
        <v>231</v>
      </c>
      <c r="M64" s="68">
        <v>4.6199301082186253</v>
      </c>
      <c r="N64" s="67" t="s">
        <v>231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2.9142909038737381E-4</v>
      </c>
      <c r="J65" s="67" t="s">
        <v>231</v>
      </c>
      <c r="K65" s="68">
        <v>0.11694748394601158</v>
      </c>
      <c r="L65" s="67" t="s">
        <v>231</v>
      </c>
      <c r="M65" s="68">
        <v>5.0463984544227696</v>
      </c>
      <c r="N65" s="67" t="s">
        <v>231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1.1481005343447402E-6</v>
      </c>
      <c r="J66" s="67" t="s">
        <v>231</v>
      </c>
      <c r="K66" s="68">
        <v>0.11213739330626381</v>
      </c>
      <c r="L66" s="67" t="s">
        <v>231</v>
      </c>
      <c r="M66" s="68">
        <v>4.8303259006066153</v>
      </c>
      <c r="N66" s="67" t="s">
        <v>231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3.7244970192761197E-4</v>
      </c>
      <c r="J67" s="67" t="s">
        <v>231</v>
      </c>
      <c r="K67" s="68">
        <v>1.5923279885517636E-3</v>
      </c>
      <c r="L67" s="67" t="s">
        <v>231</v>
      </c>
      <c r="M67" s="68">
        <v>3.7330119626550654E-2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1.4818793384872362E-4</v>
      </c>
      <c r="J68" s="67" t="s">
        <v>231</v>
      </c>
      <c r="K68" s="68">
        <v>2.1342549928130708E-3</v>
      </c>
      <c r="L68" s="67" t="s">
        <v>231</v>
      </c>
      <c r="M68" s="68">
        <v>6.2536335577189711E-2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2.070835666052278E-7</v>
      </c>
      <c r="J69" s="67" t="s">
        <v>231</v>
      </c>
      <c r="K69" s="68">
        <v>6.6000389493822281E-2</v>
      </c>
      <c r="L69" s="67" t="s">
        <v>231</v>
      </c>
      <c r="M69" s="68">
        <v>2.819895242877283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2.2141363556655997E-4</v>
      </c>
      <c r="J70" s="67" t="s">
        <v>231</v>
      </c>
      <c r="K70" s="68">
        <v>1.5401121125904828E-2</v>
      </c>
      <c r="L70" s="67" t="s">
        <v>231</v>
      </c>
      <c r="M70" s="68">
        <v>0.65027052411866804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2.7725644730187358E-4</v>
      </c>
      <c r="J71" s="67" t="s">
        <v>231</v>
      </c>
      <c r="K71" s="68">
        <v>2.0018553170274224E-3</v>
      </c>
      <c r="L71" s="67" t="s">
        <v>231</v>
      </c>
      <c r="M71" s="68">
        <v>5.6986340580504558E-2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1.3393172155296837E-6</v>
      </c>
      <c r="J72" s="67" t="s">
        <v>231</v>
      </c>
      <c r="K72" s="68">
        <v>1.5116207866656444E-2</v>
      </c>
      <c r="L72" s="67" t="s">
        <v>231</v>
      </c>
      <c r="M72" s="68">
        <v>0.63782632884920587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4.8733066515527362E-3</v>
      </c>
      <c r="J73" s="67" t="s">
        <v>231</v>
      </c>
      <c r="K73" s="68">
        <v>9.123273669941815E-3</v>
      </c>
      <c r="L73" s="67" t="s">
        <v>231</v>
      </c>
      <c r="M73" s="68">
        <v>0.37365962054867063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4.6396778832540793E-2</v>
      </c>
      <c r="J74" s="67" t="s">
        <v>232</v>
      </c>
      <c r="K74" s="68">
        <v>1.5339834396131565E-2</v>
      </c>
      <c r="L74" s="67" t="s">
        <v>231</v>
      </c>
      <c r="M74" s="68">
        <v>0.64756536451664626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2.2677382613402281E-13</v>
      </c>
      <c r="J75" s="67" t="s">
        <v>231</v>
      </c>
      <c r="K75" s="68">
        <v>9.787441996028292E-3</v>
      </c>
      <c r="L75" s="67" t="s">
        <v>231</v>
      </c>
      <c r="M75" s="68">
        <v>0.5483479198779293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1.2475916681124297E-13</v>
      </c>
      <c r="J76" s="67" t="s">
        <v>231</v>
      </c>
      <c r="K76" s="68">
        <v>9.7874420012644368E-3</v>
      </c>
      <c r="L76" s="67" t="s">
        <v>231</v>
      </c>
      <c r="M76" s="68">
        <v>0.54834792017128786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2.4959407649451177E-7</v>
      </c>
      <c r="J77" s="67" t="s">
        <v>231</v>
      </c>
      <c r="K77" s="68">
        <v>1.2795739405093076E-2</v>
      </c>
      <c r="L77" s="67" t="s">
        <v>231</v>
      </c>
      <c r="M77" s="68">
        <v>0.53533065531657009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9.0943200111775156E-4</v>
      </c>
      <c r="J78" s="67" t="s">
        <v>231</v>
      </c>
      <c r="K78" s="68">
        <v>4.3669156613425292E-3</v>
      </c>
      <c r="L78" s="67" t="s">
        <v>231</v>
      </c>
      <c r="M78" s="68">
        <v>0.16389621124481304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1.6777214770521997E-5</v>
      </c>
      <c r="J79" s="67" t="s">
        <v>231</v>
      </c>
      <c r="K79" s="68">
        <v>7.1488942818207155E-3</v>
      </c>
      <c r="L79" s="67" t="s">
        <v>231</v>
      </c>
      <c r="M79" s="68">
        <v>0.28649806203657241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1.3457596140901435E-14</v>
      </c>
      <c r="J80" s="67" t="s">
        <v>231</v>
      </c>
      <c r="K80" s="68">
        <v>1.8947236628985259E-2</v>
      </c>
      <c r="L80" s="67" t="s">
        <v>231</v>
      </c>
      <c r="M80" s="68">
        <v>1.0618051346164623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2.2038358028566133E-5</v>
      </c>
      <c r="J81" s="67" t="s">
        <v>231</v>
      </c>
      <c r="K81" s="68">
        <v>8.7175405831616036E-4</v>
      </c>
      <c r="L81" s="67" t="s">
        <v>231</v>
      </c>
      <c r="M81" s="68">
        <v>1.6862268666324365E-3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3.3334548336749382E-5</v>
      </c>
      <c r="J82" s="67" t="s">
        <v>231</v>
      </c>
      <c r="K82" s="68">
        <v>2.4479839774891074E-3</v>
      </c>
      <c r="L82" s="67" t="s">
        <v>231</v>
      </c>
      <c r="M82" s="68">
        <v>7.650247763464571E-2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2.7660964669734362E-5</v>
      </c>
      <c r="J83" s="67" t="s">
        <v>231</v>
      </c>
      <c r="K83" s="68">
        <v>1.2459989672626398E-2</v>
      </c>
      <c r="L83" s="67" t="s">
        <v>231</v>
      </c>
      <c r="M83" s="68">
        <v>0.51992744719231054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6.0647606840315893E-6</v>
      </c>
      <c r="J84" s="67" t="s">
        <v>231</v>
      </c>
      <c r="K84" s="68">
        <v>9.6381175898446227E-4</v>
      </c>
      <c r="L84" s="67" t="s">
        <v>231</v>
      </c>
      <c r="M84" s="68">
        <v>6.8340013850061304E-3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3.3091904415040525E-8</v>
      </c>
      <c r="J85" s="67" t="s">
        <v>231</v>
      </c>
      <c r="K85" s="68">
        <v>8.5467748434127106E-4</v>
      </c>
      <c r="L85" s="67" t="s">
        <v>231</v>
      </c>
      <c r="M85" s="68">
        <v>3.4586933090499498E-4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2.3799728563426052E-6</v>
      </c>
      <c r="J86" s="67" t="s">
        <v>231</v>
      </c>
      <c r="K86" s="68">
        <v>9.5807614658373623E-4</v>
      </c>
      <c r="L86" s="67" t="s">
        <v>231</v>
      </c>
      <c r="M86" s="68">
        <v>6.5337915363223968E-3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2.9154659580237444E-3</v>
      </c>
      <c r="J87" s="67" t="s">
        <v>231</v>
      </c>
      <c r="K87" s="68">
        <v>8.7736802833383823E-2</v>
      </c>
      <c r="L87" s="67" t="s">
        <v>231</v>
      </c>
      <c r="M87" s="68">
        <v>3.7599305579285707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9.857689521389062E-5</v>
      </c>
      <c r="J88" s="67" t="s">
        <v>231</v>
      </c>
      <c r="K88" s="68">
        <v>3.7524434764543836E-3</v>
      </c>
      <c r="L88" s="67" t="s">
        <v>231</v>
      </c>
      <c r="M88" s="68">
        <v>0.13534850967319742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2.6848237919763095E-5</v>
      </c>
      <c r="J89" s="67" t="s">
        <v>231</v>
      </c>
      <c r="K89" s="68">
        <v>2.648174529728646E-3</v>
      </c>
      <c r="L89" s="67" t="s">
        <v>231</v>
      </c>
      <c r="M89" s="68">
        <v>8.5592740425399064E-2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1.7608605928650844E-6</v>
      </c>
      <c r="J90" s="67" t="s">
        <v>231</v>
      </c>
      <c r="K90" s="68">
        <v>1.2846523086196937E-3</v>
      </c>
      <c r="L90" s="67" t="s">
        <v>231</v>
      </c>
      <c r="M90" s="68">
        <v>2.2647778862054994E-2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2.2774280147075873E-3</v>
      </c>
      <c r="J91" s="67" t="s">
        <v>231</v>
      </c>
      <c r="K91" s="68">
        <v>4.2862106692476996E-2</v>
      </c>
      <c r="L91" s="67" t="s">
        <v>231</v>
      </c>
      <c r="M91" s="68">
        <v>1.8255603609878281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1.8480833842140262E-2</v>
      </c>
      <c r="J92" s="67" t="s">
        <v>232</v>
      </c>
      <c r="K92" s="68">
        <v>1.1204635620071186E-2</v>
      </c>
      <c r="L92" s="67" t="s">
        <v>231</v>
      </c>
      <c r="M92" s="68">
        <v>0.46477431500808292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5.6483019826805122E-3</v>
      </c>
      <c r="J93" s="67" t="s">
        <v>231</v>
      </c>
      <c r="K93" s="68">
        <v>1.5038053549459052E-2</v>
      </c>
      <c r="L93" s="67" t="s">
        <v>231</v>
      </c>
      <c r="M93" s="68">
        <v>0.63375302717026272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6.4806276243780382E-9</v>
      </c>
      <c r="J94" s="67" t="s">
        <v>231</v>
      </c>
      <c r="K94" s="68">
        <v>9.7868582649536799E-4</v>
      </c>
      <c r="L94" s="67" t="s">
        <v>231</v>
      </c>
      <c r="M94" s="68">
        <v>1.187570620174392E-2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4.3851754107445296E-5</v>
      </c>
      <c r="J95" s="67" t="s">
        <v>231</v>
      </c>
      <c r="K95" s="68">
        <v>2.1550924383595391E-2</v>
      </c>
      <c r="L95" s="67" t="s">
        <v>231</v>
      </c>
      <c r="M95" s="68">
        <v>0.91428748956512351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9.7178570152232958E-8</v>
      </c>
      <c r="J96" s="67" t="s">
        <v>231</v>
      </c>
      <c r="K96" s="68">
        <v>8.73621503493376E-4</v>
      </c>
      <c r="L96" s="67" t="s">
        <v>231</v>
      </c>
      <c r="M96" s="68">
        <v>1.8065588592339203E-3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3.4444113266687093E-8</v>
      </c>
      <c r="J97" s="67" t="s">
        <v>231</v>
      </c>
      <c r="K97" s="68">
        <v>9.6678509171517957E-4</v>
      </c>
      <c r="L97" s="67" t="s">
        <v>231</v>
      </c>
      <c r="M97" s="68">
        <v>6.9891043304355352E-3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8.6272851030693392E-6</v>
      </c>
      <c r="J98" s="67" t="s">
        <v>231</v>
      </c>
      <c r="K98" s="68">
        <v>1.5655207307555791E-2</v>
      </c>
      <c r="L98" s="67" t="s">
        <v>231</v>
      </c>
      <c r="M98" s="68">
        <v>0.66183862325439036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4.2004453845340488E-8</v>
      </c>
      <c r="J99" s="67" t="s">
        <v>231</v>
      </c>
      <c r="K99" s="68">
        <v>8.5389700829729129E-4</v>
      </c>
      <c r="L99" s="67" t="s">
        <v>231</v>
      </c>
      <c r="M99" s="68">
        <v>1.7825311695220393E-4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4.997783509077439E-5</v>
      </c>
      <c r="J100" s="67" t="s">
        <v>231</v>
      </c>
      <c r="K100" s="68">
        <v>6.5263961733153762E-3</v>
      </c>
      <c r="L100" s="67" t="s">
        <v>231</v>
      </c>
      <c r="M100" s="68">
        <v>0.25875113293825952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1.309683365520338E-5</v>
      </c>
      <c r="J101" s="67" t="s">
        <v>231</v>
      </c>
      <c r="K101" s="68">
        <v>8.5552750854449191E-4</v>
      </c>
      <c r="L101" s="67" t="s">
        <v>231</v>
      </c>
      <c r="M101" s="68">
        <v>4.5172044549903845E-4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6.4556589528026243E-11</v>
      </c>
      <c r="J102" s="67" t="s">
        <v>231</v>
      </c>
      <c r="K102" s="68">
        <v>8.5469459133781956E-4</v>
      </c>
      <c r="L102" s="67" t="s">
        <v>231</v>
      </c>
      <c r="M102" s="68">
        <v>3.8249163222725557E-5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9.1892142063469263E-9</v>
      </c>
      <c r="J103" s="67" t="s">
        <v>231</v>
      </c>
      <c r="K103" s="68">
        <v>8.5388627008509219E-4</v>
      </c>
      <c r="L103" s="67" t="s">
        <v>231</v>
      </c>
      <c r="M103" s="68">
        <v>1.6817323957721284E-4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4.218446160730606E-7</v>
      </c>
      <c r="J104" s="67" t="s">
        <v>231</v>
      </c>
      <c r="K104" s="68">
        <v>9.0813061345437448E-4</v>
      </c>
      <c r="L104" s="67" t="s">
        <v>231</v>
      </c>
      <c r="M104" s="68">
        <v>3.8408954151264718E-3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5.8070476765295296E-8</v>
      </c>
      <c r="J105" s="67" t="s">
        <v>231</v>
      </c>
      <c r="K105" s="68">
        <v>8.5443904045419828E-4</v>
      </c>
      <c r="L105" s="67" t="s">
        <v>231</v>
      </c>
      <c r="M105" s="68">
        <v>5.3033264589383774E-5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5.0673539735777743E-7</v>
      </c>
      <c r="J106" s="67" t="s">
        <v>231</v>
      </c>
      <c r="K106" s="68">
        <v>1.5360710826021198E-3</v>
      </c>
      <c r="L106" s="67" t="s">
        <v>231</v>
      </c>
      <c r="M106" s="68">
        <v>3.4527273385917795E-2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6.1581699967062928E-5</v>
      </c>
      <c r="J107" s="67" t="s">
        <v>231</v>
      </c>
      <c r="K107" s="68">
        <v>1.5760459197024526E-2</v>
      </c>
      <c r="L107" s="67" t="s">
        <v>231</v>
      </c>
      <c r="M107" s="68">
        <v>0.66695302332134465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6.7392705659947679E-5</v>
      </c>
      <c r="J108" s="67" t="s">
        <v>231</v>
      </c>
      <c r="K108" s="68">
        <v>5.5323398583078734E-3</v>
      </c>
      <c r="L108" s="67" t="s">
        <v>231</v>
      </c>
      <c r="M108" s="68">
        <v>0.21470022260653951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0.82045365724204589</v>
      </c>
      <c r="F2" s="14">
        <v>0.77585046229462051</v>
      </c>
      <c r="G2" s="14">
        <v>1.0081531488591489E-6</v>
      </c>
      <c r="H2" s="14">
        <v>10.483300219415769</v>
      </c>
      <c r="I2" s="14">
        <v>28.271912888532189</v>
      </c>
      <c r="J2" s="14">
        <v>0</v>
      </c>
      <c r="K2" s="14">
        <v>1.2889081705802492</v>
      </c>
      <c r="L2" s="14">
        <v>0.77585046229462062</v>
      </c>
      <c r="M2" s="14">
        <v>0.63658530431273619</v>
      </c>
      <c r="N2" s="14">
        <v>1.9324133113187338</v>
      </c>
      <c r="O2" s="14">
        <v>355.77661474689211</v>
      </c>
      <c r="P2" s="8">
        <v>1.9324133113187338</v>
      </c>
      <c r="Q2" s="54">
        <v>0.12065774210723489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0.88561500501486479</v>
      </c>
      <c r="F3" s="14">
        <v>6.4589821419266231E-4</v>
      </c>
      <c r="G3" s="14">
        <v>3.9164498652062147E-5</v>
      </c>
      <c r="H3" s="14">
        <v>67.805369004438063</v>
      </c>
      <c r="I3" s="14">
        <v>1701.066353855409</v>
      </c>
      <c r="J3" s="14">
        <v>0</v>
      </c>
      <c r="K3" s="14">
        <v>1548.231560370461</v>
      </c>
      <c r="L3" s="14">
        <v>6.4589821419266241E-4</v>
      </c>
      <c r="M3" s="14">
        <v>5.2995948474507946E-4</v>
      </c>
      <c r="N3" s="14">
        <v>83.09035374752581</v>
      </c>
      <c r="O3" s="14">
        <v>30320.500986009647</v>
      </c>
      <c r="P3" s="8">
        <v>83.09035374752581</v>
      </c>
      <c r="Q3" s="54">
        <v>5.4415328406086538E-2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0.66368938053284632</v>
      </c>
      <c r="F4" s="14">
        <v>0.35435695106248538</v>
      </c>
      <c r="G4" s="14">
        <v>4.8940617420677875E-14</v>
      </c>
      <c r="H4" s="14">
        <v>71.292025915803137</v>
      </c>
      <c r="I4" s="14">
        <v>157.5789227005823</v>
      </c>
      <c r="J4" s="14">
        <v>0</v>
      </c>
      <c r="K4" s="14">
        <v>2.8220132185968194</v>
      </c>
      <c r="L4" s="14">
        <v>0.35435695106248538</v>
      </c>
      <c r="M4" s="14">
        <v>0.29074987834676924</v>
      </c>
      <c r="N4" s="14">
        <v>7.5136243459719934</v>
      </c>
      <c r="O4" s="14">
        <v>2384.2232774638328</v>
      </c>
      <c r="P4" s="8">
        <v>7.5136243459719934</v>
      </c>
      <c r="Q4" s="54">
        <v>0.22516357063555026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0.87506380164170483</v>
      </c>
      <c r="F5" s="14">
        <v>6.9111092974366581E-3</v>
      </c>
      <c r="G5" s="14">
        <v>1.3275052550977562E-6</v>
      </c>
      <c r="H5" s="14">
        <v>191.25278203385517</v>
      </c>
      <c r="I5" s="14">
        <v>513.88380606536134</v>
      </c>
      <c r="J5" s="14">
        <v>0</v>
      </c>
      <c r="K5" s="14">
        <v>144.69457173407773</v>
      </c>
      <c r="L5" s="14">
        <v>6.9111092974366581E-3</v>
      </c>
      <c r="M5" s="14">
        <v>5.6705651785467787E-3</v>
      </c>
      <c r="N5" s="14">
        <v>24.439502895117691</v>
      </c>
      <c r="O5" s="14">
        <v>8568.2453199993106</v>
      </c>
      <c r="P5" s="8">
        <v>24.439502895117691</v>
      </c>
      <c r="Q5" s="54">
        <v>7.8246502086271652E-2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0.90291090099504034</v>
      </c>
      <c r="F6" s="14">
        <v>2.898801844239085E-4</v>
      </c>
      <c r="G6" s="14">
        <v>1.2805808901103472E-7</v>
      </c>
      <c r="H6" s="14">
        <v>43.398880717426238</v>
      </c>
      <c r="I6" s="14">
        <v>1973.4934972719338</v>
      </c>
      <c r="J6" s="14">
        <v>0</v>
      </c>
      <c r="K6" s="14">
        <v>3449.7011307873408</v>
      </c>
      <c r="L6" s="14">
        <v>2.898801844239085E-4</v>
      </c>
      <c r="M6" s="14">
        <v>2.3784669131981693E-4</v>
      </c>
      <c r="N6" s="14">
        <v>97.094797637197431</v>
      </c>
      <c r="O6" s="14">
        <v>34419.134814410121</v>
      </c>
      <c r="P6" s="8">
        <v>97.094797637197445</v>
      </c>
      <c r="Q6" s="54">
        <v>4.1671170519980913E-2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0.89076543554659748</v>
      </c>
      <c r="F7" s="14">
        <v>5.7839895779031878E-4</v>
      </c>
      <c r="G7" s="14">
        <v>1.8850201172245901E-7</v>
      </c>
      <c r="H7" s="14">
        <v>63.956914206508912</v>
      </c>
      <c r="I7" s="14">
        <v>1750.4296959871667</v>
      </c>
      <c r="J7" s="14">
        <v>0</v>
      </c>
      <c r="K7" s="14">
        <v>1728.9104458630786</v>
      </c>
      <c r="L7" s="14">
        <v>5.7839895779031878E-4</v>
      </c>
      <c r="M7" s="14">
        <v>4.7457634486695654E-4</v>
      </c>
      <c r="N7" s="14">
        <v>85.591700448387115</v>
      </c>
      <c r="O7" s="14">
        <v>30341.40189194875</v>
      </c>
      <c r="P7" s="8">
        <v>85.591700448387115</v>
      </c>
      <c r="Q7" s="54">
        <v>5.2691998708665852E-2</v>
      </c>
    </row>
    <row r="8" spans="1:20">
      <c r="A8" s="2" t="s">
        <v>323</v>
      </c>
      <c r="B8" s="16" t="s">
        <v>324</v>
      </c>
      <c r="D8" s="14">
        <v>1</v>
      </c>
      <c r="E8" s="14">
        <v>0.87716753017609705</v>
      </c>
      <c r="F8" s="14">
        <v>1.2865193739454678E-3</v>
      </c>
      <c r="G8" s="14">
        <v>1.777725976265044E-6</v>
      </c>
      <c r="H8" s="14">
        <v>97.193300618281796</v>
      </c>
      <c r="I8" s="14">
        <v>1405.055571773464</v>
      </c>
      <c r="J8" s="14">
        <v>0</v>
      </c>
      <c r="K8" s="14">
        <v>777.29105387136394</v>
      </c>
      <c r="L8" s="14">
        <v>1.2865193739454678E-3</v>
      </c>
      <c r="M8" s="14">
        <v>1.0555891463222564E-3</v>
      </c>
      <c r="N8" s="14">
        <v>68.175722994487799</v>
      </c>
      <c r="O8" s="14">
        <v>21818.958387155875</v>
      </c>
      <c r="P8" s="8">
        <v>68.175722994487799</v>
      </c>
      <c r="Q8" s="54">
        <v>6.6053145138330785E-2</v>
      </c>
    </row>
    <row r="9" spans="1:20">
      <c r="A9" s="2" t="s">
        <v>325</v>
      </c>
      <c r="B9" s="16" t="s">
        <v>326</v>
      </c>
      <c r="D9" s="14">
        <v>1</v>
      </c>
      <c r="E9" s="14">
        <v>0.77197121873650887</v>
      </c>
      <c r="F9" s="14">
        <v>5.9426383007210128E-2</v>
      </c>
      <c r="G9" s="14">
        <v>1.1234863115160679E-6</v>
      </c>
      <c r="H9" s="14">
        <v>169.33210128704272</v>
      </c>
      <c r="I9" s="14">
        <v>307.89062729600784</v>
      </c>
      <c r="J9" s="14">
        <v>0</v>
      </c>
      <c r="K9" s="14">
        <v>16.827542741052763</v>
      </c>
      <c r="L9" s="14">
        <v>5.9426383007210128E-2</v>
      </c>
      <c r="M9" s="14">
        <v>4.875934725741591E-2</v>
      </c>
      <c r="N9" s="14">
        <v>14.400493497622016</v>
      </c>
      <c r="O9" s="14">
        <v>4382.7901960012605</v>
      </c>
      <c r="P9" s="8">
        <v>14.400493497622016</v>
      </c>
      <c r="Q9" s="54">
        <v>0.15031297430706614</v>
      </c>
    </row>
    <row r="10" spans="1:20">
      <c r="A10" s="2" t="s">
        <v>275</v>
      </c>
      <c r="B10" s="16" t="s">
        <v>276</v>
      </c>
      <c r="D10" s="14">
        <v>1</v>
      </c>
      <c r="E10" s="14">
        <v>0.87395115792127376</v>
      </c>
      <c r="F10" s="14">
        <v>6.4250971472776235E-3</v>
      </c>
      <c r="G10" s="14">
        <v>1.7050149300195843E-8</v>
      </c>
      <c r="H10" s="14">
        <v>187.28357831525665</v>
      </c>
      <c r="I10" s="14">
        <v>548.98043796925322</v>
      </c>
      <c r="J10" s="14">
        <v>0</v>
      </c>
      <c r="K10" s="14">
        <v>155.63967004354316</v>
      </c>
      <c r="L10" s="14">
        <v>6.4250971472776244E-3</v>
      </c>
      <c r="M10" s="14">
        <v>5.2717922093412908E-3</v>
      </c>
      <c r="N10" s="14">
        <v>26.135133958896613</v>
      </c>
      <c r="O10" s="14">
        <v>9682.8057804316068</v>
      </c>
      <c r="P10" s="8">
        <v>26.135133958896617</v>
      </c>
      <c r="Q10" s="54">
        <v>7.866053019286938E-2</v>
      </c>
    </row>
    <row r="11" spans="1:20">
      <c r="A11" s="2" t="s">
        <v>327</v>
      </c>
      <c r="B11" s="16" t="s">
        <v>328</v>
      </c>
      <c r="D11" s="14">
        <v>1</v>
      </c>
      <c r="E11" s="14">
        <v>0.87212038115747836</v>
      </c>
      <c r="F11" s="14">
        <v>5.6719710262837682E-3</v>
      </c>
      <c r="G11" s="14">
        <v>8.8752887506613623E-7</v>
      </c>
      <c r="H11" s="14">
        <v>180.28267926750178</v>
      </c>
      <c r="I11" s="14">
        <v>610.95774475859275</v>
      </c>
      <c r="J11" s="14">
        <v>0</v>
      </c>
      <c r="K11" s="14">
        <v>176.30555504709486</v>
      </c>
      <c r="L11" s="14">
        <v>5.6719710262837682E-3</v>
      </c>
      <c r="M11" s="14">
        <v>4.6538522270658323E-3</v>
      </c>
      <c r="N11" s="14">
        <v>29.135151256307793</v>
      </c>
      <c r="O11" s="14">
        <v>11097.870465040201</v>
      </c>
      <c r="P11" s="8">
        <v>29.135151256307793</v>
      </c>
      <c r="Q11" s="54">
        <v>7.9106318675867066E-2</v>
      </c>
    </row>
    <row r="12" spans="1:20">
      <c r="A12" s="2" t="s">
        <v>329</v>
      </c>
      <c r="B12" s="16" t="s">
        <v>330</v>
      </c>
      <c r="D12" s="14">
        <v>1</v>
      </c>
      <c r="E12" s="14">
        <v>0.80655905477734791</v>
      </c>
      <c r="F12" s="14">
        <v>3.8138394809797291E-2</v>
      </c>
      <c r="G12" s="14">
        <v>5.8777471279631184E-7</v>
      </c>
      <c r="H12" s="14">
        <v>183.73098793031394</v>
      </c>
      <c r="I12" s="14">
        <v>321.39534408384372</v>
      </c>
      <c r="J12" s="14">
        <v>0</v>
      </c>
      <c r="K12" s="14">
        <v>26.220295976985167</v>
      </c>
      <c r="L12" s="14">
        <v>3.8138394809797298E-2</v>
      </c>
      <c r="M12" s="14">
        <v>3.1292552941438678E-2</v>
      </c>
      <c r="N12" s="14">
        <v>15.066317024521151</v>
      </c>
      <c r="O12" s="14">
        <v>4134.1973915286035</v>
      </c>
      <c r="P12" s="8">
        <v>15.066317024521153</v>
      </c>
      <c r="Q12" s="54">
        <v>0.12683513661856294</v>
      </c>
    </row>
    <row r="13" spans="1:20">
      <c r="A13" s="2" t="s">
        <v>277</v>
      </c>
      <c r="B13" s="16" t="s">
        <v>278</v>
      </c>
      <c r="D13" s="14">
        <v>1</v>
      </c>
      <c r="E13" s="14">
        <v>0.77528243526697727</v>
      </c>
      <c r="F13" s="14">
        <v>5.7014947646209575E-2</v>
      </c>
      <c r="G13" s="14">
        <v>1.7486271515814578E-6</v>
      </c>
      <c r="H13" s="14">
        <v>170.79247414021879</v>
      </c>
      <c r="I13" s="14">
        <v>309.40398336243652</v>
      </c>
      <c r="J13" s="14">
        <v>0</v>
      </c>
      <c r="K13" s="14">
        <v>17.539260163934944</v>
      </c>
      <c r="L13" s="14">
        <v>5.7014947646209575E-2</v>
      </c>
      <c r="M13" s="14">
        <v>4.6780764543714957E-2</v>
      </c>
      <c r="N13" s="14">
        <v>14.473961190105626</v>
      </c>
      <c r="O13" s="14">
        <v>5889.8890270896827</v>
      </c>
      <c r="P13" s="8">
        <v>14.473961190105626</v>
      </c>
      <c r="Q13" s="54">
        <v>0.14802187483092294</v>
      </c>
    </row>
    <row r="14" spans="1:20">
      <c r="A14" s="2" t="s">
        <v>331</v>
      </c>
      <c r="B14" s="16" t="s">
        <v>332</v>
      </c>
      <c r="D14" s="14">
        <v>1</v>
      </c>
      <c r="E14" s="14">
        <v>0.86911210828161134</v>
      </c>
      <c r="F14" s="14">
        <v>3.7593522246929341E-3</v>
      </c>
      <c r="G14" s="14">
        <v>5.9077417941340285E-7</v>
      </c>
      <c r="H14" s="14">
        <v>156.27626316218343</v>
      </c>
      <c r="I14" s="14">
        <v>830.32896633106566</v>
      </c>
      <c r="J14" s="14">
        <v>0</v>
      </c>
      <c r="K14" s="14">
        <v>266.00327402992423</v>
      </c>
      <c r="L14" s="14">
        <v>3.7593522246929345E-3</v>
      </c>
      <c r="M14" s="14">
        <v>3.0845485003605528E-3</v>
      </c>
      <c r="N14" s="14">
        <v>39.807891386531381</v>
      </c>
      <c r="O14" s="14">
        <v>15163.223908043668</v>
      </c>
      <c r="P14" s="8">
        <v>39.807891386531381</v>
      </c>
      <c r="Q14" s="54">
        <v>7.8532638464842305E-2</v>
      </c>
    </row>
    <row r="15" spans="1:20">
      <c r="A15" s="2" t="s">
        <v>333</v>
      </c>
      <c r="B15" s="16" t="s">
        <v>334</v>
      </c>
      <c r="D15" s="14">
        <v>1</v>
      </c>
      <c r="E15" s="14">
        <v>0.8730282458420261</v>
      </c>
      <c r="F15" s="14">
        <v>6.0398192037505868E-3</v>
      </c>
      <c r="G15" s="14">
        <v>9.664345026969123E-10</v>
      </c>
      <c r="H15" s="14">
        <v>183.84166245308043</v>
      </c>
      <c r="I15" s="14">
        <v>579.43017656458244</v>
      </c>
      <c r="J15" s="14">
        <v>0</v>
      </c>
      <c r="K15" s="14">
        <v>165.56786987581074</v>
      </c>
      <c r="L15" s="14">
        <v>6.0398192037505868E-3</v>
      </c>
      <c r="M15" s="14">
        <v>4.9556716566773566E-3</v>
      </c>
      <c r="N15" s="14">
        <v>27.608161421885651</v>
      </c>
      <c r="O15" s="14">
        <v>10614.785903486596</v>
      </c>
      <c r="P15" s="8">
        <v>27.608161421885654</v>
      </c>
      <c r="Q15" s="54">
        <v>7.8922550084379067E-2</v>
      </c>
    </row>
    <row r="16" spans="1:20">
      <c r="A16" s="2" t="s">
        <v>335</v>
      </c>
      <c r="B16" s="16" t="s">
        <v>336</v>
      </c>
      <c r="D16" s="14">
        <v>1</v>
      </c>
      <c r="E16" s="14">
        <v>0.8764422753497243</v>
      </c>
      <c r="F16" s="14">
        <v>1.3310417030421011E-3</v>
      </c>
      <c r="G16" s="14">
        <v>4.6187042117295406E-6</v>
      </c>
      <c r="H16" s="14">
        <v>98.830652488761956</v>
      </c>
      <c r="I16" s="14">
        <v>1387.870144376835</v>
      </c>
      <c r="J16" s="14">
        <v>0</v>
      </c>
      <c r="K16" s="14">
        <v>751.2912613590513</v>
      </c>
      <c r="L16" s="14">
        <v>1.3310417030421011E-3</v>
      </c>
      <c r="M16" s="14">
        <v>1.092119717346044E-3</v>
      </c>
      <c r="N16" s="14">
        <v>67.318293837580555</v>
      </c>
      <c r="O16" s="14">
        <v>25131.265455445569</v>
      </c>
      <c r="P16" s="8">
        <v>67.318293837580555</v>
      </c>
      <c r="Q16" s="54">
        <v>6.6580773062180021E-2</v>
      </c>
    </row>
    <row r="17" spans="1:21">
      <c r="A17" s="2" t="s">
        <v>337</v>
      </c>
      <c r="B17" s="16" t="s">
        <v>338</v>
      </c>
      <c r="D17" s="14">
        <v>1</v>
      </c>
      <c r="E17" s="14">
        <v>0.87472373814934434</v>
      </c>
      <c r="F17" s="14">
        <v>6.7464235610328258E-3</v>
      </c>
      <c r="G17" s="14">
        <v>3.4094324609856277E-7</v>
      </c>
      <c r="H17" s="14">
        <v>189.9562572701071</v>
      </c>
      <c r="I17" s="14">
        <v>525.42505070204481</v>
      </c>
      <c r="J17" s="14">
        <v>0</v>
      </c>
      <c r="K17" s="14">
        <v>148.22668499143384</v>
      </c>
      <c r="L17" s="14">
        <v>6.7464235610328258E-3</v>
      </c>
      <c r="M17" s="14">
        <v>5.5354405318274336E-3</v>
      </c>
      <c r="N17" s="14">
        <v>24.996821416874624</v>
      </c>
      <c r="O17" s="14">
        <v>9731.7625140176297</v>
      </c>
      <c r="P17" s="8">
        <v>24.996821416874628</v>
      </c>
      <c r="Q17" s="54">
        <v>7.8399045424866101E-2</v>
      </c>
    </row>
    <row r="18" spans="1:21">
      <c r="A18" s="2" t="s">
        <v>279</v>
      </c>
      <c r="B18" s="16" t="s">
        <v>280</v>
      </c>
      <c r="D18" s="14">
        <v>1</v>
      </c>
      <c r="E18" s="14">
        <v>0.75461302315857359</v>
      </c>
      <c r="F18" s="14">
        <v>7.1193386101019981E-2</v>
      </c>
      <c r="G18" s="14">
        <v>3.3766662498888514E-5</v>
      </c>
      <c r="H18" s="14">
        <v>161.97934905932817</v>
      </c>
      <c r="I18" s="14">
        <v>299.44483058839364</v>
      </c>
      <c r="J18" s="14">
        <v>0</v>
      </c>
      <c r="K18" s="14">
        <v>14.046248602096943</v>
      </c>
      <c r="L18" s="14">
        <v>7.1193386101019995E-2</v>
      </c>
      <c r="M18" s="14">
        <v>5.8414173295886905E-2</v>
      </c>
      <c r="N18" s="14">
        <v>13.995187140537267</v>
      </c>
      <c r="O18" s="14">
        <v>4070.220276082453</v>
      </c>
      <c r="P18" s="8">
        <v>13.995187140537267</v>
      </c>
      <c r="Q18" s="54">
        <v>0.16014626714072544</v>
      </c>
    </row>
    <row r="19" spans="1:21">
      <c r="A19" s="2" t="s">
        <v>339</v>
      </c>
      <c r="B19" s="16" t="s">
        <v>340</v>
      </c>
      <c r="D19" s="14">
        <v>1</v>
      </c>
      <c r="E19" s="14">
        <v>0.87285338350203701</v>
      </c>
      <c r="F19" s="14">
        <v>5.9649266647058751E-3</v>
      </c>
      <c r="G19" s="14">
        <v>3.3869875193874573E-9</v>
      </c>
      <c r="H19" s="14">
        <v>183.14080071327857</v>
      </c>
      <c r="I19" s="14">
        <v>585.65557178379356</v>
      </c>
      <c r="J19" s="14">
        <v>0</v>
      </c>
      <c r="K19" s="14">
        <v>167.64665455435386</v>
      </c>
      <c r="L19" s="14">
        <v>5.9649266647058751E-3</v>
      </c>
      <c r="M19" s="14">
        <v>4.8942223283911703E-3</v>
      </c>
      <c r="N19" s="14">
        <v>27.909529041491158</v>
      </c>
      <c r="O19" s="14">
        <v>9646.928713191417</v>
      </c>
      <c r="P19" s="8">
        <v>27.909529041491158</v>
      </c>
      <c r="Q19" s="54">
        <v>7.8966389091138803E-2</v>
      </c>
    </row>
    <row r="20" spans="1:21">
      <c r="A20" s="2" t="s">
        <v>281</v>
      </c>
      <c r="B20" s="16" t="s">
        <v>282</v>
      </c>
      <c r="D20" s="14">
        <v>1</v>
      </c>
      <c r="E20" s="14">
        <v>0.77538599314901036</v>
      </c>
      <c r="F20" s="14">
        <v>5.7022563383331795E-2</v>
      </c>
      <c r="G20" s="14">
        <v>2.6470078198425325E-7</v>
      </c>
      <c r="H20" s="14">
        <v>170.81528764157596</v>
      </c>
      <c r="I20" s="14">
        <v>309.44531181224022</v>
      </c>
      <c r="J20" s="14">
        <v>0</v>
      </c>
      <c r="K20" s="14">
        <v>17.536917680770362</v>
      </c>
      <c r="L20" s="14">
        <v>5.7022563383331802E-2</v>
      </c>
      <c r="M20" s="14">
        <v>4.6787013256023746E-2</v>
      </c>
      <c r="N20" s="14">
        <v>14.475894540710893</v>
      </c>
      <c r="O20" s="14">
        <v>4216.2490439274543</v>
      </c>
      <c r="P20" s="8">
        <v>14.475894540710893</v>
      </c>
      <c r="Q20" s="54">
        <v>0.14804164676325982</v>
      </c>
    </row>
    <row r="21" spans="1:21">
      <c r="A21" s="2" t="s">
        <v>341</v>
      </c>
      <c r="B21" s="16" t="s">
        <v>342</v>
      </c>
      <c r="D21" s="14">
        <v>1</v>
      </c>
      <c r="E21" s="14">
        <v>0.86924179904692278</v>
      </c>
      <c r="F21" s="14">
        <v>4.252050951611833E-3</v>
      </c>
      <c r="G21" s="14">
        <v>4.9472852051140069E-6</v>
      </c>
      <c r="H21" s="14">
        <v>163.50779428572616</v>
      </c>
      <c r="I21" s="14">
        <v>762.42237072589944</v>
      </c>
      <c r="J21" s="14">
        <v>0</v>
      </c>
      <c r="K21" s="14">
        <v>235.18062492193988</v>
      </c>
      <c r="L21" s="14">
        <v>4.252050951611833E-3</v>
      </c>
      <c r="M21" s="14">
        <v>3.488807805797509E-3</v>
      </c>
      <c r="N21" s="14">
        <v>36.495566415840273</v>
      </c>
      <c r="O21" s="14">
        <v>12236.233507902925</v>
      </c>
      <c r="P21" s="8">
        <v>36.495566415840273</v>
      </c>
      <c r="Q21" s="54">
        <v>7.8994277398744622E-2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0.71273113984206415</v>
      </c>
      <c r="F22" s="14">
        <v>0.56350083309996479</v>
      </c>
      <c r="G22" s="14">
        <v>2.1789288548765367E-5</v>
      </c>
      <c r="H22" s="14">
        <v>34.136151905344086</v>
      </c>
      <c r="I22" s="14">
        <v>82.427425068667674</v>
      </c>
      <c r="J22" s="14">
        <v>0</v>
      </c>
      <c r="K22" s="14">
        <v>1.7746202689687958</v>
      </c>
      <c r="L22" s="14">
        <v>0.56350083309996479</v>
      </c>
      <c r="M22" s="14">
        <v>0.46235243355852113</v>
      </c>
      <c r="N22" s="14">
        <v>4.2221346415475276</v>
      </c>
      <c r="O22" s="14">
        <v>693.27450814210397</v>
      </c>
      <c r="P22" s="8">
        <v>4.2221346415475276</v>
      </c>
      <c r="Q22" s="54">
        <v>0.19154540284584104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0.78314033355272494</v>
      </c>
      <c r="F23" s="14">
        <v>0.71259350625917117</v>
      </c>
      <c r="G23" s="14">
        <v>9.286463328319433E-7</v>
      </c>
      <c r="H23" s="14">
        <v>16.278780242095934</v>
      </c>
      <c r="I23" s="14">
        <v>42.235635301484919</v>
      </c>
      <c r="J23" s="14">
        <v>0</v>
      </c>
      <c r="K23" s="14">
        <v>1.4033246040222807</v>
      </c>
      <c r="L23" s="14">
        <v>0.71259350625917117</v>
      </c>
      <c r="M23" s="14">
        <v>0.58468297188564999</v>
      </c>
      <c r="N23" s="14">
        <v>2.5125126877367099</v>
      </c>
      <c r="O23" s="14">
        <v>379.79141787828104</v>
      </c>
      <c r="P23" s="8">
        <v>2.5125126877367099</v>
      </c>
      <c r="Q23" s="54">
        <v>0.14570653521981425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0.68518185000599452</v>
      </c>
      <c r="F24" s="14">
        <v>0.17424757730271478</v>
      </c>
      <c r="G24" s="14">
        <v>8.0229712544734338E-7</v>
      </c>
      <c r="H24" s="14">
        <v>119.3731759396625</v>
      </c>
      <c r="I24" s="14">
        <v>241.08151903296863</v>
      </c>
      <c r="J24" s="14">
        <v>0</v>
      </c>
      <c r="K24" s="14">
        <v>5.7389607102699145</v>
      </c>
      <c r="L24" s="14">
        <v>0.17424757730271481</v>
      </c>
      <c r="M24" s="14">
        <v>0.14297013717687748</v>
      </c>
      <c r="N24" s="14">
        <v>11.274622888495122</v>
      </c>
      <c r="O24" s="14">
        <v>1987.1522840972652</v>
      </c>
      <c r="P24" s="8">
        <v>11.274622888495124</v>
      </c>
      <c r="Q24" s="54">
        <v>0.20968333685187968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0.8358318479460215</v>
      </c>
      <c r="F25" s="14">
        <v>2.0752188298897335E-2</v>
      </c>
      <c r="G25" s="14">
        <v>1.4673455087215153E-4</v>
      </c>
      <c r="H25" s="14">
        <v>196.38300419095265</v>
      </c>
      <c r="I25" s="14">
        <v>326.85946850668626</v>
      </c>
      <c r="J25" s="14">
        <v>0</v>
      </c>
      <c r="K25" s="14">
        <v>48.187689201583368</v>
      </c>
      <c r="L25" s="14">
        <v>2.0752188298897339E-2</v>
      </c>
      <c r="M25" s="14">
        <v>1.7027170499245264E-2</v>
      </c>
      <c r="N25" s="14">
        <v>15.378840007026621</v>
      </c>
      <c r="O25" s="14">
        <v>2957.3509333512193</v>
      </c>
      <c r="P25" s="8">
        <v>15.378840007026621</v>
      </c>
      <c r="Q25" s="54">
        <v>9.8120797681225877E-2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0.86982394166952881</v>
      </c>
      <c r="F26" s="14">
        <v>4.6086112975188475E-3</v>
      </c>
      <c r="G26" s="14">
        <v>3.9717194877115683E-6</v>
      </c>
      <c r="H26" s="14">
        <v>168.24806576100843</v>
      </c>
      <c r="I26" s="14">
        <v>719.12974212831614</v>
      </c>
      <c r="J26" s="14">
        <v>0</v>
      </c>
      <c r="K26" s="14">
        <v>216.98510363379378</v>
      </c>
      <c r="L26" s="14">
        <v>4.6086112975188475E-3</v>
      </c>
      <c r="M26" s="14">
        <v>3.7813655696142144E-3</v>
      </c>
      <c r="N26" s="14">
        <v>34.387712230715444</v>
      </c>
      <c r="O26" s="14">
        <v>7646.7955687441936</v>
      </c>
      <c r="P26" s="8">
        <v>34.387712230715451</v>
      </c>
      <c r="Q26" s="54">
        <v>7.9178496519102762E-2</v>
      </c>
    </row>
    <row r="27" spans="1:21">
      <c r="A27" s="2" t="s">
        <v>353</v>
      </c>
      <c r="B27" s="16" t="s">
        <v>354</v>
      </c>
      <c r="D27" s="14">
        <v>1</v>
      </c>
      <c r="E27" s="14">
        <v>0.88491703507161323</v>
      </c>
      <c r="F27" s="14">
        <v>7.10184074110816E-4</v>
      </c>
      <c r="G27" s="14">
        <v>2.7151849435697259E-5</v>
      </c>
      <c r="H27" s="14">
        <v>71.395514729967019</v>
      </c>
      <c r="I27" s="14">
        <v>1665.8201067188973</v>
      </c>
      <c r="J27" s="14">
        <v>0</v>
      </c>
      <c r="K27" s="14">
        <v>1408.0856449112116</v>
      </c>
      <c r="L27" s="14">
        <v>7.10184074110816E-4</v>
      </c>
      <c r="M27" s="14">
        <v>5.8270603280792456E-4</v>
      </c>
      <c r="N27" s="14">
        <v>81.297324511680998</v>
      </c>
      <c r="O27" s="14">
        <v>19217.874541316269</v>
      </c>
      <c r="P27" s="8">
        <v>81.297324511680998</v>
      </c>
      <c r="Q27" s="54">
        <v>5.6056773840922496E-2</v>
      </c>
    </row>
    <row r="28" spans="1:21">
      <c r="A28" s="2" t="s">
        <v>355</v>
      </c>
      <c r="B28" s="16" t="s">
        <v>356</v>
      </c>
      <c r="D28" s="14">
        <v>1</v>
      </c>
      <c r="E28" s="14">
        <v>0.86979841691368043</v>
      </c>
      <c r="F28" s="14">
        <v>2.5385029791765985E-3</v>
      </c>
      <c r="G28" s="14">
        <v>1.4876684924234784E-6</v>
      </c>
      <c r="H28" s="14">
        <v>133.31458878966913</v>
      </c>
      <c r="I28" s="14">
        <v>1047.9362127288055</v>
      </c>
      <c r="J28" s="14">
        <v>0</v>
      </c>
      <c r="K28" s="14">
        <v>393.93296293249369</v>
      </c>
      <c r="L28" s="14">
        <v>2.538502979176599E-3</v>
      </c>
      <c r="M28" s="14">
        <v>2.0828416944143995E-3</v>
      </c>
      <c r="N28" s="14">
        <v>50.476308491128123</v>
      </c>
      <c r="O28" s="14">
        <v>13043.078114107504</v>
      </c>
      <c r="P28" s="8">
        <v>50.476308491128123</v>
      </c>
      <c r="Q28" s="54">
        <v>7.5393663726080765E-2</v>
      </c>
    </row>
    <row r="29" spans="1:21">
      <c r="A29" s="2" t="s">
        <v>357</v>
      </c>
      <c r="B29" s="16" t="s">
        <v>358</v>
      </c>
      <c r="D29" s="14">
        <v>1</v>
      </c>
      <c r="E29" s="14">
        <v>0.84578919875914627</v>
      </c>
      <c r="F29" s="14">
        <v>3.8132575543204702E-3</v>
      </c>
      <c r="G29" s="14">
        <v>3.0020963534870947E-4</v>
      </c>
      <c r="H29" s="14">
        <v>154.45292571083891</v>
      </c>
      <c r="I29" s="14">
        <v>785.6937710185789</v>
      </c>
      <c r="J29" s="14">
        <v>0</v>
      </c>
      <c r="K29" s="14">
        <v>262.24297356127624</v>
      </c>
      <c r="L29" s="14">
        <v>3.8132575543204706E-3</v>
      </c>
      <c r="M29" s="14">
        <v>3.1287778233199462E-3</v>
      </c>
      <c r="N29" s="14">
        <v>37.648461432319401</v>
      </c>
      <c r="O29" s="14">
        <v>8899.719797985983</v>
      </c>
      <c r="P29" s="8">
        <v>37.648461432319401</v>
      </c>
      <c r="Q29" s="54">
        <v>7.6604328516221315E-2</v>
      </c>
    </row>
    <row r="30" spans="1:21">
      <c r="A30" s="2" t="s">
        <v>359</v>
      </c>
      <c r="B30" s="16" t="s">
        <v>360</v>
      </c>
      <c r="D30" s="14">
        <v>1</v>
      </c>
      <c r="E30" s="14">
        <v>0.86979841691368043</v>
      </c>
      <c r="F30" s="14">
        <v>2.5385029791765985E-3</v>
      </c>
      <c r="G30" s="14">
        <v>1.4876684924234784E-6</v>
      </c>
      <c r="H30" s="14">
        <v>133.31458878966913</v>
      </c>
      <c r="I30" s="14">
        <v>1047.9362127288055</v>
      </c>
      <c r="J30" s="14">
        <v>0</v>
      </c>
      <c r="K30" s="14">
        <v>393.93296293249369</v>
      </c>
      <c r="L30" s="14">
        <v>2.538502979176599E-3</v>
      </c>
      <c r="M30" s="14">
        <v>2.0828416944143995E-3</v>
      </c>
      <c r="N30" s="14">
        <v>50.476308491128123</v>
      </c>
      <c r="O30" s="14">
        <v>13043.078114107504</v>
      </c>
      <c r="P30" s="8">
        <v>50.476308491128123</v>
      </c>
      <c r="Q30" s="54">
        <v>7.5393663726080765E-2</v>
      </c>
    </row>
    <row r="31" spans="1:21">
      <c r="A31" s="2" t="s">
        <v>283</v>
      </c>
      <c r="B31" s="16" t="s">
        <v>284</v>
      </c>
      <c r="D31" s="14">
        <v>1</v>
      </c>
      <c r="E31" s="14">
        <v>0.97632151811039569</v>
      </c>
      <c r="F31" s="14">
        <v>0.97929805330798092</v>
      </c>
      <c r="G31" s="14">
        <v>2.9122146272666585E-10</v>
      </c>
      <c r="H31" s="14">
        <v>0.17060623197006713</v>
      </c>
      <c r="I31" s="14">
        <v>0.6339457022820767</v>
      </c>
      <c r="J31" s="14">
        <v>0</v>
      </c>
      <c r="K31" s="14">
        <v>1.0211395770900287</v>
      </c>
      <c r="L31" s="14">
        <v>0.97929805330798092</v>
      </c>
      <c r="M31" s="14">
        <v>0.8035140527391984</v>
      </c>
      <c r="N31" s="14">
        <v>0.86372790048056469</v>
      </c>
      <c r="O31" s="14">
        <v>167.72732099432085</v>
      </c>
      <c r="P31" s="8">
        <v>0.86372790048056469</v>
      </c>
      <c r="Q31" s="54">
        <v>1.5770739638630845E-2</v>
      </c>
    </row>
    <row r="32" spans="1:21">
      <c r="A32" s="2" t="s">
        <v>361</v>
      </c>
      <c r="B32" s="16" t="s">
        <v>362</v>
      </c>
      <c r="D32" s="14">
        <v>1</v>
      </c>
      <c r="E32" s="14">
        <v>0.676490488184881</v>
      </c>
      <c r="F32" s="14">
        <v>0.43523770012553187</v>
      </c>
      <c r="G32" s="14">
        <v>2.3665126205852553E-10</v>
      </c>
      <c r="H32" s="14">
        <v>55.393451615187303</v>
      </c>
      <c r="I32" s="14">
        <v>126.45578564906192</v>
      </c>
      <c r="J32" s="14">
        <v>0</v>
      </c>
      <c r="K32" s="14">
        <v>2.2975950835866898</v>
      </c>
      <c r="L32" s="14">
        <v>0.43523770012553187</v>
      </c>
      <c r="M32" s="14">
        <v>0.35711253295299894</v>
      </c>
      <c r="N32" s="14">
        <v>6.2240653145660332</v>
      </c>
      <c r="O32" s="14">
        <v>1593.9208864072154</v>
      </c>
      <c r="P32" s="8">
        <v>6.2240653145660341</v>
      </c>
      <c r="Q32" s="54">
        <v>0.21683965325085225</v>
      </c>
    </row>
    <row r="33" spans="1:17">
      <c r="A33" s="2" t="s">
        <v>364</v>
      </c>
      <c r="B33" s="16" t="s">
        <v>365</v>
      </c>
      <c r="D33" s="14">
        <v>1</v>
      </c>
      <c r="E33" s="14">
        <v>0.99962848760722645</v>
      </c>
      <c r="F33" s="14">
        <v>0.99932197941840517</v>
      </c>
      <c r="G33" s="14">
        <v>1.3408795710087958E-12</v>
      </c>
      <c r="H33" s="14">
        <v>1.1940030592426949</v>
      </c>
      <c r="I33" s="14">
        <v>3.3806045960336904E-3</v>
      </c>
      <c r="J33" s="14">
        <v>0</v>
      </c>
      <c r="K33" s="14">
        <v>1.0006784806054094</v>
      </c>
      <c r="L33" s="14">
        <v>0.99932197941840517</v>
      </c>
      <c r="M33" s="14">
        <v>0.8199436841128015</v>
      </c>
      <c r="N33" s="14">
        <v>0.86375029279283244</v>
      </c>
      <c r="O33" s="14">
        <v>255.79964921059732</v>
      </c>
      <c r="P33" s="8">
        <v>0.86375029279283255</v>
      </c>
      <c r="Q33" s="54">
        <v>3.8547336724557277E-5</v>
      </c>
    </row>
    <row r="34" spans="1:17">
      <c r="A34" s="2" t="s">
        <v>285</v>
      </c>
      <c r="B34" s="16" t="s">
        <v>286</v>
      </c>
      <c r="D34" s="14">
        <v>1</v>
      </c>
      <c r="E34" s="14">
        <v>0.99934233976066456</v>
      </c>
      <c r="F34" s="14">
        <v>0.54950857138880138</v>
      </c>
      <c r="G34" s="14">
        <v>3.9861095054770363E-12</v>
      </c>
      <c r="H34" s="14">
        <v>128.4501072029143</v>
      </c>
      <c r="I34" s="14">
        <v>9.7672115346259913E-2</v>
      </c>
      <c r="J34" s="14">
        <v>0</v>
      </c>
      <c r="K34" s="14">
        <v>1.8198078284250383</v>
      </c>
      <c r="L34" s="14">
        <v>0.54950857138880149</v>
      </c>
      <c r="M34" s="14">
        <v>0.45087178282451157</v>
      </c>
      <c r="N34" s="14">
        <v>1.2722360953513558</v>
      </c>
      <c r="O34" s="14">
        <v>281.21506651646371</v>
      </c>
      <c r="P34" s="8">
        <v>1.2722360953513558</v>
      </c>
      <c r="Q34" s="54">
        <v>1.3133201076739951E-4</v>
      </c>
    </row>
    <row r="35" spans="1:17">
      <c r="A35" s="2" t="s">
        <v>287</v>
      </c>
      <c r="B35" s="16" t="s">
        <v>288</v>
      </c>
      <c r="D35" s="14">
        <v>1</v>
      </c>
      <c r="E35" s="14">
        <v>0.999013484090015</v>
      </c>
      <c r="F35" s="14">
        <v>0.32529928418096044</v>
      </c>
      <c r="G35" s="14">
        <v>1.1610406949789177E-13</v>
      </c>
      <c r="H35" s="14">
        <v>191.80640594003191</v>
      </c>
      <c r="I35" s="14">
        <v>0.34391573446691714</v>
      </c>
      <c r="J35" s="14">
        <v>0</v>
      </c>
      <c r="K35" s="14">
        <v>3.0740922240815967</v>
      </c>
      <c r="L35" s="14">
        <v>0.32529928418096044</v>
      </c>
      <c r="M35" s="14">
        <v>0.26690806267047801</v>
      </c>
      <c r="N35" s="14">
        <v>1.4164688629901967</v>
      </c>
      <c r="O35" s="14">
        <v>326.15612039212272</v>
      </c>
      <c r="P35" s="8">
        <v>1.4164688629901969</v>
      </c>
      <c r="Q35" s="54">
        <v>3.1787183254990234E-4</v>
      </c>
    </row>
    <row r="36" spans="1:17">
      <c r="A36" s="2" t="s">
        <v>366</v>
      </c>
      <c r="B36" s="16" t="s">
        <v>305</v>
      </c>
      <c r="D36" s="14">
        <v>1</v>
      </c>
      <c r="E36" s="14">
        <v>0.99893522644617438</v>
      </c>
      <c r="F36" s="14">
        <v>0.1085065296797359</v>
      </c>
      <c r="G36" s="14">
        <v>2.0468091429674441E-10</v>
      </c>
      <c r="H36" s="14">
        <v>253.12548567129923</v>
      </c>
      <c r="I36" s="14">
        <v>0.67102588379680184</v>
      </c>
      <c r="J36" s="14">
        <v>0</v>
      </c>
      <c r="K36" s="14">
        <v>9.2160352280324993</v>
      </c>
      <c r="L36" s="14">
        <v>0.1085065296797359</v>
      </c>
      <c r="M36" s="14">
        <v>8.902960760222331E-2</v>
      </c>
      <c r="N36" s="14">
        <v>1.4792652511811255</v>
      </c>
      <c r="O36" s="14">
        <v>305.14283601364258</v>
      </c>
      <c r="P36" s="8">
        <v>1.4792652511811255</v>
      </c>
      <c r="Q36" s="54">
        <v>3.5525424225155226E-4</v>
      </c>
    </row>
    <row r="37" spans="1:17">
      <c r="A37" s="2" t="s">
        <v>289</v>
      </c>
      <c r="B37" s="16" t="s">
        <v>290</v>
      </c>
      <c r="D37" s="14">
        <v>1</v>
      </c>
      <c r="E37" s="14">
        <v>0.92788351536333891</v>
      </c>
      <c r="F37" s="14">
        <v>0.20868641188818898</v>
      </c>
      <c r="G37" s="14">
        <v>4.6526078941619951E-17</v>
      </c>
      <c r="H37" s="14">
        <v>197.88559084429903</v>
      </c>
      <c r="I37" s="14">
        <v>62.552588833350413</v>
      </c>
      <c r="J37" s="14">
        <v>0</v>
      </c>
      <c r="K37" s="14">
        <v>4.7918788336625617</v>
      </c>
      <c r="L37" s="14">
        <v>0.20868641188818898</v>
      </c>
      <c r="M37" s="14">
        <v>0.17122720095425906</v>
      </c>
      <c r="N37" s="14">
        <v>4.0156868063411233</v>
      </c>
      <c r="O37" s="14">
        <v>1399.1455970653742</v>
      </c>
      <c r="P37" s="8">
        <v>4.0156868063411233</v>
      </c>
      <c r="Q37" s="54">
        <v>4.7691972881425432E-2</v>
      </c>
    </row>
    <row r="38" spans="1:17">
      <c r="A38" s="2" t="s">
        <v>291</v>
      </c>
      <c r="B38" s="16" t="s">
        <v>292</v>
      </c>
      <c r="D38" s="14">
        <v>1</v>
      </c>
      <c r="E38" s="14">
        <v>0.99766191150880978</v>
      </c>
      <c r="F38" s="14">
        <v>0.61535233596353067</v>
      </c>
      <c r="G38" s="14">
        <v>1.3417794879145939E-14</v>
      </c>
      <c r="H38" s="14">
        <v>109.25060573601905</v>
      </c>
      <c r="I38" s="14">
        <v>0.84508913207887537</v>
      </c>
      <c r="J38" s="14">
        <v>0</v>
      </c>
      <c r="K38" s="14">
        <v>1.6250852423176074</v>
      </c>
      <c r="L38" s="14">
        <v>0.61535233596353067</v>
      </c>
      <c r="M38" s="14">
        <v>0.50489659165807688</v>
      </c>
      <c r="N38" s="14">
        <v>1.253238873520643</v>
      </c>
      <c r="O38" s="14">
        <v>386.41114187261985</v>
      </c>
      <c r="P38" s="8">
        <v>1.253238873520643</v>
      </c>
      <c r="Q38" s="54">
        <v>1.2702889395143527E-3</v>
      </c>
    </row>
    <row r="39" spans="1:17">
      <c r="A39" s="2" t="s">
        <v>367</v>
      </c>
      <c r="B39" s="16" t="s">
        <v>368</v>
      </c>
      <c r="D39" s="14">
        <v>1</v>
      </c>
      <c r="E39" s="14">
        <v>0.88414255997448132</v>
      </c>
      <c r="F39" s="14">
        <v>1.0344592061833035E-2</v>
      </c>
      <c r="G39" s="14">
        <v>1.607318178963308E-7</v>
      </c>
      <c r="H39" s="14">
        <v>211.43329063387736</v>
      </c>
      <c r="I39" s="14">
        <v>341.92475132660053</v>
      </c>
      <c r="J39" s="14">
        <v>0</v>
      </c>
      <c r="K39" s="14">
        <v>96.668867561202077</v>
      </c>
      <c r="L39" s="14">
        <v>1.0344592061833035E-2</v>
      </c>
      <c r="M39" s="14">
        <v>8.4877377867340047E-3</v>
      </c>
      <c r="N39" s="14">
        <v>16.167556682571856</v>
      </c>
      <c r="O39" s="14">
        <v>4500.0777270270501</v>
      </c>
      <c r="P39" s="8">
        <v>16.167556682571856</v>
      </c>
      <c r="Q39" s="54">
        <v>7.4221638882379939E-2</v>
      </c>
    </row>
    <row r="40" spans="1:17">
      <c r="A40" s="2" t="s">
        <v>369</v>
      </c>
      <c r="B40" s="16" t="s">
        <v>370</v>
      </c>
      <c r="D40" s="14">
        <v>1</v>
      </c>
      <c r="E40" s="14">
        <v>0.96097102241650922</v>
      </c>
      <c r="F40" s="14">
        <v>9.8502237051490186E-4</v>
      </c>
      <c r="G40" s="14">
        <v>9.9995211942402372E-15</v>
      </c>
      <c r="H40" s="14">
        <v>254.44041410620835</v>
      </c>
      <c r="I40" s="14">
        <v>170.43865017347406</v>
      </c>
      <c r="J40" s="14">
        <v>0</v>
      </c>
      <c r="K40" s="14">
        <v>1015.2053698813648</v>
      </c>
      <c r="L40" s="14">
        <v>9.8502237051490207E-4</v>
      </c>
      <c r="M40" s="14">
        <v>8.0821085500747711E-4</v>
      </c>
      <c r="N40" s="14">
        <v>99.485638108009411</v>
      </c>
      <c r="O40" s="14">
        <v>40480.70614614903</v>
      </c>
      <c r="P40" s="8">
        <v>99.485638108009411</v>
      </c>
      <c r="Q40" s="54">
        <v>1.9009385851109332E-3</v>
      </c>
    </row>
    <row r="41" spans="1:17">
      <c r="A41" s="2" t="s">
        <v>371</v>
      </c>
      <c r="B41" s="16" t="s">
        <v>372</v>
      </c>
      <c r="D41" s="14">
        <v>1</v>
      </c>
      <c r="E41" s="14">
        <v>0.91335222600953581</v>
      </c>
      <c r="F41" s="14">
        <v>0.91688465194339419</v>
      </c>
      <c r="G41" s="14">
        <v>9.0870557116467707E-4</v>
      </c>
      <c r="H41" s="14">
        <v>7.9468442794186252E-3</v>
      </c>
      <c r="I41" s="14">
        <v>3.683425359203378E-2</v>
      </c>
      <c r="J41" s="14">
        <v>0</v>
      </c>
      <c r="K41" s="14">
        <v>1.0906497320905497</v>
      </c>
      <c r="L41" s="14">
        <v>0.9168846519433943</v>
      </c>
      <c r="M41" s="14">
        <v>0.75230385691955504</v>
      </c>
      <c r="N41" s="14">
        <v>0.7843688414284018</v>
      </c>
      <c r="O41" s="14">
        <v>109.96066787984765</v>
      </c>
      <c r="P41" s="8">
        <v>0.78436884142840191</v>
      </c>
      <c r="Q41" s="54">
        <v>3.0906645709702753E-3</v>
      </c>
    </row>
    <row r="42" spans="1:17">
      <c r="A42" s="2" t="s">
        <v>293</v>
      </c>
      <c r="B42" s="16" t="s">
        <v>294</v>
      </c>
      <c r="D42" s="14">
        <v>1</v>
      </c>
      <c r="E42" s="14">
        <v>0.70040383927485406</v>
      </c>
      <c r="F42" s="14">
        <v>0.52602360577401108</v>
      </c>
      <c r="G42" s="14">
        <v>1.9448840810761119E-10</v>
      </c>
      <c r="H42" s="14">
        <v>39.908484307632953</v>
      </c>
      <c r="I42" s="14">
        <v>94.781244046359546</v>
      </c>
      <c r="J42" s="14">
        <v>0</v>
      </c>
      <c r="K42" s="14">
        <v>1.9010553690429197</v>
      </c>
      <c r="L42" s="14">
        <v>0.52602360577401108</v>
      </c>
      <c r="M42" s="14">
        <v>0.43160236853757611</v>
      </c>
      <c r="N42" s="14">
        <v>4.7574772673783308</v>
      </c>
      <c r="O42" s="14">
        <v>1571.6801900511055</v>
      </c>
      <c r="P42" s="8">
        <v>4.7574772673783317</v>
      </c>
      <c r="Q42" s="54">
        <v>0.20105848450970792</v>
      </c>
    </row>
    <row r="43" spans="1:17">
      <c r="A43" s="2" t="s">
        <v>373</v>
      </c>
      <c r="B43" s="16" t="s">
        <v>374</v>
      </c>
      <c r="D43" s="14">
        <v>1</v>
      </c>
      <c r="E43" s="14">
        <v>0.99849973792853275</v>
      </c>
      <c r="F43" s="14">
        <v>8.8423609628929447E-3</v>
      </c>
      <c r="G43" s="14">
        <v>4.7879660170389931E-10</v>
      </c>
      <c r="H43" s="14">
        <v>281.05300927201046</v>
      </c>
      <c r="I43" s="14">
        <v>2.197211060463085</v>
      </c>
      <c r="J43" s="14">
        <v>0</v>
      </c>
      <c r="K43" s="14">
        <v>113.09196765394557</v>
      </c>
      <c r="L43" s="14">
        <v>8.8423609628929447E-3</v>
      </c>
      <c r="M43" s="14">
        <v>7.2551571700536612E-3</v>
      </c>
      <c r="N43" s="14">
        <v>2.9635925350395906</v>
      </c>
      <c r="O43" s="14">
        <v>789.3232357824445</v>
      </c>
      <c r="P43" s="8">
        <v>2.9635925350395911</v>
      </c>
      <c r="Q43" s="54">
        <v>2.8449312548744474E-4</v>
      </c>
    </row>
    <row r="44" spans="1:17">
      <c r="A44" s="2" t="s">
        <v>375</v>
      </c>
      <c r="B44" s="16" t="s">
        <v>376</v>
      </c>
      <c r="D44" s="14">
        <v>1</v>
      </c>
      <c r="E44" s="14">
        <v>0.78718413898781259</v>
      </c>
      <c r="F44" s="14">
        <v>0.76477292647788031</v>
      </c>
      <c r="G44" s="14">
        <v>9.4576011079868438E-4</v>
      </c>
      <c r="H44" s="14">
        <v>5.5303485708492346</v>
      </c>
      <c r="I44" s="14">
        <v>15.617433881151797</v>
      </c>
      <c r="J44" s="14">
        <v>0</v>
      </c>
      <c r="K44" s="14">
        <v>1.3075776683223412</v>
      </c>
      <c r="L44" s="14">
        <v>0.76477292647788031</v>
      </c>
      <c r="M44" s="14">
        <v>0.62749618617510083</v>
      </c>
      <c r="N44" s="14">
        <v>1.351502762977369</v>
      </c>
      <c r="O44" s="14">
        <v>201.91451278881894</v>
      </c>
      <c r="P44" s="8">
        <v>1.351502762977369</v>
      </c>
      <c r="Q44" s="54">
        <v>8.5863715223342921E-2</v>
      </c>
    </row>
    <row r="45" spans="1:17">
      <c r="A45" s="2" t="s">
        <v>377</v>
      </c>
      <c r="B45" s="16" t="s">
        <v>378</v>
      </c>
      <c r="D45" s="14">
        <v>1</v>
      </c>
      <c r="E45" s="14">
        <v>0.68908310224362579</v>
      </c>
      <c r="F45" s="14">
        <v>0.49060336814928307</v>
      </c>
      <c r="G45" s="14">
        <v>7.3977391405907288E-6</v>
      </c>
      <c r="H45" s="14">
        <v>45.464301745798863</v>
      </c>
      <c r="I45" s="14">
        <v>106.39658684820304</v>
      </c>
      <c r="J45" s="14">
        <v>0</v>
      </c>
      <c r="K45" s="14">
        <v>2.0383064302479785</v>
      </c>
      <c r="L45" s="14">
        <v>0.49060336814928307</v>
      </c>
      <c r="M45" s="14">
        <v>0.40254006356648675</v>
      </c>
      <c r="N45" s="14">
        <v>5.2618730808564234</v>
      </c>
      <c r="O45" s="14">
        <v>1169.3986734895316</v>
      </c>
      <c r="P45" s="8">
        <v>5.2618730808564234</v>
      </c>
      <c r="Q45" s="54">
        <v>0.20812665111679535</v>
      </c>
    </row>
    <row r="46" spans="1:17">
      <c r="A46" s="2" t="s">
        <v>379</v>
      </c>
      <c r="B46" s="16" t="s">
        <v>380</v>
      </c>
      <c r="D46" s="14">
        <v>1</v>
      </c>
      <c r="E46" s="14">
        <v>0.69477383502545931</v>
      </c>
      <c r="F46" s="14">
        <v>0.51190610031486716</v>
      </c>
      <c r="G46" s="14">
        <v>2.2246351384927472E-5</v>
      </c>
      <c r="H46" s="14">
        <v>41.862995887659793</v>
      </c>
      <c r="I46" s="14">
        <v>98.875222949782668</v>
      </c>
      <c r="J46" s="14">
        <v>0</v>
      </c>
      <c r="K46" s="14">
        <v>1.9534832645770626</v>
      </c>
      <c r="L46" s="14">
        <v>0.51190610031486716</v>
      </c>
      <c r="M46" s="14">
        <v>0.42001895530834854</v>
      </c>
      <c r="N46" s="14">
        <v>4.9338360638329251</v>
      </c>
      <c r="O46" s="14">
        <v>634.2939643663608</v>
      </c>
      <c r="P46" s="8">
        <v>4.9338360638329251</v>
      </c>
      <c r="Q46" s="54">
        <v>0.20346395199029688</v>
      </c>
    </row>
    <row r="47" spans="1:17">
      <c r="A47" s="2" t="s">
        <v>381</v>
      </c>
      <c r="B47" s="16" t="s">
        <v>382</v>
      </c>
      <c r="D47" s="14">
        <v>1</v>
      </c>
      <c r="E47" s="14">
        <v>0.888747630192117</v>
      </c>
      <c r="F47" s="14">
        <v>6.4818290561756452E-4</v>
      </c>
      <c r="G47" s="14">
        <v>4.6177036839151632E-10</v>
      </c>
      <c r="H47" s="14">
        <v>68.045212282717443</v>
      </c>
      <c r="I47" s="14">
        <v>1707.083419124278</v>
      </c>
      <c r="J47" s="14">
        <v>0</v>
      </c>
      <c r="K47" s="14">
        <v>1542.7744103298085</v>
      </c>
      <c r="L47" s="14">
        <v>6.4818290561756452E-4</v>
      </c>
      <c r="M47" s="14">
        <v>5.3183407405921169E-4</v>
      </c>
      <c r="N47" s="14">
        <v>83.384263553324473</v>
      </c>
      <c r="O47" s="14">
        <v>32627.428485780332</v>
      </c>
      <c r="P47" s="8">
        <v>83.384263553324473</v>
      </c>
      <c r="Q47" s="54">
        <v>5.4607808012719326E-2</v>
      </c>
    </row>
    <row r="48" spans="1:17">
      <c r="A48" s="2" t="s">
        <v>383</v>
      </c>
      <c r="B48" s="16" t="s">
        <v>384</v>
      </c>
      <c r="D48" s="14">
        <v>1</v>
      </c>
      <c r="E48" s="14">
        <v>0.91130188877837925</v>
      </c>
      <c r="F48" s="14">
        <v>0.90644327210576248</v>
      </c>
      <c r="G48" s="14">
        <v>1.3075825540786055E-4</v>
      </c>
      <c r="H48" s="14">
        <v>1.7858321196992222</v>
      </c>
      <c r="I48" s="14">
        <v>5.5500615648530918</v>
      </c>
      <c r="J48" s="14">
        <v>0</v>
      </c>
      <c r="K48" s="14">
        <v>1.1032129982904451</v>
      </c>
      <c r="L48" s="14">
        <v>0.90644327210576259</v>
      </c>
      <c r="M48" s="14">
        <v>0.7437367047627782</v>
      </c>
      <c r="N48" s="14">
        <v>1.0199460110141212</v>
      </c>
      <c r="O48" s="14">
        <v>94.987572005745108</v>
      </c>
      <c r="P48" s="8">
        <v>1.0199460110141212</v>
      </c>
      <c r="Q48" s="54">
        <v>5.1677060323660276E-2</v>
      </c>
    </row>
    <row r="49" spans="1:17">
      <c r="A49" s="2" t="s">
        <v>385</v>
      </c>
      <c r="B49" s="16" t="s">
        <v>386</v>
      </c>
      <c r="D49" s="14">
        <v>1</v>
      </c>
      <c r="E49" s="14">
        <v>0.87640957639782935</v>
      </c>
      <c r="F49" s="14">
        <v>0.86498682735498889</v>
      </c>
      <c r="G49" s="14">
        <v>2.4413946101622082E-4</v>
      </c>
      <c r="H49" s="14">
        <v>3.1842671296850162</v>
      </c>
      <c r="I49" s="14">
        <v>9.4507584776772031</v>
      </c>
      <c r="J49" s="14">
        <v>0</v>
      </c>
      <c r="K49" s="14">
        <v>1.1560869696222575</v>
      </c>
      <c r="L49" s="14">
        <v>0.864986827354989</v>
      </c>
      <c r="M49" s="14">
        <v>0.70972169184476841</v>
      </c>
      <c r="N49" s="14">
        <v>1.159280369177375</v>
      </c>
      <c r="O49" s="14">
        <v>128.81923462298991</v>
      </c>
      <c r="P49" s="8">
        <v>1.159280369177375</v>
      </c>
      <c r="Q49" s="54">
        <v>6.8307228488022967E-2</v>
      </c>
    </row>
    <row r="50" spans="1:17">
      <c r="A50" s="2" t="s">
        <v>387</v>
      </c>
      <c r="B50" s="16" t="s">
        <v>388</v>
      </c>
      <c r="D50" s="14">
        <v>1</v>
      </c>
      <c r="E50" s="14">
        <v>0.74694526567261543</v>
      </c>
      <c r="F50" s="14">
        <v>7.5345284691307246E-2</v>
      </c>
      <c r="G50" s="14">
        <v>7.2933081924675405E-5</v>
      </c>
      <c r="H50" s="14">
        <v>159.03623223255357</v>
      </c>
      <c r="I50" s="14">
        <v>295.63323040034817</v>
      </c>
      <c r="J50" s="14">
        <v>0</v>
      </c>
      <c r="K50" s="14">
        <v>13.272230692299342</v>
      </c>
      <c r="L50" s="14">
        <v>7.534528469130726E-2</v>
      </c>
      <c r="M50" s="14">
        <v>6.1820806089217605E-2</v>
      </c>
      <c r="N50" s="14">
        <v>13.814223703719097</v>
      </c>
      <c r="O50" s="14">
        <v>2727.6184702993355</v>
      </c>
      <c r="P50" s="8">
        <v>13.814223703719099</v>
      </c>
      <c r="Q50" s="54">
        <v>0.16298710618005677</v>
      </c>
    </row>
    <row r="51" spans="1:17">
      <c r="A51" s="2" t="s">
        <v>295</v>
      </c>
      <c r="B51" s="16" t="s">
        <v>296</v>
      </c>
      <c r="D51" s="14">
        <v>1</v>
      </c>
      <c r="E51" s="14">
        <v>0.90459133647170098</v>
      </c>
      <c r="F51" s="14">
        <v>0.90672437325603938</v>
      </c>
      <c r="G51" s="14">
        <v>7.2815490214323171E-4</v>
      </c>
      <c r="H51" s="14">
        <v>0.28786925905023764</v>
      </c>
      <c r="I51" s="14">
        <v>1.0234166087384222</v>
      </c>
      <c r="J51" s="14">
        <v>0</v>
      </c>
      <c r="K51" s="14">
        <v>1.1028709820703382</v>
      </c>
      <c r="L51" s="14">
        <v>0.90672437325603938</v>
      </c>
      <c r="M51" s="14">
        <v>0.74396734825658029</v>
      </c>
      <c r="N51" s="14">
        <v>0.81893507956057188</v>
      </c>
      <c r="O51" s="14">
        <v>47.563749420878011</v>
      </c>
      <c r="P51" s="8">
        <v>0.81893507956057199</v>
      </c>
      <c r="Q51" s="54">
        <v>1.9964225227352556E-2</v>
      </c>
    </row>
    <row r="52" spans="1:17">
      <c r="A52" s="2" t="s">
        <v>389</v>
      </c>
      <c r="B52" s="16" t="s">
        <v>390</v>
      </c>
      <c r="D52" s="14">
        <v>1</v>
      </c>
      <c r="E52" s="14">
        <v>0.76557755424546425</v>
      </c>
      <c r="F52" s="14">
        <v>0.72497991961697994</v>
      </c>
      <c r="G52" s="14">
        <v>7.6562210768902803E-4</v>
      </c>
      <c r="H52" s="14">
        <v>9.5540162960947637</v>
      </c>
      <c r="I52" s="14">
        <v>25.813277397208939</v>
      </c>
      <c r="J52" s="14">
        <v>0</v>
      </c>
      <c r="K52" s="14">
        <v>1.379348548754727</v>
      </c>
      <c r="L52" s="14">
        <v>0.72497991961697994</v>
      </c>
      <c r="M52" s="14">
        <v>0.59484602404573206</v>
      </c>
      <c r="N52" s="14">
        <v>1.7783375944124464</v>
      </c>
      <c r="O52" s="14">
        <v>190.54887324129365</v>
      </c>
      <c r="P52" s="8">
        <v>1.7783375944124464</v>
      </c>
      <c r="Q52" s="54">
        <v>0.11128667029525607</v>
      </c>
    </row>
    <row r="53" spans="1:17">
      <c r="A53" s="2" t="s">
        <v>391</v>
      </c>
      <c r="B53" s="16" t="s">
        <v>392</v>
      </c>
      <c r="D53" s="14">
        <v>1</v>
      </c>
      <c r="E53" s="14">
        <v>0.66507751647454827</v>
      </c>
      <c r="F53" s="14">
        <v>0.37952544185011655</v>
      </c>
      <c r="G53" s="14">
        <v>2.1832797276093561E-5</v>
      </c>
      <c r="H53" s="14">
        <v>65.717478927108161</v>
      </c>
      <c r="I53" s="14">
        <v>146.87168092053386</v>
      </c>
      <c r="J53" s="14">
        <v>0</v>
      </c>
      <c r="K53" s="14">
        <v>2.6348694704765623</v>
      </c>
      <c r="L53" s="14">
        <v>0.37952544185011655</v>
      </c>
      <c r="M53" s="14">
        <v>0.31140062503802063</v>
      </c>
      <c r="N53" s="14">
        <v>7.0381957921264098</v>
      </c>
      <c r="O53" s="14">
        <v>1140.3284822403211</v>
      </c>
      <c r="P53" s="8">
        <v>7.0381957921264107</v>
      </c>
      <c r="Q53" s="54">
        <v>0.22301704923903179</v>
      </c>
    </row>
    <row r="54" spans="1:17">
      <c r="A54" s="2" t="s">
        <v>393</v>
      </c>
      <c r="B54" s="16" t="s">
        <v>394</v>
      </c>
      <c r="D54" s="14">
        <v>1</v>
      </c>
      <c r="E54" s="14">
        <v>0.88277426429538741</v>
      </c>
      <c r="F54" s="14">
        <v>9.0390506741075134E-4</v>
      </c>
      <c r="G54" s="14">
        <v>2.127018703499887E-6</v>
      </c>
      <c r="H54" s="14">
        <v>81.19753051480852</v>
      </c>
      <c r="I54" s="14">
        <v>1568.9170832847085</v>
      </c>
      <c r="J54" s="14">
        <v>0</v>
      </c>
      <c r="K54" s="14">
        <v>1106.3108683133216</v>
      </c>
      <c r="L54" s="14">
        <v>9.0390506741075145E-4</v>
      </c>
      <c r="M54" s="14">
        <v>7.4165410781052159E-4</v>
      </c>
      <c r="N54" s="14">
        <v>76.393733164757165</v>
      </c>
      <c r="O54" s="14">
        <v>17829.533383322672</v>
      </c>
      <c r="P54" s="8">
        <v>76.393733164757165</v>
      </c>
      <c r="Q54" s="54">
        <v>6.0228214975794947E-2</v>
      </c>
    </row>
    <row r="55" spans="1:17">
      <c r="A55" s="2" t="s">
        <v>395</v>
      </c>
      <c r="B55" s="16" t="s">
        <v>396</v>
      </c>
      <c r="D55" s="14">
        <v>1</v>
      </c>
      <c r="E55" s="14">
        <v>0.60055924630373503</v>
      </c>
      <c r="F55" s="14">
        <v>0.13646567310571031</v>
      </c>
      <c r="G55" s="14">
        <v>1.4741847334058336E-3</v>
      </c>
      <c r="H55" s="14">
        <v>108.62340731048992</v>
      </c>
      <c r="I55" s="14">
        <v>216.96045972850598</v>
      </c>
      <c r="J55" s="14">
        <v>0</v>
      </c>
      <c r="K55" s="14">
        <v>7.3278501270086469</v>
      </c>
      <c r="L55" s="14">
        <v>0.13646567310571034</v>
      </c>
      <c r="M55" s="14">
        <v>0.11197008478323532</v>
      </c>
      <c r="N55" s="14">
        <v>10.139558344550746</v>
      </c>
      <c r="O55" s="14">
        <v>1299.587193021069</v>
      </c>
      <c r="P55" s="8">
        <v>10.139558344550748</v>
      </c>
      <c r="Q55" s="54">
        <v>0.17757449670531839</v>
      </c>
    </row>
    <row r="56" spans="1:17">
      <c r="A56" s="2" t="s">
        <v>397</v>
      </c>
      <c r="B56" s="16" t="s">
        <v>398</v>
      </c>
      <c r="D56" s="14">
        <v>1</v>
      </c>
      <c r="E56" s="14">
        <v>0.31840004277951739</v>
      </c>
      <c r="F56" s="14">
        <v>1.6155699399976346E-2</v>
      </c>
      <c r="G56" s="14">
        <v>6.6987574274053954E-3</v>
      </c>
      <c r="H56" s="14">
        <v>72.204749212679928</v>
      </c>
      <c r="I56" s="14">
        <v>127.00561875839172</v>
      </c>
      <c r="J56" s="14">
        <v>0</v>
      </c>
      <c r="K56" s="14">
        <v>61.897660710465068</v>
      </c>
      <c r="L56" s="14">
        <v>1.6155699399976346E-2</v>
      </c>
      <c r="M56" s="14">
        <v>1.3255751357680591E-2</v>
      </c>
      <c r="N56" s="14">
        <v>5.9515859959793778</v>
      </c>
      <c r="O56" s="14">
        <v>1079.9152789704581</v>
      </c>
      <c r="P56" s="8">
        <v>5.9515859959793778</v>
      </c>
      <c r="Q56" s="54">
        <v>5.1668152729735926E-2</v>
      </c>
    </row>
    <row r="57" spans="1:17">
      <c r="A57" s="2" t="s">
        <v>399</v>
      </c>
      <c r="B57" s="16" t="s">
        <v>400</v>
      </c>
      <c r="D57" s="14">
        <v>1</v>
      </c>
      <c r="E57" s="14">
        <v>0.16622479859887657</v>
      </c>
      <c r="F57" s="14">
        <v>2.9219120630290769E-2</v>
      </c>
      <c r="G57" s="14">
        <v>8.5109027699579107E-3</v>
      </c>
      <c r="H57" s="14">
        <v>32.191939392741368</v>
      </c>
      <c r="I57" s="14">
        <v>62.777542707972877</v>
      </c>
      <c r="J57" s="14">
        <v>0</v>
      </c>
      <c r="K57" s="14">
        <v>34.224164808140181</v>
      </c>
      <c r="L57" s="14">
        <v>2.9219120630290769E-2</v>
      </c>
      <c r="M57" s="14">
        <v>2.3974288477153577E-2</v>
      </c>
      <c r="N57" s="14">
        <v>2.9316346824814867</v>
      </c>
      <c r="O57" s="14">
        <v>430.95029832477854</v>
      </c>
      <c r="P57" s="8">
        <v>2.9316346824814867</v>
      </c>
      <c r="Q57" s="54">
        <v>4.5040615029329649E-2</v>
      </c>
    </row>
    <row r="58" spans="1:17">
      <c r="A58" s="2" t="s">
        <v>297</v>
      </c>
      <c r="B58" s="16" t="s">
        <v>298</v>
      </c>
      <c r="D58" s="14">
        <v>1</v>
      </c>
      <c r="E58" s="14">
        <v>6.0462709445727951E-2</v>
      </c>
      <c r="F58" s="14">
        <v>5.9395507996893131E-2</v>
      </c>
      <c r="G58" s="14">
        <v>1.0350994761546229E-2</v>
      </c>
      <c r="H58" s="14">
        <v>0.28077187427449218</v>
      </c>
      <c r="I58" s="14">
        <v>0.81810824937510718</v>
      </c>
      <c r="J58" s="14">
        <v>0</v>
      </c>
      <c r="K58" s="14">
        <v>16.836290044902185</v>
      </c>
      <c r="L58" s="14">
        <v>5.9395507996893131E-2</v>
      </c>
      <c r="M58" s="14">
        <v>4.8734014311450816E-2</v>
      </c>
      <c r="N58" s="14">
        <v>8.7197516491656066E-2</v>
      </c>
      <c r="O58" s="14">
        <v>7.4056850756363506</v>
      </c>
      <c r="P58" s="8">
        <v>8.7197516491656066E-2</v>
      </c>
      <c r="Q58" s="54">
        <v>5.3433149303981978E-3</v>
      </c>
    </row>
    <row r="59" spans="1:17">
      <c r="A59" s="2" t="s">
        <v>401</v>
      </c>
      <c r="B59" s="16" t="s">
        <v>402</v>
      </c>
      <c r="D59" s="14">
        <v>1</v>
      </c>
      <c r="E59" s="14">
        <v>6.4382808233572217E-2</v>
      </c>
      <c r="F59" s="14">
        <v>1.2025319925104833E-2</v>
      </c>
      <c r="G59" s="14">
        <v>1.0097761921893237E-2</v>
      </c>
      <c r="H59" s="14">
        <v>12.291266616643744</v>
      </c>
      <c r="I59" s="14">
        <v>24.102040399115953</v>
      </c>
      <c r="J59" s="14">
        <v>0</v>
      </c>
      <c r="K59" s="14">
        <v>83.157870745071449</v>
      </c>
      <c r="L59" s="14">
        <v>1.2025319925104833E-2</v>
      </c>
      <c r="M59" s="14">
        <v>9.8667749985485147E-3</v>
      </c>
      <c r="N59" s="14">
        <v>1.1256470023267295</v>
      </c>
      <c r="O59" s="14">
        <v>186.66604239584157</v>
      </c>
      <c r="P59" s="8">
        <v>1.1256470023267295</v>
      </c>
      <c r="Q59" s="54">
        <v>1.7825996218852926E-2</v>
      </c>
    </row>
    <row r="60" spans="1:17">
      <c r="A60" s="2" t="s">
        <v>299</v>
      </c>
      <c r="B60" s="16" t="s">
        <v>300</v>
      </c>
      <c r="D60" s="14">
        <v>1</v>
      </c>
      <c r="E60" s="14">
        <v>1.3154882688141141E-3</v>
      </c>
      <c r="F60" s="14">
        <v>4.4952605101024481E-4</v>
      </c>
      <c r="G60" s="14">
        <v>1.1089280087161998E-2</v>
      </c>
      <c r="H60" s="14">
        <v>0.20131441115440291</v>
      </c>
      <c r="I60" s="14">
        <v>0.41950006830388559</v>
      </c>
      <c r="J60" s="14">
        <v>0</v>
      </c>
      <c r="K60" s="14">
        <v>2224.5651787090974</v>
      </c>
      <c r="L60" s="14">
        <v>4.4952605101024481E-4</v>
      </c>
      <c r="M60" s="14">
        <v>3.688361248539059E-4</v>
      </c>
      <c r="N60" s="14">
        <v>1.9686940404747378E-2</v>
      </c>
      <c r="O60" s="14">
        <v>1.6170852848459496</v>
      </c>
      <c r="P60" s="8">
        <v>1.9686940404747378E-2</v>
      </c>
      <c r="Q60" s="54">
        <v>4.3344304220168848E-4</v>
      </c>
    </row>
    <row r="61" spans="1:17">
      <c r="A61" s="2" t="s">
        <v>403</v>
      </c>
      <c r="B61" s="16" t="s">
        <v>404</v>
      </c>
      <c r="D61" s="14">
        <v>1</v>
      </c>
      <c r="E61" s="14">
        <v>0.66260607139769567</v>
      </c>
      <c r="F61" s="14">
        <v>0.28444444172709882</v>
      </c>
      <c r="G61" s="14">
        <v>4.9573084193231124E-46</v>
      </c>
      <c r="H61" s="14">
        <v>87.542199026202397</v>
      </c>
      <c r="I61" s="14">
        <v>187.53167060114532</v>
      </c>
      <c r="J61" s="14">
        <v>0</v>
      </c>
      <c r="K61" s="14">
        <v>3.5156250335853567</v>
      </c>
      <c r="L61" s="14">
        <v>0.28444444172709887</v>
      </c>
      <c r="M61" s="14">
        <v>0.23338666443708461</v>
      </c>
      <c r="N61" s="14">
        <v>8.8497784945246121</v>
      </c>
      <c r="O61" s="14">
        <v>10642.832115300243</v>
      </c>
      <c r="P61" s="8">
        <v>8.8497784945246121</v>
      </c>
      <c r="Q61" s="54">
        <v>0.22556651123045077</v>
      </c>
    </row>
    <row r="62" spans="1:17">
      <c r="A62" s="2" t="s">
        <v>405</v>
      </c>
      <c r="B62" s="16" t="s">
        <v>406</v>
      </c>
      <c r="D62" s="14">
        <v>1</v>
      </c>
      <c r="E62" s="14">
        <v>0.86923232384984583</v>
      </c>
      <c r="F62" s="14">
        <v>3.8653804722567674E-3</v>
      </c>
      <c r="G62" s="14">
        <v>1.1840791557685471E-9</v>
      </c>
      <c r="H62" s="14">
        <v>157.92549553404046</v>
      </c>
      <c r="I62" s="14">
        <v>815.09723339435322</v>
      </c>
      <c r="J62" s="14">
        <v>0</v>
      </c>
      <c r="K62" s="14">
        <v>258.70674495754332</v>
      </c>
      <c r="L62" s="14">
        <v>3.8653804722567678E-3</v>
      </c>
      <c r="M62" s="14">
        <v>3.171544677486678E-3</v>
      </c>
      <c r="N62" s="14">
        <v>39.064146361937631</v>
      </c>
      <c r="O62" s="14">
        <v>12455.993708967433</v>
      </c>
      <c r="P62" s="8">
        <v>39.064146361937631</v>
      </c>
      <c r="Q62" s="54">
        <v>7.8670048707417284E-2</v>
      </c>
    </row>
    <row r="63" spans="1:17">
      <c r="A63" s="2" t="s">
        <v>407</v>
      </c>
      <c r="B63" s="16" t="s">
        <v>408</v>
      </c>
      <c r="D63" s="14">
        <v>1</v>
      </c>
      <c r="E63" s="14">
        <v>0.89943766392315638</v>
      </c>
      <c r="F63" s="14">
        <v>3.5464389073372118E-4</v>
      </c>
      <c r="G63" s="14">
        <v>2.8469574122686932E-7</v>
      </c>
      <c r="H63" s="14">
        <v>48.691424789002994</v>
      </c>
      <c r="I63" s="14">
        <v>1915.1802463119427</v>
      </c>
      <c r="J63" s="14">
        <v>0</v>
      </c>
      <c r="K63" s="14">
        <v>2819.7299491924264</v>
      </c>
      <c r="L63" s="14">
        <v>3.5464389073372118E-4</v>
      </c>
      <c r="M63" s="14">
        <v>2.9098531234701827E-4</v>
      </c>
      <c r="N63" s="14">
        <v>94.060112473252417</v>
      </c>
      <c r="O63" s="14">
        <v>45693.462038381294</v>
      </c>
      <c r="P63" s="8">
        <v>94.060112473252431</v>
      </c>
      <c r="Q63" s="54">
        <v>4.4751711950911877E-2</v>
      </c>
    </row>
    <row r="64" spans="1:17">
      <c r="A64" s="2" t="s">
        <v>409</v>
      </c>
      <c r="B64" s="16" t="s">
        <v>410</v>
      </c>
      <c r="D64" s="14">
        <v>1</v>
      </c>
      <c r="E64" s="14">
        <v>0.91615478100448977</v>
      </c>
      <c r="F64" s="14">
        <v>1.2314460937580955E-4</v>
      </c>
      <c r="G64" s="14">
        <v>3.5323513371264612E-8</v>
      </c>
      <c r="H64" s="14">
        <v>26.292713277870462</v>
      </c>
      <c r="I64" s="14">
        <v>2167.1679843821048</v>
      </c>
      <c r="J64" s="14">
        <v>0</v>
      </c>
      <c r="K64" s="14">
        <v>8120.5341027005552</v>
      </c>
      <c r="L64" s="14">
        <v>1.2314460937580955E-4</v>
      </c>
      <c r="M64" s="14">
        <v>1.0104015199285174E-4</v>
      </c>
      <c r="N64" s="14">
        <v>107.39691314139357</v>
      </c>
      <c r="O64" s="14">
        <v>60645.962881813539</v>
      </c>
      <c r="P64" s="8">
        <v>107.39691314139357</v>
      </c>
      <c r="Q64" s="54">
        <v>3.020595535969179E-2</v>
      </c>
    </row>
    <row r="65" spans="1:17">
      <c r="A65" s="2" t="s">
        <v>301</v>
      </c>
      <c r="B65" s="16" t="s">
        <v>302</v>
      </c>
      <c r="D65" s="14">
        <v>1</v>
      </c>
      <c r="E65" s="14">
        <v>0.93063071363068706</v>
      </c>
      <c r="F65" s="14">
        <v>3.4632316249201946E-5</v>
      </c>
      <c r="G65" s="14">
        <v>4.3712940958073029E-9</v>
      </c>
      <c r="H65" s="14">
        <v>12.21747723956209</v>
      </c>
      <c r="I65" s="14">
        <v>2335.8164326457477</v>
      </c>
      <c r="J65" s="14">
        <v>0</v>
      </c>
      <c r="K65" s="14">
        <v>28874.765199195812</v>
      </c>
      <c r="L65" s="14">
        <v>3.4632316249201946E-5</v>
      </c>
      <c r="M65" s="14">
        <v>2.8415815482470198E-5</v>
      </c>
      <c r="N65" s="14">
        <v>116.94748394601157</v>
      </c>
      <c r="O65" s="14">
        <v>75265.061717974138</v>
      </c>
      <c r="P65" s="8">
        <v>116.94748394601159</v>
      </c>
      <c r="Q65" s="54">
        <v>1.8090005937634948E-2</v>
      </c>
    </row>
    <row r="66" spans="1:17">
      <c r="A66" s="2" t="s">
        <v>303</v>
      </c>
      <c r="B66" s="16" t="s">
        <v>304</v>
      </c>
      <c r="D66" s="14">
        <v>1</v>
      </c>
      <c r="E66" s="14">
        <v>0.92307179402631634</v>
      </c>
      <c r="F66" s="14">
        <v>7.1739184162888809E-5</v>
      </c>
      <c r="G66" s="14">
        <v>4.2160419271531203E-15</v>
      </c>
      <c r="H66" s="14">
        <v>19.018507556621191</v>
      </c>
      <c r="I66" s="14">
        <v>2252.8568882183495</v>
      </c>
      <c r="J66" s="14">
        <v>0</v>
      </c>
      <c r="K66" s="14">
        <v>13939.383499670563</v>
      </c>
      <c r="L66" s="14">
        <v>7.1739184162888809E-5</v>
      </c>
      <c r="M66" s="14">
        <v>5.8862000605650268E-5</v>
      </c>
      <c r="N66" s="14">
        <v>112.1373933062638</v>
      </c>
      <c r="O66" s="14">
        <v>72363.381274465093</v>
      </c>
      <c r="P66" s="8">
        <v>112.13739330626382</v>
      </c>
      <c r="Q66" s="54">
        <v>2.4374381496631497E-2</v>
      </c>
    </row>
    <row r="67" spans="1:17">
      <c r="A67" s="2" t="s">
        <v>411</v>
      </c>
      <c r="B67" s="16" t="s">
        <v>412</v>
      </c>
      <c r="D67" s="14">
        <v>1</v>
      </c>
      <c r="E67" s="14">
        <v>0.84437741793405907</v>
      </c>
      <c r="F67" s="14">
        <v>0.81462809056869501</v>
      </c>
      <c r="G67" s="14">
        <v>5.1723495773463901E-5</v>
      </c>
      <c r="H67" s="14">
        <v>7.1954735592574322</v>
      </c>
      <c r="I67" s="14">
        <v>20.022419323015015</v>
      </c>
      <c r="J67" s="14">
        <v>0</v>
      </c>
      <c r="K67" s="14">
        <v>1.2275540354886316</v>
      </c>
      <c r="L67" s="14">
        <v>0.81462809056869501</v>
      </c>
      <c r="M67" s="14">
        <v>0.66840234831161427</v>
      </c>
      <c r="N67" s="14">
        <v>1.5923279885517636</v>
      </c>
      <c r="O67" s="14">
        <v>477.85762936438431</v>
      </c>
      <c r="P67" s="8">
        <v>1.5923279885517638</v>
      </c>
      <c r="Q67" s="54">
        <v>0.10151180553948512</v>
      </c>
    </row>
    <row r="68" spans="1:17">
      <c r="A68" s="2" t="s">
        <v>413</v>
      </c>
      <c r="B68" s="16" t="s">
        <v>414</v>
      </c>
      <c r="D68" s="14">
        <v>1</v>
      </c>
      <c r="E68" s="14">
        <v>0.79680107710080361</v>
      </c>
      <c r="F68" s="14">
        <v>0.74280091395181258</v>
      </c>
      <c r="G68" s="14">
        <v>1.1095858688003345E-4</v>
      </c>
      <c r="H68" s="14">
        <v>12.569917561777659</v>
      </c>
      <c r="I68" s="14">
        <v>33.341842848900626</v>
      </c>
      <c r="J68" s="14">
        <v>0</v>
      </c>
      <c r="K68" s="14">
        <v>1.3462557479632726</v>
      </c>
      <c r="L68" s="14">
        <v>0.74280091395181258</v>
      </c>
      <c r="M68" s="14">
        <v>0.60946814989746223</v>
      </c>
      <c r="N68" s="14">
        <v>2.1342549928130712</v>
      </c>
      <c r="O68" s="14">
        <v>700.35577589160926</v>
      </c>
      <c r="P68" s="8">
        <v>2.1342549928130712</v>
      </c>
      <c r="Q68" s="54">
        <v>0.12989415235226145</v>
      </c>
    </row>
    <row r="69" spans="1:17">
      <c r="A69" s="2" t="s">
        <v>415</v>
      </c>
      <c r="B69" s="16" t="s">
        <v>416</v>
      </c>
      <c r="D69" s="14">
        <v>1</v>
      </c>
      <c r="E69" s="14">
        <v>0.87500053820223123</v>
      </c>
      <c r="F69" s="14">
        <v>1.3996291369551136E-3</v>
      </c>
      <c r="G69" s="14">
        <v>1.368237416146583E-5</v>
      </c>
      <c r="H69" s="14">
        <v>101.25884629334425</v>
      </c>
      <c r="I69" s="14">
        <v>1361.4137910026348</v>
      </c>
      <c r="J69" s="14">
        <v>0</v>
      </c>
      <c r="K69" s="14">
        <v>714.47498026191079</v>
      </c>
      <c r="L69" s="14">
        <v>1.3996291369551136E-3</v>
      </c>
      <c r="M69" s="14">
        <v>1.1483957068716708E-3</v>
      </c>
      <c r="N69" s="14">
        <v>66.000389493822283</v>
      </c>
      <c r="O69" s="14">
        <v>30629.460756293043</v>
      </c>
      <c r="P69" s="8">
        <v>66.000389493822283</v>
      </c>
      <c r="Q69" s="54">
        <v>6.7327136784552793E-2</v>
      </c>
    </row>
    <row r="70" spans="1:17">
      <c r="A70" s="2" t="s">
        <v>417</v>
      </c>
      <c r="B70" s="16" t="s">
        <v>418</v>
      </c>
      <c r="D70" s="14">
        <v>1</v>
      </c>
      <c r="E70" s="14">
        <v>0.8315384975537492</v>
      </c>
      <c r="F70" s="14">
        <v>2.5632683109093821E-2</v>
      </c>
      <c r="G70" s="14">
        <v>3.5295761499897326E-5</v>
      </c>
      <c r="H70" s="14">
        <v>193.68414396609856</v>
      </c>
      <c r="I70" s="14">
        <v>327.7564441214916</v>
      </c>
      <c r="J70" s="14">
        <v>0</v>
      </c>
      <c r="K70" s="14">
        <v>39.012693120886183</v>
      </c>
      <c r="L70" s="14">
        <v>2.5632683109093821E-2</v>
      </c>
      <c r="M70" s="14">
        <v>2.1031616491011481E-2</v>
      </c>
      <c r="N70" s="14">
        <v>15.40112112590483</v>
      </c>
      <c r="O70" s="14">
        <v>4836.722089590412</v>
      </c>
      <c r="P70" s="8">
        <v>15.40112112590483</v>
      </c>
      <c r="Q70" s="54">
        <v>0.10778324117946572</v>
      </c>
    </row>
    <row r="71" spans="1:17">
      <c r="A71" s="2" t="s">
        <v>419</v>
      </c>
      <c r="B71" s="16" t="s">
        <v>420</v>
      </c>
      <c r="D71" s="14">
        <v>1</v>
      </c>
      <c r="E71" s="14">
        <v>0.79197766387749169</v>
      </c>
      <c r="F71" s="14">
        <v>0.74327712861729645</v>
      </c>
      <c r="G71" s="14">
        <v>2.7239507870402782E-4</v>
      </c>
      <c r="H71" s="14">
        <v>11.380747012510282</v>
      </c>
      <c r="I71" s="14">
        <v>30.410806656791578</v>
      </c>
      <c r="J71" s="14">
        <v>0</v>
      </c>
      <c r="K71" s="14">
        <v>1.3453932073226578</v>
      </c>
      <c r="L71" s="14">
        <v>0.74327712861729645</v>
      </c>
      <c r="M71" s="14">
        <v>0.60985888403049171</v>
      </c>
      <c r="N71" s="14">
        <v>2.0018553170274225</v>
      </c>
      <c r="O71" s="14">
        <v>428.47711205654952</v>
      </c>
      <c r="P71" s="8">
        <v>2.0018553170274225</v>
      </c>
      <c r="Q71" s="54">
        <v>0.12337522000002979</v>
      </c>
    </row>
    <row r="72" spans="1:17">
      <c r="A72" s="2" t="s">
        <v>421</v>
      </c>
      <c r="B72" s="16" t="s">
        <v>422</v>
      </c>
      <c r="D72" s="14">
        <v>1</v>
      </c>
      <c r="E72" s="14">
        <v>0.81277944373532118</v>
      </c>
      <c r="F72" s="14">
        <v>2.9615730031973625E-2</v>
      </c>
      <c r="G72" s="14">
        <v>1.4792137332131697E-4</v>
      </c>
      <c r="H72" s="14">
        <v>187.84621233650961</v>
      </c>
      <c r="I72" s="14">
        <v>322.00277415928656</v>
      </c>
      <c r="J72" s="14">
        <v>0</v>
      </c>
      <c r="K72" s="14">
        <v>33.765839941152336</v>
      </c>
      <c r="L72" s="14">
        <v>2.9615730031973628E-2</v>
      </c>
      <c r="M72" s="14">
        <v>2.4299706491234363E-2</v>
      </c>
      <c r="N72" s="14">
        <v>15.116207866656444</v>
      </c>
      <c r="O72" s="14">
        <v>6259.1681913464336</v>
      </c>
      <c r="P72" s="8">
        <v>15.116207866656445</v>
      </c>
      <c r="Q72" s="54">
        <v>0.1136735997765507</v>
      </c>
    </row>
    <row r="73" spans="1:17">
      <c r="A73" s="2" t="s">
        <v>423</v>
      </c>
      <c r="B73" s="16" t="s">
        <v>424</v>
      </c>
      <c r="D73" s="14">
        <v>1</v>
      </c>
      <c r="E73" s="14">
        <v>0.65549480041580899</v>
      </c>
      <c r="F73" s="14">
        <v>0.26173160504037396</v>
      </c>
      <c r="G73" s="14">
        <v>1.4434596761450663E-4</v>
      </c>
      <c r="H73" s="14">
        <v>91.280112872971984</v>
      </c>
      <c r="I73" s="14">
        <v>193.7462650848943</v>
      </c>
      <c r="J73" s="14">
        <v>0</v>
      </c>
      <c r="K73" s="14">
        <v>3.8207078577527644</v>
      </c>
      <c r="L73" s="14">
        <v>0.26173160504037402</v>
      </c>
      <c r="M73" s="14">
        <v>0.21475078193562686</v>
      </c>
      <c r="N73" s="14">
        <v>9.1232736699418151</v>
      </c>
      <c r="O73" s="14">
        <v>3906.312087258987</v>
      </c>
      <c r="P73" s="8">
        <v>9.1232736699418151</v>
      </c>
      <c r="Q73" s="54">
        <v>0.22153040384604292</v>
      </c>
    </row>
    <row r="74" spans="1:17">
      <c r="A74" s="2" t="s">
        <v>425</v>
      </c>
      <c r="B74" s="16" t="s">
        <v>426</v>
      </c>
      <c r="D74" s="14">
        <v>1</v>
      </c>
      <c r="E74" s="14">
        <v>0.8271702243309117</v>
      </c>
      <c r="F74" s="14">
        <v>2.674875741633315E-2</v>
      </c>
      <c r="G74" s="14">
        <v>5.4464321770089535E-5</v>
      </c>
      <c r="H74" s="14">
        <v>192.25764230246918</v>
      </c>
      <c r="I74" s="14">
        <v>326.54330419337589</v>
      </c>
      <c r="J74" s="14">
        <v>0</v>
      </c>
      <c r="K74" s="14">
        <v>37.384914163877632</v>
      </c>
      <c r="L74" s="14">
        <v>2.674875741633315E-2</v>
      </c>
      <c r="M74" s="14">
        <v>2.1947355460101351E-2</v>
      </c>
      <c r="N74" s="14">
        <v>15.339834396131565</v>
      </c>
      <c r="O74" s="14">
        <v>8102.1937313487688</v>
      </c>
      <c r="P74" s="8">
        <v>15.339834396131565</v>
      </c>
      <c r="Q74" s="54">
        <v>0.10958239371797215</v>
      </c>
    </row>
    <row r="75" spans="1:17">
      <c r="A75" s="2" t="s">
        <v>427</v>
      </c>
      <c r="B75" s="16" t="s">
        <v>428</v>
      </c>
      <c r="D75" s="14">
        <v>1</v>
      </c>
      <c r="E75" s="14">
        <v>0.99635405460233806</v>
      </c>
      <c r="F75" s="14">
        <v>4.3223523149552847E-3</v>
      </c>
      <c r="G75" s="14">
        <v>6.0974554195600491E-12</v>
      </c>
      <c r="H75" s="14">
        <v>281.85137856061476</v>
      </c>
      <c r="I75" s="14">
        <v>1.0070058367903378</v>
      </c>
      <c r="J75" s="14">
        <v>0</v>
      </c>
      <c r="K75" s="14">
        <v>231.35550439514441</v>
      </c>
      <c r="L75" s="14">
        <v>4.3223523149552847E-3</v>
      </c>
      <c r="M75" s="14">
        <v>3.5464900744208109E-3</v>
      </c>
      <c r="N75" s="14">
        <v>9.7874419960282921</v>
      </c>
      <c r="O75" s="14">
        <v>5520.9981555395998</v>
      </c>
      <c r="P75" s="8">
        <v>9.7874419960282921</v>
      </c>
      <c r="Q75" s="54">
        <v>5.6238274577342579E-5</v>
      </c>
    </row>
    <row r="76" spans="1:17">
      <c r="A76" s="2" t="s">
        <v>429</v>
      </c>
      <c r="B76" s="16" t="s">
        <v>430</v>
      </c>
      <c r="D76" s="14">
        <v>1</v>
      </c>
      <c r="E76" s="14">
        <v>0.99635405513537389</v>
      </c>
      <c r="F76" s="14">
        <v>4.3223523172676833E-3</v>
      </c>
      <c r="G76" s="14">
        <v>1.5316115543321353E-13</v>
      </c>
      <c r="H76" s="14">
        <v>281.85137871140142</v>
      </c>
      <c r="I76" s="14">
        <v>1.0070058373290722</v>
      </c>
      <c r="J76" s="14">
        <v>0</v>
      </c>
      <c r="K76" s="14">
        <v>231.35550427137238</v>
      </c>
      <c r="L76" s="14">
        <v>4.3223523172676841E-3</v>
      </c>
      <c r="M76" s="14">
        <v>3.5464900763181343E-3</v>
      </c>
      <c r="N76" s="14">
        <v>9.7874420012644379</v>
      </c>
      <c r="O76" s="14">
        <v>4894.9933680923832</v>
      </c>
      <c r="P76" s="8">
        <v>9.7874420012644379</v>
      </c>
      <c r="Q76" s="54">
        <v>5.6238274607429284E-5</v>
      </c>
    </row>
    <row r="77" spans="1:17">
      <c r="A77" s="2" t="s">
        <v>431</v>
      </c>
      <c r="B77" s="16" t="s">
        <v>432</v>
      </c>
      <c r="D77" s="14">
        <v>1</v>
      </c>
      <c r="E77" s="14">
        <v>0.70847891798123419</v>
      </c>
      <c r="F77" s="14">
        <v>0.10116775521412469</v>
      </c>
      <c r="G77" s="14">
        <v>2.6299688300596889E-4</v>
      </c>
      <c r="H77" s="14">
        <v>143.12717969861248</v>
      </c>
      <c r="I77" s="14">
        <v>274.01812129588961</v>
      </c>
      <c r="J77" s="14">
        <v>0</v>
      </c>
      <c r="K77" s="14">
        <v>9.8845723905158227</v>
      </c>
      <c r="L77" s="14">
        <v>0.10116775521412469</v>
      </c>
      <c r="M77" s="14">
        <v>8.3008143153189301E-2</v>
      </c>
      <c r="N77" s="14">
        <v>12.795739405093075</v>
      </c>
      <c r="O77" s="14">
        <v>4658.4168878181854</v>
      </c>
      <c r="P77" s="8">
        <v>12.795739405093077</v>
      </c>
      <c r="Q77" s="54">
        <v>0.17765575654822294</v>
      </c>
    </row>
    <row r="78" spans="1:17">
      <c r="A78" s="2" t="s">
        <v>433</v>
      </c>
      <c r="B78" s="16" t="s">
        <v>434</v>
      </c>
      <c r="D78" s="14">
        <v>1</v>
      </c>
      <c r="E78" s="14">
        <v>0.68281867322699097</v>
      </c>
      <c r="F78" s="14">
        <v>0.52522926240009826</v>
      </c>
      <c r="G78" s="14">
        <v>3.6982596732651588E-4</v>
      </c>
      <c r="H78" s="14">
        <v>36.055283454705418</v>
      </c>
      <c r="I78" s="14">
        <v>86.263303358941513</v>
      </c>
      <c r="J78" s="14">
        <v>0</v>
      </c>
      <c r="K78" s="14">
        <v>1.9039304768176468</v>
      </c>
      <c r="L78" s="14">
        <v>0.52522926240009826</v>
      </c>
      <c r="M78" s="14">
        <v>0.43095060979928063</v>
      </c>
      <c r="N78" s="14">
        <v>4.3669156613425297</v>
      </c>
      <c r="O78" s="14">
        <v>1153.084080377495</v>
      </c>
      <c r="P78" s="8">
        <v>4.3669156613425297</v>
      </c>
      <c r="Q78" s="54">
        <v>0.19055751687870337</v>
      </c>
    </row>
    <row r="79" spans="1:17">
      <c r="A79" s="2" t="s">
        <v>435</v>
      </c>
      <c r="B79" s="16" t="s">
        <v>436</v>
      </c>
      <c r="D79" s="14">
        <v>1</v>
      </c>
      <c r="E79" s="14">
        <v>0.66018030194870447</v>
      </c>
      <c r="F79" s="14">
        <v>0.36869028035110502</v>
      </c>
      <c r="G79" s="14">
        <v>8.6427146864537029E-5</v>
      </c>
      <c r="H79" s="14">
        <v>67.115323616418578</v>
      </c>
      <c r="I79" s="14">
        <v>149.44412940661346</v>
      </c>
      <c r="J79" s="14">
        <v>0</v>
      </c>
      <c r="K79" s="14">
        <v>2.7123036686719719</v>
      </c>
      <c r="L79" s="14">
        <v>0.36869028035110502</v>
      </c>
      <c r="M79" s="14">
        <v>0.3025103750280817</v>
      </c>
      <c r="N79" s="14">
        <v>7.1488942818207155</v>
      </c>
      <c r="O79" s="14">
        <v>2860.3440910992867</v>
      </c>
      <c r="P79" s="8">
        <v>7.1488942818207164</v>
      </c>
      <c r="Q79" s="54">
        <v>0.22237136368756052</v>
      </c>
    </row>
    <row r="80" spans="1:17">
      <c r="A80" s="2" t="s">
        <v>437</v>
      </c>
      <c r="B80" s="16" t="s">
        <v>438</v>
      </c>
      <c r="D80" s="14">
        <v>1</v>
      </c>
      <c r="E80" s="14">
        <v>0.99300199720675542</v>
      </c>
      <c r="F80" s="14">
        <v>2.9208468373318284E-3</v>
      </c>
      <c r="G80" s="14">
        <v>2.1758915946926129E-12</v>
      </c>
      <c r="H80" s="14">
        <v>281.19577051291776</v>
      </c>
      <c r="I80" s="14">
        <v>1.9298369107483138</v>
      </c>
      <c r="J80" s="14">
        <v>0</v>
      </c>
      <c r="K80" s="14">
        <v>342.3664627733416</v>
      </c>
      <c r="L80" s="14">
        <v>2.9208468373318284E-3</v>
      </c>
      <c r="M80" s="14">
        <v>2.3965548300307654E-3</v>
      </c>
      <c r="N80" s="14">
        <v>18.947236628985259</v>
      </c>
      <c r="O80" s="14">
        <v>9740.395406228743</v>
      </c>
      <c r="P80" s="8">
        <v>18.947236628985259</v>
      </c>
      <c r="Q80" s="54">
        <v>6.8315713512957267E-5</v>
      </c>
    </row>
    <row r="81" spans="1:17">
      <c r="A81" s="2" t="s">
        <v>440</v>
      </c>
      <c r="B81" s="16" t="s">
        <v>441</v>
      </c>
      <c r="D81" s="14">
        <v>1</v>
      </c>
      <c r="E81" s="14">
        <v>0.97070461516634854</v>
      </c>
      <c r="F81" s="14">
        <v>0.97323115846654029</v>
      </c>
      <c r="G81" s="14">
        <v>2.0537354154173742E-15</v>
      </c>
      <c r="H81" s="14">
        <v>0.2593677679514329</v>
      </c>
      <c r="I81" s="14">
        <v>0.93405656108921686</v>
      </c>
      <c r="J81" s="14">
        <v>0</v>
      </c>
      <c r="K81" s="14">
        <v>1.0275051217797402</v>
      </c>
      <c r="L81" s="14">
        <v>0.97323115846654029</v>
      </c>
      <c r="M81" s="14">
        <v>0.79853616552179629</v>
      </c>
      <c r="N81" s="14">
        <v>0.87175405831616037</v>
      </c>
      <c r="O81" s="14">
        <v>241.70253020873864</v>
      </c>
      <c r="P81" s="8">
        <v>0.87175405831616049</v>
      </c>
      <c r="Q81" s="54">
        <v>1.9560194790461789E-2</v>
      </c>
    </row>
    <row r="82" spans="1:17">
      <c r="A82" s="2" t="s">
        <v>442</v>
      </c>
      <c r="B82" s="16" t="s">
        <v>443</v>
      </c>
      <c r="D82" s="14">
        <v>1</v>
      </c>
      <c r="E82" s="14">
        <v>0.78678571816953657</v>
      </c>
      <c r="F82" s="14">
        <v>0.71914340257358211</v>
      </c>
      <c r="G82" s="14">
        <v>9.1559621416712987E-7</v>
      </c>
      <c r="H82" s="14">
        <v>15.626995985589286</v>
      </c>
      <c r="I82" s="14">
        <v>40.694214633815598</v>
      </c>
      <c r="J82" s="14">
        <v>0</v>
      </c>
      <c r="K82" s="14">
        <v>1.3905432441169907</v>
      </c>
      <c r="L82" s="14">
        <v>0.71914340257358222</v>
      </c>
      <c r="M82" s="14">
        <v>0.59005716181162415</v>
      </c>
      <c r="N82" s="14">
        <v>2.4479839774891072</v>
      </c>
      <c r="O82" s="14">
        <v>404.3824732414256</v>
      </c>
      <c r="P82" s="8">
        <v>2.4479839774891072</v>
      </c>
      <c r="Q82" s="54">
        <v>0.14326254810228314</v>
      </c>
    </row>
    <row r="83" spans="1:17">
      <c r="A83" s="2" t="s">
        <v>444</v>
      </c>
      <c r="B83" s="16" t="s">
        <v>445</v>
      </c>
      <c r="D83" s="14">
        <v>1</v>
      </c>
      <c r="E83" s="14">
        <v>0.70847914093963227</v>
      </c>
      <c r="F83" s="14">
        <v>0.12709332582629831</v>
      </c>
      <c r="G83" s="14">
        <v>5.6023628349161674E-6</v>
      </c>
      <c r="H83" s="14">
        <v>136.56604888604676</v>
      </c>
      <c r="I83" s="14">
        <v>266.80865614228492</v>
      </c>
      <c r="J83" s="14">
        <v>0</v>
      </c>
      <c r="K83" s="14">
        <v>7.8682337840991385</v>
      </c>
      <c r="L83" s="14">
        <v>0.12709332582629831</v>
      </c>
      <c r="M83" s="14">
        <v>0.10428007384047777</v>
      </c>
      <c r="N83" s="14">
        <v>12.459989672626397</v>
      </c>
      <c r="O83" s="14">
        <v>2245.7885385941822</v>
      </c>
      <c r="P83" s="8">
        <v>12.459989672626397</v>
      </c>
      <c r="Q83" s="54">
        <v>0.19337481686096283</v>
      </c>
    </row>
    <row r="84" spans="1:17">
      <c r="A84" s="2" t="s">
        <v>446</v>
      </c>
      <c r="B84" s="16" t="s">
        <v>447</v>
      </c>
      <c r="D84" s="14">
        <v>1</v>
      </c>
      <c r="E84" s="14">
        <v>0.93755105135229455</v>
      </c>
      <c r="F84" s="14">
        <v>0.93569662386324504</v>
      </c>
      <c r="G84" s="14">
        <v>6.2972879187524225E-17</v>
      </c>
      <c r="H84" s="14">
        <v>1.1607135716963282</v>
      </c>
      <c r="I84" s="14">
        <v>3.7323488864780137</v>
      </c>
      <c r="J84" s="14">
        <v>0</v>
      </c>
      <c r="K84" s="14">
        <v>1.0687224624913823</v>
      </c>
      <c r="L84" s="14">
        <v>0.93569662386324515</v>
      </c>
      <c r="M84" s="14">
        <v>0.76773907987979262</v>
      </c>
      <c r="N84" s="14">
        <v>0.96381175898446225</v>
      </c>
      <c r="O84" s="14">
        <v>374.81675495146749</v>
      </c>
      <c r="P84" s="8">
        <v>0.96381175898446225</v>
      </c>
      <c r="Q84" s="54">
        <v>4.1916231788014832E-2</v>
      </c>
    </row>
    <row r="85" spans="1:17">
      <c r="A85" s="2" t="s">
        <v>448</v>
      </c>
      <c r="B85" s="16" t="s">
        <v>449</v>
      </c>
      <c r="D85" s="14">
        <v>1</v>
      </c>
      <c r="E85" s="14">
        <v>0.98760194298051951</v>
      </c>
      <c r="F85" s="14">
        <v>0.99122455896054862</v>
      </c>
      <c r="G85" s="14">
        <v>4.4298655112421783E-10</v>
      </c>
      <c r="H85" s="14">
        <v>4.7638936071730677E-2</v>
      </c>
      <c r="I85" s="14">
        <v>0.19463423144220074</v>
      </c>
      <c r="J85" s="14">
        <v>0</v>
      </c>
      <c r="K85" s="14">
        <v>1.0088531311700486</v>
      </c>
      <c r="L85" s="14">
        <v>0.99122455896054862</v>
      </c>
      <c r="M85" s="14">
        <v>0.81329975062713011</v>
      </c>
      <c r="N85" s="14">
        <v>0.85467748434127111</v>
      </c>
      <c r="O85" s="14">
        <v>153.19239229332942</v>
      </c>
      <c r="P85" s="8">
        <v>0.85467748434127111</v>
      </c>
      <c r="Q85" s="54">
        <v>8.1586673188136644E-3</v>
      </c>
    </row>
    <row r="86" spans="1:17">
      <c r="A86" s="2" t="s">
        <v>450</v>
      </c>
      <c r="B86" s="16" t="s">
        <v>451</v>
      </c>
      <c r="D86" s="14">
        <v>1</v>
      </c>
      <c r="E86" s="14">
        <v>0.93903784235754217</v>
      </c>
      <c r="F86" s="14">
        <v>0.93744387097049164</v>
      </c>
      <c r="G86" s="14">
        <v>1.5843231264641575E-10</v>
      </c>
      <c r="H86" s="14">
        <v>1.1061531845716146</v>
      </c>
      <c r="I86" s="14">
        <v>3.5700347606451985</v>
      </c>
      <c r="J86" s="14">
        <v>0</v>
      </c>
      <c r="K86" s="14">
        <v>1.0667305328528598</v>
      </c>
      <c r="L86" s="14">
        <v>0.93744387097049164</v>
      </c>
      <c r="M86" s="14">
        <v>0.76917269613128836</v>
      </c>
      <c r="N86" s="14">
        <v>0.95807614658373619</v>
      </c>
      <c r="O86" s="14">
        <v>250.14410111154766</v>
      </c>
      <c r="P86" s="8">
        <v>0.9580761465837363</v>
      </c>
      <c r="Q86" s="54">
        <v>4.0914047474680394E-2</v>
      </c>
    </row>
    <row r="87" spans="1:17">
      <c r="A87" s="2" t="s">
        <v>452</v>
      </c>
      <c r="B87" s="16" t="s">
        <v>453</v>
      </c>
      <c r="D87" s="14">
        <v>1</v>
      </c>
      <c r="E87" s="14">
        <v>0.89284377447519758</v>
      </c>
      <c r="F87" s="14">
        <v>5.154182879551542E-4</v>
      </c>
      <c r="G87" s="14">
        <v>5.3162856951138895E-10</v>
      </c>
      <c r="H87" s="14">
        <v>60.031586927347213</v>
      </c>
      <c r="I87" s="14">
        <v>1792.4085001282047</v>
      </c>
      <c r="J87" s="14">
        <v>0</v>
      </c>
      <c r="K87" s="14">
        <v>1940.1717466552304</v>
      </c>
      <c r="L87" s="14">
        <v>5.154182879551542E-4</v>
      </c>
      <c r="M87" s="14">
        <v>4.2290070526720405E-4</v>
      </c>
      <c r="N87" s="14">
        <v>87.73680283338382</v>
      </c>
      <c r="O87" s="14">
        <v>36524.831019537691</v>
      </c>
      <c r="P87" s="8">
        <v>87.736802833383834</v>
      </c>
      <c r="Q87" s="54">
        <v>5.0773487476643613E-2</v>
      </c>
    </row>
    <row r="88" spans="1:17">
      <c r="A88" s="2" t="s">
        <v>454</v>
      </c>
      <c r="B88" s="16" t="s">
        <v>455</v>
      </c>
      <c r="D88" s="14">
        <v>1</v>
      </c>
      <c r="E88" s="14">
        <v>0.72906439775648235</v>
      </c>
      <c r="F88" s="14">
        <v>0.60182950869543372</v>
      </c>
      <c r="G88" s="14">
        <v>4.4287581626311053E-7</v>
      </c>
      <c r="H88" s="14">
        <v>29.110755596736865</v>
      </c>
      <c r="I88" s="14">
        <v>71.467838753125946</v>
      </c>
      <c r="J88" s="14">
        <v>0</v>
      </c>
      <c r="K88" s="14">
        <v>1.6616001468051433</v>
      </c>
      <c r="L88" s="14">
        <v>0.60182950869543372</v>
      </c>
      <c r="M88" s="14">
        <v>0.49380111188460341</v>
      </c>
      <c r="N88" s="14">
        <v>3.7524434764543835</v>
      </c>
      <c r="O88" s="14">
        <v>717.72986374142999</v>
      </c>
      <c r="P88" s="8">
        <v>3.7524434764543839</v>
      </c>
      <c r="Q88" s="54">
        <v>0.18193265144637155</v>
      </c>
    </row>
    <row r="89" spans="1:17">
      <c r="A89" s="2" t="s">
        <v>456</v>
      </c>
      <c r="B89" s="16" t="s">
        <v>457</v>
      </c>
      <c r="D89" s="14">
        <v>1</v>
      </c>
      <c r="E89" s="14">
        <v>0.77588943605090765</v>
      </c>
      <c r="F89" s="14">
        <v>0.69922497392815819</v>
      </c>
      <c r="G89" s="14">
        <v>3.0190160307854916E-19</v>
      </c>
      <c r="H89" s="14">
        <v>17.653748345471808</v>
      </c>
      <c r="I89" s="14">
        <v>45.466769953691987</v>
      </c>
      <c r="J89" s="14">
        <v>0</v>
      </c>
      <c r="K89" s="14">
        <v>1.4301548675844991</v>
      </c>
      <c r="L89" s="14">
        <v>0.6992249739281583</v>
      </c>
      <c r="M89" s="14">
        <v>0.57371409110805383</v>
      </c>
      <c r="N89" s="14">
        <v>2.6481745297286459</v>
      </c>
      <c r="O89" s="14">
        <v>1039.3025759373043</v>
      </c>
      <c r="P89" s="8">
        <v>2.6481745297286459</v>
      </c>
      <c r="Q89" s="54">
        <v>0.15062397418368298</v>
      </c>
    </row>
    <row r="90" spans="1:17">
      <c r="A90" s="2" t="s">
        <v>458</v>
      </c>
      <c r="B90" s="16" t="s">
        <v>459</v>
      </c>
      <c r="D90" s="14">
        <v>1</v>
      </c>
      <c r="E90" s="14">
        <v>0.88253423140669696</v>
      </c>
      <c r="F90" s="14">
        <v>0.86649411177541391</v>
      </c>
      <c r="G90" s="14">
        <v>4.66717519404817E-31</v>
      </c>
      <c r="H90" s="14">
        <v>4.1997710528696999</v>
      </c>
      <c r="I90" s="14">
        <v>12.214699484767319</v>
      </c>
      <c r="J90" s="14">
        <v>0</v>
      </c>
      <c r="K90" s="14">
        <v>1.1540759324388685</v>
      </c>
      <c r="L90" s="14">
        <v>0.86649411177541391</v>
      </c>
      <c r="M90" s="14">
        <v>0.71095841871172716</v>
      </c>
      <c r="N90" s="14">
        <v>1.2846523086196937</v>
      </c>
      <c r="O90" s="14">
        <v>1003.2363738934637</v>
      </c>
      <c r="P90" s="8">
        <v>1.2846523086196937</v>
      </c>
      <c r="Q90" s="54">
        <v>7.8973754728251647E-2</v>
      </c>
    </row>
    <row r="91" spans="1:17">
      <c r="A91" s="2" t="s">
        <v>460</v>
      </c>
      <c r="B91" s="16" t="s">
        <v>461</v>
      </c>
      <c r="D91" s="14">
        <v>1</v>
      </c>
      <c r="E91" s="14">
        <v>0.86903964474503081</v>
      </c>
      <c r="F91" s="14">
        <v>3.358429199590539E-3</v>
      </c>
      <c r="G91" s="14">
        <v>5.5325415585127983E-10</v>
      </c>
      <c r="H91" s="14">
        <v>149.62225546831337</v>
      </c>
      <c r="I91" s="14">
        <v>892.79832738452183</v>
      </c>
      <c r="J91" s="14">
        <v>0</v>
      </c>
      <c r="K91" s="14">
        <v>297.75824963703872</v>
      </c>
      <c r="L91" s="14">
        <v>3.3584291995905394E-3</v>
      </c>
      <c r="M91" s="14">
        <v>2.7555911582640377E-3</v>
      </c>
      <c r="N91" s="14">
        <v>42.862106692476992</v>
      </c>
      <c r="O91" s="14">
        <v>13132.949490574951</v>
      </c>
      <c r="P91" s="8">
        <v>42.862106692476999</v>
      </c>
      <c r="Q91" s="54">
        <v>7.7866986572572655E-2</v>
      </c>
    </row>
    <row r="92" spans="1:17">
      <c r="A92" s="2" t="s">
        <v>462</v>
      </c>
      <c r="B92" s="16" t="s">
        <v>463</v>
      </c>
      <c r="D92" s="14">
        <v>1</v>
      </c>
      <c r="E92" s="14">
        <v>0.68410757503704678</v>
      </c>
      <c r="F92" s="14">
        <v>0.17719934795590284</v>
      </c>
      <c r="G92" s="14">
        <v>4.9155328994057838E-11</v>
      </c>
      <c r="H92" s="14">
        <v>118.39738747623932</v>
      </c>
      <c r="I92" s="14">
        <v>239.55171821793382</v>
      </c>
      <c r="J92" s="14">
        <v>0</v>
      </c>
      <c r="K92" s="14">
        <v>5.6433616237056139</v>
      </c>
      <c r="L92" s="14">
        <v>0.17719934795590286</v>
      </c>
      <c r="M92" s="14">
        <v>0.14539206499781829</v>
      </c>
      <c r="N92" s="14">
        <v>11.204635620071185</v>
      </c>
      <c r="O92" s="14">
        <v>3773.9453695523766</v>
      </c>
      <c r="P92" s="8">
        <v>11.204635620071187</v>
      </c>
      <c r="Q92" s="54">
        <v>0.21047440489195565</v>
      </c>
    </row>
    <row r="93" spans="1:17">
      <c r="A93" s="2" t="s">
        <v>464</v>
      </c>
      <c r="B93" s="16" t="s">
        <v>465</v>
      </c>
      <c r="D93" s="14">
        <v>1</v>
      </c>
      <c r="E93" s="14">
        <v>0.80484555915345091</v>
      </c>
      <c r="F93" s="14">
        <v>3.8963687075345962E-2</v>
      </c>
      <c r="G93" s="14">
        <v>2.1799600484315597E-6</v>
      </c>
      <c r="H93" s="14">
        <v>183.0712078045369</v>
      </c>
      <c r="I93" s="14">
        <v>320.83165941136025</v>
      </c>
      <c r="J93" s="14">
        <v>0</v>
      </c>
      <c r="K93" s="14">
        <v>25.664922266372063</v>
      </c>
      <c r="L93" s="14">
        <v>3.8963687075345962E-2</v>
      </c>
      <c r="M93" s="14">
        <v>3.1969705245321361E-2</v>
      </c>
      <c r="N93" s="14">
        <v>15.038053549459052</v>
      </c>
      <c r="O93" s="14">
        <v>6994.04832531791</v>
      </c>
      <c r="P93" s="8">
        <v>15.038053549459052</v>
      </c>
      <c r="Q93" s="54">
        <v>0.12790196524137623</v>
      </c>
    </row>
    <row r="94" spans="1:17">
      <c r="A94" s="2" t="s">
        <v>466</v>
      </c>
      <c r="B94" s="16" t="s">
        <v>467</v>
      </c>
      <c r="D94" s="14">
        <v>1</v>
      </c>
      <c r="E94" s="14">
        <v>0.99948430693735324</v>
      </c>
      <c r="F94" s="14">
        <v>0.897949802014399</v>
      </c>
      <c r="G94" s="14">
        <v>2.037457121588526E-20</v>
      </c>
      <c r="H94" s="14">
        <v>29.849156226003998</v>
      </c>
      <c r="I94" s="14">
        <v>3.6318856723082965E-2</v>
      </c>
      <c r="J94" s="14">
        <v>0</v>
      </c>
      <c r="K94" s="14">
        <v>1.1136479987596952</v>
      </c>
      <c r="L94" s="14">
        <v>0.897949802014399</v>
      </c>
      <c r="M94" s="14">
        <v>0.73676781255281443</v>
      </c>
      <c r="N94" s="14">
        <v>0.97868582649536806</v>
      </c>
      <c r="O94" s="14">
        <v>323.69055025507805</v>
      </c>
      <c r="P94" s="8">
        <v>0.97868582649536806</v>
      </c>
      <c r="Q94" s="54">
        <v>1.0762970971661501E-4</v>
      </c>
    </row>
    <row r="95" spans="1:17">
      <c r="A95" s="2" t="s">
        <v>468</v>
      </c>
      <c r="B95" s="16" t="s">
        <v>469</v>
      </c>
      <c r="D95" s="14">
        <v>1</v>
      </c>
      <c r="E95" s="14">
        <v>0.87767373576345098</v>
      </c>
      <c r="F95" s="14">
        <v>7.8773977967831494E-3</v>
      </c>
      <c r="G95" s="14">
        <v>2.2346590205933346E-20</v>
      </c>
      <c r="H95" s="14">
        <v>198.19047441156133</v>
      </c>
      <c r="I95" s="14">
        <v>453.98337380158279</v>
      </c>
      <c r="J95" s="14">
        <v>0</v>
      </c>
      <c r="K95" s="14">
        <v>126.94547435554981</v>
      </c>
      <c r="L95" s="14">
        <v>7.8773977967831511E-3</v>
      </c>
      <c r="M95" s="14">
        <v>6.4634048922605752E-3</v>
      </c>
      <c r="N95" s="14">
        <v>21.55092438359539</v>
      </c>
      <c r="O95" s="14">
        <v>10646.156645496123</v>
      </c>
      <c r="P95" s="8">
        <v>21.55092438359539</v>
      </c>
      <c r="Q95" s="54">
        <v>7.7275166238621074E-2</v>
      </c>
    </row>
    <row r="96" spans="1:17">
      <c r="A96" s="2" t="s">
        <v>470</v>
      </c>
      <c r="B96" s="164">
        <v>354656</v>
      </c>
      <c r="D96" s="14">
        <v>1</v>
      </c>
      <c r="E96" s="14">
        <v>0.96958622762490876</v>
      </c>
      <c r="F96" s="14">
        <v>0.97201309504893363</v>
      </c>
      <c r="G96" s="14">
        <v>4.0943088819106884E-12</v>
      </c>
      <c r="H96" s="14">
        <v>0.27922359595932644</v>
      </c>
      <c r="I96" s="14">
        <v>1.0000213833961216</v>
      </c>
      <c r="J96" s="14">
        <v>0</v>
      </c>
      <c r="K96" s="14">
        <v>1.0287927241861463</v>
      </c>
      <c r="L96" s="14">
        <v>0.97201309504893374</v>
      </c>
      <c r="M96" s="14">
        <v>0.79753674448765011</v>
      </c>
      <c r="N96" s="14">
        <v>0.87362150349337597</v>
      </c>
      <c r="O96" s="14">
        <v>172.26942427385882</v>
      </c>
      <c r="P96" s="8">
        <v>0.87362150349337608</v>
      </c>
      <c r="Q96" s="54">
        <v>2.0314647301048986E-2</v>
      </c>
    </row>
    <row r="97" spans="1:17">
      <c r="A97" s="2" t="s">
        <v>472</v>
      </c>
      <c r="B97" s="16" t="s">
        <v>473</v>
      </c>
      <c r="D97" s="14">
        <v>1</v>
      </c>
      <c r="E97" s="14">
        <v>0.93679524743065579</v>
      </c>
      <c r="F97" s="14">
        <v>0.93480606944990474</v>
      </c>
      <c r="G97" s="14">
        <v>6.2921636747962206E-12</v>
      </c>
      <c r="H97" s="14">
        <v>1.1889717160419764</v>
      </c>
      <c r="I97" s="14">
        <v>3.8161786215064226</v>
      </c>
      <c r="J97" s="14">
        <v>0</v>
      </c>
      <c r="K97" s="14">
        <v>1.0697405939912856</v>
      </c>
      <c r="L97" s="14">
        <v>0.93480606944990474</v>
      </c>
      <c r="M97" s="14">
        <v>0.7670083799836469</v>
      </c>
      <c r="N97" s="14">
        <v>0.96678509171517957</v>
      </c>
      <c r="O97" s="14">
        <v>154.85963599093748</v>
      </c>
      <c r="P97" s="8">
        <v>0.96678509171517968</v>
      </c>
      <c r="Q97" s="54">
        <v>4.2425668505024133E-2</v>
      </c>
    </row>
    <row r="98" spans="1:17">
      <c r="A98" s="2" t="s">
        <v>474</v>
      </c>
      <c r="B98" s="16" t="s">
        <v>475</v>
      </c>
      <c r="D98" s="14">
        <v>1</v>
      </c>
      <c r="E98" s="14">
        <v>0.85517639930420153</v>
      </c>
      <c r="F98" s="14">
        <v>1.8367587097508957E-2</v>
      </c>
      <c r="G98" s="14">
        <v>5.1746454130891169E-22</v>
      </c>
      <c r="H98" s="14">
        <v>201.9538365316854</v>
      </c>
      <c r="I98" s="14">
        <v>332.43694198724131</v>
      </c>
      <c r="J98" s="14">
        <v>0</v>
      </c>
      <c r="K98" s="14">
        <v>54.443732575827646</v>
      </c>
      <c r="L98" s="14">
        <v>1.8367587097508957E-2</v>
      </c>
      <c r="M98" s="14">
        <v>1.5070605213506101E-2</v>
      </c>
      <c r="N98" s="14">
        <v>15.655207307555791</v>
      </c>
      <c r="O98" s="14">
        <v>8319.6468194543722</v>
      </c>
      <c r="P98" s="8">
        <v>15.655207307555791</v>
      </c>
      <c r="Q98" s="54">
        <v>9.3909446034197458E-2</v>
      </c>
    </row>
    <row r="99" spans="1:17">
      <c r="A99" s="2" t="s">
        <v>476</v>
      </c>
      <c r="B99" s="16" t="s">
        <v>477</v>
      </c>
      <c r="D99" s="14">
        <v>1</v>
      </c>
      <c r="E99" s="14">
        <v>0.99131968058037301</v>
      </c>
      <c r="F99" s="14">
        <v>0.99507801856149525</v>
      </c>
      <c r="G99" s="14">
        <v>1.9335954720153072E-9</v>
      </c>
      <c r="H99" s="14">
        <v>2.344969145252632E-2</v>
      </c>
      <c r="I99" s="14">
        <v>0.10097045271397934</v>
      </c>
      <c r="J99" s="14">
        <v>0</v>
      </c>
      <c r="K99" s="14">
        <v>1.0049463271690193</v>
      </c>
      <c r="L99" s="14">
        <v>0.99507801856149536</v>
      </c>
      <c r="M99" s="14">
        <v>0.81646151422970692</v>
      </c>
      <c r="N99" s="14">
        <v>0.8538970082972912</v>
      </c>
      <c r="O99" s="14">
        <v>110.28933759167813</v>
      </c>
      <c r="P99" s="8">
        <v>0.85389700829729132</v>
      </c>
      <c r="Q99" s="54">
        <v>5.649295647384772E-3</v>
      </c>
    </row>
    <row r="100" spans="1:17">
      <c r="A100" s="2" t="s">
        <v>478</v>
      </c>
      <c r="B100" s="16" t="s">
        <v>479</v>
      </c>
      <c r="D100" s="14">
        <v>1</v>
      </c>
      <c r="E100" s="14">
        <v>0.67100974381443479</v>
      </c>
      <c r="F100" s="14">
        <v>0.41101934234900805</v>
      </c>
      <c r="G100" s="14">
        <v>5.6664459128011444E-13</v>
      </c>
      <c r="H100" s="14">
        <v>59.742344248813545</v>
      </c>
      <c r="I100" s="14">
        <v>135.2506717489857</v>
      </c>
      <c r="J100" s="14">
        <v>0</v>
      </c>
      <c r="K100" s="14">
        <v>2.4329755244240352</v>
      </c>
      <c r="L100" s="14">
        <v>0.41101934234900805</v>
      </c>
      <c r="M100" s="14">
        <v>0.33724137039736113</v>
      </c>
      <c r="N100" s="14">
        <v>6.5263961733153764</v>
      </c>
      <c r="O100" s="14">
        <v>1956.6135727599499</v>
      </c>
      <c r="P100" s="8">
        <v>6.5263961733153764</v>
      </c>
      <c r="Q100" s="54">
        <v>0.22046488735104927</v>
      </c>
    </row>
    <row r="101" spans="1:17">
      <c r="A101" s="2" t="s">
        <v>480</v>
      </c>
      <c r="B101" s="16" t="s">
        <v>481</v>
      </c>
      <c r="D101" s="14">
        <v>1</v>
      </c>
      <c r="E101" s="14">
        <v>0.98567584530153007</v>
      </c>
      <c r="F101" s="14">
        <v>0.98921284661908793</v>
      </c>
      <c r="G101" s="14">
        <v>5.2023340498286597E-13</v>
      </c>
      <c r="H101" s="14">
        <v>6.338255585040381E-2</v>
      </c>
      <c r="I101" s="14">
        <v>0.25352857683665703</v>
      </c>
      <c r="J101" s="14">
        <v>0</v>
      </c>
      <c r="K101" s="14">
        <v>1.0109047849689581</v>
      </c>
      <c r="L101" s="14">
        <v>0.98921284661908793</v>
      </c>
      <c r="M101" s="14">
        <v>0.81164914065096172</v>
      </c>
      <c r="N101" s="14">
        <v>0.85552750854449189</v>
      </c>
      <c r="O101" s="14">
        <v>203.75243143495618</v>
      </c>
      <c r="P101" s="8">
        <v>0.85552750854449189</v>
      </c>
      <c r="Q101" s="54">
        <v>9.458601281013829E-3</v>
      </c>
    </row>
    <row r="102" spans="1:17">
      <c r="A102" s="2" t="s">
        <v>482</v>
      </c>
      <c r="B102" s="16" t="s">
        <v>483</v>
      </c>
      <c r="D102" s="14">
        <v>1</v>
      </c>
      <c r="E102" s="14">
        <v>0.99613032261667589</v>
      </c>
      <c r="F102" s="14">
        <v>1.0000044636389247</v>
      </c>
      <c r="G102" s="14">
        <v>3.2700201304744708E-29</v>
      </c>
      <c r="H102" s="14">
        <v>4.5239931485634701E-3</v>
      </c>
      <c r="I102" s="14">
        <v>2.1997792913721431E-2</v>
      </c>
      <c r="J102" s="14">
        <v>0</v>
      </c>
      <c r="K102" s="14">
        <v>0.99999553638099925</v>
      </c>
      <c r="L102" s="14">
        <v>1.0000044636389247</v>
      </c>
      <c r="M102" s="14">
        <v>0.8205036624157378</v>
      </c>
      <c r="N102" s="14">
        <v>0.85469459133781955</v>
      </c>
      <c r="O102" s="14">
        <v>393.52703068967224</v>
      </c>
      <c r="P102" s="8">
        <v>0.85469459133781955</v>
      </c>
      <c r="Q102" s="54">
        <v>2.4020337726521034E-3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0.99158591580098143</v>
      </c>
      <c r="F103" s="14">
        <v>0.99535245101824876</v>
      </c>
      <c r="G103" s="14">
        <v>2.6081668933295907E-15</v>
      </c>
      <c r="H103" s="14">
        <v>2.2034687224839769E-2</v>
      </c>
      <c r="I103" s="14">
        <v>9.5315616448541099E-2</v>
      </c>
      <c r="J103" s="14">
        <v>0</v>
      </c>
      <c r="K103" s="14">
        <v>1.0046692495477323</v>
      </c>
      <c r="L103" s="14">
        <v>0.99535245101824876</v>
      </c>
      <c r="M103" s="14">
        <v>0.81668668606047312</v>
      </c>
      <c r="N103" s="14">
        <v>0.85388627008509221</v>
      </c>
      <c r="O103" s="14">
        <v>175.26015693496518</v>
      </c>
      <c r="P103" s="8">
        <v>0.85388627008509232</v>
      </c>
      <c r="Q103" s="54">
        <v>5.4697069776191301E-3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0.95421399613149638</v>
      </c>
      <c r="F104" s="14">
        <v>0.95493207673216141</v>
      </c>
      <c r="G104" s="14">
        <v>3.2096743343077862E-11</v>
      </c>
      <c r="H104" s="14">
        <v>0.62608382204162283</v>
      </c>
      <c r="I104" s="14">
        <v>2.1100349678851065</v>
      </c>
      <c r="J104" s="14">
        <v>0</v>
      </c>
      <c r="K104" s="14">
        <v>1.0471948993713396</v>
      </c>
      <c r="L104" s="14">
        <v>0.95493207673216141</v>
      </c>
      <c r="M104" s="14">
        <v>0.78352176895873848</v>
      </c>
      <c r="N104" s="14">
        <v>0.9081306134543744</v>
      </c>
      <c r="O104" s="14">
        <v>137.27302352976324</v>
      </c>
      <c r="P104" s="8">
        <v>0.90813061345437451</v>
      </c>
      <c r="Q104" s="54">
        <v>3.0682422969637028E-2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0.99542120678304502</v>
      </c>
      <c r="F105" s="14">
        <v>0.99928268432665823</v>
      </c>
      <c r="G105" s="14">
        <v>2.6006197096214676E-18</v>
      </c>
      <c r="H105" s="14">
        <v>6.415763729162631E-3</v>
      </c>
      <c r="I105" s="14">
        <v>3.0402236476836163E-2</v>
      </c>
      <c r="J105" s="14">
        <v>0</v>
      </c>
      <c r="K105" s="14">
        <v>1.0007178305844708</v>
      </c>
      <c r="L105" s="14">
        <v>0.99928268432665823</v>
      </c>
      <c r="M105" s="14">
        <v>0.81991144249002312</v>
      </c>
      <c r="N105" s="14">
        <v>0.85443904045419827</v>
      </c>
      <c r="O105" s="14">
        <v>289.96243276853676</v>
      </c>
      <c r="P105" s="8">
        <v>0.85443904045419838</v>
      </c>
      <c r="Q105" s="54">
        <v>2.8807497492049261E-3</v>
      </c>
    </row>
    <row r="106" spans="1:17">
      <c r="A106" s="2" t="s">
        <v>490</v>
      </c>
      <c r="B106" s="16" t="s">
        <v>491</v>
      </c>
      <c r="D106" s="14">
        <v>1</v>
      </c>
      <c r="E106" s="14">
        <v>0.85445832494308138</v>
      </c>
      <c r="F106" s="14">
        <v>0.82737478935516306</v>
      </c>
      <c r="G106" s="14">
        <v>1.413158161984924E-10</v>
      </c>
      <c r="H106" s="14">
        <v>6.6124482092536532</v>
      </c>
      <c r="I106" s="14">
        <v>18.536146545532556</v>
      </c>
      <c r="J106" s="14">
        <v>0</v>
      </c>
      <c r="K106" s="14">
        <v>1.2086420965030578</v>
      </c>
      <c r="L106" s="14">
        <v>0.82737478935516306</v>
      </c>
      <c r="M106" s="14">
        <v>0.67886101466591131</v>
      </c>
      <c r="N106" s="14">
        <v>1.5360710826021198</v>
      </c>
      <c r="O106" s="14">
        <v>295.12533710034529</v>
      </c>
      <c r="P106" s="8">
        <v>1.53607108260212</v>
      </c>
      <c r="Q106" s="54">
        <v>9.786320941348893E-2</v>
      </c>
    </row>
    <row r="107" spans="1:17">
      <c r="A107" s="2" t="s">
        <v>492</v>
      </c>
      <c r="B107" s="16" t="s">
        <v>493</v>
      </c>
      <c r="D107" s="14">
        <v>1</v>
      </c>
      <c r="E107" s="14">
        <v>0.87173144077868969</v>
      </c>
      <c r="F107" s="14">
        <v>1.3655740194253158E-2</v>
      </c>
      <c r="G107" s="14">
        <v>2.431776925577179E-18</v>
      </c>
      <c r="H107" s="14">
        <v>207.82378279808381</v>
      </c>
      <c r="I107" s="14">
        <v>334.0045755927153</v>
      </c>
      <c r="J107" s="14">
        <v>0</v>
      </c>
      <c r="K107" s="14">
        <v>73.229278367556901</v>
      </c>
      <c r="L107" s="14">
        <v>1.3655740194253158E-2</v>
      </c>
      <c r="M107" s="14">
        <v>1.1204534829384716E-2</v>
      </c>
      <c r="N107" s="14">
        <v>15.760459197024526</v>
      </c>
      <c r="O107" s="14">
        <v>7164.7047509673503</v>
      </c>
      <c r="P107" s="8">
        <v>15.760459197024527</v>
      </c>
      <c r="Q107" s="54">
        <v>8.2708932649675382E-2</v>
      </c>
    </row>
    <row r="108" spans="1:17">
      <c r="A108" s="2" t="s">
        <v>291</v>
      </c>
      <c r="B108" s="16" t="s">
        <v>494</v>
      </c>
      <c r="D108" s="14">
        <v>1</v>
      </c>
      <c r="E108" s="14">
        <v>0.68466783336009174</v>
      </c>
      <c r="F108" s="14">
        <v>0.47320845389921384</v>
      </c>
      <c r="G108" s="14">
        <v>3.2633299168746189E-12</v>
      </c>
      <c r="H108" s="14">
        <v>48.465477365844805</v>
      </c>
      <c r="I108" s="14">
        <v>112.58736771992169</v>
      </c>
      <c r="J108" s="14">
        <v>0</v>
      </c>
      <c r="K108" s="14">
        <v>2.1132335903132127</v>
      </c>
      <c r="L108" s="14">
        <v>0.47320845389921384</v>
      </c>
      <c r="M108" s="14">
        <v>0.38826753642430495</v>
      </c>
      <c r="N108" s="14">
        <v>5.5323398583078731</v>
      </c>
      <c r="O108" s="14">
        <v>1705.7863485120665</v>
      </c>
      <c r="P108" s="8">
        <v>5.532339858307874</v>
      </c>
      <c r="Q108" s="54">
        <v>0.2114899163805046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9.0733783397323398E-5</v>
      </c>
      <c r="E2" s="20">
        <v>0.82045365724204578</v>
      </c>
      <c r="F2" s="20">
        <v>3.6884443491992436E-2</v>
      </c>
      <c r="G2" s="20">
        <v>1.0743326897642231E-2</v>
      </c>
      <c r="H2" s="20">
        <v>0</v>
      </c>
      <c r="I2" s="20">
        <v>0.77282588685241116</v>
      </c>
      <c r="J2" s="20">
        <v>7.0339844532001897E-4</v>
      </c>
      <c r="K2" s="20">
        <v>0.17875221052923687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3.5248048786855933E-3</v>
      </c>
      <c r="E3" s="20">
        <v>0.88561500501486468</v>
      </c>
      <c r="F3" s="20">
        <v>0.23856641030521486</v>
      </c>
      <c r="G3" s="20">
        <v>0.64640521446505539</v>
      </c>
      <c r="H3" s="20">
        <v>0</v>
      </c>
      <c r="I3" s="20">
        <v>6.4338024459445367E-4</v>
      </c>
      <c r="J3" s="20">
        <v>3.0244888764099392E-2</v>
      </c>
      <c r="K3" s="20">
        <v>8.061530134235044E-2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4.4046555678610086E-12</v>
      </c>
      <c r="E4" s="20">
        <v>0.66368938053284632</v>
      </c>
      <c r="F4" s="20">
        <v>0.25083386398216173</v>
      </c>
      <c r="G4" s="20">
        <v>5.9879990626221263E-2</v>
      </c>
      <c r="H4" s="20">
        <v>0</v>
      </c>
      <c r="I4" s="20">
        <v>0.35297552592446335</v>
      </c>
      <c r="J4" s="20">
        <v>2.7349592619338049E-3</v>
      </c>
      <c r="K4" s="20">
        <v>0.33357566020081519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1.1947547295879805E-4</v>
      </c>
      <c r="E5" s="20">
        <v>0.87506380164170472</v>
      </c>
      <c r="F5" s="20">
        <v>0.67290378830791597</v>
      </c>
      <c r="G5" s="20">
        <v>0.19527584630483727</v>
      </c>
      <c r="H5" s="20">
        <v>0</v>
      </c>
      <c r="I5" s="20">
        <v>6.8841670289515305E-3</v>
      </c>
      <c r="J5" s="20">
        <v>8.8959790538228386E-3</v>
      </c>
      <c r="K5" s="20">
        <v>0.11592074383151355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1.1525228010993123E-5</v>
      </c>
      <c r="E6" s="20">
        <v>0.90291090099504023</v>
      </c>
      <c r="F6" s="20">
        <v>0.15269462191619243</v>
      </c>
      <c r="G6" s="20">
        <v>0.74992752896333481</v>
      </c>
      <c r="H6" s="20">
        <v>0</v>
      </c>
      <c r="I6" s="20">
        <v>2.8875011551295028E-4</v>
      </c>
      <c r="J6" s="20">
        <v>3.5342506339939857E-2</v>
      </c>
      <c r="K6" s="20">
        <v>6.1735067437008753E-2</v>
      </c>
      <c r="L6" s="20">
        <v>0</v>
      </c>
    </row>
    <row r="7" spans="1:14">
      <c r="A7" s="2" t="s">
        <v>321</v>
      </c>
      <c r="B7" s="3" t="s">
        <v>322</v>
      </c>
      <c r="D7" s="20">
        <v>1.6965181055021308E-5</v>
      </c>
      <c r="E7" s="20">
        <v>0.89076543554659748</v>
      </c>
      <c r="F7" s="20">
        <v>0.2250260069441809</v>
      </c>
      <c r="G7" s="20">
        <v>0.6651632844751233</v>
      </c>
      <c r="H7" s="20">
        <v>0</v>
      </c>
      <c r="I7" s="20">
        <v>5.7614412729326892E-4</v>
      </c>
      <c r="J7" s="20">
        <v>3.1155378963212906E-2</v>
      </c>
      <c r="K7" s="20">
        <v>7.8062220309134595E-2</v>
      </c>
      <c r="L7" s="20">
        <v>0</v>
      </c>
    </row>
    <row r="8" spans="1:14">
      <c r="A8" s="2" t="s">
        <v>323</v>
      </c>
      <c r="B8" s="3" t="s">
        <v>324</v>
      </c>
      <c r="D8" s="20">
        <v>1.5999533786385393E-4</v>
      </c>
      <c r="E8" s="20">
        <v>0.87716753017609694</v>
      </c>
      <c r="F8" s="20">
        <v>0.34196490889536263</v>
      </c>
      <c r="G8" s="20">
        <v>0.53392111727391622</v>
      </c>
      <c r="H8" s="20">
        <v>0</v>
      </c>
      <c r="I8" s="20">
        <v>1.2815040068180786E-3</v>
      </c>
      <c r="J8" s="20">
        <v>2.4815963169993554E-2</v>
      </c>
      <c r="K8" s="20">
        <v>9.7856511316045613E-2</v>
      </c>
      <c r="L8" s="20">
        <v>0</v>
      </c>
    </row>
    <row r="9" spans="1:14">
      <c r="A9" s="2" t="s">
        <v>325</v>
      </c>
      <c r="B9" s="3" t="s">
        <v>326</v>
      </c>
      <c r="D9" s="20">
        <v>1.0111376803644608E-4</v>
      </c>
      <c r="E9" s="20">
        <v>0.77197121873650887</v>
      </c>
      <c r="F9" s="20">
        <v>0.59577806516833109</v>
      </c>
      <c r="G9" s="20">
        <v>0.11699843837248297</v>
      </c>
      <c r="H9" s="20">
        <v>0</v>
      </c>
      <c r="I9" s="20">
        <v>5.9194715195694823E-2</v>
      </c>
      <c r="J9" s="20">
        <v>5.2417796331344132E-3</v>
      </c>
      <c r="K9" s="20">
        <v>0.22268588786232021</v>
      </c>
      <c r="L9" s="20">
        <v>0</v>
      </c>
    </row>
    <row r="10" spans="1:14">
      <c r="A10" s="2" t="s">
        <v>275</v>
      </c>
      <c r="B10" s="3" t="s">
        <v>276</v>
      </c>
      <c r="D10" s="20">
        <v>1.5345134370176259E-6</v>
      </c>
      <c r="E10" s="20">
        <v>0.87395115792127376</v>
      </c>
      <c r="F10" s="20">
        <v>0.65893854194439883</v>
      </c>
      <c r="G10" s="20">
        <v>0.20861256642831622</v>
      </c>
      <c r="H10" s="20">
        <v>0</v>
      </c>
      <c r="I10" s="20">
        <v>6.4000495485586765E-3</v>
      </c>
      <c r="J10" s="20">
        <v>9.5131887610383666E-3</v>
      </c>
      <c r="K10" s="20">
        <v>0.11653411880425095</v>
      </c>
      <c r="L10" s="20">
        <v>0</v>
      </c>
    </row>
    <row r="11" spans="1:14">
      <c r="A11" s="2" t="s">
        <v>327</v>
      </c>
      <c r="B11" s="3" t="s">
        <v>328</v>
      </c>
      <c r="D11" s="20">
        <v>7.9877598755952243E-5</v>
      </c>
      <c r="E11" s="20">
        <v>0.87212038115747825</v>
      </c>
      <c r="F11" s="20">
        <v>0.63430657873477814</v>
      </c>
      <c r="G11" s="20">
        <v>0.23216394300826526</v>
      </c>
      <c r="H11" s="20">
        <v>0</v>
      </c>
      <c r="I11" s="20">
        <v>5.6498594144349032E-3</v>
      </c>
      <c r="J11" s="20">
        <v>1.0605195057296036E-2</v>
      </c>
      <c r="K11" s="20">
        <v>0.11719454618646974</v>
      </c>
      <c r="L11" s="20">
        <v>0</v>
      </c>
    </row>
    <row r="12" spans="1:14">
      <c r="A12" s="2" t="s">
        <v>329</v>
      </c>
      <c r="B12" s="3" t="s">
        <v>330</v>
      </c>
      <c r="D12" s="20">
        <v>5.2899724151668063E-5</v>
      </c>
      <c r="E12" s="20">
        <v>0.80655905477734791</v>
      </c>
      <c r="F12" s="20">
        <v>0.64643910793401649</v>
      </c>
      <c r="G12" s="20">
        <v>0.12213023075186059</v>
      </c>
      <c r="H12" s="20">
        <v>0</v>
      </c>
      <c r="I12" s="20">
        <v>3.7989716091470775E-2</v>
      </c>
      <c r="J12" s="20">
        <v>5.4841393969256988E-3</v>
      </c>
      <c r="K12" s="20">
        <v>0.18790390610157473</v>
      </c>
      <c r="L12" s="20">
        <v>0</v>
      </c>
    </row>
    <row r="13" spans="1:14">
      <c r="A13" s="2" t="s">
        <v>277</v>
      </c>
      <c r="B13" s="3" t="s">
        <v>278</v>
      </c>
      <c r="D13" s="20">
        <v>1.5737644364233118E-4</v>
      </c>
      <c r="E13" s="20">
        <v>0.77528243526697727</v>
      </c>
      <c r="F13" s="20">
        <v>0.60091624101494578</v>
      </c>
      <c r="G13" s="20">
        <v>0.11757351367772587</v>
      </c>
      <c r="H13" s="20">
        <v>0</v>
      </c>
      <c r="I13" s="20">
        <v>5.679268057430558E-2</v>
      </c>
      <c r="J13" s="20">
        <v>5.2685218731984467E-3</v>
      </c>
      <c r="K13" s="20">
        <v>0.21929166641618214</v>
      </c>
      <c r="L13" s="20">
        <v>0</v>
      </c>
    </row>
    <row r="14" spans="1:14">
      <c r="A14" s="2" t="s">
        <v>331</v>
      </c>
      <c r="B14" s="3" t="s">
        <v>332</v>
      </c>
      <c r="D14" s="20">
        <v>5.3169676147206257E-5</v>
      </c>
      <c r="E14" s="20">
        <v>0.86911210828161123</v>
      </c>
      <c r="F14" s="20">
        <v>0.54984240430982612</v>
      </c>
      <c r="G14" s="20">
        <v>0.31552500720580495</v>
      </c>
      <c r="H14" s="20">
        <v>0</v>
      </c>
      <c r="I14" s="20">
        <v>3.7446967659801912E-3</v>
      </c>
      <c r="J14" s="20">
        <v>1.4490072464697421E-2</v>
      </c>
      <c r="K14" s="20">
        <v>0.11634464957754416</v>
      </c>
      <c r="L14" s="20">
        <v>0</v>
      </c>
    </row>
    <row r="15" spans="1:14">
      <c r="A15" s="2" t="s">
        <v>333</v>
      </c>
      <c r="B15" s="3" t="s">
        <v>334</v>
      </c>
      <c r="D15" s="20">
        <v>8.6979105242722093E-8</v>
      </c>
      <c r="E15" s="20">
        <v>0.8730282458420261</v>
      </c>
      <c r="F15" s="20">
        <v>0.64682850517491808</v>
      </c>
      <c r="G15" s="20">
        <v>0.22018346709454131</v>
      </c>
      <c r="H15" s="20">
        <v>0</v>
      </c>
      <c r="I15" s="20">
        <v>6.0162735725666858E-3</v>
      </c>
      <c r="J15" s="20">
        <v>1.0049370757566376E-2</v>
      </c>
      <c r="K15" s="20">
        <v>0.11692229642130234</v>
      </c>
      <c r="L15" s="20">
        <v>0</v>
      </c>
    </row>
    <row r="16" spans="1:14">
      <c r="A16" s="2" t="s">
        <v>335</v>
      </c>
      <c r="B16" s="3" t="s">
        <v>336</v>
      </c>
      <c r="D16" s="20">
        <v>4.1568337905565863E-4</v>
      </c>
      <c r="E16" s="20">
        <v>0.87644227534972419</v>
      </c>
      <c r="F16" s="20">
        <v>0.34772576771646002</v>
      </c>
      <c r="G16" s="20">
        <v>0.52739065486319725</v>
      </c>
      <c r="H16" s="20">
        <v>0</v>
      </c>
      <c r="I16" s="20">
        <v>1.3258527700669618E-3</v>
      </c>
      <c r="J16" s="20">
        <v>2.4503858956879315E-2</v>
      </c>
      <c r="K16" s="20">
        <v>9.8638182314340767E-2</v>
      </c>
      <c r="L16" s="20">
        <v>0</v>
      </c>
    </row>
    <row r="17" spans="1:12">
      <c r="A17" s="2" t="s">
        <v>337</v>
      </c>
      <c r="B17" s="3" t="s">
        <v>338</v>
      </c>
      <c r="D17" s="20">
        <v>3.0684892148870648E-5</v>
      </c>
      <c r="E17" s="20">
        <v>0.87472373814934423</v>
      </c>
      <c r="F17" s="20">
        <v>0.6683420955791447</v>
      </c>
      <c r="G17" s="20">
        <v>0.19966151926677703</v>
      </c>
      <c r="H17" s="20">
        <v>0</v>
      </c>
      <c r="I17" s="20">
        <v>6.7201233034224952E-3</v>
      </c>
      <c r="J17" s="20">
        <v>9.0988429957423612E-3</v>
      </c>
      <c r="K17" s="20">
        <v>0.11614673396276461</v>
      </c>
      <c r="L17" s="20">
        <v>0</v>
      </c>
    </row>
    <row r="18" spans="1:12">
      <c r="A18" s="2" t="s">
        <v>279</v>
      </c>
      <c r="B18" s="3" t="s">
        <v>280</v>
      </c>
      <c r="D18" s="20">
        <v>3.0389996248999661E-3</v>
      </c>
      <c r="E18" s="20">
        <v>0.75461302315857359</v>
      </c>
      <c r="F18" s="20">
        <v>0.56990814173034021</v>
      </c>
      <c r="G18" s="20">
        <v>0.11378903562358957</v>
      </c>
      <c r="H18" s="20">
        <v>0</v>
      </c>
      <c r="I18" s="20">
        <v>7.0915845804643773E-2</v>
      </c>
      <c r="J18" s="20">
        <v>5.0942481191555639E-3</v>
      </c>
      <c r="K18" s="20">
        <v>0.23725372909737102</v>
      </c>
      <c r="L18" s="20">
        <v>0</v>
      </c>
    </row>
    <row r="19" spans="1:12">
      <c r="A19" s="2" t="s">
        <v>339</v>
      </c>
      <c r="B19" s="3" t="s">
        <v>340</v>
      </c>
      <c r="D19" s="20">
        <v>3.048288767448711E-7</v>
      </c>
      <c r="E19" s="20">
        <v>0.87285338350203689</v>
      </c>
      <c r="F19" s="20">
        <v>0.64436259322959921</v>
      </c>
      <c r="G19" s="20">
        <v>0.22254911727784152</v>
      </c>
      <c r="H19" s="20">
        <v>0</v>
      </c>
      <c r="I19" s="20">
        <v>5.9416729945961843E-3</v>
      </c>
      <c r="J19" s="20">
        <v>1.015906857110278E-2</v>
      </c>
      <c r="K19" s="20">
        <v>0.1169872430979834</v>
      </c>
      <c r="L19" s="20">
        <v>0</v>
      </c>
    </row>
    <row r="20" spans="1:12">
      <c r="A20" s="2" t="s">
        <v>281</v>
      </c>
      <c r="B20" s="3" t="s">
        <v>282</v>
      </c>
      <c r="D20" s="20">
        <v>2.3823070378582785E-5</v>
      </c>
      <c r="E20" s="20">
        <v>0.77538599314901024</v>
      </c>
      <c r="F20" s="20">
        <v>0.60099650803812077</v>
      </c>
      <c r="G20" s="20">
        <v>0.11758921848865128</v>
      </c>
      <c r="H20" s="20">
        <v>0</v>
      </c>
      <c r="I20" s="20">
        <v>5.6800266622238207E-2</v>
      </c>
      <c r="J20" s="20">
        <v>5.2692256128187643E-3</v>
      </c>
      <c r="K20" s="20">
        <v>0.21932095816779232</v>
      </c>
      <c r="L20" s="20">
        <v>0</v>
      </c>
    </row>
    <row r="21" spans="1:12">
      <c r="A21" s="2" t="s">
        <v>341</v>
      </c>
      <c r="B21" s="3" t="s">
        <v>342</v>
      </c>
      <c r="D21" s="20">
        <v>4.4525566846026048E-4</v>
      </c>
      <c r="E21" s="20">
        <v>0.86924179904692267</v>
      </c>
      <c r="F21" s="20">
        <v>0.57528582341489887</v>
      </c>
      <c r="G21" s="20">
        <v>0.28972050087584178</v>
      </c>
      <c r="H21" s="20">
        <v>0</v>
      </c>
      <c r="I21" s="20">
        <v>4.2354747561820687E-3</v>
      </c>
      <c r="J21" s="20">
        <v>1.3284386175365856E-2</v>
      </c>
      <c r="K21" s="20">
        <v>0.11702855910925129</v>
      </c>
      <c r="L21" s="20">
        <v>0</v>
      </c>
    </row>
    <row r="22" spans="1:12">
      <c r="A22" s="2" t="s">
        <v>343</v>
      </c>
      <c r="B22" s="3" t="s">
        <v>344</v>
      </c>
      <c r="D22" s="20">
        <v>1.9610359693888828E-3</v>
      </c>
      <c r="E22" s="20">
        <v>0.71273113984206415</v>
      </c>
      <c r="F22" s="20">
        <v>0.1201046368637626</v>
      </c>
      <c r="G22" s="20">
        <v>3.1322421526093713E-2</v>
      </c>
      <c r="H22" s="20">
        <v>0</v>
      </c>
      <c r="I22" s="20">
        <v>0.56130408145220778</v>
      </c>
      <c r="J22" s="20">
        <v>1.5368570095232997E-3</v>
      </c>
      <c r="K22" s="20">
        <v>0.28377096717902373</v>
      </c>
      <c r="L22" s="20">
        <v>0</v>
      </c>
    </row>
    <row r="23" spans="1:12">
      <c r="A23" s="2" t="s">
        <v>345</v>
      </c>
      <c r="B23" s="3" t="s">
        <v>346</v>
      </c>
      <c r="D23" s="20">
        <v>8.3578169954874899E-5</v>
      </c>
      <c r="E23" s="20">
        <v>0.78314033355272494</v>
      </c>
      <c r="F23" s="20">
        <v>5.7275260403790322E-2</v>
      </c>
      <c r="G23" s="20">
        <v>1.6049541414564269E-2</v>
      </c>
      <c r="H23" s="20">
        <v>0</v>
      </c>
      <c r="I23" s="20">
        <v>0.7098155317343704</v>
      </c>
      <c r="J23" s="20">
        <v>9.1455461833616226E-4</v>
      </c>
      <c r="K23" s="20">
        <v>0.21586153365898406</v>
      </c>
      <c r="L23" s="20">
        <v>0</v>
      </c>
    </row>
    <row r="24" spans="1:12">
      <c r="A24" s="2" t="s">
        <v>347</v>
      </c>
      <c r="B24" s="3" t="s">
        <v>348</v>
      </c>
      <c r="D24" s="20">
        <v>7.2206741290260884E-5</v>
      </c>
      <c r="E24" s="20">
        <v>0.68518185000599452</v>
      </c>
      <c r="F24" s="20">
        <v>0.42000258222610853</v>
      </c>
      <c r="G24" s="20">
        <v>9.1610977232528076E-2</v>
      </c>
      <c r="H24" s="20">
        <v>0</v>
      </c>
      <c r="I24" s="20">
        <v>0.17356829054735787</v>
      </c>
      <c r="J24" s="20">
        <v>4.1039627314122243E-3</v>
      </c>
      <c r="K24" s="20">
        <v>0.31064198052130326</v>
      </c>
      <c r="L24" s="20">
        <v>0</v>
      </c>
    </row>
    <row r="25" spans="1:12">
      <c r="A25" s="2" t="s">
        <v>349</v>
      </c>
      <c r="B25" s="3" t="s">
        <v>350</v>
      </c>
      <c r="D25" s="20">
        <v>1.3206109578493636E-2</v>
      </c>
      <c r="E25" s="20">
        <v>0.83583184794602139</v>
      </c>
      <c r="F25" s="20">
        <v>0.69095396194544778</v>
      </c>
      <c r="G25" s="20">
        <v>0.12420659803254075</v>
      </c>
      <c r="H25" s="20">
        <v>0</v>
      </c>
      <c r="I25" s="20">
        <v>2.0671287968032914E-2</v>
      </c>
      <c r="J25" s="20">
        <v>5.5978977625576899E-3</v>
      </c>
      <c r="K25" s="20">
        <v>0.14536414471292722</v>
      </c>
      <c r="L25" s="20">
        <v>0</v>
      </c>
    </row>
    <row r="26" spans="1:12">
      <c r="A26" s="2" t="s">
        <v>351</v>
      </c>
      <c r="B26" s="3" t="s">
        <v>352</v>
      </c>
      <c r="D26" s="20">
        <v>3.5745475389404105E-4</v>
      </c>
      <c r="E26" s="20">
        <v>0.86982394166952881</v>
      </c>
      <c r="F26" s="20">
        <v>0.5919639945735321</v>
      </c>
      <c r="G26" s="20">
        <v>0.27326930200876015</v>
      </c>
      <c r="H26" s="20">
        <v>0</v>
      </c>
      <c r="I26" s="20">
        <v>4.5906450872365999E-3</v>
      </c>
      <c r="J26" s="20">
        <v>1.251712725198042E-2</v>
      </c>
      <c r="K26" s="20">
        <v>0.1173014763245967</v>
      </c>
      <c r="L26" s="20">
        <v>0</v>
      </c>
    </row>
    <row r="27" spans="1:12">
      <c r="A27" s="2" t="s">
        <v>353</v>
      </c>
      <c r="B27" s="3" t="s">
        <v>354</v>
      </c>
      <c r="D27" s="20">
        <v>2.4436664492127531E-3</v>
      </c>
      <c r="E27" s="20">
        <v>0.88491703507161312</v>
      </c>
      <c r="F27" s="20">
        <v>0.2511979790259159</v>
      </c>
      <c r="G27" s="20">
        <v>0.63301164055318093</v>
      </c>
      <c r="H27" s="20">
        <v>0</v>
      </c>
      <c r="I27" s="20">
        <v>7.0741549251630235E-4</v>
      </c>
      <c r="J27" s="20">
        <v>2.9592226122251878E-2</v>
      </c>
      <c r="K27" s="20">
        <v>8.3047072356922227E-2</v>
      </c>
      <c r="L27" s="20">
        <v>0</v>
      </c>
    </row>
    <row r="28" spans="1:12">
      <c r="A28" s="2" t="s">
        <v>355</v>
      </c>
      <c r="B28" s="3" t="s">
        <v>356</v>
      </c>
      <c r="D28" s="20">
        <v>1.3389016431811305E-4</v>
      </c>
      <c r="E28" s="20">
        <v>0.86979841691368043</v>
      </c>
      <c r="F28" s="20">
        <v>0.46905404919757182</v>
      </c>
      <c r="G28" s="20">
        <v>0.39821576083694604</v>
      </c>
      <c r="H28" s="20">
        <v>0</v>
      </c>
      <c r="I28" s="20">
        <v>2.5286068791625766E-3</v>
      </c>
      <c r="J28" s="20">
        <v>1.8373376290770634E-2</v>
      </c>
      <c r="K28" s="20">
        <v>0.11169431663123076</v>
      </c>
      <c r="L28" s="20">
        <v>0</v>
      </c>
    </row>
    <row r="29" spans="1:12">
      <c r="A29" s="2" t="s">
        <v>357</v>
      </c>
      <c r="B29" s="3" t="s">
        <v>358</v>
      </c>
      <c r="D29" s="20">
        <v>2.7018867181383851E-2</v>
      </c>
      <c r="E29" s="20">
        <v>0.84578919875914627</v>
      </c>
      <c r="F29" s="20">
        <v>0.54342717382101557</v>
      </c>
      <c r="G29" s="20">
        <v>0.29856363298705996</v>
      </c>
      <c r="H29" s="20">
        <v>0</v>
      </c>
      <c r="I29" s="20">
        <v>3.7983919510707069E-3</v>
      </c>
      <c r="J29" s="20">
        <v>1.3704039961364258E-2</v>
      </c>
      <c r="K29" s="20">
        <v>0.11348789409810565</v>
      </c>
      <c r="L29" s="20">
        <v>0</v>
      </c>
    </row>
    <row r="30" spans="1:12">
      <c r="A30" s="2" t="s">
        <v>359</v>
      </c>
      <c r="B30" s="3" t="s">
        <v>360</v>
      </c>
      <c r="D30" s="20">
        <v>1.3389016431811305E-4</v>
      </c>
      <c r="E30" s="20">
        <v>0.86979841691368043</v>
      </c>
      <c r="F30" s="20">
        <v>0.46905404919757182</v>
      </c>
      <c r="G30" s="20">
        <v>0.39821576083694604</v>
      </c>
      <c r="H30" s="20">
        <v>0</v>
      </c>
      <c r="I30" s="20">
        <v>2.5286068791625766E-3</v>
      </c>
      <c r="J30" s="20">
        <v>1.8373376290770634E-2</v>
      </c>
      <c r="K30" s="20">
        <v>0.11169431663123076</v>
      </c>
      <c r="L30" s="20">
        <v>0</v>
      </c>
    </row>
    <row r="31" spans="1:12">
      <c r="A31" s="2" t="s">
        <v>283</v>
      </c>
      <c r="B31" s="3" t="s">
        <v>284</v>
      </c>
      <c r="D31" s="20">
        <v>2.6209931645399923E-8</v>
      </c>
      <c r="E31" s="20">
        <v>0.97632151811039569</v>
      </c>
      <c r="F31" s="20">
        <v>6.0026096656348412E-4</v>
      </c>
      <c r="G31" s="20">
        <v>2.4089936686718915E-4</v>
      </c>
      <c r="H31" s="20">
        <v>0</v>
      </c>
      <c r="I31" s="20">
        <v>0.97548035777696507</v>
      </c>
      <c r="J31" s="20">
        <v>3.1439695577492545E-4</v>
      </c>
      <c r="K31" s="20">
        <v>2.336405872389755E-2</v>
      </c>
      <c r="L31" s="20">
        <v>0</v>
      </c>
    </row>
    <row r="32" spans="1:12">
      <c r="A32" s="2" t="s">
        <v>361</v>
      </c>
      <c r="B32" s="3" t="s">
        <v>362</v>
      </c>
      <c r="D32" s="20">
        <v>2.1298613585267291E-8</v>
      </c>
      <c r="E32" s="20">
        <v>0.676490488184881</v>
      </c>
      <c r="F32" s="20">
        <v>0.19489632016287495</v>
      </c>
      <c r="G32" s="20">
        <v>4.8053198546643527E-2</v>
      </c>
      <c r="H32" s="20">
        <v>0</v>
      </c>
      <c r="I32" s="20">
        <v>0.43354096947536247</v>
      </c>
      <c r="J32" s="20">
        <v>2.2655597745020357E-3</v>
      </c>
      <c r="K32" s="20">
        <v>0.3212439307420033</v>
      </c>
      <c r="L32" s="20">
        <v>0</v>
      </c>
    </row>
    <row r="33" spans="1:12">
      <c r="A33" s="2" t="s">
        <v>364</v>
      </c>
      <c r="B33" s="3" t="s">
        <v>365</v>
      </c>
      <c r="D33" s="20">
        <v>1.2067916139079162E-10</v>
      </c>
      <c r="E33" s="20">
        <v>0.99962848760722633</v>
      </c>
      <c r="F33" s="20">
        <v>4.2009803636394978E-3</v>
      </c>
      <c r="G33" s="20">
        <v>1.2846297464928021E-6</v>
      </c>
      <c r="H33" s="20">
        <v>0</v>
      </c>
      <c r="I33" s="20">
        <v>0.99542622261384039</v>
      </c>
      <c r="J33" s="20">
        <v>3.1440510657659095E-4</v>
      </c>
      <c r="K33" s="20">
        <v>5.7107165517862627E-5</v>
      </c>
      <c r="L33" s="20">
        <v>0</v>
      </c>
    </row>
    <row r="34" spans="1:12">
      <c r="A34" s="2" t="s">
        <v>285</v>
      </c>
      <c r="B34" s="3" t="s">
        <v>286</v>
      </c>
      <c r="D34" s="20">
        <v>3.5874985549293327E-10</v>
      </c>
      <c r="E34" s="20">
        <v>0.99934233976066444</v>
      </c>
      <c r="F34" s="20">
        <v>0.45193885718273363</v>
      </c>
      <c r="G34" s="20">
        <v>3.7115403831578765E-5</v>
      </c>
      <c r="H34" s="20">
        <v>0</v>
      </c>
      <c r="I34" s="20">
        <v>0.54736636717409926</v>
      </c>
      <c r="J34" s="20">
        <v>4.6309393870789346E-4</v>
      </c>
      <c r="K34" s="20">
        <v>1.945659418776289E-4</v>
      </c>
      <c r="L34" s="20">
        <v>0</v>
      </c>
    </row>
    <row r="35" spans="1:12">
      <c r="A35" s="2" t="s">
        <v>287</v>
      </c>
      <c r="B35" s="3" t="s">
        <v>288</v>
      </c>
      <c r="D35" s="20">
        <v>1.0449366254810258E-11</v>
      </c>
      <c r="E35" s="20">
        <v>0.99901348409001489</v>
      </c>
      <c r="F35" s="20">
        <v>0.67485165865940822</v>
      </c>
      <c r="G35" s="20">
        <v>1.306879790974285E-4</v>
      </c>
      <c r="H35" s="20">
        <v>0</v>
      </c>
      <c r="I35" s="20">
        <v>0.3240311374515093</v>
      </c>
      <c r="J35" s="20">
        <v>5.1559466612843157E-4</v>
      </c>
      <c r="K35" s="20">
        <v>4.7092123340726277E-4</v>
      </c>
      <c r="L35" s="20">
        <v>0</v>
      </c>
    </row>
    <row r="36" spans="1:12">
      <c r="A36" s="2" t="s">
        <v>366</v>
      </c>
      <c r="B36" s="3" t="s">
        <v>305</v>
      </c>
      <c r="D36" s="20">
        <v>1.8421282286706995E-8</v>
      </c>
      <c r="E36" s="20">
        <v>0.99893522644617438</v>
      </c>
      <c r="F36" s="20">
        <v>0.89059670878589914</v>
      </c>
      <c r="G36" s="20">
        <v>2.549898358427847E-4</v>
      </c>
      <c r="H36" s="20">
        <v>0</v>
      </c>
      <c r="I36" s="20">
        <v>0.10808352782443242</v>
      </c>
      <c r="J36" s="20">
        <v>5.3845255142992963E-4</v>
      </c>
      <c r="K36" s="20">
        <v>5.2630258111341073E-4</v>
      </c>
      <c r="L36" s="20">
        <v>0</v>
      </c>
    </row>
    <row r="37" spans="1:12">
      <c r="A37" s="2" t="s">
        <v>289</v>
      </c>
      <c r="B37" s="3" t="s">
        <v>290</v>
      </c>
      <c r="D37" s="20">
        <v>4.1873471047457953E-15</v>
      </c>
      <c r="E37" s="20">
        <v>0.92788351536333891</v>
      </c>
      <c r="F37" s="20">
        <v>0.6962406628265817</v>
      </c>
      <c r="G37" s="20">
        <v>2.3769983756673153E-2</v>
      </c>
      <c r="H37" s="20">
        <v>0</v>
      </c>
      <c r="I37" s="20">
        <v>0.20787286878008407</v>
      </c>
      <c r="J37" s="20">
        <v>1.4617099975081688E-3</v>
      </c>
      <c r="K37" s="20">
        <v>7.0654774639148793E-2</v>
      </c>
      <c r="L37" s="20">
        <v>0</v>
      </c>
    </row>
    <row r="38" spans="1:12">
      <c r="A38" s="2" t="s">
        <v>291</v>
      </c>
      <c r="B38" s="3" t="s">
        <v>292</v>
      </c>
      <c r="D38" s="20">
        <v>1.2076015391231343E-12</v>
      </c>
      <c r="E38" s="20">
        <v>0.99766191150880978</v>
      </c>
      <c r="F38" s="20">
        <v>0.38438733122160945</v>
      </c>
      <c r="G38" s="20">
        <v>3.2113387018997257E-4</v>
      </c>
      <c r="H38" s="20">
        <v>0</v>
      </c>
      <c r="I38" s="20">
        <v>0.61295344641701033</v>
      </c>
      <c r="J38" s="20">
        <v>4.5617894996151397E-4</v>
      </c>
      <c r="K38" s="20">
        <v>1.8819095400212636E-3</v>
      </c>
      <c r="L38" s="20">
        <v>0</v>
      </c>
    </row>
    <row r="39" spans="1:12">
      <c r="A39" s="2" t="s">
        <v>367</v>
      </c>
      <c r="B39" s="3" t="s">
        <v>368</v>
      </c>
      <c r="D39" s="20">
        <v>1.4465863610669771E-5</v>
      </c>
      <c r="E39" s="20">
        <v>0.88414255997448132</v>
      </c>
      <c r="F39" s="20">
        <v>0.74390688976623398</v>
      </c>
      <c r="G39" s="20">
        <v>0.12993140550410817</v>
      </c>
      <c r="H39" s="20">
        <v>0</v>
      </c>
      <c r="I39" s="20">
        <v>1.0304264704139185E-2</v>
      </c>
      <c r="J39" s="20">
        <v>5.884990632456154E-3</v>
      </c>
      <c r="K39" s="20">
        <v>0.10995798352945176</v>
      </c>
      <c r="L39" s="20">
        <v>0</v>
      </c>
    </row>
    <row r="40" spans="1:12">
      <c r="A40" s="2" t="s">
        <v>369</v>
      </c>
      <c r="B40" s="3" t="s">
        <v>370</v>
      </c>
      <c r="D40" s="20">
        <v>8.9995690748162131E-13</v>
      </c>
      <c r="E40" s="20">
        <v>0.96097102241650911</v>
      </c>
      <c r="F40" s="20">
        <v>0.8952231529912833</v>
      </c>
      <c r="G40" s="20">
        <v>6.4766687065920134E-2</v>
      </c>
      <c r="H40" s="20">
        <v>0</v>
      </c>
      <c r="I40" s="20">
        <v>9.811823593056867E-4</v>
      </c>
      <c r="J40" s="20">
        <v>3.6212772271315419E-2</v>
      </c>
      <c r="K40" s="20">
        <v>2.8162053112754568E-3</v>
      </c>
      <c r="L40" s="20">
        <v>0</v>
      </c>
    </row>
    <row r="41" spans="1:12">
      <c r="A41" s="2" t="s">
        <v>371</v>
      </c>
      <c r="B41" s="3" t="s">
        <v>372</v>
      </c>
      <c r="D41" s="20">
        <v>8.1783501404820935E-2</v>
      </c>
      <c r="E41" s="20">
        <v>0.91335222600953569</v>
      </c>
      <c r="F41" s="20">
        <v>2.7960176912706486E-5</v>
      </c>
      <c r="G41" s="20">
        <v>1.3997016364972835E-5</v>
      </c>
      <c r="H41" s="20">
        <v>0</v>
      </c>
      <c r="I41" s="20">
        <v>0.91331026881625799</v>
      </c>
      <c r="J41" s="20">
        <v>2.8551025827993823E-4</v>
      </c>
      <c r="K41" s="20">
        <v>4.5787623273633709E-3</v>
      </c>
      <c r="L41" s="20">
        <v>0</v>
      </c>
    </row>
    <row r="42" spans="1:12">
      <c r="A42" s="2" t="s">
        <v>293</v>
      </c>
      <c r="B42" s="3" t="s">
        <v>294</v>
      </c>
      <c r="D42" s="20">
        <v>1.7503956729685004E-8</v>
      </c>
      <c r="E42" s="20">
        <v>0.70040383927485395</v>
      </c>
      <c r="F42" s="20">
        <v>0.14041401118797578</v>
      </c>
      <c r="G42" s="20">
        <v>3.6016872737616626E-2</v>
      </c>
      <c r="H42" s="20">
        <v>0</v>
      </c>
      <c r="I42" s="20">
        <v>0.52397295534926158</v>
      </c>
      <c r="J42" s="20">
        <v>1.7317217253257123E-3</v>
      </c>
      <c r="K42" s="20">
        <v>0.29786442149586362</v>
      </c>
      <c r="L42" s="20">
        <v>0</v>
      </c>
    </row>
    <row r="43" spans="1:12">
      <c r="A43" s="2" t="s">
        <v>373</v>
      </c>
      <c r="B43" s="3" t="s">
        <v>374</v>
      </c>
      <c r="D43" s="20">
        <v>4.3091694153350936E-8</v>
      </c>
      <c r="E43" s="20">
        <v>0.99849973792853264</v>
      </c>
      <c r="F43" s="20">
        <v>0.98885690782264146</v>
      </c>
      <c r="G43" s="20">
        <v>8.3494020297597224E-4</v>
      </c>
      <c r="H43" s="20">
        <v>0</v>
      </c>
      <c r="I43" s="20">
        <v>8.807889902915202E-3</v>
      </c>
      <c r="J43" s="20">
        <v>1.0787476827544109E-3</v>
      </c>
      <c r="K43" s="20">
        <v>4.2147129701843673E-4</v>
      </c>
      <c r="L43" s="20">
        <v>0</v>
      </c>
    </row>
    <row r="44" spans="1:12">
      <c r="A44" s="2" t="s">
        <v>375</v>
      </c>
      <c r="B44" s="3" t="s">
        <v>376</v>
      </c>
      <c r="D44" s="20">
        <v>8.5118409971881581E-2</v>
      </c>
      <c r="E44" s="20">
        <v>0.78718413898781248</v>
      </c>
      <c r="F44" s="20">
        <v>1.9457978411675944E-2</v>
      </c>
      <c r="G44" s="20">
        <v>5.9346248748376827E-3</v>
      </c>
      <c r="H44" s="20">
        <v>0</v>
      </c>
      <c r="I44" s="20">
        <v>0.76179153570129887</v>
      </c>
      <c r="J44" s="20">
        <v>4.9194700572376224E-4</v>
      </c>
      <c r="K44" s="20">
        <v>0.12720550403458211</v>
      </c>
      <c r="L44" s="20">
        <v>0</v>
      </c>
    </row>
    <row r="45" spans="1:12">
      <c r="A45" s="2" t="s">
        <v>377</v>
      </c>
      <c r="B45" s="3" t="s">
        <v>378</v>
      </c>
      <c r="D45" s="20">
        <v>6.657965226531655E-4</v>
      </c>
      <c r="E45" s="20">
        <v>0.68908310224362568</v>
      </c>
      <c r="F45" s="20">
        <v>0.15996159926241871</v>
      </c>
      <c r="G45" s="20">
        <v>4.0430703002317152E-2</v>
      </c>
      <c r="H45" s="20">
        <v>0</v>
      </c>
      <c r="I45" s="20">
        <v>0.48869079997888987</v>
      </c>
      <c r="J45" s="20">
        <v>1.9153218014317378E-3</v>
      </c>
      <c r="K45" s="20">
        <v>0.3083357794322894</v>
      </c>
      <c r="L45" s="20">
        <v>0</v>
      </c>
    </row>
    <row r="46" spans="1:12">
      <c r="A46" s="2" t="s">
        <v>379</v>
      </c>
      <c r="B46" s="3" t="s">
        <v>380</v>
      </c>
      <c r="D46" s="20">
        <v>2.002171624643472E-3</v>
      </c>
      <c r="E46" s="20">
        <v>0.69477383502545931</v>
      </c>
      <c r="F46" s="20">
        <v>0.14729076473114219</v>
      </c>
      <c r="G46" s="20">
        <v>3.7572584720917408E-2</v>
      </c>
      <c r="H46" s="20">
        <v>0</v>
      </c>
      <c r="I46" s="20">
        <v>0.50991048557339969</v>
      </c>
      <c r="J46" s="20">
        <v>1.7959163272351843E-3</v>
      </c>
      <c r="K46" s="20">
        <v>0.30142807702266206</v>
      </c>
      <c r="L46" s="20">
        <v>0</v>
      </c>
    </row>
    <row r="47" spans="1:12">
      <c r="A47" s="2" t="s">
        <v>381</v>
      </c>
      <c r="B47" s="3" t="s">
        <v>382</v>
      </c>
      <c r="D47" s="20">
        <v>4.1559333155236462E-8</v>
      </c>
      <c r="E47" s="20">
        <v>0.888747630192117</v>
      </c>
      <c r="F47" s="20">
        <v>0.23941027489551306</v>
      </c>
      <c r="G47" s="20">
        <v>0.64869169926722559</v>
      </c>
      <c r="H47" s="20">
        <v>0</v>
      </c>
      <c r="I47" s="20">
        <v>6.45656029378305E-4</v>
      </c>
      <c r="J47" s="20">
        <v>3.0351871933410102E-2</v>
      </c>
      <c r="K47" s="20">
        <v>8.0900456315139743E-2</v>
      </c>
      <c r="L47" s="20">
        <v>0</v>
      </c>
    </row>
    <row r="48" spans="1:12">
      <c r="A48" s="2" t="s">
        <v>383</v>
      </c>
      <c r="B48" s="3" t="s">
        <v>384</v>
      </c>
      <c r="D48" s="20">
        <v>1.1768242986707448E-2</v>
      </c>
      <c r="E48" s="20">
        <v>0.91130188877837925</v>
      </c>
      <c r="F48" s="20">
        <v>6.283271729949743E-3</v>
      </c>
      <c r="G48" s="20">
        <v>2.1090233946441748E-3</v>
      </c>
      <c r="H48" s="20">
        <v>0</v>
      </c>
      <c r="I48" s="20">
        <v>0.90290959365378531</v>
      </c>
      <c r="J48" s="20">
        <v>3.7126034800914005E-4</v>
      </c>
      <c r="K48" s="20">
        <v>7.655860788690412E-2</v>
      </c>
      <c r="L48" s="20">
        <v>0</v>
      </c>
    </row>
    <row r="49" spans="1:12">
      <c r="A49" s="2" t="s">
        <v>385</v>
      </c>
      <c r="B49" s="3" t="s">
        <v>386</v>
      </c>
      <c r="D49" s="20">
        <v>2.1972551491459869E-2</v>
      </c>
      <c r="E49" s="20">
        <v>0.87640957639782935</v>
      </c>
      <c r="F49" s="20">
        <v>1.120352546908376E-2</v>
      </c>
      <c r="G49" s="20">
        <v>3.5912882215173372E-3</v>
      </c>
      <c r="H49" s="20">
        <v>0</v>
      </c>
      <c r="I49" s="20">
        <v>0.86161476270722825</v>
      </c>
      <c r="J49" s="20">
        <v>4.2197805438056444E-4</v>
      </c>
      <c r="K49" s="20">
        <v>0.10119589405633032</v>
      </c>
      <c r="L49" s="20">
        <v>0</v>
      </c>
    </row>
    <row r="50" spans="1:12">
      <c r="A50" s="2" t="s">
        <v>387</v>
      </c>
      <c r="B50" s="3" t="s">
        <v>388</v>
      </c>
      <c r="D50" s="20">
        <v>6.5639773732207854E-3</v>
      </c>
      <c r="E50" s="20">
        <v>0.74694526567261532</v>
      </c>
      <c r="F50" s="20">
        <v>0.55955307948701638</v>
      </c>
      <c r="G50" s="20">
        <v>0.1123406275521323</v>
      </c>
      <c r="H50" s="20">
        <v>0</v>
      </c>
      <c r="I50" s="20">
        <v>7.5051558633466658E-2</v>
      </c>
      <c r="J50" s="20">
        <v>5.0283774281537508E-3</v>
      </c>
      <c r="K50" s="20">
        <v>0.24146237952601005</v>
      </c>
      <c r="L50" s="20">
        <v>0</v>
      </c>
    </row>
    <row r="51" spans="1:12">
      <c r="A51" s="2" t="s">
        <v>295</v>
      </c>
      <c r="B51" s="3" t="s">
        <v>296</v>
      </c>
      <c r="D51" s="20">
        <v>6.5533941192890841E-2</v>
      </c>
      <c r="E51" s="20">
        <v>0.90459133647170087</v>
      </c>
      <c r="F51" s="20">
        <v>1.0128392010423559E-3</v>
      </c>
      <c r="G51" s="20">
        <v>3.8889831132060042E-4</v>
      </c>
      <c r="H51" s="20">
        <v>0</v>
      </c>
      <c r="I51" s="20">
        <v>0.90318959895933792</v>
      </c>
      <c r="J51" s="20">
        <v>2.9809236896004813E-4</v>
      </c>
      <c r="K51" s="20">
        <v>2.9576629966448231E-2</v>
      </c>
      <c r="L51" s="20">
        <v>0</v>
      </c>
    </row>
    <row r="52" spans="1:12">
      <c r="A52" s="2" t="s">
        <v>389</v>
      </c>
      <c r="B52" s="3" t="s">
        <v>390</v>
      </c>
      <c r="D52" s="20">
        <v>6.8905989692012518E-2</v>
      </c>
      <c r="E52" s="20">
        <v>0.76557755424546425</v>
      </c>
      <c r="F52" s="20">
        <v>3.3614850936179816E-2</v>
      </c>
      <c r="G52" s="20">
        <v>9.809045410939396E-3</v>
      </c>
      <c r="H52" s="20">
        <v>0</v>
      </c>
      <c r="I52" s="20">
        <v>0.72215365789834507</v>
      </c>
      <c r="J52" s="20">
        <v>6.4731488436613042E-4</v>
      </c>
      <c r="K52" s="20">
        <v>0.16486914117815715</v>
      </c>
      <c r="L52" s="20">
        <v>0</v>
      </c>
    </row>
    <row r="53" spans="1:12">
      <c r="A53" s="2" t="s">
        <v>391</v>
      </c>
      <c r="B53" s="3" t="s">
        <v>392</v>
      </c>
      <c r="D53" s="20">
        <v>1.9649517548484203E-3</v>
      </c>
      <c r="E53" s="20">
        <v>0.66507751647454827</v>
      </c>
      <c r="F53" s="20">
        <v>0.23122037785713731</v>
      </c>
      <c r="G53" s="20">
        <v>5.5811238749802865E-2</v>
      </c>
      <c r="H53" s="20">
        <v>0</v>
      </c>
      <c r="I53" s="20">
        <v>0.37804589986760806</v>
      </c>
      <c r="J53" s="20">
        <v>2.5619032683340129E-3</v>
      </c>
      <c r="K53" s="20">
        <v>0.33039562850226928</v>
      </c>
      <c r="L53" s="20">
        <v>0</v>
      </c>
    </row>
    <row r="54" spans="1:12">
      <c r="A54" s="2" t="s">
        <v>393</v>
      </c>
      <c r="B54" s="3" t="s">
        <v>394</v>
      </c>
      <c r="D54" s="20">
        <v>1.9143168331498979E-4</v>
      </c>
      <c r="E54" s="20">
        <v>0.88277426429538741</v>
      </c>
      <c r="F54" s="20">
        <v>0.28568539136330223</v>
      </c>
      <c r="G54" s="20">
        <v>0.59618849164818921</v>
      </c>
      <c r="H54" s="20">
        <v>0</v>
      </c>
      <c r="I54" s="20">
        <v>9.0038128389595732E-4</v>
      </c>
      <c r="J54" s="20">
        <v>2.7807318871971604E-2</v>
      </c>
      <c r="K54" s="20">
        <v>8.9226985149325852E-2</v>
      </c>
      <c r="L54" s="20">
        <v>0</v>
      </c>
    </row>
    <row r="55" spans="1:12">
      <c r="A55" s="2" t="s">
        <v>395</v>
      </c>
      <c r="B55" s="3" t="s">
        <v>396</v>
      </c>
      <c r="D55" s="20">
        <v>0.13267662600652502</v>
      </c>
      <c r="E55" s="20">
        <v>0.60055924630373503</v>
      </c>
      <c r="F55" s="20">
        <v>0.38218059628122769</v>
      </c>
      <c r="G55" s="20">
        <v>8.2444974696832263E-2</v>
      </c>
      <c r="H55" s="20">
        <v>0</v>
      </c>
      <c r="I55" s="20">
        <v>0.13593367532567502</v>
      </c>
      <c r="J55" s="20">
        <v>3.6907992374164713E-3</v>
      </c>
      <c r="K55" s="20">
        <v>0.26307332845232351</v>
      </c>
      <c r="L55" s="20">
        <v>0</v>
      </c>
    </row>
    <row r="56" spans="1:12">
      <c r="A56" s="2" t="s">
        <v>397</v>
      </c>
      <c r="B56" s="3" t="s">
        <v>398</v>
      </c>
      <c r="D56" s="20">
        <v>0.60288816846648552</v>
      </c>
      <c r="E56" s="20">
        <v>0.31840004277951733</v>
      </c>
      <c r="F56" s="20">
        <v>0.25404518962989303</v>
      </c>
      <c r="G56" s="20">
        <v>4.8262135128188846E-2</v>
      </c>
      <c r="H56" s="20">
        <v>0</v>
      </c>
      <c r="I56" s="20">
        <v>1.6092718021435477E-2</v>
      </c>
      <c r="J56" s="20">
        <v>2.1663773025364934E-3</v>
      </c>
      <c r="K56" s="20">
        <v>7.654541145146064E-2</v>
      </c>
      <c r="L56" s="20">
        <v>0</v>
      </c>
    </row>
    <row r="57" spans="1:12">
      <c r="A57" s="2" t="s">
        <v>399</v>
      </c>
      <c r="B57" s="3" t="s">
        <v>400</v>
      </c>
      <c r="D57" s="20">
        <v>0.76598124929621181</v>
      </c>
      <c r="E57" s="20">
        <v>0.16622479859887654</v>
      </c>
      <c r="F57" s="20">
        <v>0.11326411955942121</v>
      </c>
      <c r="G57" s="20">
        <v>2.385546622902969E-2</v>
      </c>
      <c r="H57" s="20">
        <v>0</v>
      </c>
      <c r="I57" s="20">
        <v>2.9105212810425642E-2</v>
      </c>
      <c r="J57" s="20">
        <v>1.0671150244232609E-3</v>
      </c>
      <c r="K57" s="20">
        <v>6.6726837080488363E-2</v>
      </c>
      <c r="L57" s="20">
        <v>0</v>
      </c>
    </row>
    <row r="58" spans="1:12">
      <c r="A58" s="2" t="s">
        <v>297</v>
      </c>
      <c r="B58" s="3" t="s">
        <v>298</v>
      </c>
      <c r="D58" s="20">
        <v>0.93158952853916055</v>
      </c>
      <c r="E58" s="20">
        <v>6.0462709445727951E-2</v>
      </c>
      <c r="F58" s="20">
        <v>9.8786776244737338E-4</v>
      </c>
      <c r="G58" s="20">
        <v>3.1088113476254069E-4</v>
      </c>
      <c r="H58" s="20">
        <v>0</v>
      </c>
      <c r="I58" s="20">
        <v>5.9163960548518038E-2</v>
      </c>
      <c r="J58" s="20">
        <v>3.1739896002962806E-5</v>
      </c>
      <c r="K58" s="20">
        <v>7.9160221191084418E-3</v>
      </c>
      <c r="L58" s="20">
        <v>0</v>
      </c>
    </row>
    <row r="59" spans="1:12">
      <c r="A59" s="2" t="s">
        <v>401</v>
      </c>
      <c r="B59" s="3" t="s">
        <v>402</v>
      </c>
      <c r="D59" s="20">
        <v>0.90879857297039124</v>
      </c>
      <c r="E59" s="20">
        <v>6.4382808233572203E-2</v>
      </c>
      <c r="F59" s="20">
        <v>4.3245592463999345E-2</v>
      </c>
      <c r="G59" s="20">
        <v>9.1587753516640617E-3</v>
      </c>
      <c r="H59" s="20">
        <v>0</v>
      </c>
      <c r="I59" s="20">
        <v>1.1978440417908803E-2</v>
      </c>
      <c r="J59" s="20">
        <v>4.0973550884692948E-4</v>
      </c>
      <c r="K59" s="20">
        <v>2.640888328718952E-2</v>
      </c>
      <c r="L59" s="20">
        <v>0</v>
      </c>
    </row>
    <row r="60" spans="1:12">
      <c r="A60" s="2" t="s">
        <v>299</v>
      </c>
      <c r="B60" s="3" t="s">
        <v>300</v>
      </c>
      <c r="D60" s="20">
        <v>0.99803520784457955</v>
      </c>
      <c r="E60" s="20">
        <v>1.3154882688141141E-3</v>
      </c>
      <c r="F60" s="20">
        <v>7.0830462420565113E-4</v>
      </c>
      <c r="G60" s="20">
        <v>1.594100259554765E-4</v>
      </c>
      <c r="H60" s="20">
        <v>0</v>
      </c>
      <c r="I60" s="20">
        <v>4.4777361865298642E-4</v>
      </c>
      <c r="J60" s="20">
        <v>7.1660463073280449E-6</v>
      </c>
      <c r="K60" s="20">
        <v>6.4213784029879776E-4</v>
      </c>
      <c r="L60" s="20">
        <v>0</v>
      </c>
    </row>
    <row r="61" spans="1:12">
      <c r="A61" s="2" t="s">
        <v>403</v>
      </c>
      <c r="B61" s="3" t="s">
        <v>404</v>
      </c>
      <c r="D61" s="20">
        <v>4.4615775773908005E-44</v>
      </c>
      <c r="E61" s="20">
        <v>0.66260607139769567</v>
      </c>
      <c r="F61" s="20">
        <v>0.30800847305379053</v>
      </c>
      <c r="G61" s="20">
        <v>7.1262034828435211E-2</v>
      </c>
      <c r="H61" s="20">
        <v>0</v>
      </c>
      <c r="I61" s="20">
        <v>0.2833355635154699</v>
      </c>
      <c r="J61" s="20">
        <v>3.2213193720069581E-3</v>
      </c>
      <c r="K61" s="20">
        <v>0.33417260923029746</v>
      </c>
      <c r="L61" s="20">
        <v>0</v>
      </c>
    </row>
    <row r="62" spans="1:12">
      <c r="A62" s="2" t="s">
        <v>405</v>
      </c>
      <c r="B62" s="3" t="s">
        <v>406</v>
      </c>
      <c r="D62" s="20">
        <v>1.0656712401916922E-7</v>
      </c>
      <c r="E62" s="20">
        <v>0.86923232384984572</v>
      </c>
      <c r="F62" s="20">
        <v>0.55564506348696785</v>
      </c>
      <c r="G62" s="20">
        <v>0.30973694868985419</v>
      </c>
      <c r="H62" s="20">
        <v>0</v>
      </c>
      <c r="I62" s="20">
        <v>3.8503116730237213E-3</v>
      </c>
      <c r="J62" s="20">
        <v>1.4219349275745294E-2</v>
      </c>
      <c r="K62" s="20">
        <v>0.11654822030728487</v>
      </c>
      <c r="L62" s="20">
        <v>0</v>
      </c>
    </row>
    <row r="63" spans="1:12">
      <c r="A63" s="2" t="s">
        <v>407</v>
      </c>
      <c r="B63" s="3" t="s">
        <v>408</v>
      </c>
      <c r="D63" s="20">
        <v>2.5622616710418233E-5</v>
      </c>
      <c r="E63" s="20">
        <v>0.89943766392315627</v>
      </c>
      <c r="F63" s="20">
        <v>0.17131590897762811</v>
      </c>
      <c r="G63" s="20">
        <v>0.72776849359853812</v>
      </c>
      <c r="H63" s="20">
        <v>0</v>
      </c>
      <c r="I63" s="20">
        <v>3.5326134699008484E-4</v>
      </c>
      <c r="J63" s="20">
        <v>3.4237880940263872E-2</v>
      </c>
      <c r="K63" s="20">
        <v>6.6298832519869441E-2</v>
      </c>
      <c r="L63" s="20">
        <v>0</v>
      </c>
    </row>
    <row r="64" spans="1:12">
      <c r="A64" s="2" t="s">
        <v>409</v>
      </c>
      <c r="B64" s="3" t="s">
        <v>410</v>
      </c>
      <c r="D64" s="20">
        <v>3.1791162034138148E-6</v>
      </c>
      <c r="E64" s="20">
        <v>0.91615478100448977</v>
      </c>
      <c r="F64" s="20">
        <v>9.2508282396859431E-2</v>
      </c>
      <c r="G64" s="20">
        <v>0.82352383406519969</v>
      </c>
      <c r="H64" s="20">
        <v>0</v>
      </c>
      <c r="I64" s="20">
        <v>1.2266454243061887E-4</v>
      </c>
      <c r="J64" s="20">
        <v>3.9092476383467252E-2</v>
      </c>
      <c r="K64" s="20">
        <v>4.4749563495839688E-2</v>
      </c>
      <c r="L64" s="20">
        <v>0</v>
      </c>
    </row>
    <row r="65" spans="1:12">
      <c r="A65" s="2" t="s">
        <v>301</v>
      </c>
      <c r="B65" s="3" t="s">
        <v>302</v>
      </c>
      <c r="D65" s="20">
        <v>3.9341646862265719E-7</v>
      </c>
      <c r="E65" s="20">
        <v>0.93063071363068695</v>
      </c>
      <c r="F65" s="20">
        <v>4.298597191967525E-2</v>
      </c>
      <c r="G65" s="20">
        <v>0.88761024440538416</v>
      </c>
      <c r="H65" s="20">
        <v>0</v>
      </c>
      <c r="I65" s="20">
        <v>3.4497305627536054E-5</v>
      </c>
      <c r="J65" s="20">
        <v>4.2568884156348206E-2</v>
      </c>
      <c r="K65" s="20">
        <v>2.6800008796496223E-2</v>
      </c>
      <c r="L65" s="20">
        <v>0</v>
      </c>
    </row>
    <row r="66" spans="1:12">
      <c r="A66" s="2" t="s">
        <v>303</v>
      </c>
      <c r="B66" s="3" t="s">
        <v>304</v>
      </c>
      <c r="D66" s="20">
        <v>3.794437734437807E-13</v>
      </c>
      <c r="E66" s="20">
        <v>0.92307179402631623</v>
      </c>
      <c r="F66" s="20">
        <v>6.6914716987216002E-2</v>
      </c>
      <c r="G66" s="20">
        <v>0.85608561752297285</v>
      </c>
      <c r="H66" s="20">
        <v>0</v>
      </c>
      <c r="I66" s="20">
        <v>7.1459516127348198E-5</v>
      </c>
      <c r="J66" s="20">
        <v>4.0818011163480016E-2</v>
      </c>
      <c r="K66" s="20">
        <v>3.6110194809824442E-2</v>
      </c>
      <c r="L66" s="20">
        <v>0</v>
      </c>
    </row>
    <row r="67" spans="1:12">
      <c r="A67" s="2" t="s">
        <v>411</v>
      </c>
      <c r="B67" s="3" t="s">
        <v>412</v>
      </c>
      <c r="D67" s="20">
        <v>4.6551146196117509E-3</v>
      </c>
      <c r="E67" s="20">
        <v>0.84437741793405907</v>
      </c>
      <c r="F67" s="20">
        <v>2.5316554170891344E-2</v>
      </c>
      <c r="G67" s="20">
        <v>7.6085193427457044E-3</v>
      </c>
      <c r="H67" s="20">
        <v>0</v>
      </c>
      <c r="I67" s="20">
        <v>0.81145234442042202</v>
      </c>
      <c r="J67" s="20">
        <v>5.796073878328419E-4</v>
      </c>
      <c r="K67" s="20">
        <v>0.15038786005849647</v>
      </c>
      <c r="L67" s="20">
        <v>0</v>
      </c>
    </row>
    <row r="68" spans="1:12">
      <c r="A68" s="2" t="s">
        <v>413</v>
      </c>
      <c r="B68" s="3" t="s">
        <v>414</v>
      </c>
      <c r="D68" s="20">
        <v>9.9862728192030101E-3</v>
      </c>
      <c r="E68" s="20">
        <v>0.7968010771008035</v>
      </c>
      <c r="F68" s="20">
        <v>4.4225997949358511E-2</v>
      </c>
      <c r="G68" s="20">
        <v>1.2669900282582238E-2</v>
      </c>
      <c r="H68" s="20">
        <v>0</v>
      </c>
      <c r="I68" s="20">
        <v>0.73990517886886276</v>
      </c>
      <c r="J68" s="20">
        <v>7.7686881738395772E-4</v>
      </c>
      <c r="K68" s="20">
        <v>0.19243578126260957</v>
      </c>
      <c r="L68" s="20">
        <v>0</v>
      </c>
    </row>
    <row r="69" spans="1:12">
      <c r="A69" s="2" t="s">
        <v>415</v>
      </c>
      <c r="B69" s="3" t="s">
        <v>416</v>
      </c>
      <c r="D69" s="20">
        <v>1.2314136745319245E-3</v>
      </c>
      <c r="E69" s="20">
        <v>0.87500053820223123</v>
      </c>
      <c r="F69" s="20">
        <v>0.35626912479850242</v>
      </c>
      <c r="G69" s="20">
        <v>0.51733724058100117</v>
      </c>
      <c r="H69" s="20">
        <v>0</v>
      </c>
      <c r="I69" s="20">
        <v>1.3941728227276078E-3</v>
      </c>
      <c r="J69" s="20">
        <v>2.4024141775751306E-2</v>
      </c>
      <c r="K69" s="20">
        <v>9.9743906347485617E-2</v>
      </c>
      <c r="L69" s="20">
        <v>0</v>
      </c>
    </row>
    <row r="70" spans="1:12">
      <c r="A70" s="2" t="s">
        <v>417</v>
      </c>
      <c r="B70" s="3" t="s">
        <v>418</v>
      </c>
      <c r="D70" s="20">
        <v>3.1766185349907587E-3</v>
      </c>
      <c r="E70" s="20">
        <v>0.8315384975537492</v>
      </c>
      <c r="F70" s="20">
        <v>0.68145829213032105</v>
      </c>
      <c r="G70" s="20">
        <v>0.1245474487661668</v>
      </c>
      <c r="H70" s="20">
        <v>0</v>
      </c>
      <c r="I70" s="20">
        <v>2.5532756657261325E-2</v>
      </c>
      <c r="J70" s="20">
        <v>5.6060080898293566E-3</v>
      </c>
      <c r="K70" s="20">
        <v>0.1596788758214307</v>
      </c>
      <c r="L70" s="20">
        <v>0</v>
      </c>
    </row>
    <row r="71" spans="1:12">
      <c r="A71" s="2" t="s">
        <v>419</v>
      </c>
      <c r="B71" s="3" t="s">
        <v>420</v>
      </c>
      <c r="D71" s="20">
        <v>2.4515557083362501E-2</v>
      </c>
      <c r="E71" s="20">
        <v>0.79197766387749158</v>
      </c>
      <c r="F71" s="20">
        <v>4.004202028881617E-2</v>
      </c>
      <c r="G71" s="20">
        <v>1.1556106529580801E-2</v>
      </c>
      <c r="H71" s="20">
        <v>0</v>
      </c>
      <c r="I71" s="20">
        <v>0.74037953705909465</v>
      </c>
      <c r="J71" s="20">
        <v>7.2867533539798177E-4</v>
      </c>
      <c r="K71" s="20">
        <v>0.18277810370374786</v>
      </c>
      <c r="L71" s="20">
        <v>0</v>
      </c>
    </row>
    <row r="72" spans="1:12">
      <c r="A72" s="2" t="s">
        <v>421</v>
      </c>
      <c r="B72" s="3" t="s">
        <v>422</v>
      </c>
      <c r="D72" s="20">
        <v>1.3312923598918525E-2</v>
      </c>
      <c r="E72" s="20">
        <v>0.81277944373532107</v>
      </c>
      <c r="F72" s="20">
        <v>0.66091811348477525</v>
      </c>
      <c r="G72" s="20">
        <v>0.12236105418052889</v>
      </c>
      <c r="H72" s="20">
        <v>0</v>
      </c>
      <c r="I72" s="20">
        <v>2.9500276070016981E-2</v>
      </c>
      <c r="J72" s="20">
        <v>5.5022996634629447E-3</v>
      </c>
      <c r="K72" s="20">
        <v>0.16840533300229735</v>
      </c>
      <c r="L72" s="20">
        <v>0</v>
      </c>
    </row>
    <row r="73" spans="1:12">
      <c r="A73" s="2" t="s">
        <v>423</v>
      </c>
      <c r="B73" s="3" t="s">
        <v>424</v>
      </c>
      <c r="D73" s="20">
        <v>1.2991137085305596E-2</v>
      </c>
      <c r="E73" s="20">
        <v>0.65549480041580899</v>
      </c>
      <c r="F73" s="20">
        <v>0.32115994913226459</v>
      </c>
      <c r="G73" s="20">
        <v>7.362358073225983E-2</v>
      </c>
      <c r="H73" s="20">
        <v>0</v>
      </c>
      <c r="I73" s="20">
        <v>0.26071127055128457</v>
      </c>
      <c r="J73" s="20">
        <v>3.3208716158588201E-3</v>
      </c>
      <c r="K73" s="20">
        <v>0.32819319088302656</v>
      </c>
      <c r="L73" s="20">
        <v>0</v>
      </c>
    </row>
    <row r="74" spans="1:12">
      <c r="A74" s="2" t="s">
        <v>425</v>
      </c>
      <c r="B74" s="3" t="s">
        <v>426</v>
      </c>
      <c r="D74" s="20">
        <v>4.9017889593080581E-3</v>
      </c>
      <c r="E74" s="20">
        <v>0.82717022433091159</v>
      </c>
      <c r="F74" s="20">
        <v>0.67643928867700742</v>
      </c>
      <c r="G74" s="20">
        <v>0.12408645559348283</v>
      </c>
      <c r="H74" s="20">
        <v>0</v>
      </c>
      <c r="I74" s="20">
        <v>2.6644480060421315E-2</v>
      </c>
      <c r="J74" s="20">
        <v>5.5836997201918889E-3</v>
      </c>
      <c r="K74" s="20">
        <v>0.16234428698958839</v>
      </c>
      <c r="L74" s="20">
        <v>0</v>
      </c>
    </row>
    <row r="75" spans="1:12">
      <c r="A75" s="2" t="s">
        <v>427</v>
      </c>
      <c r="B75" s="3" t="s">
        <v>428</v>
      </c>
      <c r="D75" s="20">
        <v>5.4877098776040438E-10</v>
      </c>
      <c r="E75" s="20">
        <v>0.99635405460233795</v>
      </c>
      <c r="F75" s="20">
        <v>0.99166589032766694</v>
      </c>
      <c r="G75" s="20">
        <v>3.8266221798032843E-4</v>
      </c>
      <c r="H75" s="20">
        <v>0</v>
      </c>
      <c r="I75" s="20">
        <v>4.3055020566906627E-3</v>
      </c>
      <c r="J75" s="20">
        <v>3.5626288865542978E-3</v>
      </c>
      <c r="K75" s="20">
        <v>8.3315962336803816E-5</v>
      </c>
      <c r="L75" s="20">
        <v>0</v>
      </c>
    </row>
    <row r="76" spans="1:12">
      <c r="A76" s="2" t="s">
        <v>429</v>
      </c>
      <c r="B76" s="3" t="s">
        <v>430</v>
      </c>
      <c r="D76" s="20">
        <v>1.3784503988989217E-11</v>
      </c>
      <c r="E76" s="20">
        <v>0.99635405513537389</v>
      </c>
      <c r="F76" s="20">
        <v>0.99166589085819479</v>
      </c>
      <c r="G76" s="20">
        <v>3.8266221818504743E-4</v>
      </c>
      <c r="H76" s="20">
        <v>0</v>
      </c>
      <c r="I76" s="20">
        <v>4.3055020589940467E-3</v>
      </c>
      <c r="J76" s="20">
        <v>3.5626288884602546E-3</v>
      </c>
      <c r="K76" s="20">
        <v>8.3315962381376723E-5</v>
      </c>
      <c r="L76" s="20">
        <v>0</v>
      </c>
    </row>
    <row r="77" spans="1:12">
      <c r="A77" s="2" t="s">
        <v>431</v>
      </c>
      <c r="B77" s="3" t="s">
        <v>432</v>
      </c>
      <c r="D77" s="20">
        <v>2.3669719470537195E-2</v>
      </c>
      <c r="E77" s="20">
        <v>0.70847891798123419</v>
      </c>
      <c r="F77" s="20">
        <v>0.5035786690515982</v>
      </c>
      <c r="G77" s="20">
        <v>0.10412688609243806</v>
      </c>
      <c r="H77" s="20">
        <v>0</v>
      </c>
      <c r="I77" s="20">
        <v>0.10077336283719793</v>
      </c>
      <c r="J77" s="20">
        <v>4.6576491434538788E-3</v>
      </c>
      <c r="K77" s="20">
        <v>0.26319371340477477</v>
      </c>
      <c r="L77" s="20">
        <v>0</v>
      </c>
    </row>
    <row r="78" spans="1:12">
      <c r="A78" s="2" t="s">
        <v>433</v>
      </c>
      <c r="B78" s="3" t="s">
        <v>434</v>
      </c>
      <c r="D78" s="20">
        <v>3.3284337059386424E-2</v>
      </c>
      <c r="E78" s="20">
        <v>0.68281867322699097</v>
      </c>
      <c r="F78" s="20">
        <v>0.12685690930703553</v>
      </c>
      <c r="G78" s="20">
        <v>3.2780055276397775E-2</v>
      </c>
      <c r="H78" s="20">
        <v>0</v>
      </c>
      <c r="I78" s="20">
        <v>0.52318170864355762</v>
      </c>
      <c r="J78" s="20">
        <v>1.5895573007286806E-3</v>
      </c>
      <c r="K78" s="20">
        <v>0.28230743241289391</v>
      </c>
      <c r="L78" s="20">
        <v>0</v>
      </c>
    </row>
    <row r="79" spans="1:12">
      <c r="A79" s="2" t="s">
        <v>435</v>
      </c>
      <c r="B79" s="3" t="s">
        <v>436</v>
      </c>
      <c r="D79" s="20">
        <v>7.7784432178083316E-3</v>
      </c>
      <c r="E79" s="20">
        <v>0.66018030194870447</v>
      </c>
      <c r="F79" s="20">
        <v>0.23613855461200714</v>
      </c>
      <c r="G79" s="20">
        <v>5.6788769174513101E-2</v>
      </c>
      <c r="H79" s="20">
        <v>0</v>
      </c>
      <c r="I79" s="20">
        <v>0.36725297816218422</v>
      </c>
      <c r="J79" s="20">
        <v>2.6021975185827402E-3</v>
      </c>
      <c r="K79" s="20">
        <v>0.32943905731490447</v>
      </c>
      <c r="L79" s="20">
        <v>0</v>
      </c>
    </row>
    <row r="80" spans="1:12">
      <c r="A80" s="2" t="s">
        <v>437</v>
      </c>
      <c r="B80" s="3" t="s">
        <v>438</v>
      </c>
      <c r="D80" s="20">
        <v>1.9583024352233512E-10</v>
      </c>
      <c r="E80" s="20">
        <v>0.9930019972067553</v>
      </c>
      <c r="F80" s="20">
        <v>0.98935919897264979</v>
      </c>
      <c r="G80" s="20">
        <v>7.3333802608435922E-4</v>
      </c>
      <c r="H80" s="20">
        <v>0</v>
      </c>
      <c r="I80" s="20">
        <v>2.9094602080211736E-3</v>
      </c>
      <c r="J80" s="20">
        <v>6.8967941329506326E-3</v>
      </c>
      <c r="K80" s="20">
        <v>1.0120846446364041E-4</v>
      </c>
      <c r="L80" s="20">
        <v>0</v>
      </c>
    </row>
    <row r="81" spans="1:12">
      <c r="A81" s="2" t="s">
        <v>440</v>
      </c>
      <c r="B81" s="3" t="s">
        <v>441</v>
      </c>
      <c r="D81" s="20">
        <v>1.8483618738756369E-13</v>
      </c>
      <c r="E81" s="20">
        <v>0.97070461516634843</v>
      </c>
      <c r="F81" s="20">
        <v>9.1255955476032152E-4</v>
      </c>
      <c r="G81" s="20">
        <v>3.5494149321390239E-4</v>
      </c>
      <c r="H81" s="20">
        <v>0</v>
      </c>
      <c r="I81" s="20">
        <v>0.96943711411837419</v>
      </c>
      <c r="J81" s="20">
        <v>3.1731847722708231E-4</v>
      </c>
      <c r="K81" s="20">
        <v>2.8978066356239694E-2</v>
      </c>
      <c r="L81" s="20">
        <v>0</v>
      </c>
    </row>
    <row r="82" spans="1:12">
      <c r="A82" s="2" t="s">
        <v>442</v>
      </c>
      <c r="B82" s="3" t="s">
        <v>443</v>
      </c>
      <c r="D82" s="20">
        <v>8.2403659275041681E-5</v>
      </c>
      <c r="E82" s="20">
        <v>0.78678571816953646</v>
      </c>
      <c r="F82" s="20">
        <v>5.4982022675697337E-2</v>
      </c>
      <c r="G82" s="20">
        <v>1.5463801560849927E-2</v>
      </c>
      <c r="H82" s="20">
        <v>0</v>
      </c>
      <c r="I82" s="20">
        <v>0.71633989393298925</v>
      </c>
      <c r="J82" s="20">
        <v>8.9106616780603484E-4</v>
      </c>
      <c r="K82" s="20">
        <v>0.21224081200338243</v>
      </c>
      <c r="L82" s="20">
        <v>0</v>
      </c>
    </row>
    <row r="83" spans="1:12">
      <c r="A83" s="2" t="s">
        <v>444</v>
      </c>
      <c r="B83" s="3" t="s">
        <v>445</v>
      </c>
      <c r="D83" s="20">
        <v>5.0421265514245502E-4</v>
      </c>
      <c r="E83" s="20">
        <v>0.70847914093963227</v>
      </c>
      <c r="F83" s="20">
        <v>0.48049398640066687</v>
      </c>
      <c r="G83" s="20">
        <v>0.10138728933406826</v>
      </c>
      <c r="H83" s="20">
        <v>0</v>
      </c>
      <c r="I83" s="20">
        <v>0.12659786520489708</v>
      </c>
      <c r="J83" s="20">
        <v>4.5354362408360077E-3</v>
      </c>
      <c r="K83" s="20">
        <v>0.28648121016438943</v>
      </c>
      <c r="L83" s="20">
        <v>0</v>
      </c>
    </row>
    <row r="84" spans="1:12">
      <c r="A84" s="2" t="s">
        <v>446</v>
      </c>
      <c r="B84" s="3" t="s">
        <v>447</v>
      </c>
      <c r="D84" s="20">
        <v>5.66755912687718E-15</v>
      </c>
      <c r="E84" s="20">
        <v>0.93755105135229444</v>
      </c>
      <c r="F84" s="20">
        <v>4.0838546306563609E-3</v>
      </c>
      <c r="G84" s="20">
        <v>1.4182925768616451E-3</v>
      </c>
      <c r="H84" s="20">
        <v>0</v>
      </c>
      <c r="I84" s="20">
        <v>0.93204890414477648</v>
      </c>
      <c r="J84" s="20">
        <v>3.5082748027034417E-4</v>
      </c>
      <c r="K84" s="20">
        <v>6.2098121167429389E-2</v>
      </c>
      <c r="L84" s="20">
        <v>0</v>
      </c>
    </row>
    <row r="85" spans="1:12">
      <c r="A85" s="2" t="s">
        <v>448</v>
      </c>
      <c r="B85" s="3" t="s">
        <v>449</v>
      </c>
      <c r="D85" s="20">
        <v>3.9868789601179596E-8</v>
      </c>
      <c r="E85" s="20">
        <v>0.98760194298051951</v>
      </c>
      <c r="F85" s="20">
        <v>1.6761283267477717E-4</v>
      </c>
      <c r="G85" s="20">
        <v>7.3961007948036278E-5</v>
      </c>
      <c r="H85" s="20">
        <v>0</v>
      </c>
      <c r="I85" s="20">
        <v>0.98736036913989667</v>
      </c>
      <c r="J85" s="20">
        <v>3.111026043002226E-4</v>
      </c>
      <c r="K85" s="20">
        <v>1.2086914546390612E-2</v>
      </c>
      <c r="L85" s="20">
        <v>0</v>
      </c>
    </row>
    <row r="86" spans="1:12">
      <c r="A86" s="2" t="s">
        <v>450</v>
      </c>
      <c r="B86" s="3" t="s">
        <v>451</v>
      </c>
      <c r="D86" s="20">
        <v>1.4258908138177417E-8</v>
      </c>
      <c r="E86" s="20">
        <v>0.93903784235754217</v>
      </c>
      <c r="F86" s="20">
        <v>3.8918893645967681E-3</v>
      </c>
      <c r="G86" s="20">
        <v>1.3566132090451755E-3</v>
      </c>
      <c r="H86" s="20">
        <v>0</v>
      </c>
      <c r="I86" s="20">
        <v>0.93378933978390022</v>
      </c>
      <c r="J86" s="20">
        <v>3.4873971735647992E-4</v>
      </c>
      <c r="K86" s="20">
        <v>6.0613403666193187E-2</v>
      </c>
      <c r="L86" s="20">
        <v>0</v>
      </c>
    </row>
    <row r="87" spans="1:12">
      <c r="A87" s="2" t="s">
        <v>452</v>
      </c>
      <c r="B87" s="3" t="s">
        <v>453</v>
      </c>
      <c r="D87" s="20">
        <v>4.7846571256024996E-8</v>
      </c>
      <c r="E87" s="20">
        <v>0.89284377447519747</v>
      </c>
      <c r="F87" s="20">
        <v>0.21121513544517842</v>
      </c>
      <c r="G87" s="20">
        <v>0.68111523004871766</v>
      </c>
      <c r="H87" s="20">
        <v>0</v>
      </c>
      <c r="I87" s="20">
        <v>5.1340898130138989E-4</v>
      </c>
      <c r="J87" s="20">
        <v>3.1936196231351709E-2</v>
      </c>
      <c r="K87" s="20">
        <v>7.5219981446879428E-2</v>
      </c>
      <c r="L87" s="20">
        <v>0</v>
      </c>
    </row>
    <row r="88" spans="1:12">
      <c r="A88" s="2" t="s">
        <v>454</v>
      </c>
      <c r="B88" s="3" t="s">
        <v>455</v>
      </c>
      <c r="D88" s="20">
        <v>3.9858823463679938E-5</v>
      </c>
      <c r="E88" s="20">
        <v>0.72906439775648224</v>
      </c>
      <c r="F88" s="20">
        <v>0.10242328249155896</v>
      </c>
      <c r="G88" s="20">
        <v>2.7157778726187857E-2</v>
      </c>
      <c r="H88" s="20">
        <v>0</v>
      </c>
      <c r="I88" s="20">
        <v>0.59948333653873542</v>
      </c>
      <c r="J88" s="20">
        <v>1.3658894254293954E-3</v>
      </c>
      <c r="K88" s="20">
        <v>0.26952985399462454</v>
      </c>
      <c r="L88" s="20">
        <v>0</v>
      </c>
    </row>
    <row r="89" spans="1:12">
      <c r="A89" s="2" t="s">
        <v>456</v>
      </c>
      <c r="B89" s="3" t="s">
        <v>457</v>
      </c>
      <c r="D89" s="20">
        <v>2.7171144277069424E-17</v>
      </c>
      <c r="E89" s="20">
        <v>0.77588943605090765</v>
      </c>
      <c r="F89" s="20">
        <v>6.2112948178707994E-2</v>
      </c>
      <c r="G89" s="20">
        <v>1.7277372582402951E-2</v>
      </c>
      <c r="H89" s="20">
        <v>0</v>
      </c>
      <c r="I89" s="20">
        <v>0.69649911528979669</v>
      </c>
      <c r="J89" s="20">
        <v>9.6393552882122701E-4</v>
      </c>
      <c r="K89" s="20">
        <v>0.22314662842027111</v>
      </c>
      <c r="L89" s="20">
        <v>0</v>
      </c>
    </row>
    <row r="90" spans="1:12">
      <c r="A90" s="2" t="s">
        <v>458</v>
      </c>
      <c r="B90" s="3" t="s">
        <v>459</v>
      </c>
      <c r="D90" s="20">
        <v>4.2004576746433525E-29</v>
      </c>
      <c r="E90" s="20">
        <v>0.88253423140669685</v>
      </c>
      <c r="F90" s="20">
        <v>1.4776474472416751E-2</v>
      </c>
      <c r="G90" s="20">
        <v>4.6415858042115812E-3</v>
      </c>
      <c r="H90" s="20">
        <v>0</v>
      </c>
      <c r="I90" s="20">
        <v>0.86311617113006855</v>
      </c>
      <c r="J90" s="20">
        <v>4.6761344033756841E-4</v>
      </c>
      <c r="K90" s="20">
        <v>0.11699815515296541</v>
      </c>
      <c r="L90" s="20">
        <v>0</v>
      </c>
    </row>
    <row r="91" spans="1:12">
      <c r="A91" s="2" t="s">
        <v>460</v>
      </c>
      <c r="B91" s="3" t="s">
        <v>461</v>
      </c>
      <c r="D91" s="20">
        <v>4.9792874026615186E-8</v>
      </c>
      <c r="E91" s="20">
        <v>0.86903964474503081</v>
      </c>
      <c r="F91" s="20">
        <v>0.52643094363971366</v>
      </c>
      <c r="G91" s="20">
        <v>0.33926336440611826</v>
      </c>
      <c r="H91" s="20">
        <v>0</v>
      </c>
      <c r="I91" s="20">
        <v>3.345336699198855E-3</v>
      </c>
      <c r="J91" s="20">
        <v>1.5601806836061624E-2</v>
      </c>
      <c r="K91" s="20">
        <v>0.11535849862603358</v>
      </c>
      <c r="L91" s="20">
        <v>0</v>
      </c>
    </row>
    <row r="92" spans="1:12">
      <c r="A92" s="2" t="s">
        <v>462</v>
      </c>
      <c r="B92" s="3" t="s">
        <v>463</v>
      </c>
      <c r="D92" s="20">
        <v>4.423979609465205E-9</v>
      </c>
      <c r="E92" s="20">
        <v>0.68410757503704667</v>
      </c>
      <c r="F92" s="20">
        <v>0.41656936809640033</v>
      </c>
      <c r="G92" s="20">
        <v>9.1029652922814841E-2</v>
      </c>
      <c r="H92" s="20">
        <v>0</v>
      </c>
      <c r="I92" s="20">
        <v>0.17650855401783155</v>
      </c>
      <c r="J92" s="20">
        <v>4.0784873657059113E-3</v>
      </c>
      <c r="K92" s="20">
        <v>0.31181393317326761</v>
      </c>
      <c r="L92" s="20">
        <v>0</v>
      </c>
    </row>
    <row r="93" spans="1:12">
      <c r="A93" s="2" t="s">
        <v>464</v>
      </c>
      <c r="B93" s="3" t="s">
        <v>465</v>
      </c>
      <c r="D93" s="20">
        <v>1.9619640435884035E-4</v>
      </c>
      <c r="E93" s="20">
        <v>0.80484555915345091</v>
      </c>
      <c r="F93" s="20">
        <v>0.64411773753948254</v>
      </c>
      <c r="G93" s="20">
        <v>0.12191603057631689</v>
      </c>
      <c r="H93" s="20">
        <v>0</v>
      </c>
      <c r="I93" s="20">
        <v>3.8811791037651429E-2</v>
      </c>
      <c r="J93" s="20">
        <v>5.4738514920030937E-3</v>
      </c>
      <c r="K93" s="20">
        <v>0.18948439295018699</v>
      </c>
      <c r="L93" s="20">
        <v>0</v>
      </c>
    </row>
    <row r="94" spans="1:12">
      <c r="A94" s="2" t="s">
        <v>466</v>
      </c>
      <c r="B94" s="3" t="s">
        <v>467</v>
      </c>
      <c r="D94" s="20">
        <v>1.833711409429673E-18</v>
      </c>
      <c r="E94" s="20">
        <v>0.99948430693735313</v>
      </c>
      <c r="F94" s="20">
        <v>0.10502127126557245</v>
      </c>
      <c r="G94" s="20">
        <v>1.3801165554771525E-5</v>
      </c>
      <c r="H94" s="20">
        <v>0</v>
      </c>
      <c r="I94" s="20">
        <v>0.89444923450622593</v>
      </c>
      <c r="J94" s="20">
        <v>3.562416408443139E-4</v>
      </c>
      <c r="K94" s="20">
        <v>1.5945142180239262E-4</v>
      </c>
      <c r="L94" s="20">
        <v>0</v>
      </c>
    </row>
    <row r="95" spans="1:12">
      <c r="A95" s="2" t="s">
        <v>468</v>
      </c>
      <c r="B95" s="3" t="s">
        <v>469</v>
      </c>
      <c r="D95" s="20">
        <v>2.0111931185340009E-18</v>
      </c>
      <c r="E95" s="20">
        <v>0.87767373576345087</v>
      </c>
      <c r="F95" s="20">
        <v>0.69731336516963727</v>
      </c>
      <c r="G95" s="20">
        <v>0.17251368204460144</v>
      </c>
      <c r="H95" s="20">
        <v>0</v>
      </c>
      <c r="I95" s="20">
        <v>7.8466885492121715E-3</v>
      </c>
      <c r="J95" s="20">
        <v>7.8445364756287213E-3</v>
      </c>
      <c r="K95" s="20">
        <v>0.1144817277609201</v>
      </c>
      <c r="L95" s="20">
        <v>0</v>
      </c>
    </row>
    <row r="96" spans="1:12">
      <c r="A96" s="2" t="s">
        <v>470</v>
      </c>
      <c r="B96" s="163">
        <v>354656</v>
      </c>
      <c r="D96" s="20">
        <v>3.6848779937196194E-10</v>
      </c>
      <c r="E96" s="20">
        <v>0.96958622762490865</v>
      </c>
      <c r="F96" s="20">
        <v>9.8242030002329409E-4</v>
      </c>
      <c r="G96" s="20">
        <v>3.8000812569052617E-4</v>
      </c>
      <c r="H96" s="20">
        <v>0</v>
      </c>
      <c r="I96" s="20">
        <v>0.96822379919919488</v>
      </c>
      <c r="J96" s="20">
        <v>3.1799822727158881E-4</v>
      </c>
      <c r="K96" s="20">
        <v>3.0095773779331831E-2</v>
      </c>
      <c r="L96" s="20">
        <v>0</v>
      </c>
    </row>
    <row r="97" spans="1:12">
      <c r="A97" s="2" t="s">
        <v>472</v>
      </c>
      <c r="B97" s="3" t="s">
        <v>473</v>
      </c>
      <c r="D97" s="20">
        <v>5.6629473073165975E-10</v>
      </c>
      <c r="E97" s="20">
        <v>0.93679524743065568</v>
      </c>
      <c r="F97" s="20">
        <v>4.1832780857220886E-3</v>
      </c>
      <c r="G97" s="20">
        <v>1.4501478761724405E-3</v>
      </c>
      <c r="H97" s="20">
        <v>0</v>
      </c>
      <c r="I97" s="20">
        <v>0.93116182146876114</v>
      </c>
      <c r="J97" s="20">
        <v>3.519097733843253E-4</v>
      </c>
      <c r="K97" s="20">
        <v>6.2852842229665376E-2</v>
      </c>
      <c r="L97" s="20">
        <v>0</v>
      </c>
    </row>
    <row r="98" spans="1:12">
      <c r="A98" s="2" t="s">
        <v>474</v>
      </c>
      <c r="B98" s="3" t="s">
        <v>475</v>
      </c>
      <c r="D98" s="20">
        <v>4.6571808717802047E-20</v>
      </c>
      <c r="E98" s="20">
        <v>0.85517639930420153</v>
      </c>
      <c r="F98" s="20">
        <v>0.71055437845308178</v>
      </c>
      <c r="G98" s="20">
        <v>0.12632603795515171</v>
      </c>
      <c r="H98" s="20">
        <v>0</v>
      </c>
      <c r="I98" s="20">
        <v>1.8295982895968028E-2</v>
      </c>
      <c r="J98" s="20">
        <v>5.6984954599503075E-3</v>
      </c>
      <c r="K98" s="20">
        <v>0.13912510523584809</v>
      </c>
      <c r="L98" s="20">
        <v>0</v>
      </c>
    </row>
    <row r="99" spans="1:12">
      <c r="A99" s="2" t="s">
        <v>476</v>
      </c>
      <c r="B99" s="3" t="s">
        <v>477</v>
      </c>
      <c r="D99" s="20">
        <v>1.7402359248137764E-7</v>
      </c>
      <c r="E99" s="20">
        <v>0.99131968058037301</v>
      </c>
      <c r="F99" s="20">
        <v>8.2505394406568586E-5</v>
      </c>
      <c r="G99" s="20">
        <v>3.8368772031312146E-5</v>
      </c>
      <c r="H99" s="20">
        <v>0</v>
      </c>
      <c r="I99" s="20">
        <v>0.9911988064139351</v>
      </c>
      <c r="J99" s="20">
        <v>3.1081851102021397E-4</v>
      </c>
      <c r="K99" s="20">
        <v>8.3693268850144782E-3</v>
      </c>
      <c r="L99" s="20">
        <v>0</v>
      </c>
    </row>
    <row r="100" spans="1:12">
      <c r="A100" s="2" t="s">
        <v>478</v>
      </c>
      <c r="B100" s="3" t="s">
        <v>479</v>
      </c>
      <c r="D100" s="20">
        <v>5.0998013215210289E-11</v>
      </c>
      <c r="E100" s="20">
        <v>0.67100974381443468</v>
      </c>
      <c r="F100" s="20">
        <v>0.21019746400502554</v>
      </c>
      <c r="G100" s="20">
        <v>5.139525526461456E-2</v>
      </c>
      <c r="H100" s="20">
        <v>0</v>
      </c>
      <c r="I100" s="20">
        <v>0.40941702454479462</v>
      </c>
      <c r="J100" s="20">
        <v>2.3756082070867965E-3</v>
      </c>
      <c r="K100" s="20">
        <v>0.32661464792748041</v>
      </c>
      <c r="L100" s="20">
        <v>0</v>
      </c>
    </row>
    <row r="101" spans="1:12">
      <c r="A101" s="2" t="s">
        <v>480</v>
      </c>
      <c r="B101" s="3" t="s">
        <v>481</v>
      </c>
      <c r="D101" s="20">
        <v>4.6821006448457932E-11</v>
      </c>
      <c r="E101" s="20">
        <v>0.98567584530153007</v>
      </c>
      <c r="F101" s="20">
        <v>2.2300518450406076E-4</v>
      </c>
      <c r="G101" s="20">
        <v>9.6340859197929671E-5</v>
      </c>
      <c r="H101" s="20">
        <v>0</v>
      </c>
      <c r="I101" s="20">
        <v>0.98535649925782809</v>
      </c>
      <c r="J101" s="20">
        <v>3.1141201311019501E-4</v>
      </c>
      <c r="K101" s="20">
        <v>1.4012742638539005E-2</v>
      </c>
      <c r="L101" s="20">
        <v>0</v>
      </c>
    </row>
    <row r="102" spans="1:12">
      <c r="A102" s="2" t="s">
        <v>482</v>
      </c>
      <c r="B102" s="3" t="s">
        <v>483</v>
      </c>
      <c r="D102" s="20">
        <v>2.9430181174270228E-27</v>
      </c>
      <c r="E102" s="20">
        <v>0.99613032261667578</v>
      </c>
      <c r="F102" s="20">
        <v>1.5917217493905712E-5</v>
      </c>
      <c r="G102" s="20">
        <v>8.3591613072141434E-6</v>
      </c>
      <c r="H102" s="20">
        <v>0</v>
      </c>
      <c r="I102" s="20">
        <v>0.99610604623787469</v>
      </c>
      <c r="J102" s="20">
        <v>3.1110883124696627E-4</v>
      </c>
      <c r="K102" s="20">
        <v>3.5585685520771902E-3</v>
      </c>
      <c r="L102" s="20">
        <v>0</v>
      </c>
    </row>
    <row r="103" spans="1:12">
      <c r="A103" s="2" t="s">
        <v>484</v>
      </c>
      <c r="B103" s="3" t="s">
        <v>485</v>
      </c>
      <c r="D103" s="20">
        <v>2.3473502039966317E-13</v>
      </c>
      <c r="E103" s="20">
        <v>0.99158591580098143</v>
      </c>
      <c r="F103" s="20">
        <v>7.7526843531876228E-5</v>
      </c>
      <c r="G103" s="20">
        <v>3.6219934250445615E-5</v>
      </c>
      <c r="H103" s="20">
        <v>0</v>
      </c>
      <c r="I103" s="20">
        <v>0.99147216902319912</v>
      </c>
      <c r="J103" s="20">
        <v>3.1081460231097353E-4</v>
      </c>
      <c r="K103" s="20">
        <v>8.1032695964727858E-3</v>
      </c>
      <c r="L103" s="20">
        <v>0</v>
      </c>
    </row>
    <row r="104" spans="1:12">
      <c r="A104" s="2" t="s">
        <v>486</v>
      </c>
      <c r="B104" s="3" t="s">
        <v>487</v>
      </c>
      <c r="D104" s="20">
        <v>2.888706900877007E-9</v>
      </c>
      <c r="E104" s="20">
        <v>0.95421399613149638</v>
      </c>
      <c r="F104" s="20">
        <v>2.2028133194712455E-3</v>
      </c>
      <c r="G104" s="20">
        <v>8.0181328779634054E-4</v>
      </c>
      <c r="H104" s="20">
        <v>0</v>
      </c>
      <c r="I104" s="20">
        <v>0.95120936952422874</v>
      </c>
      <c r="J104" s="20">
        <v>3.3055954329739223E-4</v>
      </c>
      <c r="K104" s="20">
        <v>4.5455441436499301E-2</v>
      </c>
      <c r="L104" s="20">
        <v>0</v>
      </c>
    </row>
    <row r="105" spans="1:12">
      <c r="A105" s="2" t="s">
        <v>488</v>
      </c>
      <c r="B105" s="3" t="s">
        <v>489</v>
      </c>
      <c r="D105" s="20">
        <v>2.3405577386593206E-16</v>
      </c>
      <c r="E105" s="20">
        <v>0.99542120678304502</v>
      </c>
      <c r="F105" s="20">
        <v>2.2573223104685797E-5</v>
      </c>
      <c r="G105" s="20">
        <v>1.1552849861197742E-5</v>
      </c>
      <c r="H105" s="20">
        <v>0</v>
      </c>
      <c r="I105" s="20">
        <v>0.99538708071007909</v>
      </c>
      <c r="J105" s="20">
        <v>3.1101581072532817E-4</v>
      </c>
      <c r="K105" s="20">
        <v>4.26777740622952E-3</v>
      </c>
      <c r="L105" s="20">
        <v>0</v>
      </c>
    </row>
    <row r="106" spans="1:12">
      <c r="A106" s="2" t="s">
        <v>490</v>
      </c>
      <c r="B106" s="3" t="s">
        <v>491</v>
      </c>
      <c r="D106" s="20">
        <v>1.2718423457864316E-8</v>
      </c>
      <c r="E106" s="20">
        <v>0.85445832494308127</v>
      </c>
      <c r="F106" s="20">
        <v>2.326523777943805E-2</v>
      </c>
      <c r="G106" s="20">
        <v>7.043735687302371E-3</v>
      </c>
      <c r="H106" s="20">
        <v>0</v>
      </c>
      <c r="I106" s="20">
        <v>0.82414935147634083</v>
      </c>
      <c r="J106" s="20">
        <v>5.5912987406717151E-4</v>
      </c>
      <c r="K106" s="20">
        <v>0.14498253246442805</v>
      </c>
      <c r="L106" s="20">
        <v>0</v>
      </c>
    </row>
    <row r="107" spans="1:12">
      <c r="A107" s="2" t="s">
        <v>492</v>
      </c>
      <c r="B107" s="3" t="s">
        <v>493</v>
      </c>
      <c r="D107" s="20">
        <v>2.1885992330194605E-16</v>
      </c>
      <c r="E107" s="20">
        <v>0.87173144077868969</v>
      </c>
      <c r="F107" s="20">
        <v>0.73120719739677797</v>
      </c>
      <c r="G107" s="20">
        <v>0.1269217387252318</v>
      </c>
      <c r="H107" s="20">
        <v>0</v>
      </c>
      <c r="I107" s="20">
        <v>1.3602504656679879E-2</v>
      </c>
      <c r="J107" s="20">
        <v>5.7368071477169272E-3</v>
      </c>
      <c r="K107" s="20">
        <v>0.12253175207359315</v>
      </c>
      <c r="L107" s="20">
        <v>0</v>
      </c>
    </row>
    <row r="108" spans="1:12">
      <c r="A108" s="2" t="s">
        <v>291</v>
      </c>
      <c r="B108" s="3" t="s">
        <v>494</v>
      </c>
      <c r="D108" s="20">
        <v>2.9369969251871564E-10</v>
      </c>
      <c r="E108" s="20">
        <v>0.68466783336009163</v>
      </c>
      <c r="F108" s="20">
        <v>0.17052093556398834</v>
      </c>
      <c r="G108" s="20">
        <v>4.278319973357024E-2</v>
      </c>
      <c r="H108" s="20">
        <v>0</v>
      </c>
      <c r="I108" s="20">
        <v>0.47136369806253309</v>
      </c>
      <c r="J108" s="20">
        <v>2.0137717084240656E-3</v>
      </c>
      <c r="K108" s="20">
        <v>0.3133183946377846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7" width="9.140625" style="14"/>
    <col min="8" max="8" width="8.640625" style="14" bestFit="1" customWidth="1"/>
    <col min="9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3.6293513358929364E-9</v>
      </c>
      <c r="E2" s="14">
        <v>3.0913035474096446E-5</v>
      </c>
      <c r="F2" s="14">
        <v>1.4753777396796977E-6</v>
      </c>
      <c r="G2" s="14">
        <v>4.2973307590568925E-7</v>
      </c>
      <c r="H2" s="14">
        <v>0</v>
      </c>
      <c r="I2" s="14">
        <v>2.8135937812800764E-8</v>
      </c>
      <c r="J2" s="14">
        <v>7.1500884211694758E-6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1.4099219514742374E-7</v>
      </c>
      <c r="E3" s="14">
        <v>2.573520978377815E-8</v>
      </c>
      <c r="F3" s="14">
        <v>9.5426564122085946E-6</v>
      </c>
      <c r="G3" s="14">
        <v>2.5856208578602216E-5</v>
      </c>
      <c r="H3" s="14">
        <v>0</v>
      </c>
      <c r="I3" s="14">
        <v>1.2097955505639759E-6</v>
      </c>
      <c r="J3" s="14">
        <v>3.2246120536940177E-6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1.7618622271444035E-16</v>
      </c>
      <c r="E4" s="14">
        <v>1.4119021036978535E-5</v>
      </c>
      <c r="F4" s="14">
        <v>1.003335455928647E-5</v>
      </c>
      <c r="G4" s="14">
        <v>2.3951996250488507E-6</v>
      </c>
      <c r="H4" s="14">
        <v>0</v>
      </c>
      <c r="I4" s="14">
        <v>1.0939837047735221E-7</v>
      </c>
      <c r="J4" s="14">
        <v>1.3343026408032608E-5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4.7790189183519221E-9</v>
      </c>
      <c r="E5" s="14">
        <v>2.7536668115806126E-7</v>
      </c>
      <c r="F5" s="14">
        <v>2.691615153231664E-5</v>
      </c>
      <c r="G5" s="14">
        <v>7.8110338521934909E-6</v>
      </c>
      <c r="H5" s="14">
        <v>0</v>
      </c>
      <c r="I5" s="14">
        <v>3.5583916215291355E-7</v>
      </c>
      <c r="J5" s="14">
        <v>4.6368297532605423E-6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4.6100912043972503E-10</v>
      </c>
      <c r="E6" s="14">
        <v>1.1550004620518012E-8</v>
      </c>
      <c r="F6" s="14">
        <v>6.1077848766476981E-6</v>
      </c>
      <c r="G6" s="14">
        <v>2.9997101158533397E-5</v>
      </c>
      <c r="H6" s="14">
        <v>0</v>
      </c>
      <c r="I6" s="14">
        <v>1.4137002535975945E-6</v>
      </c>
      <c r="J6" s="14">
        <v>2.4694026974803502E-6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6.7860724220085237E-10</v>
      </c>
      <c r="E7" s="14">
        <v>2.3045765091730758E-8</v>
      </c>
      <c r="F7" s="14">
        <v>9.0010402777672367E-6</v>
      </c>
      <c r="G7" s="14">
        <v>2.6606531379004935E-5</v>
      </c>
      <c r="H7" s="14">
        <v>0</v>
      </c>
      <c r="I7" s="14">
        <v>1.2462151585285163E-6</v>
      </c>
      <c r="J7" s="14">
        <v>3.122488812365384E-6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6.399813514554158E-9</v>
      </c>
      <c r="E8" s="14">
        <v>5.126016027272315E-8</v>
      </c>
      <c r="F8" s="14">
        <v>1.3678596355814506E-5</v>
      </c>
      <c r="G8" s="14">
        <v>2.1356844690956653E-5</v>
      </c>
      <c r="H8" s="14">
        <v>0</v>
      </c>
      <c r="I8" s="14">
        <v>9.9263852679974228E-7</v>
      </c>
      <c r="J8" s="14">
        <v>3.9142604526418249E-6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4.0445507214578442E-9</v>
      </c>
      <c r="E9" s="14">
        <v>2.3677886078277929E-6</v>
      </c>
      <c r="F9" s="14">
        <v>2.3831122606733247E-5</v>
      </c>
      <c r="G9" s="14">
        <v>4.6799375348993193E-6</v>
      </c>
      <c r="H9" s="14">
        <v>0</v>
      </c>
      <c r="I9" s="14">
        <v>2.0967118532537654E-7</v>
      </c>
      <c r="J9" s="14">
        <v>8.9074355144928092E-6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6.1380537480705045E-11</v>
      </c>
      <c r="E10" s="14">
        <v>2.5600198194234708E-7</v>
      </c>
      <c r="F10" s="14">
        <v>2.6357541677775956E-5</v>
      </c>
      <c r="G10" s="14">
        <v>8.3445026571326497E-6</v>
      </c>
      <c r="H10" s="14">
        <v>0</v>
      </c>
      <c r="I10" s="14">
        <v>3.805275504415347E-7</v>
      </c>
      <c r="J10" s="14">
        <v>4.6613647521700385E-6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3.1951039502380902E-9</v>
      </c>
      <c r="E11" s="14">
        <v>2.2599437657739615E-7</v>
      </c>
      <c r="F11" s="14">
        <v>2.537226314939113E-5</v>
      </c>
      <c r="G11" s="14">
        <v>9.2865577203306106E-6</v>
      </c>
      <c r="H11" s="14">
        <v>0</v>
      </c>
      <c r="I11" s="14">
        <v>4.2420780229184148E-7</v>
      </c>
      <c r="J11" s="14">
        <v>4.6877818474587896E-6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2.1159889660667227E-9</v>
      </c>
      <c r="E12" s="14">
        <v>1.5195886436588311E-6</v>
      </c>
      <c r="F12" s="14">
        <v>2.5857564317360663E-5</v>
      </c>
      <c r="G12" s="14">
        <v>4.8852092300744238E-6</v>
      </c>
      <c r="H12" s="14">
        <v>0</v>
      </c>
      <c r="I12" s="14">
        <v>2.1936557587702797E-7</v>
      </c>
      <c r="J12" s="14">
        <v>7.5161562440629898E-6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6.2950577456932474E-9</v>
      </c>
      <c r="E13" s="14">
        <v>2.2717072229722235E-6</v>
      </c>
      <c r="F13" s="14">
        <v>2.4036649640597835E-5</v>
      </c>
      <c r="G13" s="14">
        <v>4.7029405471090353E-6</v>
      </c>
      <c r="H13" s="14">
        <v>0</v>
      </c>
      <c r="I13" s="14">
        <v>2.107408749279379E-7</v>
      </c>
      <c r="J13" s="14">
        <v>8.771666656647286E-6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2.1267870458882503E-9</v>
      </c>
      <c r="E14" s="14">
        <v>1.4978787063920767E-7</v>
      </c>
      <c r="F14" s="14">
        <v>2.199369617239305E-5</v>
      </c>
      <c r="G14" s="14">
        <v>1.2621000288232198E-5</v>
      </c>
      <c r="H14" s="14">
        <v>0</v>
      </c>
      <c r="I14" s="14">
        <v>5.7960289858789693E-7</v>
      </c>
      <c r="J14" s="14">
        <v>4.6537859831017667E-6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3.4791642097088837E-12</v>
      </c>
      <c r="E15" s="14">
        <v>2.4065094290266745E-7</v>
      </c>
      <c r="F15" s="14">
        <v>2.5873140206996723E-5</v>
      </c>
      <c r="G15" s="14">
        <v>8.8073386837816532E-6</v>
      </c>
      <c r="H15" s="14">
        <v>0</v>
      </c>
      <c r="I15" s="14">
        <v>4.0197483030265508E-7</v>
      </c>
      <c r="J15" s="14">
        <v>4.6768918568520941E-6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1.6627335162226346E-8</v>
      </c>
      <c r="E16" s="14">
        <v>5.3034110802678476E-8</v>
      </c>
      <c r="F16" s="14">
        <v>1.3909030708658403E-5</v>
      </c>
      <c r="G16" s="14">
        <v>2.1095626194527892E-5</v>
      </c>
      <c r="H16" s="14">
        <v>0</v>
      </c>
      <c r="I16" s="14">
        <v>9.8015435827517261E-7</v>
      </c>
      <c r="J16" s="14">
        <v>3.9455272925736311E-6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1.227395685954826E-9</v>
      </c>
      <c r="E17" s="14">
        <v>2.6880493213689982E-7</v>
      </c>
      <c r="F17" s="14">
        <v>2.6733683823165793E-5</v>
      </c>
      <c r="G17" s="14">
        <v>7.9864607706710816E-6</v>
      </c>
      <c r="H17" s="14">
        <v>0</v>
      </c>
      <c r="I17" s="14">
        <v>3.6395371982969452E-7</v>
      </c>
      <c r="J17" s="14">
        <v>4.6458693585105846E-6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1.2155998499599865E-7</v>
      </c>
      <c r="E18" s="14">
        <v>2.8366338321857509E-6</v>
      </c>
      <c r="F18" s="14">
        <v>2.2796325669213612E-5</v>
      </c>
      <c r="G18" s="14">
        <v>4.5515614249435833E-6</v>
      </c>
      <c r="H18" s="14">
        <v>0</v>
      </c>
      <c r="I18" s="14">
        <v>2.0376992476622258E-7</v>
      </c>
      <c r="J18" s="14">
        <v>9.4901491638948426E-6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1.2193155069794845E-11</v>
      </c>
      <c r="E19" s="14">
        <v>2.3766691978384739E-7</v>
      </c>
      <c r="F19" s="14">
        <v>2.5774503729183973E-5</v>
      </c>
      <c r="G19" s="14">
        <v>8.9019646911136621E-6</v>
      </c>
      <c r="H19" s="14">
        <v>0</v>
      </c>
      <c r="I19" s="14">
        <v>4.0636274284411125E-7</v>
      </c>
      <c r="J19" s="14">
        <v>4.6794897239193365E-6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9.5292281514331161E-10</v>
      </c>
      <c r="E20" s="14">
        <v>2.2720106648895287E-6</v>
      </c>
      <c r="F20" s="14">
        <v>2.4039860321524834E-5</v>
      </c>
      <c r="G20" s="14">
        <v>4.703568739546052E-6</v>
      </c>
      <c r="H20" s="14">
        <v>0</v>
      </c>
      <c r="I20" s="14">
        <v>2.1076902451275061E-7</v>
      </c>
      <c r="J20" s="14">
        <v>8.7728383267116944E-6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1.7810226738410423E-8</v>
      </c>
      <c r="E21" s="14">
        <v>1.6941899024728278E-7</v>
      </c>
      <c r="F21" s="14">
        <v>2.3011432936595957E-5</v>
      </c>
      <c r="G21" s="14">
        <v>1.1588820035033672E-5</v>
      </c>
      <c r="H21" s="14">
        <v>0</v>
      </c>
      <c r="I21" s="14">
        <v>5.3137544701463428E-7</v>
      </c>
      <c r="J21" s="14">
        <v>4.6811423643700516E-6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7.8441438775555312E-8</v>
      </c>
      <c r="E22" s="14">
        <v>2.2452163258088314E-5</v>
      </c>
      <c r="F22" s="14">
        <v>4.8041854745505046E-6</v>
      </c>
      <c r="G22" s="14">
        <v>1.2528968610437487E-6</v>
      </c>
      <c r="H22" s="14">
        <v>0</v>
      </c>
      <c r="I22" s="14">
        <v>6.1474280380931993E-8</v>
      </c>
      <c r="J22" s="14">
        <v>1.1350838687160951E-5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3.343126798194996E-9</v>
      </c>
      <c r="E23" s="14">
        <v>2.8392621269374818E-5</v>
      </c>
      <c r="F23" s="14">
        <v>2.2910104161516132E-6</v>
      </c>
      <c r="G23" s="14">
        <v>6.4198165658257085E-7</v>
      </c>
      <c r="H23" s="14">
        <v>0</v>
      </c>
      <c r="I23" s="14">
        <v>3.6582184733446493E-8</v>
      </c>
      <c r="J23" s="14">
        <v>8.6344613463593633E-6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2.8882696516104357E-9</v>
      </c>
      <c r="E24" s="14">
        <v>6.9427316218943159E-6</v>
      </c>
      <c r="F24" s="14">
        <v>1.6800103289044342E-5</v>
      </c>
      <c r="G24" s="14">
        <v>3.6644390893011234E-6</v>
      </c>
      <c r="H24" s="14">
        <v>0</v>
      </c>
      <c r="I24" s="14">
        <v>1.6415850925648899E-7</v>
      </c>
      <c r="J24" s="14">
        <v>1.2425679220852131E-5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5.2824438313974544E-7</v>
      </c>
      <c r="E25" s="14">
        <v>8.2685151872131671E-7</v>
      </c>
      <c r="F25" s="14">
        <v>2.7638158477817914E-5</v>
      </c>
      <c r="G25" s="14">
        <v>4.9682639213016304E-6</v>
      </c>
      <c r="H25" s="14">
        <v>0</v>
      </c>
      <c r="I25" s="14">
        <v>2.2391591050230761E-7</v>
      </c>
      <c r="J25" s="14">
        <v>5.8145657885170892E-6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1.4298190155761644E-8</v>
      </c>
      <c r="E26" s="14">
        <v>1.83625803489464E-7</v>
      </c>
      <c r="F26" s="14">
        <v>2.3678559782941286E-5</v>
      </c>
      <c r="G26" s="14">
        <v>1.0930772080350406E-5</v>
      </c>
      <c r="H26" s="14">
        <v>0</v>
      </c>
      <c r="I26" s="14">
        <v>5.006850900792169E-7</v>
      </c>
      <c r="J26" s="14">
        <v>4.6920590529838682E-6</v>
      </c>
      <c r="K26" s="14">
        <v>0</v>
      </c>
    </row>
    <row r="27" spans="1:13">
      <c r="A27" s="2" t="s">
        <v>353</v>
      </c>
      <c r="B27" s="3" t="s">
        <v>354</v>
      </c>
      <c r="D27" s="14">
        <v>9.7746657968510133E-8</v>
      </c>
      <c r="E27" s="14">
        <v>2.8296619700652098E-8</v>
      </c>
      <c r="F27" s="14">
        <v>1.0047919161036638E-5</v>
      </c>
      <c r="G27" s="14">
        <v>2.5320465622127241E-5</v>
      </c>
      <c r="H27" s="14">
        <v>0</v>
      </c>
      <c r="I27" s="14">
        <v>1.1836890448900752E-6</v>
      </c>
      <c r="J27" s="14">
        <v>3.321882894276889E-6</v>
      </c>
      <c r="K27" s="14">
        <v>0</v>
      </c>
    </row>
    <row r="28" spans="1:13">
      <c r="A28" s="2" t="s">
        <v>355</v>
      </c>
      <c r="B28" s="3" t="s">
        <v>356</v>
      </c>
      <c r="D28" s="14">
        <v>5.3556065727245221E-9</v>
      </c>
      <c r="E28" s="14">
        <v>1.0114427516650307E-7</v>
      </c>
      <c r="F28" s="14">
        <v>1.8762161967902873E-5</v>
      </c>
      <c r="G28" s="14">
        <v>1.5928630433477843E-5</v>
      </c>
      <c r="H28" s="14">
        <v>0</v>
      </c>
      <c r="I28" s="14">
        <v>7.3493505163082539E-7</v>
      </c>
      <c r="J28" s="14">
        <v>4.467772665249231E-6</v>
      </c>
      <c r="K28" s="14">
        <v>0</v>
      </c>
    </row>
    <row r="29" spans="1:13">
      <c r="A29" s="2" t="s">
        <v>357</v>
      </c>
      <c r="B29" s="3" t="s">
        <v>358</v>
      </c>
      <c r="D29" s="14">
        <v>1.0807546872553541E-6</v>
      </c>
      <c r="E29" s="14">
        <v>1.519356780428283E-7</v>
      </c>
      <c r="F29" s="14">
        <v>2.1737086952840628E-5</v>
      </c>
      <c r="G29" s="14">
        <v>1.1942545319482399E-5</v>
      </c>
      <c r="H29" s="14">
        <v>0</v>
      </c>
      <c r="I29" s="14">
        <v>5.4816159845457043E-7</v>
      </c>
      <c r="J29" s="14">
        <v>4.5395157639242265E-6</v>
      </c>
      <c r="K29" s="14">
        <v>0</v>
      </c>
    </row>
    <row r="30" spans="1:13">
      <c r="A30" s="2" t="s">
        <v>359</v>
      </c>
      <c r="B30" s="3" t="s">
        <v>360</v>
      </c>
      <c r="D30" s="14">
        <v>5.3556065727245221E-9</v>
      </c>
      <c r="E30" s="14">
        <v>1.0114427516650307E-7</v>
      </c>
      <c r="F30" s="14">
        <v>1.8762161967902873E-5</v>
      </c>
      <c r="G30" s="14">
        <v>1.5928630433477843E-5</v>
      </c>
      <c r="H30" s="14">
        <v>0</v>
      </c>
      <c r="I30" s="14">
        <v>7.3493505163082539E-7</v>
      </c>
      <c r="J30" s="14">
        <v>4.467772665249231E-6</v>
      </c>
      <c r="K30" s="14">
        <v>0</v>
      </c>
    </row>
    <row r="31" spans="1:13">
      <c r="A31" s="2" t="s">
        <v>283</v>
      </c>
      <c r="B31" s="3" t="s">
        <v>284</v>
      </c>
      <c r="D31" s="14">
        <v>1.0483972658159971E-12</v>
      </c>
      <c r="E31" s="14">
        <v>3.9019214311078602E-5</v>
      </c>
      <c r="F31" s="14">
        <v>2.401043866253937E-8</v>
      </c>
      <c r="G31" s="14">
        <v>9.6359746746875664E-9</v>
      </c>
      <c r="H31" s="14">
        <v>0</v>
      </c>
      <c r="I31" s="14">
        <v>1.2575878230997021E-8</v>
      </c>
      <c r="J31" s="14">
        <v>9.3456234895590211E-7</v>
      </c>
      <c r="K31" s="14">
        <v>0</v>
      </c>
    </row>
    <row r="32" spans="1:13">
      <c r="A32" s="2" t="s">
        <v>361</v>
      </c>
      <c r="B32" s="3" t="s">
        <v>362</v>
      </c>
      <c r="D32" s="14">
        <v>8.5194454341069177E-13</v>
      </c>
      <c r="E32" s="14">
        <v>1.7341638779014501E-5</v>
      </c>
      <c r="F32" s="14">
        <v>7.7958528065149989E-6</v>
      </c>
      <c r="G32" s="14">
        <v>1.9221279418657412E-6</v>
      </c>
      <c r="H32" s="14">
        <v>0</v>
      </c>
      <c r="I32" s="14">
        <v>9.0622390980081443E-8</v>
      </c>
      <c r="J32" s="14">
        <v>1.2849757229680134E-5</v>
      </c>
      <c r="K32" s="14">
        <v>0</v>
      </c>
    </row>
    <row r="33" spans="1:11">
      <c r="A33" s="2" t="s">
        <v>364</v>
      </c>
      <c r="B33" s="3" t="s">
        <v>365</v>
      </c>
      <c r="D33" s="14">
        <v>4.8271664556316651E-15</v>
      </c>
      <c r="E33" s="14">
        <v>3.981704890455362E-5</v>
      </c>
      <c r="F33" s="14">
        <v>1.6803921454557993E-7</v>
      </c>
      <c r="G33" s="14">
        <v>5.1385189859712093E-11</v>
      </c>
      <c r="H33" s="14">
        <v>0</v>
      </c>
      <c r="I33" s="14">
        <v>1.257620426306364E-8</v>
      </c>
      <c r="J33" s="14">
        <v>2.2842866207145054E-9</v>
      </c>
      <c r="K33" s="14">
        <v>0</v>
      </c>
    </row>
    <row r="34" spans="1:11">
      <c r="A34" s="2" t="s">
        <v>285</v>
      </c>
      <c r="B34" s="3" t="s">
        <v>286</v>
      </c>
      <c r="D34" s="14">
        <v>1.434999421971733E-14</v>
      </c>
      <c r="E34" s="14">
        <v>2.1894654686963974E-5</v>
      </c>
      <c r="F34" s="14">
        <v>1.8077554287309346E-5</v>
      </c>
      <c r="G34" s="14">
        <v>1.4846161532631508E-9</v>
      </c>
      <c r="H34" s="14">
        <v>0</v>
      </c>
      <c r="I34" s="14">
        <v>1.852375754831574E-8</v>
      </c>
      <c r="J34" s="14">
        <v>7.782637675105157E-9</v>
      </c>
      <c r="K34" s="14">
        <v>0</v>
      </c>
    </row>
    <row r="35" spans="1:11">
      <c r="A35" s="2" t="s">
        <v>287</v>
      </c>
      <c r="B35" s="3" t="s">
        <v>288</v>
      </c>
      <c r="D35" s="14">
        <v>4.1797465019241039E-16</v>
      </c>
      <c r="E35" s="14">
        <v>1.2961245498060374E-5</v>
      </c>
      <c r="F35" s="14">
        <v>2.6994066346376329E-5</v>
      </c>
      <c r="G35" s="14">
        <v>5.2275191638971408E-9</v>
      </c>
      <c r="H35" s="14">
        <v>0</v>
      </c>
      <c r="I35" s="14">
        <v>2.0623786645137265E-8</v>
      </c>
      <c r="J35" s="14">
        <v>1.8836849336290513E-8</v>
      </c>
      <c r="K35" s="14">
        <v>0</v>
      </c>
    </row>
    <row r="36" spans="1:11">
      <c r="A36" s="2" t="s">
        <v>366</v>
      </c>
      <c r="B36" s="3" t="s">
        <v>305</v>
      </c>
      <c r="D36" s="14">
        <v>7.3685129146827991E-13</v>
      </c>
      <c r="E36" s="14">
        <v>4.3233411129772971E-6</v>
      </c>
      <c r="F36" s="14">
        <v>3.5623868351435964E-5</v>
      </c>
      <c r="G36" s="14">
        <v>1.019959343371139E-8</v>
      </c>
      <c r="H36" s="14">
        <v>0</v>
      </c>
      <c r="I36" s="14">
        <v>2.1538102057197187E-8</v>
      </c>
      <c r="J36" s="14">
        <v>2.1052103244536432E-8</v>
      </c>
      <c r="K36" s="14">
        <v>0</v>
      </c>
    </row>
    <row r="37" spans="1:11">
      <c r="A37" s="2" t="s">
        <v>289</v>
      </c>
      <c r="B37" s="3" t="s">
        <v>290</v>
      </c>
      <c r="D37" s="14">
        <v>1.6749388418983182E-19</v>
      </c>
      <c r="E37" s="14">
        <v>8.3149147512033638E-6</v>
      </c>
      <c r="F37" s="14">
        <v>2.7849626513063268E-5</v>
      </c>
      <c r="G37" s="14">
        <v>9.5079935026692628E-7</v>
      </c>
      <c r="H37" s="14">
        <v>0</v>
      </c>
      <c r="I37" s="14">
        <v>5.8468399900326754E-8</v>
      </c>
      <c r="J37" s="14">
        <v>2.8261909855659522E-6</v>
      </c>
      <c r="K37" s="14">
        <v>0</v>
      </c>
    </row>
    <row r="38" spans="1:11">
      <c r="A38" s="2" t="s">
        <v>291</v>
      </c>
      <c r="B38" s="3" t="s">
        <v>292</v>
      </c>
      <c r="D38" s="14">
        <v>4.8304061564925377E-17</v>
      </c>
      <c r="E38" s="14">
        <v>2.4518137856680415E-5</v>
      </c>
      <c r="F38" s="14">
        <v>1.5375493248864378E-5</v>
      </c>
      <c r="G38" s="14">
        <v>1.2845354807598905E-8</v>
      </c>
      <c r="H38" s="14">
        <v>0</v>
      </c>
      <c r="I38" s="14">
        <v>1.8247157998460563E-8</v>
      </c>
      <c r="J38" s="14">
        <v>7.5276381600850548E-8</v>
      </c>
      <c r="K38" s="14">
        <v>0</v>
      </c>
    </row>
    <row r="39" spans="1:11">
      <c r="A39" s="2" t="s">
        <v>367</v>
      </c>
      <c r="B39" s="3" t="s">
        <v>368</v>
      </c>
      <c r="D39" s="14">
        <v>5.786345444267909E-10</v>
      </c>
      <c r="E39" s="14">
        <v>4.1217058816556739E-7</v>
      </c>
      <c r="F39" s="14">
        <v>2.9756275590649362E-5</v>
      </c>
      <c r="G39" s="14">
        <v>5.197256220164328E-6</v>
      </c>
      <c r="H39" s="14">
        <v>0</v>
      </c>
      <c r="I39" s="14">
        <v>2.353996252982462E-7</v>
      </c>
      <c r="J39" s="14">
        <v>4.3983193411780705E-6</v>
      </c>
      <c r="K39" s="14">
        <v>0</v>
      </c>
    </row>
    <row r="40" spans="1:11">
      <c r="A40" s="2" t="s">
        <v>369</v>
      </c>
      <c r="B40" s="3" t="s">
        <v>370</v>
      </c>
      <c r="D40" s="14">
        <v>3.5998276299264852E-17</v>
      </c>
      <c r="E40" s="14">
        <v>3.9247294372227466E-8</v>
      </c>
      <c r="F40" s="14">
        <v>3.5808926119651339E-5</v>
      </c>
      <c r="G40" s="14">
        <v>2.5906674826368057E-6</v>
      </c>
      <c r="H40" s="14">
        <v>0</v>
      </c>
      <c r="I40" s="14">
        <v>1.4485108908526169E-6</v>
      </c>
      <c r="J40" s="14">
        <v>1.1264821245101829E-7</v>
      </c>
      <c r="K40" s="14">
        <v>0</v>
      </c>
    </row>
    <row r="41" spans="1:11">
      <c r="A41" s="2" t="s">
        <v>371</v>
      </c>
      <c r="B41" s="3" t="s">
        <v>372</v>
      </c>
      <c r="D41" s="14">
        <v>3.2713400561928376E-6</v>
      </c>
      <c r="E41" s="14">
        <v>3.6532410752650326E-5</v>
      </c>
      <c r="F41" s="14">
        <v>1.1184070765082596E-9</v>
      </c>
      <c r="G41" s="14">
        <v>5.5988065459891341E-10</v>
      </c>
      <c r="H41" s="14">
        <v>0</v>
      </c>
      <c r="I41" s="14">
        <v>1.1420410331197531E-8</v>
      </c>
      <c r="J41" s="14">
        <v>1.8315049309453487E-7</v>
      </c>
      <c r="K41" s="14">
        <v>0</v>
      </c>
    </row>
    <row r="42" spans="1:11">
      <c r="A42" s="2" t="s">
        <v>293</v>
      </c>
      <c r="B42" s="3" t="s">
        <v>294</v>
      </c>
      <c r="D42" s="14">
        <v>7.0015826918740025E-13</v>
      </c>
      <c r="E42" s="14">
        <v>2.0958918213970466E-5</v>
      </c>
      <c r="F42" s="14">
        <v>5.6165604475190312E-6</v>
      </c>
      <c r="G42" s="14">
        <v>1.4406749095046654E-6</v>
      </c>
      <c r="H42" s="14">
        <v>0</v>
      </c>
      <c r="I42" s="14">
        <v>6.9268869013028503E-8</v>
      </c>
      <c r="J42" s="14">
        <v>1.1914576859834546E-5</v>
      </c>
      <c r="K42" s="14">
        <v>0</v>
      </c>
    </row>
    <row r="43" spans="1:11">
      <c r="A43" s="2" t="s">
        <v>373</v>
      </c>
      <c r="B43" s="3" t="s">
        <v>374</v>
      </c>
      <c r="D43" s="14">
        <v>1.7236677661340377E-12</v>
      </c>
      <c r="E43" s="14">
        <v>3.5231559611660809E-7</v>
      </c>
      <c r="F43" s="14">
        <v>3.9554276312905663E-5</v>
      </c>
      <c r="G43" s="14">
        <v>3.3397608119038893E-8</v>
      </c>
      <c r="H43" s="14">
        <v>0</v>
      </c>
      <c r="I43" s="14">
        <v>4.3149907310176437E-8</v>
      </c>
      <c r="J43" s="14">
        <v>1.6858851880737471E-8</v>
      </c>
      <c r="K43" s="14">
        <v>0</v>
      </c>
    </row>
    <row r="44" spans="1:11">
      <c r="A44" s="2" t="s">
        <v>375</v>
      </c>
      <c r="B44" s="3" t="s">
        <v>376</v>
      </c>
      <c r="D44" s="14">
        <v>3.4047363988752636E-6</v>
      </c>
      <c r="E44" s="14">
        <v>3.0471661428051957E-5</v>
      </c>
      <c r="F44" s="14">
        <v>7.7831913646703786E-7</v>
      </c>
      <c r="G44" s="14">
        <v>2.3738499499350732E-7</v>
      </c>
      <c r="H44" s="14">
        <v>0</v>
      </c>
      <c r="I44" s="14">
        <v>1.9677880228950492E-8</v>
      </c>
      <c r="J44" s="14">
        <v>5.0882201613832854E-6</v>
      </c>
      <c r="K44" s="14">
        <v>0</v>
      </c>
    </row>
    <row r="45" spans="1:11">
      <c r="A45" s="2" t="s">
        <v>377</v>
      </c>
      <c r="B45" s="3" t="s">
        <v>378</v>
      </c>
      <c r="D45" s="14">
        <v>2.6631860906126623E-8</v>
      </c>
      <c r="E45" s="14">
        <v>1.9547631999155596E-5</v>
      </c>
      <c r="F45" s="14">
        <v>6.3984639704967486E-6</v>
      </c>
      <c r="G45" s="14">
        <v>1.6172281200926863E-6</v>
      </c>
      <c r="H45" s="14">
        <v>0</v>
      </c>
      <c r="I45" s="14">
        <v>7.6612872057269524E-8</v>
      </c>
      <c r="J45" s="14">
        <v>1.2333431177291578E-5</v>
      </c>
      <c r="K45" s="14">
        <v>0</v>
      </c>
    </row>
    <row r="46" spans="1:11">
      <c r="A46" s="2" t="s">
        <v>379</v>
      </c>
      <c r="B46" s="3" t="s">
        <v>380</v>
      </c>
      <c r="D46" s="14">
        <v>8.0086864985738885E-8</v>
      </c>
      <c r="E46" s="14">
        <v>2.039641942293599E-5</v>
      </c>
      <c r="F46" s="14">
        <v>5.8916305892456891E-6</v>
      </c>
      <c r="G46" s="14">
        <v>1.5029033888366964E-6</v>
      </c>
      <c r="H46" s="14">
        <v>0</v>
      </c>
      <c r="I46" s="14">
        <v>7.183665308940738E-8</v>
      </c>
      <c r="J46" s="14">
        <v>1.2057123080906485E-5</v>
      </c>
      <c r="K46" s="14">
        <v>0</v>
      </c>
    </row>
    <row r="47" spans="1:11">
      <c r="A47" s="2" t="s">
        <v>381</v>
      </c>
      <c r="B47" s="3" t="s">
        <v>382</v>
      </c>
      <c r="D47" s="14">
        <v>1.6623733262094586E-12</v>
      </c>
      <c r="E47" s="14">
        <v>2.5826241175132201E-8</v>
      </c>
      <c r="F47" s="14">
        <v>9.576410995820523E-6</v>
      </c>
      <c r="G47" s="14">
        <v>2.5947667970689026E-5</v>
      </c>
      <c r="H47" s="14">
        <v>0</v>
      </c>
      <c r="I47" s="14">
        <v>1.2140748773364042E-6</v>
      </c>
      <c r="J47" s="14">
        <v>3.2360182526055898E-6</v>
      </c>
      <c r="K47" s="14">
        <v>0</v>
      </c>
    </row>
    <row r="48" spans="1:11">
      <c r="A48" s="2" t="s">
        <v>383</v>
      </c>
      <c r="B48" s="3" t="s">
        <v>384</v>
      </c>
      <c r="D48" s="14">
        <v>4.7072971946829801E-7</v>
      </c>
      <c r="E48" s="14">
        <v>3.6116383746151417E-5</v>
      </c>
      <c r="F48" s="14">
        <v>2.5133086919798976E-7</v>
      </c>
      <c r="G48" s="14">
        <v>8.4360935785767001E-8</v>
      </c>
      <c r="H48" s="14">
        <v>0</v>
      </c>
      <c r="I48" s="14">
        <v>1.4850413920365605E-8</v>
      </c>
      <c r="J48" s="14">
        <v>3.0623443154761649E-6</v>
      </c>
      <c r="K48" s="14">
        <v>0</v>
      </c>
    </row>
    <row r="49" spans="1:11">
      <c r="A49" s="2" t="s">
        <v>385</v>
      </c>
      <c r="B49" s="3" t="s">
        <v>386</v>
      </c>
      <c r="D49" s="14">
        <v>8.7890205965839492E-7</v>
      </c>
      <c r="E49" s="14">
        <v>3.4464590508289132E-5</v>
      </c>
      <c r="F49" s="14">
        <v>4.4814101876335041E-7</v>
      </c>
      <c r="G49" s="14">
        <v>1.436515288606935E-7</v>
      </c>
      <c r="H49" s="14">
        <v>0</v>
      </c>
      <c r="I49" s="14">
        <v>1.687912217522258E-8</v>
      </c>
      <c r="J49" s="14">
        <v>4.0478357622532132E-6</v>
      </c>
      <c r="K49" s="14">
        <v>0</v>
      </c>
    </row>
    <row r="50" spans="1:11">
      <c r="A50" s="2" t="s">
        <v>387</v>
      </c>
      <c r="B50" s="3" t="s">
        <v>388</v>
      </c>
      <c r="D50" s="14">
        <v>2.6255909492883143E-7</v>
      </c>
      <c r="E50" s="14">
        <v>3.0020623453386663E-6</v>
      </c>
      <c r="F50" s="14">
        <v>2.2382123179480661E-5</v>
      </c>
      <c r="G50" s="14">
        <v>4.4936251020852923E-6</v>
      </c>
      <c r="H50" s="14">
        <v>0</v>
      </c>
      <c r="I50" s="14">
        <v>2.0113509712615006E-7</v>
      </c>
      <c r="J50" s="14">
        <v>9.6584951810404028E-6</v>
      </c>
      <c r="K50" s="14">
        <v>0</v>
      </c>
    </row>
    <row r="51" spans="1:11">
      <c r="A51" s="2" t="s">
        <v>295</v>
      </c>
      <c r="B51" s="3" t="s">
        <v>296</v>
      </c>
      <c r="D51" s="14">
        <v>2.6213576477156342E-6</v>
      </c>
      <c r="E51" s="14">
        <v>3.612758395837352E-5</v>
      </c>
      <c r="F51" s="14">
        <v>4.0513568041694247E-8</v>
      </c>
      <c r="G51" s="14">
        <v>1.5555932452824017E-8</v>
      </c>
      <c r="H51" s="14">
        <v>0</v>
      </c>
      <c r="I51" s="14">
        <v>1.1923694758401926E-8</v>
      </c>
      <c r="J51" s="14">
        <v>1.1830651986579294E-6</v>
      </c>
      <c r="K51" s="14">
        <v>0</v>
      </c>
    </row>
    <row r="52" spans="1:11">
      <c r="A52" s="2" t="s">
        <v>389</v>
      </c>
      <c r="B52" s="3" t="s">
        <v>390</v>
      </c>
      <c r="D52" s="14">
        <v>2.7562395876805009E-6</v>
      </c>
      <c r="E52" s="14">
        <v>2.8886146315933803E-5</v>
      </c>
      <c r="F52" s="14">
        <v>1.3445940374471926E-6</v>
      </c>
      <c r="G52" s="14">
        <v>3.9236181643757587E-7</v>
      </c>
      <c r="H52" s="14">
        <v>0</v>
      </c>
      <c r="I52" s="14">
        <v>2.5892595374645219E-8</v>
      </c>
      <c r="J52" s="14">
        <v>6.5947656471262871E-6</v>
      </c>
      <c r="K52" s="14">
        <v>0</v>
      </c>
    </row>
    <row r="53" spans="1:11">
      <c r="A53" s="2" t="s">
        <v>391</v>
      </c>
      <c r="B53" s="3" t="s">
        <v>392</v>
      </c>
      <c r="D53" s="14">
        <v>7.8598070193936812E-8</v>
      </c>
      <c r="E53" s="14">
        <v>1.5121835994704325E-5</v>
      </c>
      <c r="F53" s="14">
        <v>9.2488151142854931E-6</v>
      </c>
      <c r="G53" s="14">
        <v>2.2324495499921145E-6</v>
      </c>
      <c r="H53" s="14">
        <v>0</v>
      </c>
      <c r="I53" s="14">
        <v>1.0247613073336052E-7</v>
      </c>
      <c r="J53" s="14">
        <v>1.3215825140090774E-5</v>
      </c>
      <c r="K53" s="14">
        <v>0</v>
      </c>
    </row>
    <row r="54" spans="1:11">
      <c r="A54" s="2" t="s">
        <v>393</v>
      </c>
      <c r="B54" s="3" t="s">
        <v>394</v>
      </c>
      <c r="D54" s="14">
        <v>7.6572673325995928E-9</v>
      </c>
      <c r="E54" s="14">
        <v>3.6015251355838295E-8</v>
      </c>
      <c r="F54" s="14">
        <v>1.142741565453209E-5</v>
      </c>
      <c r="G54" s="14">
        <v>2.3847539665927571E-5</v>
      </c>
      <c r="H54" s="14">
        <v>0</v>
      </c>
      <c r="I54" s="14">
        <v>1.1122927548788641E-6</v>
      </c>
      <c r="J54" s="14">
        <v>3.5690794059730346E-6</v>
      </c>
      <c r="K54" s="14">
        <v>0</v>
      </c>
    </row>
    <row r="55" spans="1:11">
      <c r="A55" s="2" t="s">
        <v>395</v>
      </c>
      <c r="B55" s="3" t="s">
        <v>396</v>
      </c>
      <c r="D55" s="14">
        <v>5.3070650402610011E-6</v>
      </c>
      <c r="E55" s="14">
        <v>5.4373470130270015E-6</v>
      </c>
      <c r="F55" s="14">
        <v>1.5287223851249109E-5</v>
      </c>
      <c r="G55" s="14">
        <v>3.2977989878732908E-6</v>
      </c>
      <c r="H55" s="14">
        <v>0</v>
      </c>
      <c r="I55" s="14">
        <v>1.4763196949665886E-7</v>
      </c>
      <c r="J55" s="14">
        <v>1.0522933138092941E-5</v>
      </c>
      <c r="K55" s="14">
        <v>0</v>
      </c>
    </row>
    <row r="56" spans="1:11">
      <c r="A56" s="2" t="s">
        <v>397</v>
      </c>
      <c r="B56" s="3" t="s">
        <v>398</v>
      </c>
      <c r="D56" s="14">
        <v>2.4115526738659423E-5</v>
      </c>
      <c r="E56" s="14">
        <v>6.4370872085741921E-7</v>
      </c>
      <c r="F56" s="14">
        <v>1.0161807585195723E-5</v>
      </c>
      <c r="G56" s="14">
        <v>1.9304854051275541E-6</v>
      </c>
      <c r="H56" s="14">
        <v>0</v>
      </c>
      <c r="I56" s="14">
        <v>8.6655092101459731E-8</v>
      </c>
      <c r="J56" s="14">
        <v>3.0618164580584256E-6</v>
      </c>
      <c r="K56" s="14">
        <v>0</v>
      </c>
    </row>
    <row r="57" spans="1:11">
      <c r="A57" s="2" t="s">
        <v>399</v>
      </c>
      <c r="B57" s="3" t="s">
        <v>400</v>
      </c>
      <c r="D57" s="14">
        <v>3.0639249971848474E-5</v>
      </c>
      <c r="E57" s="14">
        <v>1.1642085124170258E-6</v>
      </c>
      <c r="F57" s="14">
        <v>4.530564782376849E-6</v>
      </c>
      <c r="G57" s="14">
        <v>9.5421864916118772E-7</v>
      </c>
      <c r="H57" s="14">
        <v>0</v>
      </c>
      <c r="I57" s="14">
        <v>4.2684600976930445E-8</v>
      </c>
      <c r="J57" s="14">
        <v>2.6690734832195349E-6</v>
      </c>
      <c r="K57" s="14">
        <v>0</v>
      </c>
    </row>
    <row r="58" spans="1:11">
      <c r="A58" s="2" t="s">
        <v>297</v>
      </c>
      <c r="B58" s="3" t="s">
        <v>298</v>
      </c>
      <c r="D58" s="14">
        <v>3.7263581141566427E-5</v>
      </c>
      <c r="E58" s="14">
        <v>2.3665584219407218E-6</v>
      </c>
      <c r="F58" s="14">
        <v>3.9514710497894933E-8</v>
      </c>
      <c r="G58" s="14">
        <v>1.243524539050163E-8</v>
      </c>
      <c r="H58" s="14">
        <v>0</v>
      </c>
      <c r="I58" s="14">
        <v>1.2695958401185124E-9</v>
      </c>
      <c r="J58" s="14">
        <v>3.1664088476433769E-7</v>
      </c>
      <c r="K58" s="14">
        <v>0</v>
      </c>
    </row>
    <row r="59" spans="1:11">
      <c r="A59" s="2" t="s">
        <v>401</v>
      </c>
      <c r="B59" s="3" t="s">
        <v>402</v>
      </c>
      <c r="D59" s="14">
        <v>3.6351942918815657E-5</v>
      </c>
      <c r="E59" s="14">
        <v>4.7913761671635214E-7</v>
      </c>
      <c r="F59" s="14">
        <v>1.729823698559974E-6</v>
      </c>
      <c r="G59" s="14">
        <v>3.6635101406656252E-7</v>
      </c>
      <c r="H59" s="14">
        <v>0</v>
      </c>
      <c r="I59" s="14">
        <v>1.638942035387718E-8</v>
      </c>
      <c r="J59" s="14">
        <v>1.0563553314875808E-6</v>
      </c>
      <c r="K59" s="14">
        <v>0</v>
      </c>
    </row>
    <row r="60" spans="1:11">
      <c r="A60" s="2" t="s">
        <v>299</v>
      </c>
      <c r="B60" s="3" t="s">
        <v>300</v>
      </c>
      <c r="D60" s="14">
        <v>3.9921408313783188E-5</v>
      </c>
      <c r="E60" s="14">
        <v>1.791094474611946E-8</v>
      </c>
      <c r="F60" s="14">
        <v>2.8332184968226048E-8</v>
      </c>
      <c r="G60" s="14">
        <v>6.3764010382190604E-9</v>
      </c>
      <c r="H60" s="14">
        <v>0</v>
      </c>
      <c r="I60" s="14">
        <v>2.8664185229312186E-10</v>
      </c>
      <c r="J60" s="14">
        <v>2.5685513611951912E-8</v>
      </c>
      <c r="K60" s="14">
        <v>0</v>
      </c>
    </row>
    <row r="61" spans="1:11">
      <c r="A61" s="2" t="s">
        <v>403</v>
      </c>
      <c r="B61" s="3" t="s">
        <v>404</v>
      </c>
      <c r="D61" s="14">
        <v>1.7846310309563204E-48</v>
      </c>
      <c r="E61" s="14">
        <v>1.1333422540618796E-5</v>
      </c>
      <c r="F61" s="14">
        <v>1.2320338922151622E-5</v>
      </c>
      <c r="G61" s="14">
        <v>2.8504813931374089E-6</v>
      </c>
      <c r="H61" s="14">
        <v>0</v>
      </c>
      <c r="I61" s="14">
        <v>1.2885277488027835E-7</v>
      </c>
      <c r="J61" s="14">
        <v>1.3366904369211899E-5</v>
      </c>
      <c r="K61" s="14">
        <v>0</v>
      </c>
    </row>
    <row r="62" spans="1:11">
      <c r="A62" s="2" t="s">
        <v>405</v>
      </c>
      <c r="B62" s="3" t="s">
        <v>406</v>
      </c>
      <c r="D62" s="14">
        <v>4.2626849607667692E-12</v>
      </c>
      <c r="E62" s="14">
        <v>1.5401246692094887E-7</v>
      </c>
      <c r="F62" s="14">
        <v>2.2225802539478718E-5</v>
      </c>
      <c r="G62" s="14">
        <v>1.2389477947594168E-5</v>
      </c>
      <c r="H62" s="14">
        <v>0</v>
      </c>
      <c r="I62" s="14">
        <v>5.6877397102981184E-7</v>
      </c>
      <c r="J62" s="14">
        <v>4.6619288122913955E-6</v>
      </c>
      <c r="K62" s="14">
        <v>0</v>
      </c>
    </row>
    <row r="63" spans="1:11">
      <c r="A63" s="2" t="s">
        <v>407</v>
      </c>
      <c r="B63" s="3" t="s">
        <v>408</v>
      </c>
      <c r="D63" s="14">
        <v>1.0249046684167295E-9</v>
      </c>
      <c r="E63" s="14">
        <v>1.4130453879603394E-8</v>
      </c>
      <c r="F63" s="14">
        <v>6.852636359105125E-6</v>
      </c>
      <c r="G63" s="14">
        <v>2.9110739743941528E-5</v>
      </c>
      <c r="H63" s="14">
        <v>0</v>
      </c>
      <c r="I63" s="14">
        <v>1.3695152376105552E-6</v>
      </c>
      <c r="J63" s="14">
        <v>2.651953300794778E-6</v>
      </c>
      <c r="K63" s="14">
        <v>0</v>
      </c>
    </row>
    <row r="64" spans="1:11">
      <c r="A64" s="2" t="s">
        <v>409</v>
      </c>
      <c r="B64" s="3" t="s">
        <v>410</v>
      </c>
      <c r="D64" s="14">
        <v>1.271646481365526E-10</v>
      </c>
      <c r="E64" s="14">
        <v>4.9065816972247556E-9</v>
      </c>
      <c r="F64" s="14">
        <v>3.7003312958743774E-6</v>
      </c>
      <c r="G64" s="14">
        <v>3.2940953362607988E-5</v>
      </c>
      <c r="H64" s="14">
        <v>0</v>
      </c>
      <c r="I64" s="14">
        <v>1.5636990553386902E-6</v>
      </c>
      <c r="J64" s="14">
        <v>1.7899825398335877E-6</v>
      </c>
      <c r="K64" s="14">
        <v>0</v>
      </c>
    </row>
    <row r="65" spans="1:11">
      <c r="A65" s="2" t="s">
        <v>301</v>
      </c>
      <c r="B65" s="3" t="s">
        <v>302</v>
      </c>
      <c r="D65" s="14">
        <v>1.573665874490629E-11</v>
      </c>
      <c r="E65" s="14">
        <v>1.3798922251014423E-9</v>
      </c>
      <c r="F65" s="14">
        <v>1.7194388767870101E-6</v>
      </c>
      <c r="G65" s="14">
        <v>3.5504409776215372E-5</v>
      </c>
      <c r="H65" s="14">
        <v>0</v>
      </c>
      <c r="I65" s="14">
        <v>1.7027553662539285E-6</v>
      </c>
      <c r="J65" s="14">
        <v>1.0720003518598489E-6</v>
      </c>
      <c r="K65" s="14">
        <v>0</v>
      </c>
    </row>
    <row r="66" spans="1:11">
      <c r="A66" s="2" t="s">
        <v>303</v>
      </c>
      <c r="B66" s="3" t="s">
        <v>304</v>
      </c>
      <c r="D66" s="14">
        <v>1.517775093775123E-17</v>
      </c>
      <c r="E66" s="14">
        <v>2.8583806450939281E-9</v>
      </c>
      <c r="F66" s="14">
        <v>2.6765886794886402E-6</v>
      </c>
      <c r="G66" s="14">
        <v>3.4243424700918921E-5</v>
      </c>
      <c r="H66" s="14">
        <v>0</v>
      </c>
      <c r="I66" s="14">
        <v>1.632720446539201E-6</v>
      </c>
      <c r="J66" s="14">
        <v>1.4444077923929777E-6</v>
      </c>
      <c r="K66" s="14">
        <v>0</v>
      </c>
    </row>
    <row r="67" spans="1:11">
      <c r="A67" s="2" t="s">
        <v>411</v>
      </c>
      <c r="B67" s="3" t="s">
        <v>412</v>
      </c>
      <c r="D67" s="14">
        <v>1.8620458478447005E-7</v>
      </c>
      <c r="E67" s="14">
        <v>3.2458093776816885E-5</v>
      </c>
      <c r="F67" s="14">
        <v>1.0126621668356539E-6</v>
      </c>
      <c r="G67" s="14">
        <v>3.043407737098282E-7</v>
      </c>
      <c r="H67" s="14">
        <v>0</v>
      </c>
      <c r="I67" s="14">
        <v>2.3184295513313681E-8</v>
      </c>
      <c r="J67" s="14">
        <v>6.015514402339859E-6</v>
      </c>
      <c r="K67" s="14">
        <v>0</v>
      </c>
    </row>
    <row r="68" spans="1:11">
      <c r="A68" s="2" t="s">
        <v>413</v>
      </c>
      <c r="B68" s="3" t="s">
        <v>414</v>
      </c>
      <c r="D68" s="14">
        <v>3.9945091276812041E-7</v>
      </c>
      <c r="E68" s="14">
        <v>2.9596207154754514E-5</v>
      </c>
      <c r="F68" s="14">
        <v>1.7690399179743407E-6</v>
      </c>
      <c r="G68" s="14">
        <v>5.0679601130328967E-7</v>
      </c>
      <c r="H68" s="14">
        <v>0</v>
      </c>
      <c r="I68" s="14">
        <v>3.107475269535831E-8</v>
      </c>
      <c r="J68" s="14">
        <v>7.6974312505043834E-6</v>
      </c>
      <c r="K68" s="14">
        <v>0</v>
      </c>
    </row>
    <row r="69" spans="1:11">
      <c r="A69" s="2" t="s">
        <v>415</v>
      </c>
      <c r="B69" s="3" t="s">
        <v>416</v>
      </c>
      <c r="D69" s="14">
        <v>4.9256546981276985E-8</v>
      </c>
      <c r="E69" s="14">
        <v>5.5766912909104313E-8</v>
      </c>
      <c r="F69" s="14">
        <v>1.4250764991940097E-5</v>
      </c>
      <c r="G69" s="14">
        <v>2.069348962324005E-5</v>
      </c>
      <c r="H69" s="14">
        <v>0</v>
      </c>
      <c r="I69" s="14">
        <v>9.6096567103005239E-7</v>
      </c>
      <c r="J69" s="14">
        <v>3.9897562538994252E-6</v>
      </c>
      <c r="K69" s="14">
        <v>0</v>
      </c>
    </row>
    <row r="70" spans="1:11">
      <c r="A70" s="2" t="s">
        <v>417</v>
      </c>
      <c r="B70" s="3" t="s">
        <v>418</v>
      </c>
      <c r="D70" s="14">
        <v>1.2706474139963035E-7</v>
      </c>
      <c r="E70" s="14">
        <v>1.0213102662904531E-6</v>
      </c>
      <c r="F70" s="14">
        <v>2.7258331685212847E-5</v>
      </c>
      <c r="G70" s="14">
        <v>4.9818979506466725E-6</v>
      </c>
      <c r="H70" s="14">
        <v>0</v>
      </c>
      <c r="I70" s="14">
        <v>2.242403235931743E-7</v>
      </c>
      <c r="J70" s="14">
        <v>6.3871550328572286E-6</v>
      </c>
      <c r="K70" s="14">
        <v>0</v>
      </c>
    </row>
    <row r="71" spans="1:11">
      <c r="A71" s="2" t="s">
        <v>419</v>
      </c>
      <c r="B71" s="3" t="s">
        <v>420</v>
      </c>
      <c r="D71" s="14">
        <v>9.8062228333450011E-7</v>
      </c>
      <c r="E71" s="14">
        <v>2.9615181482363788E-5</v>
      </c>
      <c r="F71" s="14">
        <v>1.6016808115526469E-6</v>
      </c>
      <c r="G71" s="14">
        <v>4.6224426118323206E-7</v>
      </c>
      <c r="H71" s="14">
        <v>0</v>
      </c>
      <c r="I71" s="14">
        <v>2.9147013415919273E-8</v>
      </c>
      <c r="J71" s="14">
        <v>7.3111241481499148E-6</v>
      </c>
      <c r="K71" s="14">
        <v>0</v>
      </c>
    </row>
    <row r="72" spans="1:11">
      <c r="A72" s="2" t="s">
        <v>421</v>
      </c>
      <c r="B72" s="3" t="s">
        <v>422</v>
      </c>
      <c r="D72" s="14">
        <v>5.3251694395674101E-7</v>
      </c>
      <c r="E72" s="14">
        <v>1.1800110428006792E-6</v>
      </c>
      <c r="F72" s="14">
        <v>2.6436724539391014E-5</v>
      </c>
      <c r="G72" s="14">
        <v>4.8944421672211563E-6</v>
      </c>
      <c r="H72" s="14">
        <v>0</v>
      </c>
      <c r="I72" s="14">
        <v>2.200919865385178E-7</v>
      </c>
      <c r="J72" s="14">
        <v>6.7362133200918946E-6</v>
      </c>
      <c r="K72" s="14">
        <v>0</v>
      </c>
    </row>
    <row r="73" spans="1:11">
      <c r="A73" s="2" t="s">
        <v>423</v>
      </c>
      <c r="B73" s="3" t="s">
        <v>424</v>
      </c>
      <c r="D73" s="14">
        <v>5.1964548341222393E-7</v>
      </c>
      <c r="E73" s="14">
        <v>1.0428450822051384E-5</v>
      </c>
      <c r="F73" s="14">
        <v>1.2846397965290584E-5</v>
      </c>
      <c r="G73" s="14">
        <v>2.9449432292903938E-6</v>
      </c>
      <c r="H73" s="14">
        <v>0</v>
      </c>
      <c r="I73" s="14">
        <v>1.3283486463435282E-7</v>
      </c>
      <c r="J73" s="14">
        <v>1.3127727635321064E-5</v>
      </c>
      <c r="K73" s="14">
        <v>0</v>
      </c>
    </row>
    <row r="74" spans="1:11">
      <c r="A74" s="2" t="s">
        <v>425</v>
      </c>
      <c r="B74" s="3" t="s">
        <v>426</v>
      </c>
      <c r="D74" s="14">
        <v>1.9607155837232233E-7</v>
      </c>
      <c r="E74" s="14">
        <v>1.0657792024168528E-6</v>
      </c>
      <c r="F74" s="14">
        <v>2.7057571547080302E-5</v>
      </c>
      <c r="G74" s="14">
        <v>4.9634582237393138E-6</v>
      </c>
      <c r="H74" s="14">
        <v>0</v>
      </c>
      <c r="I74" s="14">
        <v>2.2334798880767557E-7</v>
      </c>
      <c r="J74" s="14">
        <v>6.4937714795835362E-6</v>
      </c>
      <c r="K74" s="14">
        <v>0</v>
      </c>
    </row>
    <row r="75" spans="1:11">
      <c r="A75" s="2" t="s">
        <v>427</v>
      </c>
      <c r="B75" s="3" t="s">
        <v>428</v>
      </c>
      <c r="D75" s="14">
        <v>2.1950839510416177E-14</v>
      </c>
      <c r="E75" s="14">
        <v>1.7222008226762651E-7</v>
      </c>
      <c r="F75" s="14">
        <v>3.9666635613106686E-5</v>
      </c>
      <c r="G75" s="14">
        <v>1.5306488719213136E-8</v>
      </c>
      <c r="H75" s="14">
        <v>0</v>
      </c>
      <c r="I75" s="14">
        <v>1.4250515546217193E-7</v>
      </c>
      <c r="J75" s="14">
        <v>3.3326384934721529E-9</v>
      </c>
      <c r="K75" s="14">
        <v>0</v>
      </c>
    </row>
    <row r="76" spans="1:11">
      <c r="A76" s="2" t="s">
        <v>429</v>
      </c>
      <c r="B76" s="3" t="s">
        <v>430</v>
      </c>
      <c r="D76" s="14">
        <v>5.5138015955956867E-16</v>
      </c>
      <c r="E76" s="14">
        <v>1.7222008235976189E-7</v>
      </c>
      <c r="F76" s="14">
        <v>3.9666635634327795E-5</v>
      </c>
      <c r="G76" s="14">
        <v>1.53064887274019E-8</v>
      </c>
      <c r="H76" s="14">
        <v>0</v>
      </c>
      <c r="I76" s="14">
        <v>1.4250515553841019E-7</v>
      </c>
      <c r="J76" s="14">
        <v>3.3326384952550692E-9</v>
      </c>
      <c r="K76" s="14">
        <v>0</v>
      </c>
    </row>
    <row r="77" spans="1:11">
      <c r="A77" s="2" t="s">
        <v>431</v>
      </c>
      <c r="B77" s="3" t="s">
        <v>432</v>
      </c>
      <c r="D77" s="14">
        <v>9.4678877882148795E-7</v>
      </c>
      <c r="E77" s="14">
        <v>4.030934513487918E-6</v>
      </c>
      <c r="F77" s="14">
        <v>2.0143146762063928E-5</v>
      </c>
      <c r="G77" s="14">
        <v>4.1650754436975224E-6</v>
      </c>
      <c r="H77" s="14">
        <v>0</v>
      </c>
      <c r="I77" s="14">
        <v>1.8630596573815518E-7</v>
      </c>
      <c r="J77" s="14">
        <v>1.0527748536190991E-5</v>
      </c>
      <c r="K77" s="14">
        <v>0</v>
      </c>
    </row>
    <row r="78" spans="1:11">
      <c r="A78" s="2" t="s">
        <v>433</v>
      </c>
      <c r="B78" s="3" t="s">
        <v>434</v>
      </c>
      <c r="D78" s="14">
        <v>1.3313734823754569E-6</v>
      </c>
      <c r="E78" s="14">
        <v>2.0927268345742309E-5</v>
      </c>
      <c r="F78" s="14">
        <v>5.0742763722814217E-6</v>
      </c>
      <c r="G78" s="14">
        <v>1.3112022110559113E-6</v>
      </c>
      <c r="H78" s="14">
        <v>0</v>
      </c>
      <c r="I78" s="14">
        <v>6.3582292029147231E-8</v>
      </c>
      <c r="J78" s="14">
        <v>1.1292297296515757E-5</v>
      </c>
      <c r="K78" s="14">
        <v>0</v>
      </c>
    </row>
    <row r="79" spans="1:11">
      <c r="A79" s="2" t="s">
        <v>435</v>
      </c>
      <c r="B79" s="3" t="s">
        <v>436</v>
      </c>
      <c r="D79" s="14">
        <v>3.111377287123333E-7</v>
      </c>
      <c r="E79" s="14">
        <v>1.4690119126487371E-5</v>
      </c>
      <c r="F79" s="14">
        <v>9.4455421844802856E-6</v>
      </c>
      <c r="G79" s="14">
        <v>2.2715507669805244E-6</v>
      </c>
      <c r="H79" s="14">
        <v>0</v>
      </c>
      <c r="I79" s="14">
        <v>1.0408790074330961E-7</v>
      </c>
      <c r="J79" s="14">
        <v>1.317756229259618E-5</v>
      </c>
      <c r="K79" s="14">
        <v>0</v>
      </c>
    </row>
    <row r="80" spans="1:11">
      <c r="A80" s="2" t="s">
        <v>437</v>
      </c>
      <c r="B80" s="3" t="s">
        <v>438</v>
      </c>
      <c r="D80" s="14">
        <v>7.8332097408934065E-15</v>
      </c>
      <c r="E80" s="14">
        <v>1.1637840832084696E-7</v>
      </c>
      <c r="F80" s="14">
        <v>3.9574367958905998E-5</v>
      </c>
      <c r="G80" s="14">
        <v>2.9333521043374373E-8</v>
      </c>
      <c r="H80" s="14">
        <v>0</v>
      </c>
      <c r="I80" s="14">
        <v>2.7587176531802534E-7</v>
      </c>
      <c r="J80" s="14">
        <v>4.0483385785456163E-9</v>
      </c>
      <c r="K80" s="14">
        <v>0</v>
      </c>
    </row>
    <row r="81" spans="1:11">
      <c r="A81" s="2" t="s">
        <v>440</v>
      </c>
      <c r="B81" s="3" t="s">
        <v>441</v>
      </c>
      <c r="D81" s="14">
        <v>7.3934474955025486E-18</v>
      </c>
      <c r="E81" s="14">
        <v>3.8777484564734974E-5</v>
      </c>
      <c r="F81" s="14">
        <v>3.6502382190412862E-8</v>
      </c>
      <c r="G81" s="14">
        <v>1.4197659728556096E-8</v>
      </c>
      <c r="H81" s="14">
        <v>0</v>
      </c>
      <c r="I81" s="14">
        <v>1.2692739089083295E-8</v>
      </c>
      <c r="J81" s="14">
        <v>1.1591226542495879E-6</v>
      </c>
      <c r="K81" s="14">
        <v>0</v>
      </c>
    </row>
    <row r="82" spans="1:11">
      <c r="A82" s="2" t="s">
        <v>442</v>
      </c>
      <c r="B82" s="3" t="s">
        <v>443</v>
      </c>
      <c r="D82" s="14">
        <v>3.2961463710016675E-9</v>
      </c>
      <c r="E82" s="14">
        <v>2.865359575731957E-5</v>
      </c>
      <c r="F82" s="14">
        <v>2.1992809070278938E-6</v>
      </c>
      <c r="G82" s="14">
        <v>6.1855206243399708E-7</v>
      </c>
      <c r="H82" s="14">
        <v>0</v>
      </c>
      <c r="I82" s="14">
        <v>3.5642646712241401E-8</v>
      </c>
      <c r="J82" s="14">
        <v>8.4896324801352983E-6</v>
      </c>
      <c r="K82" s="14">
        <v>0</v>
      </c>
    </row>
    <row r="83" spans="1:11">
      <c r="A83" s="2" t="s">
        <v>444</v>
      </c>
      <c r="B83" s="3" t="s">
        <v>445</v>
      </c>
      <c r="D83" s="14">
        <v>2.0168506205698204E-8</v>
      </c>
      <c r="E83" s="14">
        <v>5.0639146081958835E-6</v>
      </c>
      <c r="F83" s="14">
        <v>1.9219759456026679E-5</v>
      </c>
      <c r="G83" s="14">
        <v>4.0554915733627311E-6</v>
      </c>
      <c r="H83" s="14">
        <v>0</v>
      </c>
      <c r="I83" s="14">
        <v>1.8141744963344033E-7</v>
      </c>
      <c r="J83" s="14">
        <v>1.1459248406575577E-5</v>
      </c>
      <c r="K83" s="14">
        <v>0</v>
      </c>
    </row>
    <row r="84" spans="1:11">
      <c r="A84" s="2" t="s">
        <v>446</v>
      </c>
      <c r="B84" s="3" t="s">
        <v>447</v>
      </c>
      <c r="D84" s="14">
        <v>2.2670236507508722E-19</v>
      </c>
      <c r="E84" s="14">
        <v>3.7281956165791066E-5</v>
      </c>
      <c r="F84" s="14">
        <v>1.6335418522625444E-7</v>
      </c>
      <c r="G84" s="14">
        <v>5.6731703074465812E-8</v>
      </c>
      <c r="H84" s="14">
        <v>0</v>
      </c>
      <c r="I84" s="14">
        <v>1.4033099210813768E-8</v>
      </c>
      <c r="J84" s="14">
        <v>2.4839248466971756E-6</v>
      </c>
      <c r="K84" s="14">
        <v>0</v>
      </c>
    </row>
    <row r="85" spans="1:11">
      <c r="A85" s="2" t="s">
        <v>448</v>
      </c>
      <c r="B85" s="3" t="s">
        <v>449</v>
      </c>
      <c r="D85" s="14">
        <v>1.5947515840471841E-12</v>
      </c>
      <c r="E85" s="14">
        <v>3.949441476559587E-5</v>
      </c>
      <c r="F85" s="14">
        <v>6.704513306991088E-9</v>
      </c>
      <c r="G85" s="14">
        <v>2.9584403179214512E-9</v>
      </c>
      <c r="H85" s="14">
        <v>0</v>
      </c>
      <c r="I85" s="14">
        <v>1.2444104172008907E-8</v>
      </c>
      <c r="J85" s="14">
        <v>4.8347658185562459E-7</v>
      </c>
      <c r="K85" s="14">
        <v>0</v>
      </c>
    </row>
    <row r="86" spans="1:11">
      <c r="A86" s="2" t="s">
        <v>450</v>
      </c>
      <c r="B86" s="3" t="s">
        <v>451</v>
      </c>
      <c r="D86" s="14">
        <v>5.7035632552709672E-13</v>
      </c>
      <c r="E86" s="14">
        <v>3.7351573591356008E-5</v>
      </c>
      <c r="F86" s="14">
        <v>1.5567557458387073E-7</v>
      </c>
      <c r="G86" s="14">
        <v>5.4264528361807018E-8</v>
      </c>
      <c r="H86" s="14">
        <v>0</v>
      </c>
      <c r="I86" s="14">
        <v>1.3949588694259198E-8</v>
      </c>
      <c r="J86" s="14">
        <v>2.4245361466477277E-6</v>
      </c>
      <c r="K86" s="14">
        <v>0</v>
      </c>
    </row>
    <row r="87" spans="1:11">
      <c r="A87" s="2" t="s">
        <v>452</v>
      </c>
      <c r="B87" s="3" t="s">
        <v>453</v>
      </c>
      <c r="D87" s="14">
        <v>1.9138628502410001E-12</v>
      </c>
      <c r="E87" s="14">
        <v>2.0536359252055596E-8</v>
      </c>
      <c r="F87" s="14">
        <v>8.4486054178071372E-6</v>
      </c>
      <c r="G87" s="14">
        <v>2.7244609201948712E-5</v>
      </c>
      <c r="H87" s="14">
        <v>0</v>
      </c>
      <c r="I87" s="14">
        <v>1.2774478492540685E-6</v>
      </c>
      <c r="J87" s="14">
        <v>3.0087992578751774E-6</v>
      </c>
      <c r="K87" s="14">
        <v>0</v>
      </c>
    </row>
    <row r="88" spans="1:11">
      <c r="A88" s="2" t="s">
        <v>454</v>
      </c>
      <c r="B88" s="3" t="s">
        <v>455</v>
      </c>
      <c r="D88" s="14">
        <v>1.5943529385471977E-9</v>
      </c>
      <c r="E88" s="14">
        <v>2.3979333461549421E-5</v>
      </c>
      <c r="F88" s="14">
        <v>4.0969312996623593E-6</v>
      </c>
      <c r="G88" s="14">
        <v>1.0863111490475143E-6</v>
      </c>
      <c r="H88" s="14">
        <v>0</v>
      </c>
      <c r="I88" s="14">
        <v>5.4635577017175818E-8</v>
      </c>
      <c r="J88" s="14">
        <v>1.0781194159784983E-5</v>
      </c>
      <c r="K88" s="14">
        <v>0</v>
      </c>
    </row>
    <row r="89" spans="1:11">
      <c r="A89" s="2" t="s">
        <v>456</v>
      </c>
      <c r="B89" s="3" t="s">
        <v>457</v>
      </c>
      <c r="D89" s="14">
        <v>1.0868457710827771E-21</v>
      </c>
      <c r="E89" s="14">
        <v>2.7859964611591872E-5</v>
      </c>
      <c r="F89" s="14">
        <v>2.4845179271483201E-6</v>
      </c>
      <c r="G89" s="14">
        <v>6.9109490329611814E-7</v>
      </c>
      <c r="H89" s="14">
        <v>0</v>
      </c>
      <c r="I89" s="14">
        <v>3.8557421152849085E-8</v>
      </c>
      <c r="J89" s="14">
        <v>8.9258651368108453E-6</v>
      </c>
      <c r="K89" s="14">
        <v>0</v>
      </c>
    </row>
    <row r="90" spans="1:11">
      <c r="A90" s="2" t="s">
        <v>458</v>
      </c>
      <c r="B90" s="3" t="s">
        <v>459</v>
      </c>
      <c r="D90" s="14">
        <v>1.6801830698573412E-33</v>
      </c>
      <c r="E90" s="14">
        <v>3.4524646845202743E-5</v>
      </c>
      <c r="F90" s="14">
        <v>5.9105897889667003E-7</v>
      </c>
      <c r="G90" s="14">
        <v>1.8566343216846325E-7</v>
      </c>
      <c r="H90" s="14">
        <v>0</v>
      </c>
      <c r="I90" s="14">
        <v>1.870453761350274E-8</v>
      </c>
      <c r="J90" s="14">
        <v>4.6799262061186171E-6</v>
      </c>
      <c r="K90" s="14">
        <v>0</v>
      </c>
    </row>
    <row r="91" spans="1:11">
      <c r="A91" s="2" t="s">
        <v>460</v>
      </c>
      <c r="B91" s="3" t="s">
        <v>461</v>
      </c>
      <c r="D91" s="14">
        <v>1.9917149610646076E-12</v>
      </c>
      <c r="E91" s="14">
        <v>1.3381346796795421E-7</v>
      </c>
      <c r="F91" s="14">
        <v>2.1057237745588548E-5</v>
      </c>
      <c r="G91" s="14">
        <v>1.3570534576244733E-5</v>
      </c>
      <c r="H91" s="14">
        <v>0</v>
      </c>
      <c r="I91" s="14">
        <v>6.2407227344246501E-7</v>
      </c>
      <c r="J91" s="14">
        <v>4.6143399450413432E-6</v>
      </c>
      <c r="K91" s="14">
        <v>0</v>
      </c>
    </row>
    <row r="92" spans="1:11">
      <c r="A92" s="2" t="s">
        <v>462</v>
      </c>
      <c r="B92" s="3" t="s">
        <v>463</v>
      </c>
      <c r="D92" s="14">
        <v>1.7695918437860821E-13</v>
      </c>
      <c r="E92" s="14">
        <v>7.0603421607132623E-6</v>
      </c>
      <c r="F92" s="14">
        <v>1.6662774723856015E-5</v>
      </c>
      <c r="G92" s="14">
        <v>3.6411861169125941E-6</v>
      </c>
      <c r="H92" s="14">
        <v>0</v>
      </c>
      <c r="I92" s="14">
        <v>1.6313949462823646E-7</v>
      </c>
      <c r="J92" s="14">
        <v>1.2472557326930706E-5</v>
      </c>
      <c r="K92" s="14">
        <v>0</v>
      </c>
    </row>
    <row r="93" spans="1:11">
      <c r="A93" s="2" t="s">
        <v>464</v>
      </c>
      <c r="B93" s="3" t="s">
        <v>465</v>
      </c>
      <c r="D93" s="14">
        <v>7.8478561743536149E-9</v>
      </c>
      <c r="E93" s="14">
        <v>1.5524716415060574E-6</v>
      </c>
      <c r="F93" s="14">
        <v>2.5764709501579307E-5</v>
      </c>
      <c r="G93" s="14">
        <v>4.8766412230526763E-6</v>
      </c>
      <c r="H93" s="14">
        <v>0</v>
      </c>
      <c r="I93" s="14">
        <v>2.1895405968012377E-7</v>
      </c>
      <c r="J93" s="14">
        <v>7.579375718007481E-6</v>
      </c>
      <c r="K93" s="14">
        <v>0</v>
      </c>
    </row>
    <row r="94" spans="1:11">
      <c r="A94" s="2" t="s">
        <v>466</v>
      </c>
      <c r="B94" s="3" t="s">
        <v>467</v>
      </c>
      <c r="D94" s="14">
        <v>7.3348456377186931E-23</v>
      </c>
      <c r="E94" s="14">
        <v>3.5777969380249045E-5</v>
      </c>
      <c r="F94" s="14">
        <v>4.2008508506228988E-6</v>
      </c>
      <c r="G94" s="14">
        <v>5.5204662219086107E-10</v>
      </c>
      <c r="H94" s="14">
        <v>0</v>
      </c>
      <c r="I94" s="14">
        <v>1.4249665633772558E-8</v>
      </c>
      <c r="J94" s="14">
        <v>6.3780568720957048E-9</v>
      </c>
      <c r="K94" s="14">
        <v>0</v>
      </c>
    </row>
    <row r="95" spans="1:11">
      <c r="A95" s="2" t="s">
        <v>468</v>
      </c>
      <c r="B95" s="3" t="s">
        <v>469</v>
      </c>
      <c r="D95" s="14">
        <v>8.044772474136005E-23</v>
      </c>
      <c r="E95" s="14">
        <v>3.1386754196848685E-7</v>
      </c>
      <c r="F95" s="14">
        <v>2.7892534606785493E-5</v>
      </c>
      <c r="G95" s="14">
        <v>6.9005472817840579E-6</v>
      </c>
      <c r="H95" s="14">
        <v>0</v>
      </c>
      <c r="I95" s="14">
        <v>3.1378145902514888E-7</v>
      </c>
      <c r="J95" s="14">
        <v>4.5792691104368042E-6</v>
      </c>
      <c r="K95" s="14">
        <v>0</v>
      </c>
    </row>
    <row r="96" spans="1:11">
      <c r="A96" s="2" t="s">
        <v>470</v>
      </c>
      <c r="B96" s="163">
        <v>354656</v>
      </c>
      <c r="D96" s="14">
        <v>1.473951197487848E-14</v>
      </c>
      <c r="E96" s="14">
        <v>3.8728951967967799E-5</v>
      </c>
      <c r="F96" s="14">
        <v>3.9296812000931767E-8</v>
      </c>
      <c r="G96" s="14">
        <v>1.5200325027621048E-8</v>
      </c>
      <c r="H96" s="14">
        <v>0</v>
      </c>
      <c r="I96" s="14">
        <v>1.2719929090863553E-8</v>
      </c>
      <c r="J96" s="14">
        <v>1.2038309511732735E-6</v>
      </c>
      <c r="K96" s="14">
        <v>0</v>
      </c>
    </row>
    <row r="97" spans="1:11">
      <c r="A97" s="2" t="s">
        <v>472</v>
      </c>
      <c r="B97" s="3" t="s">
        <v>473</v>
      </c>
      <c r="D97" s="14">
        <v>2.2651789229266392E-14</v>
      </c>
      <c r="E97" s="14">
        <v>3.7246472858750449E-5</v>
      </c>
      <c r="F97" s="14">
        <v>1.6733112342888357E-7</v>
      </c>
      <c r="G97" s="14">
        <v>5.8005915046897626E-8</v>
      </c>
      <c r="H97" s="14">
        <v>0</v>
      </c>
      <c r="I97" s="14">
        <v>1.4076390935373013E-8</v>
      </c>
      <c r="J97" s="14">
        <v>2.5141136891866155E-6</v>
      </c>
      <c r="K97" s="14">
        <v>0</v>
      </c>
    </row>
    <row r="98" spans="1:11">
      <c r="A98" s="2" t="s">
        <v>474</v>
      </c>
      <c r="B98" s="3" t="s">
        <v>475</v>
      </c>
      <c r="D98" s="14">
        <v>1.862872348712082E-24</v>
      </c>
      <c r="E98" s="14">
        <v>7.3183931583872114E-7</v>
      </c>
      <c r="F98" s="14">
        <v>2.8422175138123273E-5</v>
      </c>
      <c r="G98" s="14">
        <v>5.0530415182060685E-6</v>
      </c>
      <c r="H98" s="14">
        <v>0</v>
      </c>
      <c r="I98" s="14">
        <v>2.2793981839801233E-7</v>
      </c>
      <c r="J98" s="14">
        <v>5.5650042094339244E-6</v>
      </c>
      <c r="K98" s="14">
        <v>0</v>
      </c>
    </row>
    <row r="99" spans="1:11">
      <c r="A99" s="2" t="s">
        <v>476</v>
      </c>
      <c r="B99" s="3" t="s">
        <v>477</v>
      </c>
      <c r="D99" s="14">
        <v>6.9609436992551058E-12</v>
      </c>
      <c r="E99" s="14">
        <v>3.9647952256557409E-5</v>
      </c>
      <c r="F99" s="14">
        <v>3.300215776262744E-9</v>
      </c>
      <c r="G99" s="14">
        <v>1.5347508812524862E-9</v>
      </c>
      <c r="H99" s="14">
        <v>0</v>
      </c>
      <c r="I99" s="14">
        <v>1.243274044080856E-8</v>
      </c>
      <c r="J99" s="14">
        <v>3.3477307540057915E-7</v>
      </c>
      <c r="K99" s="14">
        <v>0</v>
      </c>
    </row>
    <row r="100" spans="1:11">
      <c r="A100" s="2" t="s">
        <v>478</v>
      </c>
      <c r="B100" s="3" t="s">
        <v>479</v>
      </c>
      <c r="D100" s="14">
        <v>2.039920528608412E-15</v>
      </c>
      <c r="E100" s="14">
        <v>1.6376680981791787E-5</v>
      </c>
      <c r="F100" s="14">
        <v>8.4078985602010224E-6</v>
      </c>
      <c r="G100" s="14">
        <v>2.0558102105845826E-6</v>
      </c>
      <c r="H100" s="14">
        <v>0</v>
      </c>
      <c r="I100" s="14">
        <v>9.5024328283471874E-8</v>
      </c>
      <c r="J100" s="14">
        <v>1.3064585917099219E-5</v>
      </c>
      <c r="K100" s="14">
        <v>0</v>
      </c>
    </row>
    <row r="101" spans="1:11">
      <c r="A101" s="2" t="s">
        <v>480</v>
      </c>
      <c r="B101" s="3" t="s">
        <v>481</v>
      </c>
      <c r="D101" s="14">
        <v>1.8728402579383174E-15</v>
      </c>
      <c r="E101" s="14">
        <v>3.9414259970313125E-5</v>
      </c>
      <c r="F101" s="14">
        <v>8.9202073801624319E-9</v>
      </c>
      <c r="G101" s="14">
        <v>3.8536343679171872E-9</v>
      </c>
      <c r="H101" s="14">
        <v>0</v>
      </c>
      <c r="I101" s="14">
        <v>1.2456480524407802E-8</v>
      </c>
      <c r="J101" s="14">
        <v>5.6050970554156028E-7</v>
      </c>
      <c r="K101" s="14">
        <v>0</v>
      </c>
    </row>
    <row r="102" spans="1:11">
      <c r="A102" s="2" t="s">
        <v>482</v>
      </c>
      <c r="B102" s="3" t="s">
        <v>483</v>
      </c>
      <c r="D102" s="14">
        <v>1.1772072469708092E-31</v>
      </c>
      <c r="E102" s="14">
        <v>3.984424184951499E-5</v>
      </c>
      <c r="F102" s="14">
        <v>6.3668869975622853E-10</v>
      </c>
      <c r="G102" s="14">
        <v>3.3436645228856573E-10</v>
      </c>
      <c r="H102" s="14">
        <v>0</v>
      </c>
      <c r="I102" s="14">
        <v>1.2444353249878652E-8</v>
      </c>
      <c r="J102" s="14">
        <v>1.4234274208308762E-7</v>
      </c>
      <c r="K102" s="14">
        <v>0</v>
      </c>
    </row>
    <row r="103" spans="1:11">
      <c r="A103" s="2" t="s">
        <v>484</v>
      </c>
      <c r="B103" s="3" t="s">
        <v>485</v>
      </c>
      <c r="D103" s="14">
        <v>9.3894008159865271E-18</v>
      </c>
      <c r="E103" s="14">
        <v>3.9658886760927965E-5</v>
      </c>
      <c r="F103" s="14">
        <v>3.1010737412750493E-9</v>
      </c>
      <c r="G103" s="14">
        <v>1.4487973700178248E-9</v>
      </c>
      <c r="H103" s="14">
        <v>0</v>
      </c>
      <c r="I103" s="14">
        <v>1.2432584092438943E-8</v>
      </c>
      <c r="J103" s="14">
        <v>3.2413078385891143E-7</v>
      </c>
      <c r="K103" s="14">
        <v>0</v>
      </c>
    </row>
    <row r="104" spans="1:11">
      <c r="A104" s="2" t="s">
        <v>486</v>
      </c>
      <c r="B104" s="3" t="s">
        <v>487</v>
      </c>
      <c r="D104" s="14">
        <v>1.1554827603508028E-13</v>
      </c>
      <c r="E104" s="14">
        <v>3.804837478096915E-5</v>
      </c>
      <c r="F104" s="14">
        <v>8.8112532778849838E-8</v>
      </c>
      <c r="G104" s="14">
        <v>3.2072531511853624E-8</v>
      </c>
      <c r="H104" s="14">
        <v>0</v>
      </c>
      <c r="I104" s="14">
        <v>1.3222381731895691E-8</v>
      </c>
      <c r="J104" s="14">
        <v>1.8182176574599721E-6</v>
      </c>
      <c r="K104" s="14">
        <v>0</v>
      </c>
    </row>
    <row r="105" spans="1:11">
      <c r="A105" s="2" t="s">
        <v>488</v>
      </c>
      <c r="B105" s="3" t="s">
        <v>489</v>
      </c>
      <c r="D105" s="14">
        <v>9.3622309546372835E-21</v>
      </c>
      <c r="E105" s="14">
        <v>3.9815483228403165E-5</v>
      </c>
      <c r="F105" s="14">
        <v>9.0292892418743192E-10</v>
      </c>
      <c r="G105" s="14">
        <v>4.6211399444790965E-10</v>
      </c>
      <c r="H105" s="14">
        <v>0</v>
      </c>
      <c r="I105" s="14">
        <v>1.2440632429013127E-8</v>
      </c>
      <c r="J105" s="14">
        <v>1.7071109624918082E-7</v>
      </c>
      <c r="K105" s="14">
        <v>0</v>
      </c>
    </row>
    <row r="106" spans="1:11">
      <c r="A106" s="2" t="s">
        <v>490</v>
      </c>
      <c r="B106" s="3" t="s">
        <v>491</v>
      </c>
      <c r="D106" s="14">
        <v>5.0873693831457263E-13</v>
      </c>
      <c r="E106" s="14">
        <v>3.2965974059053638E-5</v>
      </c>
      <c r="F106" s="14">
        <v>9.3060951117752214E-7</v>
      </c>
      <c r="G106" s="14">
        <v>2.8174942749209489E-7</v>
      </c>
      <c r="H106" s="14">
        <v>0</v>
      </c>
      <c r="I106" s="14">
        <v>2.2365194962686863E-8</v>
      </c>
      <c r="J106" s="14">
        <v>5.7993012985771225E-6</v>
      </c>
      <c r="K106" s="14">
        <v>0</v>
      </c>
    </row>
    <row r="107" spans="1:11">
      <c r="A107" s="2" t="s">
        <v>492</v>
      </c>
      <c r="B107" s="3" t="s">
        <v>493</v>
      </c>
      <c r="D107" s="14">
        <v>8.7543969320778433E-21</v>
      </c>
      <c r="E107" s="14">
        <v>5.4410018626719521E-7</v>
      </c>
      <c r="F107" s="14">
        <v>2.9248287895871122E-5</v>
      </c>
      <c r="G107" s="14">
        <v>5.0768695490092725E-6</v>
      </c>
      <c r="H107" s="14">
        <v>0</v>
      </c>
      <c r="I107" s="14">
        <v>2.294722859086771E-7</v>
      </c>
      <c r="J107" s="14">
        <v>4.9012700829437265E-6</v>
      </c>
      <c r="K107" s="14">
        <v>0</v>
      </c>
    </row>
    <row r="108" spans="1:11">
      <c r="A108" s="2" t="s">
        <v>291</v>
      </c>
      <c r="B108" s="3" t="s">
        <v>494</v>
      </c>
      <c r="D108" s="14">
        <v>1.1747987700748627E-14</v>
      </c>
      <c r="E108" s="14">
        <v>1.8854547922501325E-5</v>
      </c>
      <c r="F108" s="14">
        <v>6.8208374225595343E-6</v>
      </c>
      <c r="G108" s="14">
        <v>1.7113279893428097E-6</v>
      </c>
      <c r="H108" s="14">
        <v>0</v>
      </c>
      <c r="I108" s="14">
        <v>8.0550868336962639E-8</v>
      </c>
      <c r="J108" s="14">
        <v>1.2532735785511386E-5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001-AAD6-42E7-86DD-E3F428552F68}">
  <dimension ref="A1:D108"/>
  <sheetViews>
    <sheetView tabSelected="1" topLeftCell="A77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2.8135937812800764E-8</v>
      </c>
      <c r="B2">
        <f>'Mass Balance'!E2</f>
        <v>3.0913035474096446E-5</v>
      </c>
      <c r="C2">
        <f>SUM('Mass Balance'!E2:H2)</f>
        <v>3.2818146289681835E-5</v>
      </c>
      <c r="D2">
        <f>Concentrations!F2/Concentrations!E2</f>
        <v>0.94563593622416287</v>
      </c>
    </row>
    <row r="3" spans="1:4">
      <c r="A3">
        <f>'Mass Balance'!I3</f>
        <v>1.2097955505639759E-6</v>
      </c>
      <c r="B3">
        <f>'Mass Balance'!E3</f>
        <v>2.573520978377815E-8</v>
      </c>
      <c r="C3">
        <f>SUM('Mass Balance'!E3:H3)</f>
        <v>3.5424600200594593E-5</v>
      </c>
      <c r="D3">
        <f>Concentrations!F3/Concentrations!E3</f>
        <v>7.2932166972692735E-4</v>
      </c>
    </row>
    <row r="4" spans="1:4">
      <c r="A4">
        <f>'Mass Balance'!I4</f>
        <v>1.0939837047735221E-7</v>
      </c>
      <c r="B4">
        <f>'Mass Balance'!E4</f>
        <v>1.4119021036978535E-5</v>
      </c>
      <c r="C4">
        <f>SUM('Mass Balance'!E4:H4)</f>
        <v>2.6547575221313857E-5</v>
      </c>
      <c r="D4">
        <f>Concentrations!F4/Concentrations!E4</f>
        <v>0.53391987495413618</v>
      </c>
    </row>
    <row r="5" spans="1:4">
      <c r="A5">
        <f>'Mass Balance'!I5</f>
        <v>3.5583916215291355E-7</v>
      </c>
      <c r="B5">
        <f>'Mass Balance'!E5</f>
        <v>2.7536668115806126E-7</v>
      </c>
      <c r="C5">
        <f>SUM('Mass Balance'!E5:H5)</f>
        <v>3.5002552065668192E-5</v>
      </c>
      <c r="D5">
        <f>Concentrations!F5/Concentrations!E5</f>
        <v>7.8978347458445262E-3</v>
      </c>
    </row>
    <row r="6" spans="1:4">
      <c r="A6">
        <f>'Mass Balance'!I6</f>
        <v>1.4137002535975945E-6</v>
      </c>
      <c r="B6">
        <f>'Mass Balance'!E6</f>
        <v>1.1550004620518012E-8</v>
      </c>
      <c r="C6">
        <f>SUM('Mass Balance'!E6:H6)</f>
        <v>3.6116436039801615E-5</v>
      </c>
      <c r="D6">
        <f>Concentrations!F6/Concentrations!E6</f>
        <v>3.2105070844138674E-4</v>
      </c>
    </row>
    <row r="7" spans="1:4">
      <c r="A7">
        <f>'Mass Balance'!I7</f>
        <v>1.2462151585285163E-6</v>
      </c>
      <c r="B7">
        <f>'Mass Balance'!E7</f>
        <v>2.3045765091730758E-8</v>
      </c>
      <c r="C7">
        <f>SUM('Mass Balance'!E7:H7)</f>
        <v>3.5630617421863903E-5</v>
      </c>
      <c r="D7">
        <f>Concentrations!F7/Concentrations!E7</f>
        <v>6.4932802139476564E-4</v>
      </c>
    </row>
    <row r="8" spans="1:4">
      <c r="A8">
        <f>'Mass Balance'!I8</f>
        <v>9.9263852679974228E-7</v>
      </c>
      <c r="B8">
        <f>'Mass Balance'!E8</f>
        <v>5.126016027272315E-8</v>
      </c>
      <c r="C8">
        <f>SUM('Mass Balance'!E8:H8)</f>
        <v>3.5086701207043882E-5</v>
      </c>
      <c r="D8">
        <f>Concentrations!F8/Concentrations!E8</f>
        <v>1.4666746427414962E-3</v>
      </c>
    </row>
    <row r="9" spans="1:4">
      <c r="A9">
        <f>'Mass Balance'!I9</f>
        <v>2.0967118532537654E-7</v>
      </c>
      <c r="B9">
        <f>'Mass Balance'!E9</f>
        <v>2.3677886078277929E-6</v>
      </c>
      <c r="C9">
        <f>SUM('Mass Balance'!E9:H9)</f>
        <v>3.087884874946036E-5</v>
      </c>
      <c r="D9">
        <f>Concentrations!F9/Concentrations!E9</f>
        <v>7.6980049987451268E-2</v>
      </c>
    </row>
    <row r="10" spans="1:4">
      <c r="A10">
        <f>'Mass Balance'!I10</f>
        <v>3.805275504415347E-7</v>
      </c>
      <c r="B10">
        <f>'Mass Balance'!E10</f>
        <v>2.5600198194234708E-7</v>
      </c>
      <c r="C10">
        <f>SUM('Mass Balance'!E10:H10)</f>
        <v>3.4958046316850948E-5</v>
      </c>
      <c r="D10">
        <f>Concentrations!F10/Concentrations!E10</f>
        <v>7.3517805761136156E-3</v>
      </c>
    </row>
    <row r="11" spans="1:4">
      <c r="A11">
        <f>'Mass Balance'!I11</f>
        <v>4.2420780229184148E-7</v>
      </c>
      <c r="B11">
        <f>'Mass Balance'!E11</f>
        <v>2.2599437657739615E-7</v>
      </c>
      <c r="C11">
        <f>SUM('Mass Balance'!E11:H11)</f>
        <v>3.4884815246299139E-5</v>
      </c>
      <c r="D11">
        <f>Concentrations!F11/Concentrations!E11</f>
        <v>6.5036560878853986E-3</v>
      </c>
    </row>
    <row r="12" spans="1:4">
      <c r="A12">
        <f>'Mass Balance'!I12</f>
        <v>2.1936557587702797E-7</v>
      </c>
      <c r="B12">
        <f>'Mass Balance'!E12</f>
        <v>1.5195886436588311E-6</v>
      </c>
      <c r="C12">
        <f>SUM('Mass Balance'!E12:H12)</f>
        <v>3.226236219109392E-5</v>
      </c>
      <c r="D12">
        <f>Concentrations!F12/Concentrations!E12</f>
        <v>4.7285309840487087E-2</v>
      </c>
    </row>
    <row r="13" spans="1:4">
      <c r="A13">
        <f>'Mass Balance'!I13</f>
        <v>2.107408749279379E-7</v>
      </c>
      <c r="B13">
        <f>'Mass Balance'!E13</f>
        <v>2.2717072229722235E-6</v>
      </c>
      <c r="C13">
        <f>SUM('Mass Balance'!E13:H13)</f>
        <v>3.1011297410679097E-5</v>
      </c>
      <c r="D13">
        <f>Concentrations!F13/Concentrations!E13</f>
        <v>7.3540873690213088E-2</v>
      </c>
    </row>
    <row r="14" spans="1:4">
      <c r="A14">
        <f>'Mass Balance'!I14</f>
        <v>5.7960289858789693E-7</v>
      </c>
      <c r="B14">
        <f>'Mass Balance'!E14</f>
        <v>1.4978787063920767E-7</v>
      </c>
      <c r="C14">
        <f>SUM('Mass Balance'!E14:H14)</f>
        <v>3.4764484331264454E-5</v>
      </c>
      <c r="D14">
        <f>Concentrations!F14/Concentrations!E14</f>
        <v>4.3255089750456237E-3</v>
      </c>
    </row>
    <row r="15" spans="1:4">
      <c r="A15">
        <f>'Mass Balance'!I15</f>
        <v>4.0197483030265508E-7</v>
      </c>
      <c r="B15">
        <f>'Mass Balance'!E15</f>
        <v>2.4065094290266745E-7</v>
      </c>
      <c r="C15">
        <f>SUM('Mass Balance'!E15:H15)</f>
        <v>3.4921129833681044E-5</v>
      </c>
      <c r="D15">
        <f>Concentrations!F15/Concentrations!E15</f>
        <v>6.9182403118300574E-3</v>
      </c>
    </row>
    <row r="16" spans="1:4">
      <c r="A16">
        <f>'Mass Balance'!I16</f>
        <v>9.8015435827517261E-7</v>
      </c>
      <c r="B16">
        <f>'Mass Balance'!E16</f>
        <v>5.3034110802678476E-8</v>
      </c>
      <c r="C16">
        <f>SUM('Mass Balance'!E16:H16)</f>
        <v>3.5057691013988976E-5</v>
      </c>
      <c r="D16">
        <f>Concentrations!F16/Concentrations!E16</f>
        <v>1.5186872432767797E-3</v>
      </c>
    </row>
    <row r="17" spans="1:4">
      <c r="A17">
        <f>'Mass Balance'!I17</f>
        <v>3.6395371982969452E-7</v>
      </c>
      <c r="B17">
        <f>'Mass Balance'!E17</f>
        <v>2.6880493213689982E-7</v>
      </c>
      <c r="C17">
        <f>SUM('Mass Balance'!E17:H17)</f>
        <v>3.4988949525973776E-5</v>
      </c>
      <c r="D17">
        <f>Concentrations!F17/Concentrations!E17</f>
        <v>7.712633448483123E-3</v>
      </c>
    </row>
    <row r="18" spans="1:4">
      <c r="A18">
        <f>'Mass Balance'!I18</f>
        <v>2.0376992476622258E-7</v>
      </c>
      <c r="B18">
        <f>'Mass Balance'!E18</f>
        <v>2.8366338321857509E-6</v>
      </c>
      <c r="C18">
        <f>SUM('Mass Balance'!E18:H18)</f>
        <v>3.0184520926342946E-5</v>
      </c>
      <c r="D18">
        <f>Concentrations!F18/Concentrations!E18</f>
        <v>9.4344231965447375E-2</v>
      </c>
    </row>
    <row r="19" spans="1:4">
      <c r="A19">
        <f>'Mass Balance'!I19</f>
        <v>4.0636274284411125E-7</v>
      </c>
      <c r="B19">
        <f>'Mass Balance'!E19</f>
        <v>2.3766691978384739E-7</v>
      </c>
      <c r="C19">
        <f>SUM('Mass Balance'!E19:H19)</f>
        <v>3.4914135340081479E-5</v>
      </c>
      <c r="D19">
        <f>Concentrations!F19/Concentrations!E19</f>
        <v>6.8338243025118026E-3</v>
      </c>
    </row>
    <row r="20" spans="1:4">
      <c r="A20">
        <f>'Mass Balance'!I20</f>
        <v>2.1076902451275061E-7</v>
      </c>
      <c r="B20">
        <f>'Mass Balance'!E20</f>
        <v>2.2720106648895287E-6</v>
      </c>
      <c r="C20">
        <f>SUM('Mass Balance'!E20:H20)</f>
        <v>3.1015439725960417E-5</v>
      </c>
      <c r="D20">
        <f>Concentrations!F20/Concentrations!E20</f>
        <v>7.3540873690213074E-2</v>
      </c>
    </row>
    <row r="21" spans="1:4">
      <c r="A21">
        <f>'Mass Balance'!I21</f>
        <v>5.3137544701463428E-7</v>
      </c>
      <c r="B21">
        <f>'Mass Balance'!E21</f>
        <v>1.6941899024728278E-7</v>
      </c>
      <c r="C21">
        <f>SUM('Mass Balance'!E21:H21)</f>
        <v>3.4769671961876914E-5</v>
      </c>
      <c r="D21">
        <f>Concentrations!F21/Concentrations!E21</f>
        <v>4.8916779614992974E-3</v>
      </c>
    </row>
    <row r="22" spans="1:4">
      <c r="A22">
        <f>'Mass Balance'!I22</f>
        <v>6.1474280380931993E-8</v>
      </c>
      <c r="B22">
        <f>'Mass Balance'!E22</f>
        <v>2.2452163258088314E-5</v>
      </c>
      <c r="C22">
        <f>SUM('Mass Balance'!E22:H22)</f>
        <v>2.8509245593682568E-5</v>
      </c>
      <c r="D22">
        <f>Concentrations!F22/Concentrations!E22</f>
        <v>0.79062187913500215</v>
      </c>
    </row>
    <row r="23" spans="1:4">
      <c r="A23">
        <f>'Mass Balance'!I23</f>
        <v>3.6582184733446493E-8</v>
      </c>
      <c r="B23">
        <f>'Mass Balance'!E23</f>
        <v>2.8392621269374818E-5</v>
      </c>
      <c r="C23">
        <f>SUM('Mass Balance'!E23:H23)</f>
        <v>3.1325613342108997E-5</v>
      </c>
      <c r="D23">
        <f>Concentrations!F23/Concentrations!E23</f>
        <v>0.90991802583642023</v>
      </c>
    </row>
    <row r="24" spans="1:4">
      <c r="A24">
        <f>'Mass Balance'!I24</f>
        <v>1.6415850925648899E-7</v>
      </c>
      <c r="B24">
        <f>'Mass Balance'!E24</f>
        <v>6.9427316218943159E-6</v>
      </c>
      <c r="C24">
        <f>SUM('Mass Balance'!E24:H24)</f>
        <v>2.7407274000239781E-5</v>
      </c>
      <c r="D24">
        <f>Concentrations!F24/Concentrations!E24</f>
        <v>0.25430851284398487</v>
      </c>
    </row>
    <row r="25" spans="1:4">
      <c r="A25">
        <f>'Mass Balance'!I25</f>
        <v>2.2391591050230761E-7</v>
      </c>
      <c r="B25">
        <f>'Mass Balance'!E25</f>
        <v>8.2685151872131671E-7</v>
      </c>
      <c r="C25">
        <f>SUM('Mass Balance'!E25:H25)</f>
        <v>3.343327391784086E-5</v>
      </c>
      <c r="D25">
        <f>Concentrations!F25/Concentrations!E25</f>
        <v>2.4828185657071927E-2</v>
      </c>
    </row>
    <row r="26" spans="1:4">
      <c r="A26">
        <f>'Mass Balance'!I26</f>
        <v>5.006850900792169E-7</v>
      </c>
      <c r="B26">
        <f>'Mass Balance'!E26</f>
        <v>1.83625803489464E-7</v>
      </c>
      <c r="C26">
        <f>SUM('Mass Balance'!E26:H26)</f>
        <v>3.4792957666781157E-5</v>
      </c>
      <c r="D26">
        <f>Concentrations!F26/Concentrations!E26</f>
        <v>5.2983265655727283E-3</v>
      </c>
    </row>
    <row r="27" spans="1:4">
      <c r="A27">
        <f>'Mass Balance'!I27</f>
        <v>1.1836890448900752E-6</v>
      </c>
      <c r="B27">
        <f>'Mass Balance'!E27</f>
        <v>2.8296619700652098E-8</v>
      </c>
      <c r="C27">
        <f>SUM('Mass Balance'!E27:H27)</f>
        <v>3.539668140286453E-5</v>
      </c>
      <c r="D27">
        <f>Concentrations!F27/Concentrations!E27</f>
        <v>8.0254311530271677E-4</v>
      </c>
    </row>
    <row r="28" spans="1:4">
      <c r="A28">
        <f>'Mass Balance'!I28</f>
        <v>7.3493505163082539E-7</v>
      </c>
      <c r="B28">
        <f>'Mass Balance'!E28</f>
        <v>1.0114427516650307E-7</v>
      </c>
      <c r="C28">
        <f>SUM('Mass Balance'!E28:H28)</f>
        <v>3.4791936676547217E-5</v>
      </c>
      <c r="D28">
        <f>Concentrations!F28/Concentrations!E28</f>
        <v>2.918495745467104E-3</v>
      </c>
    </row>
    <row r="29" spans="1:4">
      <c r="A29">
        <f>'Mass Balance'!I29</f>
        <v>5.4816159845457043E-7</v>
      </c>
      <c r="B29">
        <f>'Mass Balance'!E29</f>
        <v>1.519356780428283E-7</v>
      </c>
      <c r="C29">
        <f>SUM('Mass Balance'!E29:H29)</f>
        <v>3.383156795036585E-5</v>
      </c>
      <c r="D29">
        <f>Concentrations!F29/Concentrations!E29</f>
        <v>4.5085200424820797E-3</v>
      </c>
    </row>
    <row r="30" spans="1:4">
      <c r="A30">
        <f>'Mass Balance'!I30</f>
        <v>7.3493505163082539E-7</v>
      </c>
      <c r="B30">
        <f>'Mass Balance'!E30</f>
        <v>1.0114427516650307E-7</v>
      </c>
      <c r="C30">
        <f>SUM('Mass Balance'!E30:H30)</f>
        <v>3.4791936676547217E-5</v>
      </c>
      <c r="D30">
        <f>Concentrations!F30/Concentrations!E30</f>
        <v>2.918495745467104E-3</v>
      </c>
    </row>
    <row r="31" spans="1:4">
      <c r="A31">
        <f>'Mass Balance'!I31</f>
        <v>1.2575878230997021E-8</v>
      </c>
      <c r="B31">
        <f>'Mass Balance'!E31</f>
        <v>3.9019214311078602E-5</v>
      </c>
      <c r="C31">
        <f>SUM('Mass Balance'!E31:H31)</f>
        <v>3.9052860724415832E-5</v>
      </c>
      <c r="D31">
        <f>Concentrations!F31/Concentrations!E31</f>
        <v>1.0030487243621815</v>
      </c>
    </row>
    <row r="32" spans="1:4">
      <c r="A32">
        <f>'Mass Balance'!I32</f>
        <v>9.0622390980081443E-8</v>
      </c>
      <c r="B32">
        <f>'Mass Balance'!E32</f>
        <v>1.7341638779014501E-5</v>
      </c>
      <c r="C32">
        <f>SUM('Mass Balance'!E32:H32)</f>
        <v>2.7059619527395239E-5</v>
      </c>
      <c r="D32">
        <f>Concentrations!F32/Concentrations!E32</f>
        <v>0.64337593466145515</v>
      </c>
    </row>
    <row r="33" spans="1:4">
      <c r="A33">
        <f>'Mass Balance'!I33</f>
        <v>1.257620426306364E-8</v>
      </c>
      <c r="B33">
        <f>'Mass Balance'!E33</f>
        <v>3.981704890455362E-5</v>
      </c>
      <c r="C33">
        <f>SUM('Mass Balance'!E33:H33)</f>
        <v>3.9985139504289059E-5</v>
      </c>
      <c r="D33">
        <f>Concentrations!F33/Concentrations!E33</f>
        <v>0.99969337789726764</v>
      </c>
    </row>
    <row r="34" spans="1:4">
      <c r="A34">
        <f>'Mass Balance'!I34</f>
        <v>1.852375754831574E-8</v>
      </c>
      <c r="B34">
        <f>'Mass Balance'!E34</f>
        <v>2.1894654686963974E-5</v>
      </c>
      <c r="C34">
        <f>SUM('Mass Balance'!E34:H34)</f>
        <v>3.9973693590426587E-5</v>
      </c>
      <c r="D34">
        <f>Concentrations!F34/Concentrations!E34</f>
        <v>0.54987019915558144</v>
      </c>
    </row>
    <row r="35" spans="1:4">
      <c r="A35">
        <f>'Mass Balance'!I35</f>
        <v>2.0623786645137265E-8</v>
      </c>
      <c r="B35">
        <f>'Mass Balance'!E35</f>
        <v>1.2961245498060374E-5</v>
      </c>
      <c r="C35">
        <f>SUM('Mass Balance'!E35:H35)</f>
        <v>3.99605393636006E-5</v>
      </c>
      <c r="D35">
        <f>Concentrations!F35/Concentrations!E35</f>
        <v>0.32562051399863756</v>
      </c>
    </row>
    <row r="36" spans="1:4">
      <c r="A36">
        <f>'Mass Balance'!I36</f>
        <v>2.1538102057197187E-8</v>
      </c>
      <c r="B36">
        <f>'Mass Balance'!E36</f>
        <v>4.3233411129772971E-6</v>
      </c>
      <c r="C36">
        <f>SUM('Mass Balance'!E36:H36)</f>
        <v>3.9957409057846973E-5</v>
      </c>
      <c r="D36">
        <f>Concentrations!F36/Concentrations!E36</f>
        <v>0.10862218771257093</v>
      </c>
    </row>
    <row r="37" spans="1:4">
      <c r="A37">
        <f>'Mass Balance'!I37</f>
        <v>5.8468399900326754E-8</v>
      </c>
      <c r="B37">
        <f>'Mass Balance'!E37</f>
        <v>8.3149147512033638E-6</v>
      </c>
      <c r="C37">
        <f>SUM('Mass Balance'!E37:H37)</f>
        <v>3.711534061453356E-5</v>
      </c>
      <c r="D37">
        <f>Concentrations!F37/Concentrations!E37</f>
        <v>0.22490582970047909</v>
      </c>
    </row>
    <row r="38" spans="1:4">
      <c r="A38">
        <f>'Mass Balance'!I38</f>
        <v>1.8247157998460563E-8</v>
      </c>
      <c r="B38">
        <f>'Mass Balance'!E38</f>
        <v>2.4518137856680415E-5</v>
      </c>
      <c r="C38">
        <f>SUM('Mass Balance'!E38:H38)</f>
        <v>3.9906476460352394E-5</v>
      </c>
      <c r="D38">
        <f>Concentrations!F38/Concentrations!E38</f>
        <v>0.61679445598249327</v>
      </c>
    </row>
    <row r="39" spans="1:4">
      <c r="A39">
        <f>'Mass Balance'!I39</f>
        <v>2.353996252982462E-7</v>
      </c>
      <c r="B39">
        <f>'Mass Balance'!E39</f>
        <v>4.1217058816556739E-7</v>
      </c>
      <c r="C39">
        <f>SUM('Mass Balance'!E39:H39)</f>
        <v>3.5365702398979255E-5</v>
      </c>
      <c r="D39">
        <f>Concentrations!F39/Concentrations!E39</f>
        <v>1.170014037343888E-2</v>
      </c>
    </row>
    <row r="40" spans="1:4">
      <c r="A40">
        <f>'Mass Balance'!I40</f>
        <v>1.4485108908526169E-6</v>
      </c>
      <c r="B40">
        <f>'Mass Balance'!E40</f>
        <v>3.9247294372227466E-8</v>
      </c>
      <c r="C40">
        <f>SUM('Mass Balance'!E40:H40)</f>
        <v>3.8438840896660369E-5</v>
      </c>
      <c r="D40">
        <f>Concentrations!F40/Concentrations!E40</f>
        <v>1.0250281720648681E-3</v>
      </c>
    </row>
    <row r="41" spans="1:4">
      <c r="A41">
        <f>'Mass Balance'!I41</f>
        <v>1.1420410331197531E-8</v>
      </c>
      <c r="B41">
        <f>'Mass Balance'!E41</f>
        <v>3.6532410752650326E-5</v>
      </c>
      <c r="C41">
        <f>SUM('Mass Balance'!E41:H41)</f>
        <v>3.6534089040381438E-5</v>
      </c>
      <c r="D41">
        <f>Concentrations!F41/Concentrations!E41</f>
        <v>1.0038675396339609</v>
      </c>
    </row>
    <row r="42" spans="1:4">
      <c r="A42">
        <f>'Mass Balance'!I42</f>
        <v>6.9268869013028503E-8</v>
      </c>
      <c r="B42">
        <f>'Mass Balance'!E42</f>
        <v>2.0958918213970466E-5</v>
      </c>
      <c r="C42">
        <f>SUM('Mass Balance'!E42:H42)</f>
        <v>2.8016153570994162E-5</v>
      </c>
      <c r="D42">
        <f>Concentrations!F42/Concentrations!E42</f>
        <v>0.75102901537292643</v>
      </c>
    </row>
    <row r="43" spans="1:4">
      <c r="A43">
        <f>'Mass Balance'!I43</f>
        <v>4.3149907310176437E-8</v>
      </c>
      <c r="B43">
        <f>'Mass Balance'!E43</f>
        <v>3.5231559611660809E-7</v>
      </c>
      <c r="C43">
        <f>SUM('Mass Balance'!E43:H43)</f>
        <v>3.9939989517141313E-5</v>
      </c>
      <c r="D43">
        <f>Concentrations!F43/Concentrations!E43</f>
        <v>8.855646753836037E-3</v>
      </c>
    </row>
    <row r="44" spans="1:4">
      <c r="A44">
        <f>'Mass Balance'!I44</f>
        <v>1.9677880228950492E-8</v>
      </c>
      <c r="B44">
        <f>'Mass Balance'!E44</f>
        <v>3.0471661428051957E-5</v>
      </c>
      <c r="C44">
        <f>SUM('Mass Balance'!E44:H44)</f>
        <v>3.1487365559512503E-5</v>
      </c>
      <c r="D44">
        <f>Concentrations!F44/Concentrations!E44</f>
        <v>0.97152989827926495</v>
      </c>
    </row>
    <row r="45" spans="1:4">
      <c r="A45">
        <f>'Mass Balance'!I45</f>
        <v>7.6612872057269524E-8</v>
      </c>
      <c r="B45">
        <f>'Mass Balance'!E45</f>
        <v>1.9547631999155596E-5</v>
      </c>
      <c r="C45">
        <f>SUM('Mass Balance'!E45:H45)</f>
        <v>2.7563324089745031E-5</v>
      </c>
      <c r="D45">
        <f>Concentrations!F45/Concentrations!E45</f>
        <v>0.71196546040949049</v>
      </c>
    </row>
    <row r="46" spans="1:4">
      <c r="A46">
        <f>'Mass Balance'!I46</f>
        <v>7.183665308940738E-8</v>
      </c>
      <c r="B46">
        <f>'Mass Balance'!E46</f>
        <v>2.039641942293599E-5</v>
      </c>
      <c r="C46">
        <f>SUM('Mass Balance'!E46:H46)</f>
        <v>2.7790953401018374E-5</v>
      </c>
      <c r="D46">
        <f>Concentrations!F46/Concentrations!E46</f>
        <v>0.73679530590858944</v>
      </c>
    </row>
    <row r="47" spans="1:4">
      <c r="A47">
        <f>'Mass Balance'!I47</f>
        <v>1.2140748773364042E-6</v>
      </c>
      <c r="B47">
        <f>'Mass Balance'!E47</f>
        <v>2.5826241175132201E-8</v>
      </c>
      <c r="C47">
        <f>SUM('Mass Balance'!E47:H47)</f>
        <v>3.5549905207684683E-5</v>
      </c>
      <c r="D47">
        <f>Concentrations!F47/Concentrations!E47</f>
        <v>7.2932166972692735E-4</v>
      </c>
    </row>
    <row r="48" spans="1:4">
      <c r="A48">
        <f>'Mass Balance'!I48</f>
        <v>1.4850413920365605E-8</v>
      </c>
      <c r="B48">
        <f>'Mass Balance'!E48</f>
        <v>3.6116383746151417E-5</v>
      </c>
      <c r="C48">
        <f>SUM('Mass Balance'!E48:H48)</f>
        <v>3.6452075551135175E-5</v>
      </c>
      <c r="D48">
        <f>Concentrations!F48/Concentrations!E48</f>
        <v>0.99466848831057531</v>
      </c>
    </row>
    <row r="49" spans="1:4">
      <c r="A49">
        <f>'Mass Balance'!I49</f>
        <v>1.687912217522258E-8</v>
      </c>
      <c r="B49">
        <f>'Mass Balance'!E49</f>
        <v>3.4464590508289132E-5</v>
      </c>
      <c r="C49">
        <f>SUM('Mass Balance'!E49:H49)</f>
        <v>3.5056383055913179E-5</v>
      </c>
      <c r="D49">
        <f>Concentrations!F49/Concentrations!E49</f>
        <v>0.98696642602903817</v>
      </c>
    </row>
    <row r="50" spans="1:4">
      <c r="A50">
        <f>'Mass Balance'!I50</f>
        <v>2.0113509712615006E-7</v>
      </c>
      <c r="B50">
        <f>'Mass Balance'!E50</f>
        <v>3.0020623453386663E-6</v>
      </c>
      <c r="C50">
        <f>SUM('Mass Balance'!E50:H50)</f>
        <v>2.9877810626904617E-5</v>
      </c>
      <c r="D50">
        <f>Concentrations!F50/Concentrations!E50</f>
        <v>0.1008712259839544</v>
      </c>
    </row>
    <row r="51" spans="1:4">
      <c r="A51">
        <f>'Mass Balance'!I51</f>
        <v>1.1923694758401926E-8</v>
      </c>
      <c r="B51">
        <f>'Mass Balance'!E51</f>
        <v>3.612758395837352E-5</v>
      </c>
      <c r="C51">
        <f>SUM('Mass Balance'!E51:H51)</f>
        <v>3.6183653458868039E-5</v>
      </c>
      <c r="D51">
        <f>Concentrations!F51/Concentrations!E51</f>
        <v>1.002358011511207</v>
      </c>
    </row>
    <row r="52" spans="1:4">
      <c r="A52">
        <f>'Mass Balance'!I52</f>
        <v>2.5892595374645219E-8</v>
      </c>
      <c r="B52">
        <f>'Mass Balance'!E52</f>
        <v>2.8886146315933803E-5</v>
      </c>
      <c r="C52">
        <f>SUM('Mass Balance'!E52:H52)</f>
        <v>3.0623102169818573E-5</v>
      </c>
      <c r="D52">
        <f>Concentrations!F52/Concentrations!E52</f>
        <v>0.94697123184535315</v>
      </c>
    </row>
    <row r="53" spans="1:4">
      <c r="A53">
        <f>'Mass Balance'!I53</f>
        <v>1.0247613073336052E-7</v>
      </c>
      <c r="B53">
        <f>'Mass Balance'!E53</f>
        <v>1.5121835994704325E-5</v>
      </c>
      <c r="C53">
        <f>SUM('Mass Balance'!E53:H53)</f>
        <v>2.6603100658981932E-5</v>
      </c>
      <c r="D53">
        <f>Concentrations!F53/Concentrations!E53</f>
        <v>0.57064843187288916</v>
      </c>
    </row>
    <row r="54" spans="1:4">
      <c r="A54">
        <f>'Mass Balance'!I54</f>
        <v>1.1122927548788641E-6</v>
      </c>
      <c r="B54">
        <f>'Mass Balance'!E54</f>
        <v>3.6015251355838295E-8</v>
      </c>
      <c r="C54">
        <f>SUM('Mass Balance'!E54:H54)</f>
        <v>3.5310970571815503E-5</v>
      </c>
      <c r="D54">
        <f>Concentrations!F54/Concentrations!E54</f>
        <v>1.0239368137133337E-3</v>
      </c>
    </row>
    <row r="55" spans="1:4">
      <c r="A55">
        <f>'Mass Balance'!I55</f>
        <v>1.4763196949665886E-7</v>
      </c>
      <c r="B55">
        <f>'Mass Balance'!E55</f>
        <v>5.4373470130270015E-6</v>
      </c>
      <c r="C55">
        <f>SUM('Mass Balance'!E55:H55)</f>
        <v>2.4022369852149403E-5</v>
      </c>
      <c r="D55">
        <f>Concentrations!F55/Concentrations!E55</f>
        <v>0.22723099168919014</v>
      </c>
    </row>
    <row r="56" spans="1:4">
      <c r="A56">
        <f>'Mass Balance'!I56</f>
        <v>8.6655092101459731E-8</v>
      </c>
      <c r="B56">
        <f>'Mass Balance'!E56</f>
        <v>6.4370872085741921E-7</v>
      </c>
      <c r="C56">
        <f>SUM('Mass Balance'!E56:H56)</f>
        <v>1.2736001711180696E-5</v>
      </c>
      <c r="D56">
        <f>Concentrations!F56/Concentrations!E56</f>
        <v>5.0740255117251006E-2</v>
      </c>
    </row>
    <row r="57" spans="1:4">
      <c r="A57">
        <f>'Mass Balance'!I57</f>
        <v>4.2684600976930445E-8</v>
      </c>
      <c r="B57">
        <f>'Mass Balance'!E57</f>
        <v>1.1642085124170258E-6</v>
      </c>
      <c r="C57">
        <f>SUM('Mass Balance'!E57:H57)</f>
        <v>6.6489919439550621E-6</v>
      </c>
      <c r="D57">
        <f>Concentrations!F57/Concentrations!E57</f>
        <v>0.17578075519766789</v>
      </c>
    </row>
    <row r="58" spans="1:4">
      <c r="A58">
        <f>'Mass Balance'!I58</f>
        <v>1.2695958401185124E-9</v>
      </c>
      <c r="B58">
        <f>'Mass Balance'!E58</f>
        <v>2.3665584219407218E-6</v>
      </c>
      <c r="C58">
        <f>SUM('Mass Balance'!E58:H58)</f>
        <v>2.4185083778291182E-6</v>
      </c>
      <c r="D58">
        <f>Concentrations!F58/Concentrations!E58</f>
        <v>0.98234942729794883</v>
      </c>
    </row>
    <row r="59" spans="1:4">
      <c r="A59">
        <f>'Mass Balance'!I59</f>
        <v>1.638942035387718E-8</v>
      </c>
      <c r="B59">
        <f>'Mass Balance'!E59</f>
        <v>4.7913761671635214E-7</v>
      </c>
      <c r="C59">
        <f>SUM('Mass Balance'!E59:H59)</f>
        <v>2.5753123293428885E-6</v>
      </c>
      <c r="D59">
        <f>Concentrations!F59/Concentrations!E59</f>
        <v>0.18677843130853472</v>
      </c>
    </row>
    <row r="60" spans="1:4">
      <c r="A60">
        <f>'Mass Balance'!I60</f>
        <v>2.8664185229312186E-10</v>
      </c>
      <c r="B60">
        <f>'Mass Balance'!E60</f>
        <v>1.791094474611946E-8</v>
      </c>
      <c r="C60">
        <f>SUM('Mass Balance'!E60:H60)</f>
        <v>5.2619530752564567E-8</v>
      </c>
      <c r="D60">
        <f>Concentrations!F60/Concentrations!E60</f>
        <v>0.34171802338874779</v>
      </c>
    </row>
    <row r="61" spans="1:4">
      <c r="A61">
        <f>'Mass Balance'!I61</f>
        <v>1.2885277488027835E-7</v>
      </c>
      <c r="B61">
        <f>'Mass Balance'!E61</f>
        <v>1.1333422540618796E-5</v>
      </c>
      <c r="C61">
        <f>SUM('Mass Balance'!E61:H61)</f>
        <v>2.6504242855907831E-5</v>
      </c>
      <c r="D61">
        <f>Concentrations!F61/Concentrations!E61</f>
        <v>0.42928136943734019</v>
      </c>
    </row>
    <row r="62" spans="1:4">
      <c r="A62">
        <f>'Mass Balance'!I62</f>
        <v>5.6877397102981184E-7</v>
      </c>
      <c r="B62">
        <f>'Mass Balance'!E62</f>
        <v>1.5401246692094887E-7</v>
      </c>
      <c r="C62">
        <f>SUM('Mass Balance'!E62:H62)</f>
        <v>3.4769292953993833E-5</v>
      </c>
      <c r="D62">
        <f>Concentrations!F62/Concentrations!E62</f>
        <v>4.4468899351751291E-3</v>
      </c>
    </row>
    <row r="63" spans="1:4">
      <c r="A63">
        <f>'Mass Balance'!I63</f>
        <v>1.3695152376105552E-6</v>
      </c>
      <c r="B63">
        <f>'Mass Balance'!E63</f>
        <v>1.4130453879603394E-8</v>
      </c>
      <c r="C63">
        <f>SUM('Mass Balance'!E63:H63)</f>
        <v>3.5977506556926259E-5</v>
      </c>
      <c r="D63">
        <f>Concentrations!F63/Concentrations!E63</f>
        <v>3.9429513012256986E-4</v>
      </c>
    </row>
    <row r="64" spans="1:4">
      <c r="A64">
        <f>'Mass Balance'!I64</f>
        <v>1.5636990553386902E-6</v>
      </c>
      <c r="B64">
        <f>'Mass Balance'!E64</f>
        <v>4.9065816972247556E-9</v>
      </c>
      <c r="C64">
        <f>SUM('Mass Balance'!E64:H64)</f>
        <v>3.6646191240179591E-5</v>
      </c>
      <c r="D64">
        <f>Concentrations!F64/Concentrations!E64</f>
        <v>1.3441463378141346E-4</v>
      </c>
    </row>
    <row r="65" spans="1:4">
      <c r="A65">
        <f>'Mass Balance'!I65</f>
        <v>1.7027553662539285E-6</v>
      </c>
      <c r="B65">
        <f>'Mass Balance'!E65</f>
        <v>1.3798922251014423E-9</v>
      </c>
      <c r="C65">
        <f>SUM('Mass Balance'!E65:H65)</f>
        <v>3.7225228545227485E-5</v>
      </c>
      <c r="D65">
        <f>Concentrations!F65/Concentrations!E65</f>
        <v>3.7213811818105853E-5</v>
      </c>
    </row>
    <row r="66" spans="1:4">
      <c r="A66">
        <f>'Mass Balance'!I66</f>
        <v>1.632720446539201E-6</v>
      </c>
      <c r="B66">
        <f>'Mass Balance'!E66</f>
        <v>2.8583806450939281E-9</v>
      </c>
      <c r="C66">
        <f>SUM('Mass Balance'!E66:H66)</f>
        <v>3.6922871761052651E-5</v>
      </c>
      <c r="D66">
        <f>Concentrations!F66/Concentrations!E66</f>
        <v>7.7717881346988231E-5</v>
      </c>
    </row>
    <row r="67" spans="1:4">
      <c r="A67">
        <f>'Mass Balance'!I67</f>
        <v>2.3184295513313681E-8</v>
      </c>
      <c r="B67">
        <f>'Mass Balance'!E67</f>
        <v>3.2458093776816885E-5</v>
      </c>
      <c r="C67">
        <f>SUM('Mass Balance'!E67:H67)</f>
        <v>3.3775096717362371E-5</v>
      </c>
      <c r="D67">
        <f>Concentrations!F67/Concentrations!E67</f>
        <v>0.96476773687511463</v>
      </c>
    </row>
    <row r="68" spans="1:4">
      <c r="A68">
        <f>'Mass Balance'!I68</f>
        <v>3.107475269535831E-8</v>
      </c>
      <c r="B68">
        <f>'Mass Balance'!E68</f>
        <v>2.9596207154754514E-5</v>
      </c>
      <c r="C68">
        <f>SUM('Mass Balance'!E68:H68)</f>
        <v>3.1872043084032147E-5</v>
      </c>
      <c r="D68">
        <f>Concentrations!F68/Concentrations!E68</f>
        <v>0.9322288025193527</v>
      </c>
    </row>
    <row r="69" spans="1:4">
      <c r="A69">
        <f>'Mass Balance'!I69</f>
        <v>9.6096567103005239E-7</v>
      </c>
      <c r="B69">
        <f>'Mass Balance'!E69</f>
        <v>5.5766912909104313E-8</v>
      </c>
      <c r="C69">
        <f>SUM('Mass Balance'!E69:H69)</f>
        <v>3.5000021528089252E-5</v>
      </c>
      <c r="D69">
        <f>Concentrations!F69/Concentrations!E69</f>
        <v>1.5995751726402133E-3</v>
      </c>
    </row>
    <row r="70" spans="1:4">
      <c r="A70">
        <f>'Mass Balance'!I70</f>
        <v>2.242403235931743E-7</v>
      </c>
      <c r="B70">
        <f>'Mass Balance'!E70</f>
        <v>1.0213102662904531E-6</v>
      </c>
      <c r="C70">
        <f>SUM('Mass Balance'!E70:H70)</f>
        <v>3.3261539902149971E-5</v>
      </c>
      <c r="D70">
        <f>Concentrations!F70/Concentrations!E70</f>
        <v>3.082561202457974E-2</v>
      </c>
    </row>
    <row r="71" spans="1:4">
      <c r="A71">
        <f>'Mass Balance'!I71</f>
        <v>2.9147013415919273E-8</v>
      </c>
      <c r="B71">
        <f>'Mass Balance'!E71</f>
        <v>2.9615181482363788E-5</v>
      </c>
      <c r="C71">
        <f>SUM('Mass Balance'!E71:H71)</f>
        <v>3.1679106555099663E-5</v>
      </c>
      <c r="D71">
        <f>Concentrations!F71/Concentrations!E71</f>
        <v>0.93850769095966757</v>
      </c>
    </row>
    <row r="72" spans="1:4">
      <c r="A72">
        <f>'Mass Balance'!I72</f>
        <v>2.200919865385178E-7</v>
      </c>
      <c r="B72">
        <f>'Mass Balance'!E72</f>
        <v>1.1800110428006792E-6</v>
      </c>
      <c r="C72">
        <f>SUM('Mass Balance'!E72:H72)</f>
        <v>3.2511177749412846E-5</v>
      </c>
      <c r="D72">
        <f>Concentrations!F72/Concentrations!E72</f>
        <v>3.6437597259925146E-2</v>
      </c>
    </row>
    <row r="73" spans="1:4">
      <c r="A73">
        <f>'Mass Balance'!I73</f>
        <v>1.3283486463435282E-7</v>
      </c>
      <c r="B73">
        <f>'Mass Balance'!E73</f>
        <v>1.0428450822051384E-5</v>
      </c>
      <c r="C73">
        <f>SUM('Mass Balance'!E73:H73)</f>
        <v>2.621979201663236E-5</v>
      </c>
      <c r="D73">
        <f>Concentrations!F73/Concentrations!E73</f>
        <v>0.39928860591166576</v>
      </c>
    </row>
    <row r="74" spans="1:4">
      <c r="A74">
        <f>'Mass Balance'!I74</f>
        <v>2.2334798880767557E-7</v>
      </c>
      <c r="B74">
        <f>'Mass Balance'!E74</f>
        <v>1.0657792024168528E-6</v>
      </c>
      <c r="C74">
        <f>SUM('Mass Balance'!E74:H74)</f>
        <v>3.308680897323647E-5</v>
      </c>
      <c r="D74">
        <f>Concentrations!F74/Concentrations!E74</f>
        <v>3.2337669598745414E-2</v>
      </c>
    </row>
    <row r="75" spans="1:4">
      <c r="A75">
        <f>'Mass Balance'!I75</f>
        <v>1.4250515546217193E-7</v>
      </c>
      <c r="B75">
        <f>'Mass Balance'!E75</f>
        <v>1.7222008226762651E-7</v>
      </c>
      <c r="C75">
        <f>SUM('Mass Balance'!E75:H75)</f>
        <v>3.9854162184093529E-5</v>
      </c>
      <c r="D75">
        <f>Concentrations!F75/Concentrations!E75</f>
        <v>4.3381690424097383E-3</v>
      </c>
    </row>
    <row r="76" spans="1:4">
      <c r="A76">
        <f>'Mass Balance'!I76</f>
        <v>1.4250515553841019E-7</v>
      </c>
      <c r="B76">
        <f>'Mass Balance'!E76</f>
        <v>1.7222008235976189E-7</v>
      </c>
      <c r="C76">
        <f>SUM('Mass Balance'!E76:H76)</f>
        <v>3.9854162205414961E-5</v>
      </c>
      <c r="D76">
        <f>Concentrations!F76/Concentrations!E76</f>
        <v>4.3381690424097374E-3</v>
      </c>
    </row>
    <row r="77" spans="1:4">
      <c r="A77">
        <f>'Mass Balance'!I77</f>
        <v>1.8630596573815518E-7</v>
      </c>
      <c r="B77">
        <f>'Mass Balance'!E77</f>
        <v>4.030934513487918E-6</v>
      </c>
      <c r="C77">
        <f>SUM('Mass Balance'!E77:H77)</f>
        <v>2.8339156719249368E-5</v>
      </c>
      <c r="D77">
        <f>Concentrations!F77/Concentrations!E77</f>
        <v>0.14279571719987916</v>
      </c>
    </row>
    <row r="78" spans="1:4">
      <c r="A78">
        <f>'Mass Balance'!I78</f>
        <v>6.3582292029147231E-8</v>
      </c>
      <c r="B78">
        <f>'Mass Balance'!E78</f>
        <v>2.0927268345742309E-5</v>
      </c>
      <c r="C78">
        <f>SUM('Mass Balance'!E78:H78)</f>
        <v>2.7312746929079641E-5</v>
      </c>
      <c r="D78">
        <f>Concentrations!F78/Concentrations!E78</f>
        <v>0.76920752608869425</v>
      </c>
    </row>
    <row r="79" spans="1:4">
      <c r="A79">
        <f>'Mass Balance'!I79</f>
        <v>1.0408790074330961E-7</v>
      </c>
      <c r="B79">
        <f>'Mass Balance'!E79</f>
        <v>1.4690119126487371E-5</v>
      </c>
      <c r="C79">
        <f>SUM('Mass Balance'!E79:H79)</f>
        <v>2.640721207794818E-5</v>
      </c>
      <c r="D79">
        <f>Concentrations!F79/Concentrations!E79</f>
        <v>0.55846907165029591</v>
      </c>
    </row>
    <row r="80" spans="1:4">
      <c r="A80">
        <f>'Mass Balance'!I80</f>
        <v>2.7587176531802534E-7</v>
      </c>
      <c r="B80">
        <f>'Mass Balance'!E80</f>
        <v>1.1637840832084696E-7</v>
      </c>
      <c r="C80">
        <f>SUM('Mass Balance'!E80:H80)</f>
        <v>3.972007988827022E-5</v>
      </c>
      <c r="D80">
        <f>Concentrations!F80/Concentrations!E80</f>
        <v>2.941430979542805E-3</v>
      </c>
    </row>
    <row r="81" spans="1:4">
      <c r="A81">
        <f>'Mass Balance'!I81</f>
        <v>1.2692739089083295E-8</v>
      </c>
      <c r="B81">
        <f>'Mass Balance'!E81</f>
        <v>3.8777484564734974E-5</v>
      </c>
      <c r="C81">
        <f>SUM('Mass Balance'!E81:H81)</f>
        <v>3.882818460665394E-5</v>
      </c>
      <c r="D81">
        <f>Concentrations!F81/Concentrations!E81</f>
        <v>1.0026027931264743</v>
      </c>
    </row>
    <row r="82" spans="1:4">
      <c r="A82">
        <f>'Mass Balance'!I82</f>
        <v>3.5642646712241401E-8</v>
      </c>
      <c r="B82">
        <f>'Mass Balance'!E82</f>
        <v>2.865359575731957E-5</v>
      </c>
      <c r="C82">
        <f>SUM('Mass Balance'!E82:H82)</f>
        <v>3.1471428726781457E-5</v>
      </c>
      <c r="D82">
        <f>Concentrations!F82/Concentrations!E82</f>
        <v>0.91402701646221429</v>
      </c>
    </row>
    <row r="83" spans="1:4">
      <c r="A83">
        <f>'Mass Balance'!I83</f>
        <v>1.8141744963344033E-7</v>
      </c>
      <c r="B83">
        <f>'Mass Balance'!E83</f>
        <v>5.0639146081958835E-6</v>
      </c>
      <c r="C83">
        <f>SUM('Mass Balance'!E83:H83)</f>
        <v>2.8339165637585293E-5</v>
      </c>
      <c r="D83">
        <f>Concentrations!F83/Concentrations!E83</f>
        <v>0.17938894525213356</v>
      </c>
    </row>
    <row r="84" spans="1:4">
      <c r="A84">
        <f>'Mass Balance'!I84</f>
        <v>1.4033099210813768E-8</v>
      </c>
      <c r="B84">
        <f>'Mass Balance'!E84</f>
        <v>3.7281956165791066E-5</v>
      </c>
      <c r="C84">
        <f>SUM('Mass Balance'!E84:H84)</f>
        <v>3.7502042054091784E-5</v>
      </c>
      <c r="D84">
        <f>Concentrations!F84/Concentrations!E84</f>
        <v>0.99802205172041059</v>
      </c>
    </row>
    <row r="85" spans="1:4">
      <c r="A85">
        <f>'Mass Balance'!I85</f>
        <v>1.2444104172008907E-8</v>
      </c>
      <c r="B85">
        <f>'Mass Balance'!E85</f>
        <v>3.949441476559587E-5</v>
      </c>
      <c r="C85">
        <f>SUM('Mass Balance'!E85:H85)</f>
        <v>3.9504077719220782E-5</v>
      </c>
      <c r="D85">
        <f>Concentrations!F85/Concentrations!E85</f>
        <v>1.0036680932087845</v>
      </c>
    </row>
    <row r="86" spans="1:4">
      <c r="A86">
        <f>'Mass Balance'!I86</f>
        <v>1.3949588694259198E-8</v>
      </c>
      <c r="B86">
        <f>'Mass Balance'!E86</f>
        <v>3.7351573591356008E-5</v>
      </c>
      <c r="C86">
        <f>SUM('Mass Balance'!E86:H86)</f>
        <v>3.7561513694301684E-5</v>
      </c>
      <c r="D86">
        <f>Concentrations!F86/Concentrations!E86</f>
        <v>0.99830254829448761</v>
      </c>
    </row>
    <row r="87" spans="1:4">
      <c r="A87">
        <f>'Mass Balance'!I87</f>
        <v>1.2774478492540685E-6</v>
      </c>
      <c r="B87">
        <f>'Mass Balance'!E87</f>
        <v>2.0536359252055596E-8</v>
      </c>
      <c r="C87">
        <f>SUM('Mass Balance'!E87:H87)</f>
        <v>3.5713750979007904E-5</v>
      </c>
      <c r="D87">
        <f>Concentrations!F87/Concentrations!E87</f>
        <v>5.7727712584221204E-4</v>
      </c>
    </row>
    <row r="88" spans="1:4">
      <c r="A88">
        <f>'Mass Balance'!I88</f>
        <v>5.4635577017175818E-8</v>
      </c>
      <c r="B88">
        <f>'Mass Balance'!E88</f>
        <v>2.3979333461549421E-5</v>
      </c>
      <c r="C88">
        <f>SUM('Mass Balance'!E88:H88)</f>
        <v>2.9162575910259297E-5</v>
      </c>
      <c r="D88">
        <f>Concentrations!F88/Concentrations!E88</f>
        <v>0.82548196091787918</v>
      </c>
    </row>
    <row r="89" spans="1:4">
      <c r="A89">
        <f>'Mass Balance'!I89</f>
        <v>3.8557421152849085E-8</v>
      </c>
      <c r="B89">
        <f>'Mass Balance'!E89</f>
        <v>2.7859964611591872E-5</v>
      </c>
      <c r="C89">
        <f>SUM('Mass Balance'!E89:H89)</f>
        <v>3.1035577442036309E-5</v>
      </c>
      <c r="D89">
        <f>Concentrations!F89/Concentrations!E89</f>
        <v>0.90119151188221702</v>
      </c>
    </row>
    <row r="90" spans="1:4">
      <c r="A90">
        <f>'Mass Balance'!I90</f>
        <v>1.870453761350274E-8</v>
      </c>
      <c r="B90">
        <f>'Mass Balance'!E90</f>
        <v>3.4524646845202743E-5</v>
      </c>
      <c r="C90">
        <f>SUM('Mass Balance'!E90:H90)</f>
        <v>3.5301369256267876E-5</v>
      </c>
      <c r="D90">
        <f>Concentrations!F90/Concentrations!E90</f>
        <v>0.98182493204176768</v>
      </c>
    </row>
    <row r="91" spans="1:4">
      <c r="A91">
        <f>'Mass Balance'!I91</f>
        <v>6.2407227344246501E-7</v>
      </c>
      <c r="B91">
        <f>'Mass Balance'!E91</f>
        <v>1.3381346796795421E-7</v>
      </c>
      <c r="C91">
        <f>SUM('Mass Balance'!E91:H91)</f>
        <v>3.4761585789801237E-5</v>
      </c>
      <c r="D91">
        <f>Concentrations!F91/Concentrations!E91</f>
        <v>3.8645293340741375E-3</v>
      </c>
    </row>
    <row r="92" spans="1:4">
      <c r="A92">
        <f>'Mass Balance'!I92</f>
        <v>1.6313949462823646E-7</v>
      </c>
      <c r="B92">
        <f>'Mass Balance'!E92</f>
        <v>7.0603421607132623E-6</v>
      </c>
      <c r="C92">
        <f>SUM('Mass Balance'!E92:H92)</f>
        <v>2.736430300148187E-5</v>
      </c>
      <c r="D92">
        <f>Concentrations!F92/Concentrations!E92</f>
        <v>0.25902263682185783</v>
      </c>
    </row>
    <row r="93" spans="1:4">
      <c r="A93">
        <f>'Mass Balance'!I93</f>
        <v>2.1895405968012377E-7</v>
      </c>
      <c r="B93">
        <f>'Mass Balance'!E93</f>
        <v>1.5524716415060574E-6</v>
      </c>
      <c r="C93">
        <f>SUM('Mass Balance'!E93:H93)</f>
        <v>3.2193822366138038E-5</v>
      </c>
      <c r="D93">
        <f>Concentrations!F93/Concentrations!E93</f>
        <v>4.8411383565722318E-2</v>
      </c>
    </row>
    <row r="94" spans="1:4">
      <c r="A94">
        <f>'Mass Balance'!I94</f>
        <v>1.4249665633772558E-8</v>
      </c>
      <c r="B94">
        <f>'Mass Balance'!E94</f>
        <v>3.5777969380249045E-5</v>
      </c>
      <c r="C94">
        <f>SUM('Mass Balance'!E94:H94)</f>
        <v>3.9979372277494128E-5</v>
      </c>
      <c r="D94">
        <f>Concentrations!F94/Concentrations!E94</f>
        <v>0.8984131074212871</v>
      </c>
    </row>
    <row r="95" spans="1:4">
      <c r="A95">
        <f>'Mass Balance'!I95</f>
        <v>3.1378145902514888E-7</v>
      </c>
      <c r="B95">
        <f>'Mass Balance'!E95</f>
        <v>3.1386754196848685E-7</v>
      </c>
      <c r="C95">
        <f>SUM('Mass Balance'!E95:H95)</f>
        <v>3.510694943053804E-5</v>
      </c>
      <c r="D95">
        <f>Concentrations!F95/Concentrations!E95</f>
        <v>8.9753144885108549E-3</v>
      </c>
    </row>
    <row r="96" spans="1:4">
      <c r="A96">
        <f>'Mass Balance'!I96</f>
        <v>1.2719929090863553E-8</v>
      </c>
      <c r="B96">
        <f>'Mass Balance'!E96</f>
        <v>3.8728951967967799E-5</v>
      </c>
      <c r="C96">
        <f>SUM('Mass Balance'!E96:H96)</f>
        <v>3.8783449104996354E-5</v>
      </c>
      <c r="D96">
        <f>Concentrations!F96/Concentrations!E96</f>
        <v>1.0025029928797253</v>
      </c>
    </row>
    <row r="97" spans="1:4">
      <c r="A97">
        <f>'Mass Balance'!I97</f>
        <v>1.4076390935373013E-8</v>
      </c>
      <c r="B97">
        <f>'Mass Balance'!E97</f>
        <v>3.7246472858750449E-5</v>
      </c>
      <c r="C97">
        <f>SUM('Mass Balance'!E97:H97)</f>
        <v>3.747180989722623E-5</v>
      </c>
      <c r="D97">
        <f>Concentrations!F97/Concentrations!E97</f>
        <v>0.99787661392795624</v>
      </c>
    </row>
    <row r="98" spans="1:4">
      <c r="A98">
        <f>'Mass Balance'!I98</f>
        <v>2.2793981839801233E-7</v>
      </c>
      <c r="B98">
        <f>'Mass Balance'!E98</f>
        <v>7.3183931583872114E-7</v>
      </c>
      <c r="C98">
        <f>SUM('Mass Balance'!E98:H98)</f>
        <v>3.4207055972168062E-5</v>
      </c>
      <c r="D98">
        <f>Concentrations!F98/Concentrations!E98</f>
        <v>2.1478126749584537E-2</v>
      </c>
    </row>
    <row r="99" spans="1:4">
      <c r="A99">
        <f>'Mass Balance'!I99</f>
        <v>1.243274044080856E-8</v>
      </c>
      <c r="B99">
        <f>'Mass Balance'!E99</f>
        <v>3.9647952256557409E-5</v>
      </c>
      <c r="C99">
        <f>SUM('Mass Balance'!E99:H99)</f>
        <v>3.9652787223214925E-5</v>
      </c>
      <c r="D99">
        <f>Concentrations!F99/Concentrations!E99</f>
        <v>1.0037912472179731</v>
      </c>
    </row>
    <row r="100" spans="1:4">
      <c r="A100">
        <f>'Mass Balance'!I100</f>
        <v>9.5024328283471874E-8</v>
      </c>
      <c r="B100">
        <f>'Mass Balance'!E100</f>
        <v>1.6376680981791787E-5</v>
      </c>
      <c r="C100">
        <f>SUM('Mass Balance'!E100:H100)</f>
        <v>2.6840389752577394E-5</v>
      </c>
      <c r="D100">
        <f>Concentrations!F100/Concentrations!E100</f>
        <v>0.6125385601891854</v>
      </c>
    </row>
    <row r="101" spans="1:4">
      <c r="A101">
        <f>'Mass Balance'!I101</f>
        <v>1.2456480524407802E-8</v>
      </c>
      <c r="B101">
        <f>'Mass Balance'!E101</f>
        <v>3.9414259970313125E-5</v>
      </c>
      <c r="C101">
        <f>SUM('Mass Balance'!E101:H101)</f>
        <v>3.9427033812061204E-5</v>
      </c>
      <c r="D101">
        <f>Concentrations!F101/Concentrations!E101</f>
        <v>1.0035884021450032</v>
      </c>
    </row>
    <row r="102" spans="1:4">
      <c r="A102">
        <f>'Mass Balance'!I102</f>
        <v>1.2444353249878652E-8</v>
      </c>
      <c r="B102">
        <f>'Mass Balance'!E102</f>
        <v>3.984424184951499E-5</v>
      </c>
      <c r="C102">
        <f>SUM('Mass Balance'!E102:H102)</f>
        <v>3.9845212904667036E-5</v>
      </c>
      <c r="D102">
        <f>Concentrations!F102/Concentrations!E102</f>
        <v>1.0038891909364551</v>
      </c>
    </row>
    <row r="103" spans="1:4">
      <c r="A103">
        <f>'Mass Balance'!I103</f>
        <v>1.2432584092438943E-8</v>
      </c>
      <c r="B103">
        <f>'Mass Balance'!E103</f>
        <v>3.9658886760927965E-5</v>
      </c>
      <c r="C103">
        <f>SUM('Mass Balance'!E103:H103)</f>
        <v>3.9663436632039257E-5</v>
      </c>
      <c r="D103">
        <f>Concentrations!F103/Concentrations!E103</f>
        <v>1.0037984960831405</v>
      </c>
    </row>
    <row r="104" spans="1:4">
      <c r="A104">
        <f>'Mass Balance'!I104</f>
        <v>1.3222381731895691E-8</v>
      </c>
      <c r="B104">
        <f>'Mass Balance'!E104</f>
        <v>3.804837478096915E-5</v>
      </c>
      <c r="C104">
        <f>SUM('Mass Balance'!E104:H104)</f>
        <v>3.816855984525985E-5</v>
      </c>
      <c r="D104">
        <f>Concentrations!F104/Concentrations!E104</f>
        <v>1.0007525362272784</v>
      </c>
    </row>
    <row r="105" spans="1:4">
      <c r="A105">
        <f>'Mass Balance'!I105</f>
        <v>1.2440632429013127E-8</v>
      </c>
      <c r="B105">
        <f>'Mass Balance'!E105</f>
        <v>3.9815483228403165E-5</v>
      </c>
      <c r="C105">
        <f>SUM('Mass Balance'!E105:H105)</f>
        <v>3.9816848271321803E-5</v>
      </c>
      <c r="D105">
        <f>Concentrations!F105/Concentrations!E105</f>
        <v>1.0038792397804066</v>
      </c>
    </row>
    <row r="106" spans="1:4">
      <c r="A106">
        <f>'Mass Balance'!I106</f>
        <v>2.2365194962686863E-8</v>
      </c>
      <c r="B106">
        <f>'Mass Balance'!E106</f>
        <v>3.2965974059053638E-5</v>
      </c>
      <c r="C106">
        <f>SUM('Mass Balance'!E106:H106)</f>
        <v>3.4178332997723258E-5</v>
      </c>
      <c r="D106">
        <f>Concentrations!F106/Concentrations!E106</f>
        <v>0.96830326910358977</v>
      </c>
    </row>
    <row r="107" spans="1:4">
      <c r="A107">
        <f>'Mass Balance'!I107</f>
        <v>2.294722859086771E-7</v>
      </c>
      <c r="B107">
        <f>'Mass Balance'!E107</f>
        <v>5.4410018626719521E-7</v>
      </c>
      <c r="C107">
        <f>SUM('Mass Balance'!E107:H107)</f>
        <v>3.4869257631147591E-5</v>
      </c>
      <c r="D107">
        <f>Concentrations!F107/Concentrations!E107</f>
        <v>1.5665077058658026E-2</v>
      </c>
    </row>
    <row r="108" spans="1:4">
      <c r="A108">
        <f>'Mass Balance'!I108</f>
        <v>8.0550868336962639E-8</v>
      </c>
      <c r="B108">
        <f>'Mass Balance'!E108</f>
        <v>1.8854547922501325E-5</v>
      </c>
      <c r="C108">
        <f>SUM('Mass Balance'!E108:H108)</f>
        <v>2.738671333440367E-5</v>
      </c>
      <c r="D108">
        <f>Concentrations!F108/Concentrations!E108</f>
        <v>0.69115041023160828</v>
      </c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IVIVE</vt:lpstr>
      <vt:lpstr>Input System Parameters</vt:lpstr>
      <vt:lpstr>QA-QC</vt:lpstr>
      <vt:lpstr>Concentrations</vt:lpstr>
      <vt:lpstr>Mass Fractions</vt:lpstr>
      <vt:lpstr>Mass Balance</vt:lpstr>
      <vt:lpstr>工作表1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2024-10-28T23:31:53Z</dcterms:modified>
</cp:coreProperties>
</file>