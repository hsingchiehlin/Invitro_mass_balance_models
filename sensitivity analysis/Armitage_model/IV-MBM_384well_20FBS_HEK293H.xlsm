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469D1DD2-95F0-4B61-B330-35D7F1C1B931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<sst xmlns="http://schemas.openxmlformats.org/spreadsheetml/2006/main" count="2915" uniqueCount="495">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</sst>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8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1.6240000000000001E-2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1.6240000000000001E-2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4.06E-4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1.3804000000000002E-5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1.3670232998084869E-5</v>
      </c>
      <c r="J2" s="67" t="s">
        <v>231</v>
      </c>
      <c r="K2" s="68">
        <v>2.3066624010099051E-3</v>
      </c>
      <c r="L2" s="67" t="s">
        <v>231</v>
      </c>
      <c r="M2" s="68">
        <v>5.2904998121745761E-2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9.8115040576809216E-4</v>
      </c>
      <c r="J3" s="67" t="s">
        <v>231</v>
      </c>
      <c r="K3" s="68">
        <v>0.10528129486135576</v>
      </c>
      <c r="L3" s="67" t="s">
        <v>231</v>
      </c>
      <c r="M3" s="68">
        <v>3.5126106222684492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1.7447042046213348E-3</v>
      </c>
      <c r="J4" s="67" t="s">
        <v>231</v>
      </c>
      <c r="K4" s="68">
        <v>9.5320209678494711E-3</v>
      </c>
      <c r="L4" s="67" t="s">
        <v>231</v>
      </c>
      <c r="M4" s="68">
        <v>0.30202742553650425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1.5337539416016056E-3</v>
      </c>
      <c r="J5" s="67" t="s">
        <v>231</v>
      </c>
      <c r="K5" s="68">
        <v>3.1215392607750886E-2</v>
      </c>
      <c r="L5" s="67" t="s">
        <v>231</v>
      </c>
      <c r="M5" s="68">
        <v>1.03359247581043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2.6705335733111248E-3</v>
      </c>
      <c r="J6" s="67" t="s">
        <v>231</v>
      </c>
      <c r="K6" s="68">
        <v>0.12279320691830481</v>
      </c>
      <c r="L6" s="67" t="s">
        <v>231</v>
      </c>
      <c r="M6" s="68">
        <v>4.1048350669352915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3.9009587257133308E-4</v>
      </c>
      <c r="J7" s="67" t="s">
        <v>231</v>
      </c>
      <c r="K7" s="68">
        <v>0.10841304579874436</v>
      </c>
      <c r="L7" s="67" t="s">
        <v>231</v>
      </c>
      <c r="M7" s="68">
        <v>3.6181296980345476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7.5543411931971159E-4</v>
      </c>
      <c r="J8" s="67" t="s">
        <v>231</v>
      </c>
      <c r="K8" s="68">
        <v>8.6560972531071159E-2</v>
      </c>
      <c r="L8" s="67" t="s">
        <v>231</v>
      </c>
      <c r="M8" s="68">
        <v>2.882785702135513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2.1669982335697951E-4</v>
      </c>
      <c r="J9" s="67" t="s">
        <v>231</v>
      </c>
      <c r="K9" s="68">
        <v>1.8394841164084706E-2</v>
      </c>
      <c r="L9" s="67" t="s">
        <v>231</v>
      </c>
      <c r="M9" s="68">
        <v>0.60404062040094386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9.2268596309281147E-4</v>
      </c>
      <c r="J10" s="67" t="s">
        <v>231</v>
      </c>
      <c r="K10" s="68">
        <v>3.3373948984359816E-2</v>
      </c>
      <c r="L10" s="67" t="s">
        <v>231</v>
      </c>
      <c r="M10" s="68">
        <v>1.1054170437634796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2.2698988303073055E-4</v>
      </c>
      <c r="J11" s="67" t="s">
        <v>231</v>
      </c>
      <c r="K11" s="68">
        <v>3.7190466844178385E-2</v>
      </c>
      <c r="L11" s="67" t="s">
        <v>231</v>
      </c>
      <c r="M11" s="68">
        <v>1.2324712894499699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4.6536548155241006E-4</v>
      </c>
      <c r="J12" s="67" t="s">
        <v>231</v>
      </c>
      <c r="K12" s="68">
        <v>1.9251381593402919E-2</v>
      </c>
      <c r="L12" s="67" t="s">
        <v>231</v>
      </c>
      <c r="M12" s="68">
        <v>0.63352373330739975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1.0099275837863015E-2</v>
      </c>
      <c r="J13" s="67" t="s">
        <v>232</v>
      </c>
      <c r="K13" s="68">
        <v>1.8489319540859417E-2</v>
      </c>
      <c r="L13" s="67" t="s">
        <v>231</v>
      </c>
      <c r="M13" s="68">
        <v>0.60728208299206321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2.1620346489106745E-3</v>
      </c>
      <c r="J14" s="67" t="s">
        <v>231</v>
      </c>
      <c r="K14" s="68">
        <v>5.0741555242651552E-2</v>
      </c>
      <c r="L14" s="67" t="s">
        <v>231</v>
      </c>
      <c r="M14" s="68">
        <v>1.6841921509057804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1.0888073083692752E-3</v>
      </c>
      <c r="J15" s="67" t="s">
        <v>231</v>
      </c>
      <c r="K15" s="68">
        <v>3.5248288618553704E-2</v>
      </c>
      <c r="L15" s="67" t="s">
        <v>231</v>
      </c>
      <c r="M15" s="68">
        <v>1.167805182976174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7.9470757671059569E-4</v>
      </c>
      <c r="J16" s="67" t="s">
        <v>231</v>
      </c>
      <c r="K16" s="68">
        <v>8.5482511913268278E-2</v>
      </c>
      <c r="L16" s="67" t="s">
        <v>231</v>
      </c>
      <c r="M16" s="68">
        <v>2.8465955016399578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6.4605028498958359E-4</v>
      </c>
      <c r="J17" s="67" t="s">
        <v>231</v>
      </c>
      <c r="K17" s="68">
        <v>3.1924978292654678E-2</v>
      </c>
      <c r="L17" s="67" t="s">
        <v>231</v>
      </c>
      <c r="M17" s="68">
        <v>1.0572004597329321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1.6113586900164721E-3</v>
      </c>
      <c r="J18" s="67" t="s">
        <v>231</v>
      </c>
      <c r="K18" s="68">
        <v>1.7874222537742658E-2</v>
      </c>
      <c r="L18" s="67" t="s">
        <v>231</v>
      </c>
      <c r="M18" s="68">
        <v>0.58629281217297058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6.6193059264442328E-3</v>
      </c>
      <c r="J19" s="67" t="s">
        <v>231</v>
      </c>
      <c r="K19" s="68">
        <v>3.5631664385738476E-2</v>
      </c>
      <c r="L19" s="67" t="s">
        <v>231</v>
      </c>
      <c r="M19" s="68">
        <v>1.180568281675948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1.0450187387966421E-3</v>
      </c>
      <c r="J20" s="67" t="s">
        <v>231</v>
      </c>
      <c r="K20" s="68">
        <v>1.8491783682971011E-2</v>
      </c>
      <c r="L20" s="67" t="s">
        <v>231</v>
      </c>
      <c r="M20" s="68">
        <v>0.60736301779071877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3.1194378758474775E-3</v>
      </c>
      <c r="J21" s="67" t="s">
        <v>231</v>
      </c>
      <c r="K21" s="68">
        <v>4.6540349186267441E-2</v>
      </c>
      <c r="L21" s="67" t="s">
        <v>231</v>
      </c>
      <c r="M21" s="68">
        <v>1.5440514922221591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8.6404778310867979E-5</v>
      </c>
      <c r="J22" s="67" t="s">
        <v>231</v>
      </c>
      <c r="K22" s="68">
        <v>5.279922058568573E-3</v>
      </c>
      <c r="L22" s="67" t="s">
        <v>231</v>
      </c>
      <c r="M22" s="68">
        <v>0.15633295985456025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2.9294262003831622E-5</v>
      </c>
      <c r="J23" s="67" t="s">
        <v>231</v>
      </c>
      <c r="K23" s="68">
        <v>3.0619877404414208E-3</v>
      </c>
      <c r="L23" s="67" t="s">
        <v>231</v>
      </c>
      <c r="M23" s="68">
        <v>7.941069403500392E-2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8.123153999692136E-5</v>
      </c>
      <c r="J24" s="67" t="s">
        <v>231</v>
      </c>
      <c r="K24" s="68">
        <v>1.437588712989846E-2</v>
      </c>
      <c r="L24" s="67" t="s">
        <v>231</v>
      </c>
      <c r="M24" s="68">
        <v>0.46703616374998858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4.0296837263332504E-4</v>
      </c>
      <c r="J25" s="67" t="s">
        <v>231</v>
      </c>
      <c r="K25" s="68">
        <v>1.9657458068978943E-2</v>
      </c>
      <c r="L25" s="67" t="s">
        <v>231</v>
      </c>
      <c r="M25" s="68">
        <v>0.64827890127598953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8.2567435301137565E-4</v>
      </c>
      <c r="J26" s="67" t="s">
        <v>231</v>
      </c>
      <c r="K26" s="68">
        <v>4.3864760586666322E-2</v>
      </c>
      <c r="L26" s="67" t="s">
        <v>231</v>
      </c>
      <c r="M26" s="68">
        <v>1.454843967445175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5.3915639358530405E-4</v>
      </c>
      <c r="J27" s="67" t="s">
        <v>231</v>
      </c>
      <c r="K27" s="68">
        <v>0.10303453620953479</v>
      </c>
      <c r="L27" s="67" t="s">
        <v>231</v>
      </c>
      <c r="M27" s="68">
        <v>3.4368320904267651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2.9210924204141743E-4</v>
      </c>
      <c r="J28" s="67" t="s">
        <v>231</v>
      </c>
      <c r="K28" s="68">
        <v>6.4246030783574631E-2</v>
      </c>
      <c r="L28" s="67" t="s">
        <v>231</v>
      </c>
      <c r="M28" s="68">
        <v>2.1352704948788013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1.7961646713309052E-4</v>
      </c>
      <c r="J29" s="67" t="s">
        <v>231</v>
      </c>
      <c r="K29" s="68">
        <v>4.8004091254392173E-2</v>
      </c>
      <c r="L29" s="67" t="s">
        <v>231</v>
      </c>
      <c r="M29" s="68">
        <v>1.5930927548128511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2.9210924204141743E-4</v>
      </c>
      <c r="J30" s="67" t="s">
        <v>231</v>
      </c>
      <c r="K30" s="68">
        <v>6.4246030783574631E-2</v>
      </c>
      <c r="L30" s="67" t="s">
        <v>231</v>
      </c>
      <c r="M30" s="68">
        <v>2.1352704948788013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8.1323869590313535E-8</v>
      </c>
      <c r="J31" s="67" t="s">
        <v>231</v>
      </c>
      <c r="K31" s="68">
        <v>8.9703001150924033E-4</v>
      </c>
      <c r="L31" s="67" t="s">
        <v>231</v>
      </c>
      <c r="M31" s="68">
        <v>1.1399170700697276E-3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8.4036795350937366E-6</v>
      </c>
      <c r="J32" s="67" t="s">
        <v>231</v>
      </c>
      <c r="K32" s="68">
        <v>7.8486699787869395E-3</v>
      </c>
      <c r="L32" s="67" t="s">
        <v>231</v>
      </c>
      <c r="M32" s="68">
        <v>0.24233276436102902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8.1310489963809414E-8</v>
      </c>
      <c r="J33" s="67" t="s">
        <v>231</v>
      </c>
      <c r="K33" s="68">
        <v>8.934490203382641E-4</v>
      </c>
      <c r="L33" s="67" t="s">
        <v>231</v>
      </c>
      <c r="M33" s="68">
        <v>5.9114700913660888E-4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1.9348446230241797E-10</v>
      </c>
      <c r="J34" s="67" t="s">
        <v>231</v>
      </c>
      <c r="K34" s="68">
        <v>1.5555769928283477E-3</v>
      </c>
      <c r="L34" s="67" t="s">
        <v>231</v>
      </c>
      <c r="M34" s="68">
        <v>4.4993322900496936E-2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1.9740937966553532E-7</v>
      </c>
      <c r="J35" s="67" t="s">
        <v>231</v>
      </c>
      <c r="K35" s="68">
        <v>1.8057895223937469E-3</v>
      </c>
      <c r="L35" s="67" t="s">
        <v>231</v>
      </c>
      <c r="M35" s="68">
        <v>6.3661903684571045E-2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1.7988653443717099E-7</v>
      </c>
      <c r="J36" s="67" t="s">
        <v>231</v>
      </c>
      <c r="K36" s="68">
        <v>1.9451432292236118E-3</v>
      </c>
      <c r="L36" s="67" t="s">
        <v>231</v>
      </c>
      <c r="M36" s="68">
        <v>7.7353691707042191E-2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1.9321356878725787E-6</v>
      </c>
      <c r="J37" s="67" t="s">
        <v>231</v>
      </c>
      <c r="K37" s="68">
        <v>5.146886664112121E-3</v>
      </c>
      <c r="L37" s="67" t="s">
        <v>231</v>
      </c>
      <c r="M37" s="68">
        <v>0.1746305484428522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1.0517346898566425E-6</v>
      </c>
      <c r="J38" s="67" t="s">
        <v>231</v>
      </c>
      <c r="K38" s="68">
        <v>1.5112020613326704E-3</v>
      </c>
      <c r="L38" s="67" t="s">
        <v>231</v>
      </c>
      <c r="M38" s="68">
        <v>4.0289094660882659E-2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2.0826093773120897E-4</v>
      </c>
      <c r="J39" s="67" t="s">
        <v>231</v>
      </c>
      <c r="K39" s="68">
        <v>2.0670277257054465E-2</v>
      </c>
      <c r="L39" s="67" t="s">
        <v>231</v>
      </c>
      <c r="M39" s="68">
        <v>0.68308807208702615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7.8286740030717776E-10</v>
      </c>
      <c r="J40" s="67" t="s">
        <v>231</v>
      </c>
      <c r="K40" s="68">
        <v>0.13014683743988914</v>
      </c>
      <c r="L40" s="67" t="s">
        <v>231</v>
      </c>
      <c r="M40" s="68">
        <v>5.3774371046401841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2.6234984098431946E-8</v>
      </c>
      <c r="J41" s="67" t="s">
        <v>231</v>
      </c>
      <c r="K41" s="68">
        <v>8.0881012268200787E-4</v>
      </c>
      <c r="L41" s="67" t="s">
        <v>231</v>
      </c>
      <c r="M41" s="68">
        <v>6.4428212217025393E-5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9.4394496380039426E-4</v>
      </c>
      <c r="J42" s="67" t="s">
        <v>231</v>
      </c>
      <c r="K42" s="68">
        <v>5.9723772056072613E-3</v>
      </c>
      <c r="L42" s="67" t="s">
        <v>231</v>
      </c>
      <c r="M42" s="68">
        <v>0.18012069476566064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4.7021786740350773E-9</v>
      </c>
      <c r="J43" s="67" t="s">
        <v>231</v>
      </c>
      <c r="K43" s="68">
        <v>3.9479552848049829E-3</v>
      </c>
      <c r="L43" s="67" t="s">
        <v>231</v>
      </c>
      <c r="M43" s="68">
        <v>0.16436193993124135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1.065839843675425E-6</v>
      </c>
      <c r="J44" s="67" t="s">
        <v>231</v>
      </c>
      <c r="K44" s="68">
        <v>1.5661220578479832E-3</v>
      </c>
      <c r="L44" s="67" t="s">
        <v>231</v>
      </c>
      <c r="M44" s="68">
        <v>2.9059622989071207E-2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8.2655878831256141E-5</v>
      </c>
      <c r="J45" s="67" t="s">
        <v>231</v>
      </c>
      <c r="K45" s="68">
        <v>6.6247833939475781E-3</v>
      </c>
      <c r="L45" s="67" t="s">
        <v>231</v>
      </c>
      <c r="M45" s="68">
        <v>0.20255056438623309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1.8599543199002274E-6</v>
      </c>
      <c r="J46" s="67" t="s">
        <v>231</v>
      </c>
      <c r="K46" s="68">
        <v>6.2008657767545633E-3</v>
      </c>
      <c r="L46" s="67" t="s">
        <v>231</v>
      </c>
      <c r="M46" s="68">
        <v>0.18802527192489124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2.4899297680709134E-3</v>
      </c>
      <c r="J47" s="142" t="s">
        <v>231</v>
      </c>
      <c r="K47" s="143">
        <v>0.10564888242712604</v>
      </c>
      <c r="L47" s="142" t="s">
        <v>231</v>
      </c>
      <c r="M47" s="143">
        <v>3.5248748330177455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1.8053107397432801E-6</v>
      </c>
      <c r="J48" s="142" t="s">
        <v>231</v>
      </c>
      <c r="K48" s="143">
        <v>1.1121135166555544E-3</v>
      </c>
      <c r="L48" s="142" t="s">
        <v>231</v>
      </c>
      <c r="M48" s="143">
        <v>1.0204829664374153E-2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5.0300142065779909E-6</v>
      </c>
      <c r="J49" s="142" t="s">
        <v>231</v>
      </c>
      <c r="K49" s="143">
        <v>1.2990487528695615E-3</v>
      </c>
      <c r="L49" s="142" t="s">
        <v>231</v>
      </c>
      <c r="M49" s="143">
        <v>1.7476871049033192E-2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7.0797113099273592E-6</v>
      </c>
      <c r="J50" s="142" t="s">
        <v>231</v>
      </c>
      <c r="K50" s="143">
        <v>1.7642138308281843E-2</v>
      </c>
      <c r="L50" s="142" t="s">
        <v>231</v>
      </c>
      <c r="M50" s="143">
        <v>0.57844685610591295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4.0225614834184617E-8</v>
      </c>
      <c r="J51" s="142" t="s">
        <v>231</v>
      </c>
      <c r="K51" s="143">
        <v>8.5510955834055885E-4</v>
      </c>
      <c r="L51" s="142" t="s">
        <v>231</v>
      </c>
      <c r="M51" s="143">
        <v>1.8504355654219466E-3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1.0754519603127261E-5</v>
      </c>
      <c r="J52" s="142" t="s">
        <v>231</v>
      </c>
      <c r="K52" s="143">
        <v>2.1204473975673815E-3</v>
      </c>
      <c r="L52" s="142" t="s">
        <v>231</v>
      </c>
      <c r="M52" s="143">
        <v>4.8293996706825208E-2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1.5476690858020269E-4</v>
      </c>
      <c r="J53" s="142" t="s">
        <v>231</v>
      </c>
      <c r="K53" s="143">
        <v>8.9190519846988094E-3</v>
      </c>
      <c r="L53" s="142" t="s">
        <v>231</v>
      </c>
      <c r="M53" s="143">
        <v>0.28113793425526634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8.4997323505436406E-4</v>
      </c>
      <c r="J54" s="67" t="s">
        <v>231</v>
      </c>
      <c r="K54" s="68">
        <v>9.6884883846875408E-2</v>
      </c>
      <c r="L54" s="67" t="s">
        <v>231</v>
      </c>
      <c r="M54" s="68">
        <v>3.2297010395363466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1.7058371021399268E-4</v>
      </c>
      <c r="J55" s="67" t="s">
        <v>231</v>
      </c>
      <c r="K55" s="68">
        <v>1.2935724088804671E-2</v>
      </c>
      <c r="L55" s="67" t="s">
        <v>231</v>
      </c>
      <c r="M55" s="68">
        <v>0.42096151841476337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5.0720090132267083E-5</v>
      </c>
      <c r="J56" s="67" t="s">
        <v>231</v>
      </c>
      <c r="K56" s="68">
        <v>7.6151990689630336E-3</v>
      </c>
      <c r="L56" s="67" t="s">
        <v>231</v>
      </c>
      <c r="M56" s="68">
        <v>0.25053177258762832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2.3911247522746893E-5</v>
      </c>
      <c r="J57" s="67" t="s">
        <v>231</v>
      </c>
      <c r="K57" s="68">
        <v>3.7467932097160549E-3</v>
      </c>
      <c r="L57" s="67" t="s">
        <v>231</v>
      </c>
      <c r="M57" s="68">
        <v>0.1223065399333096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2.5845629330626387E-7</v>
      </c>
      <c r="J58" s="67" t="s">
        <v>231</v>
      </c>
      <c r="K58" s="68">
        <v>9.8922544736820687E-5</v>
      </c>
      <c r="L58" s="67" t="s">
        <v>231</v>
      </c>
      <c r="M58" s="68">
        <v>1.5165262884890901E-3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5.7446231742283953E-6</v>
      </c>
      <c r="J59" s="67" t="s">
        <v>231</v>
      </c>
      <c r="K59" s="68">
        <v>1.4388392473600809E-3</v>
      </c>
      <c r="L59" s="67" t="s">
        <v>231</v>
      </c>
      <c r="M59" s="68">
        <v>4.693759639394264E-2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8.971140289735048E-8</v>
      </c>
      <c r="J60" s="67" t="s">
        <v>231</v>
      </c>
      <c r="K60" s="68">
        <v>2.5111715890347847E-5</v>
      </c>
      <c r="L60" s="67" t="s">
        <v>231</v>
      </c>
      <c r="M60" s="68">
        <v>8.1091166812486456E-4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3.3630932544980348E-2</v>
      </c>
      <c r="J61" s="67" t="s">
        <v>232</v>
      </c>
      <c r="K61" s="68">
        <v>1.1254358904211136E-2</v>
      </c>
      <c r="L61" s="67" t="s">
        <v>231</v>
      </c>
      <c r="M61" s="68">
        <v>0.36076945055495996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3.736319478820562E-5</v>
      </c>
      <c r="J62" s="67" t="s">
        <v>231</v>
      </c>
      <c r="K62" s="68">
        <v>4.9798562333755916E-2</v>
      </c>
      <c r="L62" s="67" t="s">
        <v>231</v>
      </c>
      <c r="M62" s="68">
        <v>1.6527277516675594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2.5853584312633942E-4</v>
      </c>
      <c r="J63" s="67" t="s">
        <v>231</v>
      </c>
      <c r="K63" s="68">
        <v>0.11900325346454169</v>
      </c>
      <c r="L63" s="67" t="s">
        <v>231</v>
      </c>
      <c r="M63" s="68">
        <v>3.9762656732946962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1.8690512081264018E-4</v>
      </c>
      <c r="J64" s="67" t="s">
        <v>231</v>
      </c>
      <c r="K64" s="68">
        <v>0.13564264625549108</v>
      </c>
      <c r="L64" s="67" t="s">
        <v>231</v>
      </c>
      <c r="M64" s="68">
        <v>4.543107661763627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2.8615294753174834E-4</v>
      </c>
      <c r="J65" s="67" t="s">
        <v>231</v>
      </c>
      <c r="K65" s="68">
        <v>0.14754330158156331</v>
      </c>
      <c r="L65" s="67" t="s">
        <v>231</v>
      </c>
      <c r="M65" s="68">
        <v>4.9550365415933033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1.1281699192358522E-6</v>
      </c>
      <c r="J66" s="67" t="s">
        <v>231</v>
      </c>
      <c r="K66" s="68">
        <v>0.14154942811547169</v>
      </c>
      <c r="L66" s="67" t="s">
        <v>231</v>
      </c>
      <c r="M66" s="68">
        <v>4.7464731686414403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3.7238374948570787E-4</v>
      </c>
      <c r="J67" s="67" t="s">
        <v>231</v>
      </c>
      <c r="K67" s="68">
        <v>1.8635029513078231E-3</v>
      </c>
      <c r="L67" s="67" t="s">
        <v>231</v>
      </c>
      <c r="M67" s="68">
        <v>3.7323509304316001E-2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1.4814829369399704E-4</v>
      </c>
      <c r="J68" s="67" t="s">
        <v>231</v>
      </c>
      <c r="K68" s="68">
        <v>2.5718231826441242E-3</v>
      </c>
      <c r="L68" s="67" t="s">
        <v>231</v>
      </c>
      <c r="M68" s="68">
        <v>6.251960715704151E-2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2.0495993803320376E-7</v>
      </c>
      <c r="J69" s="67" t="s">
        <v>231</v>
      </c>
      <c r="K69" s="68">
        <v>8.3824411408049707E-2</v>
      </c>
      <c r="L69" s="67" t="s">
        <v>231</v>
      </c>
      <c r="M69" s="68">
        <v>2.7909773996796874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2.2088247193189113E-4</v>
      </c>
      <c r="J70" s="67" t="s">
        <v>231</v>
      </c>
      <c r="K70" s="68">
        <v>1.9683558615485996E-2</v>
      </c>
      <c r="L70" s="67" t="s">
        <v>231</v>
      </c>
      <c r="M70" s="68">
        <v>0.64871054767807945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2.7718799822992101E-4</v>
      </c>
      <c r="J71" s="67" t="s">
        <v>231</v>
      </c>
      <c r="K71" s="68">
        <v>2.4024025638078273E-3</v>
      </c>
      <c r="L71" s="67" t="s">
        <v>231</v>
      </c>
      <c r="M71" s="68">
        <v>5.697227179269216E-2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1.3361645910031133E-6</v>
      </c>
      <c r="J72" s="67" t="s">
        <v>231</v>
      </c>
      <c r="K72" s="68">
        <v>1.9318354820747584E-2</v>
      </c>
      <c r="L72" s="67" t="s">
        <v>231</v>
      </c>
      <c r="M72" s="68">
        <v>0.63632494672351791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4.8664989872185304E-3</v>
      </c>
      <c r="J73" s="67" t="s">
        <v>231</v>
      </c>
      <c r="K73" s="68">
        <v>1.1608772875918135E-2</v>
      </c>
      <c r="L73" s="67" t="s">
        <v>231</v>
      </c>
      <c r="M73" s="68">
        <v>0.37313764451600462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4.6285926703311032E-2</v>
      </c>
      <c r="J74" s="67" t="s">
        <v>232</v>
      </c>
      <c r="K74" s="68">
        <v>1.9604875379544997E-2</v>
      </c>
      <c r="L74" s="67" t="s">
        <v>231</v>
      </c>
      <c r="M74" s="68">
        <v>0.64601818815487333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2.2637929606351001E-13</v>
      </c>
      <c r="J75" s="67" t="s">
        <v>231</v>
      </c>
      <c r="K75" s="68">
        <v>1.3044783619910809E-2</v>
      </c>
      <c r="L75" s="67" t="s">
        <v>231</v>
      </c>
      <c r="M75" s="68">
        <v>0.54739393084320209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1.2454211688204897E-13</v>
      </c>
      <c r="J76" s="67" t="s">
        <v>231</v>
      </c>
      <c r="K76" s="68">
        <v>1.3044783626877448E-2</v>
      </c>
      <c r="L76" s="67" t="s">
        <v>231</v>
      </c>
      <c r="M76" s="68">
        <v>0.54739393113554091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2.4909893414495653E-7</v>
      </c>
      <c r="J77" s="67" t="s">
        <v>231</v>
      </c>
      <c r="K77" s="68">
        <v>1.633546751336884E-2</v>
      </c>
      <c r="L77" s="67" t="s">
        <v>231</v>
      </c>
      <c r="M77" s="68">
        <v>0.53426867146589074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9.0885579274904856E-4</v>
      </c>
      <c r="J78" s="67" t="s">
        <v>231</v>
      </c>
      <c r="K78" s="68">
        <v>5.4732553005773571E-3</v>
      </c>
      <c r="L78" s="67" t="s">
        <v>231</v>
      </c>
      <c r="M78" s="68">
        <v>0.1637923680015558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1.6759093043479249E-5</v>
      </c>
      <c r="J79" s="67" t="s">
        <v>231</v>
      </c>
      <c r="K79" s="68">
        <v>9.0628718358076281E-3</v>
      </c>
      <c r="L79" s="67" t="s">
        <v>231</v>
      </c>
      <c r="M79" s="68">
        <v>0.28618860425412657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1.3412337530074153E-14</v>
      </c>
      <c r="J80" s="67" t="s">
        <v>231</v>
      </c>
      <c r="K80" s="68">
        <v>2.5213430980546597E-2</v>
      </c>
      <c r="L80" s="67" t="s">
        <v>231</v>
      </c>
      <c r="M80" s="68">
        <v>1.058234227534776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2.2037221395157364E-5</v>
      </c>
      <c r="J81" s="67" t="s">
        <v>231</v>
      </c>
      <c r="K81" s="68">
        <v>9.0856488317859975E-4</v>
      </c>
      <c r="L81" s="67" t="s">
        <v>231</v>
      </c>
      <c r="M81" s="68">
        <v>1.6861398990920737E-3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3.3323937474602822E-5</v>
      </c>
      <c r="J82" s="67" t="s">
        <v>231</v>
      </c>
      <c r="K82" s="68">
        <v>2.9780709126744887E-3</v>
      </c>
      <c r="L82" s="67" t="s">
        <v>231</v>
      </c>
      <c r="M82" s="68">
        <v>7.6478125804950878E-2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2.7607610815186213E-5</v>
      </c>
      <c r="J83" s="67" t="s">
        <v>231</v>
      </c>
      <c r="K83" s="68">
        <v>1.5900340312872938E-2</v>
      </c>
      <c r="L83" s="67" t="s">
        <v>231</v>
      </c>
      <c r="M83" s="68">
        <v>0.51892458508231898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6.0643418204316177E-6</v>
      </c>
      <c r="J84" s="67" t="s">
        <v>231</v>
      </c>
      <c r="K84" s="68">
        <v>1.0341586188797938E-3</v>
      </c>
      <c r="L84" s="67" t="s">
        <v>231</v>
      </c>
      <c r="M84" s="68">
        <v>6.8335293936825697E-3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3.3090336115305538E-8</v>
      </c>
      <c r="J85" s="67" t="s">
        <v>231</v>
      </c>
      <c r="K85" s="68">
        <v>8.8295593170435098E-4</v>
      </c>
      <c r="L85" s="67" t="s">
        <v>231</v>
      </c>
      <c r="M85" s="68">
        <v>3.4585293937995019E-4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2.3798109573799941E-6</v>
      </c>
      <c r="J86" s="67" t="s">
        <v>231</v>
      </c>
      <c r="K86" s="68">
        <v>1.0264570053597601E-3</v>
      </c>
      <c r="L86" s="67" t="s">
        <v>231</v>
      </c>
      <c r="M86" s="68">
        <v>6.5333470715593523E-3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2.8758042034939179E-3</v>
      </c>
      <c r="J87" s="67" t="s">
        <v>231</v>
      </c>
      <c r="K87" s="68">
        <v>0.11109767260699663</v>
      </c>
      <c r="L87" s="67" t="s">
        <v>231</v>
      </c>
      <c r="M87" s="68">
        <v>3.7087807777614095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9.8524517888977356E-5</v>
      </c>
      <c r="J88" s="67" t="s">
        <v>231</v>
      </c>
      <c r="K88" s="68">
        <v>4.671178274982239E-3</v>
      </c>
      <c r="L88" s="67" t="s">
        <v>231</v>
      </c>
      <c r="M88" s="68">
        <v>0.13527659431359618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2.6838809825255008E-5</v>
      </c>
      <c r="J89" s="67" t="s">
        <v>231</v>
      </c>
      <c r="K89" s="68">
        <v>3.2383239821416054E-3</v>
      </c>
      <c r="L89" s="67" t="s">
        <v>231</v>
      </c>
      <c r="M89" s="68">
        <v>8.5562683464180653E-2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1.7606408100751375E-6</v>
      </c>
      <c r="J90" s="67" t="s">
        <v>231</v>
      </c>
      <c r="K90" s="68">
        <v>1.4590409572443775E-3</v>
      </c>
      <c r="L90" s="67" t="s">
        <v>231</v>
      </c>
      <c r="M90" s="68">
        <v>2.2644952066995482E-2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2.2622267394643977E-3</v>
      </c>
      <c r="J91" s="67" t="s">
        <v>231</v>
      </c>
      <c r="K91" s="68">
        <v>5.4611882076342044E-2</v>
      </c>
      <c r="L91" s="67" t="s">
        <v>231</v>
      </c>
      <c r="M91" s="68">
        <v>1.8133751918666887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1.8448887579266063E-2</v>
      </c>
      <c r="J92" s="67" t="s">
        <v>232</v>
      </c>
      <c r="K92" s="68">
        <v>1.4285845095331736E-2</v>
      </c>
      <c r="L92" s="67" t="s">
        <v>231</v>
      </c>
      <c r="M92" s="68">
        <v>0.46397089874606523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5.635083500055529E-3</v>
      </c>
      <c r="J93" s="67" t="s">
        <v>231</v>
      </c>
      <c r="K93" s="68">
        <v>1.9215022272206329E-2</v>
      </c>
      <c r="L93" s="67" t="s">
        <v>231</v>
      </c>
      <c r="M93" s="68">
        <v>0.63226988172161847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6.4801123772709878E-9</v>
      </c>
      <c r="J94" s="67" t="s">
        <v>231</v>
      </c>
      <c r="K94" s="68">
        <v>1.0731996538353675E-3</v>
      </c>
      <c r="L94" s="67" t="s">
        <v>231</v>
      </c>
      <c r="M94" s="68">
        <v>1.1874762014912136E-2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4.3704352127689854E-5</v>
      </c>
      <c r="J95" s="67" t="s">
        <v>231</v>
      </c>
      <c r="K95" s="68">
        <v>2.7535808598136598E-2</v>
      </c>
      <c r="L95" s="67" t="s">
        <v>231</v>
      </c>
      <c r="M95" s="68">
        <v>0.91121423083760889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9.7173519898117381E-8</v>
      </c>
      <c r="J96" s="67" t="s">
        <v>231</v>
      </c>
      <c r="K96" s="68">
        <v>9.112081423695409E-4</v>
      </c>
      <c r="L96" s="67" t="s">
        <v>231</v>
      </c>
      <c r="M96" s="68">
        <v>1.8064649745297143E-3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3.4441715860304567E-8</v>
      </c>
      <c r="J97" s="67" t="s">
        <v>231</v>
      </c>
      <c r="K97" s="68">
        <v>1.0381479543959736E-3</v>
      </c>
      <c r="L97" s="67" t="s">
        <v>231</v>
      </c>
      <c r="M97" s="68">
        <v>6.988617869274516E-3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8.6062345338461153E-6</v>
      </c>
      <c r="J98" s="67" t="s">
        <v>231</v>
      </c>
      <c r="K98" s="68">
        <v>2.0011306379717552E-2</v>
      </c>
      <c r="L98" s="67" t="s">
        <v>231</v>
      </c>
      <c r="M98" s="68">
        <v>0.66022373750679153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4.2002482052647878E-8</v>
      </c>
      <c r="J99" s="67" t="s">
        <v>231</v>
      </c>
      <c r="K99" s="68">
        <v>8.8114873776013814E-4</v>
      </c>
      <c r="L99" s="67" t="s">
        <v>231</v>
      </c>
      <c r="M99" s="68">
        <v>1.7824474931112623E-4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4.99288797234567E-5</v>
      </c>
      <c r="J100" s="67" t="s">
        <v>231</v>
      </c>
      <c r="K100" s="68">
        <v>8.2581841759535191E-3</v>
      </c>
      <c r="L100" s="67" t="s">
        <v>231</v>
      </c>
      <c r="M100" s="68">
        <v>0.25849767544587604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1.3096208993378413E-5</v>
      </c>
      <c r="J101" s="67" t="s">
        <v>231</v>
      </c>
      <c r="K101" s="68">
        <v>8.8446501773342331E-4</v>
      </c>
      <c r="L101" s="67" t="s">
        <v>231</v>
      </c>
      <c r="M101" s="68">
        <v>4.5169890040460656E-4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6.4553578258243005E-11</v>
      </c>
      <c r="J102" s="67" t="s">
        <v>231</v>
      </c>
      <c r="K102" s="68">
        <v>8.8113238417825493E-4</v>
      </c>
      <c r="L102" s="67" t="s">
        <v>231</v>
      </c>
      <c r="M102" s="68">
        <v>3.8247379074115957E-5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9.188783072480347E-9</v>
      </c>
      <c r="J103" s="67" t="s">
        <v>231</v>
      </c>
      <c r="K103" s="68">
        <v>8.8107734232352355E-4</v>
      </c>
      <c r="L103" s="67" t="s">
        <v>231</v>
      </c>
      <c r="M103" s="68">
        <v>1.6816534932921056E-4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4.2181981985764577E-7</v>
      </c>
      <c r="J104" s="67" t="s">
        <v>231</v>
      </c>
      <c r="K104" s="68">
        <v>9.5891763697587688E-4</v>
      </c>
      <c r="L104" s="67" t="s">
        <v>231</v>
      </c>
      <c r="M104" s="68">
        <v>3.8406696455741997E-3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5.8067766761894111E-8</v>
      </c>
      <c r="J105" s="67" t="s">
        <v>231</v>
      </c>
      <c r="K105" s="68">
        <v>8.8095760228136478E-4</v>
      </c>
      <c r="L105" s="67" t="s">
        <v>231</v>
      </c>
      <c r="M105" s="68">
        <v>5.3030789660032078E-5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5.0665065207145865E-7</v>
      </c>
      <c r="J106" s="67" t="s">
        <v>231</v>
      </c>
      <c r="K106" s="68">
        <v>1.78885249685213E-3</v>
      </c>
      <c r="L106" s="67" t="s">
        <v>231</v>
      </c>
      <c r="M106" s="68">
        <v>3.4521499122497176E-2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6.1430359544975538E-5</v>
      </c>
      <c r="J107" s="67" t="s">
        <v>231</v>
      </c>
      <c r="K107" s="68">
        <v>2.0148432878089626E-2</v>
      </c>
      <c r="L107" s="67" t="s">
        <v>231</v>
      </c>
      <c r="M107" s="68">
        <v>0.66531394950370237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6.7337482384512132E-5</v>
      </c>
      <c r="J108" s="67" t="s">
        <v>231</v>
      </c>
      <c r="K108" s="68">
        <v>6.974252921400621E-3</v>
      </c>
      <c r="L108" s="67" t="s">
        <v>231</v>
      </c>
      <c r="M108" s="68">
        <v>0.21452429185241753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313</v>
      </c>
      <c r="B2" s="16" t="s">
        <v>314</v>
      </c>
      <c r="D2" s="14">
        <v>1</v>
      </c>
      <c r="E2" s="14">
        <v>0.82026226954841064</v>
      </c>
      <c r="F2" s="14">
        <v>0.77566947921376816</v>
      </c>
      <c r="G2" s="14">
        <v>1.0079179763978064E-6</v>
      </c>
      <c r="H2" s="14">
        <v>10.480854773980834</v>
      </c>
      <c r="I2" s="14">
        <v>28.265317883251107</v>
      </c>
      <c r="J2" s="14">
        <v>0</v>
      </c>
      <c r="K2" s="14">
        <v>1.2892089050785098</v>
      </c>
      <c r="L2" s="14">
        <v>0.77566947921376816</v>
      </c>
      <c r="M2" s="14">
        <v>0.63643680769489674</v>
      </c>
      <c r="N2" s="14">
        <v>2.3066624010099051</v>
      </c>
      <c r="O2" s="14">
        <v>424.67961464993363</v>
      </c>
      <c r="P2" s="14">
        <v>2.3066624010099051</v>
      </c>
      <c r="Q2" s="8">
        <v>0.12062959620675985</v>
      </c>
      <c r="R2" s="54">
        <v>0.50650979836539356</v>
      </c>
      <c r="T2" s="102"/>
    </row>
    <row r="3" spans="1:21">
      <c r="A3" s="2" t="s">
        <v>315</v>
      </c>
      <c r="B3" s="16" t="s">
        <v>316</v>
      </c>
      <c r="D3" s="14">
        <v>1</v>
      </c>
      <c r="E3" s="14">
        <v>0.87420018232947083</v>
      </c>
      <c r="F3" s="14">
        <v>6.37573136652114E-4</v>
      </c>
      <c r="G3" s="14">
        <v>3.8659701640782811E-5</v>
      </c>
      <c r="H3" s="14">
        <v>66.931415582329578</v>
      </c>
      <c r="I3" s="14">
        <v>1679.1410582185954</v>
      </c>
      <c r="J3" s="14">
        <v>0</v>
      </c>
      <c r="K3" s="14">
        <v>1568.4475121567755</v>
      </c>
      <c r="L3" s="14">
        <v>6.37573136652114E-4</v>
      </c>
      <c r="M3" s="14">
        <v>5.2312875862305954E-4</v>
      </c>
      <c r="N3" s="14">
        <v>105.28129486135576</v>
      </c>
      <c r="O3" s="14">
        <v>38418.197307857336</v>
      </c>
      <c r="P3" s="14">
        <v>105.28129486135576</v>
      </c>
      <c r="Q3" s="8">
        <v>5.3713961196175122E-2</v>
      </c>
      <c r="R3" s="54">
        <v>0.64739271114032104</v>
      </c>
      <c r="T3" s="109"/>
      <c r="U3" s="22"/>
    </row>
    <row r="4" spans="1:21">
      <c r="A4" s="2" t="s">
        <v>317</v>
      </c>
      <c r="B4" s="16" t="s">
        <v>318</v>
      </c>
      <c r="D4" s="14">
        <v>1</v>
      </c>
      <c r="E4" s="14">
        <v>0.66293399977247536</v>
      </c>
      <c r="F4" s="14">
        <v>0.35395363826136533</v>
      </c>
      <c r="G4" s="14">
        <v>4.8884915458457869E-14</v>
      </c>
      <c r="H4" s="14">
        <v>71.21088460734731</v>
      </c>
      <c r="I4" s="14">
        <v>157.39957361057208</v>
      </c>
      <c r="J4" s="14">
        <v>0</v>
      </c>
      <c r="K4" s="14">
        <v>2.8252287641738638</v>
      </c>
      <c r="L4" s="14">
        <v>0.35395363826136533</v>
      </c>
      <c r="M4" s="14">
        <v>0.29041896019345026</v>
      </c>
      <c r="N4" s="14">
        <v>9.5320209678494709</v>
      </c>
      <c r="O4" s="14">
        <v>3024.7008935179938</v>
      </c>
      <c r="P4" s="14">
        <v>9.5320209678494709</v>
      </c>
      <c r="Q4" s="8">
        <v>0.22490729980437021</v>
      </c>
      <c r="R4" s="54">
        <v>0.64337253004729089</v>
      </c>
      <c r="T4" s="102"/>
    </row>
    <row r="5" spans="1:21">
      <c r="A5" s="2" t="s">
        <v>307</v>
      </c>
      <c r="B5" s="16" t="s">
        <v>308</v>
      </c>
      <c r="D5" s="14">
        <v>1</v>
      </c>
      <c r="E5" s="14">
        <v>0.87172860423481491</v>
      </c>
      <c r="F5" s="14">
        <v>6.8847684594722722E-3</v>
      </c>
      <c r="G5" s="14">
        <v>1.3224456330723352E-6</v>
      </c>
      <c r="H5" s="14">
        <v>190.5238457191509</v>
      </c>
      <c r="I5" s="14">
        <v>511.92520152222227</v>
      </c>
      <c r="J5" s="14">
        <v>0</v>
      </c>
      <c r="K5" s="14">
        <v>145.24816715138326</v>
      </c>
      <c r="L5" s="14">
        <v>6.8847684594722722E-3</v>
      </c>
      <c r="M5" s="14">
        <v>5.6489525209969995E-3</v>
      </c>
      <c r="N5" s="14">
        <v>31.215392607750886</v>
      </c>
      <c r="O5" s="14">
        <v>10943.804494351383</v>
      </c>
      <c r="P5" s="14">
        <v>31.215392607750889</v>
      </c>
      <c r="Q5" s="8">
        <v>7.7948275225136768E-2</v>
      </c>
      <c r="R5" s="54">
        <v>0.64768696881783161</v>
      </c>
      <c r="T5" s="102"/>
    </row>
    <row r="6" spans="1:21">
      <c r="A6" s="2" t="s">
        <v>319</v>
      </c>
      <c r="B6" s="16" t="s">
        <v>320</v>
      </c>
      <c r="D6" s="14">
        <v>1</v>
      </c>
      <c r="E6" s="14">
        <v>0.88932823167278463</v>
      </c>
      <c r="F6" s="14">
        <v>2.8551945881547322E-4</v>
      </c>
      <c r="G6" s="14">
        <v>1.2613168555842384E-7</v>
      </c>
      <c r="H6" s="14">
        <v>42.746022672306609</v>
      </c>
      <c r="I6" s="14">
        <v>1943.8058397704838</v>
      </c>
      <c r="J6" s="14">
        <v>0</v>
      </c>
      <c r="K6" s="14">
        <v>3502.3882580496361</v>
      </c>
      <c r="L6" s="14">
        <v>2.8551945881547322E-4</v>
      </c>
      <c r="M6" s="14">
        <v>2.3426871595809578E-4</v>
      </c>
      <c r="N6" s="14">
        <v>122.79320691830482</v>
      </c>
      <c r="O6" s="14">
        <v>43528.963920469876</v>
      </c>
      <c r="P6" s="14">
        <v>122.79320691830482</v>
      </c>
      <c r="Q6" s="8">
        <v>4.1044302765011427E-2</v>
      </c>
      <c r="R6" s="54">
        <v>1.5942858720155918E-2</v>
      </c>
      <c r="T6" s="102"/>
    </row>
    <row r="7" spans="1:21">
      <c r="A7" s="2" t="s">
        <v>321</v>
      </c>
      <c r="B7" s="16" t="s">
        <v>322</v>
      </c>
      <c r="D7" s="14">
        <v>1</v>
      </c>
      <c r="E7" s="14">
        <v>0.87894153087996973</v>
      </c>
      <c r="F7" s="14">
        <v>5.7072136516797697E-4</v>
      </c>
      <c r="G7" s="14">
        <v>1.8599986050831111E-7</v>
      </c>
      <c r="H7" s="14">
        <v>63.107958436367902</v>
      </c>
      <c r="I7" s="14">
        <v>1727.1947196117235</v>
      </c>
      <c r="J7" s="14">
        <v>0</v>
      </c>
      <c r="K7" s="14">
        <v>1752.1685029360624</v>
      </c>
      <c r="L7" s="14">
        <v>5.7072136516797697E-4</v>
      </c>
      <c r="M7" s="14">
        <v>4.6827688012032514E-4</v>
      </c>
      <c r="N7" s="14">
        <v>108.41304579874436</v>
      </c>
      <c r="O7" s="14">
        <v>38431.340605196892</v>
      </c>
      <c r="P7" s="14">
        <v>108.41304579874436</v>
      </c>
      <c r="Q7" s="8">
        <v>5.1992571963348735E-2</v>
      </c>
      <c r="R7" s="54">
        <v>0.44539944042321422</v>
      </c>
    </row>
    <row r="8" spans="1:21">
      <c r="A8" s="2" t="s">
        <v>323</v>
      </c>
      <c r="B8" s="16" t="s">
        <v>324</v>
      </c>
      <c r="D8" s="14">
        <v>1</v>
      </c>
      <c r="E8" s="14">
        <v>0.86787779287945233</v>
      </c>
      <c r="F8" s="14">
        <v>1.2728943518147489E-3</v>
      </c>
      <c r="G8" s="14">
        <v>1.7588987776549811E-6</v>
      </c>
      <c r="H8" s="14">
        <v>96.163964489576273</v>
      </c>
      <c r="I8" s="14">
        <v>1390.175179260141</v>
      </c>
      <c r="J8" s="14">
        <v>0</v>
      </c>
      <c r="K8" s="14">
        <v>785.6111534899286</v>
      </c>
      <c r="L8" s="14">
        <v>1.2728943518147491E-3</v>
      </c>
      <c r="M8" s="14">
        <v>1.0444098156640015E-3</v>
      </c>
      <c r="N8" s="14">
        <v>86.560972531071158</v>
      </c>
      <c r="O8" s="14">
        <v>27702.973648844018</v>
      </c>
      <c r="P8" s="14">
        <v>86.560972531071172</v>
      </c>
      <c r="Q8" s="8">
        <v>6.5353602183487208E-2</v>
      </c>
      <c r="R8" s="54">
        <v>0.5631338766446663</v>
      </c>
    </row>
    <row r="9" spans="1:21">
      <c r="A9" s="2" t="s">
        <v>325</v>
      </c>
      <c r="B9" s="16" t="s">
        <v>326</v>
      </c>
      <c r="D9" s="14">
        <v>1</v>
      </c>
      <c r="E9" s="14">
        <v>0.77024334772067593</v>
      </c>
      <c r="F9" s="14">
        <v>5.9293371410039437E-2</v>
      </c>
      <c r="G9" s="14">
        <v>1.1209716589134344E-6</v>
      </c>
      <c r="H9" s="14">
        <v>168.95309229970917</v>
      </c>
      <c r="I9" s="14">
        <v>307.20148853274912</v>
      </c>
      <c r="J9" s="14">
        <v>0</v>
      </c>
      <c r="K9" s="14">
        <v>16.865291620619196</v>
      </c>
      <c r="L9" s="14">
        <v>5.9293371410039437E-2</v>
      </c>
      <c r="M9" s="14">
        <v>4.8650211241937358E-2</v>
      </c>
      <c r="N9" s="14">
        <v>18.394841164084706</v>
      </c>
      <c r="O9" s="14">
        <v>5598.4699082891811</v>
      </c>
      <c r="P9" s="14">
        <v>18.394841164084706</v>
      </c>
      <c r="Q9" s="8">
        <v>0.14997653503924741</v>
      </c>
      <c r="R9" s="54">
        <v>0.60961518703604822</v>
      </c>
    </row>
    <row r="10" spans="1:21">
      <c r="A10" s="2" t="s">
        <v>275</v>
      </c>
      <c r="B10" s="16" t="s">
        <v>276</v>
      </c>
      <c r="D10" s="14">
        <v>1</v>
      </c>
      <c r="E10" s="14">
        <v>0.87038945333459239</v>
      </c>
      <c r="F10" s="14">
        <v>6.3989122766794039E-3</v>
      </c>
      <c r="G10" s="14">
        <v>1.6980663042965458E-8</v>
      </c>
      <c r="H10" s="14">
        <v>186.52032195493305</v>
      </c>
      <c r="I10" s="14">
        <v>546.74312055604184</v>
      </c>
      <c r="J10" s="14">
        <v>0</v>
      </c>
      <c r="K10" s="14">
        <v>156.27656025922758</v>
      </c>
      <c r="L10" s="14">
        <v>6.3989122766794039E-3</v>
      </c>
      <c r="M10" s="14">
        <v>5.2503075230154513E-3</v>
      </c>
      <c r="N10" s="14">
        <v>33.373948984359821</v>
      </c>
      <c r="O10" s="14">
        <v>12364.71435921547</v>
      </c>
      <c r="P10" s="14">
        <v>33.373948984359821</v>
      </c>
      <c r="Q10" s="8">
        <v>7.8339956704706587E-2</v>
      </c>
      <c r="R10" s="54">
        <v>0.40817610710510821</v>
      </c>
    </row>
    <row r="11" spans="1:21">
      <c r="A11" s="2" t="s">
        <v>327</v>
      </c>
      <c r="B11" s="16" t="s">
        <v>328</v>
      </c>
      <c r="D11" s="14">
        <v>1</v>
      </c>
      <c r="E11" s="14">
        <v>0.86815894305678643</v>
      </c>
      <c r="F11" s="14">
        <v>5.6462071952634221E-3</v>
      </c>
      <c r="G11" s="14">
        <v>8.8349744686297351E-7</v>
      </c>
      <c r="H11" s="14">
        <v>179.4637800765469</v>
      </c>
      <c r="I11" s="14">
        <v>608.1825874061326</v>
      </c>
      <c r="J11" s="14">
        <v>0</v>
      </c>
      <c r="K11" s="14">
        <v>177.11004315231213</v>
      </c>
      <c r="L11" s="14">
        <v>5.6462071952634221E-3</v>
      </c>
      <c r="M11" s="14">
        <v>4.632713003713638E-3</v>
      </c>
      <c r="N11" s="14">
        <v>37.190466844178388</v>
      </c>
      <c r="O11" s="14">
        <v>14166.220725615991</v>
      </c>
      <c r="P11" s="14">
        <v>37.190466844178388</v>
      </c>
      <c r="Q11" s="8">
        <v>7.8746993528125253E-2</v>
      </c>
      <c r="R11" s="54">
        <v>0.29944633252750819</v>
      </c>
    </row>
    <row r="12" spans="1:21">
      <c r="A12" s="2" t="s">
        <v>329</v>
      </c>
      <c r="B12" s="16" t="s">
        <v>330</v>
      </c>
      <c r="D12" s="14">
        <v>1</v>
      </c>
      <c r="E12" s="14">
        <v>0.80466785072565183</v>
      </c>
      <c r="F12" s="14">
        <v>3.8048968640241265E-2</v>
      </c>
      <c r="G12" s="14">
        <v>5.8639651003268197E-7</v>
      </c>
      <c r="H12" s="14">
        <v>183.30017906797733</v>
      </c>
      <c r="I12" s="14">
        <v>320.64174250522728</v>
      </c>
      <c r="J12" s="14">
        <v>0</v>
      </c>
      <c r="K12" s="14">
        <v>26.28192131710982</v>
      </c>
      <c r="L12" s="14">
        <v>3.8048968640241265E-2</v>
      </c>
      <c r="M12" s="14">
        <v>3.1219178769317957E-2</v>
      </c>
      <c r="N12" s="14">
        <v>19.251381593402918</v>
      </c>
      <c r="O12" s="14">
        <v>5282.5791092297604</v>
      </c>
      <c r="P12" s="14">
        <v>19.251381593402918</v>
      </c>
      <c r="Q12" s="8">
        <v>0.12653773604652838</v>
      </c>
      <c r="R12" s="54">
        <v>2.0575519549267521E-2</v>
      </c>
    </row>
    <row r="13" spans="1:21">
      <c r="A13" s="2" t="s">
        <v>277</v>
      </c>
      <c r="B13" s="16" t="s">
        <v>278</v>
      </c>
      <c r="D13" s="14">
        <v>1</v>
      </c>
      <c r="E13" s="14">
        <v>0.77353805287821031</v>
      </c>
      <c r="F13" s="14">
        <v>5.6886664241289832E-2</v>
      </c>
      <c r="G13" s="14">
        <v>1.7446927474611218E-6</v>
      </c>
      <c r="H13" s="14">
        <v>170.40819175424997</v>
      </c>
      <c r="I13" s="14">
        <v>308.70782563327822</v>
      </c>
      <c r="J13" s="14">
        <v>0</v>
      </c>
      <c r="K13" s="14">
        <v>17.578812421807882</v>
      </c>
      <c r="L13" s="14">
        <v>5.6886664241289832E-2</v>
      </c>
      <c r="M13" s="14">
        <v>4.6675508009978307E-2</v>
      </c>
      <c r="N13" s="14">
        <v>18.489319540859416</v>
      </c>
      <c r="O13" s="14">
        <v>7523.8588007619219</v>
      </c>
      <c r="P13" s="14">
        <v>18.489319540859416</v>
      </c>
      <c r="Q13" s="8">
        <v>0.14768882620262735</v>
      </c>
      <c r="R13" s="54">
        <v>6.7855953736643071E-3</v>
      </c>
    </row>
    <row r="14" spans="1:21">
      <c r="A14" s="2" t="s">
        <v>331</v>
      </c>
      <c r="B14" s="16" t="s">
        <v>332</v>
      </c>
      <c r="D14" s="14">
        <v>1</v>
      </c>
      <c r="E14" s="14">
        <v>0.86372287470338205</v>
      </c>
      <c r="F14" s="14">
        <v>3.736041046481686E-3</v>
      </c>
      <c r="G14" s="14">
        <v>5.8711087750504416E-7</v>
      </c>
      <c r="H14" s="14">
        <v>155.30721753862281</v>
      </c>
      <c r="I14" s="14">
        <v>825.18022118796171</v>
      </c>
      <c r="J14" s="14">
        <v>0</v>
      </c>
      <c r="K14" s="14">
        <v>267.66301214536242</v>
      </c>
      <c r="L14" s="14">
        <v>3.736041046481686E-3</v>
      </c>
      <c r="M14" s="14">
        <v>3.0654216786382233E-3</v>
      </c>
      <c r="N14" s="14">
        <v>50.74155524265155</v>
      </c>
      <c r="O14" s="14">
        <v>19327.965807478406</v>
      </c>
      <c r="P14" s="14">
        <v>50.741555242651557</v>
      </c>
      <c r="Q14" s="8">
        <v>7.8045669375160109E-2</v>
      </c>
      <c r="R14" s="54">
        <v>5.5779412875837182E-4</v>
      </c>
    </row>
    <row r="15" spans="1:21">
      <c r="A15" s="2" t="s">
        <v>333</v>
      </c>
      <c r="B15" s="16" t="s">
        <v>334</v>
      </c>
      <c r="D15" s="14">
        <v>1</v>
      </c>
      <c r="E15" s="14">
        <v>0.86927012648947011</v>
      </c>
      <c r="F15" s="14">
        <v>6.0138196309490648E-3</v>
      </c>
      <c r="G15" s="14">
        <v>9.6227429800151877E-10</v>
      </c>
      <c r="H15" s="14">
        <v>183.05028037264768</v>
      </c>
      <c r="I15" s="14">
        <v>576.93590702591234</v>
      </c>
      <c r="J15" s="14">
        <v>0</v>
      </c>
      <c r="K15" s="14">
        <v>166.28367017422269</v>
      </c>
      <c r="L15" s="14">
        <v>6.0138196309490648E-3</v>
      </c>
      <c r="M15" s="14">
        <v>4.9343390071937077E-3</v>
      </c>
      <c r="N15" s="14">
        <v>35.248288618553701</v>
      </c>
      <c r="O15" s="14">
        <v>13552.262008061529</v>
      </c>
      <c r="P15" s="14">
        <v>35.248288618553708</v>
      </c>
      <c r="Q15" s="8">
        <v>7.8582812665529453E-2</v>
      </c>
      <c r="R15" s="54">
        <v>0.64526076538009502</v>
      </c>
    </row>
    <row r="16" spans="1:21">
      <c r="A16" s="2" t="s">
        <v>335</v>
      </c>
      <c r="B16" s="16" t="s">
        <v>336</v>
      </c>
      <c r="D16" s="14">
        <v>1</v>
      </c>
      <c r="E16" s="14">
        <v>0.86727617048698669</v>
      </c>
      <c r="F16" s="14">
        <v>1.3171212565165245E-3</v>
      </c>
      <c r="G16" s="14">
        <v>4.5704003720753118E-6</v>
      </c>
      <c r="H16" s="14">
        <v>97.797050904443935</v>
      </c>
      <c r="I16" s="14">
        <v>1373.3553684046872</v>
      </c>
      <c r="J16" s="14">
        <v>0</v>
      </c>
      <c r="K16" s="14">
        <v>759.2315400366133</v>
      </c>
      <c r="L16" s="14">
        <v>1.3171212565165245E-3</v>
      </c>
      <c r="M16" s="14">
        <v>1.0806979909718083E-3</v>
      </c>
      <c r="N16" s="14">
        <v>85.482511913268283</v>
      </c>
      <c r="O16" s="14">
        <v>31912.331347461313</v>
      </c>
      <c r="P16" s="14">
        <v>85.482511913268283</v>
      </c>
      <c r="Q16" s="8">
        <v>6.5884450708849268E-2</v>
      </c>
      <c r="R16" s="54">
        <v>0.19112754422111536</v>
      </c>
    </row>
    <row r="17" spans="1:22">
      <c r="A17" s="2" t="s">
        <v>337</v>
      </c>
      <c r="B17" s="16" t="s">
        <v>338</v>
      </c>
      <c r="D17" s="14">
        <v>1</v>
      </c>
      <c r="E17" s="14">
        <v>0.87131391893866217</v>
      </c>
      <c r="F17" s="14">
        <v>6.7201248753352375E-3</v>
      </c>
      <c r="G17" s="14">
        <v>3.3961419238754904E-7</v>
      </c>
      <c r="H17" s="14">
        <v>189.21577605646212</v>
      </c>
      <c r="I17" s="14">
        <v>523.37685610811729</v>
      </c>
      <c r="J17" s="14">
        <v>0</v>
      </c>
      <c r="K17" s="14">
        <v>148.80675858722256</v>
      </c>
      <c r="L17" s="14">
        <v>6.7201248753352384E-3</v>
      </c>
      <c r="M17" s="14">
        <v>5.513862460212563E-3</v>
      </c>
      <c r="N17" s="14">
        <v>31.924978292654679</v>
      </c>
      <c r="O17" s="14">
        <v>12429.032548896319</v>
      </c>
      <c r="P17" s="14">
        <v>31.924978292654679</v>
      </c>
      <c r="Q17" s="8">
        <v>7.8093432853113515E-2</v>
      </c>
      <c r="R17" s="54">
        <v>0.11132121106806854</v>
      </c>
    </row>
    <row r="18" spans="1:22">
      <c r="A18" s="2" t="s">
        <v>279</v>
      </c>
      <c r="B18" s="16" t="s">
        <v>280</v>
      </c>
      <c r="D18" s="14">
        <v>1</v>
      </c>
      <c r="E18" s="14">
        <v>0.75297267562619685</v>
      </c>
      <c r="F18" s="14">
        <v>7.1038628772921483E-2</v>
      </c>
      <c r="G18" s="14">
        <v>3.3693261881874494E-5</v>
      </c>
      <c r="H18" s="14">
        <v>161.6272448451532</v>
      </c>
      <c r="I18" s="14">
        <v>298.79390942235989</v>
      </c>
      <c r="J18" s="14">
        <v>0</v>
      </c>
      <c r="K18" s="14">
        <v>14.076848290477983</v>
      </c>
      <c r="L18" s="14">
        <v>7.1038628772921497E-2</v>
      </c>
      <c r="M18" s="14">
        <v>5.8287194908182086E-2</v>
      </c>
      <c r="N18" s="14">
        <v>17.874222537742657</v>
      </c>
      <c r="O18" s="14">
        <v>5198.3601406516964</v>
      </c>
      <c r="P18" s="14">
        <v>17.874222537742657</v>
      </c>
      <c r="Q18" s="8">
        <v>0.15979814760652489</v>
      </c>
      <c r="R18" s="54">
        <v>0.14925670744053277</v>
      </c>
    </row>
    <row r="19" spans="1:22">
      <c r="A19" s="2" t="s">
        <v>339</v>
      </c>
      <c r="B19" s="16" t="s">
        <v>340</v>
      </c>
      <c r="D19" s="14">
        <v>1</v>
      </c>
      <c r="E19" s="14">
        <v>0.86905507879914889</v>
      </c>
      <c r="F19" s="14">
        <v>5.9389697177189334E-3</v>
      </c>
      <c r="G19" s="14">
        <v>3.3722487203329165E-9</v>
      </c>
      <c r="H19" s="14">
        <v>182.34384606111354</v>
      </c>
      <c r="I19" s="14">
        <v>583.10703573567287</v>
      </c>
      <c r="J19" s="14">
        <v>0</v>
      </c>
      <c r="K19" s="14">
        <v>168.37937344864667</v>
      </c>
      <c r="L19" s="14">
        <v>5.9389697177189334E-3</v>
      </c>
      <c r="M19" s="14">
        <v>4.8729246533883849E-3</v>
      </c>
      <c r="N19" s="14">
        <v>35.631664385738475</v>
      </c>
      <c r="O19" s="14">
        <v>12316.084794930503</v>
      </c>
      <c r="P19" s="14">
        <v>35.631664385738475</v>
      </c>
      <c r="Q19" s="8">
        <v>7.8622759321553035E-2</v>
      </c>
      <c r="R19" s="54">
        <v>2.2322475832670069E-3</v>
      </c>
    </row>
    <row r="20" spans="1:22">
      <c r="A20" s="2" t="s">
        <v>281</v>
      </c>
      <c r="B20" s="16" t="s">
        <v>282</v>
      </c>
      <c r="D20" s="14">
        <v>1</v>
      </c>
      <c r="E20" s="14">
        <v>0.77364114524387639</v>
      </c>
      <c r="F20" s="14">
        <v>5.6894245743931704E-2</v>
      </c>
      <c r="G20" s="14">
        <v>2.6410512690534619E-7</v>
      </c>
      <c r="H20" s="14">
        <v>170.4309027037003</v>
      </c>
      <c r="I20" s="14">
        <v>308.74896830224679</v>
      </c>
      <c r="J20" s="14">
        <v>0</v>
      </c>
      <c r="K20" s="14">
        <v>17.576469938643299</v>
      </c>
      <c r="L20" s="14">
        <v>5.6894245743931704E-2</v>
      </c>
      <c r="M20" s="14">
        <v>4.6681728632895964E-2</v>
      </c>
      <c r="N20" s="14">
        <v>18.491783682971011</v>
      </c>
      <c r="O20" s="14">
        <v>5385.9169155021364</v>
      </c>
      <c r="P20" s="14">
        <v>18.491783682971011</v>
      </c>
      <c r="Q20" s="8">
        <v>0.14770850925560583</v>
      </c>
      <c r="R20" s="54">
        <v>0.44746106725120954</v>
      </c>
    </row>
    <row r="21" spans="1:22">
      <c r="A21" s="2" t="s">
        <v>341</v>
      </c>
      <c r="B21" s="16" t="s">
        <v>342</v>
      </c>
      <c r="D21" s="14">
        <v>1</v>
      </c>
      <c r="E21" s="14">
        <v>0.86429882273595449</v>
      </c>
      <c r="F21" s="14">
        <v>4.227871503327256E-3</v>
      </c>
      <c r="G21" s="14">
        <v>4.9191522809963487E-6</v>
      </c>
      <c r="H21" s="14">
        <v>162.57800103982015</v>
      </c>
      <c r="I21" s="14">
        <v>758.0868271273489</v>
      </c>
      <c r="J21" s="14">
        <v>0</v>
      </c>
      <c r="K21" s="14">
        <v>236.52563688679248</v>
      </c>
      <c r="L21" s="14">
        <v>4.227871503327256E-3</v>
      </c>
      <c r="M21" s="14">
        <v>3.4689685684800133E-3</v>
      </c>
      <c r="N21" s="14">
        <v>46.540349186267434</v>
      </c>
      <c r="O21" s="14">
        <v>15604.048275171745</v>
      </c>
      <c r="P21" s="14">
        <v>46.540349186267441</v>
      </c>
      <c r="Q21" s="8">
        <v>7.8545073457663789E-2</v>
      </c>
      <c r="R21" s="54">
        <v>2.2630962769670464E-2</v>
      </c>
      <c r="U21" s="22"/>
    </row>
    <row r="22" spans="1:22">
      <c r="A22" s="2" t="s">
        <v>343</v>
      </c>
      <c r="B22" s="16" t="s">
        <v>344</v>
      </c>
      <c r="D22" s="14">
        <v>1</v>
      </c>
      <c r="E22" s="14">
        <v>0.71229799507262603</v>
      </c>
      <c r="F22" s="14">
        <v>0.56315837936841406</v>
      </c>
      <c r="G22" s="14">
        <v>2.1776046646122013E-5</v>
      </c>
      <c r="H22" s="14">
        <v>34.115406501053457</v>
      </c>
      <c r="I22" s="14">
        <v>82.377331834303504</v>
      </c>
      <c r="J22" s="14">
        <v>0</v>
      </c>
      <c r="K22" s="14">
        <v>1.7756994064822524</v>
      </c>
      <c r="L22" s="14">
        <v>0.56315837936841406</v>
      </c>
      <c r="M22" s="14">
        <v>0.46207145027178376</v>
      </c>
      <c r="N22" s="14">
        <v>5.2799220585685731</v>
      </c>
      <c r="O22" s="14">
        <v>866.9632020169596</v>
      </c>
      <c r="P22" s="14">
        <v>5.2799220585685731</v>
      </c>
      <c r="Q22" s="8">
        <v>0.19142899585207476</v>
      </c>
      <c r="U22" s="22"/>
      <c r="V22" s="22"/>
    </row>
    <row r="23" spans="1:22">
      <c r="A23" s="2" t="s">
        <v>345</v>
      </c>
      <c r="B23" s="16" t="s">
        <v>346</v>
      </c>
      <c r="D23" s="14">
        <v>1</v>
      </c>
      <c r="E23" s="14">
        <v>0.78288274834908755</v>
      </c>
      <c r="F23" s="14">
        <v>0.71235912483919273</v>
      </c>
      <c r="G23" s="14">
        <v>9.2834088878251662E-7</v>
      </c>
      <c r="H23" s="14">
        <v>16.273425936176576</v>
      </c>
      <c r="I23" s="14">
        <v>42.221743442958704</v>
      </c>
      <c r="J23" s="14">
        <v>0</v>
      </c>
      <c r="K23" s="14">
        <v>1.4037863278942893</v>
      </c>
      <c r="L23" s="14">
        <v>0.71235912483919273</v>
      </c>
      <c r="M23" s="14">
        <v>0.58449066193055765</v>
      </c>
      <c r="N23" s="14">
        <v>3.0619877404414209</v>
      </c>
      <c r="O23" s="14">
        <v>462.85006684512513</v>
      </c>
      <c r="P23" s="14">
        <v>3.0619877404414209</v>
      </c>
      <c r="Q23" s="8">
        <v>0.14565861041510442</v>
      </c>
      <c r="U23" s="22"/>
      <c r="V23" s="22"/>
    </row>
    <row r="24" spans="1:22">
      <c r="A24" s="2" t="s">
        <v>347</v>
      </c>
      <c r="B24" s="16" t="s">
        <v>348</v>
      </c>
      <c r="D24" s="14">
        <v>1</v>
      </c>
      <c r="E24" s="14">
        <v>0.68398977921125281</v>
      </c>
      <c r="F24" s="14">
        <v>0.17394442355169931</v>
      </c>
      <c r="G24" s="14">
        <v>8.0090129896428261E-7</v>
      </c>
      <c r="H24" s="14">
        <v>119.16549198435636</v>
      </c>
      <c r="I24" s="14">
        <v>240.66208842781083</v>
      </c>
      <c r="J24" s="14">
        <v>0</v>
      </c>
      <c r="K24" s="14">
        <v>5.7489626834905838</v>
      </c>
      <c r="L24" s="14">
        <v>0.17394442355169931</v>
      </c>
      <c r="M24" s="14">
        <v>0.14272139952416929</v>
      </c>
      <c r="N24" s="14">
        <v>14.375887129898461</v>
      </c>
      <c r="O24" s="14">
        <v>2533.7501066446039</v>
      </c>
      <c r="P24" s="14">
        <v>14.375887129898461</v>
      </c>
      <c r="Q24" s="8">
        <v>0.20931853241054355</v>
      </c>
      <c r="U24" s="22"/>
      <c r="V24" s="22"/>
    </row>
    <row r="25" spans="1:22">
      <c r="A25" s="2" t="s">
        <v>349</v>
      </c>
      <c r="B25" s="16" t="s">
        <v>350</v>
      </c>
      <c r="D25" s="14">
        <v>1</v>
      </c>
      <c r="E25" s="14">
        <v>0.83382882266828362</v>
      </c>
      <c r="F25" s="14">
        <v>2.0702456815425856E-2</v>
      </c>
      <c r="G25" s="14">
        <v>1.4638290955190669E-4</v>
      </c>
      <c r="H25" s="14">
        <v>195.91238306963595</v>
      </c>
      <c r="I25" s="14">
        <v>326.07616767973673</v>
      </c>
      <c r="J25" s="14">
        <v>0</v>
      </c>
      <c r="K25" s="14">
        <v>48.303445765667675</v>
      </c>
      <c r="L25" s="14">
        <v>2.0702456815425856E-2</v>
      </c>
      <c r="M25" s="14">
        <v>1.6986365817056915E-2</v>
      </c>
      <c r="N25" s="14">
        <v>19.657458068978944</v>
      </c>
      <c r="O25" s="14">
        <v>3780.1291866646507</v>
      </c>
      <c r="P25" s="14">
        <v>19.657458068978944</v>
      </c>
      <c r="Q25" s="8">
        <v>9.7885656559826548E-2</v>
      </c>
      <c r="U25" s="22"/>
      <c r="V25" s="22"/>
    </row>
    <row r="26" spans="1:22">
      <c r="A26" s="2" t="s">
        <v>351</v>
      </c>
      <c r="B26" s="16" t="s">
        <v>352</v>
      </c>
      <c r="D26" s="14">
        <v>1</v>
      </c>
      <c r="E26" s="14">
        <v>0.86516251567661973</v>
      </c>
      <c r="F26" s="14">
        <v>4.5839135403471657E-3</v>
      </c>
      <c r="G26" s="14">
        <v>3.9504348626631624E-6</v>
      </c>
      <c r="H26" s="14">
        <v>167.34641673823066</v>
      </c>
      <c r="I26" s="14">
        <v>715.27589319217759</v>
      </c>
      <c r="J26" s="14">
        <v>0</v>
      </c>
      <c r="K26" s="14">
        <v>218.15420190588156</v>
      </c>
      <c r="L26" s="14">
        <v>4.5839135403471657E-3</v>
      </c>
      <c r="M26" s="14">
        <v>3.7611010598548496E-3</v>
      </c>
      <c r="N26" s="14">
        <v>43.864760586666321</v>
      </c>
      <c r="O26" s="14">
        <v>9754.2068116569899</v>
      </c>
      <c r="P26" s="14">
        <v>43.864760586666321</v>
      </c>
      <c r="Q26" s="8">
        <v>7.8754175361599107E-2</v>
      </c>
    </row>
    <row r="27" spans="1:22">
      <c r="A27" s="2" t="s">
        <v>353</v>
      </c>
      <c r="B27" s="16" t="s">
        <v>354</v>
      </c>
      <c r="D27" s="14">
        <v>1</v>
      </c>
      <c r="E27" s="14">
        <v>0.87375553791026006</v>
      </c>
      <c r="F27" s="14">
        <v>7.0122649140750117E-4</v>
      </c>
      <c r="G27" s="14">
        <v>2.680938197446515E-5</v>
      </c>
      <c r="H27" s="14">
        <v>70.494999988573895</v>
      </c>
      <c r="I27" s="14">
        <v>1644.8090450537061</v>
      </c>
      <c r="J27" s="14">
        <v>0</v>
      </c>
      <c r="K27" s="14">
        <v>1426.0727628712384</v>
      </c>
      <c r="L27" s="14">
        <v>7.0122649140750128E-4</v>
      </c>
      <c r="M27" s="14">
        <v>5.7535633619985481E-4</v>
      </c>
      <c r="N27" s="14">
        <v>103.03453620953478</v>
      </c>
      <c r="O27" s="14">
        <v>24356.334014571927</v>
      </c>
      <c r="P27" s="14">
        <v>103.03453620953479</v>
      </c>
      <c r="Q27" s="8">
        <v>5.5349727307402626E-2</v>
      </c>
    </row>
    <row r="28" spans="1:22">
      <c r="A28" s="2" t="s">
        <v>355</v>
      </c>
      <c r="B28" s="16" t="s">
        <v>356</v>
      </c>
      <c r="D28" s="14">
        <v>1</v>
      </c>
      <c r="E28" s="14">
        <v>0.86296629648258016</v>
      </c>
      <c r="F28" s="14">
        <v>2.5185634647659134E-3</v>
      </c>
      <c r="G28" s="14">
        <v>1.4759831063568358E-6</v>
      </c>
      <c r="H28" s="14">
        <v>132.26742509274553</v>
      </c>
      <c r="I28" s="14">
        <v>1039.704849840288</v>
      </c>
      <c r="J28" s="14">
        <v>0</v>
      </c>
      <c r="K28" s="14">
        <v>397.05173762335369</v>
      </c>
      <c r="L28" s="14">
        <v>2.5185634647659134E-3</v>
      </c>
      <c r="M28" s="14">
        <v>2.0664813228404321E-3</v>
      </c>
      <c r="N28" s="14">
        <v>64.246030783574625</v>
      </c>
      <c r="O28" s="14">
        <v>16601.174354475683</v>
      </c>
      <c r="P28" s="14">
        <v>64.246030783574639</v>
      </c>
      <c r="Q28" s="8">
        <v>7.4801459164308623E-2</v>
      </c>
    </row>
    <row r="29" spans="1:22">
      <c r="A29" s="2" t="s">
        <v>357</v>
      </c>
      <c r="B29" s="16" t="s">
        <v>358</v>
      </c>
      <c r="D29" s="14">
        <v>1</v>
      </c>
      <c r="E29" s="14">
        <v>0.84082779161307708</v>
      </c>
      <c r="F29" s="14">
        <v>3.7908889507635036E-3</v>
      </c>
      <c r="G29" s="14">
        <v>2.9844860289248619E-4</v>
      </c>
      <c r="H29" s="14">
        <v>153.54690344136881</v>
      </c>
      <c r="I29" s="14">
        <v>781.08488419917683</v>
      </c>
      <c r="J29" s="14">
        <v>0</v>
      </c>
      <c r="K29" s="14">
        <v>263.79037027676452</v>
      </c>
      <c r="L29" s="14">
        <v>3.7908889507635036E-3</v>
      </c>
      <c r="M29" s="14">
        <v>3.1104243841014547E-3</v>
      </c>
      <c r="N29" s="14">
        <v>48.004091254392172</v>
      </c>
      <c r="O29" s="14">
        <v>11347.687131625766</v>
      </c>
      <c r="P29" s="14">
        <v>48.004091254392179</v>
      </c>
      <c r="Q29" s="8">
        <v>7.6154966827188392E-2</v>
      </c>
    </row>
    <row r="30" spans="1:22">
      <c r="A30" s="2" t="s">
        <v>359</v>
      </c>
      <c r="B30" s="16" t="s">
        <v>360</v>
      </c>
      <c r="D30" s="14">
        <v>1</v>
      </c>
      <c r="E30" s="14">
        <v>0.86296629648258016</v>
      </c>
      <c r="F30" s="14">
        <v>2.5185634647659134E-3</v>
      </c>
      <c r="G30" s="14">
        <v>1.4759831063568358E-6</v>
      </c>
      <c r="H30" s="14">
        <v>132.26742509274553</v>
      </c>
      <c r="I30" s="14">
        <v>1039.704849840288</v>
      </c>
      <c r="J30" s="14">
        <v>0</v>
      </c>
      <c r="K30" s="14">
        <v>397.05173762335369</v>
      </c>
      <c r="L30" s="14">
        <v>2.5185634647659134E-3</v>
      </c>
      <c r="M30" s="14">
        <v>2.0664813228404321E-3</v>
      </c>
      <c r="N30" s="14">
        <v>64.246030783574625</v>
      </c>
      <c r="O30" s="14">
        <v>16601.174354475683</v>
      </c>
      <c r="P30" s="14">
        <v>64.246030783574639</v>
      </c>
      <c r="Q30" s="8">
        <v>7.4801459164308623E-2</v>
      </c>
    </row>
    <row r="31" spans="1:22">
      <c r="A31" s="2" t="s">
        <v>283</v>
      </c>
      <c r="B31" s="16" t="s">
        <v>284</v>
      </c>
      <c r="D31" s="14">
        <v>1</v>
      </c>
      <c r="E31" s="14">
        <v>0.9762728847140888</v>
      </c>
      <c r="F31" s="14">
        <v>0.97924927164185382</v>
      </c>
      <c r="G31" s="14">
        <v>2.9120695614400108E-10</v>
      </c>
      <c r="H31" s="14">
        <v>0.17059773358061456</v>
      </c>
      <c r="I31" s="14">
        <v>0.63391412361459443</v>
      </c>
      <c r="J31" s="14">
        <v>0</v>
      </c>
      <c r="K31" s="14">
        <v>1.0211904455372782</v>
      </c>
      <c r="L31" s="14">
        <v>0.97924927164185382</v>
      </c>
      <c r="M31" s="14">
        <v>0.80347402738214113</v>
      </c>
      <c r="N31" s="14">
        <v>0.89703001150924033</v>
      </c>
      <c r="O31" s="14">
        <v>174.19425793497936</v>
      </c>
      <c r="P31" s="14">
        <v>0.89703001150924033</v>
      </c>
      <c r="Q31" s="8">
        <v>1.5769954052513288E-2</v>
      </c>
    </row>
    <row r="32" spans="1:22">
      <c r="A32" s="2" t="s">
        <v>361</v>
      </c>
      <c r="B32" s="16" t="s">
        <v>362</v>
      </c>
      <c r="D32" s="14">
        <v>1</v>
      </c>
      <c r="E32" s="14">
        <v>0.67586602552753494</v>
      </c>
      <c r="F32" s="14">
        <v>0.43483593587970065</v>
      </c>
      <c r="G32" s="14">
        <v>2.3643281127680667E-10</v>
      </c>
      <c r="H32" s="14">
        <v>55.342318387744591</v>
      </c>
      <c r="I32" s="14">
        <v>126.33905538112411</v>
      </c>
      <c r="J32" s="14">
        <v>0</v>
      </c>
      <c r="K32" s="14">
        <v>2.2997179337925155</v>
      </c>
      <c r="L32" s="14">
        <v>0.43483593587970065</v>
      </c>
      <c r="M32" s="14">
        <v>0.35678288538929442</v>
      </c>
      <c r="N32" s="14">
        <v>7.8486699787869405</v>
      </c>
      <c r="O32" s="14">
        <v>2009.9658948675474</v>
      </c>
      <c r="P32" s="14">
        <v>7.8486699787869405</v>
      </c>
      <c r="Q32" s="8">
        <v>0.21663949039793418</v>
      </c>
    </row>
    <row r="33" spans="1:17">
      <c r="A33" s="2" t="s">
        <v>364</v>
      </c>
      <c r="B33" s="16" t="s">
        <v>365</v>
      </c>
      <c r="D33" s="14">
        <v>1</v>
      </c>
      <c r="E33" s="14">
        <v>0.99958015517270571</v>
      </c>
      <c r="F33" s="14">
        <v>0.99927366180367716</v>
      </c>
      <c r="G33" s="14">
        <v>1.3408147389488161E-12</v>
      </c>
      <c r="H33" s="14">
        <v>1.193945328720412</v>
      </c>
      <c r="I33" s="14">
        <v>3.3804411424583833E-3</v>
      </c>
      <c r="J33" s="14">
        <v>0</v>
      </c>
      <c r="K33" s="14">
        <v>1.000726866146969</v>
      </c>
      <c r="L33" s="14">
        <v>0.99927366180367716</v>
      </c>
      <c r="M33" s="14">
        <v>0.81990403950991708</v>
      </c>
      <c r="N33" s="14">
        <v>0.89344902033826412</v>
      </c>
      <c r="O33" s="14">
        <v>264.59492737317692</v>
      </c>
      <c r="P33" s="14">
        <v>0.89344902033826412</v>
      </c>
      <c r="Q33" s="8">
        <v>3.8545472945512076E-5</v>
      </c>
    </row>
    <row r="34" spans="1:17">
      <c r="A34" s="2" t="s">
        <v>285</v>
      </c>
      <c r="B34" s="16" t="s">
        <v>286</v>
      </c>
      <c r="D34" s="14">
        <v>1</v>
      </c>
      <c r="E34" s="14">
        <v>0.99917390223411784</v>
      </c>
      <c r="F34" s="14">
        <v>0.54941595261253395</v>
      </c>
      <c r="G34" s="14">
        <v>3.9854376532008613E-12</v>
      </c>
      <c r="H34" s="14">
        <v>128.42845714619091</v>
      </c>
      <c r="I34" s="14">
        <v>9.7655652870022355E-2</v>
      </c>
      <c r="J34" s="14">
        <v>0</v>
      </c>
      <c r="K34" s="14">
        <v>1.8201146057825384</v>
      </c>
      <c r="L34" s="14">
        <v>0.54941595261253395</v>
      </c>
      <c r="M34" s="14">
        <v>0.45079578911858409</v>
      </c>
      <c r="N34" s="14">
        <v>1.5555769928283476</v>
      </c>
      <c r="O34" s="14">
        <v>343.84473849477791</v>
      </c>
      <c r="P34" s="14">
        <v>1.5555769928283476</v>
      </c>
      <c r="Q34" s="8">
        <v>1.3130987497051596E-4</v>
      </c>
    </row>
    <row r="35" spans="1:17">
      <c r="A35" s="2" t="s">
        <v>287</v>
      </c>
      <c r="B35" s="16" t="s">
        <v>288</v>
      </c>
      <c r="D35" s="14">
        <v>1</v>
      </c>
      <c r="E35" s="14">
        <v>0.99879603071458789</v>
      </c>
      <c r="F35" s="14">
        <v>0.32522847690108309</v>
      </c>
      <c r="G35" s="14">
        <v>1.1607879734469743E-13</v>
      </c>
      <c r="H35" s="14">
        <v>191.76465580245676</v>
      </c>
      <c r="I35" s="14">
        <v>0.34384087497951948</v>
      </c>
      <c r="J35" s="14">
        <v>0</v>
      </c>
      <c r="K35" s="14">
        <v>3.0747615016016749</v>
      </c>
      <c r="L35" s="14">
        <v>0.32522847690108314</v>
      </c>
      <c r="M35" s="14">
        <v>0.26684996529733873</v>
      </c>
      <c r="N35" s="14">
        <v>1.8057895223937468</v>
      </c>
      <c r="O35" s="14">
        <v>415.80109542638417</v>
      </c>
      <c r="P35" s="14">
        <v>1.805789522393747</v>
      </c>
      <c r="Q35" s="8">
        <v>3.1780264198937242E-4</v>
      </c>
    </row>
    <row r="36" spans="1:17">
      <c r="A36" s="2" t="s">
        <v>366</v>
      </c>
      <c r="B36" s="16" t="s">
        <v>305</v>
      </c>
      <c r="D36" s="14">
        <v>1</v>
      </c>
      <c r="E36" s="14">
        <v>0.99868408316941459</v>
      </c>
      <c r="F36" s="14">
        <v>0.10847924994758495</v>
      </c>
      <c r="G36" s="14">
        <v>2.0462945526902591E-10</v>
      </c>
      <c r="H36" s="14">
        <v>253.0618471467784</v>
      </c>
      <c r="I36" s="14">
        <v>0.67085718052677412</v>
      </c>
      <c r="J36" s="14">
        <v>0</v>
      </c>
      <c r="K36" s="14">
        <v>9.2183528230807301</v>
      </c>
      <c r="L36" s="14">
        <v>0.10847924994758495</v>
      </c>
      <c r="M36" s="14">
        <v>8.9007224581993449E-2</v>
      </c>
      <c r="N36" s="14">
        <v>1.9451432292236119</v>
      </c>
      <c r="O36" s="14">
        <v>401.24414532424663</v>
      </c>
      <c r="P36" s="14">
        <v>1.9451432292236119</v>
      </c>
      <c r="Q36" s="8">
        <v>3.5516492743701785E-4</v>
      </c>
    </row>
    <row r="37" spans="1:17">
      <c r="A37" s="2" t="s">
        <v>289</v>
      </c>
      <c r="B37" s="16" t="s">
        <v>290</v>
      </c>
      <c r="D37" s="14">
        <v>1</v>
      </c>
      <c r="E37" s="14">
        <v>0.92730002028950997</v>
      </c>
      <c r="F37" s="14">
        <v>0.20855518044448335</v>
      </c>
      <c r="G37" s="14">
        <v>4.6496821241253988E-17</v>
      </c>
      <c r="H37" s="14">
        <v>197.76115144481886</v>
      </c>
      <c r="I37" s="14">
        <v>62.513252939528428</v>
      </c>
      <c r="J37" s="14">
        <v>0</v>
      </c>
      <c r="K37" s="14">
        <v>4.7948940796807324</v>
      </c>
      <c r="L37" s="14">
        <v>0.20855518044448335</v>
      </c>
      <c r="M37" s="14">
        <v>0.17111952555469859</v>
      </c>
      <c r="N37" s="14">
        <v>5.1468866641121203</v>
      </c>
      <c r="O37" s="14">
        <v>1793.2782515099452</v>
      </c>
      <c r="P37" s="14">
        <v>5.1468866641121211</v>
      </c>
      <c r="Q37" s="8">
        <v>4.7661982014278063E-2</v>
      </c>
    </row>
    <row r="38" spans="1:17">
      <c r="A38" s="2" t="s">
        <v>291</v>
      </c>
      <c r="B38" s="16" t="s">
        <v>292</v>
      </c>
      <c r="D38" s="14">
        <v>1</v>
      </c>
      <c r="E38" s="14">
        <v>0.99750483871141737</v>
      </c>
      <c r="F38" s="14">
        <v>0.61525545433291329</v>
      </c>
      <c r="G38" s="14">
        <v>1.3415682369334557E-14</v>
      </c>
      <c r="H38" s="14">
        <v>109.23340522143408</v>
      </c>
      <c r="I38" s="14">
        <v>0.84495608047843807</v>
      </c>
      <c r="J38" s="14">
        <v>0</v>
      </c>
      <c r="K38" s="14">
        <v>1.6253411375023783</v>
      </c>
      <c r="L38" s="14">
        <v>0.6152554543329134</v>
      </c>
      <c r="M38" s="14">
        <v>0.50481710028015536</v>
      </c>
      <c r="N38" s="14">
        <v>1.5112020613326704</v>
      </c>
      <c r="O38" s="14">
        <v>465.94893157070226</v>
      </c>
      <c r="P38" s="14">
        <v>1.5112020613326707</v>
      </c>
      <c r="Q38" s="8">
        <v>1.2700889440700799E-3</v>
      </c>
    </row>
    <row r="39" spans="1:17">
      <c r="A39" s="2" t="s">
        <v>367</v>
      </c>
      <c r="B39" s="16" t="s">
        <v>368</v>
      </c>
      <c r="D39" s="14">
        <v>1</v>
      </c>
      <c r="E39" s="14">
        <v>0.88191276677472374</v>
      </c>
      <c r="F39" s="14">
        <v>1.031850316839213E-2</v>
      </c>
      <c r="G39" s="14">
        <v>1.6032645485788564E-7</v>
      </c>
      <c r="H39" s="14">
        <v>210.90005930331975</v>
      </c>
      <c r="I39" s="14">
        <v>341.06242264811357</v>
      </c>
      <c r="J39" s="14">
        <v>0</v>
      </c>
      <c r="K39" s="14">
        <v>96.913281285140499</v>
      </c>
      <c r="L39" s="14">
        <v>1.031850316839213E-2</v>
      </c>
      <c r="M39" s="14">
        <v>8.4663318496657428E-3</v>
      </c>
      <c r="N39" s="14">
        <v>20.670277257054465</v>
      </c>
      <c r="O39" s="14">
        <v>5753.3649717285398</v>
      </c>
      <c r="P39" s="14">
        <v>20.670277257054469</v>
      </c>
      <c r="Q39" s="8">
        <v>7.4034453112633056E-2</v>
      </c>
    </row>
    <row r="40" spans="1:17">
      <c r="A40" s="2" t="s">
        <v>369</v>
      </c>
      <c r="B40" s="16" t="s">
        <v>370</v>
      </c>
      <c r="D40" s="14">
        <v>1</v>
      </c>
      <c r="E40" s="14">
        <v>0.94439276265295147</v>
      </c>
      <c r="F40" s="14">
        <v>9.6802918721344583E-4</v>
      </c>
      <c r="G40" s="14">
        <v>9.8270137450016026E-15</v>
      </c>
      <c r="H40" s="14">
        <v>250.05091725250233</v>
      </c>
      <c r="I40" s="14">
        <v>167.49831570925613</v>
      </c>
      <c r="J40" s="14">
        <v>0</v>
      </c>
      <c r="K40" s="14">
        <v>1033.0267033358621</v>
      </c>
      <c r="L40" s="14">
        <v>9.6802918721344583E-4</v>
      </c>
      <c r="M40" s="14">
        <v>7.9426794810863227E-4</v>
      </c>
      <c r="N40" s="14">
        <v>130.14683743988914</v>
      </c>
      <c r="O40" s="14">
        <v>52956.748154290894</v>
      </c>
      <c r="P40" s="14">
        <v>130.14683743988914</v>
      </c>
      <c r="Q40" s="8">
        <v>1.8681444082591782E-3</v>
      </c>
    </row>
    <row r="41" spans="1:17">
      <c r="A41" s="2" t="s">
        <v>371</v>
      </c>
      <c r="B41" s="16" t="s">
        <v>372</v>
      </c>
      <c r="D41" s="14">
        <v>1</v>
      </c>
      <c r="E41" s="14">
        <v>0.9133130624763498</v>
      </c>
      <c r="F41" s="14">
        <v>0.91684533694369141</v>
      </c>
      <c r="G41" s="14">
        <v>9.0866660687491114E-4</v>
      </c>
      <c r="H41" s="14">
        <v>7.9465035275259836E-3</v>
      </c>
      <c r="I41" s="14">
        <v>3.6832674179982386E-2</v>
      </c>
      <c r="J41" s="14">
        <v>0</v>
      </c>
      <c r="K41" s="14">
        <v>1.0906964999500406</v>
      </c>
      <c r="L41" s="14">
        <v>0.91684533694369152</v>
      </c>
      <c r="M41" s="14">
        <v>0.75227159896229889</v>
      </c>
      <c r="N41" s="14">
        <v>0.8088101226820078</v>
      </c>
      <c r="O41" s="14">
        <v>113.38709109879068</v>
      </c>
      <c r="P41" s="14">
        <v>0.8088101226820078</v>
      </c>
      <c r="Q41" s="8">
        <v>3.0905320466920782E-3</v>
      </c>
    </row>
    <row r="42" spans="1:17">
      <c r="A42" s="2" t="s">
        <v>293</v>
      </c>
      <c r="B42" s="16" t="s">
        <v>294</v>
      </c>
      <c r="D42" s="14">
        <v>1</v>
      </c>
      <c r="E42" s="14">
        <v>0.69991757291650236</v>
      </c>
      <c r="F42" s="14">
        <v>0.52565840562968913</v>
      </c>
      <c r="G42" s="14">
        <v>1.9435338147775999E-10</v>
      </c>
      <c r="H42" s="14">
        <v>39.880777216033195</v>
      </c>
      <c r="I42" s="14">
        <v>94.715440680075616</v>
      </c>
      <c r="J42" s="14">
        <v>0</v>
      </c>
      <c r="K42" s="14">
        <v>1.9023761235247336</v>
      </c>
      <c r="L42" s="14">
        <v>0.52565840562968913</v>
      </c>
      <c r="M42" s="14">
        <v>0.43130272181915996</v>
      </c>
      <c r="N42" s="14">
        <v>5.9723772056072617</v>
      </c>
      <c r="O42" s="14">
        <v>1973.034533644415</v>
      </c>
      <c r="P42" s="14">
        <v>5.9723772056072617</v>
      </c>
      <c r="Q42" s="8">
        <v>0.20091889650119632</v>
      </c>
    </row>
    <row r="43" spans="1:17">
      <c r="A43" s="2" t="s">
        <v>373</v>
      </c>
      <c r="B43" s="16" t="s">
        <v>374</v>
      </c>
      <c r="D43" s="14">
        <v>1</v>
      </c>
      <c r="E43" s="14">
        <v>0.99797583692926917</v>
      </c>
      <c r="F43" s="14">
        <v>8.8377214807094841E-3</v>
      </c>
      <c r="G43" s="14">
        <v>4.7854538279161707E-10</v>
      </c>
      <c r="H43" s="14">
        <v>280.90554408317718</v>
      </c>
      <c r="I43" s="14">
        <v>2.1960582098148138</v>
      </c>
      <c r="J43" s="14">
        <v>0</v>
      </c>
      <c r="K43" s="14">
        <v>113.15133682168504</v>
      </c>
      <c r="L43" s="14">
        <v>8.8377214807094859E-3</v>
      </c>
      <c r="M43" s="14">
        <v>7.251350474922133E-3</v>
      </c>
      <c r="N43" s="14">
        <v>3.947955284804983</v>
      </c>
      <c r="O43" s="14">
        <v>1051.498410554959</v>
      </c>
      <c r="P43" s="14">
        <v>3.947955284804983</v>
      </c>
      <c r="Q43" s="8">
        <v>2.8434385531033319E-4</v>
      </c>
    </row>
    <row r="44" spans="1:17">
      <c r="A44" s="2" t="s">
        <v>375</v>
      </c>
      <c r="B44" s="16" t="s">
        <v>376</v>
      </c>
      <c r="D44" s="14">
        <v>1</v>
      </c>
      <c r="E44" s="14">
        <v>0.78707080857926104</v>
      </c>
      <c r="F44" s="14">
        <v>0.76466282259758822</v>
      </c>
      <c r="G44" s="14">
        <v>9.4562395030657067E-4</v>
      </c>
      <c r="H44" s="14">
        <v>5.5295523700215936</v>
      </c>
      <c r="I44" s="14">
        <v>15.615185448955799</v>
      </c>
      <c r="J44" s="14">
        <v>0</v>
      </c>
      <c r="K44" s="14">
        <v>1.3077659465684006</v>
      </c>
      <c r="L44" s="14">
        <v>0.76466282259758822</v>
      </c>
      <c r="M44" s="14">
        <v>0.62740584594132109</v>
      </c>
      <c r="N44" s="14">
        <v>1.5661220578479833</v>
      </c>
      <c r="O44" s="14">
        <v>233.97863544248872</v>
      </c>
      <c r="P44" s="14">
        <v>1.5661220578479833</v>
      </c>
      <c r="Q44" s="8">
        <v>8.5851353477921402E-2</v>
      </c>
    </row>
    <row r="45" spans="1:17">
      <c r="A45" s="2" t="s">
        <v>377</v>
      </c>
      <c r="B45" s="16" t="s">
        <v>378</v>
      </c>
      <c r="D45" s="14">
        <v>1</v>
      </c>
      <c r="E45" s="14">
        <v>0.6885484935097137</v>
      </c>
      <c r="F45" s="14">
        <v>0.49022274519590442</v>
      </c>
      <c r="G45" s="14">
        <v>7.3919997806457722E-6</v>
      </c>
      <c r="H45" s="14">
        <v>45.429029348731831</v>
      </c>
      <c r="I45" s="14">
        <v>106.31404158711292</v>
      </c>
      <c r="J45" s="14">
        <v>0</v>
      </c>
      <c r="K45" s="14">
        <v>2.0398890296295344</v>
      </c>
      <c r="L45" s="14">
        <v>0.49022274519590447</v>
      </c>
      <c r="M45" s="14">
        <v>0.4022277624332396</v>
      </c>
      <c r="N45" s="14">
        <v>6.6247833939475784</v>
      </c>
      <c r="O45" s="14">
        <v>1472.2918614709099</v>
      </c>
      <c r="P45" s="14">
        <v>6.6247833939475784</v>
      </c>
      <c r="Q45" s="8">
        <v>0.20796518100515771</v>
      </c>
    </row>
    <row r="46" spans="1:17">
      <c r="A46" s="2" t="s">
        <v>379</v>
      </c>
      <c r="B46" s="16" t="s">
        <v>380</v>
      </c>
      <c r="D46" s="14">
        <v>1</v>
      </c>
      <c r="E46" s="14">
        <v>0.6942715597408784</v>
      </c>
      <c r="F46" s="14">
        <v>0.51153602624291405</v>
      </c>
      <c r="G46" s="14">
        <v>2.2230268752120289E-5</v>
      </c>
      <c r="H46" s="14">
        <v>41.832731725262093</v>
      </c>
      <c r="I46" s="14">
        <v>98.80374273817786</v>
      </c>
      <c r="J46" s="14">
        <v>0</v>
      </c>
      <c r="K46" s="14">
        <v>1.9548965247760051</v>
      </c>
      <c r="L46" s="14">
        <v>0.51153602624291405</v>
      </c>
      <c r="M46" s="14">
        <v>0.41971530953231101</v>
      </c>
      <c r="N46" s="14">
        <v>6.2008657767545632</v>
      </c>
      <c r="O46" s="14">
        <v>797.18330425956663</v>
      </c>
      <c r="P46" s="14">
        <v>6.2008657767545632</v>
      </c>
      <c r="Q46" s="8">
        <v>0.20331686108209632</v>
      </c>
    </row>
    <row r="47" spans="1:17">
      <c r="A47" s="2" t="s">
        <v>381</v>
      </c>
      <c r="B47" s="16" t="s">
        <v>382</v>
      </c>
      <c r="D47" s="14">
        <v>1</v>
      </c>
      <c r="E47" s="14">
        <v>0.87725243503439432</v>
      </c>
      <c r="F47" s="14">
        <v>6.3979921069129734E-4</v>
      </c>
      <c r="G47" s="14">
        <v>4.5579776118291374E-10</v>
      </c>
      <c r="H47" s="14">
        <v>67.165105300525653</v>
      </c>
      <c r="I47" s="14">
        <v>1685.0037461252016</v>
      </c>
      <c r="J47" s="14">
        <v>0</v>
      </c>
      <c r="K47" s="14">
        <v>1562.990362116122</v>
      </c>
      <c r="L47" s="14">
        <v>6.3979921069129745E-4</v>
      </c>
      <c r="M47" s="14">
        <v>5.2495525237220952E-4</v>
      </c>
      <c r="N47" s="14">
        <v>105.64888242712604</v>
      </c>
      <c r="O47" s="14">
        <v>41339.351204910148</v>
      </c>
      <c r="P47" s="14">
        <v>105.64888242712604</v>
      </c>
      <c r="Q47" s="8">
        <v>5.3901502432916019E-2</v>
      </c>
    </row>
    <row r="48" spans="1:17">
      <c r="A48" s="2" t="s">
        <v>383</v>
      </c>
      <c r="B48" s="16" t="s">
        <v>384</v>
      </c>
      <c r="D48" s="14">
        <v>1</v>
      </c>
      <c r="E48" s="14">
        <v>0.91122872258484688</v>
      </c>
      <c r="F48" s="14">
        <v>0.90637049599864616</v>
      </c>
      <c r="G48" s="14">
        <v>1.3074775714823995E-4</v>
      </c>
      <c r="H48" s="14">
        <v>1.785688739618378</v>
      </c>
      <c r="I48" s="14">
        <v>5.5496159640224878</v>
      </c>
      <c r="J48" s="14">
        <v>0</v>
      </c>
      <c r="K48" s="14">
        <v>1.1033015796682482</v>
      </c>
      <c r="L48" s="14">
        <v>0.90637049599864616</v>
      </c>
      <c r="M48" s="14">
        <v>0.74367699196688919</v>
      </c>
      <c r="N48" s="14">
        <v>1.1121135166555545</v>
      </c>
      <c r="O48" s="14">
        <v>103.57113180613177</v>
      </c>
      <c r="P48" s="14">
        <v>1.1121135166555545</v>
      </c>
      <c r="Q48" s="8">
        <v>5.1672911299233369E-2</v>
      </c>
    </row>
    <row r="49" spans="1:17">
      <c r="A49" s="2" t="s">
        <v>385</v>
      </c>
      <c r="B49" s="16" t="s">
        <v>386</v>
      </c>
      <c r="D49" s="14">
        <v>1</v>
      </c>
      <c r="E49" s="14">
        <v>0.87631713249692833</v>
      </c>
      <c r="F49" s="14">
        <v>0.86489558832850855</v>
      </c>
      <c r="G49" s="14">
        <v>2.4411370912492711E-4</v>
      </c>
      <c r="H49" s="14">
        <v>3.1839312523932728</v>
      </c>
      <c r="I49" s="14">
        <v>9.4497616093137378</v>
      </c>
      <c r="J49" s="14">
        <v>0</v>
      </c>
      <c r="K49" s="14">
        <v>1.1562089268284896</v>
      </c>
      <c r="L49" s="14">
        <v>0.86489558832850855</v>
      </c>
      <c r="M49" s="14">
        <v>0.70964683022354136</v>
      </c>
      <c r="N49" s="14">
        <v>1.2990487528695616</v>
      </c>
      <c r="O49" s="14">
        <v>144.35029741886567</v>
      </c>
      <c r="P49" s="14">
        <v>1.2990487528695616</v>
      </c>
      <c r="Q49" s="8">
        <v>6.8300023424510192E-2</v>
      </c>
    </row>
    <row r="50" spans="1:17">
      <c r="A50" s="2" t="s">
        <v>387</v>
      </c>
      <c r="B50" s="16" t="s">
        <v>388</v>
      </c>
      <c r="D50" s="14">
        <v>1</v>
      </c>
      <c r="E50" s="14">
        <v>0.74534298054783554</v>
      </c>
      <c r="F50" s="14">
        <v>7.5183660226394861E-2</v>
      </c>
      <c r="G50" s="14">
        <v>7.2776631917368607E-5</v>
      </c>
      <c r="H50" s="14">
        <v>158.69508087793889</v>
      </c>
      <c r="I50" s="14">
        <v>294.99906247770326</v>
      </c>
      <c r="J50" s="14">
        <v>0</v>
      </c>
      <c r="K50" s="14">
        <v>13.30076238625222</v>
      </c>
      <c r="L50" s="14">
        <v>7.5183660226394874E-2</v>
      </c>
      <c r="M50" s="14">
        <v>6.1688193215756991E-2</v>
      </c>
      <c r="N50" s="14">
        <v>17.64213830828184</v>
      </c>
      <c r="O50" s="14">
        <v>3483.4402089702494</v>
      </c>
      <c r="P50" s="14">
        <v>17.642138308281844</v>
      </c>
      <c r="Q50" s="8">
        <v>0.16263747973784612</v>
      </c>
    </row>
    <row r="51" spans="1:17">
      <c r="A51" s="2" t="s">
        <v>295</v>
      </c>
      <c r="B51" s="16" t="s">
        <v>296</v>
      </c>
      <c r="D51" s="14">
        <v>1</v>
      </c>
      <c r="E51" s="14">
        <v>0.90454692397963266</v>
      </c>
      <c r="F51" s="14">
        <v>0.90667985603880352</v>
      </c>
      <c r="G51" s="14">
        <v>7.2811915210615748E-4</v>
      </c>
      <c r="H51" s="14">
        <v>0.28785512560603049</v>
      </c>
      <c r="I51" s="14">
        <v>1.0233663623120135</v>
      </c>
      <c r="J51" s="14">
        <v>0</v>
      </c>
      <c r="K51" s="14">
        <v>1.1029251321066105</v>
      </c>
      <c r="L51" s="14">
        <v>0.90667985603880363</v>
      </c>
      <c r="M51" s="14">
        <v>0.74393082187983839</v>
      </c>
      <c r="N51" s="14">
        <v>0.8551095583405588</v>
      </c>
      <c r="O51" s="14">
        <v>49.664763148419652</v>
      </c>
      <c r="P51" s="14">
        <v>0.85510955834055891</v>
      </c>
      <c r="Q51" s="8">
        <v>1.9963245048835683E-2</v>
      </c>
    </row>
    <row r="52" spans="1:17">
      <c r="A52" s="2" t="s">
        <v>389</v>
      </c>
      <c r="B52" s="16" t="s">
        <v>390</v>
      </c>
      <c r="D52" s="14">
        <v>1</v>
      </c>
      <c r="E52" s="14">
        <v>0.76541393110115763</v>
      </c>
      <c r="F52" s="14">
        <v>0.72482497320645745</v>
      </c>
      <c r="G52" s="14">
        <v>7.6545847502253205E-4</v>
      </c>
      <c r="H52" s="14">
        <v>9.5519743629444847</v>
      </c>
      <c r="I52" s="14">
        <v>25.807760451748393</v>
      </c>
      <c r="J52" s="14">
        <v>0</v>
      </c>
      <c r="K52" s="14">
        <v>1.3796434131901278</v>
      </c>
      <c r="L52" s="14">
        <v>0.72482497320645756</v>
      </c>
      <c r="M52" s="14">
        <v>0.59471889051589844</v>
      </c>
      <c r="N52" s="14">
        <v>2.1204473975673817</v>
      </c>
      <c r="O52" s="14">
        <v>227.20593864934494</v>
      </c>
      <c r="P52" s="14">
        <v>2.1204473975673817</v>
      </c>
      <c r="Q52" s="8">
        <v>0.11126288553979644</v>
      </c>
    </row>
    <row r="53" spans="1:17">
      <c r="A53" s="2" t="s">
        <v>391</v>
      </c>
      <c r="B53" s="16" t="s">
        <v>392</v>
      </c>
      <c r="D53" s="14">
        <v>1</v>
      </c>
      <c r="E53" s="14">
        <v>0.66437123577188317</v>
      </c>
      <c r="F53" s="14">
        <v>0.37912240387467866</v>
      </c>
      <c r="G53" s="14">
        <v>2.180961188338469E-5</v>
      </c>
      <c r="H53" s="14">
        <v>65.647690088898671</v>
      </c>
      <c r="I53" s="14">
        <v>146.71571017812775</v>
      </c>
      <c r="J53" s="14">
        <v>0</v>
      </c>
      <c r="K53" s="14">
        <v>2.6376705511989638</v>
      </c>
      <c r="L53" s="14">
        <v>0.37912240387467872</v>
      </c>
      <c r="M53" s="14">
        <v>0.31106993237917385</v>
      </c>
      <c r="N53" s="14">
        <v>8.9190519846988092</v>
      </c>
      <c r="O53" s="14">
        <v>1445.0648025609012</v>
      </c>
      <c r="P53" s="14">
        <v>8.919051984698811</v>
      </c>
      <c r="Q53" s="8">
        <v>0.22278021573565646</v>
      </c>
    </row>
    <row r="54" spans="1:17">
      <c r="A54" s="2" t="s">
        <v>393</v>
      </c>
      <c r="B54" s="16" t="s">
        <v>394</v>
      </c>
      <c r="D54" s="14">
        <v>1</v>
      </c>
      <c r="E54" s="14">
        <v>0.87230661477037397</v>
      </c>
      <c r="F54" s="14">
        <v>8.9318685570904119E-4</v>
      </c>
      <c r="G54" s="14">
        <v>2.1017972089209111E-6</v>
      </c>
      <c r="H54" s="14">
        <v>80.234716660686914</v>
      </c>
      <c r="I54" s="14">
        <v>1550.3133758298484</v>
      </c>
      <c r="J54" s="14">
        <v>0</v>
      </c>
      <c r="K54" s="14">
        <v>1119.5865608727156</v>
      </c>
      <c r="L54" s="14">
        <v>8.9318685570904119E-4</v>
      </c>
      <c r="M54" s="14">
        <v>7.3285981510926837E-4</v>
      </c>
      <c r="N54" s="14">
        <v>96.884883846875411</v>
      </c>
      <c r="O54" s="14">
        <v>22611.963041022253</v>
      </c>
      <c r="P54" s="14">
        <v>96.884883846875411</v>
      </c>
      <c r="Q54" s="8">
        <v>5.9514048431319383E-2</v>
      </c>
    </row>
    <row r="55" spans="1:17">
      <c r="A55" s="2" t="s">
        <v>395</v>
      </c>
      <c r="B55" s="16" t="s">
        <v>396</v>
      </c>
      <c r="D55" s="14">
        <v>1</v>
      </c>
      <c r="E55" s="14">
        <v>0.59961823734093267</v>
      </c>
      <c r="F55" s="14">
        <v>0.13625184670590434</v>
      </c>
      <c r="G55" s="14">
        <v>1.4718748513159329E-3</v>
      </c>
      <c r="H55" s="14">
        <v>108.45320661758842</v>
      </c>
      <c r="I55" s="14">
        <v>216.62050702869359</v>
      </c>
      <c r="J55" s="14">
        <v>0</v>
      </c>
      <c r="K55" s="14">
        <v>7.3393500651662427</v>
      </c>
      <c r="L55" s="14">
        <v>0.13625184670590434</v>
      </c>
      <c r="M55" s="14">
        <v>0.11179464022219451</v>
      </c>
      <c r="N55" s="14">
        <v>12.935724088804673</v>
      </c>
      <c r="O55" s="14">
        <v>1657.9717564620946</v>
      </c>
      <c r="P55" s="14">
        <v>12.935724088804673</v>
      </c>
      <c r="Q55" s="8">
        <v>0.17729625739089058</v>
      </c>
    </row>
    <row r="56" spans="1:17">
      <c r="A56" s="2" t="s">
        <v>397</v>
      </c>
      <c r="B56" s="16" t="s">
        <v>398</v>
      </c>
      <c r="D56" s="14">
        <v>1</v>
      </c>
      <c r="E56" s="14">
        <v>0.31810475774453506</v>
      </c>
      <c r="F56" s="14">
        <v>1.6140716561969037E-2</v>
      </c>
      <c r="G56" s="14">
        <v>6.6925449821933223E-3</v>
      </c>
      <c r="H56" s="14">
        <v>72.13778633883409</v>
      </c>
      <c r="I56" s="14">
        <v>126.88783341436148</v>
      </c>
      <c r="J56" s="14">
        <v>0</v>
      </c>
      <c r="K56" s="14">
        <v>61.955118049480703</v>
      </c>
      <c r="L56" s="14">
        <v>1.6140716561969037E-2</v>
      </c>
      <c r="M56" s="14">
        <v>1.3243457939095595E-2</v>
      </c>
      <c r="N56" s="14">
        <v>7.615199068963034</v>
      </c>
      <c r="O56" s="14">
        <v>1381.7778710633424</v>
      </c>
      <c r="P56" s="14">
        <v>7.615199068963034</v>
      </c>
      <c r="Q56" s="8">
        <v>5.1620235549345229E-2</v>
      </c>
    </row>
    <row r="57" spans="1:17">
      <c r="A57" s="2" t="s">
        <v>399</v>
      </c>
      <c r="B57" s="16" t="s">
        <v>400</v>
      </c>
      <c r="D57" s="14">
        <v>1</v>
      </c>
      <c r="E57" s="14">
        <v>0.16614923810880819</v>
      </c>
      <c r="F57" s="14">
        <v>2.9205838550283445E-2</v>
      </c>
      <c r="G57" s="14">
        <v>8.5070339850976309E-3</v>
      </c>
      <c r="H57" s="14">
        <v>32.177305964171929</v>
      </c>
      <c r="I57" s="14">
        <v>62.749006039964947</v>
      </c>
      <c r="J57" s="14">
        <v>0</v>
      </c>
      <c r="K57" s="14">
        <v>34.239729096574585</v>
      </c>
      <c r="L57" s="14">
        <v>2.9205838550283449E-2</v>
      </c>
      <c r="M57" s="14">
        <v>2.396339053050757E-2</v>
      </c>
      <c r="N57" s="14">
        <v>3.7467932097160546</v>
      </c>
      <c r="O57" s="14">
        <v>550.77860182825998</v>
      </c>
      <c r="P57" s="14">
        <v>3.746793209716055</v>
      </c>
      <c r="Q57" s="8">
        <v>4.5020141002750674E-2</v>
      </c>
    </row>
    <row r="58" spans="1:17">
      <c r="A58" s="2" t="s">
        <v>297</v>
      </c>
      <c r="B58" s="16" t="s">
        <v>298</v>
      </c>
      <c r="D58" s="14">
        <v>1</v>
      </c>
      <c r="E58" s="14">
        <v>6.0462200172891049E-2</v>
      </c>
      <c r="F58" s="14">
        <v>5.9395007713013467E-2</v>
      </c>
      <c r="G58" s="14">
        <v>1.0350907575898825E-2</v>
      </c>
      <c r="H58" s="14">
        <v>0.28076950935419265</v>
      </c>
      <c r="I58" s="14">
        <v>0.81810135851108756</v>
      </c>
      <c r="J58" s="14">
        <v>0</v>
      </c>
      <c r="K58" s="14">
        <v>16.836431856896613</v>
      </c>
      <c r="L58" s="14">
        <v>5.9395007713013467E-2</v>
      </c>
      <c r="M58" s="14">
        <v>4.8733603828527552E-2</v>
      </c>
      <c r="N58" s="14">
        <v>9.8922544736820689E-2</v>
      </c>
      <c r="O58" s="14">
        <v>8.4014917244981824</v>
      </c>
      <c r="P58" s="14">
        <v>9.8922544736820703E-2</v>
      </c>
      <c r="Q58" s="8">
        <v>5.3432699240599435E-3</v>
      </c>
    </row>
    <row r="59" spans="1:17">
      <c r="A59" s="2" t="s">
        <v>401</v>
      </c>
      <c r="B59" s="16" t="s">
        <v>402</v>
      </c>
      <c r="D59" s="14">
        <v>1</v>
      </c>
      <c r="E59" s="14">
        <v>6.4371573129238857E-2</v>
      </c>
      <c r="F59" s="14">
        <v>1.202322144994186E-2</v>
      </c>
      <c r="G59" s="14">
        <v>1.0095999814712169E-2</v>
      </c>
      <c r="H59" s="14">
        <v>12.289121732526137</v>
      </c>
      <c r="I59" s="14">
        <v>24.097834479151288</v>
      </c>
      <c r="J59" s="14">
        <v>0</v>
      </c>
      <c r="K59" s="14">
        <v>83.172384719307956</v>
      </c>
      <c r="L59" s="14">
        <v>1.202322144994186E-2</v>
      </c>
      <c r="M59" s="14">
        <v>9.8650531996772976E-3</v>
      </c>
      <c r="N59" s="14">
        <v>1.4388392473600811</v>
      </c>
      <c r="O59" s="14">
        <v>238.60271238972226</v>
      </c>
      <c r="P59" s="14">
        <v>1.4388392473600811</v>
      </c>
      <c r="Q59" s="8">
        <v>1.7822885498260586E-2</v>
      </c>
    </row>
    <row r="60" spans="1:17">
      <c r="A60" s="2" t="s">
        <v>299</v>
      </c>
      <c r="B60" s="16" t="s">
        <v>300</v>
      </c>
      <c r="D60" s="14">
        <v>1</v>
      </c>
      <c r="E60" s="14">
        <v>1.3154842837633368E-3</v>
      </c>
      <c r="F60" s="14">
        <v>4.4952468924657006E-4</v>
      </c>
      <c r="G60" s="14">
        <v>1.108924649405039E-2</v>
      </c>
      <c r="H60" s="14">
        <v>0.2013138013062046</v>
      </c>
      <c r="I60" s="14">
        <v>0.41949879749888264</v>
      </c>
      <c r="J60" s="14">
        <v>0</v>
      </c>
      <c r="K60" s="14">
        <v>2224.5719176761104</v>
      </c>
      <c r="L60" s="14">
        <v>4.4952468924657006E-4</v>
      </c>
      <c r="M60" s="14">
        <v>3.6883500752681075E-4</v>
      </c>
      <c r="N60" s="14">
        <v>2.5111715890347847E-2</v>
      </c>
      <c r="O60" s="14">
        <v>2.0626763432331723</v>
      </c>
      <c r="P60" s="14">
        <v>2.5111715890347851E-2</v>
      </c>
      <c r="Q60" s="8">
        <v>4.3344172915878783E-4</v>
      </c>
    </row>
    <row r="61" spans="1:17">
      <c r="A61" s="2" t="s">
        <v>403</v>
      </c>
      <c r="B61" s="16" t="s">
        <v>404</v>
      </c>
      <c r="D61" s="14">
        <v>1</v>
      </c>
      <c r="E61" s="14">
        <v>0.66171002486435715</v>
      </c>
      <c r="F61" s="14">
        <v>0.28405978564418771</v>
      </c>
      <c r="G61" s="14">
        <v>4.9506046186554636E-46</v>
      </c>
      <c r="H61" s="14">
        <v>87.423815136672403</v>
      </c>
      <c r="I61" s="14">
        <v>187.27807029383317</v>
      </c>
      <c r="J61" s="14">
        <v>0</v>
      </c>
      <c r="K61" s="14">
        <v>3.5203856742066137</v>
      </c>
      <c r="L61" s="14">
        <v>0.28405978564418771</v>
      </c>
      <c r="M61" s="14">
        <v>0.23307105412105603</v>
      </c>
      <c r="N61" s="14">
        <v>11.254358904211136</v>
      </c>
      <c r="O61" s="14">
        <v>13534.604561793352</v>
      </c>
      <c r="P61" s="14">
        <v>11.254358904211136</v>
      </c>
      <c r="Q61" s="8">
        <v>0.22526147615885994</v>
      </c>
    </row>
    <row r="62" spans="1:17">
      <c r="A62" s="2" t="s">
        <v>405</v>
      </c>
      <c r="B62" s="16" t="s">
        <v>406</v>
      </c>
      <c r="D62" s="14">
        <v>1</v>
      </c>
      <c r="E62" s="14">
        <v>0.86394269970612647</v>
      </c>
      <c r="F62" s="14">
        <v>3.8418580958912022E-3</v>
      </c>
      <c r="G62" s="14">
        <v>1.1768735635251665E-9</v>
      </c>
      <c r="H62" s="14">
        <v>156.96445613045975</v>
      </c>
      <c r="I62" s="14">
        <v>810.13704279059641</v>
      </c>
      <c r="J62" s="14">
        <v>0</v>
      </c>
      <c r="K62" s="14">
        <v>260.29071741860582</v>
      </c>
      <c r="L62" s="14">
        <v>3.8418580958912022E-3</v>
      </c>
      <c r="M62" s="14">
        <v>3.1522445676787315E-3</v>
      </c>
      <c r="N62" s="14">
        <v>49.798562333755918</v>
      </c>
      <c r="O62" s="14">
        <v>15878.769585741411</v>
      </c>
      <c r="P62" s="14">
        <v>49.798562333755918</v>
      </c>
      <c r="Q62" s="8">
        <v>7.8191310195730016E-2</v>
      </c>
    </row>
    <row r="63" spans="1:17">
      <c r="A63" s="2" t="s">
        <v>407</v>
      </c>
      <c r="B63" s="16" t="s">
        <v>408</v>
      </c>
      <c r="D63" s="14">
        <v>1</v>
      </c>
      <c r="E63" s="14">
        <v>0.8863270029565915</v>
      </c>
      <c r="F63" s="14">
        <v>3.4947442096191659E-4</v>
      </c>
      <c r="G63" s="14">
        <v>2.8054587126748846E-7</v>
      </c>
      <c r="H63" s="14">
        <v>47.98167381014899</v>
      </c>
      <c r="I63" s="14">
        <v>1887.2636047186422</v>
      </c>
      <c r="J63" s="14">
        <v>0</v>
      </c>
      <c r="K63" s="14">
        <v>2861.4397507191902</v>
      </c>
      <c r="L63" s="14">
        <v>3.4947442096191659E-4</v>
      </c>
      <c r="M63" s="14">
        <v>2.8674376239925256E-4</v>
      </c>
      <c r="N63" s="14">
        <v>119.00325346454169</v>
      </c>
      <c r="O63" s="14">
        <v>57810.590500539707</v>
      </c>
      <c r="P63" s="14">
        <v>119.00325346454169</v>
      </c>
      <c r="Q63" s="8">
        <v>4.4099388230663596E-2</v>
      </c>
    </row>
    <row r="64" spans="1:17">
      <c r="A64" s="2" t="s">
        <v>409</v>
      </c>
      <c r="B64" s="16" t="s">
        <v>410</v>
      </c>
      <c r="D64" s="14">
        <v>1</v>
      </c>
      <c r="E64" s="14">
        <v>0.90092051339446622</v>
      </c>
      <c r="F64" s="14">
        <v>1.2109690087408018E-4</v>
      </c>
      <c r="G64" s="14">
        <v>3.4736136798242656E-8</v>
      </c>
      <c r="H64" s="14">
        <v>25.855505244278657</v>
      </c>
      <c r="I64" s="14">
        <v>2131.1312603323172</v>
      </c>
      <c r="J64" s="14">
        <v>0</v>
      </c>
      <c r="K64" s="14">
        <v>8257.8496458784448</v>
      </c>
      <c r="L64" s="14">
        <v>1.2109690087408018E-4</v>
      </c>
      <c r="M64" s="14">
        <v>9.9360007167182792E-5</v>
      </c>
      <c r="N64" s="14">
        <v>135.64264625549106</v>
      </c>
      <c r="O64" s="14">
        <v>76596.045914013259</v>
      </c>
      <c r="P64" s="14">
        <v>135.64264625549109</v>
      </c>
      <c r="Q64" s="8">
        <v>2.97036760321076E-2</v>
      </c>
    </row>
    <row r="65" spans="1:17">
      <c r="A65" s="2" t="s">
        <v>301</v>
      </c>
      <c r="B65" s="16" t="s">
        <v>302</v>
      </c>
      <c r="D65" s="14">
        <v>1</v>
      </c>
      <c r="E65" s="14">
        <v>0.91378222199788006</v>
      </c>
      <c r="F65" s="14">
        <v>3.4005319652159739E-5</v>
      </c>
      <c r="G65" s="14">
        <v>4.2921545285020119E-9</v>
      </c>
      <c r="H65" s="14">
        <v>11.996287394836571</v>
      </c>
      <c r="I65" s="14">
        <v>2293.5279254594029</v>
      </c>
      <c r="J65" s="14">
        <v>0</v>
      </c>
      <c r="K65" s="14">
        <v>29407.163650540428</v>
      </c>
      <c r="L65" s="14">
        <v>3.4005319652159739E-5</v>
      </c>
      <c r="M65" s="14">
        <v>2.790136477459707E-5</v>
      </c>
      <c r="N65" s="14">
        <v>147.5433015815633</v>
      </c>
      <c r="O65" s="14">
        <v>94955.918031862515</v>
      </c>
      <c r="P65" s="14">
        <v>147.5433015815633</v>
      </c>
      <c r="Q65" s="8">
        <v>1.7762497604615735E-2</v>
      </c>
    </row>
    <row r="66" spans="1:17">
      <c r="A66" s="2" t="s">
        <v>303</v>
      </c>
      <c r="B66" s="16" t="s">
        <v>304</v>
      </c>
      <c r="D66" s="14">
        <v>1</v>
      </c>
      <c r="E66" s="14">
        <v>0.90704759745618813</v>
      </c>
      <c r="F66" s="14">
        <v>7.049381755517077E-5</v>
      </c>
      <c r="G66" s="14">
        <v>4.1428529455096429E-15</v>
      </c>
      <c r="H66" s="14">
        <v>18.688353059939562</v>
      </c>
      <c r="I66" s="14">
        <v>2213.7480974885261</v>
      </c>
      <c r="J66" s="14">
        <v>0</v>
      </c>
      <c r="K66" s="14">
        <v>14185.64116232416</v>
      </c>
      <c r="L66" s="14">
        <v>7.049381755517077E-5</v>
      </c>
      <c r="M66" s="14">
        <v>5.7840177304017614E-5</v>
      </c>
      <c r="N66" s="14">
        <v>141.5494281154717</v>
      </c>
      <c r="O66" s="14">
        <v>91343.261457195025</v>
      </c>
      <c r="P66" s="14">
        <v>141.5494281154717</v>
      </c>
      <c r="Q66" s="8">
        <v>2.3951250941776539E-2</v>
      </c>
    </row>
    <row r="67" spans="1:17">
      <c r="A67" s="2" t="s">
        <v>411</v>
      </c>
      <c r="B67" s="16" t="s">
        <v>412</v>
      </c>
      <c r="D67" s="14">
        <v>1</v>
      </c>
      <c r="E67" s="14">
        <v>0.8442278977376052</v>
      </c>
      <c r="F67" s="14">
        <v>0.8144838383071451</v>
      </c>
      <c r="G67" s="14">
        <v>5.1714336708944804E-5</v>
      </c>
      <c r="H67" s="14">
        <v>7.1941994031782803</v>
      </c>
      <c r="I67" s="14">
        <v>20.018873804142679</v>
      </c>
      <c r="J67" s="14">
        <v>0</v>
      </c>
      <c r="K67" s="14">
        <v>1.2277714461203293</v>
      </c>
      <c r="L67" s="14">
        <v>0.8144838383071451</v>
      </c>
      <c r="M67" s="14">
        <v>0.66828398933101252</v>
      </c>
      <c r="N67" s="14">
        <v>1.863502951307823</v>
      </c>
      <c r="O67" s="14">
        <v>559.23723568747778</v>
      </c>
      <c r="P67" s="14">
        <v>1.8635029513078232</v>
      </c>
      <c r="Q67" s="8">
        <v>0.10149383008824225</v>
      </c>
    </row>
    <row r="68" spans="1:17">
      <c r="A68" s="2" t="s">
        <v>413</v>
      </c>
      <c r="B68" s="16" t="s">
        <v>414</v>
      </c>
      <c r="D68" s="14">
        <v>1</v>
      </c>
      <c r="E68" s="14">
        <v>0.79658793344489143</v>
      </c>
      <c r="F68" s="14">
        <v>0.74260221529669701</v>
      </c>
      <c r="G68" s="14">
        <v>1.1092890554608181E-4</v>
      </c>
      <c r="H68" s="14">
        <v>12.566555118803336</v>
      </c>
      <c r="I68" s="14">
        <v>33.332923932393236</v>
      </c>
      <c r="J68" s="14">
        <v>0</v>
      </c>
      <c r="K68" s="14">
        <v>1.3466159666658994</v>
      </c>
      <c r="L68" s="14">
        <v>0.74260221529669701</v>
      </c>
      <c r="M68" s="14">
        <v>0.60930511765093986</v>
      </c>
      <c r="N68" s="14">
        <v>2.571823182644124</v>
      </c>
      <c r="O68" s="14">
        <v>843.94377738466926</v>
      </c>
      <c r="P68" s="14">
        <v>2.5718231826441245</v>
      </c>
      <c r="Q68" s="8">
        <v>0.12985940576957017</v>
      </c>
    </row>
    <row r="69" spans="1:17">
      <c r="A69" s="2" t="s">
        <v>415</v>
      </c>
      <c r="B69" s="16" t="s">
        <v>416</v>
      </c>
      <c r="D69" s="14">
        <v>1</v>
      </c>
      <c r="E69" s="14">
        <v>0.86602746431749855</v>
      </c>
      <c r="F69" s="14">
        <v>1.3852760307468289E-3</v>
      </c>
      <c r="G69" s="14">
        <v>1.3542062300033562E-5</v>
      </c>
      <c r="H69" s="14">
        <v>100.22044337859887</v>
      </c>
      <c r="I69" s="14">
        <v>1347.4525806935992</v>
      </c>
      <c r="J69" s="14">
        <v>0</v>
      </c>
      <c r="K69" s="14">
        <v>721.8777902775671</v>
      </c>
      <c r="L69" s="14">
        <v>1.3852760307468289E-3</v>
      </c>
      <c r="M69" s="14">
        <v>1.1366189832277731E-3</v>
      </c>
      <c r="N69" s="14">
        <v>83.824411408049713</v>
      </c>
      <c r="O69" s="14">
        <v>38901.232846247709</v>
      </c>
      <c r="P69" s="14">
        <v>83.824411408049713</v>
      </c>
      <c r="Q69" s="8">
        <v>6.6636701354585465E-2</v>
      </c>
    </row>
    <row r="70" spans="1:17">
      <c r="A70" s="2" t="s">
        <v>417</v>
      </c>
      <c r="B70" s="16" t="s">
        <v>418</v>
      </c>
      <c r="D70" s="14">
        <v>1</v>
      </c>
      <c r="E70" s="14">
        <v>0.82954366552997827</v>
      </c>
      <c r="F70" s="14">
        <v>2.557119119107485E-2</v>
      </c>
      <c r="G70" s="14">
        <v>3.5211088191865878E-5</v>
      </c>
      <c r="H70" s="14">
        <v>193.21950242031701</v>
      </c>
      <c r="I70" s="14">
        <v>326.97016777631427</v>
      </c>
      <c r="J70" s="14">
        <v>0</v>
      </c>
      <c r="K70" s="14">
        <v>39.106508278309356</v>
      </c>
      <c r="L70" s="14">
        <v>2.557119119107485E-2</v>
      </c>
      <c r="M70" s="14">
        <v>2.0981162372276915E-2</v>
      </c>
      <c r="N70" s="14">
        <v>19.683558615485996</v>
      </c>
      <c r="O70" s="14">
        <v>6181.6215831933769</v>
      </c>
      <c r="P70" s="14">
        <v>19.683558615485996</v>
      </c>
      <c r="Q70" s="8">
        <v>0.10752467292103493</v>
      </c>
    </row>
    <row r="71" spans="1:17">
      <c r="A71" s="2" t="s">
        <v>419</v>
      </c>
      <c r="B71" s="16" t="s">
        <v>420</v>
      </c>
      <c r="D71" s="14">
        <v>1</v>
      </c>
      <c r="E71" s="14">
        <v>0.79178214043114037</v>
      </c>
      <c r="F71" s="14">
        <v>0.74309362835913262</v>
      </c>
      <c r="G71" s="14">
        <v>2.7232782980675884E-4</v>
      </c>
      <c r="H71" s="14">
        <v>11.37793733367787</v>
      </c>
      <c r="I71" s="14">
        <v>30.40329883681753</v>
      </c>
      <c r="J71" s="14">
        <v>0</v>
      </c>
      <c r="K71" s="14">
        <v>1.3457254400204679</v>
      </c>
      <c r="L71" s="14">
        <v>0.74309362835913273</v>
      </c>
      <c r="M71" s="14">
        <v>0.60970832206866832</v>
      </c>
      <c r="N71" s="14">
        <v>2.4024025638078275</v>
      </c>
      <c r="O71" s="14">
        <v>514.21024475742729</v>
      </c>
      <c r="P71" s="14">
        <v>2.4024025638078275</v>
      </c>
      <c r="Q71" s="8">
        <v>0.12334476112560816</v>
      </c>
    </row>
    <row r="72" spans="1:17">
      <c r="A72" s="2" t="s">
        <v>421</v>
      </c>
      <c r="B72" s="16" t="s">
        <v>422</v>
      </c>
      <c r="D72" s="14">
        <v>1</v>
      </c>
      <c r="E72" s="14">
        <v>0.81086623872361763</v>
      </c>
      <c r="F72" s="14">
        <v>2.9546017438281502E-2</v>
      </c>
      <c r="G72" s="14">
        <v>1.4757318056747982E-4</v>
      </c>
      <c r="H72" s="14">
        <v>187.40404033321667</v>
      </c>
      <c r="I72" s="14">
        <v>321.2448104508631</v>
      </c>
      <c r="J72" s="14">
        <v>0</v>
      </c>
      <c r="K72" s="14">
        <v>33.845509029732817</v>
      </c>
      <c r="L72" s="14">
        <v>2.9546017438281506E-2</v>
      </c>
      <c r="M72" s="14">
        <v>2.4242507308109975E-2</v>
      </c>
      <c r="N72" s="14">
        <v>19.318354820747583</v>
      </c>
      <c r="O72" s="14">
        <v>7999.1511806269509</v>
      </c>
      <c r="P72" s="14">
        <v>19.318354820747583</v>
      </c>
      <c r="Q72" s="8">
        <v>0.11340602300345788</v>
      </c>
    </row>
    <row r="73" spans="1:17">
      <c r="A73" s="2" t="s">
        <v>423</v>
      </c>
      <c r="B73" s="16" t="s">
        <v>424</v>
      </c>
      <c r="D73" s="14">
        <v>1</v>
      </c>
      <c r="E73" s="14">
        <v>0.65457912059241308</v>
      </c>
      <c r="F73" s="14">
        <v>0.26136598452022874</v>
      </c>
      <c r="G73" s="14">
        <v>1.441443265182701E-4</v>
      </c>
      <c r="H73" s="14">
        <v>91.152601018443065</v>
      </c>
      <c r="I73" s="14">
        <v>193.47561527091557</v>
      </c>
      <c r="J73" s="14">
        <v>0</v>
      </c>
      <c r="K73" s="14">
        <v>3.8260525823038147</v>
      </c>
      <c r="L73" s="14">
        <v>0.26136598452022874</v>
      </c>
      <c r="M73" s="14">
        <v>0.2144507902988477</v>
      </c>
      <c r="N73" s="14">
        <v>11.608772875918135</v>
      </c>
      <c r="O73" s="14">
        <v>4970.5282822818681</v>
      </c>
      <c r="P73" s="14">
        <v>11.608772875918135</v>
      </c>
      <c r="Q73" s="8">
        <v>0.22122094155749097</v>
      </c>
    </row>
    <row r="74" spans="1:17">
      <c r="A74" s="2" t="s">
        <v>425</v>
      </c>
      <c r="B74" s="16" t="s">
        <v>426</v>
      </c>
      <c r="D74" s="14">
        <v>1</v>
      </c>
      <c r="E74" s="14">
        <v>0.82519393237897498</v>
      </c>
      <c r="F74" s="14">
        <v>2.668484874016076E-2</v>
      </c>
      <c r="G74" s="14">
        <v>5.4334194502913076E-5</v>
      </c>
      <c r="H74" s="14">
        <v>191.79829642660906</v>
      </c>
      <c r="I74" s="14">
        <v>325.76312027831995</v>
      </c>
      <c r="J74" s="14">
        <v>0</v>
      </c>
      <c r="K74" s="14">
        <v>37.474448880611327</v>
      </c>
      <c r="L74" s="14">
        <v>2.6684848740160763E-2</v>
      </c>
      <c r="M74" s="14">
        <v>2.1894918391301903E-2</v>
      </c>
      <c r="N74" s="14">
        <v>19.604875379544996</v>
      </c>
      <c r="O74" s="14">
        <v>10354.903077968074</v>
      </c>
      <c r="P74" s="14">
        <v>19.604875379544996</v>
      </c>
      <c r="Q74" s="8">
        <v>0.10932057723037558</v>
      </c>
    </row>
    <row r="75" spans="1:17">
      <c r="A75" s="2" t="s">
        <v>427</v>
      </c>
      <c r="B75" s="16" t="s">
        <v>428</v>
      </c>
      <c r="D75" s="14">
        <v>1</v>
      </c>
      <c r="E75" s="14">
        <v>0.99462064628922153</v>
      </c>
      <c r="F75" s="14">
        <v>4.3148324966734665E-3</v>
      </c>
      <c r="G75" s="14">
        <v>6.0868473632528553E-12</v>
      </c>
      <c r="H75" s="14">
        <v>281.36102724382778</v>
      </c>
      <c r="I75" s="14">
        <v>1.0052538970247633</v>
      </c>
      <c r="J75" s="14">
        <v>0</v>
      </c>
      <c r="K75" s="14">
        <v>231.75870691873973</v>
      </c>
      <c r="L75" s="14">
        <v>4.3148324966734665E-3</v>
      </c>
      <c r="M75" s="14">
        <v>3.5403200635205794E-3</v>
      </c>
      <c r="N75" s="14">
        <v>13.04478361991081</v>
      </c>
      <c r="O75" s="14">
        <v>7358.4319921554888</v>
      </c>
      <c r="P75" s="14">
        <v>13.04478361991081</v>
      </c>
      <c r="Q75" s="8">
        <v>5.6140433963137812E-5</v>
      </c>
    </row>
    <row r="76" spans="1:17">
      <c r="A76" s="2" t="s">
        <v>429</v>
      </c>
      <c r="B76" s="16" t="s">
        <v>430</v>
      </c>
      <c r="D76" s="14">
        <v>1</v>
      </c>
      <c r="E76" s="14">
        <v>0.99462064682040441</v>
      </c>
      <c r="F76" s="14">
        <v>4.3148324989778272E-3</v>
      </c>
      <c r="G76" s="14">
        <v>1.5289469310590138E-13</v>
      </c>
      <c r="H76" s="14">
        <v>281.36102739409023</v>
      </c>
      <c r="I76" s="14">
        <v>1.0052538975616248</v>
      </c>
      <c r="J76" s="14">
        <v>0</v>
      </c>
      <c r="K76" s="14">
        <v>231.75870679496771</v>
      </c>
      <c r="L76" s="14">
        <v>4.3148324989778272E-3</v>
      </c>
      <c r="M76" s="14">
        <v>3.540320065411307E-3</v>
      </c>
      <c r="N76" s="14">
        <v>13.044783626877448</v>
      </c>
      <c r="O76" s="14">
        <v>6524.0876353102185</v>
      </c>
      <c r="P76" s="14">
        <v>13.04478362687745</v>
      </c>
      <c r="Q76" s="8">
        <v>5.6140433993119926E-5</v>
      </c>
    </row>
    <row r="77" spans="1:17">
      <c r="A77" s="2" t="s">
        <v>431</v>
      </c>
      <c r="B77" s="16" t="s">
        <v>432</v>
      </c>
      <c r="D77" s="14">
        <v>1</v>
      </c>
      <c r="E77" s="14">
        <v>0.7070734442577129</v>
      </c>
      <c r="F77" s="14">
        <v>0.10096705958576889</v>
      </c>
      <c r="G77" s="14">
        <v>2.6247515229662596E-4</v>
      </c>
      <c r="H77" s="14">
        <v>142.84324536396593</v>
      </c>
      <c r="I77" s="14">
        <v>273.47452675909324</v>
      </c>
      <c r="J77" s="14">
        <v>0</v>
      </c>
      <c r="K77" s="14">
        <v>9.9042202883062664</v>
      </c>
      <c r="L77" s="14">
        <v>0.10096705958576889</v>
      </c>
      <c r="M77" s="14">
        <v>8.2843472390123379E-2</v>
      </c>
      <c r="N77" s="14">
        <v>16.33546751336884</v>
      </c>
      <c r="O77" s="14">
        <v>5947.0903029170604</v>
      </c>
      <c r="P77" s="14">
        <v>16.33546751336884</v>
      </c>
      <c r="Q77" s="8">
        <v>0.17730332475198504</v>
      </c>
    </row>
    <row r="78" spans="1:17">
      <c r="A78" s="2" t="s">
        <v>433</v>
      </c>
      <c r="B78" s="16" t="s">
        <v>434</v>
      </c>
      <c r="D78" s="14">
        <v>1</v>
      </c>
      <c r="E78" s="14">
        <v>0.68238604513238199</v>
      </c>
      <c r="F78" s="14">
        <v>0.52489648161372759</v>
      </c>
      <c r="G78" s="14">
        <v>3.6959164874406515E-4</v>
      </c>
      <c r="H78" s="14">
        <v>36.032439134253721</v>
      </c>
      <c r="I78" s="14">
        <v>86.208647664787037</v>
      </c>
      <c r="J78" s="14">
        <v>0</v>
      </c>
      <c r="K78" s="14">
        <v>1.9051375557436143</v>
      </c>
      <c r="L78" s="14">
        <v>0.52489648161372759</v>
      </c>
      <c r="M78" s="14">
        <v>0.43067756316406347</v>
      </c>
      <c r="N78" s="14">
        <v>5.4732553005773568</v>
      </c>
      <c r="O78" s="14">
        <v>1445.2130621174513</v>
      </c>
      <c r="P78" s="14">
        <v>5.4732553005773568</v>
      </c>
      <c r="Q78" s="8">
        <v>0.19043678125931696</v>
      </c>
    </row>
    <row r="79" spans="1:17">
      <c r="A79" s="2" t="s">
        <v>435</v>
      </c>
      <c r="B79" s="16" t="s">
        <v>436</v>
      </c>
      <c r="D79" s="14">
        <v>1</v>
      </c>
      <c r="E79" s="14">
        <v>0.65946721533721675</v>
      </c>
      <c r="F79" s="14">
        <v>0.36829204353318118</v>
      </c>
      <c r="G79" s="14">
        <v>8.6333793516798116E-5</v>
      </c>
      <c r="H79" s="14">
        <v>67.042829725650762</v>
      </c>
      <c r="I79" s="14">
        <v>149.28270894688336</v>
      </c>
      <c r="J79" s="14">
        <v>0</v>
      </c>
      <c r="K79" s="14">
        <v>2.7152365020068787</v>
      </c>
      <c r="L79" s="14">
        <v>0.36829204353318118</v>
      </c>
      <c r="M79" s="14">
        <v>0.30218362171897517</v>
      </c>
      <c r="N79" s="14">
        <v>9.062871835807627</v>
      </c>
      <c r="O79" s="14">
        <v>3626.1456502249903</v>
      </c>
      <c r="P79" s="14">
        <v>9.0628718358076288</v>
      </c>
      <c r="Q79" s="8">
        <v>0.22213117166463009</v>
      </c>
    </row>
    <row r="80" spans="1:17">
      <c r="A80" s="2" t="s">
        <v>437</v>
      </c>
      <c r="B80" s="16" t="s">
        <v>438</v>
      </c>
      <c r="D80" s="14">
        <v>1</v>
      </c>
      <c r="E80" s="14">
        <v>0.98966247873170599</v>
      </c>
      <c r="F80" s="14">
        <v>2.9110238742325622E-3</v>
      </c>
      <c r="G80" s="14">
        <v>2.1685739556539998E-12</v>
      </c>
      <c r="H80" s="14">
        <v>280.25009419668163</v>
      </c>
      <c r="I80" s="14">
        <v>1.9233467666847519</v>
      </c>
      <c r="J80" s="14">
        <v>0</v>
      </c>
      <c r="K80" s="14">
        <v>343.52174465200204</v>
      </c>
      <c r="L80" s="14">
        <v>2.9110238742325622E-3</v>
      </c>
      <c r="M80" s="14">
        <v>2.3884950888078175E-3</v>
      </c>
      <c r="N80" s="14">
        <v>25.213430980546597</v>
      </c>
      <c r="O80" s="14">
        <v>12961.720598479396</v>
      </c>
      <c r="P80" s="14">
        <v>25.213430980546597</v>
      </c>
      <c r="Q80" s="8">
        <v>6.808596413878233E-5</v>
      </c>
    </row>
    <row r="81" spans="1:17">
      <c r="A81" s="2" t="s">
        <v>440</v>
      </c>
      <c r="B81" s="16" t="s">
        <v>441</v>
      </c>
      <c r="D81" s="14">
        <v>1</v>
      </c>
      <c r="E81" s="14">
        <v>0.97065455085147467</v>
      </c>
      <c r="F81" s="14">
        <v>0.97318096384461183</v>
      </c>
      <c r="G81" s="14">
        <v>2.0536294935386706E-15</v>
      </c>
      <c r="H81" s="14">
        <v>0.25935439099885643</v>
      </c>
      <c r="I81" s="14">
        <v>0.93400838690620214</v>
      </c>
      <c r="J81" s="14">
        <v>0</v>
      </c>
      <c r="K81" s="14">
        <v>1.0275581183271794</v>
      </c>
      <c r="L81" s="14">
        <v>0.97318096384461183</v>
      </c>
      <c r="M81" s="14">
        <v>0.7984949808345041</v>
      </c>
      <c r="N81" s="14">
        <v>0.90856488317859974</v>
      </c>
      <c r="O81" s="14">
        <v>251.90869951009856</v>
      </c>
      <c r="P81" s="14">
        <v>0.90856488317859974</v>
      </c>
      <c r="Q81" s="8">
        <v>1.9559185968894773E-2</v>
      </c>
    </row>
    <row r="82" spans="1:17">
      <c r="A82" s="2" t="s">
        <v>442</v>
      </c>
      <c r="B82" s="16" t="s">
        <v>443</v>
      </c>
      <c r="D82" s="14">
        <v>1</v>
      </c>
      <c r="E82" s="14">
        <v>0.78653527305445536</v>
      </c>
      <c r="F82" s="14">
        <v>0.71891448897225696</v>
      </c>
      <c r="G82" s="14">
        <v>9.1530476683410212E-7</v>
      </c>
      <c r="H82" s="14">
        <v>15.62202168989784</v>
      </c>
      <c r="I82" s="14">
        <v>40.681261084924529</v>
      </c>
      <c r="J82" s="14">
        <v>0</v>
      </c>
      <c r="K82" s="14">
        <v>1.3909860148034798</v>
      </c>
      <c r="L82" s="14">
        <v>0.71891448897225696</v>
      </c>
      <c r="M82" s="14">
        <v>0.58986933820173693</v>
      </c>
      <c r="N82" s="14">
        <v>2.9780709126744886</v>
      </c>
      <c r="O82" s="14">
        <v>491.9475340646988</v>
      </c>
      <c r="P82" s="14">
        <v>2.9780709126744891</v>
      </c>
      <c r="Q82" s="8">
        <v>0.14321694559003906</v>
      </c>
    </row>
    <row r="83" spans="1:17">
      <c r="A83" s="2" t="s">
        <v>444</v>
      </c>
      <c r="B83" s="16" t="s">
        <v>445</v>
      </c>
      <c r="D83" s="14">
        <v>1</v>
      </c>
      <c r="E83" s="14">
        <v>0.70711259087576372</v>
      </c>
      <c r="F83" s="14">
        <v>0.12684818185170671</v>
      </c>
      <c r="G83" s="14">
        <v>5.5915567167858366E-6</v>
      </c>
      <c r="H83" s="14">
        <v>136.30263344860708</v>
      </c>
      <c r="I83" s="14">
        <v>266.29402223844357</v>
      </c>
      <c r="J83" s="14">
        <v>0</v>
      </c>
      <c r="K83" s="14">
        <v>7.8834397576865642</v>
      </c>
      <c r="L83" s="14">
        <v>0.12684818185170671</v>
      </c>
      <c r="M83" s="14">
        <v>0.10407893320932536</v>
      </c>
      <c r="N83" s="14">
        <v>15.900340312872938</v>
      </c>
      <c r="O83" s="14">
        <v>2865.8773379922186</v>
      </c>
      <c r="P83" s="14">
        <v>15.900340312872938</v>
      </c>
      <c r="Q83" s="8">
        <v>0.19300182582557196</v>
      </c>
    </row>
    <row r="84" spans="1:17">
      <c r="A84" s="2" t="s">
        <v>446</v>
      </c>
      <c r="B84" s="16" t="s">
        <v>447</v>
      </c>
      <c r="D84" s="14">
        <v>1</v>
      </c>
      <c r="E84" s="14">
        <v>0.9374862992492875</v>
      </c>
      <c r="F84" s="14">
        <v>0.93563199983654866</v>
      </c>
      <c r="G84" s="14">
        <v>6.2968529956243497E-17</v>
      </c>
      <c r="H84" s="14">
        <v>1.1606334068406139</v>
      </c>
      <c r="I84" s="14">
        <v>3.7320911112462465</v>
      </c>
      <c r="J84" s="14">
        <v>0</v>
      </c>
      <c r="K84" s="14">
        <v>1.06879627906559</v>
      </c>
      <c r="L84" s="14">
        <v>0.93563199983654866</v>
      </c>
      <c r="M84" s="14">
        <v>0.76768605586588812</v>
      </c>
      <c r="N84" s="14">
        <v>1.0341586188797938</v>
      </c>
      <c r="O84" s="14">
        <v>402.17394529616303</v>
      </c>
      <c r="P84" s="14">
        <v>1.034158618879794</v>
      </c>
      <c r="Q84" s="8">
        <v>4.1913336837223099E-2</v>
      </c>
    </row>
    <row r="85" spans="1:17">
      <c r="A85" s="2" t="s">
        <v>448</v>
      </c>
      <c r="B85" s="16" t="s">
        <v>449</v>
      </c>
      <c r="D85" s="14">
        <v>1</v>
      </c>
      <c r="E85" s="14">
        <v>0.98755513830448682</v>
      </c>
      <c r="F85" s="14">
        <v>0.99117758260060151</v>
      </c>
      <c r="G85" s="14">
        <v>4.4296555699580445E-10</v>
      </c>
      <c r="H85" s="14">
        <v>4.7636678355466311E-2</v>
      </c>
      <c r="I85" s="14">
        <v>0.19462500728846929</v>
      </c>
      <c r="J85" s="14">
        <v>0</v>
      </c>
      <c r="K85" s="14">
        <v>1.0089009452536755</v>
      </c>
      <c r="L85" s="14">
        <v>0.99117758260060163</v>
      </c>
      <c r="M85" s="14">
        <v>0.81326120652379363</v>
      </c>
      <c r="N85" s="14">
        <v>0.88295593170435094</v>
      </c>
      <c r="O85" s="14">
        <v>158.26102119868787</v>
      </c>
      <c r="P85" s="14">
        <v>0.88295593170435105</v>
      </c>
      <c r="Q85" s="8">
        <v>8.1582806612301804E-3</v>
      </c>
    </row>
    <row r="86" spans="1:17">
      <c r="A86" s="2" t="s">
        <v>450</v>
      </c>
      <c r="B86" s="16" t="s">
        <v>451</v>
      </c>
      <c r="D86" s="14">
        <v>1</v>
      </c>
      <c r="E86" s="14">
        <v>0.93897396379181608</v>
      </c>
      <c r="F86" s="14">
        <v>0.93738010083554579</v>
      </c>
      <c r="G86" s="14">
        <v>1.5842153520120532E-10</v>
      </c>
      <c r="H86" s="14">
        <v>1.1060779378928156</v>
      </c>
      <c r="I86" s="14">
        <v>3.5697919070669761</v>
      </c>
      <c r="J86" s="14">
        <v>0</v>
      </c>
      <c r="K86" s="14">
        <v>1.0668031027206968</v>
      </c>
      <c r="L86" s="14">
        <v>0.9373801008355459</v>
      </c>
      <c r="M86" s="14">
        <v>0.76912037273556544</v>
      </c>
      <c r="N86" s="14">
        <v>1.0264570053597601</v>
      </c>
      <c r="O86" s="14">
        <v>267.99765952937975</v>
      </c>
      <c r="P86" s="14">
        <v>1.0264570053597601</v>
      </c>
      <c r="Q86" s="8">
        <v>4.0911264274096942E-2</v>
      </c>
    </row>
    <row r="87" spans="1:17">
      <c r="A87" s="2" t="s">
        <v>452</v>
      </c>
      <c r="B87" s="16" t="s">
        <v>453</v>
      </c>
      <c r="D87" s="14">
        <v>1</v>
      </c>
      <c r="E87" s="14">
        <v>0.88069760260196361</v>
      </c>
      <c r="F87" s="14">
        <v>5.0840658076618816E-4</v>
      </c>
      <c r="G87" s="14">
        <v>5.2439633901081524E-10</v>
      </c>
      <c r="H87" s="14">
        <v>59.214922250404001</v>
      </c>
      <c r="I87" s="14">
        <v>1768.0247251252381</v>
      </c>
      <c r="J87" s="14">
        <v>0</v>
      </c>
      <c r="K87" s="14">
        <v>1966.9296933429964</v>
      </c>
      <c r="L87" s="14">
        <v>5.0840658076618827E-4</v>
      </c>
      <c r="M87" s="14">
        <v>4.1714759951865747E-4</v>
      </c>
      <c r="N87" s="14">
        <v>111.09767260699662</v>
      </c>
      <c r="O87" s="14">
        <v>46249.9611062927</v>
      </c>
      <c r="P87" s="14">
        <v>111.09767260699662</v>
      </c>
      <c r="Q87" s="8">
        <v>5.0082769208649534E-2</v>
      </c>
    </row>
    <row r="88" spans="1:17">
      <c r="A88" s="2" t="s">
        <v>454</v>
      </c>
      <c r="B88" s="16" t="s">
        <v>455</v>
      </c>
      <c r="D88" s="14">
        <v>1</v>
      </c>
      <c r="E88" s="14">
        <v>0.72867702054439687</v>
      </c>
      <c r="F88" s="14">
        <v>0.60150973579478662</v>
      </c>
      <c r="G88" s="14">
        <v>4.4264050097473276E-7</v>
      </c>
      <c r="H88" s="14">
        <v>29.095288042184119</v>
      </c>
      <c r="I88" s="14">
        <v>71.429865410558193</v>
      </c>
      <c r="J88" s="14">
        <v>0</v>
      </c>
      <c r="K88" s="14">
        <v>1.6624834819650598</v>
      </c>
      <c r="L88" s="14">
        <v>0.60150973579478662</v>
      </c>
      <c r="M88" s="14">
        <v>0.49353873821962246</v>
      </c>
      <c r="N88" s="14">
        <v>4.671178274982239</v>
      </c>
      <c r="O88" s="14">
        <v>893.45626865585291</v>
      </c>
      <c r="P88" s="14">
        <v>4.671178274982239</v>
      </c>
      <c r="Q88" s="8">
        <v>0.18183598431583897</v>
      </c>
    </row>
    <row r="89" spans="1:17">
      <c r="A89" s="2" t="s">
        <v>456</v>
      </c>
      <c r="B89" s="16" t="s">
        <v>457</v>
      </c>
      <c r="D89" s="14">
        <v>1</v>
      </c>
      <c r="E89" s="14">
        <v>0.77561697277220853</v>
      </c>
      <c r="F89" s="14">
        <v>0.69897943233409487</v>
      </c>
      <c r="G89" s="14">
        <v>3.0179558655506357E-19</v>
      </c>
      <c r="H89" s="14">
        <v>17.647549010963505</v>
      </c>
      <c r="I89" s="14">
        <v>45.45080372881786</v>
      </c>
      <c r="J89" s="14">
        <v>0</v>
      </c>
      <c r="K89" s="14">
        <v>1.4306572607733392</v>
      </c>
      <c r="L89" s="14">
        <v>0.69897943233409499</v>
      </c>
      <c r="M89" s="14">
        <v>0.57351262423012495</v>
      </c>
      <c r="N89" s="14">
        <v>3.2383239821416057</v>
      </c>
      <c r="O89" s="14">
        <v>1270.9126300312944</v>
      </c>
      <c r="P89" s="14">
        <v>3.2383239821416057</v>
      </c>
      <c r="Q89" s="8">
        <v>0.15057108069145339</v>
      </c>
    </row>
    <row r="90" spans="1:17">
      <c r="A90" s="2" t="s">
        <v>458</v>
      </c>
      <c r="B90" s="16" t="s">
        <v>459</v>
      </c>
      <c r="D90" s="14">
        <v>1</v>
      </c>
      <c r="E90" s="14">
        <v>0.88242407740791462</v>
      </c>
      <c r="F90" s="14">
        <v>0.86638595983304534</v>
      </c>
      <c r="G90" s="14">
        <v>4.6665926579919513E-31</v>
      </c>
      <c r="H90" s="14">
        <v>4.1992468561201797</v>
      </c>
      <c r="I90" s="14">
        <v>12.213174900287433</v>
      </c>
      <c r="J90" s="14">
        <v>0</v>
      </c>
      <c r="K90" s="14">
        <v>1.1542199970469309</v>
      </c>
      <c r="L90" s="14">
        <v>0.86638595983304534</v>
      </c>
      <c r="M90" s="14">
        <v>0.71086968004301376</v>
      </c>
      <c r="N90" s="14">
        <v>1.4590409572443774</v>
      </c>
      <c r="O90" s="14">
        <v>1139.4234451504242</v>
      </c>
      <c r="P90" s="14">
        <v>1.4590409572443774</v>
      </c>
      <c r="Q90" s="8">
        <v>7.8963897575324779E-2</v>
      </c>
    </row>
    <row r="91" spans="1:17">
      <c r="A91" s="2" t="s">
        <v>460</v>
      </c>
      <c r="B91" s="16" t="s">
        <v>461</v>
      </c>
      <c r="D91" s="14">
        <v>1</v>
      </c>
      <c r="E91" s="14">
        <v>0.86323901756748689</v>
      </c>
      <c r="F91" s="14">
        <v>3.3360125057068928E-3</v>
      </c>
      <c r="G91" s="14">
        <v>5.4956131961311067E-10</v>
      </c>
      <c r="H91" s="14">
        <v>148.62356349069989</v>
      </c>
      <c r="I91" s="14">
        <v>886.83911680856249</v>
      </c>
      <c r="J91" s="14">
        <v>0</v>
      </c>
      <c r="K91" s="14">
        <v>299.75906813577802</v>
      </c>
      <c r="L91" s="14">
        <v>3.3360125057068928E-3</v>
      </c>
      <c r="M91" s="14">
        <v>2.7371982609325058E-3</v>
      </c>
      <c r="N91" s="14">
        <v>54.611882076342042</v>
      </c>
      <c r="O91" s="14">
        <v>16733.0806681912</v>
      </c>
      <c r="P91" s="14">
        <v>54.611882076342049</v>
      </c>
      <c r="Q91" s="8">
        <v>7.734724347307477E-2</v>
      </c>
    </row>
    <row r="92" spans="1:17">
      <c r="A92" s="2" t="s">
        <v>462</v>
      </c>
      <c r="B92" s="16" t="s">
        <v>463</v>
      </c>
      <c r="D92" s="14">
        <v>1</v>
      </c>
      <c r="E92" s="14">
        <v>0.68292501581850495</v>
      </c>
      <c r="F92" s="14">
        <v>0.17689303834891815</v>
      </c>
      <c r="G92" s="14">
        <v>4.9070358311721468E-11</v>
      </c>
      <c r="H92" s="14">
        <v>118.19272387197545</v>
      </c>
      <c r="I92" s="14">
        <v>239.13762531349434</v>
      </c>
      <c r="J92" s="14">
        <v>0</v>
      </c>
      <c r="K92" s="14">
        <v>5.6531337204323391</v>
      </c>
      <c r="L92" s="14">
        <v>0.17689303834891815</v>
      </c>
      <c r="M92" s="14">
        <v>0.14514073796528734</v>
      </c>
      <c r="N92" s="14">
        <v>14.285845095331737</v>
      </c>
      <c r="O92" s="14">
        <v>4811.7583450096354</v>
      </c>
      <c r="P92" s="14">
        <v>14.285845095331737</v>
      </c>
      <c r="Q92" s="8">
        <v>0.2101105754931091</v>
      </c>
    </row>
    <row r="93" spans="1:17">
      <c r="A93" s="2" t="s">
        <v>464</v>
      </c>
      <c r="B93" s="16" t="s">
        <v>465</v>
      </c>
      <c r="D93" s="14">
        <v>1</v>
      </c>
      <c r="E93" s="14">
        <v>0.80296201307675619</v>
      </c>
      <c r="F93" s="14">
        <v>3.8872502003763382E-2</v>
      </c>
      <c r="G93" s="14">
        <v>2.1748583799811636E-6</v>
      </c>
      <c r="H93" s="14">
        <v>182.64277398727302</v>
      </c>
      <c r="I93" s="14">
        <v>320.08083062627088</v>
      </c>
      <c r="J93" s="14">
        <v>0</v>
      </c>
      <c r="K93" s="14">
        <v>25.72512569175986</v>
      </c>
      <c r="L93" s="14">
        <v>3.8872502003763382E-2</v>
      </c>
      <c r="M93" s="14">
        <v>3.1894887894087856E-2</v>
      </c>
      <c r="N93" s="14">
        <v>19.21502227220633</v>
      </c>
      <c r="O93" s="14">
        <v>8936.7147085804409</v>
      </c>
      <c r="P93" s="14">
        <v>19.21502227220633</v>
      </c>
      <c r="Q93" s="8">
        <v>0.12760264167290758</v>
      </c>
    </row>
    <row r="94" spans="1:17">
      <c r="A94" s="2" t="s">
        <v>466</v>
      </c>
      <c r="B94" s="16" t="s">
        <v>467</v>
      </c>
      <c r="D94" s="14">
        <v>1</v>
      </c>
      <c r="E94" s="14">
        <v>0.9994048421960442</v>
      </c>
      <c r="F94" s="14">
        <v>0.89787840984922906</v>
      </c>
      <c r="G94" s="14">
        <v>2.0372951320485485E-20</v>
      </c>
      <c r="H94" s="14">
        <v>29.846783046694096</v>
      </c>
      <c r="I94" s="14">
        <v>3.6315969165435377E-2</v>
      </c>
      <c r="J94" s="14">
        <v>0</v>
      </c>
      <c r="K94" s="14">
        <v>1.1137365472101273</v>
      </c>
      <c r="L94" s="14">
        <v>0.89787840984922906</v>
      </c>
      <c r="M94" s="14">
        <v>0.73670923528129251</v>
      </c>
      <c r="N94" s="14">
        <v>1.0731996538353674</v>
      </c>
      <c r="O94" s="14">
        <v>354.95005350950942</v>
      </c>
      <c r="P94" s="14">
        <v>1.0731996538353674</v>
      </c>
      <c r="Q94" s="8">
        <v>1.0762115253669689E-4</v>
      </c>
    </row>
    <row r="95" spans="1:17">
      <c r="A95" s="2" t="s">
        <v>468</v>
      </c>
      <c r="B95" s="16" t="s">
        <v>469</v>
      </c>
      <c r="D95" s="14">
        <v>1</v>
      </c>
      <c r="E95" s="14">
        <v>0.87472354941711006</v>
      </c>
      <c r="F95" s="14">
        <v>7.8509189465250286E-3</v>
      </c>
      <c r="G95" s="14">
        <v>2.2271475043400341E-20</v>
      </c>
      <c r="H95" s="14">
        <v>197.5242828556807</v>
      </c>
      <c r="I95" s="14">
        <v>452.45736761468208</v>
      </c>
      <c r="J95" s="14">
        <v>0</v>
      </c>
      <c r="K95" s="14">
        <v>127.37362426122353</v>
      </c>
      <c r="L95" s="14">
        <v>7.8509189465250304E-3</v>
      </c>
      <c r="M95" s="14">
        <v>6.4416789956237867E-3</v>
      </c>
      <c r="N95" s="14">
        <v>27.535808598136597</v>
      </c>
      <c r="O95" s="14">
        <v>13602.689447479479</v>
      </c>
      <c r="P95" s="14">
        <v>27.535808598136601</v>
      </c>
      <c r="Q95" s="8">
        <v>7.7015415797131448E-2</v>
      </c>
    </row>
    <row r="96" spans="1:17">
      <c r="A96" s="2" t="s">
        <v>470</v>
      </c>
      <c r="B96" s="164">
        <v>354656</v>
      </c>
      <c r="D96" s="14">
        <v>1</v>
      </c>
      <c r="E96" s="14">
        <v>0.96953583938778176</v>
      </c>
      <c r="F96" s="14">
        <v>0.97196258069040808</v>
      </c>
      <c r="G96" s="14">
        <v>4.0940961055727682E-12</v>
      </c>
      <c r="H96" s="14">
        <v>0.27920908504285119</v>
      </c>
      <c r="I96" s="14">
        <v>0.99996941348033408</v>
      </c>
      <c r="J96" s="14">
        <v>0</v>
      </c>
      <c r="K96" s="14">
        <v>1.0288461920927823</v>
      </c>
      <c r="L96" s="14">
        <v>0.97196258069040808</v>
      </c>
      <c r="M96" s="14">
        <v>0.79749529745647985</v>
      </c>
      <c r="N96" s="14">
        <v>0.91120814236954095</v>
      </c>
      <c r="O96" s="14">
        <v>179.68113359384978</v>
      </c>
      <c r="P96" s="14">
        <v>0.91120814236954095</v>
      </c>
      <c r="Q96" s="8">
        <v>2.0313591573114544E-2</v>
      </c>
    </row>
    <row r="97" spans="1:17">
      <c r="A97" s="2" t="s">
        <v>472</v>
      </c>
      <c r="B97" s="16" t="s">
        <v>473</v>
      </c>
      <c r="D97" s="14">
        <v>1</v>
      </c>
      <c r="E97" s="14">
        <v>0.93673004386777337</v>
      </c>
      <c r="F97" s="14">
        <v>0.93474100433935958</v>
      </c>
      <c r="G97" s="14">
        <v>6.2917257226493016E-12</v>
      </c>
      <c r="H97" s="14">
        <v>1.1888889602933055</v>
      </c>
      <c r="I97" s="14">
        <v>3.815913004827217</v>
      </c>
      <c r="J97" s="14">
        <v>0</v>
      </c>
      <c r="K97" s="14">
        <v>1.0698150561039772</v>
      </c>
      <c r="L97" s="14">
        <v>0.93474100433935969</v>
      </c>
      <c r="M97" s="14">
        <v>0.76695499406044465</v>
      </c>
      <c r="N97" s="14">
        <v>1.0381479543959737</v>
      </c>
      <c r="O97" s="14">
        <v>166.29053933514706</v>
      </c>
      <c r="P97" s="14">
        <v>1.0381479543959737</v>
      </c>
      <c r="Q97" s="8">
        <v>4.242271556012845E-2</v>
      </c>
    </row>
    <row r="98" spans="1:17">
      <c r="A98" s="2" t="s">
        <v>474</v>
      </c>
      <c r="B98" s="16" t="s">
        <v>475</v>
      </c>
      <c r="D98" s="14">
        <v>1</v>
      </c>
      <c r="E98" s="14">
        <v>0.85308976952709881</v>
      </c>
      <c r="F98" s="14">
        <v>1.8322770198676886E-2</v>
      </c>
      <c r="G98" s="14">
        <v>5.1620192821368535E-22</v>
      </c>
      <c r="H98" s="14">
        <v>201.46106932102566</v>
      </c>
      <c r="I98" s="14">
        <v>331.62579609649413</v>
      </c>
      <c r="J98" s="14">
        <v>0</v>
      </c>
      <c r="K98" s="14">
        <v>54.576900171580576</v>
      </c>
      <c r="L98" s="14">
        <v>1.8322770198676886E-2</v>
      </c>
      <c r="M98" s="14">
        <v>1.5033832948014386E-2</v>
      </c>
      <c r="N98" s="14">
        <v>20.011306379717549</v>
      </c>
      <c r="O98" s="14">
        <v>10634.608549373297</v>
      </c>
      <c r="P98" s="14">
        <v>20.011306379717553</v>
      </c>
      <c r="Q98" s="8">
        <v>9.3680307055846776E-2</v>
      </c>
    </row>
    <row r="99" spans="1:17">
      <c r="A99" s="2" t="s">
        <v>476</v>
      </c>
      <c r="B99" s="16" t="s">
        <v>477</v>
      </c>
      <c r="D99" s="14">
        <v>1</v>
      </c>
      <c r="E99" s="14">
        <v>0.99127314558888358</v>
      </c>
      <c r="F99" s="14">
        <v>0.99503130714434873</v>
      </c>
      <c r="G99" s="14">
        <v>1.9335047042734808E-9</v>
      </c>
      <c r="H99" s="14">
        <v>2.3448590666156847E-2</v>
      </c>
      <c r="I99" s="14">
        <v>0.10096571291182491</v>
      </c>
      <c r="J99" s="14">
        <v>0</v>
      </c>
      <c r="K99" s="14">
        <v>1.0049935040435169</v>
      </c>
      <c r="L99" s="14">
        <v>0.99503130714434884</v>
      </c>
      <c r="M99" s="14">
        <v>0.81642318751193821</v>
      </c>
      <c r="N99" s="14">
        <v>0.88114873776013813</v>
      </c>
      <c r="O99" s="14">
        <v>113.80917096909944</v>
      </c>
      <c r="P99" s="14">
        <v>0.88114873776013825</v>
      </c>
      <c r="Q99" s="8">
        <v>5.6490304555097169E-3</v>
      </c>
    </row>
    <row r="100" spans="1:17">
      <c r="A100" s="2" t="s">
        <v>478</v>
      </c>
      <c r="B100" s="16" t="s">
        <v>479</v>
      </c>
      <c r="D100" s="14">
        <v>1</v>
      </c>
      <c r="E100" s="14">
        <v>0.67035246187289965</v>
      </c>
      <c r="F100" s="14">
        <v>0.41061673181490177</v>
      </c>
      <c r="G100" s="14">
        <v>5.6608953934450503E-13</v>
      </c>
      <c r="H100" s="14">
        <v>59.683824138812604</v>
      </c>
      <c r="I100" s="14">
        <v>135.11818809291273</v>
      </c>
      <c r="J100" s="14">
        <v>0</v>
      </c>
      <c r="K100" s="14">
        <v>2.4353610618351058</v>
      </c>
      <c r="L100" s="14">
        <v>0.41061673181490177</v>
      </c>
      <c r="M100" s="14">
        <v>0.3369110284541269</v>
      </c>
      <c r="N100" s="14">
        <v>8.2581841759535184</v>
      </c>
      <c r="O100" s="14">
        <v>2475.8036159508647</v>
      </c>
      <c r="P100" s="14">
        <v>8.2581841759535184</v>
      </c>
      <c r="Q100" s="8">
        <v>0.22024893282798277</v>
      </c>
    </row>
    <row r="101" spans="1:17">
      <c r="A101" s="2" t="s">
        <v>480</v>
      </c>
      <c r="B101" s="16" t="s">
        <v>481</v>
      </c>
      <c r="D101" s="14">
        <v>1</v>
      </c>
      <c r="E101" s="14">
        <v>0.98562883286413017</v>
      </c>
      <c r="F101" s="14">
        <v>0.98916566548215679</v>
      </c>
      <c r="G101" s="14">
        <v>5.2020859211918289E-13</v>
      </c>
      <c r="H101" s="14">
        <v>6.3379532779022529E-2</v>
      </c>
      <c r="I101" s="14">
        <v>0.25351648462966581</v>
      </c>
      <c r="J101" s="14">
        <v>0</v>
      </c>
      <c r="K101" s="14">
        <v>1.0109530030164988</v>
      </c>
      <c r="L101" s="14">
        <v>0.9891656654821569</v>
      </c>
      <c r="M101" s="14">
        <v>0.81161042852810972</v>
      </c>
      <c r="N101" s="14">
        <v>0.88446501773342323</v>
      </c>
      <c r="O101" s="14">
        <v>210.6441886233921</v>
      </c>
      <c r="P101" s="14">
        <v>0.88446501773342334</v>
      </c>
      <c r="Q101" s="8">
        <v>9.4581501469998101E-3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0.99608385769090158</v>
      </c>
      <c r="F102" s="14">
        <v>0.9999578180021822</v>
      </c>
      <c r="G102" s="14">
        <v>3.2698675989841695E-29</v>
      </c>
      <c r="H102" s="14">
        <v>4.5237821249643692E-3</v>
      </c>
      <c r="I102" s="14">
        <v>2.1996766817244162E-2</v>
      </c>
      <c r="J102" s="14">
        <v>0</v>
      </c>
      <c r="K102" s="14">
        <v>1.0000421837772138</v>
      </c>
      <c r="L102" s="14">
        <v>0.99995781800218231</v>
      </c>
      <c r="M102" s="14">
        <v>0.82046538967079052</v>
      </c>
      <c r="N102" s="14">
        <v>0.8811323841782549</v>
      </c>
      <c r="O102" s="14">
        <v>405.6997836471939</v>
      </c>
      <c r="P102" s="14">
        <v>0.8811323841782549</v>
      </c>
      <c r="Q102" s="8">
        <v>2.4019217287574246E-3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0.99153939318649842</v>
      </c>
      <c r="F103" s="14">
        <v>0.99530575168779667</v>
      </c>
      <c r="G103" s="14">
        <v>2.6080445249690156E-15</v>
      </c>
      <c r="H103" s="14">
        <v>2.2033653415017864E-2</v>
      </c>
      <c r="I103" s="14">
        <v>9.5311144489422281E-2</v>
      </c>
      <c r="J103" s="14">
        <v>0</v>
      </c>
      <c r="K103" s="14">
        <v>1.0047163882095957</v>
      </c>
      <c r="L103" s="14">
        <v>0.99530575168779678</v>
      </c>
      <c r="M103" s="14">
        <v>0.81664836925983719</v>
      </c>
      <c r="N103" s="14">
        <v>0.88107734232352364</v>
      </c>
      <c r="O103" s="14">
        <v>180.84112451190322</v>
      </c>
      <c r="P103" s="14">
        <v>0.88107734232352364</v>
      </c>
      <c r="Q103" s="8">
        <v>5.4694503532913734E-3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0.95415790700555181</v>
      </c>
      <c r="F104" s="14">
        <v>0.95487594539711773</v>
      </c>
      <c r="G104" s="14">
        <v>3.2094856682132755E-11</v>
      </c>
      <c r="H104" s="14">
        <v>0.62604702055423267</v>
      </c>
      <c r="I104" s="14">
        <v>2.1099109390849202</v>
      </c>
      <c r="J104" s="14">
        <v>0</v>
      </c>
      <c r="K104" s="14">
        <v>1.0472564575748275</v>
      </c>
      <c r="L104" s="14">
        <v>0.95487594539711773</v>
      </c>
      <c r="M104" s="14">
        <v>0.78347571319833509</v>
      </c>
      <c r="N104" s="14">
        <v>0.95891763697587684</v>
      </c>
      <c r="O104" s="14">
        <v>144.94999000527355</v>
      </c>
      <c r="P104" s="14">
        <v>0.95891763697587695</v>
      </c>
      <c r="Q104" s="8">
        <v>3.0680619443076738E-2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0.99537475297370404</v>
      </c>
      <c r="F105" s="14">
        <v>0.99923605031185214</v>
      </c>
      <c r="G105" s="14">
        <v>2.6004983452268413E-18</v>
      </c>
      <c r="H105" s="14">
        <v>6.4154643215721344E-3</v>
      </c>
      <c r="I105" s="14">
        <v>3.0400817680765507E-2</v>
      </c>
      <c r="J105" s="14">
        <v>0</v>
      </c>
      <c r="K105" s="14">
        <v>1.0007645337534703</v>
      </c>
      <c r="L105" s="14">
        <v>0.99923605031185214</v>
      </c>
      <c r="M105" s="14">
        <v>0.81987317928087466</v>
      </c>
      <c r="N105" s="14">
        <v>0.88095760228136477</v>
      </c>
      <c r="O105" s="14">
        <v>298.96177191020399</v>
      </c>
      <c r="P105" s="14">
        <v>0.88095760228136488</v>
      </c>
      <c r="Q105" s="8">
        <v>2.8806153118444426E-3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0.85431542725767728</v>
      </c>
      <c r="F106" s="14">
        <v>0.82723642105923889</v>
      </c>
      <c r="G106" s="14">
        <v>1.4129218285973696E-10</v>
      </c>
      <c r="H106" s="14">
        <v>6.6113423583111617</v>
      </c>
      <c r="I106" s="14">
        <v>18.533046602141116</v>
      </c>
      <c r="J106" s="14">
        <v>0</v>
      </c>
      <c r="K106" s="14">
        <v>1.2088442608940562</v>
      </c>
      <c r="L106" s="14">
        <v>0.827236421059239</v>
      </c>
      <c r="M106" s="14">
        <v>0.67874748347910552</v>
      </c>
      <c r="N106" s="14">
        <v>1.78885249685213</v>
      </c>
      <c r="O106" s="14">
        <v>343.69223022019975</v>
      </c>
      <c r="P106" s="14">
        <v>1.78885249685213</v>
      </c>
      <c r="Q106" s="8">
        <v>9.7846842990805483E-2</v>
      </c>
    </row>
    <row r="107" spans="1:17">
      <c r="A107" s="2" t="s">
        <v>492</v>
      </c>
      <c r="B107" s="16" t="s">
        <v>493</v>
      </c>
      <c r="D107" s="14">
        <v>1</v>
      </c>
      <c r="E107" s="14">
        <v>0.86958911271264294</v>
      </c>
      <c r="F107" s="14">
        <v>1.362218046001361E-2</v>
      </c>
      <c r="G107" s="14">
        <v>2.425800699741645E-18</v>
      </c>
      <c r="H107" s="14">
        <v>207.31304439649233</v>
      </c>
      <c r="I107" s="14">
        <v>333.18374093767392</v>
      </c>
      <c r="J107" s="14">
        <v>0</v>
      </c>
      <c r="K107" s="14">
        <v>73.409686719052672</v>
      </c>
      <c r="L107" s="14">
        <v>1.3622180460013612E-2</v>
      </c>
      <c r="M107" s="14">
        <v>1.1176999067441167E-2</v>
      </c>
      <c r="N107" s="14">
        <v>20.148432878089626</v>
      </c>
      <c r="O107" s="14">
        <v>9159.4775863795439</v>
      </c>
      <c r="P107" s="14">
        <v>20.148432878089626</v>
      </c>
      <c r="Q107" s="8">
        <v>8.2505670888725374E-2</v>
      </c>
    </row>
    <row r="108" spans="1:17">
      <c r="A108" s="2" t="s">
        <v>291</v>
      </c>
      <c r="B108" s="16" t="s">
        <v>494</v>
      </c>
      <c r="D108" s="14">
        <v>1</v>
      </c>
      <c r="E108" s="14">
        <v>0.6841067993435278</v>
      </c>
      <c r="F108" s="14">
        <v>0.47282069500851182</v>
      </c>
      <c r="G108" s="14">
        <v>3.2606558623894648E-12</v>
      </c>
      <c r="H108" s="14">
        <v>48.425763536588647</v>
      </c>
      <c r="I108" s="14">
        <v>112.49511080343086</v>
      </c>
      <c r="J108" s="14">
        <v>0</v>
      </c>
      <c r="K108" s="14">
        <v>2.1149666470965229</v>
      </c>
      <c r="L108" s="14">
        <v>0.47282069500851187</v>
      </c>
      <c r="M108" s="14">
        <v>0.387949380254484</v>
      </c>
      <c r="N108" s="14">
        <v>6.9742529214006215</v>
      </c>
      <c r="O108" s="14">
        <v>2150.3714032554535</v>
      </c>
      <c r="P108" s="14">
        <v>6.9742529214006215</v>
      </c>
      <c r="Q108" s="8">
        <v>0.21131661623192394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9.0712617875802573E-5</v>
      </c>
      <c r="E2" s="20">
        <v>0.82026226954841064</v>
      </c>
      <c r="F2" s="20">
        <v>3.6875839436774166E-2</v>
      </c>
      <c r="G2" s="20">
        <v>1.074082079563542E-2</v>
      </c>
      <c r="H2" s="20">
        <v>0</v>
      </c>
      <c r="I2" s="20">
        <v>0.77264560931600101</v>
      </c>
      <c r="J2" s="20">
        <v>9.3650493481002139E-4</v>
      </c>
      <c r="K2" s="20">
        <v>0.17871051289890347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3.4793731476704527E-3</v>
      </c>
      <c r="E3" s="20">
        <v>0.87420018232947072</v>
      </c>
      <c r="F3" s="20">
        <v>0.23549149258486834</v>
      </c>
      <c r="G3" s="20">
        <v>0.63807360212306619</v>
      </c>
      <c r="H3" s="20">
        <v>0</v>
      </c>
      <c r="I3" s="20">
        <v>6.3508762153618938E-4</v>
      </c>
      <c r="J3" s="20">
        <v>4.2744205713710438E-2</v>
      </c>
      <c r="K3" s="20">
        <v>7.9576238809148339E-2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4.3996423912612078E-12</v>
      </c>
      <c r="E4" s="20">
        <v>0.66293399977247536</v>
      </c>
      <c r="F4" s="20">
        <v>0.25054837640249078</v>
      </c>
      <c r="G4" s="20">
        <v>5.981183797201739E-2</v>
      </c>
      <c r="H4" s="20">
        <v>0</v>
      </c>
      <c r="I4" s="20">
        <v>0.35257378539796719</v>
      </c>
      <c r="J4" s="20">
        <v>3.8700005129468852E-3</v>
      </c>
      <c r="K4" s="20">
        <v>0.3331959997101781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1.1902010697651015E-4</v>
      </c>
      <c r="E5" s="20">
        <v>0.8717286042348148</v>
      </c>
      <c r="F5" s="20">
        <v>0.67033909877826048</v>
      </c>
      <c r="G5" s="20">
        <v>0.19453157657844444</v>
      </c>
      <c r="H5" s="20">
        <v>0</v>
      </c>
      <c r="I5" s="20">
        <v>6.8579288781098644E-3</v>
      </c>
      <c r="J5" s="20">
        <v>1.267344939874686E-2</v>
      </c>
      <c r="K5" s="20">
        <v>0.11547892625946189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1.1351851700258145E-5</v>
      </c>
      <c r="E6" s="20">
        <v>0.88932823167278452</v>
      </c>
      <c r="F6" s="20">
        <v>0.15039760617024359</v>
      </c>
      <c r="G6" s="20">
        <v>0.73864621911278372</v>
      </c>
      <c r="H6" s="20">
        <v>0</v>
      </c>
      <c r="I6" s="20">
        <v>2.8440638975722694E-4</v>
      </c>
      <c r="J6" s="20">
        <v>4.9854042008831756E-2</v>
      </c>
      <c r="K6" s="20">
        <v>6.0806374466683605E-2</v>
      </c>
      <c r="L6" s="20">
        <v>0</v>
      </c>
    </row>
    <row r="7" spans="1:14">
      <c r="A7" s="2" t="s">
        <v>321</v>
      </c>
      <c r="B7" s="3" t="s">
        <v>322</v>
      </c>
      <c r="D7" s="20">
        <v>1.6739987445747995E-5</v>
      </c>
      <c r="E7" s="20">
        <v>0.87894153087996973</v>
      </c>
      <c r="F7" s="20">
        <v>0.22203904096251678</v>
      </c>
      <c r="G7" s="20">
        <v>0.65633399345245491</v>
      </c>
      <c r="H7" s="20">
        <v>0</v>
      </c>
      <c r="I7" s="20">
        <v>5.6849646499800607E-4</v>
      </c>
      <c r="J7" s="20">
        <v>4.4015696594290207E-2</v>
      </c>
      <c r="K7" s="20">
        <v>7.7026032538294417E-2</v>
      </c>
      <c r="L7" s="20">
        <v>0</v>
      </c>
    </row>
    <row r="8" spans="1:14">
      <c r="A8" s="2" t="s">
        <v>323</v>
      </c>
      <c r="B8" s="3" t="s">
        <v>324</v>
      </c>
      <c r="D8" s="20">
        <v>1.5830088998894826E-4</v>
      </c>
      <c r="E8" s="20">
        <v>0.86787779287945221</v>
      </c>
      <c r="F8" s="20">
        <v>0.33834329266012508</v>
      </c>
      <c r="G8" s="20">
        <v>0.52826656811885353</v>
      </c>
      <c r="H8" s="20">
        <v>0</v>
      </c>
      <c r="I8" s="20">
        <v>1.2679321004736342E-3</v>
      </c>
      <c r="J8" s="20">
        <v>3.5143754847614894E-2</v>
      </c>
      <c r="K8" s="20">
        <v>9.6820151382944003E-2</v>
      </c>
      <c r="L8" s="20">
        <v>0</v>
      </c>
    </row>
    <row r="9" spans="1:14">
      <c r="A9" s="2" t="s">
        <v>325</v>
      </c>
      <c r="B9" s="3" t="s">
        <v>326</v>
      </c>
      <c r="D9" s="20">
        <v>1.0088744930220908E-4</v>
      </c>
      <c r="E9" s="20">
        <v>0.77024334772067582</v>
      </c>
      <c r="F9" s="20">
        <v>0.59444455994729661</v>
      </c>
      <c r="G9" s="20">
        <v>0.11673656564244465</v>
      </c>
      <c r="H9" s="20">
        <v>0</v>
      </c>
      <c r="I9" s="20">
        <v>5.9062222130934539E-2</v>
      </c>
      <c r="J9" s="20">
        <v>7.468305512618391E-3</v>
      </c>
      <c r="K9" s="20">
        <v>0.22218745931740358</v>
      </c>
      <c r="L9" s="20">
        <v>0</v>
      </c>
    </row>
    <row r="10" spans="1:14">
      <c r="A10" s="2" t="s">
        <v>275</v>
      </c>
      <c r="B10" s="3" t="s">
        <v>276</v>
      </c>
      <c r="D10" s="20">
        <v>1.5282596738668912E-6</v>
      </c>
      <c r="E10" s="20">
        <v>0.87038945333459228</v>
      </c>
      <c r="F10" s="20">
        <v>0.65625310076623644</v>
      </c>
      <c r="G10" s="20">
        <v>0.20776238581129589</v>
      </c>
      <c r="H10" s="20">
        <v>0</v>
      </c>
      <c r="I10" s="20">
        <v>6.3739667570599963E-3</v>
      </c>
      <c r="J10" s="20">
        <v>1.3549823287650085E-2</v>
      </c>
      <c r="K10" s="20">
        <v>0.11605919511808382</v>
      </c>
      <c r="L10" s="20">
        <v>0</v>
      </c>
    </row>
    <row r="11" spans="1:14">
      <c r="A11" s="2" t="s">
        <v>327</v>
      </c>
      <c r="B11" s="3" t="s">
        <v>328</v>
      </c>
      <c r="D11" s="20">
        <v>7.9514770217667611E-5</v>
      </c>
      <c r="E11" s="20">
        <v>0.86815894305678643</v>
      </c>
      <c r="F11" s="20">
        <v>0.63142536382132264</v>
      </c>
      <c r="G11" s="20">
        <v>0.23110938321433039</v>
      </c>
      <c r="H11" s="20">
        <v>0</v>
      </c>
      <c r="I11" s="20">
        <v>5.6241960211334064E-3</v>
      </c>
      <c r="J11" s="20">
        <v>1.5099329538736425E-2</v>
      </c>
      <c r="K11" s="20">
        <v>0.11666221263425963</v>
      </c>
      <c r="L11" s="20">
        <v>0</v>
      </c>
    </row>
    <row r="12" spans="1:14">
      <c r="A12" s="2" t="s">
        <v>329</v>
      </c>
      <c r="B12" s="3" t="s">
        <v>330</v>
      </c>
      <c r="D12" s="20">
        <v>5.277568590294138E-5</v>
      </c>
      <c r="E12" s="20">
        <v>0.80466785072565183</v>
      </c>
      <c r="F12" s="20">
        <v>0.64492335003277135</v>
      </c>
      <c r="G12" s="20">
        <v>0.12184386215198635</v>
      </c>
      <c r="H12" s="20">
        <v>0</v>
      </c>
      <c r="I12" s="20">
        <v>3.7900638540894142E-2</v>
      </c>
      <c r="J12" s="20">
        <v>7.816060926921586E-3</v>
      </c>
      <c r="K12" s="20">
        <v>0.18746331266152355</v>
      </c>
      <c r="L12" s="20">
        <v>0</v>
      </c>
    </row>
    <row r="13" spans="1:14">
      <c r="A13" s="2" t="s">
        <v>277</v>
      </c>
      <c r="B13" s="3" t="s">
        <v>278</v>
      </c>
      <c r="D13" s="20">
        <v>1.5702234727150096E-4</v>
      </c>
      <c r="E13" s="20">
        <v>0.77353805287821031</v>
      </c>
      <c r="F13" s="20">
        <v>0.59956418186815297</v>
      </c>
      <c r="G13" s="20">
        <v>0.11730897374064572</v>
      </c>
      <c r="H13" s="20">
        <v>0</v>
      </c>
      <c r="I13" s="20">
        <v>5.6664897269411589E-2</v>
      </c>
      <c r="J13" s="20">
        <v>7.5066637335889225E-3</v>
      </c>
      <c r="K13" s="20">
        <v>0.21879826104092945</v>
      </c>
      <c r="L13" s="20">
        <v>0</v>
      </c>
    </row>
    <row r="14" spans="1:14">
      <c r="A14" s="2" t="s">
        <v>331</v>
      </c>
      <c r="B14" s="3" t="s">
        <v>332</v>
      </c>
      <c r="D14" s="20">
        <v>5.2839978975453966E-5</v>
      </c>
      <c r="E14" s="20">
        <v>0.86372287470338194</v>
      </c>
      <c r="F14" s="20">
        <v>0.54643291418789042</v>
      </c>
      <c r="G14" s="20">
        <v>0.31356848405142546</v>
      </c>
      <c r="H14" s="20">
        <v>0</v>
      </c>
      <c r="I14" s="20">
        <v>3.7214764640660816E-3</v>
      </c>
      <c r="J14" s="20">
        <v>2.060107142851653E-2</v>
      </c>
      <c r="K14" s="20">
        <v>0.11562321388912608</v>
      </c>
      <c r="L14" s="20">
        <v>0</v>
      </c>
    </row>
    <row r="15" spans="1:14">
      <c r="A15" s="2" t="s">
        <v>333</v>
      </c>
      <c r="B15" s="3" t="s">
        <v>334</v>
      </c>
      <c r="D15" s="20">
        <v>8.6604686820136673E-8</v>
      </c>
      <c r="E15" s="20">
        <v>0.86927012648947011</v>
      </c>
      <c r="F15" s="20">
        <v>0.6440441064631236</v>
      </c>
      <c r="G15" s="20">
        <v>0.21923564466984669</v>
      </c>
      <c r="H15" s="20">
        <v>0</v>
      </c>
      <c r="I15" s="20">
        <v>5.9903753564997725E-3</v>
      </c>
      <c r="J15" s="20">
        <v>1.4310805179132803E-2</v>
      </c>
      <c r="K15" s="20">
        <v>0.11641898172671032</v>
      </c>
      <c r="L15" s="20">
        <v>0</v>
      </c>
    </row>
    <row r="16" spans="1:14">
      <c r="A16" s="2" t="s">
        <v>335</v>
      </c>
      <c r="B16" s="3" t="s">
        <v>336</v>
      </c>
      <c r="D16" s="20">
        <v>4.1133603348677801E-4</v>
      </c>
      <c r="E16" s="20">
        <v>0.86727617048698669</v>
      </c>
      <c r="F16" s="20">
        <v>0.34408914390219547</v>
      </c>
      <c r="G16" s="20">
        <v>0.52187503999378104</v>
      </c>
      <c r="H16" s="20">
        <v>0</v>
      </c>
      <c r="I16" s="20">
        <v>1.3119865910101202E-3</v>
      </c>
      <c r="J16" s="20">
        <v>3.4705899836786923E-2</v>
      </c>
      <c r="K16" s="20">
        <v>9.7606593642739645E-2</v>
      </c>
      <c r="L16" s="20">
        <v>0</v>
      </c>
    </row>
    <row r="17" spans="1:12">
      <c r="A17" s="2" t="s">
        <v>337</v>
      </c>
      <c r="B17" s="3" t="s">
        <v>338</v>
      </c>
      <c r="D17" s="20">
        <v>3.056527731487941E-5</v>
      </c>
      <c r="E17" s="20">
        <v>0.87131391893866217</v>
      </c>
      <c r="F17" s="20">
        <v>0.66573678647705636</v>
      </c>
      <c r="G17" s="20">
        <v>0.19888320532108456</v>
      </c>
      <c r="H17" s="20">
        <v>0</v>
      </c>
      <c r="I17" s="20">
        <v>6.6939271405212306E-3</v>
      </c>
      <c r="J17" s="20">
        <v>1.2961541186817799E-2</v>
      </c>
      <c r="K17" s="20">
        <v>0.11569397459720522</v>
      </c>
      <c r="L17" s="20">
        <v>0</v>
      </c>
    </row>
    <row r="18" spans="1:12">
      <c r="A18" s="2" t="s">
        <v>279</v>
      </c>
      <c r="B18" s="3" t="s">
        <v>280</v>
      </c>
      <c r="D18" s="20">
        <v>3.0323935693687045E-3</v>
      </c>
      <c r="E18" s="20">
        <v>0.75297267562619685</v>
      </c>
      <c r="F18" s="20">
        <v>0.56866929826318702</v>
      </c>
      <c r="G18" s="20">
        <v>0.11354168558049675</v>
      </c>
      <c r="H18" s="20">
        <v>0</v>
      </c>
      <c r="I18" s="20">
        <v>7.0761691782513125E-2</v>
      </c>
      <c r="J18" s="20">
        <v>7.2569343503235189E-3</v>
      </c>
      <c r="K18" s="20">
        <v>0.23673799645411095</v>
      </c>
      <c r="L18" s="20">
        <v>0</v>
      </c>
    </row>
    <row r="19" spans="1:12">
      <c r="A19" s="2" t="s">
        <v>339</v>
      </c>
      <c r="B19" s="3" t="s">
        <v>340</v>
      </c>
      <c r="D19" s="20">
        <v>3.0350238482996243E-7</v>
      </c>
      <c r="E19" s="20">
        <v>0.86905507879914889</v>
      </c>
      <c r="F19" s="20">
        <v>0.64155858798142185</v>
      </c>
      <c r="G19" s="20">
        <v>0.22158067357955566</v>
      </c>
      <c r="H19" s="20">
        <v>0</v>
      </c>
      <c r="I19" s="20">
        <v>5.915817238171377E-3</v>
      </c>
      <c r="J19" s="20">
        <v>1.446645574060982E-2</v>
      </c>
      <c r="K19" s="20">
        <v>0.11647816195785633</v>
      </c>
      <c r="L19" s="20">
        <v>0</v>
      </c>
    </row>
    <row r="20" spans="1:12">
      <c r="A20" s="2" t="s">
        <v>281</v>
      </c>
      <c r="B20" s="3" t="s">
        <v>282</v>
      </c>
      <c r="D20" s="20">
        <v>2.3769461421481155E-5</v>
      </c>
      <c r="E20" s="20">
        <v>0.77364114524387628</v>
      </c>
      <c r="F20" s="20">
        <v>0.59964408807269898</v>
      </c>
      <c r="G20" s="20">
        <v>0.11732460795485376</v>
      </c>
      <c r="H20" s="20">
        <v>0</v>
      </c>
      <c r="I20" s="20">
        <v>5.6672449216323556E-2</v>
      </c>
      <c r="J20" s="20">
        <v>7.5076641752862307E-3</v>
      </c>
      <c r="K20" s="20">
        <v>0.21882742111941605</v>
      </c>
      <c r="L20" s="20">
        <v>0</v>
      </c>
    </row>
    <row r="21" spans="1:12">
      <c r="A21" s="2" t="s">
        <v>341</v>
      </c>
      <c r="B21" s="3" t="s">
        <v>342</v>
      </c>
      <c r="D21" s="20">
        <v>4.4272370528967135E-4</v>
      </c>
      <c r="E21" s="20">
        <v>0.86429882273595438</v>
      </c>
      <c r="F21" s="20">
        <v>0.57201443885850312</v>
      </c>
      <c r="G21" s="20">
        <v>0.28807299430839256</v>
      </c>
      <c r="H21" s="20">
        <v>0</v>
      </c>
      <c r="I21" s="20">
        <v>4.211389569058685E-3</v>
      </c>
      <c r="J21" s="20">
        <v>1.8895381769624579E-2</v>
      </c>
      <c r="K21" s="20">
        <v>0.11636307178913155</v>
      </c>
      <c r="L21" s="20">
        <v>0</v>
      </c>
    </row>
    <row r="22" spans="1:12">
      <c r="A22" s="2" t="s">
        <v>343</v>
      </c>
      <c r="B22" s="3" t="s">
        <v>344</v>
      </c>
      <c r="D22" s="20">
        <v>1.9598441981509809E-3</v>
      </c>
      <c r="E22" s="20">
        <v>0.71229799507262592</v>
      </c>
      <c r="F22" s="20">
        <v>0.12003164623330645</v>
      </c>
      <c r="G22" s="20">
        <v>3.1303386097035327E-2</v>
      </c>
      <c r="H22" s="20">
        <v>0</v>
      </c>
      <c r="I22" s="20">
        <v>0.56096296274228419</v>
      </c>
      <c r="J22" s="20">
        <v>2.1436483557788406E-3</v>
      </c>
      <c r="K22" s="20">
        <v>0.28359851237344413</v>
      </c>
      <c r="L22" s="20">
        <v>0</v>
      </c>
    </row>
    <row r="23" spans="1:12">
      <c r="A23" s="2" t="s">
        <v>345</v>
      </c>
      <c r="B23" s="3" t="s">
        <v>346</v>
      </c>
      <c r="D23" s="20">
        <v>8.3550679990426486E-5</v>
      </c>
      <c r="E23" s="20">
        <v>0.78288274834908755</v>
      </c>
      <c r="F23" s="20">
        <v>5.7256421813843654E-2</v>
      </c>
      <c r="G23" s="20">
        <v>1.604426250832431E-2</v>
      </c>
      <c r="H23" s="20">
        <v>0</v>
      </c>
      <c r="I23" s="20">
        <v>0.70958206402691959</v>
      </c>
      <c r="J23" s="20">
        <v>1.2431670226192169E-3</v>
      </c>
      <c r="K23" s="20">
        <v>0.21579053394830286</v>
      </c>
      <c r="L23" s="20">
        <v>0</v>
      </c>
    </row>
    <row r="24" spans="1:12">
      <c r="A24" s="2" t="s">
        <v>347</v>
      </c>
      <c r="B24" s="3" t="s">
        <v>348</v>
      </c>
      <c r="D24" s="20">
        <v>7.2081116906785417E-5</v>
      </c>
      <c r="E24" s="20">
        <v>0.68398977921125281</v>
      </c>
      <c r="F24" s="20">
        <v>0.41927186699775937</v>
      </c>
      <c r="G24" s="20">
        <v>9.1451593602568104E-2</v>
      </c>
      <c r="H24" s="20">
        <v>0</v>
      </c>
      <c r="I24" s="20">
        <v>0.17326631861092537</v>
      </c>
      <c r="J24" s="20">
        <v>5.8366101747387754E-3</v>
      </c>
      <c r="K24" s="20">
        <v>0.31010152949710157</v>
      </c>
      <c r="L24" s="20">
        <v>0</v>
      </c>
    </row>
    <row r="25" spans="1:12">
      <c r="A25" s="2" t="s">
        <v>349</v>
      </c>
      <c r="B25" s="3" t="s">
        <v>350</v>
      </c>
      <c r="D25" s="20">
        <v>1.31744618596716E-2</v>
      </c>
      <c r="E25" s="20">
        <v>0.83382882266828362</v>
      </c>
      <c r="F25" s="20">
        <v>0.68929812859220707</v>
      </c>
      <c r="G25" s="20">
        <v>0.12390894371829997</v>
      </c>
      <c r="H25" s="20">
        <v>0</v>
      </c>
      <c r="I25" s="20">
        <v>2.0621750357776598E-2</v>
      </c>
      <c r="J25" s="20">
        <v>7.9809279760054506E-3</v>
      </c>
      <c r="K25" s="20">
        <v>0.14501578749603936</v>
      </c>
      <c r="L25" s="20">
        <v>0</v>
      </c>
    </row>
    <row r="26" spans="1:12">
      <c r="A26" s="2" t="s">
        <v>351</v>
      </c>
      <c r="B26" s="3" t="s">
        <v>352</v>
      </c>
      <c r="D26" s="20">
        <v>3.5553913763968463E-4</v>
      </c>
      <c r="E26" s="20">
        <v>0.86516251567661973</v>
      </c>
      <c r="F26" s="20">
        <v>0.5887916326517908</v>
      </c>
      <c r="G26" s="20">
        <v>0.27180483941302747</v>
      </c>
      <c r="H26" s="20">
        <v>0</v>
      </c>
      <c r="I26" s="20">
        <v>4.5660436118014763E-3</v>
      </c>
      <c r="J26" s="20">
        <v>1.7809092798186526E-2</v>
      </c>
      <c r="K26" s="20">
        <v>0.11667285238755423</v>
      </c>
      <c r="L26" s="20">
        <v>0</v>
      </c>
    </row>
    <row r="27" spans="1:12">
      <c r="A27" s="2" t="s">
        <v>353</v>
      </c>
      <c r="B27" s="3" t="s">
        <v>354</v>
      </c>
      <c r="D27" s="20">
        <v>2.4128443777018632E-3</v>
      </c>
      <c r="E27" s="20">
        <v>0.87375553791025995</v>
      </c>
      <c r="F27" s="20">
        <v>0.24802960795979836</v>
      </c>
      <c r="G27" s="20">
        <v>0.6250274371204082</v>
      </c>
      <c r="H27" s="20">
        <v>0</v>
      </c>
      <c r="I27" s="20">
        <v>6.9849283005339819E-4</v>
      </c>
      <c r="J27" s="20">
        <v>4.1832021701071122E-2</v>
      </c>
      <c r="K27" s="20">
        <v>8.199959601096686E-2</v>
      </c>
      <c r="L27" s="20">
        <v>0</v>
      </c>
    </row>
    <row r="28" spans="1:12">
      <c r="A28" s="2" t="s">
        <v>355</v>
      </c>
      <c r="B28" s="3" t="s">
        <v>356</v>
      </c>
      <c r="D28" s="20">
        <v>1.3283847957211521E-4</v>
      </c>
      <c r="E28" s="20">
        <v>0.86296629648258016</v>
      </c>
      <c r="F28" s="20">
        <v>0.46536970844631581</v>
      </c>
      <c r="G28" s="20">
        <v>0.39508784293930943</v>
      </c>
      <c r="H28" s="20">
        <v>0</v>
      </c>
      <c r="I28" s="20">
        <v>2.5087450969548696E-3</v>
      </c>
      <c r="J28" s="20">
        <v>2.60838884981313E-2</v>
      </c>
      <c r="K28" s="20">
        <v>0.11081697653971648</v>
      </c>
      <c r="L28" s="20">
        <v>0</v>
      </c>
    </row>
    <row r="29" spans="1:12">
      <c r="A29" s="2" t="s">
        <v>357</v>
      </c>
      <c r="B29" s="3" t="s">
        <v>358</v>
      </c>
      <c r="D29" s="20">
        <v>2.6860374260323758E-2</v>
      </c>
      <c r="E29" s="20">
        <v>0.84082779161307697</v>
      </c>
      <c r="F29" s="20">
        <v>0.54023942506811196</v>
      </c>
      <c r="G29" s="20">
        <v>0.29681225599568717</v>
      </c>
      <c r="H29" s="20">
        <v>0</v>
      </c>
      <c r="I29" s="20">
        <v>3.7761105492778468E-3</v>
      </c>
      <c r="J29" s="20">
        <v>1.9489661049283225E-2</v>
      </c>
      <c r="K29" s="20">
        <v>0.11282217307731614</v>
      </c>
      <c r="L29" s="20">
        <v>0</v>
      </c>
    </row>
    <row r="30" spans="1:12">
      <c r="A30" s="2" t="s">
        <v>359</v>
      </c>
      <c r="B30" s="3" t="s">
        <v>360</v>
      </c>
      <c r="D30" s="20">
        <v>1.3283847957211521E-4</v>
      </c>
      <c r="E30" s="20">
        <v>0.86296629648258016</v>
      </c>
      <c r="F30" s="20">
        <v>0.46536970844631581</v>
      </c>
      <c r="G30" s="20">
        <v>0.39508784293930943</v>
      </c>
      <c r="H30" s="20">
        <v>0</v>
      </c>
      <c r="I30" s="20">
        <v>2.5087450969548696E-3</v>
      </c>
      <c r="J30" s="20">
        <v>2.60838884981313E-2</v>
      </c>
      <c r="K30" s="20">
        <v>0.11081697653971648</v>
      </c>
      <c r="L30" s="20">
        <v>0</v>
      </c>
    </row>
    <row r="31" spans="1:12">
      <c r="A31" s="2" t="s">
        <v>283</v>
      </c>
      <c r="B31" s="3" t="s">
        <v>284</v>
      </c>
      <c r="D31" s="20">
        <v>2.6208626052960093E-8</v>
      </c>
      <c r="E31" s="20">
        <v>0.9762728847140888</v>
      </c>
      <c r="F31" s="20">
        <v>6.0023106583003425E-4</v>
      </c>
      <c r="G31" s="20">
        <v>2.4088736697354588E-4</v>
      </c>
      <c r="H31" s="20">
        <v>0</v>
      </c>
      <c r="I31" s="20">
        <v>0.97543176628128525</v>
      </c>
      <c r="J31" s="20">
        <v>3.6419418467275157E-4</v>
      </c>
      <c r="K31" s="20">
        <v>2.3362894892612278E-2</v>
      </c>
      <c r="L31" s="20">
        <v>0</v>
      </c>
    </row>
    <row r="32" spans="1:12">
      <c r="A32" s="2" t="s">
        <v>361</v>
      </c>
      <c r="B32" s="3" t="s">
        <v>362</v>
      </c>
      <c r="D32" s="20">
        <v>2.1278953014912594E-8</v>
      </c>
      <c r="E32" s="20">
        <v>0.67586602552753483</v>
      </c>
      <c r="F32" s="20">
        <v>0.19471641301544051</v>
      </c>
      <c r="G32" s="20">
        <v>4.8008841044827159E-2</v>
      </c>
      <c r="H32" s="20">
        <v>0</v>
      </c>
      <c r="I32" s="20">
        <v>0.43314077146726715</v>
      </c>
      <c r="J32" s="20">
        <v>3.1865600113874975E-3</v>
      </c>
      <c r="K32" s="20">
        <v>0.32094739318212467</v>
      </c>
      <c r="L32" s="20">
        <v>0</v>
      </c>
    </row>
    <row r="33" spans="1:12">
      <c r="A33" s="2" t="s">
        <v>364</v>
      </c>
      <c r="B33" s="3" t="s">
        <v>365</v>
      </c>
      <c r="D33" s="20">
        <v>1.2067332650539342E-10</v>
      </c>
      <c r="E33" s="20">
        <v>0.99958015517270571</v>
      </c>
      <c r="F33" s="20">
        <v>4.2007772445698975E-3</v>
      </c>
      <c r="G33" s="20">
        <v>1.2845676341341855E-6</v>
      </c>
      <c r="H33" s="20">
        <v>0</v>
      </c>
      <c r="I33" s="20">
        <v>0.99537809336050165</v>
      </c>
      <c r="J33" s="20">
        <v>3.6274030225733522E-4</v>
      </c>
      <c r="K33" s="20">
        <v>5.7104404363721598E-5</v>
      </c>
      <c r="L33" s="20">
        <v>0</v>
      </c>
    </row>
    <row r="34" spans="1:12">
      <c r="A34" s="2" t="s">
        <v>285</v>
      </c>
      <c r="B34" s="3" t="s">
        <v>286</v>
      </c>
      <c r="D34" s="20">
        <v>3.5868938878807742E-10</v>
      </c>
      <c r="E34" s="20">
        <v>0.99917390223411784</v>
      </c>
      <c r="F34" s="20">
        <v>0.45186268362315796</v>
      </c>
      <c r="G34" s="20">
        <v>3.7109148090608495E-5</v>
      </c>
      <c r="H34" s="20">
        <v>0</v>
      </c>
      <c r="I34" s="20">
        <v>0.54727410946286925</v>
      </c>
      <c r="J34" s="20">
        <v>6.3156425908830912E-4</v>
      </c>
      <c r="K34" s="20">
        <v>1.945331481044681E-4</v>
      </c>
      <c r="L34" s="20">
        <v>0</v>
      </c>
    </row>
    <row r="35" spans="1:12">
      <c r="A35" s="2" t="s">
        <v>287</v>
      </c>
      <c r="B35" s="3" t="s">
        <v>288</v>
      </c>
      <c r="D35" s="20">
        <v>1.0447091761022768E-11</v>
      </c>
      <c r="E35" s="20">
        <v>0.99879603071458778</v>
      </c>
      <c r="F35" s="20">
        <v>0.67470476497536369</v>
      </c>
      <c r="G35" s="20">
        <v>1.3065953249221738E-4</v>
      </c>
      <c r="H35" s="20">
        <v>0</v>
      </c>
      <c r="I35" s="20">
        <v>0.32396060620673189</v>
      </c>
      <c r="J35" s="20">
        <v>7.3315054609186131E-4</v>
      </c>
      <c r="K35" s="20">
        <v>4.7081872887314437E-4</v>
      </c>
      <c r="L35" s="20">
        <v>0</v>
      </c>
    </row>
    <row r="36" spans="1:12">
      <c r="A36" s="2" t="s">
        <v>366</v>
      </c>
      <c r="B36" s="3" t="s">
        <v>305</v>
      </c>
      <c r="D36" s="20">
        <v>1.841665097421233E-8</v>
      </c>
      <c r="E36" s="20">
        <v>0.99868408316941448</v>
      </c>
      <c r="F36" s="20">
        <v>0.89037280300122501</v>
      </c>
      <c r="G36" s="20">
        <v>2.5492572860017415E-4</v>
      </c>
      <c r="H36" s="20">
        <v>0</v>
      </c>
      <c r="I36" s="20">
        <v>0.10805635443958929</v>
      </c>
      <c r="J36" s="20">
        <v>7.897281510647864E-4</v>
      </c>
      <c r="K36" s="20">
        <v>5.2617026286965612E-4</v>
      </c>
      <c r="L36" s="20">
        <v>0</v>
      </c>
    </row>
    <row r="37" spans="1:12">
      <c r="A37" s="2" t="s">
        <v>289</v>
      </c>
      <c r="B37" s="3" t="s">
        <v>290</v>
      </c>
      <c r="D37" s="20">
        <v>4.1847139117128586E-15</v>
      </c>
      <c r="E37" s="20">
        <v>0.92730002028950986</v>
      </c>
      <c r="F37" s="20">
        <v>0.69580283524345055</v>
      </c>
      <c r="G37" s="20">
        <v>2.3755036117020803E-2</v>
      </c>
      <c r="H37" s="20">
        <v>0</v>
      </c>
      <c r="I37" s="20">
        <v>0.20774214892903856</v>
      </c>
      <c r="J37" s="20">
        <v>2.089635985629521E-3</v>
      </c>
      <c r="K37" s="20">
        <v>7.0610343724856389E-2</v>
      </c>
      <c r="L37" s="20">
        <v>0</v>
      </c>
    </row>
    <row r="38" spans="1:12">
      <c r="A38" s="2" t="s">
        <v>291</v>
      </c>
      <c r="B38" s="3" t="s">
        <v>292</v>
      </c>
      <c r="D38" s="20">
        <v>1.20741141324011E-12</v>
      </c>
      <c r="E38" s="20">
        <v>0.99750483871141726</v>
      </c>
      <c r="F38" s="20">
        <v>0.38432681293109361</v>
      </c>
      <c r="G38" s="20">
        <v>3.2108331058180648E-4</v>
      </c>
      <c r="H38" s="20">
        <v>0</v>
      </c>
      <c r="I38" s="20">
        <v>0.61285694246974187</v>
      </c>
      <c r="J38" s="20">
        <v>6.1354803690106424E-4</v>
      </c>
      <c r="K38" s="20">
        <v>1.8816132504741925E-3</v>
      </c>
      <c r="L38" s="20">
        <v>0</v>
      </c>
    </row>
    <row r="39" spans="1:12">
      <c r="A39" s="2" t="s">
        <v>367</v>
      </c>
      <c r="B39" s="3" t="s">
        <v>368</v>
      </c>
      <c r="D39" s="20">
        <v>1.4429380937209706E-5</v>
      </c>
      <c r="E39" s="20">
        <v>0.88191276677472374</v>
      </c>
      <c r="F39" s="20">
        <v>0.74203076865280015</v>
      </c>
      <c r="G39" s="20">
        <v>0.12960372060628314</v>
      </c>
      <c r="H39" s="20">
        <v>0</v>
      </c>
      <c r="I39" s="20">
        <v>1.027827751564047E-2</v>
      </c>
      <c r="J39" s="20">
        <v>8.3921325663641137E-3</v>
      </c>
      <c r="K39" s="20">
        <v>0.1096806712779749</v>
      </c>
      <c r="L39" s="20">
        <v>0</v>
      </c>
    </row>
    <row r="40" spans="1:12">
      <c r="A40" s="2" t="s">
        <v>369</v>
      </c>
      <c r="B40" s="3" t="s">
        <v>370</v>
      </c>
      <c r="D40" s="20">
        <v>8.8443123705014401E-13</v>
      </c>
      <c r="E40" s="20">
        <v>0.94439276265295147</v>
      </c>
      <c r="F40" s="20">
        <v>0.8797791472612041</v>
      </c>
      <c r="G40" s="20">
        <v>6.364935996951733E-2</v>
      </c>
      <c r="H40" s="20">
        <v>0</v>
      </c>
      <c r="I40" s="20">
        <v>9.642554222300128E-4</v>
      </c>
      <c r="J40" s="20">
        <v>5.2839616000595002E-2</v>
      </c>
      <c r="K40" s="20">
        <v>2.7676213455691532E-3</v>
      </c>
      <c r="L40" s="20">
        <v>0</v>
      </c>
    </row>
    <row r="41" spans="1:12">
      <c r="A41" s="2" t="s">
        <v>371</v>
      </c>
      <c r="B41" s="3" t="s">
        <v>372</v>
      </c>
      <c r="D41" s="20">
        <v>8.1779994618741997E-2</v>
      </c>
      <c r="E41" s="20">
        <v>0.91331306247634969</v>
      </c>
      <c r="F41" s="20">
        <v>2.7958978011247419E-5</v>
      </c>
      <c r="G41" s="20">
        <v>1.3996416188393305E-5</v>
      </c>
      <c r="H41" s="20">
        <v>0</v>
      </c>
      <c r="I41" s="20">
        <v>0.91327110708215009</v>
      </c>
      <c r="J41" s="20">
        <v>3.2837690980889518E-4</v>
      </c>
      <c r="K41" s="20">
        <v>4.578565995099375E-3</v>
      </c>
      <c r="L41" s="20">
        <v>0</v>
      </c>
    </row>
    <row r="42" spans="1:12">
      <c r="A42" s="2" t="s">
        <v>293</v>
      </c>
      <c r="B42" s="3" t="s">
        <v>294</v>
      </c>
      <c r="D42" s="20">
        <v>1.7491804332998396E-8</v>
      </c>
      <c r="E42" s="20">
        <v>0.69991757291650236</v>
      </c>
      <c r="F42" s="20">
        <v>0.14031652655689117</v>
      </c>
      <c r="G42" s="20">
        <v>3.5991867458428729E-2</v>
      </c>
      <c r="H42" s="20">
        <v>0</v>
      </c>
      <c r="I42" s="20">
        <v>0.52360917890118241</v>
      </c>
      <c r="J42" s="20">
        <v>2.4247851454765484E-3</v>
      </c>
      <c r="K42" s="20">
        <v>0.2976576244462168</v>
      </c>
      <c r="L42" s="20">
        <v>0</v>
      </c>
    </row>
    <row r="43" spans="1:12">
      <c r="A43" s="2" t="s">
        <v>373</v>
      </c>
      <c r="B43" s="3" t="s">
        <v>374</v>
      </c>
      <c r="D43" s="20">
        <v>4.3069084451245527E-8</v>
      </c>
      <c r="E43" s="20">
        <v>0.99797583692926917</v>
      </c>
      <c r="F43" s="20">
        <v>0.98833806630225041</v>
      </c>
      <c r="G43" s="20">
        <v>8.345021197296293E-4</v>
      </c>
      <c r="H43" s="20">
        <v>0</v>
      </c>
      <c r="I43" s="20">
        <v>8.8032685072890852E-3</v>
      </c>
      <c r="J43" s="20">
        <v>1.602869845630823E-3</v>
      </c>
      <c r="K43" s="20">
        <v>4.2125015601530844E-4</v>
      </c>
      <c r="L43" s="20">
        <v>0</v>
      </c>
    </row>
    <row r="44" spans="1:12">
      <c r="A44" s="2" t="s">
        <v>375</v>
      </c>
      <c r="B44" s="3" t="s">
        <v>376</v>
      </c>
      <c r="D44" s="20">
        <v>8.5106155527591348E-2</v>
      </c>
      <c r="E44" s="20">
        <v>0.78707080857926104</v>
      </c>
      <c r="F44" s="20">
        <v>1.9455177058683971E-2</v>
      </c>
      <c r="G44" s="20">
        <v>5.9337704706032028E-3</v>
      </c>
      <c r="H44" s="20">
        <v>0</v>
      </c>
      <c r="I44" s="20">
        <v>0.76168186104997382</v>
      </c>
      <c r="J44" s="20">
        <v>6.3584555548628122E-4</v>
      </c>
      <c r="K44" s="20">
        <v>0.12718719033766132</v>
      </c>
      <c r="L44" s="20">
        <v>0</v>
      </c>
    </row>
    <row r="45" spans="1:12">
      <c r="A45" s="2" t="s">
        <v>377</v>
      </c>
      <c r="B45" s="3" t="s">
        <v>378</v>
      </c>
      <c r="D45" s="20">
        <v>6.6527998025811943E-4</v>
      </c>
      <c r="E45" s="20">
        <v>0.6885484935097137</v>
      </c>
      <c r="F45" s="20">
        <v>0.15983749686057808</v>
      </c>
      <c r="G45" s="20">
        <v>4.0399335803102912E-2</v>
      </c>
      <c r="H45" s="20">
        <v>0</v>
      </c>
      <c r="I45" s="20">
        <v>0.48831166084603272</v>
      </c>
      <c r="J45" s="20">
        <v>2.6896620579427168E-3</v>
      </c>
      <c r="K45" s="20">
        <v>0.3080965644520855</v>
      </c>
      <c r="L45" s="20">
        <v>0</v>
      </c>
    </row>
    <row r="46" spans="1:12">
      <c r="A46" s="2" t="s">
        <v>379</v>
      </c>
      <c r="B46" s="3" t="s">
        <v>380</v>
      </c>
      <c r="D46" s="20">
        <v>2.0007241876908257E-3</v>
      </c>
      <c r="E46" s="20">
        <v>0.69427155974087829</v>
      </c>
      <c r="F46" s="20">
        <v>0.1471842833021621</v>
      </c>
      <c r="G46" s="20">
        <v>3.7545422240507581E-2</v>
      </c>
      <c r="H46" s="20">
        <v>0</v>
      </c>
      <c r="I46" s="20">
        <v>0.50954185419820863</v>
      </c>
      <c r="J46" s="20">
        <v>2.5175515053623525E-3</v>
      </c>
      <c r="K46" s="20">
        <v>0.30121016456606858</v>
      </c>
      <c r="L46" s="20">
        <v>0</v>
      </c>
    </row>
    <row r="47" spans="1:12">
      <c r="A47" s="2" t="s">
        <v>381</v>
      </c>
      <c r="B47" s="3" t="s">
        <v>382</v>
      </c>
      <c r="D47" s="20">
        <v>4.1021798506462231E-8</v>
      </c>
      <c r="E47" s="20">
        <v>0.87725243503439432</v>
      </c>
      <c r="F47" s="20">
        <v>0.23631370648936939</v>
      </c>
      <c r="G47" s="20">
        <v>0.64030142352757657</v>
      </c>
      <c r="H47" s="20">
        <v>0</v>
      </c>
      <c r="I47" s="20">
        <v>6.3730501744833847E-4</v>
      </c>
      <c r="J47" s="20">
        <v>4.2893446265413172E-2</v>
      </c>
      <c r="K47" s="20">
        <v>7.98540776783941E-2</v>
      </c>
      <c r="L47" s="20">
        <v>0</v>
      </c>
    </row>
    <row r="48" spans="1:12">
      <c r="A48" s="2" t="s">
        <v>383</v>
      </c>
      <c r="B48" s="3" t="s">
        <v>384</v>
      </c>
      <c r="D48" s="20">
        <v>1.1767298143341593E-2</v>
      </c>
      <c r="E48" s="20">
        <v>0.91122872258484677</v>
      </c>
      <c r="F48" s="20">
        <v>6.2827672614733003E-3</v>
      </c>
      <c r="G48" s="20">
        <v>2.1088540663285449E-3</v>
      </c>
      <c r="H48" s="20">
        <v>0</v>
      </c>
      <c r="I48" s="20">
        <v>0.90283710125704497</v>
      </c>
      <c r="J48" s="20">
        <v>4.5151808776215506E-4</v>
      </c>
      <c r="K48" s="20">
        <v>7.6552461184049445E-2</v>
      </c>
      <c r="L48" s="20">
        <v>0</v>
      </c>
    </row>
    <row r="49" spans="1:12">
      <c r="A49" s="2" t="s">
        <v>385</v>
      </c>
      <c r="B49" s="3" t="s">
        <v>386</v>
      </c>
      <c r="D49" s="20">
        <v>2.1970233821243437E-2</v>
      </c>
      <c r="E49" s="20">
        <v>0.87631713249692833</v>
      </c>
      <c r="F49" s="20">
        <v>1.120234371842049E-2</v>
      </c>
      <c r="G49" s="20">
        <v>3.5909094115392196E-3</v>
      </c>
      <c r="H49" s="20">
        <v>0</v>
      </c>
      <c r="I49" s="20">
        <v>0.86152387936696861</v>
      </c>
      <c r="J49" s="20">
        <v>5.2741379366504201E-4</v>
      </c>
      <c r="K49" s="20">
        <v>0.10118521988816323</v>
      </c>
      <c r="L49" s="20">
        <v>0</v>
      </c>
    </row>
    <row r="50" spans="1:12">
      <c r="A50" s="2" t="s">
        <v>387</v>
      </c>
      <c r="B50" s="3" t="s">
        <v>388</v>
      </c>
      <c r="D50" s="20">
        <v>6.5498968725631749E-3</v>
      </c>
      <c r="E50" s="20">
        <v>0.74534298054783554</v>
      </c>
      <c r="F50" s="20">
        <v>0.55835277256094007</v>
      </c>
      <c r="G50" s="20">
        <v>0.11209964374152721</v>
      </c>
      <c r="H50" s="20">
        <v>0</v>
      </c>
      <c r="I50" s="20">
        <v>7.4890564245368274E-2</v>
      </c>
      <c r="J50" s="20">
        <v>7.1627081531624283E-3</v>
      </c>
      <c r="K50" s="20">
        <v>0.24094441442643871</v>
      </c>
      <c r="L50" s="20">
        <v>0</v>
      </c>
    </row>
    <row r="51" spans="1:12">
      <c r="A51" s="2" t="s">
        <v>295</v>
      </c>
      <c r="B51" s="3" t="s">
        <v>296</v>
      </c>
      <c r="D51" s="20">
        <v>6.5530723689554163E-2</v>
      </c>
      <c r="E51" s="20">
        <v>0.90454692397963266</v>
      </c>
      <c r="F51" s="20">
        <v>1.0127894739322576E-3</v>
      </c>
      <c r="G51" s="20">
        <v>3.8887921767856513E-4</v>
      </c>
      <c r="H51" s="20">
        <v>0</v>
      </c>
      <c r="I51" s="20">
        <v>0.90314525528802181</v>
      </c>
      <c r="J51" s="20">
        <v>3.4717448068626689E-4</v>
      </c>
      <c r="K51" s="20">
        <v>2.9575177850126939E-2</v>
      </c>
      <c r="L51" s="20">
        <v>0</v>
      </c>
    </row>
    <row r="52" spans="1:12">
      <c r="A52" s="2" t="s">
        <v>389</v>
      </c>
      <c r="B52" s="3" t="s">
        <v>390</v>
      </c>
      <c r="D52" s="20">
        <v>6.8891262752027879E-2</v>
      </c>
      <c r="E52" s="20">
        <v>0.76541393110115763</v>
      </c>
      <c r="F52" s="20">
        <v>3.3607666598583871E-2</v>
      </c>
      <c r="G52" s="20">
        <v>9.8069489716643889E-3</v>
      </c>
      <c r="H52" s="20">
        <v>0</v>
      </c>
      <c r="I52" s="20">
        <v>0.72199931553090935</v>
      </c>
      <c r="J52" s="20">
        <v>8.6090164341235688E-4</v>
      </c>
      <c r="K52" s="20">
        <v>0.16483390450340213</v>
      </c>
      <c r="L52" s="20">
        <v>0</v>
      </c>
    </row>
    <row r="53" spans="1:12">
      <c r="A53" s="2" t="s">
        <v>391</v>
      </c>
      <c r="B53" s="3" t="s">
        <v>392</v>
      </c>
      <c r="D53" s="20">
        <v>1.9628650695046215E-3</v>
      </c>
      <c r="E53" s="20">
        <v>0.66437123577188317</v>
      </c>
      <c r="F53" s="20">
        <v>0.23097483280878103</v>
      </c>
      <c r="G53" s="20">
        <v>5.5751969867688531E-2</v>
      </c>
      <c r="H53" s="20">
        <v>0</v>
      </c>
      <c r="I53" s="20">
        <v>0.37764443309541357</v>
      </c>
      <c r="J53" s="20">
        <v>3.6211351057877168E-3</v>
      </c>
      <c r="K53" s="20">
        <v>0.33004476405282435</v>
      </c>
      <c r="L53" s="20">
        <v>0</v>
      </c>
    </row>
    <row r="54" spans="1:12">
      <c r="A54" s="2" t="s">
        <v>393</v>
      </c>
      <c r="B54" s="3" t="s">
        <v>394</v>
      </c>
      <c r="D54" s="20">
        <v>1.8916174880288201E-4</v>
      </c>
      <c r="E54" s="20">
        <v>0.87230661477037397</v>
      </c>
      <c r="F54" s="20">
        <v>0.28229782709896079</v>
      </c>
      <c r="G54" s="20">
        <v>0.58911908281534242</v>
      </c>
      <c r="H54" s="20">
        <v>0</v>
      </c>
      <c r="I54" s="20">
        <v>8.8970485607074495E-4</v>
      </c>
      <c r="J54" s="20">
        <v>3.933526284183142E-2</v>
      </c>
      <c r="K54" s="20">
        <v>8.816896063899167E-2</v>
      </c>
      <c r="L54" s="20">
        <v>0</v>
      </c>
    </row>
    <row r="55" spans="1:12">
      <c r="A55" s="2" t="s">
        <v>395</v>
      </c>
      <c r="B55" s="3" t="s">
        <v>396</v>
      </c>
      <c r="D55" s="20">
        <v>0.13246873661843395</v>
      </c>
      <c r="E55" s="20">
        <v>0.59961823734093256</v>
      </c>
      <c r="F55" s="20">
        <v>0.38158176216332301</v>
      </c>
      <c r="G55" s="20">
        <v>8.2315792670903568E-2</v>
      </c>
      <c r="H55" s="20">
        <v>0</v>
      </c>
      <c r="I55" s="20">
        <v>0.13572068250670602</v>
      </c>
      <c r="J55" s="20">
        <v>5.2519039800546967E-3</v>
      </c>
      <c r="K55" s="20">
        <v>0.26266112206057862</v>
      </c>
      <c r="L55" s="20">
        <v>0</v>
      </c>
    </row>
    <row r="56" spans="1:12">
      <c r="A56" s="2" t="s">
        <v>397</v>
      </c>
      <c r="B56" s="3" t="s">
        <v>398</v>
      </c>
      <c r="D56" s="20">
        <v>0.60232904839739887</v>
      </c>
      <c r="E56" s="20">
        <v>0.31810475774453506</v>
      </c>
      <c r="F56" s="20">
        <v>0.25380958745455384</v>
      </c>
      <c r="G56" s="20">
        <v>4.8217376697457362E-2</v>
      </c>
      <c r="H56" s="20">
        <v>0</v>
      </c>
      <c r="I56" s="20">
        <v>1.6077793592523856E-2</v>
      </c>
      <c r="J56" s="20">
        <v>3.0917708219989921E-3</v>
      </c>
      <c r="K56" s="20">
        <v>7.647442303606701E-2</v>
      </c>
      <c r="L56" s="20">
        <v>0</v>
      </c>
    </row>
    <row r="57" spans="1:12">
      <c r="A57" s="2" t="s">
        <v>399</v>
      </c>
      <c r="B57" s="3" t="s">
        <v>400</v>
      </c>
      <c r="D57" s="20">
        <v>0.76563305865878661</v>
      </c>
      <c r="E57" s="20">
        <v>0.16614923810880819</v>
      </c>
      <c r="F57" s="20">
        <v>0.11321263330434249</v>
      </c>
      <c r="G57" s="20">
        <v>2.384462229518668E-2</v>
      </c>
      <c r="H57" s="20">
        <v>0</v>
      </c>
      <c r="I57" s="20">
        <v>2.9091982509279021E-2</v>
      </c>
      <c r="J57" s="20">
        <v>1.5211980431447183E-3</v>
      </c>
      <c r="K57" s="20">
        <v>6.6696505189260263E-2</v>
      </c>
      <c r="L57" s="20">
        <v>0</v>
      </c>
    </row>
    <row r="58" spans="1:12">
      <c r="A58" s="2" t="s">
        <v>297</v>
      </c>
      <c r="B58" s="3" t="s">
        <v>298</v>
      </c>
      <c r="D58" s="20">
        <v>0.93158168183089396</v>
      </c>
      <c r="E58" s="20">
        <v>6.0462200172891049E-2</v>
      </c>
      <c r="F58" s="20">
        <v>9.8785944171179128E-4</v>
      </c>
      <c r="G58" s="20">
        <v>3.1087851623421326E-4</v>
      </c>
      <c r="H58" s="20">
        <v>0</v>
      </c>
      <c r="I58" s="20">
        <v>5.9163462214945048E-2</v>
      </c>
      <c r="J58" s="20">
        <v>4.0162553163149203E-5</v>
      </c>
      <c r="K58" s="20">
        <v>7.9159554430517694E-3</v>
      </c>
      <c r="L58" s="20">
        <v>0</v>
      </c>
    </row>
    <row r="59" spans="1:12">
      <c r="A59" s="2" t="s">
        <v>401</v>
      </c>
      <c r="B59" s="3" t="s">
        <v>402</v>
      </c>
      <c r="D59" s="20">
        <v>0.90863998332409501</v>
      </c>
      <c r="E59" s="20">
        <v>6.4371573129238857E-2</v>
      </c>
      <c r="F59" s="20">
        <v>4.3238045903719956E-2</v>
      </c>
      <c r="G59" s="20">
        <v>9.1571771020774895E-3</v>
      </c>
      <c r="H59" s="20">
        <v>0</v>
      </c>
      <c r="I59" s="20">
        <v>1.1976350123441407E-2</v>
      </c>
      <c r="J59" s="20">
        <v>5.8416873442819288E-4</v>
      </c>
      <c r="K59" s="20">
        <v>2.6404274812237907E-2</v>
      </c>
      <c r="L59" s="20">
        <v>0</v>
      </c>
    </row>
    <row r="60" spans="1:12">
      <c r="A60" s="2" t="s">
        <v>299</v>
      </c>
      <c r="B60" s="3" t="s">
        <v>300</v>
      </c>
      <c r="D60" s="20">
        <v>0.9980321844645349</v>
      </c>
      <c r="E60" s="20">
        <v>1.3154842837633368E-3</v>
      </c>
      <c r="F60" s="20">
        <v>7.083024785157502E-4</v>
      </c>
      <c r="G60" s="20">
        <v>1.5940954304957539E-4</v>
      </c>
      <c r="H60" s="20">
        <v>0</v>
      </c>
      <c r="I60" s="20">
        <v>4.4777226219801122E-4</v>
      </c>
      <c r="J60" s="20">
        <v>1.0195356651481226E-5</v>
      </c>
      <c r="K60" s="20">
        <v>6.4213589505005605E-4</v>
      </c>
      <c r="L60" s="20">
        <v>0</v>
      </c>
    </row>
    <row r="61" spans="1:12">
      <c r="A61" s="2" t="s">
        <v>403</v>
      </c>
      <c r="B61" s="3" t="s">
        <v>404</v>
      </c>
      <c r="D61" s="20">
        <v>4.4555441567899163E-44</v>
      </c>
      <c r="E61" s="20">
        <v>0.66171002486435715</v>
      </c>
      <c r="F61" s="20">
        <v>0.30759195117686816</v>
      </c>
      <c r="G61" s="20">
        <v>7.1165666711656597E-2</v>
      </c>
      <c r="H61" s="20">
        <v>0</v>
      </c>
      <c r="I61" s="20">
        <v>0.2829524069758324</v>
      </c>
      <c r="J61" s="20">
        <v>4.5692697151097214E-3</v>
      </c>
      <c r="K61" s="20">
        <v>0.33372070542053328</v>
      </c>
      <c r="L61" s="20">
        <v>0</v>
      </c>
    </row>
    <row r="62" spans="1:12">
      <c r="A62" s="2" t="s">
        <v>405</v>
      </c>
      <c r="B62" s="3" t="s">
        <v>406</v>
      </c>
      <c r="D62" s="20">
        <v>1.0591862071726495E-7</v>
      </c>
      <c r="E62" s="20">
        <v>0.86394269970612636</v>
      </c>
      <c r="F62" s="20">
        <v>0.55226374244940957</v>
      </c>
      <c r="G62" s="20">
        <v>0.3078520762604266</v>
      </c>
      <c r="H62" s="20">
        <v>0</v>
      </c>
      <c r="I62" s="20">
        <v>3.8268809962901796E-3</v>
      </c>
      <c r="J62" s="20">
        <v>2.0218216307504901E-2</v>
      </c>
      <c r="K62" s="20">
        <v>0.11583897806774818</v>
      </c>
      <c r="L62" s="20">
        <v>0</v>
      </c>
    </row>
    <row r="63" spans="1:12">
      <c r="A63" s="2" t="s">
        <v>407</v>
      </c>
      <c r="B63" s="3" t="s">
        <v>408</v>
      </c>
      <c r="D63" s="20">
        <v>2.5249128414073959E-5</v>
      </c>
      <c r="E63" s="20">
        <v>0.8863270029565915</v>
      </c>
      <c r="F63" s="20">
        <v>0.1688187211336282</v>
      </c>
      <c r="G63" s="20">
        <v>0.71716016979308406</v>
      </c>
      <c r="H63" s="20">
        <v>0</v>
      </c>
      <c r="I63" s="20">
        <v>3.481120298792386E-4</v>
      </c>
      <c r="J63" s="20">
        <v>4.8315320906603926E-2</v>
      </c>
      <c r="K63" s="20">
        <v>6.5332427008390509E-2</v>
      </c>
      <c r="L63" s="20">
        <v>0</v>
      </c>
    </row>
    <row r="64" spans="1:12">
      <c r="A64" s="2" t="s">
        <v>409</v>
      </c>
      <c r="B64" s="3" t="s">
        <v>410</v>
      </c>
      <c r="D64" s="20">
        <v>3.1262523118418385E-6</v>
      </c>
      <c r="E64" s="20">
        <v>0.90092051339446622</v>
      </c>
      <c r="F64" s="20">
        <v>9.0970009651470021E-2</v>
      </c>
      <c r="G64" s="20">
        <v>0.80982987892628044</v>
      </c>
      <c r="H64" s="20">
        <v>0</v>
      </c>
      <c r="I64" s="20">
        <v>1.2062481671571265E-4</v>
      </c>
      <c r="J64" s="20">
        <v>5.5070914379729372E-2</v>
      </c>
      <c r="K64" s="20">
        <v>4.4005445973492742E-2</v>
      </c>
      <c r="L64" s="20">
        <v>0</v>
      </c>
    </row>
    <row r="65" spans="1:12">
      <c r="A65" s="2" t="s">
        <v>301</v>
      </c>
      <c r="B65" s="3" t="s">
        <v>302</v>
      </c>
      <c r="D65" s="20">
        <v>3.8629390756518097E-7</v>
      </c>
      <c r="E65" s="20">
        <v>0.91378222199788006</v>
      </c>
      <c r="F65" s="20">
        <v>4.2207737569992985E-2</v>
      </c>
      <c r="G65" s="20">
        <v>0.87154061167457308</v>
      </c>
      <c r="H65" s="20">
        <v>0</v>
      </c>
      <c r="I65" s="20">
        <v>3.3872753314027765E-5</v>
      </c>
      <c r="J65" s="20">
        <v>5.9902580442114703E-2</v>
      </c>
      <c r="K65" s="20">
        <v>2.6314811266097388E-2</v>
      </c>
      <c r="L65" s="20">
        <v>0</v>
      </c>
    </row>
    <row r="66" spans="1:12">
      <c r="A66" s="2" t="s">
        <v>303</v>
      </c>
      <c r="B66" s="3" t="s">
        <v>304</v>
      </c>
      <c r="D66" s="20">
        <v>3.7285676509586784E-13</v>
      </c>
      <c r="E66" s="20">
        <v>0.90704759745618813</v>
      </c>
      <c r="F66" s="20">
        <v>6.5753101406091349E-2</v>
      </c>
      <c r="G66" s="20">
        <v>0.84122427704563996</v>
      </c>
      <c r="H66" s="20">
        <v>0</v>
      </c>
      <c r="I66" s="20">
        <v>7.0219004456813675E-5</v>
      </c>
      <c r="J66" s="20">
        <v>5.7469067814881501E-2</v>
      </c>
      <c r="K66" s="20">
        <v>3.548333472855783E-2</v>
      </c>
      <c r="L66" s="20">
        <v>0</v>
      </c>
    </row>
    <row r="67" spans="1:12">
      <c r="A67" s="2" t="s">
        <v>411</v>
      </c>
      <c r="B67" s="3" t="s">
        <v>412</v>
      </c>
      <c r="D67" s="20">
        <v>4.6542903038050316E-3</v>
      </c>
      <c r="E67" s="20">
        <v>0.8442278977376052</v>
      </c>
      <c r="F67" s="20">
        <v>2.5312071180142458E-2</v>
      </c>
      <c r="G67" s="20">
        <v>7.6071720455742186E-3</v>
      </c>
      <c r="H67" s="20">
        <v>0</v>
      </c>
      <c r="I67" s="20">
        <v>0.81130865451188849</v>
      </c>
      <c r="J67" s="20">
        <v>7.5658219823097612E-4</v>
      </c>
      <c r="K67" s="20">
        <v>0.1503612297603589</v>
      </c>
      <c r="L67" s="20">
        <v>0</v>
      </c>
    </row>
    <row r="68" spans="1:12">
      <c r="A68" s="2" t="s">
        <v>413</v>
      </c>
      <c r="B68" s="3" t="s">
        <v>414</v>
      </c>
      <c r="D68" s="20">
        <v>9.9836014991473605E-3</v>
      </c>
      <c r="E68" s="20">
        <v>0.79658793344489143</v>
      </c>
      <c r="F68" s="20">
        <v>4.4214167529997656E-2</v>
      </c>
      <c r="G68" s="20">
        <v>1.266651109430943E-2</v>
      </c>
      <c r="H68" s="20">
        <v>0</v>
      </c>
      <c r="I68" s="20">
        <v>0.7397072548205843</v>
      </c>
      <c r="J68" s="20">
        <v>1.0441602121535143E-3</v>
      </c>
      <c r="K68" s="20">
        <v>0.1923843048438077</v>
      </c>
      <c r="L68" s="20">
        <v>0</v>
      </c>
    </row>
    <row r="69" spans="1:12">
      <c r="A69" s="2" t="s">
        <v>415</v>
      </c>
      <c r="B69" s="3" t="s">
        <v>416</v>
      </c>
      <c r="D69" s="20">
        <v>1.2187856070030206E-3</v>
      </c>
      <c r="E69" s="20">
        <v>0.86602746431749855</v>
      </c>
      <c r="F69" s="20">
        <v>0.35261560798326225</v>
      </c>
      <c r="G69" s="20">
        <v>0.5120319806635677</v>
      </c>
      <c r="H69" s="20">
        <v>0</v>
      </c>
      <c r="I69" s="20">
        <v>1.3798756706685654E-3</v>
      </c>
      <c r="J69" s="20">
        <v>3.4032711031668182E-2</v>
      </c>
      <c r="K69" s="20">
        <v>9.8721039043830311E-2</v>
      </c>
      <c r="L69" s="20">
        <v>0</v>
      </c>
    </row>
    <row r="70" spans="1:12">
      <c r="A70" s="2" t="s">
        <v>417</v>
      </c>
      <c r="B70" s="3" t="s">
        <v>418</v>
      </c>
      <c r="D70" s="20">
        <v>3.168997937267928E-3</v>
      </c>
      <c r="E70" s="20">
        <v>0.82954366552997827</v>
      </c>
      <c r="F70" s="20">
        <v>0.67982349731564329</v>
      </c>
      <c r="G70" s="20">
        <v>0.12424866375499942</v>
      </c>
      <c r="H70" s="20">
        <v>0</v>
      </c>
      <c r="I70" s="20">
        <v>2.5471504459335562E-2</v>
      </c>
      <c r="J70" s="20">
        <v>7.9915247978873151E-3</v>
      </c>
      <c r="K70" s="20">
        <v>0.15929581173486657</v>
      </c>
      <c r="L70" s="20">
        <v>0</v>
      </c>
    </row>
    <row r="71" spans="1:12">
      <c r="A71" s="2" t="s">
        <v>419</v>
      </c>
      <c r="B71" s="3" t="s">
        <v>420</v>
      </c>
      <c r="D71" s="20">
        <v>2.4509504682608294E-2</v>
      </c>
      <c r="E71" s="20">
        <v>0.79178214043114037</v>
      </c>
      <c r="F71" s="20">
        <v>4.0032134714812213E-2</v>
      </c>
      <c r="G71" s="20">
        <v>1.155325355799066E-2</v>
      </c>
      <c r="H71" s="20">
        <v>0</v>
      </c>
      <c r="I71" s="20">
        <v>0.74019675215833747</v>
      </c>
      <c r="J71" s="20">
        <v>9.7537544090597797E-4</v>
      </c>
      <c r="K71" s="20">
        <v>0.18273297944534544</v>
      </c>
      <c r="L71" s="20">
        <v>0</v>
      </c>
    </row>
    <row r="72" spans="1:12">
      <c r="A72" s="2" t="s">
        <v>421</v>
      </c>
      <c r="B72" s="3" t="s">
        <v>422</v>
      </c>
      <c r="D72" s="20">
        <v>1.3281586251073183E-2</v>
      </c>
      <c r="E72" s="20">
        <v>0.81086623872361752</v>
      </c>
      <c r="F72" s="20">
        <v>0.6593623755083895</v>
      </c>
      <c r="G72" s="20">
        <v>0.12207302797132796</v>
      </c>
      <c r="H72" s="20">
        <v>0</v>
      </c>
      <c r="I72" s="20">
        <v>2.9430835243900107E-2</v>
      </c>
      <c r="J72" s="20">
        <v>7.8432520572235195E-3</v>
      </c>
      <c r="K72" s="20">
        <v>0.16800892296808578</v>
      </c>
      <c r="L72" s="20">
        <v>0</v>
      </c>
    </row>
    <row r="73" spans="1:12">
      <c r="A73" s="2" t="s">
        <v>423</v>
      </c>
      <c r="B73" s="3" t="s">
        <v>424</v>
      </c>
      <c r="D73" s="20">
        <v>1.2972989386644308E-2</v>
      </c>
      <c r="E73" s="20">
        <v>0.65457912059241297</v>
      </c>
      <c r="F73" s="20">
        <v>0.32071131142329001</v>
      </c>
      <c r="G73" s="20">
        <v>7.3520733802947921E-2</v>
      </c>
      <c r="H73" s="20">
        <v>0</v>
      </c>
      <c r="I73" s="20">
        <v>0.26034707536617507</v>
      </c>
      <c r="J73" s="20">
        <v>4.7131617876227626E-3</v>
      </c>
      <c r="K73" s="20">
        <v>0.32773472823331995</v>
      </c>
      <c r="L73" s="20">
        <v>0</v>
      </c>
    </row>
    <row r="74" spans="1:12">
      <c r="A74" s="2" t="s">
        <v>425</v>
      </c>
      <c r="B74" s="3" t="s">
        <v>426</v>
      </c>
      <c r="D74" s="20">
        <v>4.8900775052621763E-3</v>
      </c>
      <c r="E74" s="20">
        <v>0.82519393237897487</v>
      </c>
      <c r="F74" s="20">
        <v>0.67482312614738116</v>
      </c>
      <c r="G74" s="20">
        <v>0.12378998570576157</v>
      </c>
      <c r="H74" s="20">
        <v>0</v>
      </c>
      <c r="I74" s="20">
        <v>2.6580820525832115E-2</v>
      </c>
      <c r="J74" s="20">
        <v>7.959579404095269E-3</v>
      </c>
      <c r="K74" s="20">
        <v>0.16195641071166755</v>
      </c>
      <c r="L74" s="20">
        <v>0</v>
      </c>
    </row>
    <row r="75" spans="1:12">
      <c r="A75" s="2" t="s">
        <v>427</v>
      </c>
      <c r="B75" s="3" t="s">
        <v>428</v>
      </c>
      <c r="D75" s="20">
        <v>5.4781626269275689E-10</v>
      </c>
      <c r="E75" s="20">
        <v>0.99462064628922142</v>
      </c>
      <c r="F75" s="20">
        <v>0.98994063825468359</v>
      </c>
      <c r="G75" s="20">
        <v>3.8199648086941E-4</v>
      </c>
      <c r="H75" s="20">
        <v>0</v>
      </c>
      <c r="I75" s="20">
        <v>4.298011553668434E-3</v>
      </c>
      <c r="J75" s="20">
        <v>5.2961821496837888E-3</v>
      </c>
      <c r="K75" s="20">
        <v>8.3171013278722692E-5</v>
      </c>
      <c r="L75" s="20">
        <v>0</v>
      </c>
    </row>
    <row r="76" spans="1:12">
      <c r="A76" s="2" t="s">
        <v>429</v>
      </c>
      <c r="B76" s="3" t="s">
        <v>430</v>
      </c>
      <c r="D76" s="20">
        <v>1.3760522379531122E-11</v>
      </c>
      <c r="E76" s="20">
        <v>0.9946206468204043</v>
      </c>
      <c r="F76" s="20">
        <v>0.98994063878336702</v>
      </c>
      <c r="G76" s="20">
        <v>3.8199648107341738E-4</v>
      </c>
      <c r="H76" s="20">
        <v>0</v>
      </c>
      <c r="I76" s="20">
        <v>4.2980115559638115E-3</v>
      </c>
      <c r="J76" s="20">
        <v>5.2961821525122441E-3</v>
      </c>
      <c r="K76" s="20">
        <v>8.3171013323140626E-5</v>
      </c>
      <c r="L76" s="20">
        <v>0</v>
      </c>
    </row>
    <row r="77" spans="1:12">
      <c r="A77" s="2" t="s">
        <v>431</v>
      </c>
      <c r="B77" s="3" t="s">
        <v>432</v>
      </c>
      <c r="D77" s="20">
        <v>2.3622763706696335E-2</v>
      </c>
      <c r="E77" s="20">
        <v>0.7070734442577129</v>
      </c>
      <c r="F77" s="20">
        <v>0.50257967448857777</v>
      </c>
      <c r="G77" s="20">
        <v>0.10392032016845541</v>
      </c>
      <c r="H77" s="20">
        <v>0</v>
      </c>
      <c r="I77" s="20">
        <v>0.10057344960067972</v>
      </c>
      <c r="J77" s="20">
        <v>6.6321998104277493E-3</v>
      </c>
      <c r="K77" s="20">
        <v>0.26267159222516301</v>
      </c>
      <c r="L77" s="20">
        <v>0</v>
      </c>
    </row>
    <row r="78" spans="1:12">
      <c r="A78" s="2" t="s">
        <v>433</v>
      </c>
      <c r="B78" s="3" t="s">
        <v>434</v>
      </c>
      <c r="D78" s="20">
        <v>3.3263248386965857E-2</v>
      </c>
      <c r="E78" s="20">
        <v>0.68238604513238199</v>
      </c>
      <c r="F78" s="20">
        <v>0.12677653384995829</v>
      </c>
      <c r="G78" s="20">
        <v>3.2759286112619072E-2</v>
      </c>
      <c r="H78" s="20">
        <v>0</v>
      </c>
      <c r="I78" s="20">
        <v>0.52285022516980462</v>
      </c>
      <c r="J78" s="20">
        <v>2.2221416520344069E-3</v>
      </c>
      <c r="K78" s="20">
        <v>0.28212856482861776</v>
      </c>
      <c r="L78" s="20">
        <v>0</v>
      </c>
    </row>
    <row r="79" spans="1:12">
      <c r="A79" s="2" t="s">
        <v>435</v>
      </c>
      <c r="B79" s="3" t="s">
        <v>436</v>
      </c>
      <c r="D79" s="20">
        <v>7.7700414165118303E-3</v>
      </c>
      <c r="E79" s="20">
        <v>0.65946721533721675</v>
      </c>
      <c r="F79" s="20">
        <v>0.2358834921067296</v>
      </c>
      <c r="G79" s="20">
        <v>5.6727429399815676E-2</v>
      </c>
      <c r="H79" s="20">
        <v>0</v>
      </c>
      <c r="I79" s="20">
        <v>0.36685629383067142</v>
      </c>
      <c r="J79" s="20">
        <v>3.6795259653378972E-3</v>
      </c>
      <c r="K79" s="20">
        <v>0.32908321728093348</v>
      </c>
      <c r="L79" s="20">
        <v>0</v>
      </c>
    </row>
    <row r="80" spans="1:12">
      <c r="A80" s="2" t="s">
        <v>437</v>
      </c>
      <c r="B80" s="3" t="s">
        <v>438</v>
      </c>
      <c r="D80" s="20">
        <v>1.9517165600885997E-10</v>
      </c>
      <c r="E80" s="20">
        <v>0.98966247873170599</v>
      </c>
      <c r="F80" s="20">
        <v>0.9860319314216045</v>
      </c>
      <c r="G80" s="20">
        <v>7.3087177134020559E-4</v>
      </c>
      <c r="H80" s="20">
        <v>0</v>
      </c>
      <c r="I80" s="20">
        <v>2.8996755387612539E-3</v>
      </c>
      <c r="J80" s="20">
        <v>1.0236652978101918E-2</v>
      </c>
      <c r="K80" s="20">
        <v>1.0086809502041826E-4</v>
      </c>
      <c r="L80" s="20">
        <v>0</v>
      </c>
    </row>
    <row r="81" spans="1:12">
      <c r="A81" s="2" t="s">
        <v>440</v>
      </c>
      <c r="B81" s="3" t="s">
        <v>441</v>
      </c>
      <c r="D81" s="20">
        <v>1.8482665441848035E-13</v>
      </c>
      <c r="E81" s="20">
        <v>0.97065455085147456</v>
      </c>
      <c r="F81" s="20">
        <v>9.1251248929037642E-4</v>
      </c>
      <c r="G81" s="20">
        <v>3.5492318702435677E-4</v>
      </c>
      <c r="H81" s="20">
        <v>0</v>
      </c>
      <c r="I81" s="20">
        <v>0.96938711517515985</v>
      </c>
      <c r="J81" s="20">
        <v>3.6887734257051144E-4</v>
      </c>
      <c r="K81" s="20">
        <v>2.8976571805770034E-2</v>
      </c>
      <c r="L81" s="20">
        <v>0</v>
      </c>
    </row>
    <row r="82" spans="1:12">
      <c r="A82" s="2" t="s">
        <v>442</v>
      </c>
      <c r="B82" s="3" t="s">
        <v>443</v>
      </c>
      <c r="D82" s="20">
        <v>8.2377429015069185E-5</v>
      </c>
      <c r="E82" s="20">
        <v>0.78653527305445536</v>
      </c>
      <c r="F82" s="20">
        <v>5.4964521113736557E-2</v>
      </c>
      <c r="G82" s="20">
        <v>1.5458879212271319E-2</v>
      </c>
      <c r="H82" s="20">
        <v>0</v>
      </c>
      <c r="I82" s="20">
        <v>0.71611187272844745</v>
      </c>
      <c r="J82" s="20">
        <v>1.2090967905458425E-3</v>
      </c>
      <c r="K82" s="20">
        <v>0.21217325272598381</v>
      </c>
      <c r="L82" s="20">
        <v>0</v>
      </c>
    </row>
    <row r="83" spans="1:12">
      <c r="A83" s="2" t="s">
        <v>444</v>
      </c>
      <c r="B83" s="3" t="s">
        <v>445</v>
      </c>
      <c r="D83" s="20">
        <v>5.0324010451072512E-4</v>
      </c>
      <c r="E83" s="20">
        <v>0.70711259087576361</v>
      </c>
      <c r="F83" s="20">
        <v>0.47956718552557909</v>
      </c>
      <c r="G83" s="20">
        <v>0.10119172845060856</v>
      </c>
      <c r="H83" s="20">
        <v>0</v>
      </c>
      <c r="I83" s="20">
        <v>0.126353676899576</v>
      </c>
      <c r="J83" s="20">
        <v>6.4555381670264129E-3</v>
      </c>
      <c r="K83" s="20">
        <v>0.28592863085269921</v>
      </c>
      <c r="L83" s="20">
        <v>0</v>
      </c>
    </row>
    <row r="84" spans="1:12">
      <c r="A84" s="2" t="s">
        <v>446</v>
      </c>
      <c r="B84" s="3" t="s">
        <v>447</v>
      </c>
      <c r="D84" s="20">
        <v>5.6671676960619146E-15</v>
      </c>
      <c r="E84" s="20">
        <v>0.93748629924928739</v>
      </c>
      <c r="F84" s="20">
        <v>4.0835725786280159E-3</v>
      </c>
      <c r="G84" s="20">
        <v>1.4181946222735734E-3</v>
      </c>
      <c r="H84" s="20">
        <v>0</v>
      </c>
      <c r="I84" s="20">
        <v>0.93198453204838583</v>
      </c>
      <c r="J84" s="20">
        <v>4.1986839926519626E-4</v>
      </c>
      <c r="K84" s="20">
        <v>6.2093832351441627E-2</v>
      </c>
      <c r="L84" s="20">
        <v>0</v>
      </c>
    </row>
    <row r="85" spans="1:12">
      <c r="A85" s="2" t="s">
        <v>448</v>
      </c>
      <c r="B85" s="3" t="s">
        <v>449</v>
      </c>
      <c r="D85" s="20">
        <v>3.9866900129622388E-8</v>
      </c>
      <c r="E85" s="20">
        <v>0.98755513830448682</v>
      </c>
      <c r="F85" s="20">
        <v>1.6760488912587266E-4</v>
      </c>
      <c r="G85" s="20">
        <v>7.395750276961832E-5</v>
      </c>
      <c r="H85" s="20">
        <v>0</v>
      </c>
      <c r="I85" s="20">
        <v>0.98731357591259128</v>
      </c>
      <c r="J85" s="20">
        <v>3.5848010827196648E-4</v>
      </c>
      <c r="K85" s="20">
        <v>1.2086341720341006E-2</v>
      </c>
      <c r="L85" s="20">
        <v>0</v>
      </c>
    </row>
    <row r="86" spans="1:12">
      <c r="A86" s="2" t="s">
        <v>450</v>
      </c>
      <c r="B86" s="3" t="s">
        <v>451</v>
      </c>
      <c r="D86" s="20">
        <v>1.4257938168108476E-8</v>
      </c>
      <c r="E86" s="20">
        <v>0.93897396379181608</v>
      </c>
      <c r="F86" s="20">
        <v>3.8916246166820823E-3</v>
      </c>
      <c r="G86" s="20">
        <v>1.356520924685451E-3</v>
      </c>
      <c r="H86" s="20">
        <v>0</v>
      </c>
      <c r="I86" s="20">
        <v>0.93372581825044854</v>
      </c>
      <c r="J86" s="20">
        <v>4.167415441760626E-4</v>
      </c>
      <c r="K86" s="20">
        <v>6.0609280406069548E-2</v>
      </c>
      <c r="L86" s="20">
        <v>0</v>
      </c>
    </row>
    <row r="87" spans="1:12">
      <c r="A87" s="2" t="s">
        <v>452</v>
      </c>
      <c r="B87" s="3" t="s">
        <v>453</v>
      </c>
      <c r="D87" s="20">
        <v>4.7195670510973368E-8</v>
      </c>
      <c r="E87" s="20">
        <v>0.8806976026019635</v>
      </c>
      <c r="F87" s="20">
        <v>0.20834178244582141</v>
      </c>
      <c r="G87" s="20">
        <v>0.67184939554759038</v>
      </c>
      <c r="H87" s="20">
        <v>0</v>
      </c>
      <c r="I87" s="20">
        <v>5.064246085517293E-4</v>
      </c>
      <c r="J87" s="20">
        <v>4.510565507844063E-2</v>
      </c>
      <c r="K87" s="20">
        <v>7.4196695123925238E-2</v>
      </c>
      <c r="L87" s="20">
        <v>0</v>
      </c>
    </row>
    <row r="88" spans="1:12">
      <c r="A88" s="2" t="s">
        <v>454</v>
      </c>
      <c r="B88" s="3" t="s">
        <v>455</v>
      </c>
      <c r="D88" s="20">
        <v>3.9837645087725938E-5</v>
      </c>
      <c r="E88" s="20">
        <v>0.72867702054439687</v>
      </c>
      <c r="F88" s="20">
        <v>0.1023688614476206</v>
      </c>
      <c r="G88" s="20">
        <v>2.7143348856012113E-2</v>
      </c>
      <c r="H88" s="20">
        <v>0</v>
      </c>
      <c r="I88" s="20">
        <v>0.59916481024076418</v>
      </c>
      <c r="J88" s="20">
        <v>1.8964983796427891E-3</v>
      </c>
      <c r="K88" s="20">
        <v>0.2693866434308726</v>
      </c>
      <c r="L88" s="20">
        <v>0</v>
      </c>
    </row>
    <row r="89" spans="1:12">
      <c r="A89" s="2" t="s">
        <v>456</v>
      </c>
      <c r="B89" s="3" t="s">
        <v>457</v>
      </c>
      <c r="D89" s="20">
        <v>2.7161602789955719E-17</v>
      </c>
      <c r="E89" s="20">
        <v>0.77561697277220853</v>
      </c>
      <c r="F89" s="20">
        <v>6.2091136440173986E-2</v>
      </c>
      <c r="G89" s="20">
        <v>1.7271305416950787E-2</v>
      </c>
      <c r="H89" s="20">
        <v>0</v>
      </c>
      <c r="I89" s="20">
        <v>0.69625453091508371</v>
      </c>
      <c r="J89" s="20">
        <v>1.3147595367494918E-3</v>
      </c>
      <c r="K89" s="20">
        <v>0.22306826769104204</v>
      </c>
      <c r="L89" s="20">
        <v>0</v>
      </c>
    </row>
    <row r="90" spans="1:12">
      <c r="A90" s="2" t="s">
        <v>458</v>
      </c>
      <c r="B90" s="3" t="s">
        <v>459</v>
      </c>
      <c r="D90" s="20">
        <v>4.1999333921927555E-29</v>
      </c>
      <c r="E90" s="20">
        <v>0.88242407740791462</v>
      </c>
      <c r="F90" s="20">
        <v>1.4774630138573237E-2</v>
      </c>
      <c r="G90" s="20">
        <v>4.6410064621092238E-3</v>
      </c>
      <c r="H90" s="20">
        <v>0</v>
      </c>
      <c r="I90" s="20">
        <v>0.86300844080723216</v>
      </c>
      <c r="J90" s="20">
        <v>5.9237062864121726E-4</v>
      </c>
      <c r="K90" s="20">
        <v>0.11698355196344412</v>
      </c>
      <c r="L90" s="20">
        <v>0</v>
      </c>
    </row>
    <row r="91" spans="1:12">
      <c r="A91" s="2" t="s">
        <v>460</v>
      </c>
      <c r="B91" s="3" t="s">
        <v>461</v>
      </c>
      <c r="D91" s="20">
        <v>4.9460518765179945E-8</v>
      </c>
      <c r="E91" s="20">
        <v>0.86323901756748689</v>
      </c>
      <c r="F91" s="20">
        <v>0.52291714578567849</v>
      </c>
      <c r="G91" s="20">
        <v>0.33699886438725374</v>
      </c>
      <c r="H91" s="20">
        <v>0</v>
      </c>
      <c r="I91" s="20">
        <v>3.3230073945546448E-3</v>
      </c>
      <c r="J91" s="20">
        <v>2.2172424122994871E-2</v>
      </c>
      <c r="K91" s="20">
        <v>0.11458850884899967</v>
      </c>
      <c r="L91" s="20">
        <v>0</v>
      </c>
    </row>
    <row r="92" spans="1:12">
      <c r="A92" s="2" t="s">
        <v>462</v>
      </c>
      <c r="B92" s="3" t="s">
        <v>463</v>
      </c>
      <c r="D92" s="20">
        <v>4.4163322480549316E-9</v>
      </c>
      <c r="E92" s="20">
        <v>0.68292501581850495</v>
      </c>
      <c r="F92" s="20">
        <v>0.41584927967115837</v>
      </c>
      <c r="G92" s="20">
        <v>9.0872297619127837E-2</v>
      </c>
      <c r="H92" s="20">
        <v>0</v>
      </c>
      <c r="I92" s="20">
        <v>0.17620343852821874</v>
      </c>
      <c r="J92" s="20">
        <v>5.8000531087046845E-3</v>
      </c>
      <c r="K92" s="20">
        <v>0.31127492665645795</v>
      </c>
      <c r="L92" s="20">
        <v>0</v>
      </c>
    </row>
    <row r="93" spans="1:12">
      <c r="A93" s="2" t="s">
        <v>464</v>
      </c>
      <c r="B93" s="3" t="s">
        <v>465</v>
      </c>
      <c r="D93" s="20">
        <v>1.9573725419830471E-4</v>
      </c>
      <c r="E93" s="20">
        <v>0.80296201307675608</v>
      </c>
      <c r="F93" s="20">
        <v>0.64261033599682127</v>
      </c>
      <c r="G93" s="20">
        <v>0.12163071563798293</v>
      </c>
      <c r="H93" s="20">
        <v>0</v>
      </c>
      <c r="I93" s="20">
        <v>3.8720961441951904E-2</v>
      </c>
      <c r="J93" s="20">
        <v>7.8012990425157689E-3</v>
      </c>
      <c r="K93" s="20">
        <v>0.18904095062652976</v>
      </c>
      <c r="L93" s="20">
        <v>0</v>
      </c>
    </row>
    <row r="94" spans="1:12">
      <c r="A94" s="2" t="s">
        <v>466</v>
      </c>
      <c r="B94" s="3" t="s">
        <v>467</v>
      </c>
      <c r="D94" s="20">
        <v>1.8335656188436933E-18</v>
      </c>
      <c r="E94" s="20">
        <v>0.99940484219604409</v>
      </c>
      <c r="F94" s="20">
        <v>0.10501292147148848</v>
      </c>
      <c r="G94" s="20">
        <v>1.3800068282865441E-5</v>
      </c>
      <c r="H94" s="20">
        <v>0</v>
      </c>
      <c r="I94" s="20">
        <v>0.89437812065627276</v>
      </c>
      <c r="J94" s="20">
        <v>4.3571905945715919E-4</v>
      </c>
      <c r="K94" s="20">
        <v>1.594387444988102E-4</v>
      </c>
      <c r="L94" s="20">
        <v>0</v>
      </c>
    </row>
    <row r="95" spans="1:12">
      <c r="A95" s="2" t="s">
        <v>468</v>
      </c>
      <c r="B95" s="3" t="s">
        <v>469</v>
      </c>
      <c r="D95" s="20">
        <v>2.0044327539060302E-18</v>
      </c>
      <c r="E95" s="20">
        <v>0.87472354941710995</v>
      </c>
      <c r="F95" s="20">
        <v>0.69496943679942691</v>
      </c>
      <c r="G95" s="20">
        <v>0.17193379969357919</v>
      </c>
      <c r="H95" s="20">
        <v>0</v>
      </c>
      <c r="I95" s="20">
        <v>7.820312924103897E-3</v>
      </c>
      <c r="J95" s="20">
        <v>1.1179538290843458E-2</v>
      </c>
      <c r="K95" s="20">
        <v>0.11409691229204659</v>
      </c>
      <c r="L95" s="20">
        <v>0</v>
      </c>
    </row>
    <row r="96" spans="1:12">
      <c r="A96" s="2" t="s">
        <v>470</v>
      </c>
      <c r="B96" s="163">
        <v>354656</v>
      </c>
      <c r="D96" s="20">
        <v>3.6846864950154908E-10</v>
      </c>
      <c r="E96" s="20">
        <v>0.96953583938778176</v>
      </c>
      <c r="F96" s="20">
        <v>9.823692448147675E-4</v>
      </c>
      <c r="G96" s="20">
        <v>3.7998837712252694E-4</v>
      </c>
      <c r="H96" s="20">
        <v>0</v>
      </c>
      <c r="I96" s="20">
        <v>0.9681734817658445</v>
      </c>
      <c r="J96" s="20">
        <v>3.6995050580203358E-4</v>
      </c>
      <c r="K96" s="20">
        <v>3.0094209737947471E-2</v>
      </c>
      <c r="L96" s="20">
        <v>0</v>
      </c>
    </row>
    <row r="97" spans="1:12">
      <c r="A97" s="2" t="s">
        <v>472</v>
      </c>
      <c r="B97" s="3" t="s">
        <v>473</v>
      </c>
      <c r="D97" s="20">
        <v>5.662553150384371E-10</v>
      </c>
      <c r="E97" s="20">
        <v>0.93673004386777337</v>
      </c>
      <c r="F97" s="20">
        <v>4.1829869178959655E-3</v>
      </c>
      <c r="G97" s="20">
        <v>1.4500469418343425E-3</v>
      </c>
      <c r="H97" s="20">
        <v>0</v>
      </c>
      <c r="I97" s="20">
        <v>0.93109701000804301</v>
      </c>
      <c r="J97" s="20">
        <v>4.2148806948476535E-4</v>
      </c>
      <c r="K97" s="20">
        <v>6.2848467496486593E-2</v>
      </c>
      <c r="L97" s="20">
        <v>0</v>
      </c>
    </row>
    <row r="98" spans="1:12">
      <c r="A98" s="2" t="s">
        <v>474</v>
      </c>
      <c r="B98" s="3" t="s">
        <v>475</v>
      </c>
      <c r="D98" s="20">
        <v>4.6458173539231673E-20</v>
      </c>
      <c r="E98" s="20">
        <v>0.8530897695270987</v>
      </c>
      <c r="F98" s="20">
        <v>0.70882062629909659</v>
      </c>
      <c r="G98" s="20">
        <v>0.12601780251666778</v>
      </c>
      <c r="H98" s="20">
        <v>0</v>
      </c>
      <c r="I98" s="20">
        <v>1.8251340711334364E-2</v>
      </c>
      <c r="J98" s="20">
        <v>8.1245903901653264E-3</v>
      </c>
      <c r="K98" s="20">
        <v>0.13878564008273597</v>
      </c>
      <c r="L98" s="20">
        <v>0</v>
      </c>
    </row>
    <row r="99" spans="1:12">
      <c r="A99" s="2" t="s">
        <v>476</v>
      </c>
      <c r="B99" s="3" t="s">
        <v>477</v>
      </c>
      <c r="D99" s="20">
        <v>1.7401542338461324E-7</v>
      </c>
      <c r="E99" s="20">
        <v>0.99127314558888346</v>
      </c>
      <c r="F99" s="20">
        <v>8.250152139980624E-5</v>
      </c>
      <c r="G99" s="20">
        <v>3.8366970906493459E-5</v>
      </c>
      <c r="H99" s="20">
        <v>0</v>
      </c>
      <c r="I99" s="20">
        <v>0.99115227709657716</v>
      </c>
      <c r="J99" s="20">
        <v>3.5774638753061609E-4</v>
      </c>
      <c r="K99" s="20">
        <v>8.368934008162545E-3</v>
      </c>
      <c r="L99" s="20">
        <v>0</v>
      </c>
    </row>
    <row r="100" spans="1:12">
      <c r="A100" s="2" t="s">
        <v>478</v>
      </c>
      <c r="B100" s="3" t="s">
        <v>479</v>
      </c>
      <c r="D100" s="20">
        <v>5.0948058541005446E-11</v>
      </c>
      <c r="E100" s="20">
        <v>0.67035246187289965</v>
      </c>
      <c r="F100" s="20">
        <v>0.20999156684999823</v>
      </c>
      <c r="G100" s="20">
        <v>5.1344911475306836E-2</v>
      </c>
      <c r="H100" s="20">
        <v>0</v>
      </c>
      <c r="I100" s="20">
        <v>0.40901598354759455</v>
      </c>
      <c r="J100" s="20">
        <v>3.3528227754371287E-3</v>
      </c>
      <c r="K100" s="20">
        <v>0.32629471530071519</v>
      </c>
      <c r="L100" s="20">
        <v>0</v>
      </c>
    </row>
    <row r="101" spans="1:12">
      <c r="A101" s="2" t="s">
        <v>480</v>
      </c>
      <c r="B101" s="3" t="s">
        <v>481</v>
      </c>
      <c r="D101" s="20">
        <v>4.6818773290726458E-11</v>
      </c>
      <c r="E101" s="20">
        <v>0.98562883286413006</v>
      </c>
      <c r="F101" s="20">
        <v>2.2299454812971283E-4</v>
      </c>
      <c r="G101" s="20">
        <v>9.6336264159273009E-5</v>
      </c>
      <c r="H101" s="20">
        <v>0</v>
      </c>
      <c r="I101" s="20">
        <v>0.98530950205184109</v>
      </c>
      <c r="J101" s="20">
        <v>3.5909279719976989E-4</v>
      </c>
      <c r="K101" s="20">
        <v>1.4012074291851568E-2</v>
      </c>
      <c r="L101" s="20">
        <v>0</v>
      </c>
    </row>
    <row r="102" spans="1:12">
      <c r="A102" s="2" t="s">
        <v>482</v>
      </c>
      <c r="B102" s="3" t="s">
        <v>483</v>
      </c>
      <c r="D102" s="20">
        <v>2.9428808390857519E-27</v>
      </c>
      <c r="E102" s="20">
        <v>0.99608385769090146</v>
      </c>
      <c r="F102" s="20">
        <v>1.5916475028474633E-5</v>
      </c>
      <c r="G102" s="20">
        <v>8.3587713905527814E-6</v>
      </c>
      <c r="H102" s="20">
        <v>0</v>
      </c>
      <c r="I102" s="20">
        <v>0.99605958244448245</v>
      </c>
      <c r="J102" s="20">
        <v>3.5773974797637153E-4</v>
      </c>
      <c r="K102" s="20">
        <v>3.5584025611221106E-3</v>
      </c>
      <c r="L102" s="20">
        <v>0</v>
      </c>
    </row>
    <row r="103" spans="1:12">
      <c r="A103" s="2" t="s">
        <v>484</v>
      </c>
      <c r="B103" s="3" t="s">
        <v>485</v>
      </c>
      <c r="D103" s="20">
        <v>2.3472400724721134E-13</v>
      </c>
      <c r="E103" s="20">
        <v>0.99153939318649831</v>
      </c>
      <c r="F103" s="20">
        <v>7.7523206175398853E-5</v>
      </c>
      <c r="G103" s="20">
        <v>3.6218234905980462E-5</v>
      </c>
      <c r="H103" s="20">
        <v>0</v>
      </c>
      <c r="I103" s="20">
        <v>0.99142565174541697</v>
      </c>
      <c r="J103" s="20">
        <v>3.5771740098335055E-4</v>
      </c>
      <c r="K103" s="20">
        <v>8.1028894122835166E-3</v>
      </c>
      <c r="L103" s="20">
        <v>0</v>
      </c>
    </row>
    <row r="104" spans="1:12">
      <c r="A104" s="2" t="s">
        <v>486</v>
      </c>
      <c r="B104" s="3" t="s">
        <v>487</v>
      </c>
      <c r="D104" s="20">
        <v>2.8885371013919472E-9</v>
      </c>
      <c r="E104" s="20">
        <v>0.95415790700555181</v>
      </c>
      <c r="F104" s="20">
        <v>2.202683837118012E-3</v>
      </c>
      <c r="G104" s="20">
        <v>8.0176615685226976E-4</v>
      </c>
      <c r="H104" s="20">
        <v>0</v>
      </c>
      <c r="I104" s="20">
        <v>0.95115345701158149</v>
      </c>
      <c r="J104" s="20">
        <v>3.8932056061220604E-4</v>
      </c>
      <c r="K104" s="20">
        <v>4.5452769545298873E-2</v>
      </c>
      <c r="L104" s="20">
        <v>0</v>
      </c>
    </row>
    <row r="105" spans="1:12">
      <c r="A105" s="2" t="s">
        <v>488</v>
      </c>
      <c r="B105" s="3" t="s">
        <v>489</v>
      </c>
      <c r="D105" s="20">
        <v>2.3404485107041568E-16</v>
      </c>
      <c r="E105" s="20">
        <v>0.99537475297370404</v>
      </c>
      <c r="F105" s="20">
        <v>2.2572169669019398E-5</v>
      </c>
      <c r="G105" s="20">
        <v>1.1552310718690891E-5</v>
      </c>
      <c r="H105" s="20">
        <v>0</v>
      </c>
      <c r="I105" s="20">
        <v>0.99534062849331628</v>
      </c>
      <c r="J105" s="20">
        <v>3.5766878652623412E-4</v>
      </c>
      <c r="K105" s="20">
        <v>4.2675782397695447E-3</v>
      </c>
      <c r="L105" s="20">
        <v>0</v>
      </c>
    </row>
    <row r="106" spans="1:12">
      <c r="A106" s="2" t="s">
        <v>490</v>
      </c>
      <c r="B106" s="3" t="s">
        <v>491</v>
      </c>
      <c r="D106" s="20">
        <v>1.2716296457376326E-8</v>
      </c>
      <c r="E106" s="20">
        <v>0.85431542725767717</v>
      </c>
      <c r="F106" s="20">
        <v>2.326134695348199E-2</v>
      </c>
      <c r="G106" s="20">
        <v>7.0425577088136229E-3</v>
      </c>
      <c r="H106" s="20">
        <v>0</v>
      </c>
      <c r="I106" s="20">
        <v>0.82401152259538157</v>
      </c>
      <c r="J106" s="20">
        <v>7.2627411372196474E-4</v>
      </c>
      <c r="K106" s="20">
        <v>0.14495828591230442</v>
      </c>
      <c r="L106" s="20">
        <v>0</v>
      </c>
    </row>
    <row r="107" spans="1:12">
      <c r="A107" s="2" t="s">
        <v>492</v>
      </c>
      <c r="B107" s="3" t="s">
        <v>493</v>
      </c>
      <c r="D107" s="20">
        <v>2.1832206297674803E-16</v>
      </c>
      <c r="E107" s="20">
        <v>0.86958911271264283</v>
      </c>
      <c r="F107" s="20">
        <v>0.72941021540461848</v>
      </c>
      <c r="G107" s="20">
        <v>0.12660982155631609</v>
      </c>
      <c r="H107" s="20">
        <v>0</v>
      </c>
      <c r="I107" s="20">
        <v>1.3569075751708293E-2</v>
      </c>
      <c r="J107" s="20">
        <v>8.1802637485043888E-3</v>
      </c>
      <c r="K107" s="20">
        <v>0.12223062353885239</v>
      </c>
      <c r="L107" s="20">
        <v>0</v>
      </c>
    </row>
    <row r="108" spans="1:12">
      <c r="A108" s="2" t="s">
        <v>291</v>
      </c>
      <c r="B108" s="3" t="s">
        <v>494</v>
      </c>
      <c r="D108" s="20">
        <v>2.9345902761505183E-10</v>
      </c>
      <c r="E108" s="20">
        <v>0.6841067993435278</v>
      </c>
      <c r="F108" s="20">
        <v>0.17038120642713347</v>
      </c>
      <c r="G108" s="20">
        <v>4.274814210530372E-2</v>
      </c>
      <c r="H108" s="20">
        <v>0</v>
      </c>
      <c r="I108" s="20">
        <v>0.4709774508110906</v>
      </c>
      <c r="J108" s="20">
        <v>2.8315466860886524E-3</v>
      </c>
      <c r="K108" s="20">
        <v>0.31306165367692435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3.6285047150321029E-9</v>
      </c>
      <c r="E2" s="14">
        <v>3.0905824372640047E-5</v>
      </c>
      <c r="F2" s="14">
        <v>1.4750335774709666E-6</v>
      </c>
      <c r="G2" s="14">
        <v>4.2963283182541689E-7</v>
      </c>
      <c r="H2" s="14">
        <v>0</v>
      </c>
      <c r="I2" s="14">
        <v>3.7460197392400863E-8</v>
      </c>
      <c r="J2" s="14">
        <v>7.1484205159561401E-6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1.3917492590681811E-7</v>
      </c>
      <c r="E3" s="14">
        <v>2.5403504861447576E-8</v>
      </c>
      <c r="F3" s="14">
        <v>9.419659703394735E-6</v>
      </c>
      <c r="G3" s="14">
        <v>2.5522944084922652E-5</v>
      </c>
      <c r="H3" s="14">
        <v>0</v>
      </c>
      <c r="I3" s="14">
        <v>1.7097682285484177E-6</v>
      </c>
      <c r="J3" s="14">
        <v>3.1830495523659335E-6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1.7598569565044834E-16</v>
      </c>
      <c r="E4" s="14">
        <v>1.4102951415918689E-5</v>
      </c>
      <c r="F4" s="14">
        <v>1.0021935056099631E-5</v>
      </c>
      <c r="G4" s="14">
        <v>2.3924735188806956E-6</v>
      </c>
      <c r="H4" s="14">
        <v>0</v>
      </c>
      <c r="I4" s="14">
        <v>1.5480002051787542E-7</v>
      </c>
      <c r="J4" s="14">
        <v>1.3327839988407127E-5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4.7608042790604059E-9</v>
      </c>
      <c r="E5" s="14">
        <v>2.7431715512439461E-7</v>
      </c>
      <c r="F5" s="14">
        <v>2.6813563951130422E-5</v>
      </c>
      <c r="G5" s="14">
        <v>7.7812630631377783E-6</v>
      </c>
      <c r="H5" s="14">
        <v>0</v>
      </c>
      <c r="I5" s="14">
        <v>5.0693797594987447E-7</v>
      </c>
      <c r="J5" s="14">
        <v>4.6191570503784759E-6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4.5407406801032581E-10</v>
      </c>
      <c r="E6" s="14">
        <v>1.1376255590289079E-8</v>
      </c>
      <c r="F6" s="14">
        <v>6.0159042468097438E-6</v>
      </c>
      <c r="G6" s="14">
        <v>2.9545848764511354E-5</v>
      </c>
      <c r="H6" s="14">
        <v>0</v>
      </c>
      <c r="I6" s="14">
        <v>1.9941616803532706E-6</v>
      </c>
      <c r="J6" s="14">
        <v>2.4322549786673442E-6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6.6959949782991998E-10</v>
      </c>
      <c r="E7" s="14">
        <v>2.2739858599920245E-8</v>
      </c>
      <c r="F7" s="14">
        <v>8.8815616385006725E-6</v>
      </c>
      <c r="G7" s="14">
        <v>2.6253359738098198E-5</v>
      </c>
      <c r="H7" s="14">
        <v>0</v>
      </c>
      <c r="I7" s="14">
        <v>1.7606278637716086E-6</v>
      </c>
      <c r="J7" s="14">
        <v>3.081041301531777E-6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6.3320355995579313E-9</v>
      </c>
      <c r="E8" s="14">
        <v>5.0717284018945375E-8</v>
      </c>
      <c r="F8" s="14">
        <v>1.3533731706405004E-5</v>
      </c>
      <c r="G8" s="14">
        <v>2.1130662724754143E-5</v>
      </c>
      <c r="H8" s="14">
        <v>0</v>
      </c>
      <c r="I8" s="14">
        <v>1.4057501939045958E-6</v>
      </c>
      <c r="J8" s="14">
        <v>3.8728060553177602E-6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4.0354979720883637E-9</v>
      </c>
      <c r="E9" s="14">
        <v>2.3624888852373815E-6</v>
      </c>
      <c r="F9" s="14">
        <v>2.3777782397891869E-5</v>
      </c>
      <c r="G9" s="14">
        <v>4.6694626256977868E-6</v>
      </c>
      <c r="H9" s="14">
        <v>0</v>
      </c>
      <c r="I9" s="14">
        <v>2.9873222050473569E-7</v>
      </c>
      <c r="J9" s="14">
        <v>8.8874983726961438E-6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6.1130386954675656E-11</v>
      </c>
      <c r="E10" s="14">
        <v>2.5495867028239988E-7</v>
      </c>
      <c r="F10" s="14">
        <v>2.6250124030649461E-5</v>
      </c>
      <c r="G10" s="14">
        <v>8.3104954324518369E-6</v>
      </c>
      <c r="H10" s="14">
        <v>0</v>
      </c>
      <c r="I10" s="14">
        <v>5.4199293150600344E-7</v>
      </c>
      <c r="J10" s="14">
        <v>4.6423678047233538E-6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3.1805908087067045E-9</v>
      </c>
      <c r="E11" s="14">
        <v>2.249678408453363E-7</v>
      </c>
      <c r="F11" s="14">
        <v>2.5257014552852906E-5</v>
      </c>
      <c r="G11" s="14">
        <v>9.2443753285732171E-6</v>
      </c>
      <c r="H11" s="14">
        <v>0</v>
      </c>
      <c r="I11" s="14">
        <v>6.0397318154945712E-7</v>
      </c>
      <c r="J11" s="14">
        <v>4.6664885053703857E-6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2.1110274361176552E-9</v>
      </c>
      <c r="E12" s="14">
        <v>1.516025541635766E-6</v>
      </c>
      <c r="F12" s="14">
        <v>2.5796934001310858E-5</v>
      </c>
      <c r="G12" s="14">
        <v>4.8737544860794543E-6</v>
      </c>
      <c r="H12" s="14">
        <v>0</v>
      </c>
      <c r="I12" s="14">
        <v>3.1264243707686345E-7</v>
      </c>
      <c r="J12" s="14">
        <v>7.498532506460942E-6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6.2808938908600383E-9</v>
      </c>
      <c r="E13" s="14">
        <v>2.2665958907764638E-6</v>
      </c>
      <c r="F13" s="14">
        <v>2.3982567274726123E-5</v>
      </c>
      <c r="G13" s="14">
        <v>4.6923589496258297E-6</v>
      </c>
      <c r="H13" s="14">
        <v>0</v>
      </c>
      <c r="I13" s="14">
        <v>3.0026654934355694E-7</v>
      </c>
      <c r="J13" s="14">
        <v>8.7519304416371786E-6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2.1135991590181587E-9</v>
      </c>
      <c r="E14" s="14">
        <v>1.4885905856264327E-7</v>
      </c>
      <c r="F14" s="14">
        <v>2.1857316567515621E-5</v>
      </c>
      <c r="G14" s="14">
        <v>1.2542739362057019E-5</v>
      </c>
      <c r="H14" s="14">
        <v>0</v>
      </c>
      <c r="I14" s="14">
        <v>8.2404285714066126E-7</v>
      </c>
      <c r="J14" s="14">
        <v>4.6249285555650437E-6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3.464187472805467E-12</v>
      </c>
      <c r="E15" s="14">
        <v>2.3961501425999093E-7</v>
      </c>
      <c r="F15" s="14">
        <v>2.5761764258524945E-5</v>
      </c>
      <c r="G15" s="14">
        <v>8.7694257867938677E-6</v>
      </c>
      <c r="H15" s="14">
        <v>0</v>
      </c>
      <c r="I15" s="14">
        <v>5.724322071653122E-7</v>
      </c>
      <c r="J15" s="14">
        <v>4.6567592690684127E-6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1.6453441339471122E-8</v>
      </c>
      <c r="E16" s="14">
        <v>5.2479463640404813E-8</v>
      </c>
      <c r="F16" s="14">
        <v>1.3763565756087822E-5</v>
      </c>
      <c r="G16" s="14">
        <v>2.0875001599751245E-5</v>
      </c>
      <c r="H16" s="14">
        <v>0</v>
      </c>
      <c r="I16" s="14">
        <v>1.3882359934714771E-6</v>
      </c>
      <c r="J16" s="14">
        <v>3.9042637457095859E-6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1.2226110925951765E-9</v>
      </c>
      <c r="E17" s="14">
        <v>2.6775708562084923E-7</v>
      </c>
      <c r="F17" s="14">
        <v>2.6629471459082256E-5</v>
      </c>
      <c r="G17" s="14">
        <v>7.9553282128433841E-6</v>
      </c>
      <c r="H17" s="14">
        <v>0</v>
      </c>
      <c r="I17" s="14">
        <v>5.1846164747271203E-7</v>
      </c>
      <c r="J17" s="14">
        <v>4.6277589838882089E-6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1.2129574277474818E-7</v>
      </c>
      <c r="E18" s="14">
        <v>2.8304676713005252E-6</v>
      </c>
      <c r="F18" s="14">
        <v>2.2746771930527483E-5</v>
      </c>
      <c r="G18" s="14">
        <v>4.5416674232198704E-6</v>
      </c>
      <c r="H18" s="14">
        <v>0</v>
      </c>
      <c r="I18" s="14">
        <v>2.9027737401294079E-7</v>
      </c>
      <c r="J18" s="14">
        <v>9.4695198581644391E-6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1.2140095393198499E-11</v>
      </c>
      <c r="E19" s="14">
        <v>2.3663268952685508E-7</v>
      </c>
      <c r="F19" s="14">
        <v>2.5662343519256876E-5</v>
      </c>
      <c r="G19" s="14">
        <v>8.8632269431822283E-6</v>
      </c>
      <c r="H19" s="14">
        <v>0</v>
      </c>
      <c r="I19" s="14">
        <v>5.7865822962439283E-7</v>
      </c>
      <c r="J19" s="14">
        <v>4.659126478314254E-6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9.5077845685924636E-10</v>
      </c>
      <c r="E20" s="14">
        <v>2.2668979686529426E-6</v>
      </c>
      <c r="F20" s="14">
        <v>2.3985763522907962E-5</v>
      </c>
      <c r="G20" s="14">
        <v>4.6929843181941508E-6</v>
      </c>
      <c r="H20" s="14">
        <v>0</v>
      </c>
      <c r="I20" s="14">
        <v>3.0030656701144925E-7</v>
      </c>
      <c r="J20" s="14">
        <v>8.7530968447766429E-6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1.7708948211586855E-8</v>
      </c>
      <c r="E21" s="14">
        <v>1.6845558276234739E-7</v>
      </c>
      <c r="F21" s="14">
        <v>2.2880577554340129E-5</v>
      </c>
      <c r="G21" s="14">
        <v>1.1522919772335703E-5</v>
      </c>
      <c r="H21" s="14">
        <v>0</v>
      </c>
      <c r="I21" s="14">
        <v>7.5581527078498328E-7</v>
      </c>
      <c r="J21" s="14">
        <v>4.6545228715652621E-6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7.839376792603924E-8</v>
      </c>
      <c r="E22" s="14">
        <v>2.2438518509691371E-5</v>
      </c>
      <c r="F22" s="14">
        <v>4.801265849332259E-6</v>
      </c>
      <c r="G22" s="14">
        <v>1.2521354438814131E-6</v>
      </c>
      <c r="H22" s="14">
        <v>0</v>
      </c>
      <c r="I22" s="14">
        <v>8.5745934231153628E-8</v>
      </c>
      <c r="J22" s="14">
        <v>1.1343940494937766E-5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3.3420271996170599E-9</v>
      </c>
      <c r="E23" s="14">
        <v>2.8383282561076786E-5</v>
      </c>
      <c r="F23" s="14">
        <v>2.2902568725537463E-6</v>
      </c>
      <c r="G23" s="14">
        <v>6.4177050033297243E-7</v>
      </c>
      <c r="H23" s="14">
        <v>0</v>
      </c>
      <c r="I23" s="14">
        <v>4.9726680904768675E-8</v>
      </c>
      <c r="J23" s="14">
        <v>8.6316213579321148E-6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2.883244676271417E-9</v>
      </c>
      <c r="E24" s="14">
        <v>6.9306527444370149E-6</v>
      </c>
      <c r="F24" s="14">
        <v>1.6770874679910377E-5</v>
      </c>
      <c r="G24" s="14">
        <v>3.6580637441027243E-6</v>
      </c>
      <c r="H24" s="14">
        <v>0</v>
      </c>
      <c r="I24" s="14">
        <v>2.3346440698955103E-7</v>
      </c>
      <c r="J24" s="14">
        <v>1.2404061179884064E-5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5.2697847438686403E-7</v>
      </c>
      <c r="E25" s="14">
        <v>8.2487001431106395E-7</v>
      </c>
      <c r="F25" s="14">
        <v>2.7571925143688285E-5</v>
      </c>
      <c r="G25" s="14">
        <v>4.9563577487319992E-6</v>
      </c>
      <c r="H25" s="14">
        <v>0</v>
      </c>
      <c r="I25" s="14">
        <v>3.192371190402181E-7</v>
      </c>
      <c r="J25" s="14">
        <v>5.8006314998415747E-6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1.4221565505587385E-8</v>
      </c>
      <c r="E26" s="14">
        <v>1.8264174447205906E-7</v>
      </c>
      <c r="F26" s="14">
        <v>2.3551665306071633E-5</v>
      </c>
      <c r="G26" s="14">
        <v>1.08721935765211E-5</v>
      </c>
      <c r="H26" s="14">
        <v>0</v>
      </c>
      <c r="I26" s="14">
        <v>7.1236371192746108E-7</v>
      </c>
      <c r="J26" s="14">
        <v>4.6669140955021696E-6</v>
      </c>
      <c r="K26" s="14">
        <v>0</v>
      </c>
    </row>
    <row r="27" spans="1:14">
      <c r="A27" s="2" t="s">
        <v>353</v>
      </c>
      <c r="B27" s="3" t="s">
        <v>354</v>
      </c>
      <c r="D27" s="14">
        <v>9.6513775108074526E-8</v>
      </c>
      <c r="E27" s="14">
        <v>2.7939713202135928E-8</v>
      </c>
      <c r="F27" s="14">
        <v>9.9211843183919366E-6</v>
      </c>
      <c r="G27" s="14">
        <v>2.5001097484816331E-5</v>
      </c>
      <c r="H27" s="14">
        <v>0</v>
      </c>
      <c r="I27" s="14">
        <v>1.673280868042845E-6</v>
      </c>
      <c r="J27" s="14">
        <v>3.2799838404386747E-6</v>
      </c>
      <c r="K27" s="14">
        <v>0</v>
      </c>
    </row>
    <row r="28" spans="1:14">
      <c r="A28" s="2" t="s">
        <v>355</v>
      </c>
      <c r="B28" s="3" t="s">
        <v>356</v>
      </c>
      <c r="D28" s="14">
        <v>5.3135391828846091E-9</v>
      </c>
      <c r="E28" s="14">
        <v>1.003498038781948E-7</v>
      </c>
      <c r="F28" s="14">
        <v>1.8614788337852634E-5</v>
      </c>
      <c r="G28" s="14">
        <v>1.5803513717572378E-5</v>
      </c>
      <c r="H28" s="14">
        <v>0</v>
      </c>
      <c r="I28" s="14">
        <v>1.0433555399252522E-6</v>
      </c>
      <c r="J28" s="14">
        <v>4.43267906158866E-6</v>
      </c>
      <c r="K28" s="14">
        <v>0</v>
      </c>
    </row>
    <row r="29" spans="1:14">
      <c r="A29" s="2" t="s">
        <v>357</v>
      </c>
      <c r="B29" s="3" t="s">
        <v>358</v>
      </c>
      <c r="D29" s="14">
        <v>1.0744149704129503E-6</v>
      </c>
      <c r="E29" s="14">
        <v>1.5104442197111388E-7</v>
      </c>
      <c r="F29" s="14">
        <v>2.1609577002724482E-5</v>
      </c>
      <c r="G29" s="14">
        <v>1.1872490239827487E-5</v>
      </c>
      <c r="H29" s="14">
        <v>0</v>
      </c>
      <c r="I29" s="14">
        <v>7.7958644197132907E-7</v>
      </c>
      <c r="J29" s="14">
        <v>4.5128869230926456E-6</v>
      </c>
      <c r="K29" s="14">
        <v>0</v>
      </c>
    </row>
    <row r="30" spans="1:14">
      <c r="A30" s="2" t="s">
        <v>359</v>
      </c>
      <c r="B30" s="3" t="s">
        <v>360</v>
      </c>
      <c r="D30" s="14">
        <v>5.3135391828846091E-9</v>
      </c>
      <c r="E30" s="14">
        <v>1.003498038781948E-7</v>
      </c>
      <c r="F30" s="14">
        <v>1.8614788337852634E-5</v>
      </c>
      <c r="G30" s="14">
        <v>1.5803513717572378E-5</v>
      </c>
      <c r="H30" s="14">
        <v>0</v>
      </c>
      <c r="I30" s="14">
        <v>1.0433555399252522E-6</v>
      </c>
      <c r="J30" s="14">
        <v>4.43267906158866E-6</v>
      </c>
      <c r="K30" s="14">
        <v>0</v>
      </c>
    </row>
    <row r="31" spans="1:14">
      <c r="A31" s="2" t="s">
        <v>283</v>
      </c>
      <c r="B31" s="3" t="s">
        <v>284</v>
      </c>
      <c r="D31" s="14">
        <v>1.0483450421184038E-12</v>
      </c>
      <c r="E31" s="14">
        <v>3.9017270651251413E-5</v>
      </c>
      <c r="F31" s="14">
        <v>2.400924263320137E-8</v>
      </c>
      <c r="G31" s="14">
        <v>9.6354946789418366E-9</v>
      </c>
      <c r="H31" s="14">
        <v>0</v>
      </c>
      <c r="I31" s="14">
        <v>1.4567767386910064E-8</v>
      </c>
      <c r="J31" s="14">
        <v>9.345157957044912E-7</v>
      </c>
      <c r="K31" s="14">
        <v>0</v>
      </c>
    </row>
    <row r="32" spans="1:14">
      <c r="A32" s="2" t="s">
        <v>361</v>
      </c>
      <c r="B32" s="3" t="s">
        <v>362</v>
      </c>
      <c r="D32" s="14">
        <v>8.5115812059650392E-13</v>
      </c>
      <c r="E32" s="14">
        <v>1.732563085869069E-5</v>
      </c>
      <c r="F32" s="14">
        <v>7.788656520617622E-6</v>
      </c>
      <c r="G32" s="14">
        <v>1.9203536417930864E-6</v>
      </c>
      <c r="H32" s="14">
        <v>0</v>
      </c>
      <c r="I32" s="14">
        <v>1.2746240045549991E-7</v>
      </c>
      <c r="J32" s="14">
        <v>1.2837895727284988E-5</v>
      </c>
      <c r="K32" s="14">
        <v>0</v>
      </c>
    </row>
    <row r="33" spans="1:11">
      <c r="A33" s="2" t="s">
        <v>364</v>
      </c>
      <c r="B33" s="3" t="s">
        <v>365</v>
      </c>
      <c r="D33" s="14">
        <v>4.8269330602157376E-15</v>
      </c>
      <c r="E33" s="14">
        <v>3.9815123734420067E-5</v>
      </c>
      <c r="F33" s="14">
        <v>1.6803108978279591E-7</v>
      </c>
      <c r="G33" s="14">
        <v>5.1382705365367427E-11</v>
      </c>
      <c r="H33" s="14">
        <v>0</v>
      </c>
      <c r="I33" s="14">
        <v>1.450961209029341E-8</v>
      </c>
      <c r="J33" s="14">
        <v>2.2841761745488643E-9</v>
      </c>
      <c r="K33" s="14">
        <v>0</v>
      </c>
    </row>
    <row r="34" spans="1:11">
      <c r="A34" s="2" t="s">
        <v>285</v>
      </c>
      <c r="B34" s="3" t="s">
        <v>286</v>
      </c>
      <c r="D34" s="14">
        <v>1.4347575551523101E-14</v>
      </c>
      <c r="E34" s="14">
        <v>2.1890964378514771E-5</v>
      </c>
      <c r="F34" s="14">
        <v>1.8074507344926321E-5</v>
      </c>
      <c r="G34" s="14">
        <v>1.4843659236243398E-9</v>
      </c>
      <c r="H34" s="14">
        <v>0</v>
      </c>
      <c r="I34" s="14">
        <v>2.5262570363532368E-8</v>
      </c>
      <c r="J34" s="14">
        <v>7.7813259241787242E-9</v>
      </c>
      <c r="K34" s="14">
        <v>0</v>
      </c>
    </row>
    <row r="35" spans="1:11">
      <c r="A35" s="2" t="s">
        <v>287</v>
      </c>
      <c r="B35" s="3" t="s">
        <v>288</v>
      </c>
      <c r="D35" s="14">
        <v>4.1788367044091071E-16</v>
      </c>
      <c r="E35" s="14">
        <v>1.2958424248269277E-5</v>
      </c>
      <c r="F35" s="14">
        <v>2.6988190599014551E-5</v>
      </c>
      <c r="G35" s="14">
        <v>5.2263812996886963E-9</v>
      </c>
      <c r="H35" s="14">
        <v>0</v>
      </c>
      <c r="I35" s="14">
        <v>2.9326021843674452E-8</v>
      </c>
      <c r="J35" s="14">
        <v>1.8832749154925777E-8</v>
      </c>
      <c r="K35" s="14">
        <v>0</v>
      </c>
    </row>
    <row r="36" spans="1:11">
      <c r="A36" s="2" t="s">
        <v>366</v>
      </c>
      <c r="B36" s="3" t="s">
        <v>305</v>
      </c>
      <c r="D36" s="14">
        <v>7.3666603896849324E-13</v>
      </c>
      <c r="E36" s="14">
        <v>4.322254177583572E-6</v>
      </c>
      <c r="F36" s="14">
        <v>3.5614912120049007E-5</v>
      </c>
      <c r="G36" s="14">
        <v>1.0197029144006968E-8</v>
      </c>
      <c r="H36" s="14">
        <v>0</v>
      </c>
      <c r="I36" s="14">
        <v>3.1589126042591457E-8</v>
      </c>
      <c r="J36" s="14">
        <v>2.1046810514786248E-8</v>
      </c>
      <c r="K36" s="14">
        <v>0</v>
      </c>
    </row>
    <row r="37" spans="1:11">
      <c r="A37" s="2" t="s">
        <v>289</v>
      </c>
      <c r="B37" s="3" t="s">
        <v>290</v>
      </c>
      <c r="D37" s="14">
        <v>1.6738855646851437E-19</v>
      </c>
      <c r="E37" s="14">
        <v>8.3096859571615436E-6</v>
      </c>
      <c r="F37" s="14">
        <v>2.7832113409738025E-5</v>
      </c>
      <c r="G37" s="14">
        <v>9.5020144468083224E-7</v>
      </c>
      <c r="H37" s="14">
        <v>0</v>
      </c>
      <c r="I37" s="14">
        <v>8.3585439425180848E-8</v>
      </c>
      <c r="J37" s="14">
        <v>2.8244137489942561E-6</v>
      </c>
      <c r="K37" s="14">
        <v>0</v>
      </c>
    </row>
    <row r="38" spans="1:11">
      <c r="A38" s="2" t="s">
        <v>291</v>
      </c>
      <c r="B38" s="3" t="s">
        <v>292</v>
      </c>
      <c r="D38" s="14">
        <v>4.8296456529604402E-17</v>
      </c>
      <c r="E38" s="14">
        <v>2.451427769878968E-5</v>
      </c>
      <c r="F38" s="14">
        <v>1.5373072517243746E-5</v>
      </c>
      <c r="G38" s="14">
        <v>1.284333242327226E-8</v>
      </c>
      <c r="H38" s="14">
        <v>0</v>
      </c>
      <c r="I38" s="14">
        <v>2.4541921476042572E-8</v>
      </c>
      <c r="J38" s="14">
        <v>7.526453001896771E-8</v>
      </c>
      <c r="K38" s="14">
        <v>0</v>
      </c>
    </row>
    <row r="39" spans="1:11">
      <c r="A39" s="2" t="s">
        <v>367</v>
      </c>
      <c r="B39" s="3" t="s">
        <v>368</v>
      </c>
      <c r="D39" s="14">
        <v>5.7717523748838824E-10</v>
      </c>
      <c r="E39" s="14">
        <v>4.1113110062561882E-7</v>
      </c>
      <c r="F39" s="14">
        <v>2.9681230746112009E-5</v>
      </c>
      <c r="G39" s="14">
        <v>5.1841488242513267E-6</v>
      </c>
      <c r="H39" s="14">
        <v>0</v>
      </c>
      <c r="I39" s="14">
        <v>3.3568530265456458E-7</v>
      </c>
      <c r="J39" s="14">
        <v>4.3872268511189965E-6</v>
      </c>
      <c r="K39" s="14">
        <v>0</v>
      </c>
    </row>
    <row r="40" spans="1:11">
      <c r="A40" s="2" t="s">
        <v>369</v>
      </c>
      <c r="B40" s="3" t="s">
        <v>370</v>
      </c>
      <c r="D40" s="14">
        <v>3.5377249482005768E-17</v>
      </c>
      <c r="E40" s="14">
        <v>3.8570216889200514E-8</v>
      </c>
      <c r="F40" s="14">
        <v>3.5191165890448163E-5</v>
      </c>
      <c r="G40" s="14">
        <v>2.5459743987806933E-6</v>
      </c>
      <c r="H40" s="14">
        <v>0</v>
      </c>
      <c r="I40" s="14">
        <v>2.1135846400238001E-6</v>
      </c>
      <c r="J40" s="14">
        <v>1.1070485382276614E-7</v>
      </c>
      <c r="K40" s="14">
        <v>0</v>
      </c>
    </row>
    <row r="41" spans="1:11">
      <c r="A41" s="2" t="s">
        <v>371</v>
      </c>
      <c r="B41" s="3" t="s">
        <v>372</v>
      </c>
      <c r="D41" s="14">
        <v>3.2711997847496802E-6</v>
      </c>
      <c r="E41" s="14">
        <v>3.6530844283286008E-5</v>
      </c>
      <c r="F41" s="14">
        <v>1.118359120449897E-9</v>
      </c>
      <c r="G41" s="14">
        <v>5.5985664753573221E-10</v>
      </c>
      <c r="H41" s="14">
        <v>0</v>
      </c>
      <c r="I41" s="14">
        <v>1.3135076392355808E-8</v>
      </c>
      <c r="J41" s="14">
        <v>1.8314263980397503E-7</v>
      </c>
      <c r="K41" s="14">
        <v>0</v>
      </c>
    </row>
    <row r="42" spans="1:11">
      <c r="A42" s="2" t="s">
        <v>293</v>
      </c>
      <c r="B42" s="3" t="s">
        <v>294</v>
      </c>
      <c r="D42" s="14">
        <v>6.9967217331993592E-13</v>
      </c>
      <c r="E42" s="14">
        <v>2.0944367156047296E-5</v>
      </c>
      <c r="F42" s="14">
        <v>5.6126610622756475E-6</v>
      </c>
      <c r="G42" s="14">
        <v>1.4396746983371495E-6</v>
      </c>
      <c r="H42" s="14">
        <v>0</v>
      </c>
      <c r="I42" s="14">
        <v>9.6991405819061932E-8</v>
      </c>
      <c r="J42" s="14">
        <v>1.1906304977848672E-5</v>
      </c>
      <c r="K42" s="14">
        <v>0</v>
      </c>
    </row>
    <row r="43" spans="1:11">
      <c r="A43" s="2" t="s">
        <v>373</v>
      </c>
      <c r="B43" s="3" t="s">
        <v>374</v>
      </c>
      <c r="D43" s="14">
        <v>1.7227633780498211E-12</v>
      </c>
      <c r="E43" s="14">
        <v>3.5213074029156346E-7</v>
      </c>
      <c r="F43" s="14">
        <v>3.9533522652090019E-5</v>
      </c>
      <c r="G43" s="14">
        <v>3.3380084789185175E-8</v>
      </c>
      <c r="H43" s="14">
        <v>0</v>
      </c>
      <c r="I43" s="14">
        <v>6.4114793825232932E-8</v>
      </c>
      <c r="J43" s="14">
        <v>1.6850006240612339E-8</v>
      </c>
      <c r="K43" s="14">
        <v>0</v>
      </c>
    </row>
    <row r="44" spans="1:11">
      <c r="A44" s="2" t="s">
        <v>375</v>
      </c>
      <c r="B44" s="3" t="s">
        <v>376</v>
      </c>
      <c r="D44" s="14">
        <v>3.4042462211036542E-6</v>
      </c>
      <c r="E44" s="14">
        <v>3.0467274441998954E-5</v>
      </c>
      <c r="F44" s="14">
        <v>7.7820708234735898E-7</v>
      </c>
      <c r="G44" s="14">
        <v>2.3735081882412814E-7</v>
      </c>
      <c r="H44" s="14">
        <v>0</v>
      </c>
      <c r="I44" s="14">
        <v>2.5433822219451252E-8</v>
      </c>
      <c r="J44" s="14">
        <v>5.0874876135064536E-6</v>
      </c>
      <c r="K44" s="14">
        <v>0</v>
      </c>
    </row>
    <row r="45" spans="1:11">
      <c r="A45" s="2" t="s">
        <v>377</v>
      </c>
      <c r="B45" s="3" t="s">
        <v>378</v>
      </c>
      <c r="D45" s="14">
        <v>2.6611199210324779E-8</v>
      </c>
      <c r="E45" s="14">
        <v>1.9532466433841311E-5</v>
      </c>
      <c r="F45" s="14">
        <v>6.3934998744231235E-6</v>
      </c>
      <c r="G45" s="14">
        <v>1.6159734321241166E-6</v>
      </c>
      <c r="H45" s="14">
        <v>0</v>
      </c>
      <c r="I45" s="14">
        <v>1.0758648231770869E-7</v>
      </c>
      <c r="J45" s="14">
        <v>1.232386257808342E-5</v>
      </c>
      <c r="K45" s="14">
        <v>0</v>
      </c>
    </row>
    <row r="46" spans="1:11">
      <c r="A46" s="2" t="s">
        <v>379</v>
      </c>
      <c r="B46" s="3" t="s">
        <v>380</v>
      </c>
      <c r="D46" s="14">
        <v>8.0028967507633047E-8</v>
      </c>
      <c r="E46" s="14">
        <v>2.0381674167928348E-5</v>
      </c>
      <c r="F46" s="14">
        <v>5.887371332086485E-6</v>
      </c>
      <c r="G46" s="14">
        <v>1.5018168896203033E-6</v>
      </c>
      <c r="H46" s="14">
        <v>0</v>
      </c>
      <c r="I46" s="14">
        <v>1.0070206021449412E-7</v>
      </c>
      <c r="J46" s="14">
        <v>1.2048406582642746E-5</v>
      </c>
      <c r="K46" s="14">
        <v>0</v>
      </c>
    </row>
    <row r="47" spans="1:11">
      <c r="A47" s="2" t="s">
        <v>381</v>
      </c>
      <c r="B47" s="3" t="s">
        <v>382</v>
      </c>
      <c r="D47" s="14">
        <v>1.6408719402584894E-12</v>
      </c>
      <c r="E47" s="14">
        <v>2.5492200697933541E-8</v>
      </c>
      <c r="F47" s="14">
        <v>9.4525482595747775E-6</v>
      </c>
      <c r="G47" s="14">
        <v>2.5612056941103066E-5</v>
      </c>
      <c r="H47" s="14">
        <v>0</v>
      </c>
      <c r="I47" s="14">
        <v>1.7157378506165271E-6</v>
      </c>
      <c r="J47" s="14">
        <v>3.1941631071357645E-6</v>
      </c>
      <c r="K47" s="14">
        <v>0</v>
      </c>
    </row>
    <row r="48" spans="1:11">
      <c r="A48" s="2" t="s">
        <v>383</v>
      </c>
      <c r="B48" s="3" t="s">
        <v>384</v>
      </c>
      <c r="D48" s="14">
        <v>4.7069192573366376E-7</v>
      </c>
      <c r="E48" s="14">
        <v>3.6113484050281802E-5</v>
      </c>
      <c r="F48" s="14">
        <v>2.5131069045893204E-7</v>
      </c>
      <c r="G48" s="14">
        <v>8.4354162653141819E-8</v>
      </c>
      <c r="H48" s="14">
        <v>0</v>
      </c>
      <c r="I48" s="14">
        <v>1.8060723510486203E-8</v>
      </c>
      <c r="J48" s="14">
        <v>3.0620984473619781E-6</v>
      </c>
      <c r="K48" s="14">
        <v>0</v>
      </c>
    </row>
    <row r="49" spans="1:11">
      <c r="A49" s="2" t="s">
        <v>385</v>
      </c>
      <c r="B49" s="3" t="s">
        <v>386</v>
      </c>
      <c r="D49" s="14">
        <v>8.7880935284973763E-7</v>
      </c>
      <c r="E49" s="14">
        <v>3.4460955174678744E-5</v>
      </c>
      <c r="F49" s="14">
        <v>4.4809374873681964E-7</v>
      </c>
      <c r="G49" s="14">
        <v>1.4363637646156881E-7</v>
      </c>
      <c r="H49" s="14">
        <v>0</v>
      </c>
      <c r="I49" s="14">
        <v>2.1096551746601683E-8</v>
      </c>
      <c r="J49" s="14">
        <v>4.0474087955265295E-6</v>
      </c>
      <c r="K49" s="14">
        <v>0</v>
      </c>
    </row>
    <row r="50" spans="1:11">
      <c r="A50" s="2" t="s">
        <v>387</v>
      </c>
      <c r="B50" s="3" t="s">
        <v>388</v>
      </c>
      <c r="D50" s="14">
        <v>2.61995874902527E-7</v>
      </c>
      <c r="E50" s="14">
        <v>2.9956225698147315E-6</v>
      </c>
      <c r="F50" s="14">
        <v>2.2334110902437604E-5</v>
      </c>
      <c r="G50" s="14">
        <v>4.4839857496610894E-6</v>
      </c>
      <c r="H50" s="14">
        <v>0</v>
      </c>
      <c r="I50" s="14">
        <v>2.8650832612649718E-7</v>
      </c>
      <c r="J50" s="14">
        <v>9.6377765770575486E-6</v>
      </c>
      <c r="K50" s="14">
        <v>0</v>
      </c>
    </row>
    <row r="51" spans="1:11">
      <c r="A51" s="2" t="s">
        <v>295</v>
      </c>
      <c r="B51" s="3" t="s">
        <v>296</v>
      </c>
      <c r="D51" s="14">
        <v>2.6212289475821667E-6</v>
      </c>
      <c r="E51" s="14">
        <v>3.6125810211520877E-5</v>
      </c>
      <c r="F51" s="14">
        <v>4.051157895729031E-8</v>
      </c>
      <c r="G51" s="14">
        <v>1.5555168707142607E-8</v>
      </c>
      <c r="H51" s="14">
        <v>0</v>
      </c>
      <c r="I51" s="14">
        <v>1.3886979227450677E-8</v>
      </c>
      <c r="J51" s="14">
        <v>1.1830071140050777E-6</v>
      </c>
      <c r="K51" s="14">
        <v>0</v>
      </c>
    </row>
    <row r="52" spans="1:11">
      <c r="A52" s="2" t="s">
        <v>389</v>
      </c>
      <c r="B52" s="3" t="s">
        <v>390</v>
      </c>
      <c r="D52" s="14">
        <v>2.7556505100811152E-6</v>
      </c>
      <c r="E52" s="14">
        <v>2.8879972621236377E-5</v>
      </c>
      <c r="F52" s="14">
        <v>1.3443066639433551E-6</v>
      </c>
      <c r="G52" s="14">
        <v>3.9227795886657561E-7</v>
      </c>
      <c r="H52" s="14">
        <v>0</v>
      </c>
      <c r="I52" s="14">
        <v>3.4436065736494276E-8</v>
      </c>
      <c r="J52" s="14">
        <v>6.5933561801360861E-6</v>
      </c>
      <c r="K52" s="14">
        <v>0</v>
      </c>
    </row>
    <row r="53" spans="1:11">
      <c r="A53" s="2" t="s">
        <v>391</v>
      </c>
      <c r="B53" s="3" t="s">
        <v>392</v>
      </c>
      <c r="D53" s="14">
        <v>7.851460278018488E-8</v>
      </c>
      <c r="E53" s="14">
        <v>1.5105777323816544E-5</v>
      </c>
      <c r="F53" s="14">
        <v>9.2389933123512411E-6</v>
      </c>
      <c r="G53" s="14">
        <v>2.2300787947075414E-6</v>
      </c>
      <c r="H53" s="14">
        <v>0</v>
      </c>
      <c r="I53" s="14">
        <v>1.448454042315087E-7</v>
      </c>
      <c r="J53" s="14">
        <v>1.3201790562112975E-5</v>
      </c>
      <c r="K53" s="14">
        <v>0</v>
      </c>
    </row>
    <row r="54" spans="1:11">
      <c r="A54" s="2" t="s">
        <v>393</v>
      </c>
      <c r="B54" s="3" t="s">
        <v>394</v>
      </c>
      <c r="D54" s="14">
        <v>7.566469952115281E-9</v>
      </c>
      <c r="E54" s="14">
        <v>3.5588194242829804E-8</v>
      </c>
      <c r="F54" s="14">
        <v>1.1291913083958433E-5</v>
      </c>
      <c r="G54" s="14">
        <v>2.3564763312613698E-5</v>
      </c>
      <c r="H54" s="14">
        <v>0</v>
      </c>
      <c r="I54" s="14">
        <v>1.5734105136732569E-6</v>
      </c>
      <c r="J54" s="14">
        <v>3.5267584255596674E-6</v>
      </c>
      <c r="K54" s="14">
        <v>0</v>
      </c>
    </row>
    <row r="55" spans="1:11">
      <c r="A55" s="2" t="s">
        <v>395</v>
      </c>
      <c r="B55" s="3" t="s">
        <v>396</v>
      </c>
      <c r="D55" s="14">
        <v>5.2987494647373579E-6</v>
      </c>
      <c r="E55" s="14">
        <v>5.4288273002682417E-6</v>
      </c>
      <c r="F55" s="14">
        <v>1.5263270486532924E-5</v>
      </c>
      <c r="G55" s="14">
        <v>3.2926317068361431E-6</v>
      </c>
      <c r="H55" s="14">
        <v>0</v>
      </c>
      <c r="I55" s="14">
        <v>2.1007615920218791E-7</v>
      </c>
      <c r="J55" s="14">
        <v>1.0506444882423146E-5</v>
      </c>
      <c r="K55" s="14">
        <v>0</v>
      </c>
    </row>
    <row r="56" spans="1:11">
      <c r="A56" s="2" t="s">
        <v>397</v>
      </c>
      <c r="B56" s="3" t="s">
        <v>398</v>
      </c>
      <c r="D56" s="14">
        <v>2.4093161935895958E-5</v>
      </c>
      <c r="E56" s="14">
        <v>6.4311174370095424E-7</v>
      </c>
      <c r="F56" s="14">
        <v>1.0152383498182153E-5</v>
      </c>
      <c r="G56" s="14">
        <v>1.9286950678982948E-6</v>
      </c>
      <c r="H56" s="14">
        <v>0</v>
      </c>
      <c r="I56" s="14">
        <v>1.2367083287995968E-7</v>
      </c>
      <c r="J56" s="14">
        <v>3.0589769214426805E-6</v>
      </c>
      <c r="K56" s="14">
        <v>0</v>
      </c>
    </row>
    <row r="57" spans="1:11">
      <c r="A57" s="2" t="s">
        <v>399</v>
      </c>
      <c r="B57" s="3" t="s">
        <v>400</v>
      </c>
      <c r="D57" s="14">
        <v>3.0625322346351467E-5</v>
      </c>
      <c r="E57" s="14">
        <v>1.1636793003711608E-6</v>
      </c>
      <c r="F57" s="14">
        <v>4.5285053321736996E-6</v>
      </c>
      <c r="G57" s="14">
        <v>9.5378489180746721E-7</v>
      </c>
      <c r="H57" s="14">
        <v>0</v>
      </c>
      <c r="I57" s="14">
        <v>6.0847921725788738E-8</v>
      </c>
      <c r="J57" s="14">
        <v>2.6678602075704107E-6</v>
      </c>
      <c r="K57" s="14">
        <v>0</v>
      </c>
    </row>
    <row r="58" spans="1:11">
      <c r="A58" s="2" t="s">
        <v>297</v>
      </c>
      <c r="B58" s="3" t="s">
        <v>298</v>
      </c>
      <c r="D58" s="14">
        <v>3.7263267273235762E-5</v>
      </c>
      <c r="E58" s="14">
        <v>2.366538488597802E-6</v>
      </c>
      <c r="F58" s="14">
        <v>3.9514377668471656E-8</v>
      </c>
      <c r="G58" s="14">
        <v>1.2435140649368531E-8</v>
      </c>
      <c r="H58" s="14">
        <v>0</v>
      </c>
      <c r="I58" s="14">
        <v>1.6065021265259682E-9</v>
      </c>
      <c r="J58" s="14">
        <v>3.1663821772207081E-7</v>
      </c>
      <c r="K58" s="14">
        <v>0</v>
      </c>
    </row>
    <row r="59" spans="1:11">
      <c r="A59" s="2" t="s">
        <v>401</v>
      </c>
      <c r="B59" s="3" t="s">
        <v>402</v>
      </c>
      <c r="D59" s="14">
        <v>3.6345599332963804E-5</v>
      </c>
      <c r="E59" s="14">
        <v>4.7905400493765627E-7</v>
      </c>
      <c r="F59" s="14">
        <v>1.7295218361487984E-6</v>
      </c>
      <c r="G59" s="14">
        <v>3.6628708408309964E-7</v>
      </c>
      <c r="H59" s="14">
        <v>0</v>
      </c>
      <c r="I59" s="14">
        <v>2.3366749377127718E-8</v>
      </c>
      <c r="J59" s="14">
        <v>1.0561709924895164E-6</v>
      </c>
      <c r="K59" s="14">
        <v>0</v>
      </c>
    </row>
    <row r="60" spans="1:11">
      <c r="A60" s="2" t="s">
        <v>299</v>
      </c>
      <c r="B60" s="3" t="s">
        <v>300</v>
      </c>
      <c r="D60" s="14">
        <v>3.9921287378581401E-5</v>
      </c>
      <c r="E60" s="14">
        <v>1.791089048792045E-8</v>
      </c>
      <c r="F60" s="14">
        <v>2.8332099140630012E-8</v>
      </c>
      <c r="G60" s="14">
        <v>6.3763817219830167E-9</v>
      </c>
      <c r="H60" s="14">
        <v>0</v>
      </c>
      <c r="I60" s="14">
        <v>4.0781426605924907E-10</v>
      </c>
      <c r="J60" s="14">
        <v>2.5685435802002245E-8</v>
      </c>
      <c r="K60" s="14">
        <v>0</v>
      </c>
    </row>
    <row r="61" spans="1:11">
      <c r="A61" s="2" t="s">
        <v>403</v>
      </c>
      <c r="B61" s="3" t="s">
        <v>404</v>
      </c>
      <c r="D61" s="14">
        <v>1.7822176627159665E-48</v>
      </c>
      <c r="E61" s="14">
        <v>1.1318096279033297E-5</v>
      </c>
      <c r="F61" s="14">
        <v>1.2303678047074727E-5</v>
      </c>
      <c r="G61" s="14">
        <v>2.8466266684662643E-6</v>
      </c>
      <c r="H61" s="14">
        <v>0</v>
      </c>
      <c r="I61" s="14">
        <v>1.8277078860438886E-7</v>
      </c>
      <c r="J61" s="14">
        <v>1.3348828216821332E-5</v>
      </c>
      <c r="K61" s="14">
        <v>0</v>
      </c>
    </row>
    <row r="62" spans="1:11">
      <c r="A62" s="2" t="s">
        <v>405</v>
      </c>
      <c r="B62" s="3" t="s">
        <v>406</v>
      </c>
      <c r="D62" s="14">
        <v>4.2367448286905983E-12</v>
      </c>
      <c r="E62" s="14">
        <v>1.530752398516072E-7</v>
      </c>
      <c r="F62" s="14">
        <v>2.2090549697976384E-5</v>
      </c>
      <c r="G62" s="14">
        <v>1.2314083050417066E-5</v>
      </c>
      <c r="H62" s="14">
        <v>0</v>
      </c>
      <c r="I62" s="14">
        <v>8.0872865230019615E-7</v>
      </c>
      <c r="J62" s="14">
        <v>4.6335591227099277E-6</v>
      </c>
      <c r="K62" s="14">
        <v>0</v>
      </c>
    </row>
    <row r="63" spans="1:11">
      <c r="A63" s="2" t="s">
        <v>407</v>
      </c>
      <c r="B63" s="3" t="s">
        <v>408</v>
      </c>
      <c r="D63" s="14">
        <v>1.0099651365629585E-9</v>
      </c>
      <c r="E63" s="14">
        <v>1.3924481195169545E-8</v>
      </c>
      <c r="F63" s="14">
        <v>6.7527488453451284E-6</v>
      </c>
      <c r="G63" s="14">
        <v>2.8686406791723363E-5</v>
      </c>
      <c r="H63" s="14">
        <v>0</v>
      </c>
      <c r="I63" s="14">
        <v>1.9326128362641573E-6</v>
      </c>
      <c r="J63" s="14">
        <v>2.6132970803356207E-6</v>
      </c>
      <c r="K63" s="14">
        <v>0</v>
      </c>
    </row>
    <row r="64" spans="1:11">
      <c r="A64" s="2" t="s">
        <v>409</v>
      </c>
      <c r="B64" s="3" t="s">
        <v>410</v>
      </c>
      <c r="D64" s="14">
        <v>1.2505009247367355E-10</v>
      </c>
      <c r="E64" s="14">
        <v>4.8249926686285064E-9</v>
      </c>
      <c r="F64" s="14">
        <v>3.6388003860588012E-6</v>
      </c>
      <c r="G64" s="14">
        <v>3.2393195157051218E-5</v>
      </c>
      <c r="H64" s="14">
        <v>0</v>
      </c>
      <c r="I64" s="14">
        <v>2.2028365751891752E-6</v>
      </c>
      <c r="J64" s="14">
        <v>1.7602178389397098E-6</v>
      </c>
      <c r="K64" s="14">
        <v>0</v>
      </c>
    </row>
    <row r="65" spans="1:11">
      <c r="A65" s="2" t="s">
        <v>301</v>
      </c>
      <c r="B65" s="3" t="s">
        <v>302</v>
      </c>
      <c r="D65" s="14">
        <v>1.5451756302607239E-11</v>
      </c>
      <c r="E65" s="14">
        <v>1.3549101325611106E-9</v>
      </c>
      <c r="F65" s="14">
        <v>1.6883095027997195E-6</v>
      </c>
      <c r="G65" s="14">
        <v>3.4861624466982922E-5</v>
      </c>
      <c r="H65" s="14">
        <v>0</v>
      </c>
      <c r="I65" s="14">
        <v>2.3961032176845885E-6</v>
      </c>
      <c r="J65" s="14">
        <v>1.0525924506438956E-6</v>
      </c>
      <c r="K65" s="14">
        <v>0</v>
      </c>
    </row>
    <row r="66" spans="1:11">
      <c r="A66" s="2" t="s">
        <v>303</v>
      </c>
      <c r="B66" s="3" t="s">
        <v>304</v>
      </c>
      <c r="D66" s="14">
        <v>1.4914270603834714E-17</v>
      </c>
      <c r="E66" s="14">
        <v>2.8087601782725475E-9</v>
      </c>
      <c r="F66" s="14">
        <v>2.6301240562436542E-6</v>
      </c>
      <c r="G66" s="14">
        <v>3.3648971081825602E-5</v>
      </c>
      <c r="H66" s="14">
        <v>0</v>
      </c>
      <c r="I66" s="14">
        <v>2.2987627125952602E-6</v>
      </c>
      <c r="J66" s="14">
        <v>1.4193333891423134E-6</v>
      </c>
      <c r="K66" s="14">
        <v>0</v>
      </c>
    </row>
    <row r="67" spans="1:11">
      <c r="A67" s="2" t="s">
        <v>411</v>
      </c>
      <c r="B67" s="3" t="s">
        <v>412</v>
      </c>
      <c r="D67" s="14">
        <v>1.8617161215220126E-7</v>
      </c>
      <c r="E67" s="14">
        <v>3.2452346180475542E-5</v>
      </c>
      <c r="F67" s="14">
        <v>1.0124828472056985E-6</v>
      </c>
      <c r="G67" s="14">
        <v>3.0428688182296874E-7</v>
      </c>
      <c r="H67" s="14">
        <v>0</v>
      </c>
      <c r="I67" s="14">
        <v>3.026328792923905E-8</v>
      </c>
      <c r="J67" s="14">
        <v>6.0144491904143561E-6</v>
      </c>
      <c r="K67" s="14">
        <v>0</v>
      </c>
    </row>
    <row r="68" spans="1:11">
      <c r="A68" s="2" t="s">
        <v>413</v>
      </c>
      <c r="B68" s="3" t="s">
        <v>414</v>
      </c>
      <c r="D68" s="14">
        <v>3.9934405996589452E-7</v>
      </c>
      <c r="E68" s="14">
        <v>2.9588290192823373E-5</v>
      </c>
      <c r="F68" s="14">
        <v>1.7685667011999065E-6</v>
      </c>
      <c r="G68" s="14">
        <v>5.0666044377237719E-7</v>
      </c>
      <c r="H68" s="14">
        <v>0</v>
      </c>
      <c r="I68" s="14">
        <v>4.176640848614058E-8</v>
      </c>
      <c r="J68" s="14">
        <v>7.6953721937523079E-6</v>
      </c>
      <c r="K68" s="14">
        <v>0</v>
      </c>
    </row>
    <row r="69" spans="1:11">
      <c r="A69" s="2" t="s">
        <v>415</v>
      </c>
      <c r="B69" s="3" t="s">
        <v>416</v>
      </c>
      <c r="D69" s="14">
        <v>4.8751424280120824E-8</v>
      </c>
      <c r="E69" s="14">
        <v>5.5195026826742618E-8</v>
      </c>
      <c r="F69" s="14">
        <v>1.410462431933049E-5</v>
      </c>
      <c r="G69" s="14">
        <v>2.0481279226542708E-5</v>
      </c>
      <c r="H69" s="14">
        <v>0</v>
      </c>
      <c r="I69" s="14">
        <v>1.3613084412667273E-6</v>
      </c>
      <c r="J69" s="14">
        <v>3.9488415617532127E-6</v>
      </c>
      <c r="K69" s="14">
        <v>0</v>
      </c>
    </row>
    <row r="70" spans="1:11">
      <c r="A70" s="2" t="s">
        <v>417</v>
      </c>
      <c r="B70" s="3" t="s">
        <v>418</v>
      </c>
      <c r="D70" s="14">
        <v>1.2675991749071715E-7</v>
      </c>
      <c r="E70" s="14">
        <v>1.0188601783734226E-6</v>
      </c>
      <c r="F70" s="14">
        <v>2.7192939892625734E-5</v>
      </c>
      <c r="G70" s="14">
        <v>4.969946550199977E-6</v>
      </c>
      <c r="H70" s="14">
        <v>0</v>
      </c>
      <c r="I70" s="14">
        <v>3.1966099191549262E-7</v>
      </c>
      <c r="J70" s="14">
        <v>6.3718324693946636E-6</v>
      </c>
      <c r="K70" s="14">
        <v>0</v>
      </c>
    </row>
    <row r="71" spans="1:11">
      <c r="A71" s="2" t="s">
        <v>419</v>
      </c>
      <c r="B71" s="3" t="s">
        <v>420</v>
      </c>
      <c r="D71" s="14">
        <v>9.8038018730433172E-7</v>
      </c>
      <c r="E71" s="14">
        <v>2.9607870086333501E-5</v>
      </c>
      <c r="F71" s="14">
        <v>1.6012853885924885E-6</v>
      </c>
      <c r="G71" s="14">
        <v>4.6213014231962646E-7</v>
      </c>
      <c r="H71" s="14">
        <v>0</v>
      </c>
      <c r="I71" s="14">
        <v>3.9015017636239121E-8</v>
      </c>
      <c r="J71" s="14">
        <v>7.3093191778138183E-6</v>
      </c>
      <c r="K71" s="14">
        <v>0</v>
      </c>
    </row>
    <row r="72" spans="1:11">
      <c r="A72" s="2" t="s">
        <v>421</v>
      </c>
      <c r="B72" s="3" t="s">
        <v>422</v>
      </c>
      <c r="D72" s="14">
        <v>5.3126345004292729E-7</v>
      </c>
      <c r="E72" s="14">
        <v>1.1772334097560043E-6</v>
      </c>
      <c r="F72" s="14">
        <v>2.637449502033558E-5</v>
      </c>
      <c r="G72" s="14">
        <v>4.8829211188531189E-6</v>
      </c>
      <c r="H72" s="14">
        <v>0</v>
      </c>
      <c r="I72" s="14">
        <v>3.137300822889408E-7</v>
      </c>
      <c r="J72" s="14">
        <v>6.7203569187234312E-6</v>
      </c>
      <c r="K72" s="14">
        <v>0</v>
      </c>
    </row>
    <row r="73" spans="1:11">
      <c r="A73" s="2" t="s">
        <v>423</v>
      </c>
      <c r="B73" s="3" t="s">
        <v>424</v>
      </c>
      <c r="D73" s="14">
        <v>5.1891957546577239E-7</v>
      </c>
      <c r="E73" s="14">
        <v>1.0413883014647004E-5</v>
      </c>
      <c r="F73" s="14">
        <v>1.2828452456931601E-5</v>
      </c>
      <c r="G73" s="14">
        <v>2.9408293521179168E-6</v>
      </c>
      <c r="H73" s="14">
        <v>0</v>
      </c>
      <c r="I73" s="14">
        <v>1.8852647150491053E-7</v>
      </c>
      <c r="J73" s="14">
        <v>1.31093891293328E-5</v>
      </c>
      <c r="K73" s="14">
        <v>0</v>
      </c>
    </row>
    <row r="74" spans="1:11">
      <c r="A74" s="2" t="s">
        <v>425</v>
      </c>
      <c r="B74" s="3" t="s">
        <v>426</v>
      </c>
      <c r="D74" s="14">
        <v>1.9560310021048705E-7</v>
      </c>
      <c r="E74" s="14">
        <v>1.0632328210332848E-6</v>
      </c>
      <c r="F74" s="14">
        <v>2.6992925045895252E-5</v>
      </c>
      <c r="G74" s="14">
        <v>4.9515994282304635E-6</v>
      </c>
      <c r="H74" s="14">
        <v>0</v>
      </c>
      <c r="I74" s="14">
        <v>3.1838317616381077E-7</v>
      </c>
      <c r="J74" s="14">
        <v>6.4782564284667027E-6</v>
      </c>
      <c r="K74" s="14">
        <v>0</v>
      </c>
    </row>
    <row r="75" spans="1:11">
      <c r="A75" s="2" t="s">
        <v>427</v>
      </c>
      <c r="B75" s="3" t="s">
        <v>428</v>
      </c>
      <c r="D75" s="14">
        <v>2.1912650507710277E-14</v>
      </c>
      <c r="E75" s="14">
        <v>1.719204621467374E-7</v>
      </c>
      <c r="F75" s="14">
        <v>3.9597625530187348E-5</v>
      </c>
      <c r="G75" s="14">
        <v>1.5279859234776403E-8</v>
      </c>
      <c r="H75" s="14">
        <v>0</v>
      </c>
      <c r="I75" s="14">
        <v>2.1184728598735156E-7</v>
      </c>
      <c r="J75" s="14">
        <v>3.3268405311489077E-9</v>
      </c>
      <c r="K75" s="14">
        <v>0</v>
      </c>
    </row>
    <row r="76" spans="1:11">
      <c r="A76" s="2" t="s">
        <v>429</v>
      </c>
      <c r="B76" s="3" t="s">
        <v>430</v>
      </c>
      <c r="D76" s="14">
        <v>5.5042089518124495E-16</v>
      </c>
      <c r="E76" s="14">
        <v>1.7192046223855246E-7</v>
      </c>
      <c r="F76" s="14">
        <v>3.9597625551334684E-5</v>
      </c>
      <c r="G76" s="14">
        <v>1.5279859242936699E-8</v>
      </c>
      <c r="H76" s="14">
        <v>0</v>
      </c>
      <c r="I76" s="14">
        <v>2.118472861004898E-7</v>
      </c>
      <c r="J76" s="14">
        <v>3.3268405329256255E-9</v>
      </c>
      <c r="K76" s="14">
        <v>0</v>
      </c>
    </row>
    <row r="77" spans="1:11">
      <c r="A77" s="2" t="s">
        <v>431</v>
      </c>
      <c r="B77" s="3" t="s">
        <v>432</v>
      </c>
      <c r="D77" s="14">
        <v>9.4491054826785351E-7</v>
      </c>
      <c r="E77" s="14">
        <v>4.0229379840271887E-6</v>
      </c>
      <c r="F77" s="14">
        <v>2.0103186979543109E-5</v>
      </c>
      <c r="G77" s="14">
        <v>4.156812806738217E-6</v>
      </c>
      <c r="H77" s="14">
        <v>0</v>
      </c>
      <c r="I77" s="14">
        <v>2.6528799241710998E-7</v>
      </c>
      <c r="J77" s="14">
        <v>1.0506863689006523E-5</v>
      </c>
      <c r="K77" s="14">
        <v>0</v>
      </c>
    </row>
    <row r="78" spans="1:11">
      <c r="A78" s="2" t="s">
        <v>433</v>
      </c>
      <c r="B78" s="3" t="s">
        <v>434</v>
      </c>
      <c r="D78" s="14">
        <v>1.3305299354786345E-6</v>
      </c>
      <c r="E78" s="14">
        <v>2.0914009006792186E-5</v>
      </c>
      <c r="F78" s="14">
        <v>5.071061353998332E-6</v>
      </c>
      <c r="G78" s="14">
        <v>1.310371444504763E-6</v>
      </c>
      <c r="H78" s="14">
        <v>0</v>
      </c>
      <c r="I78" s="14">
        <v>8.8885666081376294E-8</v>
      </c>
      <c r="J78" s="14">
        <v>1.1285142593144711E-5</v>
      </c>
      <c r="K78" s="14">
        <v>0</v>
      </c>
    </row>
    <row r="79" spans="1:11">
      <c r="A79" s="2" t="s">
        <v>435</v>
      </c>
      <c r="B79" s="3" t="s">
        <v>436</v>
      </c>
      <c r="D79" s="14">
        <v>3.1080165666047323E-7</v>
      </c>
      <c r="E79" s="14">
        <v>1.4674251753226857E-5</v>
      </c>
      <c r="F79" s="14">
        <v>9.4353396842691842E-6</v>
      </c>
      <c r="G79" s="14">
        <v>2.2690971759926274E-6</v>
      </c>
      <c r="H79" s="14">
        <v>0</v>
      </c>
      <c r="I79" s="14">
        <v>1.4718103861351589E-7</v>
      </c>
      <c r="J79" s="14">
        <v>1.316332869123734E-5</v>
      </c>
      <c r="K79" s="14">
        <v>0</v>
      </c>
    </row>
    <row r="80" spans="1:11">
      <c r="A80" s="2" t="s">
        <v>437</v>
      </c>
      <c r="B80" s="3" t="s">
        <v>438</v>
      </c>
      <c r="D80" s="14">
        <v>7.8068662403544002E-15</v>
      </c>
      <c r="E80" s="14">
        <v>1.1598702155045017E-7</v>
      </c>
      <c r="F80" s="14">
        <v>3.9441277256864186E-5</v>
      </c>
      <c r="G80" s="14">
        <v>2.9234870853608227E-8</v>
      </c>
      <c r="H80" s="14">
        <v>0</v>
      </c>
      <c r="I80" s="14">
        <v>4.094661191240768E-7</v>
      </c>
      <c r="J80" s="14">
        <v>4.0347238008167307E-9</v>
      </c>
      <c r="K80" s="14">
        <v>0</v>
      </c>
    </row>
    <row r="81" spans="1:11">
      <c r="A81" s="2" t="s">
        <v>440</v>
      </c>
      <c r="B81" s="3" t="s">
        <v>441</v>
      </c>
      <c r="D81" s="14">
        <v>7.3930661767392145E-18</v>
      </c>
      <c r="E81" s="14">
        <v>3.87754846070064E-5</v>
      </c>
      <c r="F81" s="14">
        <v>3.6500499571615062E-8</v>
      </c>
      <c r="G81" s="14">
        <v>1.4196927480974273E-8</v>
      </c>
      <c r="H81" s="14">
        <v>0</v>
      </c>
      <c r="I81" s="14">
        <v>1.475509370282046E-8</v>
      </c>
      <c r="J81" s="14">
        <v>1.1590628722308015E-6</v>
      </c>
      <c r="K81" s="14">
        <v>0</v>
      </c>
    </row>
    <row r="82" spans="1:11">
      <c r="A82" s="2" t="s">
        <v>442</v>
      </c>
      <c r="B82" s="3" t="s">
        <v>443</v>
      </c>
      <c r="D82" s="14">
        <v>3.2950971606027678E-9</v>
      </c>
      <c r="E82" s="14">
        <v>2.8644474909137903E-5</v>
      </c>
      <c r="F82" s="14">
        <v>2.1985808445494622E-6</v>
      </c>
      <c r="G82" s="14">
        <v>6.1835516849085282E-7</v>
      </c>
      <c r="H82" s="14">
        <v>0</v>
      </c>
      <c r="I82" s="14">
        <v>4.8363871621833705E-8</v>
      </c>
      <c r="J82" s="14">
        <v>8.486930109039353E-6</v>
      </c>
      <c r="K82" s="14">
        <v>0</v>
      </c>
    </row>
    <row r="83" spans="1:11">
      <c r="A83" s="2" t="s">
        <v>444</v>
      </c>
      <c r="B83" s="3" t="s">
        <v>445</v>
      </c>
      <c r="D83" s="14">
        <v>2.0129604180429008E-8</v>
      </c>
      <c r="E83" s="14">
        <v>5.0541470759830404E-6</v>
      </c>
      <c r="F83" s="14">
        <v>1.9182687421023167E-5</v>
      </c>
      <c r="G83" s="14">
        <v>4.0476691380243428E-6</v>
      </c>
      <c r="H83" s="14">
        <v>0</v>
      </c>
      <c r="I83" s="14">
        <v>2.5822152668105655E-7</v>
      </c>
      <c r="J83" s="14">
        <v>1.1437145234107969E-5</v>
      </c>
      <c r="K83" s="14">
        <v>0</v>
      </c>
    </row>
    <row r="84" spans="1:11">
      <c r="A84" s="2" t="s">
        <v>446</v>
      </c>
      <c r="B84" s="3" t="s">
        <v>447</v>
      </c>
      <c r="D84" s="14">
        <v>2.266867078424766E-19</v>
      </c>
      <c r="E84" s="14">
        <v>3.7279381281935434E-5</v>
      </c>
      <c r="F84" s="14">
        <v>1.6334290314512065E-7</v>
      </c>
      <c r="G84" s="14">
        <v>5.6727784890942944E-8</v>
      </c>
      <c r="H84" s="14">
        <v>0</v>
      </c>
      <c r="I84" s="14">
        <v>1.6794735970607852E-8</v>
      </c>
      <c r="J84" s="14">
        <v>2.4837532940576656E-6</v>
      </c>
      <c r="K84" s="14">
        <v>0</v>
      </c>
    </row>
    <row r="85" spans="1:11">
      <c r="A85" s="2" t="s">
        <v>448</v>
      </c>
      <c r="B85" s="3" t="s">
        <v>449</v>
      </c>
      <c r="D85" s="14">
        <v>1.5946760051848959E-12</v>
      </c>
      <c r="E85" s="14">
        <v>3.9492543036503657E-5</v>
      </c>
      <c r="F85" s="14">
        <v>6.7041955650349063E-9</v>
      </c>
      <c r="G85" s="14">
        <v>2.9583001107847333E-9</v>
      </c>
      <c r="H85" s="14">
        <v>0</v>
      </c>
      <c r="I85" s="14">
        <v>1.433920433087866E-8</v>
      </c>
      <c r="J85" s="14">
        <v>4.8345366881364034E-7</v>
      </c>
      <c r="K85" s="14">
        <v>0</v>
      </c>
    </row>
    <row r="86" spans="1:11">
      <c r="A86" s="2" t="s">
        <v>450</v>
      </c>
      <c r="B86" s="3" t="s">
        <v>451</v>
      </c>
      <c r="D86" s="14">
        <v>5.7031752672433909E-13</v>
      </c>
      <c r="E86" s="14">
        <v>3.7349032730017946E-5</v>
      </c>
      <c r="F86" s="14">
        <v>1.556649846672833E-7</v>
      </c>
      <c r="G86" s="14">
        <v>5.4260836987418043E-8</v>
      </c>
      <c r="H86" s="14">
        <v>0</v>
      </c>
      <c r="I86" s="14">
        <v>1.6669661767042505E-8</v>
      </c>
      <c r="J86" s="14">
        <v>2.4243712162427823E-6</v>
      </c>
      <c r="K86" s="14">
        <v>0</v>
      </c>
    </row>
    <row r="87" spans="1:11">
      <c r="A87" s="2" t="s">
        <v>452</v>
      </c>
      <c r="B87" s="3" t="s">
        <v>453</v>
      </c>
      <c r="D87" s="14">
        <v>1.8878268204389348E-12</v>
      </c>
      <c r="E87" s="14">
        <v>2.0256984342069172E-8</v>
      </c>
      <c r="F87" s="14">
        <v>8.3336712978328577E-6</v>
      </c>
      <c r="G87" s="14">
        <v>2.6873975821903616E-5</v>
      </c>
      <c r="H87" s="14">
        <v>0</v>
      </c>
      <c r="I87" s="14">
        <v>1.8042262031376254E-6</v>
      </c>
      <c r="J87" s="14">
        <v>2.9678678049570097E-6</v>
      </c>
      <c r="K87" s="14">
        <v>0</v>
      </c>
    </row>
    <row r="88" spans="1:11">
      <c r="A88" s="2" t="s">
        <v>454</v>
      </c>
      <c r="B88" s="3" t="s">
        <v>455</v>
      </c>
      <c r="D88" s="14">
        <v>1.5935058035090378E-9</v>
      </c>
      <c r="E88" s="14">
        <v>2.3966592409630571E-5</v>
      </c>
      <c r="F88" s="14">
        <v>4.0947544579048239E-6</v>
      </c>
      <c r="G88" s="14">
        <v>1.0857339542404845E-6</v>
      </c>
      <c r="H88" s="14">
        <v>0</v>
      </c>
      <c r="I88" s="14">
        <v>7.5859935185711571E-8</v>
      </c>
      <c r="J88" s="14">
        <v>1.0775465737234904E-5</v>
      </c>
      <c r="K88" s="14">
        <v>0</v>
      </c>
    </row>
    <row r="89" spans="1:11">
      <c r="A89" s="2" t="s">
        <v>456</v>
      </c>
      <c r="B89" s="3" t="s">
        <v>457</v>
      </c>
      <c r="D89" s="14">
        <v>1.0864641115982287E-21</v>
      </c>
      <c r="E89" s="14">
        <v>2.7850181236603351E-5</v>
      </c>
      <c r="F89" s="14">
        <v>2.4836454576069595E-6</v>
      </c>
      <c r="G89" s="14">
        <v>6.9085221667803147E-7</v>
      </c>
      <c r="H89" s="14">
        <v>0</v>
      </c>
      <c r="I89" s="14">
        <v>5.2590381469979681E-8</v>
      </c>
      <c r="J89" s="14">
        <v>8.9227307076416823E-6</v>
      </c>
      <c r="K89" s="14">
        <v>0</v>
      </c>
    </row>
    <row r="90" spans="1:11">
      <c r="A90" s="2" t="s">
        <v>458</v>
      </c>
      <c r="B90" s="3" t="s">
        <v>459</v>
      </c>
      <c r="D90" s="14">
        <v>1.6799733568771024E-33</v>
      </c>
      <c r="E90" s="14">
        <v>3.4520337632289289E-5</v>
      </c>
      <c r="F90" s="14">
        <v>5.9098520554292953E-7</v>
      </c>
      <c r="G90" s="14">
        <v>1.8564025848436898E-7</v>
      </c>
      <c r="H90" s="14">
        <v>0</v>
      </c>
      <c r="I90" s="14">
        <v>2.3694825145648694E-8</v>
      </c>
      <c r="J90" s="14">
        <v>4.6793420785377649E-6</v>
      </c>
      <c r="K90" s="14">
        <v>0</v>
      </c>
    </row>
    <row r="91" spans="1:11">
      <c r="A91" s="2" t="s">
        <v>460</v>
      </c>
      <c r="B91" s="3" t="s">
        <v>461</v>
      </c>
      <c r="D91" s="14">
        <v>1.9784207506071982E-12</v>
      </c>
      <c r="E91" s="14">
        <v>1.3292029578218581E-7</v>
      </c>
      <c r="F91" s="14">
        <v>2.0916685831427143E-5</v>
      </c>
      <c r="G91" s="14">
        <v>1.3479954575490151E-5</v>
      </c>
      <c r="H91" s="14">
        <v>0</v>
      </c>
      <c r="I91" s="14">
        <v>8.8689696491979491E-7</v>
      </c>
      <c r="J91" s="14">
        <v>4.5835403539599869E-6</v>
      </c>
      <c r="K91" s="14">
        <v>0</v>
      </c>
    </row>
    <row r="92" spans="1:11">
      <c r="A92" s="2" t="s">
        <v>462</v>
      </c>
      <c r="B92" s="3" t="s">
        <v>463</v>
      </c>
      <c r="D92" s="14">
        <v>1.766532899221973E-13</v>
      </c>
      <c r="E92" s="14">
        <v>7.0481375411287499E-6</v>
      </c>
      <c r="F92" s="14">
        <v>1.6633971186846335E-5</v>
      </c>
      <c r="G92" s="14">
        <v>3.6348919047651138E-6</v>
      </c>
      <c r="H92" s="14">
        <v>0</v>
      </c>
      <c r="I92" s="14">
        <v>2.3200212434818741E-7</v>
      </c>
      <c r="J92" s="14">
        <v>1.2450997066258319E-5</v>
      </c>
      <c r="K92" s="14">
        <v>0</v>
      </c>
    </row>
    <row r="93" spans="1:11">
      <c r="A93" s="2" t="s">
        <v>464</v>
      </c>
      <c r="B93" s="3" t="s">
        <v>465</v>
      </c>
      <c r="D93" s="14">
        <v>7.8294901679321888E-9</v>
      </c>
      <c r="E93" s="14">
        <v>1.5488384576780765E-6</v>
      </c>
      <c r="F93" s="14">
        <v>2.5704413439872852E-5</v>
      </c>
      <c r="G93" s="14">
        <v>4.865228625519318E-6</v>
      </c>
      <c r="H93" s="14">
        <v>0</v>
      </c>
      <c r="I93" s="14">
        <v>3.1205196170063078E-7</v>
      </c>
      <c r="J93" s="14">
        <v>7.5616380250611913E-6</v>
      </c>
      <c r="K93" s="14">
        <v>0</v>
      </c>
    </row>
    <row r="94" spans="1:11">
      <c r="A94" s="2" t="s">
        <v>466</v>
      </c>
      <c r="B94" s="3" t="s">
        <v>467</v>
      </c>
      <c r="D94" s="14">
        <v>7.334262475374775E-23</v>
      </c>
      <c r="E94" s="14">
        <v>3.5775124826250914E-5</v>
      </c>
      <c r="F94" s="14">
        <v>4.20051685885954E-6</v>
      </c>
      <c r="G94" s="14">
        <v>5.5200273131461769E-10</v>
      </c>
      <c r="H94" s="14">
        <v>0</v>
      </c>
      <c r="I94" s="14">
        <v>1.742876237828637E-8</v>
      </c>
      <c r="J94" s="14">
        <v>6.377549779952409E-9</v>
      </c>
      <c r="K94" s="14">
        <v>0</v>
      </c>
    </row>
    <row r="95" spans="1:11">
      <c r="A95" s="2" t="s">
        <v>468</v>
      </c>
      <c r="B95" s="3" t="s">
        <v>469</v>
      </c>
      <c r="D95" s="14">
        <v>8.0177310156241218E-23</v>
      </c>
      <c r="E95" s="14">
        <v>3.1281251696415587E-7</v>
      </c>
      <c r="F95" s="14">
        <v>2.7798777471977078E-5</v>
      </c>
      <c r="G95" s="14">
        <v>6.8773519877431681E-6</v>
      </c>
      <c r="H95" s="14">
        <v>0</v>
      </c>
      <c r="I95" s="14">
        <v>4.4718153163373841E-7</v>
      </c>
      <c r="J95" s="14">
        <v>4.5638764916818641E-6</v>
      </c>
      <c r="K95" s="14">
        <v>0</v>
      </c>
    </row>
    <row r="96" spans="1:11">
      <c r="A96" s="2" t="s">
        <v>470</v>
      </c>
      <c r="B96" s="163">
        <v>354656</v>
      </c>
      <c r="D96" s="14">
        <v>1.4738745980061964E-14</v>
      </c>
      <c r="E96" s="14">
        <v>3.8726939270633779E-5</v>
      </c>
      <c r="F96" s="14">
        <v>3.9294769792590703E-8</v>
      </c>
      <c r="G96" s="14">
        <v>1.5199535084901078E-8</v>
      </c>
      <c r="H96" s="14">
        <v>0</v>
      </c>
      <c r="I96" s="14">
        <v>1.4798020232081346E-8</v>
      </c>
      <c r="J96" s="14">
        <v>1.2037683895178988E-6</v>
      </c>
      <c r="K96" s="14">
        <v>0</v>
      </c>
    </row>
    <row r="97" spans="1:11">
      <c r="A97" s="2" t="s">
        <v>472</v>
      </c>
      <c r="B97" s="3" t="s">
        <v>473</v>
      </c>
      <c r="D97" s="14">
        <v>2.2650212601537483E-14</v>
      </c>
      <c r="E97" s="14">
        <v>3.7243880400321726E-5</v>
      </c>
      <c r="F97" s="14">
        <v>1.6731947671583863E-7</v>
      </c>
      <c r="G97" s="14">
        <v>5.8001877673373706E-8</v>
      </c>
      <c r="H97" s="14">
        <v>0</v>
      </c>
      <c r="I97" s="14">
        <v>1.6859522779390617E-8</v>
      </c>
      <c r="J97" s="14">
        <v>2.5139386998594636E-6</v>
      </c>
      <c r="K97" s="14">
        <v>0</v>
      </c>
    </row>
    <row r="98" spans="1:11">
      <c r="A98" s="2" t="s">
        <v>474</v>
      </c>
      <c r="B98" s="3" t="s">
        <v>475</v>
      </c>
      <c r="D98" s="14">
        <v>1.8583269415692672E-24</v>
      </c>
      <c r="E98" s="14">
        <v>7.3005362845337463E-7</v>
      </c>
      <c r="F98" s="14">
        <v>2.8352825051963868E-5</v>
      </c>
      <c r="G98" s="14">
        <v>5.0407121006667108E-6</v>
      </c>
      <c r="H98" s="14">
        <v>0</v>
      </c>
      <c r="I98" s="14">
        <v>3.2498361560661305E-7</v>
      </c>
      <c r="J98" s="14">
        <v>5.5514256033094395E-6</v>
      </c>
      <c r="K98" s="14">
        <v>0</v>
      </c>
    </row>
    <row r="99" spans="1:11">
      <c r="A99" s="2" t="s">
        <v>476</v>
      </c>
      <c r="B99" s="3" t="s">
        <v>477</v>
      </c>
      <c r="D99" s="14">
        <v>6.9606169353845305E-12</v>
      </c>
      <c r="E99" s="14">
        <v>3.9646091083863094E-5</v>
      </c>
      <c r="F99" s="14">
        <v>3.3000608559922499E-9</v>
      </c>
      <c r="G99" s="14">
        <v>1.5346788362597386E-9</v>
      </c>
      <c r="H99" s="14">
        <v>0</v>
      </c>
      <c r="I99" s="14">
        <v>1.4309855501224645E-8</v>
      </c>
      <c r="J99" s="14">
        <v>3.3475736032650184E-7</v>
      </c>
      <c r="K99" s="14">
        <v>0</v>
      </c>
    </row>
    <row r="100" spans="1:11">
      <c r="A100" s="2" t="s">
        <v>478</v>
      </c>
      <c r="B100" s="3" t="s">
        <v>479</v>
      </c>
      <c r="D100" s="14">
        <v>2.0379223416402179E-15</v>
      </c>
      <c r="E100" s="14">
        <v>1.6360639341903782E-5</v>
      </c>
      <c r="F100" s="14">
        <v>8.3996626739999298E-6</v>
      </c>
      <c r="G100" s="14">
        <v>2.0537964590122736E-6</v>
      </c>
      <c r="H100" s="14">
        <v>0</v>
      </c>
      <c r="I100" s="14">
        <v>1.3411291101748514E-7</v>
      </c>
      <c r="J100" s="14">
        <v>1.3051788612028609E-5</v>
      </c>
      <c r="K100" s="14">
        <v>0</v>
      </c>
    </row>
    <row r="101" spans="1:11">
      <c r="A101" s="2" t="s">
        <v>480</v>
      </c>
      <c r="B101" s="3" t="s">
        <v>481</v>
      </c>
      <c r="D101" s="14">
        <v>1.8727509316290587E-15</v>
      </c>
      <c r="E101" s="14">
        <v>3.9412380082073651E-5</v>
      </c>
      <c r="F101" s="14">
        <v>8.9197819251885146E-9</v>
      </c>
      <c r="G101" s="14">
        <v>3.8534505663709204E-9</v>
      </c>
      <c r="H101" s="14">
        <v>0</v>
      </c>
      <c r="I101" s="14">
        <v>1.4363711887990796E-8</v>
      </c>
      <c r="J101" s="14">
        <v>5.6048297167406282E-7</v>
      </c>
      <c r="K101" s="14">
        <v>0</v>
      </c>
    </row>
    <row r="102" spans="1:11">
      <c r="A102" s="2" t="s">
        <v>482</v>
      </c>
      <c r="B102" s="3" t="s">
        <v>483</v>
      </c>
      <c r="D102" s="14">
        <v>1.177152335634301E-31</v>
      </c>
      <c r="E102" s="14">
        <v>3.9842383297779301E-5</v>
      </c>
      <c r="F102" s="14">
        <v>6.3665900113898546E-10</v>
      </c>
      <c r="G102" s="14">
        <v>3.3435085562211129E-10</v>
      </c>
      <c r="H102" s="14">
        <v>0</v>
      </c>
      <c r="I102" s="14">
        <v>1.4309589919054862E-8</v>
      </c>
      <c r="J102" s="14">
        <v>1.4233610244488445E-7</v>
      </c>
      <c r="K102" s="14">
        <v>0</v>
      </c>
    </row>
    <row r="103" spans="1:11">
      <c r="A103" s="2" t="s">
        <v>484</v>
      </c>
      <c r="B103" s="3" t="s">
        <v>485</v>
      </c>
      <c r="D103" s="14">
        <v>9.3889602898884555E-18</v>
      </c>
      <c r="E103" s="14">
        <v>3.9657026069816685E-5</v>
      </c>
      <c r="F103" s="14">
        <v>3.100928247015954E-9</v>
      </c>
      <c r="G103" s="14">
        <v>1.4487293962392186E-9</v>
      </c>
      <c r="H103" s="14">
        <v>0</v>
      </c>
      <c r="I103" s="14">
        <v>1.4308696039334023E-8</v>
      </c>
      <c r="J103" s="14">
        <v>3.2411557649134069E-7</v>
      </c>
      <c r="K103" s="14">
        <v>0</v>
      </c>
    </row>
    <row r="104" spans="1:11">
      <c r="A104" s="2" t="s">
        <v>486</v>
      </c>
      <c r="B104" s="3" t="s">
        <v>487</v>
      </c>
      <c r="D104" s="14">
        <v>1.1554148405567789E-13</v>
      </c>
      <c r="E104" s="14">
        <v>3.8046138280463267E-5</v>
      </c>
      <c r="F104" s="14">
        <v>8.8107353484720486E-8</v>
      </c>
      <c r="G104" s="14">
        <v>3.2070646274090792E-8</v>
      </c>
      <c r="H104" s="14">
        <v>0</v>
      </c>
      <c r="I104" s="14">
        <v>1.5572822424488241E-8</v>
      </c>
      <c r="J104" s="14">
        <v>1.818110781811955E-6</v>
      </c>
      <c r="K104" s="14">
        <v>0</v>
      </c>
    </row>
    <row r="105" spans="1:11">
      <c r="A105" s="2" t="s">
        <v>488</v>
      </c>
      <c r="B105" s="3" t="s">
        <v>489</v>
      </c>
      <c r="D105" s="14">
        <v>9.3617940428166285E-21</v>
      </c>
      <c r="E105" s="14">
        <v>3.9813625139732656E-5</v>
      </c>
      <c r="F105" s="14">
        <v>9.0288678676077596E-10</v>
      </c>
      <c r="G105" s="14">
        <v>4.620924287476357E-10</v>
      </c>
      <c r="H105" s="14">
        <v>0</v>
      </c>
      <c r="I105" s="14">
        <v>1.4306751461049367E-8</v>
      </c>
      <c r="J105" s="14">
        <v>1.707031295907818E-7</v>
      </c>
      <c r="K105" s="14">
        <v>0</v>
      </c>
    </row>
    <row r="106" spans="1:11">
      <c r="A106" s="2" t="s">
        <v>490</v>
      </c>
      <c r="B106" s="3" t="s">
        <v>491</v>
      </c>
      <c r="D106" s="14">
        <v>5.0865185829505313E-13</v>
      </c>
      <c r="E106" s="14">
        <v>3.2960460903815266E-5</v>
      </c>
      <c r="F106" s="14">
        <v>9.3045387813927965E-7</v>
      </c>
      <c r="G106" s="14">
        <v>2.8170230835254496E-7</v>
      </c>
      <c r="H106" s="14">
        <v>0</v>
      </c>
      <c r="I106" s="14">
        <v>2.9050964548878592E-8</v>
      </c>
      <c r="J106" s="14">
        <v>5.798331436492178E-6</v>
      </c>
      <c r="K106" s="14">
        <v>0</v>
      </c>
    </row>
    <row r="107" spans="1:11">
      <c r="A107" s="2" t="s">
        <v>492</v>
      </c>
      <c r="B107" s="3" t="s">
        <v>493</v>
      </c>
      <c r="D107" s="14">
        <v>8.7328825190699222E-21</v>
      </c>
      <c r="E107" s="14">
        <v>5.4276303006833169E-7</v>
      </c>
      <c r="F107" s="14">
        <v>2.9176408616184742E-5</v>
      </c>
      <c r="G107" s="14">
        <v>5.0643928622526436E-6</v>
      </c>
      <c r="H107" s="14">
        <v>0</v>
      </c>
      <c r="I107" s="14">
        <v>3.2721054994017556E-7</v>
      </c>
      <c r="J107" s="14">
        <v>4.8892249415540962E-6</v>
      </c>
      <c r="K107" s="14">
        <v>0</v>
      </c>
    </row>
    <row r="108" spans="1:11">
      <c r="A108" s="2" t="s">
        <v>291</v>
      </c>
      <c r="B108" s="3" t="s">
        <v>494</v>
      </c>
      <c r="D108" s="14">
        <v>1.1738361104602073E-14</v>
      </c>
      <c r="E108" s="14">
        <v>1.8839098032443627E-5</v>
      </c>
      <c r="F108" s="14">
        <v>6.8152482570853399E-6</v>
      </c>
      <c r="G108" s="14">
        <v>1.7099256842121491E-6</v>
      </c>
      <c r="H108" s="14">
        <v>0</v>
      </c>
      <c r="I108" s="14">
        <v>1.1326186744354611E-7</v>
      </c>
      <c r="J108" s="14">
        <v>1.2522466147076976E-5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08"/>
  <sheetViews>
    <sheetView tabSelected="1" topLeftCell="A79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3.7460197392400863E-8</v>
      </c>
      <c r="B2">
        <f>'Mass Balance'!E2</f>
        <v>3.0905824372640047E-5</v>
      </c>
      <c r="C2">
        <f>SUM('Mass Balance'!E2:H2)</f>
        <v>3.2810490781936425E-5</v>
      </c>
      <c r="D2">
        <f>Concentrations!F2/Concentrations!E2</f>
        <v>0.9456359362241632</v>
      </c>
    </row>
    <row r="3" spans="1:4">
      <c r="A3">
        <f>'Mass Balance'!I3</f>
        <v>1.7097682285484177E-6</v>
      </c>
      <c r="B3">
        <f>'Mass Balance'!E3</f>
        <v>2.5403504861447576E-8</v>
      </c>
      <c r="C3">
        <f>SUM('Mass Balance'!E3:H3)</f>
        <v>3.4968007293178832E-5</v>
      </c>
      <c r="D3">
        <f>Concentrations!F3/Concentrations!E3</f>
        <v>7.2932166972692735E-4</v>
      </c>
    </row>
    <row r="4" spans="1:4">
      <c r="A4">
        <f>'Mass Balance'!I4</f>
        <v>1.5480002051787542E-7</v>
      </c>
      <c r="B4">
        <f>'Mass Balance'!E4</f>
        <v>1.4102951415918689E-5</v>
      </c>
      <c r="C4">
        <f>SUM('Mass Balance'!E4:H4)</f>
        <v>2.6517359990899016E-5</v>
      </c>
      <c r="D4">
        <f>Concentrations!F4/Concentrations!E4</f>
        <v>0.53391987495413606</v>
      </c>
    </row>
    <row r="5" spans="1:4">
      <c r="A5">
        <f>'Mass Balance'!I5</f>
        <v>5.0693797594987447E-7</v>
      </c>
      <c r="B5">
        <f>'Mass Balance'!E5</f>
        <v>2.7431715512439461E-7</v>
      </c>
      <c r="C5">
        <f>SUM('Mass Balance'!E5:H5)</f>
        <v>3.4869144169392598E-5</v>
      </c>
      <c r="D5">
        <f>Concentrations!F5/Concentrations!E5</f>
        <v>7.8978347458445244E-3</v>
      </c>
    </row>
    <row r="6" spans="1:4">
      <c r="A6">
        <f>'Mass Balance'!I6</f>
        <v>1.9941616803532706E-6</v>
      </c>
      <c r="B6">
        <f>'Mass Balance'!E6</f>
        <v>1.1376255590289079E-8</v>
      </c>
      <c r="C6">
        <f>SUM('Mass Balance'!E6:H6)</f>
        <v>3.5573129266911391E-5</v>
      </c>
      <c r="D6">
        <f>Concentrations!F6/Concentrations!E6</f>
        <v>3.2105070844138674E-4</v>
      </c>
    </row>
    <row r="7" spans="1:4">
      <c r="A7">
        <f>'Mass Balance'!I7</f>
        <v>1.7606278637716086E-6</v>
      </c>
      <c r="B7">
        <f>'Mass Balance'!E7</f>
        <v>2.2739858599920245E-8</v>
      </c>
      <c r="C7">
        <f>SUM('Mass Balance'!E7:H7)</f>
        <v>3.5157661235198787E-5</v>
      </c>
      <c r="D7">
        <f>Concentrations!F7/Concentrations!E7</f>
        <v>6.4932802139476553E-4</v>
      </c>
    </row>
    <row r="8" spans="1:4">
      <c r="A8">
        <f>'Mass Balance'!I8</f>
        <v>1.4057501939045958E-6</v>
      </c>
      <c r="B8">
        <f>'Mass Balance'!E8</f>
        <v>5.0717284018945375E-8</v>
      </c>
      <c r="C8">
        <f>SUM('Mass Balance'!E8:H8)</f>
        <v>3.4715111715178092E-5</v>
      </c>
      <c r="D8">
        <f>Concentrations!F8/Concentrations!E8</f>
        <v>1.4666746427414962E-3</v>
      </c>
    </row>
    <row r="9" spans="1:4">
      <c r="A9">
        <f>'Mass Balance'!I9</f>
        <v>2.9873222050473569E-7</v>
      </c>
      <c r="B9">
        <f>'Mass Balance'!E9</f>
        <v>2.3624888852373815E-6</v>
      </c>
      <c r="C9">
        <f>SUM('Mass Balance'!E9:H9)</f>
        <v>3.0809733908827038E-5</v>
      </c>
      <c r="D9">
        <f>Concentrations!F9/Concentrations!E9</f>
        <v>7.6980049987451268E-2</v>
      </c>
    </row>
    <row r="10" spans="1:4">
      <c r="A10">
        <f>'Mass Balance'!I10</f>
        <v>5.4199293150600344E-7</v>
      </c>
      <c r="B10">
        <f>'Mass Balance'!E10</f>
        <v>2.5495867028239988E-7</v>
      </c>
      <c r="C10">
        <f>SUM('Mass Balance'!E10:H10)</f>
        <v>3.48155781333837E-5</v>
      </c>
      <c r="D10">
        <f>Concentrations!F10/Concentrations!E10</f>
        <v>7.3517805761136147E-3</v>
      </c>
    </row>
    <row r="11" spans="1:4">
      <c r="A11">
        <f>'Mass Balance'!I11</f>
        <v>6.0397318154945712E-7</v>
      </c>
      <c r="B11">
        <f>'Mass Balance'!E11</f>
        <v>2.249678408453363E-7</v>
      </c>
      <c r="C11">
        <f>SUM('Mass Balance'!E11:H11)</f>
        <v>3.4726357722271461E-5</v>
      </c>
      <c r="D11">
        <f>Concentrations!F11/Concentrations!E11</f>
        <v>6.5036560878853986E-3</v>
      </c>
    </row>
    <row r="12" spans="1:4">
      <c r="A12">
        <f>'Mass Balance'!I12</f>
        <v>3.1264243707686345E-7</v>
      </c>
      <c r="B12">
        <f>'Mass Balance'!E12</f>
        <v>1.516025541635766E-6</v>
      </c>
      <c r="C12">
        <f>SUM('Mass Balance'!E12:H12)</f>
        <v>3.2186714029026077E-5</v>
      </c>
      <c r="D12">
        <f>Concentrations!F12/Concentrations!E12</f>
        <v>4.7285309840487094E-2</v>
      </c>
    </row>
    <row r="13" spans="1:4">
      <c r="A13">
        <f>'Mass Balance'!I13</f>
        <v>3.0026654934355694E-7</v>
      </c>
      <c r="B13">
        <f>'Mass Balance'!E13</f>
        <v>2.2665958907764638E-6</v>
      </c>
      <c r="C13">
        <f>SUM('Mass Balance'!E13:H13)</f>
        <v>3.0941522115128415E-5</v>
      </c>
      <c r="D13">
        <f>Concentrations!F13/Concentrations!E13</f>
        <v>7.3540873690213088E-2</v>
      </c>
    </row>
    <row r="14" spans="1:4">
      <c r="A14">
        <f>'Mass Balance'!I14</f>
        <v>8.2404285714066126E-7</v>
      </c>
      <c r="B14">
        <f>'Mass Balance'!E14</f>
        <v>1.4885905856264327E-7</v>
      </c>
      <c r="C14">
        <f>SUM('Mass Balance'!E14:H14)</f>
        <v>3.4548914988135282E-5</v>
      </c>
      <c r="D14">
        <f>Concentrations!F14/Concentrations!E14</f>
        <v>4.3255089750456237E-3</v>
      </c>
    </row>
    <row r="15" spans="1:4">
      <c r="A15">
        <f>'Mass Balance'!I15</f>
        <v>5.724322071653122E-7</v>
      </c>
      <c r="B15">
        <f>'Mass Balance'!E15</f>
        <v>2.3961501425999093E-7</v>
      </c>
      <c r="C15">
        <f>SUM('Mass Balance'!E15:H15)</f>
        <v>3.4770805059578803E-5</v>
      </c>
      <c r="D15">
        <f>Concentrations!F15/Concentrations!E15</f>
        <v>6.9182403118300574E-3</v>
      </c>
    </row>
    <row r="16" spans="1:4">
      <c r="A16">
        <f>'Mass Balance'!I16</f>
        <v>1.3882359934714771E-6</v>
      </c>
      <c r="B16">
        <f>'Mass Balance'!E16</f>
        <v>5.2479463640404813E-8</v>
      </c>
      <c r="C16">
        <f>SUM('Mass Balance'!E16:H16)</f>
        <v>3.469104681947947E-5</v>
      </c>
      <c r="D16">
        <f>Concentrations!F16/Concentrations!E16</f>
        <v>1.5186872432767799E-3</v>
      </c>
    </row>
    <row r="17" spans="1:4">
      <c r="A17">
        <f>'Mass Balance'!I17</f>
        <v>5.1846164747271203E-7</v>
      </c>
      <c r="B17">
        <f>'Mass Balance'!E17</f>
        <v>2.6775708562084923E-7</v>
      </c>
      <c r="C17">
        <f>SUM('Mass Balance'!E17:H17)</f>
        <v>3.485255675754649E-5</v>
      </c>
      <c r="D17">
        <f>Concentrations!F17/Concentrations!E17</f>
        <v>7.7126334484831222E-3</v>
      </c>
    </row>
    <row r="18" spans="1:4">
      <c r="A18">
        <f>'Mass Balance'!I18</f>
        <v>2.9027737401294079E-7</v>
      </c>
      <c r="B18">
        <f>'Mass Balance'!E18</f>
        <v>2.8304676713005252E-6</v>
      </c>
      <c r="C18">
        <f>SUM('Mass Balance'!E18:H18)</f>
        <v>3.0118907025047879E-5</v>
      </c>
      <c r="D18">
        <f>Concentrations!F18/Concentrations!E18</f>
        <v>9.4344231965447375E-2</v>
      </c>
    </row>
    <row r="19" spans="1:4">
      <c r="A19">
        <f>'Mass Balance'!I19</f>
        <v>5.7865822962439283E-7</v>
      </c>
      <c r="B19">
        <f>'Mass Balance'!E19</f>
        <v>2.3663268952685508E-7</v>
      </c>
      <c r="C19">
        <f>SUM('Mass Balance'!E19:H19)</f>
        <v>3.4762203151965956E-5</v>
      </c>
      <c r="D19">
        <f>Concentrations!F19/Concentrations!E19</f>
        <v>6.8338243025118026E-3</v>
      </c>
    </row>
    <row r="20" spans="1:4">
      <c r="A20">
        <f>'Mass Balance'!I20</f>
        <v>3.0030656701144925E-7</v>
      </c>
      <c r="B20">
        <f>'Mass Balance'!E20</f>
        <v>2.2668979686529426E-6</v>
      </c>
      <c r="C20">
        <f>SUM('Mass Balance'!E20:H20)</f>
        <v>3.0945645809755055E-5</v>
      </c>
      <c r="D20">
        <f>Concentrations!F20/Concentrations!E20</f>
        <v>7.3540873690213074E-2</v>
      </c>
    </row>
    <row r="21" spans="1:4">
      <c r="A21">
        <f>'Mass Balance'!I21</f>
        <v>7.5581527078498328E-7</v>
      </c>
      <c r="B21">
        <f>'Mass Balance'!E21</f>
        <v>1.6845558276234739E-7</v>
      </c>
      <c r="C21">
        <f>SUM('Mass Balance'!E21:H21)</f>
        <v>3.4571952909438183E-5</v>
      </c>
      <c r="D21">
        <f>Concentrations!F21/Concentrations!E21</f>
        <v>4.8916779614992965E-3</v>
      </c>
    </row>
    <row r="22" spans="1:4">
      <c r="A22">
        <f>'Mass Balance'!I22</f>
        <v>8.5745934231153628E-8</v>
      </c>
      <c r="B22">
        <f>'Mass Balance'!E22</f>
        <v>2.2438518509691371E-5</v>
      </c>
      <c r="C22">
        <f>SUM('Mass Balance'!E22:H22)</f>
        <v>2.8491919802905041E-5</v>
      </c>
      <c r="D22">
        <f>Concentrations!F22/Concentrations!E22</f>
        <v>0.79062187913500215</v>
      </c>
    </row>
    <row r="23" spans="1:4">
      <c r="A23">
        <f>'Mass Balance'!I23</f>
        <v>4.9726680904768675E-8</v>
      </c>
      <c r="B23">
        <f>'Mass Balance'!E23</f>
        <v>2.8383282561076786E-5</v>
      </c>
      <c r="C23">
        <f>SUM('Mass Balance'!E23:H23)</f>
        <v>3.1315309933963504E-5</v>
      </c>
      <c r="D23">
        <f>Concentrations!F23/Concentrations!E23</f>
        <v>0.90991802583642023</v>
      </c>
    </row>
    <row r="24" spans="1:4">
      <c r="A24">
        <f>'Mass Balance'!I24</f>
        <v>2.3346440698955103E-7</v>
      </c>
      <c r="B24">
        <f>'Mass Balance'!E24</f>
        <v>6.9306527444370149E-6</v>
      </c>
      <c r="C24">
        <f>SUM('Mass Balance'!E24:H24)</f>
        <v>2.7359591168450113E-5</v>
      </c>
      <c r="D24">
        <f>Concentrations!F24/Concentrations!E24</f>
        <v>0.25430851284398492</v>
      </c>
    </row>
    <row r="25" spans="1:4">
      <c r="A25">
        <f>'Mass Balance'!I25</f>
        <v>3.192371190402181E-7</v>
      </c>
      <c r="B25">
        <f>'Mass Balance'!E25</f>
        <v>8.2487001431106395E-7</v>
      </c>
      <c r="C25">
        <f>SUM('Mass Balance'!E25:H25)</f>
        <v>3.3353152906731348E-5</v>
      </c>
      <c r="D25">
        <f>Concentrations!F25/Concentrations!E25</f>
        <v>2.4828185657071934E-2</v>
      </c>
    </row>
    <row r="26" spans="1:4">
      <c r="A26">
        <f>'Mass Balance'!I26</f>
        <v>7.1236371192746108E-7</v>
      </c>
      <c r="B26">
        <f>'Mass Balance'!E26</f>
        <v>1.8264174447205906E-7</v>
      </c>
      <c r="C26">
        <f>SUM('Mass Balance'!E26:H26)</f>
        <v>3.4606500627064794E-5</v>
      </c>
      <c r="D26">
        <f>Concentrations!F26/Concentrations!E26</f>
        <v>5.2983265655727274E-3</v>
      </c>
    </row>
    <row r="27" spans="1:4">
      <c r="A27">
        <f>'Mass Balance'!I27</f>
        <v>1.673280868042845E-6</v>
      </c>
      <c r="B27">
        <f>'Mass Balance'!E27</f>
        <v>2.7939713202135928E-8</v>
      </c>
      <c r="C27">
        <f>SUM('Mass Balance'!E27:H27)</f>
        <v>3.4950221516410408E-5</v>
      </c>
      <c r="D27">
        <f>Concentrations!F27/Concentrations!E27</f>
        <v>8.0254311530271677E-4</v>
      </c>
    </row>
    <row r="28" spans="1:4">
      <c r="A28">
        <f>'Mass Balance'!I28</f>
        <v>1.0433555399252522E-6</v>
      </c>
      <c r="B28">
        <f>'Mass Balance'!E28</f>
        <v>1.003498038781948E-7</v>
      </c>
      <c r="C28">
        <f>SUM('Mass Balance'!E28:H28)</f>
        <v>3.4518651859303207E-5</v>
      </c>
      <c r="D28">
        <f>Concentrations!F28/Concentrations!E28</f>
        <v>2.9184957454671035E-3</v>
      </c>
    </row>
    <row r="29" spans="1:4">
      <c r="A29">
        <f>'Mass Balance'!I29</f>
        <v>7.7958644197132907E-7</v>
      </c>
      <c r="B29">
        <f>'Mass Balance'!E29</f>
        <v>1.5104442197111388E-7</v>
      </c>
      <c r="C29">
        <f>SUM('Mass Balance'!E29:H29)</f>
        <v>3.3633111664523082E-5</v>
      </c>
      <c r="D29">
        <f>Concentrations!F29/Concentrations!E29</f>
        <v>4.5085200424820797E-3</v>
      </c>
    </row>
    <row r="30" spans="1:4">
      <c r="A30">
        <f>'Mass Balance'!I30</f>
        <v>1.0433555399252522E-6</v>
      </c>
      <c r="B30">
        <f>'Mass Balance'!E30</f>
        <v>1.003498038781948E-7</v>
      </c>
      <c r="C30">
        <f>SUM('Mass Balance'!E30:H30)</f>
        <v>3.4518651859303207E-5</v>
      </c>
      <c r="D30">
        <f>Concentrations!F30/Concentrations!E30</f>
        <v>2.9184957454671035E-3</v>
      </c>
    </row>
    <row r="31" spans="1:4">
      <c r="A31">
        <f>'Mass Balance'!I31</f>
        <v>1.4567767386910064E-8</v>
      </c>
      <c r="B31">
        <f>'Mass Balance'!E31</f>
        <v>3.9017270651251413E-5</v>
      </c>
      <c r="C31">
        <f>SUM('Mass Balance'!E31:H31)</f>
        <v>3.9050915388563554E-5</v>
      </c>
      <c r="D31">
        <f>Concentrations!F31/Concentrations!E31</f>
        <v>1.0030487243621815</v>
      </c>
    </row>
    <row r="32" spans="1:4">
      <c r="A32">
        <f>'Mass Balance'!I32</f>
        <v>1.2746240045549991E-7</v>
      </c>
      <c r="B32">
        <f>'Mass Balance'!E32</f>
        <v>1.732563085869069E-5</v>
      </c>
      <c r="C32">
        <f>SUM('Mass Balance'!E32:H32)</f>
        <v>2.7034641021101399E-5</v>
      </c>
      <c r="D32">
        <f>Concentrations!F32/Concentrations!E32</f>
        <v>0.64337593466145504</v>
      </c>
    </row>
    <row r="33" spans="1:4">
      <c r="A33">
        <f>'Mass Balance'!I33</f>
        <v>1.450961209029341E-8</v>
      </c>
      <c r="B33">
        <f>'Mass Balance'!E33</f>
        <v>3.9815123734420067E-5</v>
      </c>
      <c r="C33">
        <f>SUM('Mass Balance'!E33:H33)</f>
        <v>3.9983206206908231E-5</v>
      </c>
      <c r="D33">
        <f>Concentrations!F33/Concentrations!E33</f>
        <v>0.99969337789726764</v>
      </c>
    </row>
    <row r="34" spans="1:4">
      <c r="A34">
        <f>'Mass Balance'!I34</f>
        <v>2.5262570363532368E-8</v>
      </c>
      <c r="B34">
        <f>'Mass Balance'!E34</f>
        <v>2.1890964378514771E-5</v>
      </c>
      <c r="C34">
        <f>SUM('Mass Balance'!E34:H34)</f>
        <v>3.9966956089364719E-5</v>
      </c>
      <c r="D34">
        <f>Concentrations!F34/Concentrations!E34</f>
        <v>0.54987019915558155</v>
      </c>
    </row>
    <row r="35" spans="1:4">
      <c r="A35">
        <f>'Mass Balance'!I35</f>
        <v>2.9326021843674452E-8</v>
      </c>
      <c r="B35">
        <f>'Mass Balance'!E35</f>
        <v>1.2958424248269277E-5</v>
      </c>
      <c r="C35">
        <f>SUM('Mass Balance'!E35:H35)</f>
        <v>3.9951841228583521E-5</v>
      </c>
      <c r="D35">
        <f>Concentrations!F35/Concentrations!E35</f>
        <v>0.32562051399863756</v>
      </c>
    </row>
    <row r="36" spans="1:4">
      <c r="A36">
        <f>'Mass Balance'!I36</f>
        <v>3.1589126042591457E-8</v>
      </c>
      <c r="B36">
        <f>'Mass Balance'!E36</f>
        <v>4.322254177583572E-6</v>
      </c>
      <c r="C36">
        <f>SUM('Mass Balance'!E36:H36)</f>
        <v>3.9947363326776585E-5</v>
      </c>
      <c r="D36">
        <f>Concentrations!F36/Concentrations!E36</f>
        <v>0.10862218771257093</v>
      </c>
    </row>
    <row r="37" spans="1:4">
      <c r="A37">
        <f>'Mass Balance'!I37</f>
        <v>8.3585439425180848E-8</v>
      </c>
      <c r="B37">
        <f>'Mass Balance'!E37</f>
        <v>8.3096859571615436E-6</v>
      </c>
      <c r="C37">
        <f>SUM('Mass Balance'!E37:H37)</f>
        <v>3.70920008115804E-5</v>
      </c>
      <c r="D37">
        <f>Concentrations!F37/Concentrations!E37</f>
        <v>0.22490582970047909</v>
      </c>
    </row>
    <row r="38" spans="1:4">
      <c r="A38">
        <f>'Mass Balance'!I38</f>
        <v>2.4541921476042572E-8</v>
      </c>
      <c r="B38">
        <f>'Mass Balance'!E38</f>
        <v>2.451427769878968E-5</v>
      </c>
      <c r="C38">
        <f>SUM('Mass Balance'!E38:H38)</f>
        <v>3.9900193548456695E-5</v>
      </c>
      <c r="D38">
        <f>Concentrations!F38/Concentrations!E38</f>
        <v>0.61679445598249316</v>
      </c>
    </row>
    <row r="39" spans="1:4">
      <c r="A39">
        <f>'Mass Balance'!I39</f>
        <v>3.3568530265456458E-7</v>
      </c>
      <c r="B39">
        <f>'Mass Balance'!E39</f>
        <v>4.1113110062561882E-7</v>
      </c>
      <c r="C39">
        <f>SUM('Mass Balance'!E39:H39)</f>
        <v>3.5276510670988954E-5</v>
      </c>
      <c r="D39">
        <f>Concentrations!F39/Concentrations!E39</f>
        <v>1.1700140373438877E-2</v>
      </c>
    </row>
    <row r="40" spans="1:4">
      <c r="A40">
        <f>'Mass Balance'!I40</f>
        <v>2.1135846400238001E-6</v>
      </c>
      <c r="B40">
        <f>'Mass Balance'!E40</f>
        <v>3.8570216889200514E-8</v>
      </c>
      <c r="C40">
        <f>SUM('Mass Balance'!E40:H40)</f>
        <v>3.7775710506118055E-5</v>
      </c>
      <c r="D40">
        <f>Concentrations!F40/Concentrations!E40</f>
        <v>1.0250281720648683E-3</v>
      </c>
    </row>
    <row r="41" spans="1:4">
      <c r="A41">
        <f>'Mass Balance'!I41</f>
        <v>1.3135076392355808E-8</v>
      </c>
      <c r="B41">
        <f>'Mass Balance'!E41</f>
        <v>3.6530844283286008E-5</v>
      </c>
      <c r="C41">
        <f>SUM('Mass Balance'!E41:H41)</f>
        <v>3.6532522499053994E-5</v>
      </c>
      <c r="D41">
        <f>Concentrations!F41/Concentrations!E41</f>
        <v>1.0038675396339611</v>
      </c>
    </row>
    <row r="42" spans="1:4">
      <c r="A42">
        <f>'Mass Balance'!I42</f>
        <v>9.6991405819061932E-8</v>
      </c>
      <c r="B42">
        <f>'Mass Balance'!E42</f>
        <v>2.0944367156047296E-5</v>
      </c>
      <c r="C42">
        <f>SUM('Mass Balance'!E42:H42)</f>
        <v>2.7996702916660094E-5</v>
      </c>
      <c r="D42">
        <f>Concentrations!F42/Concentrations!E42</f>
        <v>0.75102901537292632</v>
      </c>
    </row>
    <row r="43" spans="1:4">
      <c r="A43">
        <f>'Mass Balance'!I43</f>
        <v>6.4114793825232932E-8</v>
      </c>
      <c r="B43">
        <f>'Mass Balance'!E43</f>
        <v>3.5213074029156346E-7</v>
      </c>
      <c r="C43">
        <f>SUM('Mass Balance'!E43:H43)</f>
        <v>3.9919033477170772E-5</v>
      </c>
      <c r="D43">
        <f>Concentrations!F43/Concentrations!E43</f>
        <v>8.855646753836037E-3</v>
      </c>
    </row>
    <row r="44" spans="1:4">
      <c r="A44">
        <f>'Mass Balance'!I44</f>
        <v>2.5433822219451252E-8</v>
      </c>
      <c r="B44">
        <f>'Mass Balance'!E44</f>
        <v>3.0467274441998954E-5</v>
      </c>
      <c r="C44">
        <f>SUM('Mass Balance'!E44:H44)</f>
        <v>3.1482832343170442E-5</v>
      </c>
      <c r="D44">
        <f>Concentrations!F44/Concentrations!E44</f>
        <v>0.97152989827926484</v>
      </c>
    </row>
    <row r="45" spans="1:4">
      <c r="A45">
        <f>'Mass Balance'!I45</f>
        <v>1.0758648231770869E-7</v>
      </c>
      <c r="B45">
        <f>'Mass Balance'!E45</f>
        <v>1.9532466433841311E-5</v>
      </c>
      <c r="C45">
        <f>SUM('Mass Balance'!E45:H45)</f>
        <v>2.754193974038855E-5</v>
      </c>
      <c r="D45">
        <f>Concentrations!F45/Concentrations!E45</f>
        <v>0.71196546040949049</v>
      </c>
    </row>
    <row r="46" spans="1:4">
      <c r="A46">
        <f>'Mass Balance'!I46</f>
        <v>1.0070206021449412E-7</v>
      </c>
      <c r="B46">
        <f>'Mass Balance'!E46</f>
        <v>2.0381674167928348E-5</v>
      </c>
      <c r="C46">
        <f>SUM('Mass Balance'!E46:H46)</f>
        <v>2.7770862389635137E-5</v>
      </c>
      <c r="D46">
        <f>Concentrations!F46/Concentrations!E46</f>
        <v>0.73679530590858944</v>
      </c>
    </row>
    <row r="47" spans="1:4">
      <c r="A47">
        <f>'Mass Balance'!I47</f>
        <v>1.7157378506165271E-6</v>
      </c>
      <c r="B47">
        <f>'Mass Balance'!E47</f>
        <v>2.5492200697933541E-8</v>
      </c>
      <c r="C47">
        <f>SUM('Mass Balance'!E47:H47)</f>
        <v>3.5090097401375774E-5</v>
      </c>
      <c r="D47">
        <f>Concentrations!F47/Concentrations!E47</f>
        <v>7.2932166972692735E-4</v>
      </c>
    </row>
    <row r="48" spans="1:4">
      <c r="A48">
        <f>'Mass Balance'!I48</f>
        <v>1.8060723510486203E-8</v>
      </c>
      <c r="B48">
        <f>'Mass Balance'!E48</f>
        <v>3.6113484050281802E-5</v>
      </c>
      <c r="C48">
        <f>SUM('Mass Balance'!E48:H48)</f>
        <v>3.6449148903393877E-5</v>
      </c>
      <c r="D48">
        <f>Concentrations!F48/Concentrations!E48</f>
        <v>0.99466848831057519</v>
      </c>
    </row>
    <row r="49" spans="1:4">
      <c r="A49">
        <f>'Mass Balance'!I49</f>
        <v>2.1096551746601683E-8</v>
      </c>
      <c r="B49">
        <f>'Mass Balance'!E49</f>
        <v>3.4460955174678744E-5</v>
      </c>
      <c r="C49">
        <f>SUM('Mass Balance'!E49:H49)</f>
        <v>3.5052685299877131E-5</v>
      </c>
      <c r="D49">
        <f>Concentrations!F49/Concentrations!E49</f>
        <v>0.98696642602903828</v>
      </c>
    </row>
    <row r="50" spans="1:4">
      <c r="A50">
        <f>'Mass Balance'!I50</f>
        <v>2.8650832612649718E-7</v>
      </c>
      <c r="B50">
        <f>'Mass Balance'!E50</f>
        <v>2.9956225698147315E-6</v>
      </c>
      <c r="C50">
        <f>SUM('Mass Balance'!E50:H50)</f>
        <v>2.9813719221913424E-5</v>
      </c>
      <c r="D50">
        <f>Concentrations!F50/Concentrations!E50</f>
        <v>0.10087122598395441</v>
      </c>
    </row>
    <row r="51" spans="1:4">
      <c r="A51">
        <f>'Mass Balance'!I51</f>
        <v>1.3886979227450677E-8</v>
      </c>
      <c r="B51">
        <f>'Mass Balance'!E51</f>
        <v>3.6125810211520877E-5</v>
      </c>
      <c r="C51">
        <f>SUM('Mass Balance'!E51:H51)</f>
        <v>3.6181876959185308E-5</v>
      </c>
      <c r="D51">
        <f>Concentrations!F51/Concentrations!E51</f>
        <v>1.002358011511207</v>
      </c>
    </row>
    <row r="52" spans="1:4">
      <c r="A52">
        <f>'Mass Balance'!I52</f>
        <v>3.4436065736494276E-8</v>
      </c>
      <c r="B52">
        <f>'Mass Balance'!E52</f>
        <v>2.8879972621236377E-5</v>
      </c>
      <c r="C52">
        <f>SUM('Mass Balance'!E52:H52)</f>
        <v>3.0616557244046309E-5</v>
      </c>
      <c r="D52">
        <f>Concentrations!F52/Concentrations!E52</f>
        <v>0.94697123184535303</v>
      </c>
    </row>
    <row r="53" spans="1:4">
      <c r="A53">
        <f>'Mass Balance'!I53</f>
        <v>1.448454042315087E-7</v>
      </c>
      <c r="B53">
        <f>'Mass Balance'!E53</f>
        <v>1.5105777323816544E-5</v>
      </c>
      <c r="C53">
        <f>SUM('Mass Balance'!E53:H53)</f>
        <v>2.6574849430875326E-5</v>
      </c>
      <c r="D53">
        <f>Concentrations!F53/Concentrations!E53</f>
        <v>0.57064843187288916</v>
      </c>
    </row>
    <row r="54" spans="1:4">
      <c r="A54">
        <f>'Mass Balance'!I54</f>
        <v>1.5734105136732569E-6</v>
      </c>
      <c r="B54">
        <f>'Mass Balance'!E54</f>
        <v>3.5588194242829804E-8</v>
      </c>
      <c r="C54">
        <f>SUM('Mass Balance'!E54:H54)</f>
        <v>3.489226459081496E-5</v>
      </c>
      <c r="D54">
        <f>Concentrations!F54/Concentrations!E54</f>
        <v>1.0239368137133337E-3</v>
      </c>
    </row>
    <row r="55" spans="1:4">
      <c r="A55">
        <f>'Mass Balance'!I55</f>
        <v>2.1007615920218791E-7</v>
      </c>
      <c r="B55">
        <f>'Mass Balance'!E55</f>
        <v>5.4288273002682417E-6</v>
      </c>
      <c r="C55">
        <f>SUM('Mass Balance'!E55:H55)</f>
        <v>2.398472949363731E-5</v>
      </c>
      <c r="D55">
        <f>Concentrations!F55/Concentrations!E55</f>
        <v>0.2272309916891902</v>
      </c>
    </row>
    <row r="56" spans="1:4">
      <c r="A56">
        <f>'Mass Balance'!I56</f>
        <v>1.2367083287995968E-7</v>
      </c>
      <c r="B56">
        <f>'Mass Balance'!E56</f>
        <v>6.4311174370095424E-7</v>
      </c>
      <c r="C56">
        <f>SUM('Mass Balance'!E56:H56)</f>
        <v>1.2724190309781403E-5</v>
      </c>
      <c r="D56">
        <f>Concentrations!F56/Concentrations!E56</f>
        <v>5.0740255117251006E-2</v>
      </c>
    </row>
    <row r="57" spans="1:4">
      <c r="A57">
        <f>'Mass Balance'!I57</f>
        <v>6.0847921725788738E-8</v>
      </c>
      <c r="B57">
        <f>'Mass Balance'!E57</f>
        <v>1.1636793003711608E-6</v>
      </c>
      <c r="C57">
        <f>SUM('Mass Balance'!E57:H57)</f>
        <v>6.645969524352328E-6</v>
      </c>
      <c r="D57">
        <f>Concentrations!F57/Concentrations!E57</f>
        <v>0.17578075519766789</v>
      </c>
    </row>
    <row r="58" spans="1:4">
      <c r="A58">
        <f>'Mass Balance'!I58</f>
        <v>1.6065021265259682E-9</v>
      </c>
      <c r="B58">
        <f>'Mass Balance'!E58</f>
        <v>2.366538488597802E-6</v>
      </c>
      <c r="C58">
        <f>SUM('Mass Balance'!E58:H58)</f>
        <v>2.4184880069156423E-6</v>
      </c>
      <c r="D58">
        <f>Concentrations!F58/Concentrations!E58</f>
        <v>0.98234942729794883</v>
      </c>
    </row>
    <row r="59" spans="1:4">
      <c r="A59">
        <f>'Mass Balance'!I59</f>
        <v>2.3366749377127718E-8</v>
      </c>
      <c r="B59">
        <f>'Mass Balance'!E59</f>
        <v>4.7905400493765627E-7</v>
      </c>
      <c r="C59">
        <f>SUM('Mass Balance'!E59:H59)</f>
        <v>2.5748629251695546E-6</v>
      </c>
      <c r="D59">
        <f>Concentrations!F59/Concentrations!E59</f>
        <v>0.18677843130853475</v>
      </c>
    </row>
    <row r="60" spans="1:4">
      <c r="A60">
        <f>'Mass Balance'!I60</f>
        <v>4.0781426605924907E-10</v>
      </c>
      <c r="B60">
        <f>'Mass Balance'!E60</f>
        <v>1.791089048792045E-8</v>
      </c>
      <c r="C60">
        <f>SUM('Mass Balance'!E60:H60)</f>
        <v>5.2619371350533473E-8</v>
      </c>
      <c r="D60">
        <f>Concentrations!F60/Concentrations!E60</f>
        <v>0.34171802338874779</v>
      </c>
    </row>
    <row r="61" spans="1:4">
      <c r="A61">
        <f>'Mass Balance'!I61</f>
        <v>1.8277078860438886E-7</v>
      </c>
      <c r="B61">
        <f>'Mass Balance'!E61</f>
        <v>1.1318096279033297E-5</v>
      </c>
      <c r="C61">
        <f>SUM('Mass Balance'!E61:H61)</f>
        <v>2.6468400994574288E-5</v>
      </c>
      <c r="D61">
        <f>Concentrations!F61/Concentrations!E61</f>
        <v>0.42928136943734024</v>
      </c>
    </row>
    <row r="62" spans="1:4">
      <c r="A62">
        <f>'Mass Balance'!I62</f>
        <v>8.0872865230019615E-7</v>
      </c>
      <c r="B62">
        <f>'Mass Balance'!E62</f>
        <v>1.530752398516072E-7</v>
      </c>
      <c r="C62">
        <f>SUM('Mass Balance'!E62:H62)</f>
        <v>3.4557707988245058E-5</v>
      </c>
      <c r="D62">
        <f>Concentrations!F62/Concentrations!E62</f>
        <v>4.4468899351751282E-3</v>
      </c>
    </row>
    <row r="63" spans="1:4">
      <c r="A63">
        <f>'Mass Balance'!I63</f>
        <v>1.9326128362641573E-6</v>
      </c>
      <c r="B63">
        <f>'Mass Balance'!E63</f>
        <v>1.3924481195169545E-8</v>
      </c>
      <c r="C63">
        <f>SUM('Mass Balance'!E63:H63)</f>
        <v>3.5453080118263661E-5</v>
      </c>
      <c r="D63">
        <f>Concentrations!F63/Concentrations!E63</f>
        <v>3.9429513012256986E-4</v>
      </c>
    </row>
    <row r="64" spans="1:4">
      <c r="A64">
        <f>'Mass Balance'!I64</f>
        <v>2.2028365751891752E-6</v>
      </c>
      <c r="B64">
        <f>'Mass Balance'!E64</f>
        <v>4.8249926686285064E-9</v>
      </c>
      <c r="C64">
        <f>SUM('Mass Balance'!E64:H64)</f>
        <v>3.6036820535778651E-5</v>
      </c>
      <c r="D64">
        <f>Concentrations!F64/Concentrations!E64</f>
        <v>1.3441463378141346E-4</v>
      </c>
    </row>
    <row r="65" spans="1:4">
      <c r="A65">
        <f>'Mass Balance'!I65</f>
        <v>2.3961032176845885E-6</v>
      </c>
      <c r="B65">
        <f>'Mass Balance'!E65</f>
        <v>1.3549101325611106E-9</v>
      </c>
      <c r="C65">
        <f>SUM('Mass Balance'!E65:H65)</f>
        <v>3.6551288879915204E-5</v>
      </c>
      <c r="D65">
        <f>Concentrations!F65/Concentrations!E65</f>
        <v>3.721381181810586E-5</v>
      </c>
    </row>
    <row r="66" spans="1:4">
      <c r="A66">
        <f>'Mass Balance'!I66</f>
        <v>2.2987627125952602E-6</v>
      </c>
      <c r="B66">
        <f>'Mass Balance'!E66</f>
        <v>2.8087601782725475E-9</v>
      </c>
      <c r="C66">
        <f>SUM('Mass Balance'!E66:H66)</f>
        <v>3.6281903898247531E-5</v>
      </c>
      <c r="D66">
        <f>Concentrations!F66/Concentrations!E66</f>
        <v>7.7717881346988231E-5</v>
      </c>
    </row>
    <row r="67" spans="1:4">
      <c r="A67">
        <f>'Mass Balance'!I67</f>
        <v>3.026328792923905E-8</v>
      </c>
      <c r="B67">
        <f>'Mass Balance'!E67</f>
        <v>3.2452346180475542E-5</v>
      </c>
      <c r="C67">
        <f>SUM('Mass Balance'!E67:H67)</f>
        <v>3.3769115909504205E-5</v>
      </c>
      <c r="D67">
        <f>Concentrations!F67/Concentrations!E67</f>
        <v>0.96476773687511463</v>
      </c>
    </row>
    <row r="68" spans="1:4">
      <c r="A68">
        <f>'Mass Balance'!I68</f>
        <v>4.176640848614058E-8</v>
      </c>
      <c r="B68">
        <f>'Mass Balance'!E68</f>
        <v>2.9588290192823373E-5</v>
      </c>
      <c r="C68">
        <f>SUM('Mass Balance'!E68:H68)</f>
        <v>3.1863517337795652E-5</v>
      </c>
      <c r="D68">
        <f>Concentrations!F68/Concentrations!E68</f>
        <v>0.93222880251935281</v>
      </c>
    </row>
    <row r="69" spans="1:4">
      <c r="A69">
        <f>'Mass Balance'!I69</f>
        <v>1.3613084412667273E-6</v>
      </c>
      <c r="B69">
        <f>'Mass Balance'!E69</f>
        <v>5.5195026826742618E-8</v>
      </c>
      <c r="C69">
        <f>SUM('Mass Balance'!E69:H69)</f>
        <v>3.4641098572699939E-5</v>
      </c>
      <c r="D69">
        <f>Concentrations!F69/Concentrations!E69</f>
        <v>1.5995751726402133E-3</v>
      </c>
    </row>
    <row r="70" spans="1:4">
      <c r="A70">
        <f>'Mass Balance'!I70</f>
        <v>3.1966099191549262E-7</v>
      </c>
      <c r="B70">
        <f>'Mass Balance'!E70</f>
        <v>1.0188601783734226E-6</v>
      </c>
      <c r="C70">
        <f>SUM('Mass Balance'!E70:H70)</f>
        <v>3.3181746621199131E-5</v>
      </c>
      <c r="D70">
        <f>Concentrations!F70/Concentrations!E70</f>
        <v>3.0825612024579736E-2</v>
      </c>
    </row>
    <row r="71" spans="1:4">
      <c r="A71">
        <f>'Mass Balance'!I71</f>
        <v>3.9015017636239121E-8</v>
      </c>
      <c r="B71">
        <f>'Mass Balance'!E71</f>
        <v>2.9607870086333501E-5</v>
      </c>
      <c r="C71">
        <f>SUM('Mass Balance'!E71:H71)</f>
        <v>3.1671285617245616E-5</v>
      </c>
      <c r="D71">
        <f>Concentrations!F71/Concentrations!E71</f>
        <v>0.93850769095966735</v>
      </c>
    </row>
    <row r="72" spans="1:4">
      <c r="A72">
        <f>'Mass Balance'!I72</f>
        <v>3.137300822889408E-7</v>
      </c>
      <c r="B72">
        <f>'Mass Balance'!E72</f>
        <v>1.1772334097560043E-6</v>
      </c>
      <c r="C72">
        <f>SUM('Mass Balance'!E72:H72)</f>
        <v>3.2434649548944703E-5</v>
      </c>
      <c r="D72">
        <f>Concentrations!F72/Concentrations!E72</f>
        <v>3.6437597259925153E-2</v>
      </c>
    </row>
    <row r="73" spans="1:4">
      <c r="A73">
        <f>'Mass Balance'!I73</f>
        <v>1.8852647150491053E-7</v>
      </c>
      <c r="B73">
        <f>'Mass Balance'!E73</f>
        <v>1.0413883014647004E-5</v>
      </c>
      <c r="C73">
        <f>SUM('Mass Balance'!E73:H73)</f>
        <v>2.6183164823696524E-5</v>
      </c>
      <c r="D73">
        <f>Concentrations!F73/Concentrations!E73</f>
        <v>0.39928860591166571</v>
      </c>
    </row>
    <row r="74" spans="1:4">
      <c r="A74">
        <f>'Mass Balance'!I74</f>
        <v>3.1838317616381077E-7</v>
      </c>
      <c r="B74">
        <f>'Mass Balance'!E74</f>
        <v>1.0632328210332848E-6</v>
      </c>
      <c r="C74">
        <f>SUM('Mass Balance'!E74:H74)</f>
        <v>3.3007757295159E-5</v>
      </c>
      <c r="D74">
        <f>Concentrations!F74/Concentrations!E74</f>
        <v>3.2337669598745414E-2</v>
      </c>
    </row>
    <row r="75" spans="1:4">
      <c r="A75">
        <f>'Mass Balance'!I75</f>
        <v>2.1184728598735156E-7</v>
      </c>
      <c r="B75">
        <f>'Mass Balance'!E75</f>
        <v>1.719204621467374E-7</v>
      </c>
      <c r="C75">
        <f>SUM('Mass Balance'!E75:H75)</f>
        <v>3.9784825851568864E-5</v>
      </c>
      <c r="D75">
        <f>Concentrations!F75/Concentrations!E75</f>
        <v>4.3381690424097374E-3</v>
      </c>
    </row>
    <row r="76" spans="1:4">
      <c r="A76">
        <f>'Mass Balance'!I76</f>
        <v>2.118472861004898E-7</v>
      </c>
      <c r="B76">
        <f>'Mass Balance'!E76</f>
        <v>1.7192046223855246E-7</v>
      </c>
      <c r="C76">
        <f>SUM('Mass Balance'!E76:H76)</f>
        <v>3.978482587281617E-5</v>
      </c>
      <c r="D76">
        <f>Concentrations!F76/Concentrations!E76</f>
        <v>4.3381690424097374E-3</v>
      </c>
    </row>
    <row r="77" spans="1:4">
      <c r="A77">
        <f>'Mass Balance'!I77</f>
        <v>2.6528799241710998E-7</v>
      </c>
      <c r="B77">
        <f>'Mass Balance'!E77</f>
        <v>4.0229379840271887E-6</v>
      </c>
      <c r="C77">
        <f>SUM('Mass Balance'!E77:H77)</f>
        <v>2.8282937770308518E-5</v>
      </c>
      <c r="D77">
        <f>Concentrations!F77/Concentrations!E77</f>
        <v>0.14279571719987916</v>
      </c>
    </row>
    <row r="78" spans="1:4">
      <c r="A78">
        <f>'Mass Balance'!I78</f>
        <v>8.8885666081376294E-8</v>
      </c>
      <c r="B78">
        <f>'Mass Balance'!E78</f>
        <v>2.0914009006792186E-5</v>
      </c>
      <c r="C78">
        <f>SUM('Mass Balance'!E78:H78)</f>
        <v>2.7295441805295279E-5</v>
      </c>
      <c r="D78">
        <f>Concentrations!F78/Concentrations!E78</f>
        <v>0.76920752608869425</v>
      </c>
    </row>
    <row r="79" spans="1:4">
      <c r="A79">
        <f>'Mass Balance'!I79</f>
        <v>1.4718103861351589E-7</v>
      </c>
      <c r="B79">
        <f>'Mass Balance'!E79</f>
        <v>1.4674251753226857E-5</v>
      </c>
      <c r="C79">
        <f>SUM('Mass Balance'!E79:H79)</f>
        <v>2.6378688613488666E-5</v>
      </c>
      <c r="D79">
        <f>Concentrations!F79/Concentrations!E79</f>
        <v>0.5584690716502958</v>
      </c>
    </row>
    <row r="80" spans="1:4">
      <c r="A80">
        <f>'Mass Balance'!I80</f>
        <v>4.094661191240768E-7</v>
      </c>
      <c r="B80">
        <f>'Mass Balance'!E80</f>
        <v>1.1598702155045017E-7</v>
      </c>
      <c r="C80">
        <f>SUM('Mass Balance'!E80:H80)</f>
        <v>3.9586499149268247E-5</v>
      </c>
      <c r="D80">
        <f>Concentrations!F80/Concentrations!E80</f>
        <v>2.941430979542805E-3</v>
      </c>
    </row>
    <row r="81" spans="1:4">
      <c r="A81">
        <f>'Mass Balance'!I81</f>
        <v>1.475509370282046E-8</v>
      </c>
      <c r="B81">
        <f>'Mass Balance'!E81</f>
        <v>3.87754846070064E-5</v>
      </c>
      <c r="C81">
        <f>SUM('Mass Balance'!E81:H81)</f>
        <v>3.8826182034058987E-5</v>
      </c>
      <c r="D81">
        <f>Concentrations!F81/Concentrations!E81</f>
        <v>1.0026027931264743</v>
      </c>
    </row>
    <row r="82" spans="1:4">
      <c r="A82">
        <f>'Mass Balance'!I82</f>
        <v>4.8363871621833705E-8</v>
      </c>
      <c r="B82">
        <f>'Mass Balance'!E82</f>
        <v>2.8644474909137903E-5</v>
      </c>
      <c r="C82">
        <f>SUM('Mass Balance'!E82:H82)</f>
        <v>3.1461410922178218E-5</v>
      </c>
      <c r="D82">
        <f>Concentrations!F82/Concentrations!E82</f>
        <v>0.9140270164622144</v>
      </c>
    </row>
    <row r="83" spans="1:4">
      <c r="A83">
        <f>'Mass Balance'!I83</f>
        <v>2.5822152668105655E-7</v>
      </c>
      <c r="B83">
        <f>'Mass Balance'!E83</f>
        <v>5.0541470759830404E-6</v>
      </c>
      <c r="C83">
        <f>SUM('Mass Balance'!E83:H83)</f>
        <v>2.8284503635030553E-5</v>
      </c>
      <c r="D83">
        <f>Concentrations!F83/Concentrations!E83</f>
        <v>0.17938894525213359</v>
      </c>
    </row>
    <row r="84" spans="1:4">
      <c r="A84">
        <f>'Mass Balance'!I84</f>
        <v>1.6794735970607852E-8</v>
      </c>
      <c r="B84">
        <f>'Mass Balance'!E84</f>
        <v>3.7279381281935434E-5</v>
      </c>
      <c r="C84">
        <f>SUM('Mass Balance'!E84:H84)</f>
        <v>3.7499451969971494E-5</v>
      </c>
      <c r="D84">
        <f>Concentrations!F84/Concentrations!E84</f>
        <v>0.99802205172041047</v>
      </c>
    </row>
    <row r="85" spans="1:4">
      <c r="A85">
        <f>'Mass Balance'!I85</f>
        <v>1.433920433087866E-8</v>
      </c>
      <c r="B85">
        <f>'Mass Balance'!E85</f>
        <v>3.9492543036503657E-5</v>
      </c>
      <c r="C85">
        <f>SUM('Mass Balance'!E85:H85)</f>
        <v>3.9502205532179474E-5</v>
      </c>
      <c r="D85">
        <f>Concentrations!F85/Concentrations!E85</f>
        <v>1.0036680932087843</v>
      </c>
    </row>
    <row r="86" spans="1:4">
      <c r="A86">
        <f>'Mass Balance'!I86</f>
        <v>1.6669661767042505E-8</v>
      </c>
      <c r="B86">
        <f>'Mass Balance'!E86</f>
        <v>3.7349032730017946E-5</v>
      </c>
      <c r="C86">
        <f>SUM('Mass Balance'!E86:H86)</f>
        <v>3.7558958551672642E-5</v>
      </c>
      <c r="D86">
        <f>Concentrations!F86/Concentrations!E86</f>
        <v>0.9983025482944875</v>
      </c>
    </row>
    <row r="87" spans="1:4">
      <c r="A87">
        <f>'Mass Balance'!I87</f>
        <v>1.8042262031376254E-6</v>
      </c>
      <c r="B87">
        <f>'Mass Balance'!E87</f>
        <v>2.0256984342069172E-8</v>
      </c>
      <c r="C87">
        <f>SUM('Mass Balance'!E87:H87)</f>
        <v>3.5227904104078543E-5</v>
      </c>
      <c r="D87">
        <f>Concentrations!F87/Concentrations!E87</f>
        <v>5.7727712584221204E-4</v>
      </c>
    </row>
    <row r="88" spans="1:4">
      <c r="A88">
        <f>'Mass Balance'!I88</f>
        <v>7.5859935185711571E-8</v>
      </c>
      <c r="B88">
        <f>'Mass Balance'!E88</f>
        <v>2.3966592409630571E-5</v>
      </c>
      <c r="C88">
        <f>SUM('Mass Balance'!E88:H88)</f>
        <v>2.9147080821775878E-5</v>
      </c>
      <c r="D88">
        <f>Concentrations!F88/Concentrations!E88</f>
        <v>0.8254819609178794</v>
      </c>
    </row>
    <row r="89" spans="1:4">
      <c r="A89">
        <f>'Mass Balance'!I89</f>
        <v>5.2590381469979681E-8</v>
      </c>
      <c r="B89">
        <f>'Mass Balance'!E89</f>
        <v>2.7850181236603351E-5</v>
      </c>
      <c r="C89">
        <f>SUM('Mass Balance'!E89:H89)</f>
        <v>3.1024678910888343E-5</v>
      </c>
      <c r="D89">
        <f>Concentrations!F89/Concentrations!E89</f>
        <v>0.90119151188221691</v>
      </c>
    </row>
    <row r="90" spans="1:4">
      <c r="A90">
        <f>'Mass Balance'!I90</f>
        <v>2.3694825145648694E-8</v>
      </c>
      <c r="B90">
        <f>'Mass Balance'!E90</f>
        <v>3.4520337632289289E-5</v>
      </c>
      <c r="C90">
        <f>SUM('Mass Balance'!E90:H90)</f>
        <v>3.5296963096316587E-5</v>
      </c>
      <c r="D90">
        <f>Concentrations!F90/Concentrations!E90</f>
        <v>0.98182493204176768</v>
      </c>
    </row>
    <row r="91" spans="1:4">
      <c r="A91">
        <f>'Mass Balance'!I91</f>
        <v>8.8689696491979491E-7</v>
      </c>
      <c r="B91">
        <f>'Mass Balance'!E91</f>
        <v>1.3292029578218581E-7</v>
      </c>
      <c r="C91">
        <f>SUM('Mass Balance'!E91:H91)</f>
        <v>3.4529560702699481E-5</v>
      </c>
      <c r="D91">
        <f>Concentrations!F91/Concentrations!E91</f>
        <v>3.8645293340741375E-3</v>
      </c>
    </row>
    <row r="92" spans="1:4">
      <c r="A92">
        <f>'Mass Balance'!I92</f>
        <v>2.3200212434818741E-7</v>
      </c>
      <c r="B92">
        <f>'Mass Balance'!E92</f>
        <v>7.0481375411287499E-6</v>
      </c>
      <c r="C92">
        <f>SUM('Mass Balance'!E92:H92)</f>
        <v>2.7317000632740198E-5</v>
      </c>
      <c r="D92">
        <f>Concentrations!F92/Concentrations!E92</f>
        <v>0.25902263682185789</v>
      </c>
    </row>
    <row r="93" spans="1:4">
      <c r="A93">
        <f>'Mass Balance'!I93</f>
        <v>3.1205196170063078E-7</v>
      </c>
      <c r="B93">
        <f>'Mass Balance'!E93</f>
        <v>1.5488384576780765E-6</v>
      </c>
      <c r="C93">
        <f>SUM('Mass Balance'!E93:H93)</f>
        <v>3.2118480523070248E-5</v>
      </c>
      <c r="D93">
        <f>Concentrations!F93/Concentrations!E93</f>
        <v>4.8411383565722318E-2</v>
      </c>
    </row>
    <row r="94" spans="1:4">
      <c r="A94">
        <f>'Mass Balance'!I94</f>
        <v>1.742876237828637E-8</v>
      </c>
      <c r="B94">
        <f>'Mass Balance'!E94</f>
        <v>3.5775124826250914E-5</v>
      </c>
      <c r="C94">
        <f>SUM('Mass Balance'!E94:H94)</f>
        <v>3.9976193687841764E-5</v>
      </c>
      <c r="D94">
        <f>Concentrations!F94/Concentrations!E94</f>
        <v>0.89841310742128699</v>
      </c>
    </row>
    <row r="95" spans="1:4">
      <c r="A95">
        <f>'Mass Balance'!I95</f>
        <v>4.4718153163373841E-7</v>
      </c>
      <c r="B95">
        <f>'Mass Balance'!E95</f>
        <v>3.1281251696415587E-7</v>
      </c>
      <c r="C95">
        <f>SUM('Mass Balance'!E95:H95)</f>
        <v>3.4988941976684403E-5</v>
      </c>
      <c r="D95">
        <f>Concentrations!F95/Concentrations!E95</f>
        <v>8.9753144885108549E-3</v>
      </c>
    </row>
    <row r="96" spans="1:4">
      <c r="A96">
        <f>'Mass Balance'!I96</f>
        <v>1.4798020232081346E-8</v>
      </c>
      <c r="B96">
        <f>'Mass Balance'!E96</f>
        <v>3.8726939270633779E-5</v>
      </c>
      <c r="C96">
        <f>SUM('Mass Balance'!E96:H96)</f>
        <v>3.8781433575511269E-5</v>
      </c>
      <c r="D96">
        <f>Concentrations!F96/Concentrations!E96</f>
        <v>1.0025029928797256</v>
      </c>
    </row>
    <row r="97" spans="1:4">
      <c r="A97">
        <f>'Mass Balance'!I97</f>
        <v>1.6859522779390617E-8</v>
      </c>
      <c r="B97">
        <f>'Mass Balance'!E97</f>
        <v>3.7243880400321726E-5</v>
      </c>
      <c r="C97">
        <f>SUM('Mass Balance'!E97:H97)</f>
        <v>3.7469201754710943E-5</v>
      </c>
      <c r="D97">
        <f>Concentrations!F97/Concentrations!E97</f>
        <v>0.99787661392795624</v>
      </c>
    </row>
    <row r="98" spans="1:4">
      <c r="A98">
        <f>'Mass Balance'!I98</f>
        <v>3.2498361560661305E-7</v>
      </c>
      <c r="B98">
        <f>'Mass Balance'!E98</f>
        <v>7.3005362845337463E-7</v>
      </c>
      <c r="C98">
        <f>SUM('Mass Balance'!E98:H98)</f>
        <v>3.412359078108395E-5</v>
      </c>
      <c r="D98">
        <f>Concentrations!F98/Concentrations!E98</f>
        <v>2.1478126749584533E-2</v>
      </c>
    </row>
    <row r="99" spans="1:4">
      <c r="A99">
        <f>'Mass Balance'!I99</f>
        <v>1.4309855501224645E-8</v>
      </c>
      <c r="B99">
        <f>'Mass Balance'!E99</f>
        <v>3.9646091083863094E-5</v>
      </c>
      <c r="C99">
        <f>SUM('Mass Balance'!E99:H99)</f>
        <v>3.9650925823555347E-5</v>
      </c>
      <c r="D99">
        <f>Concentrations!F99/Concentrations!E99</f>
        <v>1.0037912472179729</v>
      </c>
    </row>
    <row r="100" spans="1:4">
      <c r="A100">
        <f>'Mass Balance'!I100</f>
        <v>1.3411291101748514E-7</v>
      </c>
      <c r="B100">
        <f>'Mass Balance'!E100</f>
        <v>1.6360639341903782E-5</v>
      </c>
      <c r="C100">
        <f>SUM('Mass Balance'!E100:H100)</f>
        <v>2.6814098474915987E-5</v>
      </c>
      <c r="D100">
        <f>Concentrations!F100/Concentrations!E100</f>
        <v>0.6125385601891854</v>
      </c>
    </row>
    <row r="101" spans="1:4">
      <c r="A101">
        <f>'Mass Balance'!I101</f>
        <v>1.4363711887990796E-8</v>
      </c>
      <c r="B101">
        <f>'Mass Balance'!E101</f>
        <v>3.9412380082073651E-5</v>
      </c>
      <c r="C101">
        <f>SUM('Mass Balance'!E101:H101)</f>
        <v>3.9425153314565209E-5</v>
      </c>
      <c r="D101">
        <f>Concentrations!F101/Concentrations!E101</f>
        <v>1.0035884021450032</v>
      </c>
    </row>
    <row r="102" spans="1:4">
      <c r="A102">
        <f>'Mass Balance'!I102</f>
        <v>1.4309589919054862E-8</v>
      </c>
      <c r="B102">
        <f>'Mass Balance'!E102</f>
        <v>3.9842383297779301E-5</v>
      </c>
      <c r="C102">
        <f>SUM('Mass Balance'!E102:H102)</f>
        <v>3.9843354307636064E-5</v>
      </c>
      <c r="D102">
        <f>Concentrations!F102/Concentrations!E102</f>
        <v>1.0038891909364551</v>
      </c>
    </row>
    <row r="103" spans="1:4">
      <c r="A103">
        <f>'Mass Balance'!I103</f>
        <v>1.4308696039334023E-8</v>
      </c>
      <c r="B103">
        <f>'Mass Balance'!E103</f>
        <v>3.9657026069816685E-5</v>
      </c>
      <c r="C103">
        <f>SUM('Mass Balance'!E103:H103)</f>
        <v>3.966157572745994E-5</v>
      </c>
      <c r="D103">
        <f>Concentrations!F103/Concentrations!E103</f>
        <v>1.0037984960831403</v>
      </c>
    </row>
    <row r="104" spans="1:4">
      <c r="A104">
        <f>'Mass Balance'!I104</f>
        <v>1.5572822424488241E-8</v>
      </c>
      <c r="B104">
        <f>'Mass Balance'!E104</f>
        <v>3.8046138280463267E-5</v>
      </c>
      <c r="C104">
        <f>SUM('Mass Balance'!E104:H104)</f>
        <v>3.8166316280222078E-5</v>
      </c>
      <c r="D104">
        <f>Concentrations!F104/Concentrations!E104</f>
        <v>1.0007525362272784</v>
      </c>
    </row>
    <row r="105" spans="1:4">
      <c r="A105">
        <f>'Mass Balance'!I105</f>
        <v>1.4306751461049367E-8</v>
      </c>
      <c r="B105">
        <f>'Mass Balance'!E105</f>
        <v>3.9813625139732656E-5</v>
      </c>
      <c r="C105">
        <f>SUM('Mass Balance'!E105:H105)</f>
        <v>3.9814990118948163E-5</v>
      </c>
      <c r="D105">
        <f>Concentrations!F105/Concentrations!E105</f>
        <v>1.0038792397804068</v>
      </c>
    </row>
    <row r="106" spans="1:4">
      <c r="A106">
        <f>'Mass Balance'!I106</f>
        <v>2.9050964548878592E-8</v>
      </c>
      <c r="B106">
        <f>'Mass Balance'!E106</f>
        <v>3.2960460903815266E-5</v>
      </c>
      <c r="C106">
        <f>SUM('Mass Balance'!E106:H106)</f>
        <v>3.4172617090307094E-5</v>
      </c>
      <c r="D106">
        <f>Concentrations!F106/Concentrations!E106</f>
        <v>0.96830326910358966</v>
      </c>
    </row>
    <row r="107" spans="1:4">
      <c r="A107">
        <f>'Mass Balance'!I107</f>
        <v>3.2721054994017556E-7</v>
      </c>
      <c r="B107">
        <f>'Mass Balance'!E107</f>
        <v>5.4276303006833169E-7</v>
      </c>
      <c r="C107">
        <f>SUM('Mass Balance'!E107:H107)</f>
        <v>3.4783564508505718E-5</v>
      </c>
      <c r="D107">
        <f>Concentrations!F107/Concentrations!E107</f>
        <v>1.5665077058658026E-2</v>
      </c>
    </row>
    <row r="108" spans="1:4">
      <c r="A108">
        <f>'Mass Balance'!I108</f>
        <v>1.1326186744354611E-7</v>
      </c>
      <c r="B108">
        <f>'Mass Balance'!E108</f>
        <v>1.8839098032443627E-5</v>
      </c>
      <c r="C108">
        <f>SUM('Mass Balance'!E108:H108)</f>
        <v>2.7364271973741116E-5</v>
      </c>
      <c r="D108">
        <f>Concentrations!F108/Concentrations!E108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0.7732662553181171</v>
      </c>
      <c r="M2" s="115">
        <v>2.3066624010099051</v>
      </c>
      <c r="N2" s="115">
        <v>52.904998121745763</v>
      </c>
      <c r="O2" s="115">
        <v>1.1290114606234134</v>
      </c>
      <c r="P2" s="115">
        <v>1.1587919848470758</v>
      </c>
      <c r="Q2" s="111">
        <v>1.1290114606234136</v>
      </c>
      <c r="R2" s="68">
        <v>1.158791984847076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6.3667669265099036E-4</v>
      </c>
      <c r="M3" s="115">
        <v>105.28129486135576</v>
      </c>
      <c r="N3" s="115">
        <v>3512.6106222684489</v>
      </c>
      <c r="O3" s="115">
        <v>21.184810385135464</v>
      </c>
      <c r="P3" s="115">
        <v>9.0745466342038625</v>
      </c>
      <c r="Q3" s="111">
        <v>21.184810385135464</v>
      </c>
      <c r="R3" s="68">
        <v>9.0745466342038625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0.3533594255704986</v>
      </c>
      <c r="M4" s="115">
        <v>9.5320209678494709</v>
      </c>
      <c r="N4" s="115">
        <v>302.02742553650427</v>
      </c>
      <c r="O4" s="115">
        <v>3.2552605258362206</v>
      </c>
      <c r="P4" s="115">
        <v>3.0495181052196521</v>
      </c>
      <c r="Q4" s="111">
        <v>3.2552605258362206</v>
      </c>
      <c r="R4" s="68">
        <v>3.0495181052196521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6.8748058225050817E-3</v>
      </c>
      <c r="M5" s="115">
        <v>31.215392607750886</v>
      </c>
      <c r="N5" s="115">
        <v>1033.59247581043</v>
      </c>
      <c r="O5" s="115">
        <v>9.1039847013793782</v>
      </c>
      <c r="P5" s="115">
        <v>7.6765495202648895</v>
      </c>
      <c r="Q5" s="111">
        <v>9.10398470137938</v>
      </c>
      <c r="R5" s="68">
        <v>7.6765495202648903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2.8512101831759462E-4</v>
      </c>
      <c r="M6" s="115">
        <v>122.79320691830482</v>
      </c>
      <c r="N6" s="115">
        <v>4104.8350669352913</v>
      </c>
      <c r="O6" s="115">
        <v>24.05266322573037</v>
      </c>
      <c r="P6" s="115">
        <v>9.5279762433153721</v>
      </c>
      <c r="Q6" s="111">
        <v>24.052663225730374</v>
      </c>
      <c r="R6" s="68">
        <v>9.5279762433153721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5.6991979883688076E-4</v>
      </c>
      <c r="M7" s="115">
        <v>108.41304579874436</v>
      </c>
      <c r="N7" s="115">
        <v>3618.1296980345478</v>
      </c>
      <c r="O7" s="115">
        <v>21.71017448565518</v>
      </c>
      <c r="P7" s="115">
        <v>9.1717288951038629</v>
      </c>
      <c r="Q7" s="111">
        <v>21.71017448565518</v>
      </c>
      <c r="R7" s="68">
        <v>9.1717288951038629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1.2710921071505548E-3</v>
      </c>
      <c r="M8" s="115">
        <v>86.560972531071158</v>
      </c>
      <c r="N8" s="115">
        <v>2882.785702135513</v>
      </c>
      <c r="O8" s="115">
        <v>18.135974225730664</v>
      </c>
      <c r="P8" s="115">
        <v>8.6751127321227859</v>
      </c>
      <c r="Q8" s="111">
        <v>18.135974225730667</v>
      </c>
      <c r="R8" s="68">
        <v>8.6751127321227859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5.9204928944515248E-2</v>
      </c>
      <c r="M9" s="115">
        <v>18.394841164084706</v>
      </c>
      <c r="N9" s="115">
        <v>604.04062040094391</v>
      </c>
      <c r="O9" s="115">
        <v>6.346761531017183</v>
      </c>
      <c r="P9" s="115">
        <v>6.2302904377839541</v>
      </c>
      <c r="Q9" s="111">
        <v>6.346761531017183</v>
      </c>
      <c r="R9" s="68">
        <v>6.230290437783955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6.3896636464376893E-3</v>
      </c>
      <c r="M10" s="115">
        <v>33.373948984359821</v>
      </c>
      <c r="N10" s="115">
        <v>1105.4170437634796</v>
      </c>
      <c r="O10" s="115">
        <v>9.4543668506038809</v>
      </c>
      <c r="P10" s="115">
        <v>7.7070800838745468</v>
      </c>
      <c r="Q10" s="111">
        <v>9.4543668506038809</v>
      </c>
      <c r="R10" s="68">
        <v>7.7070800838745477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5.6380623484921441E-3</v>
      </c>
      <c r="M11" s="115">
        <v>37.190466844178388</v>
      </c>
      <c r="N11" s="115">
        <v>1232.4712894499698</v>
      </c>
      <c r="O11" s="115">
        <v>10.073552293616146</v>
      </c>
      <c r="P11" s="115">
        <v>7.7615378074202601</v>
      </c>
      <c r="Q11" s="111">
        <v>10.073552293616146</v>
      </c>
      <c r="R11" s="68">
        <v>7.7615378074202601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3.7992650210352738E-2</v>
      </c>
      <c r="M12" s="115">
        <v>19.251381593402918</v>
      </c>
      <c r="N12" s="115">
        <v>633.52373330739977</v>
      </c>
      <c r="O12" s="115">
        <v>6.7228844241326966</v>
      </c>
      <c r="P12" s="115">
        <v>6.6842827138672316</v>
      </c>
      <c r="Q12" s="111">
        <v>6.7228844241326975</v>
      </c>
      <c r="R12" s="68">
        <v>6.6842827138672325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5.6801881158228255E-2</v>
      </c>
      <c r="M13" s="115">
        <v>18.489319540859416</v>
      </c>
      <c r="N13" s="115">
        <v>607.28208299206324</v>
      </c>
      <c r="O13" s="115">
        <v>6.3863106454609317</v>
      </c>
      <c r="P13" s="115">
        <v>6.2766641819352014</v>
      </c>
      <c r="Q13" s="111">
        <v>6.3863106454609326</v>
      </c>
      <c r="R13" s="68">
        <v>6.2766641819352014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3.7306833379380164E-3</v>
      </c>
      <c r="M14" s="115">
        <v>50.74155524265155</v>
      </c>
      <c r="N14" s="115">
        <v>1684.1921509057804</v>
      </c>
      <c r="O14" s="115">
        <v>12.279878798570833</v>
      </c>
      <c r="P14" s="115">
        <v>7.9791986989246935</v>
      </c>
      <c r="Q14" s="111">
        <v>12.279878798570833</v>
      </c>
      <c r="R14" s="68">
        <v>7.9791986989246944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6.0051360770086116E-3</v>
      </c>
      <c r="M15" s="115">
        <v>35.248288618553701</v>
      </c>
      <c r="N15" s="115">
        <v>1167.8051829761739</v>
      </c>
      <c r="O15" s="115">
        <v>9.7584914526965072</v>
      </c>
      <c r="P15" s="115">
        <v>7.7337214841209683</v>
      </c>
      <c r="Q15" s="111">
        <v>9.7584914526965072</v>
      </c>
      <c r="R15" s="68">
        <v>7.7337214841209683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1.3152557072138109E-3</v>
      </c>
      <c r="M16" s="115">
        <v>85.482511913268283</v>
      </c>
      <c r="N16" s="115">
        <v>2846.595501639958</v>
      </c>
      <c r="O16" s="115">
        <v>17.958455557637496</v>
      </c>
      <c r="P16" s="115">
        <v>8.6502607519971022</v>
      </c>
      <c r="Q16" s="111">
        <v>17.9584555576375</v>
      </c>
      <c r="R16" s="68">
        <v>8.6502607519971022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6.7104043338044516E-3</v>
      </c>
      <c r="M17" s="115">
        <v>31.924978292654679</v>
      </c>
      <c r="N17" s="115">
        <v>1057.2004597329321</v>
      </c>
      <c r="O17" s="115">
        <v>9.2193274896810511</v>
      </c>
      <c r="P17" s="115">
        <v>7.6868264037043499</v>
      </c>
      <c r="Q17" s="111">
        <v>9.2193274896810511</v>
      </c>
      <c r="R17" s="68">
        <v>7.6868264037043499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7.093224585811185E-2</v>
      </c>
      <c r="M18" s="115">
        <v>17.874222537742657</v>
      </c>
      <c r="N18" s="115">
        <v>586.29281217297057</v>
      </c>
      <c r="O18" s="115">
        <v>6.1381239877287888</v>
      </c>
      <c r="P18" s="115">
        <v>5.9931993034388364</v>
      </c>
      <c r="Q18" s="111">
        <v>6.1381239877287888</v>
      </c>
      <c r="R18" s="68">
        <v>5.9931993034388364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5.9303959092319352E-3</v>
      </c>
      <c r="M19" s="115">
        <v>35.631664385738475</v>
      </c>
      <c r="N19" s="115">
        <v>1180.5682816759479</v>
      </c>
      <c r="O19" s="115">
        <v>9.8207252426242668</v>
      </c>
      <c r="P19" s="115">
        <v>7.7392611516627694</v>
      </c>
      <c r="Q19" s="111">
        <v>9.8207252426242686</v>
      </c>
      <c r="R19" s="68">
        <v>7.7392611516627694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5.6809451361505378E-2</v>
      </c>
      <c r="M20" s="115">
        <v>18.491783682971011</v>
      </c>
      <c r="N20" s="115">
        <v>607.3630177907188</v>
      </c>
      <c r="O20" s="115">
        <v>6.3871617734304849</v>
      </c>
      <c r="P20" s="115">
        <v>6.2775006969024973</v>
      </c>
      <c r="Q20" s="111">
        <v>6.3871617734304849</v>
      </c>
      <c r="R20" s="68">
        <v>6.2775006969024973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4.2217982032187401E-3</v>
      </c>
      <c r="M21" s="115">
        <v>46.540349186267434</v>
      </c>
      <c r="N21" s="115">
        <v>1544.0514922221591</v>
      </c>
      <c r="O21" s="115">
        <v>11.593412698848912</v>
      </c>
      <c r="P21" s="115">
        <v>7.9056803894287144</v>
      </c>
      <c r="Q21" s="111">
        <v>11.593412698848914</v>
      </c>
      <c r="R21" s="68">
        <v>7.9056803894287144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0.56202303096090023</v>
      </c>
      <c r="M22" s="115">
        <v>5.2799220585685731</v>
      </c>
      <c r="N22" s="115">
        <v>156.33295985456024</v>
      </c>
      <c r="O22" s="115">
        <v>1.9594802259910225</v>
      </c>
      <c r="P22" s="115">
        <v>1.8635723655888465</v>
      </c>
      <c r="Q22" s="111">
        <v>1.9594802259910225</v>
      </c>
      <c r="R22" s="68">
        <v>1.8635723655888468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0.71049826466609933</v>
      </c>
      <c r="M23" s="115">
        <v>3.0619877404414209</v>
      </c>
      <c r="N23" s="115">
        <v>79.410694035003928</v>
      </c>
      <c r="O23" s="115">
        <v>1.3310040462271198</v>
      </c>
      <c r="P23" s="115">
        <v>1.3235319267670764</v>
      </c>
      <c r="Q23" s="111">
        <v>1.3310040462271198</v>
      </c>
      <c r="R23" s="68">
        <v>1.3235319267670764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0.17367507193573659</v>
      </c>
      <c r="M24" s="115">
        <v>14.375887129898461</v>
      </c>
      <c r="N24" s="115">
        <v>467.03616374998859</v>
      </c>
      <c r="O24" s="115">
        <v>4.8520149334316782</v>
      </c>
      <c r="P24" s="115">
        <v>4.6148878302261336</v>
      </c>
      <c r="Q24" s="111">
        <v>4.8520149334316791</v>
      </c>
      <c r="R24" s="68">
        <v>4.6148878302261336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2.0672052204734642E-2</v>
      </c>
      <c r="M25" s="115">
        <v>19.657458068978944</v>
      </c>
      <c r="N25" s="115">
        <v>648.2789012759896</v>
      </c>
      <c r="O25" s="115">
        <v>6.9829935253741606</v>
      </c>
      <c r="P25" s="115">
        <v>7.0592879687860739</v>
      </c>
      <c r="Q25" s="111">
        <v>6.9829935253741606</v>
      </c>
      <c r="R25" s="68">
        <v>7.0592879687860739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4.5773213062831972E-3</v>
      </c>
      <c r="M26" s="115">
        <v>43.864760586666321</v>
      </c>
      <c r="N26" s="115">
        <v>1454.8439674451749</v>
      </c>
      <c r="O26" s="115">
        <v>11.157961912353215</v>
      </c>
      <c r="P26" s="115">
        <v>7.8627240276642558</v>
      </c>
      <c r="Q26" s="111">
        <v>11.157961912353217</v>
      </c>
      <c r="R26" s="68">
        <v>7.8627240276642567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7.0023964474240439E-4</v>
      </c>
      <c r="M27" s="115">
        <v>103.03453620953478</v>
      </c>
      <c r="N27" s="115">
        <v>3436.8320904267648</v>
      </c>
      <c r="O27" s="115">
        <v>20.82192819578237</v>
      </c>
      <c r="P27" s="115">
        <v>9.02894293620197</v>
      </c>
      <c r="Q27" s="111">
        <v>20.821928195782373</v>
      </c>
      <c r="R27" s="68">
        <v>9.02894293620197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2.5149698112375616E-3</v>
      </c>
      <c r="M28" s="115">
        <v>64.246030783574625</v>
      </c>
      <c r="N28" s="115">
        <v>2135.2704948788014</v>
      </c>
      <c r="O28" s="115">
        <v>14.48498711455996</v>
      </c>
      <c r="P28" s="115">
        <v>8.223025935943868</v>
      </c>
      <c r="Q28" s="111">
        <v>14.48498711455996</v>
      </c>
      <c r="R28" s="68">
        <v>8.223025935943868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3.7854495237142588E-3</v>
      </c>
      <c r="M29" s="115">
        <v>48.004091254392172</v>
      </c>
      <c r="N29" s="115">
        <v>1593.0927548128511</v>
      </c>
      <c r="O29" s="115">
        <v>11.7260851047184</v>
      </c>
      <c r="P29" s="115">
        <v>7.7418018153800432</v>
      </c>
      <c r="Q29" s="111">
        <v>11.726085104718402</v>
      </c>
      <c r="R29" s="68">
        <v>7.7418018153800441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2.5149698112375616E-3</v>
      </c>
      <c r="M30" s="115">
        <v>64.246030783574625</v>
      </c>
      <c r="N30" s="115">
        <v>2135.2704948788014</v>
      </c>
      <c r="O30" s="115">
        <v>14.48498711455996</v>
      </c>
      <c r="P30" s="115">
        <v>8.223025935943868</v>
      </c>
      <c r="Q30" s="111">
        <v>14.48498711455996</v>
      </c>
      <c r="R30" s="68">
        <v>8.223025935943868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0.9727905133141419</v>
      </c>
      <c r="M31" s="115">
        <v>0.89703001150924033</v>
      </c>
      <c r="N31" s="115">
        <v>1.1399170700697276</v>
      </c>
      <c r="O31" s="115">
        <v>0.81338727129537314</v>
      </c>
      <c r="P31" s="115">
        <v>0.94140126882064312</v>
      </c>
      <c r="Q31" s="111">
        <v>0.81338727129537314</v>
      </c>
      <c r="R31" s="68">
        <v>0.94140126882064312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0.43781906713187346</v>
      </c>
      <c r="M32" s="115">
        <v>7.8486699787869405</v>
      </c>
      <c r="N32" s="115">
        <v>242.33276436102901</v>
      </c>
      <c r="O32" s="115">
        <v>2.4814288613052073</v>
      </c>
      <c r="P32" s="115">
        <v>2.2793531085202039</v>
      </c>
      <c r="Q32" s="111">
        <v>2.4814288613052073</v>
      </c>
      <c r="R32" s="68">
        <v>2.2793531085202039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0.99258492570014845</v>
      </c>
      <c r="M33" s="115">
        <v>0.89344902033826412</v>
      </c>
      <c r="N33" s="115">
        <v>0.59114700913660889</v>
      </c>
      <c r="O33" s="115">
        <v>0.84194779675278608</v>
      </c>
      <c r="P33" s="115">
        <v>0.98977344015253976</v>
      </c>
      <c r="Q33" s="111">
        <v>0.84194779675278619</v>
      </c>
      <c r="R33" s="68">
        <v>0.98977344015253987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0.54824720954750972</v>
      </c>
      <c r="M34" s="115">
        <v>1.5555769928283476</v>
      </c>
      <c r="N34" s="115">
        <v>44.993322900496935</v>
      </c>
      <c r="O34" s="115">
        <v>2.6256858163262269</v>
      </c>
      <c r="P34" s="115">
        <v>4.2925149343168982</v>
      </c>
      <c r="Q34" s="111">
        <v>2.6256858163262273</v>
      </c>
      <c r="R34" s="68">
        <v>4.2925149343168982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0.32487115843382763</v>
      </c>
      <c r="M35" s="115">
        <v>1.8057895223937468</v>
      </c>
      <c r="N35" s="115">
        <v>63.661903684571037</v>
      </c>
      <c r="O35" s="115">
        <v>3.5052656947118472</v>
      </c>
      <c r="P35" s="115">
        <v>5.9330728511935842</v>
      </c>
      <c r="Q35" s="111">
        <v>3.5052656947118477</v>
      </c>
      <c r="R35" s="68">
        <v>5.9330728511935851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0.10843975780226621</v>
      </c>
      <c r="M36" s="115">
        <v>1.9451432292236119</v>
      </c>
      <c r="N36" s="115">
        <v>77.353691707042202</v>
      </c>
      <c r="O36" s="115">
        <v>4.3455692370571084</v>
      </c>
      <c r="P36" s="115">
        <v>7.5168393510299758</v>
      </c>
      <c r="Q36" s="111">
        <v>4.3455692370571084</v>
      </c>
      <c r="R36" s="68">
        <v>7.5168393510299758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0.20828111228207574</v>
      </c>
      <c r="M37" s="115">
        <v>5.1468866641121203</v>
      </c>
      <c r="N37" s="115">
        <v>174.63054844285219</v>
      </c>
      <c r="O37" s="115">
        <v>4.0931599350190337</v>
      </c>
      <c r="P37" s="115">
        <v>6.1153021884360301</v>
      </c>
      <c r="Q37" s="111">
        <v>4.0931599350190337</v>
      </c>
      <c r="R37" s="68">
        <v>6.1153021884360301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0.6137206863863458</v>
      </c>
      <c r="M38" s="115">
        <v>1.5112020613326704</v>
      </c>
      <c r="N38" s="115">
        <v>40.289094660882654</v>
      </c>
      <c r="O38" s="115">
        <v>2.363808822850709</v>
      </c>
      <c r="P38" s="115">
        <v>3.7943986134164884</v>
      </c>
      <c r="Q38" s="111">
        <v>2.363808822850709</v>
      </c>
      <c r="R38" s="68">
        <v>3.7943986134164884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1.0303463131909177E-2</v>
      </c>
      <c r="M39" s="115">
        <v>20.670277257054465</v>
      </c>
      <c r="N39" s="115">
        <v>683.08807208702615</v>
      </c>
      <c r="O39" s="115">
        <v>7.401397752437167</v>
      </c>
      <c r="P39" s="115">
        <v>7.5504558746511083</v>
      </c>
      <c r="Q39" s="111">
        <v>7.4013977524371679</v>
      </c>
      <c r="R39" s="68">
        <v>7.5504558746511092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9.6792133793738842E-4</v>
      </c>
      <c r="M40" s="115">
        <v>130.14683743988914</v>
      </c>
      <c r="N40" s="115">
        <v>5377.4371046401839</v>
      </c>
      <c r="O40" s="115">
        <v>18.979976025116834</v>
      </c>
      <c r="P40" s="115">
        <v>12.445999411135631</v>
      </c>
      <c r="Q40" s="111">
        <v>18.979976025116837</v>
      </c>
      <c r="R40" s="68">
        <v>12.445999411135633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0.91062253246368086</v>
      </c>
      <c r="M41" s="115">
        <v>0.8088101226820078</v>
      </c>
      <c r="N41" s="115">
        <v>6.4428212217025396E-2</v>
      </c>
      <c r="O41" s="115">
        <v>0.75281216940064144</v>
      </c>
      <c r="P41" s="115">
        <v>0.87477221233031122</v>
      </c>
      <c r="Q41" s="111">
        <v>0.75281216940064144</v>
      </c>
      <c r="R41" s="68">
        <v>0.87477221233031122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0.52464560085306899</v>
      </c>
      <c r="M42" s="115">
        <v>5.9723772056072617</v>
      </c>
      <c r="N42" s="115">
        <v>180.12069476566063</v>
      </c>
      <c r="O42" s="115">
        <v>2.1642985174224694</v>
      </c>
      <c r="P42" s="115">
        <v>2.0457982350226822</v>
      </c>
      <c r="Q42" s="111">
        <v>2.1642985174224694</v>
      </c>
      <c r="R42" s="68">
        <v>2.0457982350226822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8.8371890418332474E-3</v>
      </c>
      <c r="M43" s="115">
        <v>3.947955284804983</v>
      </c>
      <c r="N43" s="115">
        <v>164.36193993124132</v>
      </c>
      <c r="O43" s="115">
        <v>4.9460653516991959</v>
      </c>
      <c r="P43" s="115">
        <v>8.3129540624321958</v>
      </c>
      <c r="Q43" s="111">
        <v>4.9460653516991959</v>
      </c>
      <c r="R43" s="68">
        <v>8.3129540624321958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0.76175144629224356</v>
      </c>
      <c r="M44" s="115">
        <v>1.5661220578479833</v>
      </c>
      <c r="N44" s="115">
        <v>29.059622989071205</v>
      </c>
      <c r="O44" s="115">
        <v>0.89499022233468628</v>
      </c>
      <c r="P44" s="115">
        <v>0.9530639265280324</v>
      </c>
      <c r="Q44" s="111">
        <v>0.89499022233468628</v>
      </c>
      <c r="R44" s="68">
        <v>0.9530639265280324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0.48931130891377517</v>
      </c>
      <c r="M45" s="115">
        <v>6.6247833939475784</v>
      </c>
      <c r="N45" s="115">
        <v>202.55056438623311</v>
      </c>
      <c r="O45" s="115">
        <v>2.3588946356988565</v>
      </c>
      <c r="P45" s="115">
        <v>2.2207062940276576</v>
      </c>
      <c r="Q45" s="111">
        <v>2.3588946356988565</v>
      </c>
      <c r="R45" s="68">
        <v>2.2207062940276576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0.51056400940655333</v>
      </c>
      <c r="M46" s="115">
        <v>6.2008657767545632</v>
      </c>
      <c r="N46" s="115">
        <v>188.02527192489126</v>
      </c>
      <c r="O46" s="115">
        <v>2.2314884856324158</v>
      </c>
      <c r="P46" s="115">
        <v>2.1057851310387177</v>
      </c>
      <c r="Q46" s="111">
        <v>2.2314884856324158</v>
      </c>
      <c r="R46" s="68">
        <v>2.1057851310387181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6.3889963677361405E-4</v>
      </c>
      <c r="M47" s="115">
        <v>105.64888242712604</v>
      </c>
      <c r="N47" s="115">
        <v>3524.8748330177455</v>
      </c>
      <c r="O47" s="115">
        <v>21.258776733013612</v>
      </c>
      <c r="P47" s="115">
        <v>9.1062302349054747</v>
      </c>
      <c r="Q47" s="111">
        <v>21.258776733013612</v>
      </c>
      <c r="R47" s="68">
        <v>9.1062302349054747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0.90154650151441407</v>
      </c>
      <c r="M48" s="115">
        <v>1.1121135166555545</v>
      </c>
      <c r="N48" s="115">
        <v>10.204829664374152</v>
      </c>
      <c r="O48" s="115">
        <v>0.83563358532242005</v>
      </c>
      <c r="P48" s="115">
        <v>0.93864150320486184</v>
      </c>
      <c r="Q48" s="111">
        <v>0.83563358532242016</v>
      </c>
      <c r="R48" s="68">
        <v>0.93864150320486195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0.86088940838158712</v>
      </c>
      <c r="M49" s="115">
        <v>1.2990487528695616</v>
      </c>
      <c r="N49" s="115">
        <v>17.476871049033193</v>
      </c>
      <c r="O49" s="115">
        <v>0.86874195847050595</v>
      </c>
      <c r="P49" s="115">
        <v>0.95549422007931484</v>
      </c>
      <c r="Q49" s="111">
        <v>0.86874195847050595</v>
      </c>
      <c r="R49" s="68">
        <v>0.95549422007931484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7.5070908358211466E-2</v>
      </c>
      <c r="M50" s="115">
        <v>17.64213830828184</v>
      </c>
      <c r="N50" s="115">
        <v>578.44685610591296</v>
      </c>
      <c r="O50" s="115">
        <v>6.0493577974003276</v>
      </c>
      <c r="P50" s="115">
        <v>5.8960733143222059</v>
      </c>
      <c r="Q50" s="111">
        <v>6.0493577974003276</v>
      </c>
      <c r="R50" s="68">
        <v>5.8960733143222059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0.90083003246121474</v>
      </c>
      <c r="M51" s="115">
        <v>0.8551095583405588</v>
      </c>
      <c r="N51" s="115">
        <v>1.8504355654219466</v>
      </c>
      <c r="O51" s="115">
        <v>0.76015599330460326</v>
      </c>
      <c r="P51" s="115">
        <v>0.87716331568801731</v>
      </c>
      <c r="Q51" s="111">
        <v>0.76015599330460326</v>
      </c>
      <c r="R51" s="68">
        <v>0.87716331568801731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0.72256045033889382</v>
      </c>
      <c r="M52" s="115">
        <v>2.1204473975673817</v>
      </c>
      <c r="N52" s="115">
        <v>48.293996706825212</v>
      </c>
      <c r="O52" s="115">
        <v>1.0441598757604311</v>
      </c>
      <c r="P52" s="115">
        <v>1.0733484252511103</v>
      </c>
      <c r="Q52" s="111">
        <v>1.0441598757604311</v>
      </c>
      <c r="R52" s="68">
        <v>1.0733484252511103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0.37847580628853444</v>
      </c>
      <c r="M53" s="115">
        <v>8.9190519846988092</v>
      </c>
      <c r="N53" s="115">
        <v>281.13793425526637</v>
      </c>
      <c r="O53" s="115">
        <v>3.0621374398290517</v>
      </c>
      <c r="P53" s="115">
        <v>2.867972414018455</v>
      </c>
      <c r="Q53" s="111">
        <v>3.0621374398290517</v>
      </c>
      <c r="R53" s="68">
        <v>2.867972414018455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8.9192685946781584E-4</v>
      </c>
      <c r="M54" s="115">
        <v>96.884883846875411</v>
      </c>
      <c r="N54" s="115">
        <v>3229.7010395363468</v>
      </c>
      <c r="O54" s="115">
        <v>19.825216095500092</v>
      </c>
      <c r="P54" s="115">
        <v>8.9026000203503592</v>
      </c>
      <c r="Q54" s="111">
        <v>19.825216095500096</v>
      </c>
      <c r="R54" s="68">
        <v>8.9026000203503592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0.13604208148486518</v>
      </c>
      <c r="M55" s="115">
        <v>12.935724088804673</v>
      </c>
      <c r="N55" s="115">
        <v>420.96151841476336</v>
      </c>
      <c r="O55" s="115">
        <v>4.3709924347105682</v>
      </c>
      <c r="P55" s="115">
        <v>4.1695309460358931</v>
      </c>
      <c r="Q55" s="111">
        <v>4.3709924347105682</v>
      </c>
      <c r="R55" s="68">
        <v>4.1695309460358931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1.6116802037340238E-2</v>
      </c>
      <c r="M56" s="115">
        <v>7.615199068963034</v>
      </c>
      <c r="N56" s="115">
        <v>250.53177258762832</v>
      </c>
      <c r="O56" s="115">
        <v>2.6545650260796356</v>
      </c>
      <c r="P56" s="115">
        <v>2.6344790664847362</v>
      </c>
      <c r="Q56" s="111">
        <v>2.6545650260796361</v>
      </c>
      <c r="R56" s="68">
        <v>2.6344790664847366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2.9161351669796814E-2</v>
      </c>
      <c r="M57" s="115">
        <v>3.7467932097160546</v>
      </c>
      <c r="N57" s="115">
        <v>122.30653993330959</v>
      </c>
      <c r="O57" s="115">
        <v>1.2707224334150533</v>
      </c>
      <c r="P57" s="115">
        <v>1.220383932589455</v>
      </c>
      <c r="Q57" s="111">
        <v>1.2707224334150533</v>
      </c>
      <c r="R57" s="68">
        <v>1.2203839325894552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5.9137899917967057E-2</v>
      </c>
      <c r="M58" s="115">
        <v>9.8922544736820689E-2</v>
      </c>
      <c r="N58" s="115">
        <v>1.51652628848909</v>
      </c>
      <c r="O58" s="115">
        <v>6.2596734034839702E-2</v>
      </c>
      <c r="P58" s="115">
        <v>6.8106704195382492E-2</v>
      </c>
      <c r="Q58" s="111">
        <v>6.2596734034839702E-2</v>
      </c>
      <c r="R58" s="68">
        <v>6.8106704195382506E-2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1.200486614276954E-2</v>
      </c>
      <c r="M59" s="115">
        <v>1.4388392473600811</v>
      </c>
      <c r="N59" s="115">
        <v>46.937596393942634</v>
      </c>
      <c r="O59" s="115">
        <v>0.48750359946133448</v>
      </c>
      <c r="P59" s="115">
        <v>0.46743945528521991</v>
      </c>
      <c r="Q59" s="111">
        <v>0.48750359946133454</v>
      </c>
      <c r="R59" s="68">
        <v>0.46743945528521996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4.4881433756080593E-4</v>
      </c>
      <c r="M60" s="115">
        <v>2.5111715890347847E-2</v>
      </c>
      <c r="N60" s="115">
        <v>0.81091166812486459</v>
      </c>
      <c r="O60" s="115">
        <v>8.4681587761808834E-3</v>
      </c>
      <c r="P60" s="115">
        <v>7.9955135355316027E-3</v>
      </c>
      <c r="Q60" s="111">
        <v>8.4681587761808851E-3</v>
      </c>
      <c r="R60" s="68">
        <v>7.9955135355316027E-3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0.28360000484333153</v>
      </c>
      <c r="M61" s="115">
        <v>11.254358904211136</v>
      </c>
      <c r="N61" s="115">
        <v>360.76945055495997</v>
      </c>
      <c r="O61" s="115">
        <v>3.8069410359131308</v>
      </c>
      <c r="P61" s="115">
        <v>3.5769491824255208</v>
      </c>
      <c r="Q61" s="111">
        <v>3.8069410359131308</v>
      </c>
      <c r="R61" s="68">
        <v>3.5769491824255208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3.8363465705414574E-3</v>
      </c>
      <c r="M62" s="115">
        <v>49.798562333755918</v>
      </c>
      <c r="N62" s="115">
        <v>1652.7277516675595</v>
      </c>
      <c r="O62" s="115">
        <v>12.126298617824414</v>
      </c>
      <c r="P62" s="115">
        <v>7.9634603357331963</v>
      </c>
      <c r="Q62" s="111">
        <v>12.126298617824414</v>
      </c>
      <c r="R62" s="68">
        <v>7.9634603357331963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3.4898583639005374E-4</v>
      </c>
      <c r="M63" s="115">
        <v>119.00325346454169</v>
      </c>
      <c r="N63" s="115">
        <v>3976.2656732946962</v>
      </c>
      <c r="O63" s="115">
        <v>23.436567933240148</v>
      </c>
      <c r="P63" s="115">
        <v>9.4314513124887522</v>
      </c>
      <c r="Q63" s="111">
        <v>23.436567933240148</v>
      </c>
      <c r="R63" s="68">
        <v>9.4314513124887522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1.209291779702193E-4</v>
      </c>
      <c r="M64" s="115">
        <v>135.64264625549106</v>
      </c>
      <c r="N64" s="115">
        <v>4543.1076617636272</v>
      </c>
      <c r="O64" s="115">
        <v>26.128225159125925</v>
      </c>
      <c r="P64" s="115">
        <v>9.870869569594598</v>
      </c>
      <c r="Q64" s="111">
        <v>26.128225159125929</v>
      </c>
      <c r="R64" s="68">
        <v>9.870869569594598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3.3958720954476717E-5</v>
      </c>
      <c r="M65" s="115">
        <v>147.5433015815633</v>
      </c>
      <c r="N65" s="115">
        <v>4955.0365415933029</v>
      </c>
      <c r="O65" s="115">
        <v>28.010516256537681</v>
      </c>
      <c r="P65" s="115">
        <v>10.216491908823206</v>
      </c>
      <c r="Q65" s="111">
        <v>28.010516256537681</v>
      </c>
      <c r="R65" s="68">
        <v>10.216491908823206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7.0396629022181315E-5</v>
      </c>
      <c r="M66" s="115">
        <v>141.5494281154717</v>
      </c>
      <c r="N66" s="115">
        <v>4746.4731686414398</v>
      </c>
      <c r="O66" s="115">
        <v>27.070309713087756</v>
      </c>
      <c r="P66" s="115">
        <v>10.038357955176492</v>
      </c>
      <c r="Q66" s="111">
        <v>27.070309713087756</v>
      </c>
      <c r="R66" s="68">
        <v>10.038357955176492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0.81157696873957541</v>
      </c>
      <c r="M67" s="115">
        <v>1.863502951307823</v>
      </c>
      <c r="N67" s="115">
        <v>37.323509304315998</v>
      </c>
      <c r="O67" s="115">
        <v>1.0131656518199124</v>
      </c>
      <c r="P67" s="115">
        <v>1.0668011103978834</v>
      </c>
      <c r="Q67" s="111">
        <v>1.0131656518199124</v>
      </c>
      <c r="R67" s="68">
        <v>1.0668011103978836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0.74046673700846599</v>
      </c>
      <c r="M68" s="115">
        <v>2.571823182644124</v>
      </c>
      <c r="N68" s="115">
        <v>62.51960715704152</v>
      </c>
      <c r="O68" s="115">
        <v>1.193782673905589</v>
      </c>
      <c r="P68" s="115">
        <v>1.208478953410322</v>
      </c>
      <c r="Q68" s="111">
        <v>1.193782673905589</v>
      </c>
      <c r="R68" s="68">
        <v>1.208478953410322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1.3833128660788903E-3</v>
      </c>
      <c r="M69" s="115">
        <v>83.824411408049713</v>
      </c>
      <c r="N69" s="115">
        <v>2790.9773996796871</v>
      </c>
      <c r="O69" s="115">
        <v>17.683862393360023</v>
      </c>
      <c r="P69" s="115">
        <v>8.609424615499023</v>
      </c>
      <c r="Q69" s="111">
        <v>17.683862393360023</v>
      </c>
      <c r="R69" s="68">
        <v>8.609424615499023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2.5533545521430612E-2</v>
      </c>
      <c r="M70" s="115">
        <v>19.683558615485996</v>
      </c>
      <c r="N70" s="115">
        <v>648.71054767807948</v>
      </c>
      <c r="O70" s="115">
        <v>6.951446156354125</v>
      </c>
      <c r="P70" s="115">
        <v>6.9884846039350439</v>
      </c>
      <c r="Q70" s="111">
        <v>6.9514461563541259</v>
      </c>
      <c r="R70" s="68">
        <v>6.9884846039350439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0.74088511692570591</v>
      </c>
      <c r="M71" s="115">
        <v>2.4024025638078275</v>
      </c>
      <c r="N71" s="115">
        <v>56.972271792692155</v>
      </c>
      <c r="O71" s="115">
        <v>1.1413544234357464</v>
      </c>
      <c r="P71" s="115">
        <v>1.1624977014410127</v>
      </c>
      <c r="Q71" s="111">
        <v>1.1413544234357467</v>
      </c>
      <c r="R71" s="68">
        <v>1.1624977014410129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2.9502433168463609E-2</v>
      </c>
      <c r="M72" s="115">
        <v>19.318354820747583</v>
      </c>
      <c r="N72" s="115">
        <v>636.32494672351788</v>
      </c>
      <c r="O72" s="115">
        <v>6.7921805381916531</v>
      </c>
      <c r="P72" s="115">
        <v>6.7989789557852705</v>
      </c>
      <c r="Q72" s="111">
        <v>6.7921805381916531</v>
      </c>
      <c r="R72" s="68">
        <v>6.7989789557852713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0.26094662023063425</v>
      </c>
      <c r="M73" s="115">
        <v>11.608772875918135</v>
      </c>
      <c r="N73" s="115">
        <v>373.13764451600463</v>
      </c>
      <c r="O73" s="115">
        <v>3.9209055600970713</v>
      </c>
      <c r="P73" s="115">
        <v>3.6892906249681299</v>
      </c>
      <c r="Q73" s="111">
        <v>3.9209055600970717</v>
      </c>
      <c r="R73" s="68">
        <v>3.6892906249681299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2.6645541609602509E-2</v>
      </c>
      <c r="M74" s="115">
        <v>19.604875379544996</v>
      </c>
      <c r="N74" s="115">
        <v>646.01818815487331</v>
      </c>
      <c r="O74" s="115">
        <v>6.9147940298287072</v>
      </c>
      <c r="P74" s="115">
        <v>6.9430703727224943</v>
      </c>
      <c r="Q74" s="111">
        <v>6.9147940298287072</v>
      </c>
      <c r="R74" s="68">
        <v>6.9430703727224952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4.3148049845274416E-3</v>
      </c>
      <c r="M75" s="115">
        <v>13.04478361991081</v>
      </c>
      <c r="N75" s="115">
        <v>547.39393084320204</v>
      </c>
      <c r="O75" s="115">
        <v>5.9553501761619687</v>
      </c>
      <c r="P75" s="115">
        <v>8.6893554272912237</v>
      </c>
      <c r="Q75" s="111">
        <v>5.9553501761619687</v>
      </c>
      <c r="R75" s="68">
        <v>8.6893554272912237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4.3148049868317866E-3</v>
      </c>
      <c r="M76" s="115">
        <v>13.044783626877448</v>
      </c>
      <c r="N76" s="115">
        <v>547.39393113554092</v>
      </c>
      <c r="O76" s="115">
        <v>5.9553501793424566</v>
      </c>
      <c r="P76" s="115">
        <v>8.6893554319318227</v>
      </c>
      <c r="Q76" s="111">
        <v>5.9553501793424566</v>
      </c>
      <c r="R76" s="68">
        <v>8.6893554319318227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0.10081429940387727</v>
      </c>
      <c r="M77" s="115">
        <v>16.33546751336884</v>
      </c>
      <c r="N77" s="115">
        <v>534.26867146589075</v>
      </c>
      <c r="O77" s="115">
        <v>5.5609229221636669</v>
      </c>
      <c r="P77" s="115">
        <v>5.3702036527042045</v>
      </c>
      <c r="Q77" s="111">
        <v>5.5609229221636669</v>
      </c>
      <c r="R77" s="68">
        <v>5.3702036527042045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0.52386528561418644</v>
      </c>
      <c r="M78" s="115">
        <v>5.4732553005773568</v>
      </c>
      <c r="N78" s="115">
        <v>163.79236800155581</v>
      </c>
      <c r="O78" s="115">
        <v>2.0034300216988079</v>
      </c>
      <c r="P78" s="115">
        <v>1.8985069390572296</v>
      </c>
      <c r="Q78" s="111">
        <v>2.0034300216988083</v>
      </c>
      <c r="R78" s="68">
        <v>1.8985069390572296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0.36766733239115423</v>
      </c>
      <c r="M79" s="115">
        <v>9.062871835807627</v>
      </c>
      <c r="N79" s="115">
        <v>286.18860425412657</v>
      </c>
      <c r="O79" s="115">
        <v>3.105619473996581</v>
      </c>
      <c r="P79" s="115">
        <v>2.9087516555683073</v>
      </c>
      <c r="Q79" s="111">
        <v>3.105619473996581</v>
      </c>
      <c r="R79" s="68">
        <v>2.9087516555683077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2.9110092911599789E-3</v>
      </c>
      <c r="M80" s="115">
        <v>25.213430980546597</v>
      </c>
      <c r="N80" s="115">
        <v>1058.234227534776</v>
      </c>
      <c r="O80" s="115">
        <v>7.289507012403047</v>
      </c>
      <c r="P80" s="115">
        <v>9.1464407734049189</v>
      </c>
      <c r="Q80" s="111">
        <v>7.2895070124030479</v>
      </c>
      <c r="R80" s="68">
        <v>9.1464407734049189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0.9668538289487637</v>
      </c>
      <c r="M81" s="115">
        <v>0.90856488317859974</v>
      </c>
      <c r="N81" s="115">
        <v>1.6861398990920737</v>
      </c>
      <c r="O81" s="115">
        <v>0.81324356981877532</v>
      </c>
      <c r="P81" s="115">
        <v>0.93939741809183286</v>
      </c>
      <c r="Q81" s="111">
        <v>0.81324356981877532</v>
      </c>
      <c r="R81" s="68">
        <v>0.93939741809183297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0.71700690290439539</v>
      </c>
      <c r="M82" s="115">
        <v>2.9780709126744886</v>
      </c>
      <c r="N82" s="115">
        <v>76.478125804950878</v>
      </c>
      <c r="O82" s="115">
        <v>1.308145734294508</v>
      </c>
      <c r="P82" s="115">
        <v>1.3045811285548901</v>
      </c>
      <c r="Q82" s="111">
        <v>1.308145734294508</v>
      </c>
      <c r="R82" s="68">
        <v>1.3045811285548901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0.12665482159374675</v>
      </c>
      <c r="M83" s="115">
        <v>15.900340312872938</v>
      </c>
      <c r="N83" s="115">
        <v>518.92458508231903</v>
      </c>
      <c r="O83" s="115">
        <v>5.3907869317756827</v>
      </c>
      <c r="P83" s="115">
        <v>5.174447724250606</v>
      </c>
      <c r="Q83" s="111">
        <v>5.3907869317756827</v>
      </c>
      <c r="R83" s="68">
        <v>5.174447724250606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0.93026489156078063</v>
      </c>
      <c r="M84" s="115">
        <v>1.0341586188797938</v>
      </c>
      <c r="N84" s="115">
        <v>6.8335293936825696</v>
      </c>
      <c r="O84" s="115">
        <v>0.82881851873502344</v>
      </c>
      <c r="P84" s="115">
        <v>0.94104545547231166</v>
      </c>
      <c r="Q84" s="111">
        <v>0.82881851873502344</v>
      </c>
      <c r="R84" s="68">
        <v>0.94104545547231166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0.98450000733860499</v>
      </c>
      <c r="M85" s="115">
        <v>0.88295593170435094</v>
      </c>
      <c r="N85" s="115">
        <v>0.34585293937995015</v>
      </c>
      <c r="O85" s="115">
        <v>0.8162198582983643</v>
      </c>
      <c r="P85" s="115">
        <v>0.94744525592510043</v>
      </c>
      <c r="Q85" s="111">
        <v>0.81621985829836441</v>
      </c>
      <c r="R85" s="68">
        <v>0.94744525592510043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0.93196628116901503</v>
      </c>
      <c r="M86" s="115">
        <v>1.0264570053597601</v>
      </c>
      <c r="N86" s="115">
        <v>6.5333470715593522</v>
      </c>
      <c r="O86" s="115">
        <v>0.82752239937602234</v>
      </c>
      <c r="P86" s="115">
        <v>0.94047253623247806</v>
      </c>
      <c r="Q86" s="111">
        <v>0.82752239937602234</v>
      </c>
      <c r="R86" s="68">
        <v>0.94047253623247817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5.0769331941327635E-4</v>
      </c>
      <c r="M87" s="115">
        <v>111.09767260699662</v>
      </c>
      <c r="N87" s="115">
        <v>3708.7807777614098</v>
      </c>
      <c r="O87" s="115">
        <v>22.148436490278019</v>
      </c>
      <c r="P87" s="115">
        <v>9.2364064634741325</v>
      </c>
      <c r="Q87" s="111">
        <v>22.148436490278019</v>
      </c>
      <c r="R87" s="68">
        <v>9.2364064634741325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0.60023368768549246</v>
      </c>
      <c r="M88" s="115">
        <v>4.671178274982239</v>
      </c>
      <c r="N88" s="115">
        <v>135.27659431359618</v>
      </c>
      <c r="O88" s="115">
        <v>1.7835511670714745</v>
      </c>
      <c r="P88" s="115">
        <v>1.7095359888744035</v>
      </c>
      <c r="Q88" s="111">
        <v>1.7835511670714745</v>
      </c>
      <c r="R88" s="68">
        <v>1.7095359888744035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0.6972087874963917</v>
      </c>
      <c r="M89" s="115">
        <v>3.2383239821416057</v>
      </c>
      <c r="N89" s="115">
        <v>85.562683464180651</v>
      </c>
      <c r="O89" s="115">
        <v>1.3793644738809587</v>
      </c>
      <c r="P89" s="115">
        <v>1.3638558796326037</v>
      </c>
      <c r="Q89" s="111">
        <v>1.3793644738809587</v>
      </c>
      <c r="R89" s="68">
        <v>1.3638558796326039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0.86266216874226587</v>
      </c>
      <c r="M90" s="115">
        <v>1.4590409572443774</v>
      </c>
      <c r="N90" s="115">
        <v>22.644952066995479</v>
      </c>
      <c r="O90" s="115">
        <v>0.91796306106399794</v>
      </c>
      <c r="P90" s="115">
        <v>0.99760843181273273</v>
      </c>
      <c r="Q90" s="111">
        <v>0.91796306106399794</v>
      </c>
      <c r="R90" s="68">
        <v>0.99760843181273273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3.3312356189429924E-3</v>
      </c>
      <c r="M91" s="115">
        <v>54.611882076342042</v>
      </c>
      <c r="N91" s="115">
        <v>1813.3751918666887</v>
      </c>
      <c r="O91" s="115">
        <v>12.911621712971725</v>
      </c>
      <c r="P91" s="115">
        <v>8.0470744584343681</v>
      </c>
      <c r="Q91" s="111">
        <v>12.911621712971725</v>
      </c>
      <c r="R91" s="68">
        <v>8.0470744584343681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0.17661883906795323</v>
      </c>
      <c r="M92" s="115">
        <v>14.285845095331737</v>
      </c>
      <c r="N92" s="115">
        <v>463.97089874606519</v>
      </c>
      <c r="O92" s="115">
        <v>4.8208816896819613</v>
      </c>
      <c r="P92" s="115">
        <v>4.5831128061334203</v>
      </c>
      <c r="Q92" s="111">
        <v>4.8208816896819613</v>
      </c>
      <c r="R92" s="68">
        <v>4.5831128061334203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3.8814945762591493E-2</v>
      </c>
      <c r="M93" s="115">
        <v>19.21502227220633</v>
      </c>
      <c r="N93" s="115">
        <v>632.2698817216185</v>
      </c>
      <c r="O93" s="115">
        <v>6.7061457933156303</v>
      </c>
      <c r="P93" s="115">
        <v>6.6635562580139513</v>
      </c>
      <c r="Q93" s="111">
        <v>6.7061457933156312</v>
      </c>
      <c r="R93" s="68">
        <v>6.6635562580139513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0.89337319956875916</v>
      </c>
      <c r="M94" s="115">
        <v>1.0731996538353674</v>
      </c>
      <c r="N94" s="115">
        <v>11.874762014912136</v>
      </c>
      <c r="O94" s="115">
        <v>1.2470329401942613</v>
      </c>
      <c r="P94" s="115">
        <v>1.734713244711769</v>
      </c>
      <c r="Q94" s="111">
        <v>1.2470329401942613</v>
      </c>
      <c r="R94" s="68">
        <v>1.734713244711769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7.8395331557458165E-3</v>
      </c>
      <c r="M95" s="115">
        <v>27.535808598136597</v>
      </c>
      <c r="N95" s="115">
        <v>911.21423083760885</v>
      </c>
      <c r="O95" s="115">
        <v>8.508907029098431</v>
      </c>
      <c r="P95" s="115">
        <v>7.6294849629514001</v>
      </c>
      <c r="Q95" s="111">
        <v>8.508907029098431</v>
      </c>
      <c r="R95" s="68">
        <v>7.6294849629514001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0.96566317597073492</v>
      </c>
      <c r="M96" s="115">
        <v>0.91120814236954095</v>
      </c>
      <c r="N96" s="115">
        <v>1.8064649745297143</v>
      </c>
      <c r="O96" s="115">
        <v>0.81331281690221546</v>
      </c>
      <c r="P96" s="115">
        <v>0.9390773046219183</v>
      </c>
      <c r="Q96" s="111">
        <v>0.81331281690221557</v>
      </c>
      <c r="R96" s="68">
        <v>0.9390773046219183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0.92939768468848338</v>
      </c>
      <c r="M97" s="115">
        <v>1.0381479543959737</v>
      </c>
      <c r="N97" s="115">
        <v>6.988617869274516</v>
      </c>
      <c r="O97" s="115">
        <v>0.82949902553392096</v>
      </c>
      <c r="P97" s="115">
        <v>0.94135498888992308</v>
      </c>
      <c r="Q97" s="111">
        <v>0.82949902553392107</v>
      </c>
      <c r="R97" s="68">
        <v>0.94135498888992308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1.8295901485023556E-2</v>
      </c>
      <c r="M98" s="115">
        <v>20.011306379717549</v>
      </c>
      <c r="N98" s="115">
        <v>660.22373750679151</v>
      </c>
      <c r="O98" s="115">
        <v>7.1370336523487046</v>
      </c>
      <c r="P98" s="115">
        <v>7.2417733879838968</v>
      </c>
      <c r="Q98" s="111">
        <v>7.1370336523487055</v>
      </c>
      <c r="R98" s="68">
        <v>7.2417733879838968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0.98829746080262726</v>
      </c>
      <c r="M99" s="115">
        <v>0.88114873776013813</v>
      </c>
      <c r="N99" s="115">
        <v>0.17824474931112624</v>
      </c>
      <c r="O99" s="115">
        <v>0.81793524435547715</v>
      </c>
      <c r="P99" s="115">
        <v>0.95004389218863827</v>
      </c>
      <c r="Q99" s="111">
        <v>0.81793524435547715</v>
      </c>
      <c r="R99" s="68">
        <v>0.95004389218863827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0.40990180865718806</v>
      </c>
      <c r="M100" s="115">
        <v>8.2581841759535184</v>
      </c>
      <c r="N100" s="115">
        <v>258.49767544587604</v>
      </c>
      <c r="O100" s="115">
        <v>2.857202738528545</v>
      </c>
      <c r="P100" s="115">
        <v>2.6770871715154301</v>
      </c>
      <c r="Q100" s="111">
        <v>2.857202738528545</v>
      </c>
      <c r="R100" s="68">
        <v>2.6770871715154305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0.98252057545482485</v>
      </c>
      <c r="M101" s="115">
        <v>0.88446501773342323</v>
      </c>
      <c r="N101" s="115">
        <v>0.45169890040460658</v>
      </c>
      <c r="O101" s="115">
        <v>0.81548822103380569</v>
      </c>
      <c r="P101" s="115">
        <v>0.94621932238000417</v>
      </c>
      <c r="Q101" s="111">
        <v>0.81548822103380569</v>
      </c>
      <c r="R101" s="68">
        <v>0.94621932238000428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0.99316508432071937</v>
      </c>
      <c r="M102" s="115">
        <v>0.8811323841782549</v>
      </c>
      <c r="N102" s="115">
        <v>3.8247379074115954E-2</v>
      </c>
      <c r="O102" s="115">
        <v>0.82078416645878405</v>
      </c>
      <c r="P102" s="115">
        <v>0.95387818785366785</v>
      </c>
      <c r="Q102" s="111">
        <v>0.82078416645878405</v>
      </c>
      <c r="R102" s="68">
        <v>0.95387818785366796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0.98856821969776554</v>
      </c>
      <c r="M103" s="115">
        <v>0.88107734232352364</v>
      </c>
      <c r="N103" s="115">
        <v>0.16816534932921057</v>
      </c>
      <c r="O103" s="115">
        <v>0.81807390333125396</v>
      </c>
      <c r="P103" s="115">
        <v>0.95024197593221316</v>
      </c>
      <c r="Q103" s="111">
        <v>0.81807390333125407</v>
      </c>
      <c r="R103" s="68">
        <v>0.95024197593221327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0.94899815310203994</v>
      </c>
      <c r="M104" s="115">
        <v>0.95891763697587684</v>
      </c>
      <c r="N104" s="115">
        <v>3.8406696455741995</v>
      </c>
      <c r="O104" s="115">
        <v>0.81750501476652737</v>
      </c>
      <c r="P104" s="115">
        <v>0.93732491640407412</v>
      </c>
      <c r="Q104" s="111">
        <v>0.81750501476652737</v>
      </c>
      <c r="R104" s="68">
        <v>0.93732491640407423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0.99245091732567503</v>
      </c>
      <c r="M105" s="115">
        <v>0.88095760228136477</v>
      </c>
      <c r="N105" s="115">
        <v>5.3030789660032079E-2</v>
      </c>
      <c r="O105" s="115">
        <v>0.82031673625191071</v>
      </c>
      <c r="P105" s="115">
        <v>0.95327815919985681</v>
      </c>
      <c r="Q105" s="111">
        <v>0.82031673625191071</v>
      </c>
      <c r="R105" s="68">
        <v>0.95327815919985681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0.82418623952975589</v>
      </c>
      <c r="M106" s="115">
        <v>1.78885249685213</v>
      </c>
      <c r="N106" s="115">
        <v>34.521499122497175</v>
      </c>
      <c r="O106" s="115">
        <v>0.99717928678425638</v>
      </c>
      <c r="P106" s="115">
        <v>1.0559936209932126</v>
      </c>
      <c r="Q106" s="111">
        <v>0.99717928678425649</v>
      </c>
      <c r="R106" s="68">
        <v>1.0559936209932126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1.3602266944788938E-2</v>
      </c>
      <c r="M107" s="115">
        <v>20.148432878089626</v>
      </c>
      <c r="N107" s="115">
        <v>665.31394950370236</v>
      </c>
      <c r="O107" s="115">
        <v>7.2494985625882391</v>
      </c>
      <c r="P107" s="115">
        <v>7.4150807096187741</v>
      </c>
      <c r="Q107" s="111">
        <v>7.2494985625882391</v>
      </c>
      <c r="R107" s="68">
        <v>7.4150807096187741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0.47195580335222975</v>
      </c>
      <c r="M108" s="115">
        <v>6.9742529214006215</v>
      </c>
      <c r="N108" s="115">
        <v>214.52429185241755</v>
      </c>
      <c r="O108" s="115">
        <v>2.4644988600114024</v>
      </c>
      <c r="P108" s="115">
        <v>2.3165069913486187</v>
      </c>
      <c r="Q108" s="111">
        <v>2.4644988600114028</v>
      </c>
      <c r="R108" s="68">
        <v>2.3165069913486187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2024-10-28T23:31:36Z</dcterms:modified>
</cp:coreProperties>
</file>