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715D08D7-52A7-480F-A393-851EAF4E8947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Mass Balance" sheetId="12" r:id="rId6"/>
    <sheet name="QA-QC" sheetId="17" r:id="rId7"/>
    <sheet name="Concentrations" sheetId="15" r:id="rId8"/>
    <sheet name="Mass Fractions" sheetId="11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<sst xmlns="http://schemas.openxmlformats.org/spreadsheetml/2006/main" count="3131" uniqueCount="515">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</sst>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6.9349999999999996</v>
      </c>
      <c r="K5" s="136">
        <v>7.3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2.774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1.387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0.69350000000000001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0.14599999999999999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0.1168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4.088E-2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2.2630000000000001E-2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1.46E-2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1.6789999999999999E-2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8.7600000000000004E-3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0.14599999999999999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8.43E-2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4.088E-2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4.088E-2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1.0219999999999999E-3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1.022E-5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1.0477706781505186E-12</v>
      </c>
      <c r="E2" s="14">
        <v>3.8995893992339557E-5</v>
      </c>
      <c r="F2" s="14">
        <v>2.3996088525240065E-8</v>
      </c>
      <c r="G2" s="14">
        <v>9.6302156145746793E-9</v>
      </c>
      <c r="H2" s="14">
        <v>0</v>
      </c>
      <c r="I2" s="14">
        <v>3.6474859605635696E-8</v>
      </c>
      <c r="J2" s="14">
        <v>9.340037961443202E-7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7.9672763449888638E-13</v>
      </c>
      <c r="E3" s="14">
        <v>1.862578371817222E-5</v>
      </c>
      <c r="F3" s="14">
        <v>7.3996848578471143E-6</v>
      </c>
      <c r="G3" s="14">
        <v>1.7976345931774873E-6</v>
      </c>
      <c r="H3" s="14">
        <v>0</v>
      </c>
      <c r="I3" s="14">
        <v>1.5939833952355357E-7</v>
      </c>
      <c r="J3" s="14">
        <v>1.2017497694551997E-5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5.4360219087596548E-22</v>
      </c>
      <c r="E4" s="14">
        <v>3.9940531420540271E-5</v>
      </c>
      <c r="F4" s="14">
        <v>1.6856034580413938E-8</v>
      </c>
      <c r="G4" s="14">
        <v>1.8563123554775249E-11</v>
      </c>
      <c r="H4" s="14">
        <v>0</v>
      </c>
      <c r="I4" s="14">
        <v>4.1768773268834922E-8</v>
      </c>
      <c r="J4" s="14">
        <v>8.2520848693193808E-10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9.0510630842200992E-15</v>
      </c>
      <c r="E5" s="14">
        <v>2.1886730869872879E-5</v>
      </c>
      <c r="F5" s="14">
        <v>1.8071011903532346E-5</v>
      </c>
      <c r="G5" s="14">
        <v>1.4343057442179447E-9</v>
      </c>
      <c r="H5" s="14">
        <v>0</v>
      </c>
      <c r="I5" s="14">
        <v>3.3304010770403731E-8</v>
      </c>
      <c r="J5" s="14">
        <v>7.5189010290875573E-9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7.4254155623335903E-16</v>
      </c>
      <c r="E6" s="14">
        <v>1.2954107058696547E-5</v>
      </c>
      <c r="F6" s="14">
        <v>2.697919929476269E-5</v>
      </c>
      <c r="G6" s="14">
        <v>7.8238692171623309E-9</v>
      </c>
      <c r="H6" s="14">
        <v>0</v>
      </c>
      <c r="I6" s="14">
        <v>3.0677236094867624E-8</v>
      </c>
      <c r="J6" s="14">
        <v>2.8192540486194561E-8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6.4772116358365137E-12</v>
      </c>
      <c r="E7" s="14">
        <v>4.3019177405095393E-6</v>
      </c>
      <c r="F7" s="14">
        <v>3.5447342053720453E-5</v>
      </c>
      <c r="G7" s="14">
        <v>7.2157051684672906E-8</v>
      </c>
      <c r="H7" s="14">
        <v>0</v>
      </c>
      <c r="I7" s="14">
        <v>2.9643514806065614E-8</v>
      </c>
      <c r="J7" s="14">
        <v>1.4893316206765078E-7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4.6007912353597386E-22</v>
      </c>
      <c r="E8" s="14">
        <v>9.1858220763911567E-6</v>
      </c>
      <c r="F8" s="14">
        <v>3.076660695840828E-5</v>
      </c>
      <c r="G8" s="14">
        <v>4.6784736581585182E-9</v>
      </c>
      <c r="H8" s="14">
        <v>0</v>
      </c>
      <c r="I8" s="14">
        <v>2.8986024236574608E-8</v>
      </c>
      <c r="J8" s="14">
        <v>1.3906467305834142E-8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1.9282264056302651E-17</v>
      </c>
      <c r="E9" s="14">
        <v>2.4537881621890965E-5</v>
      </c>
      <c r="F9" s="14">
        <v>1.5387874700117994E-5</v>
      </c>
      <c r="G9" s="14">
        <v>5.832444164571908E-9</v>
      </c>
      <c r="H9" s="14">
        <v>0</v>
      </c>
      <c r="I9" s="14">
        <v>3.4231929368029594E-8</v>
      </c>
      <c r="J9" s="14">
        <v>3.4179304439161419E-8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5.7795895247773362E-10</v>
      </c>
      <c r="E10" s="14">
        <v>4.116893532761457E-7</v>
      </c>
      <c r="F10" s="14">
        <v>2.9721533281506928E-5</v>
      </c>
      <c r="G10" s="14">
        <v>5.1911880991139197E-6</v>
      </c>
      <c r="H10" s="14">
        <v>0</v>
      </c>
      <c r="I10" s="14">
        <v>2.8182727834691828E-7</v>
      </c>
      <c r="J10" s="14">
        <v>4.3931840288036155E-6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2.3141111406772945E-16</v>
      </c>
      <c r="E11" s="14">
        <v>2.3771097277968006E-8</v>
      </c>
      <c r="F11" s="14">
        <v>2.1688564264754712E-5</v>
      </c>
      <c r="G11" s="14">
        <v>1.5846201553253373E-5</v>
      </c>
      <c r="H11" s="14">
        <v>0</v>
      </c>
      <c r="I11" s="14">
        <v>1.752433600352949E-6</v>
      </c>
      <c r="J11" s="14">
        <v>6.8902948412959001E-7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2.9958037995658134E-6</v>
      </c>
      <c r="E12" s="14">
        <v>3.6800921446914579E-5</v>
      </c>
      <c r="F12" s="14">
        <v>1.0344486946721457E-9</v>
      </c>
      <c r="G12" s="14">
        <v>5.1273961257083335E-10</v>
      </c>
      <c r="H12" s="14">
        <v>0</v>
      </c>
      <c r="I12" s="14">
        <v>3.3998046251365305E-8</v>
      </c>
      <c r="J12" s="14">
        <v>1.6772951896100597E-7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6.9971403057302593E-13</v>
      </c>
      <c r="E13" s="14">
        <v>2.0945620133813584E-5</v>
      </c>
      <c r="F13" s="14">
        <v>5.6129968346324037E-6</v>
      </c>
      <c r="G13" s="14">
        <v>1.4397608255700356E-6</v>
      </c>
      <c r="H13" s="14">
        <v>0</v>
      </c>
      <c r="I13" s="14">
        <v>9.4604244526292675E-8</v>
      </c>
      <c r="J13" s="14">
        <v>1.1907017261743656E-5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3.428082190700706E-12</v>
      </c>
      <c r="E14" s="14">
        <v>3.518757934444045E-7</v>
      </c>
      <c r="F14" s="14">
        <v>3.9504899911147574E-5</v>
      </c>
      <c r="G14" s="14">
        <v>6.1889448992298955E-8</v>
      </c>
      <c r="H14" s="14">
        <v>0</v>
      </c>
      <c r="I14" s="14">
        <v>5.009010758388923E-8</v>
      </c>
      <c r="J14" s="14">
        <v>3.1241310749640935E-8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3.4029778071370791E-6</v>
      </c>
      <c r="E15" s="14">
        <v>3.0455922408710014E-5</v>
      </c>
      <c r="F15" s="14">
        <v>7.7791712425736616E-7</v>
      </c>
      <c r="G15" s="14">
        <v>2.3726238247904005E-7</v>
      </c>
      <c r="H15" s="14">
        <v>0</v>
      </c>
      <c r="I15" s="14">
        <v>4.0328249577071045E-8</v>
      </c>
      <c r="J15" s="14">
        <v>5.0855920278394292E-6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2.6614503000131271E-8</v>
      </c>
      <c r="E16" s="14">
        <v>1.9534891396466619E-5</v>
      </c>
      <c r="F16" s="14">
        <v>6.3942936296968316E-6</v>
      </c>
      <c r="G16" s="14">
        <v>1.6161740557980222E-6</v>
      </c>
      <c r="H16" s="14">
        <v>0</v>
      </c>
      <c r="I16" s="14">
        <v>1.0263382505133405E-7</v>
      </c>
      <c r="J16" s="14">
        <v>1.2325392589987064E-5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8.003564277959732E-8</v>
      </c>
      <c r="E17" s="14">
        <v>2.0383374217577808E-5</v>
      </c>
      <c r="F17" s="14">
        <v>5.8878624018331072E-6</v>
      </c>
      <c r="G17" s="14">
        <v>1.5019421572139132E-6</v>
      </c>
      <c r="H17" s="14">
        <v>0</v>
      </c>
      <c r="I17" s="14">
        <v>9.7374031961393038E-8</v>
      </c>
      <c r="J17" s="14">
        <v>1.2049411548634187E-5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1.6525831940890724E-12</v>
      </c>
      <c r="E18" s="14">
        <v>2.5674143984151622E-8</v>
      </c>
      <c r="F18" s="14">
        <v>9.5200131173114993E-6</v>
      </c>
      <c r="G18" s="14">
        <v>2.5794855666952055E-5</v>
      </c>
      <c r="H18" s="14">
        <v>0</v>
      </c>
      <c r="I18" s="14">
        <v>1.4424948870752044E-6</v>
      </c>
      <c r="J18" s="14">
        <v>3.2169605320938994E-6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4.7046165642155407E-7</v>
      </c>
      <c r="E19" s="14">
        <v>3.6095816810468457E-5</v>
      </c>
      <c r="F19" s="14">
        <v>2.5118774562675206E-7</v>
      </c>
      <c r="G19" s="14">
        <v>8.4312895374172766E-8</v>
      </c>
      <c r="H19" s="14">
        <v>0</v>
      </c>
      <c r="I19" s="14">
        <v>3.7620467688501932E-8</v>
      </c>
      <c r="J19" s="14">
        <v>3.0606004244205661E-6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8.784124335710959E-7</v>
      </c>
      <c r="E20" s="14">
        <v>3.4445390686857946E-5</v>
      </c>
      <c r="F20" s="14">
        <v>4.4789136462821214E-7</v>
      </c>
      <c r="G20" s="14">
        <v>1.4357150226929158E-7</v>
      </c>
      <c r="H20" s="14">
        <v>0</v>
      </c>
      <c r="I20" s="14">
        <v>3.9153252515781424E-8</v>
      </c>
      <c r="J20" s="14">
        <v>4.0455807601576764E-6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7.4388401553365926E-8</v>
      </c>
      <c r="E21" s="14">
        <v>4.2366312082375435E-6</v>
      </c>
      <c r="F21" s="14">
        <v>3.1586553062777039E-5</v>
      </c>
      <c r="G21" s="14">
        <v>1.2747393653608219E-6</v>
      </c>
      <c r="H21" s="14">
        <v>0</v>
      </c>
      <c r="I21" s="14">
        <v>8.7792279250140783E-8</v>
      </c>
      <c r="J21" s="14">
        <v>2.7398956828210964E-6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2.619903276751863E-6</v>
      </c>
      <c r="E22" s="14">
        <v>3.6107539799520937E-5</v>
      </c>
      <c r="F22" s="14">
        <v>4.0491090469032633E-8</v>
      </c>
      <c r="G22" s="14">
        <v>1.55473017737965E-8</v>
      </c>
      <c r="H22" s="14">
        <v>0</v>
      </c>
      <c r="I22" s="14">
        <v>3.4109716237027467E-8</v>
      </c>
      <c r="J22" s="14">
        <v>1.1824088152473425E-6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2.7547897223767616E-6</v>
      </c>
      <c r="E23" s="14">
        <v>2.8870951330167904E-5</v>
      </c>
      <c r="F23" s="14">
        <v>1.3438867403561766E-6</v>
      </c>
      <c r="G23" s="14">
        <v>3.9215542226679775E-7</v>
      </c>
      <c r="H23" s="14">
        <v>0</v>
      </c>
      <c r="I23" s="14">
        <v>4.6920183699325239E-8</v>
      </c>
      <c r="J23" s="14">
        <v>6.5912966011330432E-6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7.8541489383319627E-8</v>
      </c>
      <c r="E24" s="14">
        <v>1.5110950158239263E-5</v>
      </c>
      <c r="F24" s="14">
        <v>9.24215712058255E-6</v>
      </c>
      <c r="G24" s="14">
        <v>2.230842464666879E-6</v>
      </c>
      <c r="H24" s="14">
        <v>0</v>
      </c>
      <c r="I24" s="14">
        <v>1.3119737333602687E-7</v>
      </c>
      <c r="J24" s="14">
        <v>1.3206311393791961E-5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7.6158810990043396E-9</v>
      </c>
      <c r="E25" s="14">
        <v>3.5820595019463719E-8</v>
      </c>
      <c r="F25" s="14">
        <v>1.1365652407524236E-5</v>
      </c>
      <c r="G25" s="14">
        <v>2.3718647751303624E-5</v>
      </c>
      <c r="H25" s="14">
        <v>0</v>
      </c>
      <c r="I25" s="14">
        <v>1.3224742290424542E-6</v>
      </c>
      <c r="J25" s="14">
        <v>3.5497891360112218E-6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5.3027663679188969E-6</v>
      </c>
      <c r="E26" s="14">
        <v>5.4329428135227543E-6</v>
      </c>
      <c r="F26" s="14">
        <v>1.5274841344937543E-5</v>
      </c>
      <c r="G26" s="14">
        <v>3.2951278019745982E-6</v>
      </c>
      <c r="H26" s="14">
        <v>0</v>
      </c>
      <c r="I26" s="14">
        <v>1.7991200957916951E-7</v>
      </c>
      <c r="J26" s="14">
        <v>1.0514409662067045E-5</v>
      </c>
      <c r="K26" s="14">
        <v>0</v>
      </c>
    </row>
    <row r="27" spans="1:13">
      <c r="A27" s="2" t="s">
        <v>397</v>
      </c>
      <c r="B27" s="3" t="s">
        <v>398</v>
      </c>
      <c r="D27" s="14">
        <v>2.41049481185724E-5</v>
      </c>
      <c r="E27" s="14">
        <v>6.4342634883716642E-7</v>
      </c>
      <c r="F27" s="14">
        <v>1.0157349963224362E-5</v>
      </c>
      <c r="G27" s="14">
        <v>1.9296385701441968E-6</v>
      </c>
      <c r="H27" s="14">
        <v>0</v>
      </c>
      <c r="I27" s="14">
        <v>1.0416365066452975E-7</v>
      </c>
      <c r="J27" s="14">
        <v>3.0604733485573558E-6</v>
      </c>
      <c r="K27" s="14">
        <v>0</v>
      </c>
    </row>
    <row r="28" spans="1:13">
      <c r="A28" s="2" t="s">
        <v>399</v>
      </c>
      <c r="B28" s="3" t="s">
        <v>400</v>
      </c>
      <c r="D28" s="14">
        <v>3.0632247461121202E-5</v>
      </c>
      <c r="E28" s="14">
        <v>1.1639424359757136E-6</v>
      </c>
      <c r="F28" s="14">
        <v>4.529529335082339E-6</v>
      </c>
      <c r="G28" s="14">
        <v>9.5400056528729889E-7</v>
      </c>
      <c r="H28" s="14">
        <v>0</v>
      </c>
      <c r="I28" s="14">
        <v>5.181672823107913E-8</v>
      </c>
      <c r="J28" s="14">
        <v>2.6684634743023681E-6</v>
      </c>
      <c r="K28" s="14">
        <v>0</v>
      </c>
    </row>
    <row r="29" spans="1:13">
      <c r="A29" s="2" t="s">
        <v>297</v>
      </c>
      <c r="B29" s="3" t="s">
        <v>298</v>
      </c>
      <c r="D29" s="14">
        <v>3.7262134173290828E-5</v>
      </c>
      <c r="E29" s="14">
        <v>2.3664665269898343E-6</v>
      </c>
      <c r="F29" s="14">
        <v>3.9513176116851617E-8</v>
      </c>
      <c r="G29" s="14">
        <v>1.2434762522107663E-8</v>
      </c>
      <c r="H29" s="14">
        <v>0</v>
      </c>
      <c r="I29" s="14">
        <v>2.8227716806024607E-9</v>
      </c>
      <c r="J29" s="14">
        <v>3.1662858939977601E-7</v>
      </c>
      <c r="K29" s="14">
        <v>0</v>
      </c>
    </row>
    <row r="30" spans="1:13">
      <c r="A30" s="2" t="s">
        <v>401</v>
      </c>
      <c r="B30" s="3" t="s">
        <v>402</v>
      </c>
      <c r="D30" s="14">
        <v>3.6348735816282381E-5</v>
      </c>
      <c r="E30" s="14">
        <v>4.7909534542791538E-7</v>
      </c>
      <c r="F30" s="14">
        <v>1.7296710871306986E-6</v>
      </c>
      <c r="G30" s="14">
        <v>3.6631869322836398E-7</v>
      </c>
      <c r="H30" s="14">
        <v>0</v>
      </c>
      <c r="I30" s="14">
        <v>1.9916922008079851E-8</v>
      </c>
      <c r="J30" s="14">
        <v>1.0562621359225675E-6</v>
      </c>
      <c r="K30" s="14">
        <v>0</v>
      </c>
    </row>
    <row r="31" spans="1:13">
      <c r="A31" s="2" t="s">
        <v>299</v>
      </c>
      <c r="B31" s="3" t="s">
        <v>300</v>
      </c>
      <c r="D31" s="14">
        <v>3.9921341364656241E-5</v>
      </c>
      <c r="E31" s="14">
        <v>1.7910914709050023E-8</v>
      </c>
      <c r="F31" s="14">
        <v>2.8332137454495244E-8</v>
      </c>
      <c r="G31" s="14">
        <v>6.3763903448467424E-9</v>
      </c>
      <c r="H31" s="14">
        <v>0</v>
      </c>
      <c r="I31" s="14">
        <v>3.5372229861805949E-10</v>
      </c>
      <c r="J31" s="14">
        <v>2.5685470536750305E-8</v>
      </c>
      <c r="K31" s="14">
        <v>0</v>
      </c>
    </row>
    <row r="32" spans="1:13">
      <c r="A32" s="2" t="s">
        <v>343</v>
      </c>
      <c r="B32" s="3" t="s">
        <v>344</v>
      </c>
      <c r="D32" s="14">
        <v>7.8393116312664931E-8</v>
      </c>
      <c r="E32" s="14">
        <v>2.2438331999473182E-5</v>
      </c>
      <c r="F32" s="14">
        <v>4.8012259409425507E-6</v>
      </c>
      <c r="G32" s="14">
        <v>1.2521250360617197E-6</v>
      </c>
      <c r="H32" s="14">
        <v>0</v>
      </c>
      <c r="I32" s="14">
        <v>8.607770373864135E-8</v>
      </c>
      <c r="J32" s="14">
        <v>1.1343846203471245E-5</v>
      </c>
      <c r="K32" s="14">
        <v>0</v>
      </c>
    </row>
    <row r="33" spans="1:11">
      <c r="A33" s="2" t="s">
        <v>345</v>
      </c>
      <c r="B33" s="3" t="s">
        <v>346</v>
      </c>
      <c r="D33" s="14">
        <v>3.34121151324314E-9</v>
      </c>
      <c r="E33" s="14">
        <v>2.8376355072026175E-5</v>
      </c>
      <c r="F33" s="14">
        <v>2.2896978910697141E-6</v>
      </c>
      <c r="G33" s="14">
        <v>6.4161386383032355E-7</v>
      </c>
      <c r="H33" s="14">
        <v>0</v>
      </c>
      <c r="I33" s="14">
        <v>5.9477317759099276E-8</v>
      </c>
      <c r="J33" s="14">
        <v>8.6295146438014499E-6</v>
      </c>
      <c r="K33" s="14">
        <v>0</v>
      </c>
    </row>
    <row r="34" spans="1:11">
      <c r="A34" s="2" t="s">
        <v>347</v>
      </c>
      <c r="B34" s="3" t="s">
        <v>348</v>
      </c>
      <c r="D34" s="14">
        <v>2.8856321111316337E-9</v>
      </c>
      <c r="E34" s="14">
        <v>6.9363915851612518E-6</v>
      </c>
      <c r="F34" s="14">
        <v>1.67847615939058E-5</v>
      </c>
      <c r="G34" s="14">
        <v>3.6610927582462136E-6</v>
      </c>
      <c r="H34" s="14">
        <v>0</v>
      </c>
      <c r="I34" s="14">
        <v>2.0053622225166717E-7</v>
      </c>
      <c r="J34" s="14">
        <v>1.2414332208323943E-5</v>
      </c>
      <c r="K34" s="14">
        <v>0</v>
      </c>
    </row>
    <row r="35" spans="1:11">
      <c r="A35" s="2" t="s">
        <v>349</v>
      </c>
      <c r="B35" s="3" t="s">
        <v>350</v>
      </c>
      <c r="D35" s="14">
        <v>5.2765327036450416E-7</v>
      </c>
      <c r="E35" s="14">
        <v>8.2592626042885974E-7</v>
      </c>
      <c r="F35" s="14">
        <v>2.7607230995989753E-5</v>
      </c>
      <c r="G35" s="14">
        <v>4.9627043652166316E-6</v>
      </c>
      <c r="H35" s="14">
        <v>0</v>
      </c>
      <c r="I35" s="14">
        <v>2.684258990697632E-7</v>
      </c>
      <c r="J35" s="14">
        <v>5.8080592089304892E-6</v>
      </c>
      <c r="K35" s="14">
        <v>0</v>
      </c>
    </row>
    <row r="36" spans="1:11">
      <c r="A36" s="2" t="s">
        <v>351</v>
      </c>
      <c r="B36" s="3" t="s">
        <v>352</v>
      </c>
      <c r="D36" s="14">
        <v>1.4263023459315324E-8</v>
      </c>
      <c r="E36" s="14">
        <v>1.8317417200179464E-7</v>
      </c>
      <c r="F36" s="14">
        <v>2.3620321872051755E-5</v>
      </c>
      <c r="G36" s="14">
        <v>1.0903887618786665E-5</v>
      </c>
      <c r="H36" s="14">
        <v>0</v>
      </c>
      <c r="I36" s="14">
        <v>5.9783447766902626E-7</v>
      </c>
      <c r="J36" s="14">
        <v>4.680518836031444E-6</v>
      </c>
      <c r="K36" s="14">
        <v>0</v>
      </c>
    </row>
    <row r="37" spans="1:11">
      <c r="A37" s="2" t="s">
        <v>353</v>
      </c>
      <c r="B37" s="3" t="s">
        <v>354</v>
      </c>
      <c r="D37" s="14">
        <v>9.7185137275591619E-8</v>
      </c>
      <c r="E37" s="14">
        <v>2.8134065421745903E-8</v>
      </c>
      <c r="F37" s="14">
        <v>9.990197345815988E-6</v>
      </c>
      <c r="G37" s="14">
        <v>2.5175008317533398E-5</v>
      </c>
      <c r="H37" s="14">
        <v>0</v>
      </c>
      <c r="I37" s="14">
        <v>1.4066753062830236E-6</v>
      </c>
      <c r="J37" s="14">
        <v>3.30279982767026E-6</v>
      </c>
      <c r="K37" s="14">
        <v>0</v>
      </c>
    </row>
    <row r="38" spans="1:11">
      <c r="A38" s="2" t="s">
        <v>355</v>
      </c>
      <c r="B38" s="3" t="s">
        <v>356</v>
      </c>
      <c r="D38" s="14">
        <v>5.3363603673877952E-9</v>
      </c>
      <c r="E38" s="14">
        <v>1.0078079747969857E-7</v>
      </c>
      <c r="F38" s="14">
        <v>1.8694737220231114E-5</v>
      </c>
      <c r="G38" s="14">
        <v>1.587138842215893E-5</v>
      </c>
      <c r="H38" s="14">
        <v>0</v>
      </c>
      <c r="I38" s="14">
        <v>8.7604017059249678E-7</v>
      </c>
      <c r="J38" s="14">
        <v>4.4517170291703747E-6</v>
      </c>
      <c r="K38" s="14">
        <v>0</v>
      </c>
    </row>
    <row r="39" spans="1:11">
      <c r="A39" s="2" t="s">
        <v>357</v>
      </c>
      <c r="B39" s="3" t="s">
        <v>358</v>
      </c>
      <c r="D39" s="14">
        <v>1.0778482402145091E-6</v>
      </c>
      <c r="E39" s="14">
        <v>1.515270811548816E-7</v>
      </c>
      <c r="F39" s="14">
        <v>2.1678629938685899E-5</v>
      </c>
      <c r="G39" s="14">
        <v>1.1910428525622254E-5</v>
      </c>
      <c r="H39" s="14">
        <v>0</v>
      </c>
      <c r="I39" s="14">
        <v>6.542584586673834E-7</v>
      </c>
      <c r="J39" s="14">
        <v>4.5273077556550852E-6</v>
      </c>
      <c r="K39" s="14">
        <v>0</v>
      </c>
    </row>
    <row r="40" spans="1:11">
      <c r="A40" s="2" t="s">
        <v>359</v>
      </c>
      <c r="B40" s="3" t="s">
        <v>360</v>
      </c>
      <c r="D40" s="14">
        <v>5.3363603673877952E-9</v>
      </c>
      <c r="E40" s="14">
        <v>1.0078079747969857E-7</v>
      </c>
      <c r="F40" s="14">
        <v>1.8694737220231114E-5</v>
      </c>
      <c r="G40" s="14">
        <v>1.587138842215893E-5</v>
      </c>
      <c r="H40" s="14">
        <v>0</v>
      </c>
      <c r="I40" s="14">
        <v>8.7604017059249678E-7</v>
      </c>
      <c r="J40" s="14">
        <v>4.4517170291703747E-6</v>
      </c>
      <c r="K40" s="14">
        <v>0</v>
      </c>
    </row>
    <row r="41" spans="1:11">
      <c r="A41" s="2" t="s">
        <v>313</v>
      </c>
      <c r="B41" s="3" t="s">
        <v>314</v>
      </c>
      <c r="D41" s="14">
        <v>2.2428435960777889E-12</v>
      </c>
      <c r="E41" s="14">
        <v>3.8135481848875721E-5</v>
      </c>
      <c r="F41" s="14">
        <v>1.8200814041357072E-6</v>
      </c>
      <c r="G41" s="14">
        <v>4.3312311545658061E-10</v>
      </c>
      <c r="H41" s="14">
        <v>0</v>
      </c>
      <c r="I41" s="14">
        <v>3.679488763536175E-8</v>
      </c>
      <c r="J41" s="14">
        <v>7.2064933941612541E-9</v>
      </c>
      <c r="K41" s="14">
        <v>0</v>
      </c>
    </row>
    <row r="42" spans="1:11">
      <c r="A42" s="2" t="s">
        <v>315</v>
      </c>
      <c r="B42" s="3" t="s">
        <v>316</v>
      </c>
      <c r="D42" s="14">
        <v>1.4016476643150099E-7</v>
      </c>
      <c r="E42" s="14">
        <v>2.558417978127958E-8</v>
      </c>
      <c r="F42" s="14">
        <v>9.4866542488733141E-6</v>
      </c>
      <c r="G42" s="14">
        <v>2.5704468480929055E-5</v>
      </c>
      <c r="H42" s="14">
        <v>0</v>
      </c>
      <c r="I42" s="14">
        <v>1.4374402724893072E-6</v>
      </c>
      <c r="J42" s="14">
        <v>3.2056880514955469E-6</v>
      </c>
      <c r="K42" s="14">
        <v>0</v>
      </c>
    </row>
    <row r="43" spans="1:11">
      <c r="A43" s="2" t="s">
        <v>317</v>
      </c>
      <c r="B43" s="3" t="s">
        <v>318</v>
      </c>
      <c r="D43" s="14">
        <v>1.7605575046720279E-16</v>
      </c>
      <c r="E43" s="14">
        <v>1.4108565393085912E-5</v>
      </c>
      <c r="F43" s="14">
        <v>1.0025924498657933E-5</v>
      </c>
      <c r="G43" s="14">
        <v>2.3934258934094071E-6</v>
      </c>
      <c r="H43" s="14">
        <v>0</v>
      </c>
      <c r="I43" s="14">
        <v>1.389387985430364E-7</v>
      </c>
      <c r="J43" s="14">
        <v>1.3333145416127655E-5</v>
      </c>
      <c r="K43" s="14">
        <v>0</v>
      </c>
    </row>
    <row r="44" spans="1:11">
      <c r="A44" s="2" t="s">
        <v>307</v>
      </c>
      <c r="B44" s="3" t="s">
        <v>308</v>
      </c>
      <c r="D44" s="14">
        <v>4.7706318062781456E-9</v>
      </c>
      <c r="E44" s="14">
        <v>2.7488341644291484E-7</v>
      </c>
      <c r="F44" s="14">
        <v>2.6868914058819849E-5</v>
      </c>
      <c r="G44" s="14">
        <v>7.7973255958652243E-6</v>
      </c>
      <c r="H44" s="14">
        <v>0</v>
      </c>
      <c r="I44" s="14">
        <v>4.254141158617243E-7</v>
      </c>
      <c r="J44" s="14">
        <v>4.6286921812040093E-6</v>
      </c>
      <c r="K44" s="14">
        <v>0</v>
      </c>
    </row>
    <row r="45" spans="1:11">
      <c r="A45" s="2" t="s">
        <v>319</v>
      </c>
      <c r="B45" s="3" t="s">
        <v>320</v>
      </c>
      <c r="D45" s="14">
        <v>4.5785946454625215E-10</v>
      </c>
      <c r="E45" s="14">
        <v>1.1471093947150088E-8</v>
      </c>
      <c r="F45" s="14">
        <v>6.0660559394534639E-6</v>
      </c>
      <c r="G45" s="14">
        <v>2.9792158257705404E-5</v>
      </c>
      <c r="H45" s="14">
        <v>0</v>
      </c>
      <c r="I45" s="14">
        <v>1.6773253339162833E-6</v>
      </c>
      <c r="J45" s="14">
        <v>2.4525315155131519E-6</v>
      </c>
      <c r="K45" s="14">
        <v>0</v>
      </c>
    </row>
    <row r="46" spans="1:11">
      <c r="A46" s="2" t="s">
        <v>321</v>
      </c>
      <c r="B46" s="3" t="s">
        <v>322</v>
      </c>
      <c r="D46" s="14">
        <v>6.7450726276000989E-10</v>
      </c>
      <c r="E46" s="14">
        <v>2.2906528200052231E-8</v>
      </c>
      <c r="F46" s="14">
        <v>8.9466581878187805E-6</v>
      </c>
      <c r="G46" s="14">
        <v>2.6445781205911787E-5</v>
      </c>
      <c r="H46" s="14">
        <v>0</v>
      </c>
      <c r="I46" s="14">
        <v>1.4803560742510747E-6</v>
      </c>
      <c r="J46" s="14">
        <v>3.103623496555551E-6</v>
      </c>
      <c r="K46" s="14">
        <v>0</v>
      </c>
    </row>
    <row r="47" spans="1:11">
      <c r="A47" s="2" t="s">
        <v>323</v>
      </c>
      <c r="B47" s="3" t="s">
        <v>324</v>
      </c>
      <c r="D47" s="14">
        <v>6.3688837485017691E-9</v>
      </c>
      <c r="E47" s="14">
        <v>5.1012424184564075E-8</v>
      </c>
      <c r="F47" s="14">
        <v>1.3612488838111335E-5</v>
      </c>
      <c r="G47" s="14">
        <v>2.1253628838118714E-5</v>
      </c>
      <c r="H47" s="14">
        <v>0</v>
      </c>
      <c r="I47" s="14">
        <v>1.1811578581745221E-6</v>
      </c>
      <c r="J47" s="14">
        <v>3.8953431576623691E-6</v>
      </c>
      <c r="K47" s="14">
        <v>0</v>
      </c>
    </row>
    <row r="48" spans="1:11">
      <c r="A48" s="2" t="s">
        <v>325</v>
      </c>
      <c r="B48" s="3" t="s">
        <v>326</v>
      </c>
      <c r="D48" s="14">
        <v>4.0402105325990459E-9</v>
      </c>
      <c r="E48" s="14">
        <v>2.3652477447150718E-6</v>
      </c>
      <c r="F48" s="14">
        <v>2.3805549538189032E-5</v>
      </c>
      <c r="G48" s="14">
        <v>4.6749155153605179E-6</v>
      </c>
      <c r="H48" s="14">
        <v>0</v>
      </c>
      <c r="I48" s="14">
        <v>2.5237000497254591E-7</v>
      </c>
      <c r="J48" s="14">
        <v>8.8978769862302364E-6</v>
      </c>
      <c r="K48" s="14">
        <v>0</v>
      </c>
    </row>
    <row r="49" spans="1:11">
      <c r="A49" s="2" t="s">
        <v>275</v>
      </c>
      <c r="B49" s="3" t="s">
        <v>276</v>
      </c>
      <c r="D49" s="14">
        <v>6.1265434397457376E-11</v>
      </c>
      <c r="E49" s="14">
        <v>2.5552191743577057E-7</v>
      </c>
      <c r="F49" s="14">
        <v>2.6308115028247279E-5</v>
      </c>
      <c r="G49" s="14">
        <v>8.3288547331582766E-6</v>
      </c>
      <c r="H49" s="14">
        <v>0</v>
      </c>
      <c r="I49" s="14">
        <v>4.5482346935596176E-7</v>
      </c>
      <c r="J49" s="14">
        <v>4.6526235863683297E-6</v>
      </c>
      <c r="K49" s="14">
        <v>0</v>
      </c>
    </row>
    <row r="50" spans="1:11">
      <c r="A50" s="2" t="s">
        <v>327</v>
      </c>
      <c r="B50" s="3" t="s">
        <v>328</v>
      </c>
      <c r="D50" s="14">
        <v>3.1884331218146061E-9</v>
      </c>
      <c r="E50" s="14">
        <v>2.2552253912412399E-7</v>
      </c>
      <c r="F50" s="14">
        <v>2.5319290220553409E-5</v>
      </c>
      <c r="G50" s="14">
        <v>9.2671689823859534E-6</v>
      </c>
      <c r="H50" s="14">
        <v>0</v>
      </c>
      <c r="I50" s="14">
        <v>5.0683526092419623E-7</v>
      </c>
      <c r="J50" s="14">
        <v>4.6779945638905067E-6</v>
      </c>
      <c r="K50" s="14">
        <v>0</v>
      </c>
    </row>
    <row r="51" spans="1:11">
      <c r="A51" s="2" t="s">
        <v>329</v>
      </c>
      <c r="B51" s="3" t="s">
        <v>330</v>
      </c>
      <c r="D51" s="14">
        <v>2.1136444546282785E-9</v>
      </c>
      <c r="E51" s="14">
        <v>1.5179049425555073E-6</v>
      </c>
      <c r="F51" s="14">
        <v>2.5828914189082803E-5</v>
      </c>
      <c r="G51" s="14">
        <v>4.8797964282579804E-6</v>
      </c>
      <c r="H51" s="14">
        <v>0</v>
      </c>
      <c r="I51" s="14">
        <v>2.6344243730286302E-7</v>
      </c>
      <c r="J51" s="14">
        <v>7.5078283583462248E-6</v>
      </c>
      <c r="K51" s="14">
        <v>0</v>
      </c>
    </row>
    <row r="52" spans="1:11">
      <c r="A52" s="2" t="s">
        <v>277</v>
      </c>
      <c r="B52" s="3" t="s">
        <v>278</v>
      </c>
      <c r="D52" s="14">
        <v>6.2882783352245475E-9</v>
      </c>
      <c r="E52" s="14">
        <v>2.2692607266331276E-6</v>
      </c>
      <c r="F52" s="14">
        <v>2.4010763569208352E-5</v>
      </c>
      <c r="G52" s="14">
        <v>4.6978757541132037E-6</v>
      </c>
      <c r="H52" s="14">
        <v>0</v>
      </c>
      <c r="I52" s="14">
        <v>2.5359158905186507E-7</v>
      </c>
      <c r="J52" s="14">
        <v>8.762220082658239E-6</v>
      </c>
      <c r="K52" s="14">
        <v>0</v>
      </c>
    </row>
    <row r="53" spans="1:11">
      <c r="A53" s="2" t="s">
        <v>331</v>
      </c>
      <c r="B53" s="3" t="s">
        <v>332</v>
      </c>
      <c r="D53" s="14">
        <v>2.1207419358355143E-9</v>
      </c>
      <c r="E53" s="14">
        <v>1.4936211848676272E-7</v>
      </c>
      <c r="F53" s="14">
        <v>2.1931182008558172E-5</v>
      </c>
      <c r="G53" s="14">
        <v>1.2585126769129535E-5</v>
      </c>
      <c r="H53" s="14">
        <v>0</v>
      </c>
      <c r="I53" s="14">
        <v>6.916501481050884E-7</v>
      </c>
      <c r="J53" s="14">
        <v>4.64055821378461E-6</v>
      </c>
      <c r="K53" s="14">
        <v>0</v>
      </c>
    </row>
    <row r="54" spans="1:11">
      <c r="A54" s="2" t="s">
        <v>333</v>
      </c>
      <c r="B54" s="3" t="s">
        <v>334</v>
      </c>
      <c r="D54" s="14">
        <v>3.4722766901270581E-12</v>
      </c>
      <c r="E54" s="14">
        <v>2.4017453880624631E-7</v>
      </c>
      <c r="F54" s="14">
        <v>2.5821920503332912E-5</v>
      </c>
      <c r="G54" s="14">
        <v>8.7899032556178876E-6</v>
      </c>
      <c r="H54" s="14">
        <v>0</v>
      </c>
      <c r="I54" s="14">
        <v>4.8036497153164762E-7</v>
      </c>
      <c r="J54" s="14">
        <v>4.667633258434617E-6</v>
      </c>
      <c r="K54" s="14">
        <v>0</v>
      </c>
    </row>
    <row r="55" spans="1:11">
      <c r="A55" s="2" t="s">
        <v>335</v>
      </c>
      <c r="B55" s="3" t="s">
        <v>336</v>
      </c>
      <c r="D55" s="14">
        <v>1.6547971323366813E-8</v>
      </c>
      <c r="E55" s="14">
        <v>5.2780973990150383E-8</v>
      </c>
      <c r="F55" s="14">
        <v>1.3842641593320065E-5</v>
      </c>
      <c r="G55" s="14">
        <v>2.0994934781164979E-5</v>
      </c>
      <c r="H55" s="14">
        <v>0</v>
      </c>
      <c r="I55" s="14">
        <v>1.1663997614994289E-6</v>
      </c>
      <c r="J55" s="14">
        <v>3.9266949187020163E-6</v>
      </c>
      <c r="K55" s="14">
        <v>0</v>
      </c>
    </row>
    <row r="56" spans="1:11">
      <c r="A56" s="2" t="s">
        <v>337</v>
      </c>
      <c r="B56" s="3" t="s">
        <v>338</v>
      </c>
      <c r="D56" s="14">
        <v>1.2251931021058558E-9</v>
      </c>
      <c r="E56" s="14">
        <v>2.6832255680445955E-7</v>
      </c>
      <c r="F56" s="14">
        <v>2.6685709742039238E-5</v>
      </c>
      <c r="G56" s="14">
        <v>7.9721289217773565E-6</v>
      </c>
      <c r="H56" s="14">
        <v>0</v>
      </c>
      <c r="I56" s="14">
        <v>4.3508132470295475E-7</v>
      </c>
      <c r="J56" s="14">
        <v>4.6375322615738946E-6</v>
      </c>
      <c r="K56" s="14">
        <v>0</v>
      </c>
    </row>
    <row r="57" spans="1:11">
      <c r="A57" s="2" t="s">
        <v>279</v>
      </c>
      <c r="B57" s="3" t="s">
        <v>280</v>
      </c>
      <c r="D57" s="14">
        <v>1.2143224097928263E-7</v>
      </c>
      <c r="E57" s="14">
        <v>2.8336528923667152E-6</v>
      </c>
      <c r="F57" s="14">
        <v>2.2772369642833325E-5</v>
      </c>
      <c r="G57" s="14">
        <v>4.5467783152815424E-6</v>
      </c>
      <c r="H57" s="14">
        <v>0</v>
      </c>
      <c r="I57" s="14">
        <v>2.4559067918743568E-7</v>
      </c>
      <c r="J57" s="14">
        <v>9.4801762293517028E-6</v>
      </c>
      <c r="K57" s="14">
        <v>0</v>
      </c>
    </row>
    <row r="58" spans="1:11">
      <c r="A58" s="2" t="s">
        <v>339</v>
      </c>
      <c r="B58" s="3" t="s">
        <v>340</v>
      </c>
      <c r="D58" s="14">
        <v>1.2168756530542834E-11</v>
      </c>
      <c r="E58" s="14">
        <v>2.3719134757648529E-7</v>
      </c>
      <c r="F58" s="14">
        <v>2.5722928871213421E-5</v>
      </c>
      <c r="G58" s="14">
        <v>8.8841518335150397E-6</v>
      </c>
      <c r="H58" s="14">
        <v>0</v>
      </c>
      <c r="I58" s="14">
        <v>4.855897277564601E-7</v>
      </c>
      <c r="J58" s="14">
        <v>4.6701260511820597E-6</v>
      </c>
      <c r="K58" s="14">
        <v>0</v>
      </c>
    </row>
    <row r="59" spans="1:11">
      <c r="A59" s="2" t="s">
        <v>281</v>
      </c>
      <c r="B59" s="3" t="s">
        <v>282</v>
      </c>
      <c r="D59" s="14">
        <v>9.5189643585259567E-10</v>
      </c>
      <c r="E59" s="14">
        <v>2.2695635152802736E-6</v>
      </c>
      <c r="F59" s="14">
        <v>2.4013967337965611E-5</v>
      </c>
      <c r="G59" s="14">
        <v>4.69850259413531E-6</v>
      </c>
      <c r="H59" s="14">
        <v>0</v>
      </c>
      <c r="I59" s="14">
        <v>2.5362542591039588E-7</v>
      </c>
      <c r="J59" s="14">
        <v>8.7633892302725641E-6</v>
      </c>
      <c r="K59" s="14">
        <v>0</v>
      </c>
    </row>
    <row r="60" spans="1:11">
      <c r="A60" s="2" t="s">
        <v>341</v>
      </c>
      <c r="B60" s="3" t="s">
        <v>342</v>
      </c>
      <c r="D60" s="14">
        <v>1.7763768947168969E-8</v>
      </c>
      <c r="E60" s="14">
        <v>1.6897706257298367E-7</v>
      </c>
      <c r="F60" s="14">
        <v>2.2951407853073049E-5</v>
      </c>
      <c r="G60" s="14">
        <v>1.1558590718482568E-5</v>
      </c>
      <c r="H60" s="14">
        <v>0</v>
      </c>
      <c r="I60" s="14">
        <v>6.3432894373319116E-7</v>
      </c>
      <c r="J60" s="14">
        <v>4.6689316531910413E-6</v>
      </c>
      <c r="K60" s="14">
        <v>0</v>
      </c>
    </row>
    <row r="61" spans="1:11">
      <c r="A61" s="2" t="s">
        <v>483</v>
      </c>
      <c r="B61" s="3" t="s">
        <v>484</v>
      </c>
      <c r="D61" s="14">
        <v>2.9947065642246205E-18</v>
      </c>
      <c r="E61" s="14">
        <v>1.0871447632645245E-5</v>
      </c>
      <c r="F61" s="14">
        <v>1.7512626410227381E-5</v>
      </c>
      <c r="G61" s="14">
        <v>2.9178897622314958E-6</v>
      </c>
      <c r="H61" s="14">
        <v>0</v>
      </c>
      <c r="I61" s="14">
        <v>1.0176773677117444E-6</v>
      </c>
      <c r="J61" s="14">
        <v>7.6803588271811414E-6</v>
      </c>
      <c r="K61" s="14">
        <v>0</v>
      </c>
    </row>
    <row r="62" spans="1:11">
      <c r="A62" s="2" t="s">
        <v>485</v>
      </c>
      <c r="B62" s="3" t="s">
        <v>486</v>
      </c>
      <c r="D62" s="14">
        <v>8.1821766540489092E-12</v>
      </c>
      <c r="E62" s="14">
        <v>7.4131278854095612E-6</v>
      </c>
      <c r="F62" s="14">
        <v>1.6230917362989306E-5</v>
      </c>
      <c r="G62" s="14">
        <v>3.5664703840186421E-6</v>
      </c>
      <c r="H62" s="14">
        <v>0</v>
      </c>
      <c r="I62" s="14">
        <v>1.9583682110328052E-7</v>
      </c>
      <c r="J62" s="14">
        <v>1.259363936430257E-5</v>
      </c>
      <c r="K62" s="14">
        <v>0</v>
      </c>
    </row>
    <row r="63" spans="1:11">
      <c r="A63" s="2" t="s">
        <v>487</v>
      </c>
      <c r="B63" s="3" t="s">
        <v>488</v>
      </c>
      <c r="D63" s="14">
        <v>2.8512959212206452E-17</v>
      </c>
      <c r="E63" s="14">
        <v>3.6764580813043089E-5</v>
      </c>
      <c r="F63" s="14">
        <v>1.2717053647271405E-6</v>
      </c>
      <c r="G63" s="14">
        <v>1.6779663835897289E-7</v>
      </c>
      <c r="H63" s="14">
        <v>0</v>
      </c>
      <c r="I63" s="14">
        <v>2.0159574363080804E-7</v>
      </c>
      <c r="J63" s="14">
        <v>1.5943214402114829E-6</v>
      </c>
      <c r="K63" s="14">
        <v>0</v>
      </c>
    </row>
    <row r="64" spans="1:11">
      <c r="A64" s="2" t="s">
        <v>489</v>
      </c>
      <c r="B64" s="3" t="s">
        <v>490</v>
      </c>
      <c r="D64" s="14">
        <v>5.2705562553505923E-19</v>
      </c>
      <c r="E64" s="14">
        <v>3.929736068488307E-5</v>
      </c>
      <c r="F64" s="14">
        <v>4.8605448772449604E-7</v>
      </c>
      <c r="G64" s="14">
        <v>6.0347921696151322E-9</v>
      </c>
      <c r="H64" s="14">
        <v>0</v>
      </c>
      <c r="I64" s="14">
        <v>3.7019882617580614E-8</v>
      </c>
      <c r="J64" s="14">
        <v>1.7353015260471799E-7</v>
      </c>
      <c r="K64" s="14">
        <v>0</v>
      </c>
    </row>
    <row r="65" spans="1:11">
      <c r="A65" s="2" t="s">
        <v>491</v>
      </c>
      <c r="B65" s="3" t="s">
        <v>492</v>
      </c>
      <c r="D65" s="14">
        <v>8.7871735551279599E-17</v>
      </c>
      <c r="E65" s="14">
        <v>3.9804115072020699E-5</v>
      </c>
      <c r="F65" s="14">
        <v>6.370234990628623E-8</v>
      </c>
      <c r="G65" s="14">
        <v>2.8333418322611132E-9</v>
      </c>
      <c r="H65" s="14">
        <v>0</v>
      </c>
      <c r="I65" s="14">
        <v>5.1940209923239526E-8</v>
      </c>
      <c r="J65" s="14">
        <v>7.7409026229648357E-8</v>
      </c>
      <c r="K65" s="14">
        <v>0</v>
      </c>
    </row>
    <row r="66" spans="1:11">
      <c r="A66" s="2" t="s">
        <v>493</v>
      </c>
      <c r="B66" s="3" t="s">
        <v>494</v>
      </c>
      <c r="D66" s="14">
        <v>1.1164154322266275E-15</v>
      </c>
      <c r="E66" s="14">
        <v>2.9938482674991047E-5</v>
      </c>
      <c r="F66" s="14">
        <v>7.7975288097647607E-6</v>
      </c>
      <c r="G66" s="14">
        <v>1.9542036805090639E-7</v>
      </c>
      <c r="H66" s="14">
        <v>0</v>
      </c>
      <c r="I66" s="14">
        <v>1.3971354938787539E-6</v>
      </c>
      <c r="J66" s="14">
        <v>6.7143265219812186E-7</v>
      </c>
      <c r="K66" s="14">
        <v>0</v>
      </c>
    </row>
    <row r="67" spans="1:11">
      <c r="A67" s="2" t="s">
        <v>495</v>
      </c>
      <c r="B67" s="3" t="s">
        <v>496</v>
      </c>
      <c r="D67" s="14">
        <v>6.8650871056238438E-17</v>
      </c>
      <c r="E67" s="14">
        <v>3.9806930615074298E-5</v>
      </c>
      <c r="F67" s="14">
        <v>5.3719259390888711E-8</v>
      </c>
      <c r="G67" s="14">
        <v>2.9366010558120075E-9</v>
      </c>
      <c r="H67" s="14">
        <v>0</v>
      </c>
      <c r="I67" s="14">
        <v>4.9365768167695125E-8</v>
      </c>
      <c r="J67" s="14">
        <v>8.7047756242657034E-8</v>
      </c>
      <c r="K67" s="14">
        <v>0</v>
      </c>
    </row>
    <row r="68" spans="1:11">
      <c r="A68" s="2" t="s">
        <v>497</v>
      </c>
      <c r="B68" s="3" t="s">
        <v>498</v>
      </c>
      <c r="D68" s="14">
        <v>6.2154845029455829E-16</v>
      </c>
      <c r="E68" s="14">
        <v>3.9919386115637708E-5</v>
      </c>
      <c r="F68" s="14">
        <v>6.3960521569440769E-9</v>
      </c>
      <c r="G68" s="14">
        <v>4.9348967709175429E-10</v>
      </c>
      <c r="H68" s="14">
        <v>0</v>
      </c>
      <c r="I68" s="14">
        <v>3.8513962646034396E-8</v>
      </c>
      <c r="J68" s="14">
        <v>3.5210379260673629E-8</v>
      </c>
      <c r="K68" s="14">
        <v>0</v>
      </c>
    </row>
    <row r="69" spans="1:11">
      <c r="A69" s="2" t="s">
        <v>499</v>
      </c>
      <c r="B69" s="3" t="s">
        <v>500</v>
      </c>
      <c r="D69" s="14">
        <v>3.0493111395122762E-16</v>
      </c>
      <c r="E69" s="14">
        <v>3.035794577231825E-7</v>
      </c>
      <c r="F69" s="14">
        <v>2.761632946216628E-5</v>
      </c>
      <c r="G69" s="14">
        <v>7.1051215269879643E-6</v>
      </c>
      <c r="H69" s="14">
        <v>0</v>
      </c>
      <c r="I69" s="14">
        <v>3.8717310170518856E-7</v>
      </c>
      <c r="J69" s="14">
        <v>4.5877964511124583E-6</v>
      </c>
      <c r="K69" s="14">
        <v>0</v>
      </c>
    </row>
    <row r="70" spans="1:11">
      <c r="A70" s="2" t="s">
        <v>501</v>
      </c>
      <c r="B70" s="3" t="s">
        <v>411</v>
      </c>
      <c r="D70" s="14">
        <v>1.1141884627123072E-17</v>
      </c>
      <c r="E70" s="14">
        <v>3.8751748033971735E-5</v>
      </c>
      <c r="F70" s="14">
        <v>1.2090182930206434E-6</v>
      </c>
      <c r="G70" s="14">
        <v>1.149022402390055E-10</v>
      </c>
      <c r="H70" s="14">
        <v>0</v>
      </c>
      <c r="I70" s="14">
        <v>3.6847645291873885E-8</v>
      </c>
      <c r="J70" s="14">
        <v>2.27112546437129E-9</v>
      </c>
      <c r="K70" s="14">
        <v>0</v>
      </c>
    </row>
    <row r="71" spans="1:11">
      <c r="A71" s="2" t="s">
        <v>502</v>
      </c>
      <c r="B71" s="3" t="s">
        <v>412</v>
      </c>
      <c r="D71" s="14">
        <v>5.0890789643665324E-13</v>
      </c>
      <c r="E71" s="14">
        <v>3.7706156391026595E-5</v>
      </c>
      <c r="F71" s="14">
        <v>2.253792030185654E-6</v>
      </c>
      <c r="G71" s="14">
        <v>2.0482367435105427E-10</v>
      </c>
      <c r="H71" s="14">
        <v>0</v>
      </c>
      <c r="I71" s="14">
        <v>3.6735297980527943E-8</v>
      </c>
      <c r="J71" s="14">
        <v>3.1109482249839905E-9</v>
      </c>
      <c r="K71" s="14">
        <v>0</v>
      </c>
    </row>
    <row r="72" spans="1:11">
      <c r="A72" s="2" t="s">
        <v>503</v>
      </c>
      <c r="B72" s="3" t="s">
        <v>413</v>
      </c>
      <c r="D72" s="14">
        <v>6.8655974072379864E-15</v>
      </c>
      <c r="E72" s="14">
        <v>1.5509257103132074E-7</v>
      </c>
      <c r="F72" s="14">
        <v>3.9632600523639553E-5</v>
      </c>
      <c r="G72" s="14">
        <v>1.8201908590613754E-8</v>
      </c>
      <c r="H72" s="14">
        <v>0</v>
      </c>
      <c r="I72" s="14">
        <v>1.9059561663745371E-7</v>
      </c>
      <c r="J72" s="14">
        <v>3.5093732354715429E-9</v>
      </c>
      <c r="K72" s="14">
        <v>0</v>
      </c>
    </row>
    <row r="73" spans="1:11">
      <c r="A73" s="2" t="s">
        <v>504</v>
      </c>
      <c r="B73" s="3" t="s">
        <v>414</v>
      </c>
      <c r="D73" s="14">
        <v>9.001170775030309E-15</v>
      </c>
      <c r="E73" s="14">
        <v>1.4435494439595462E-6</v>
      </c>
      <c r="F73" s="14">
        <v>3.8527713708757905E-5</v>
      </c>
      <c r="G73" s="14">
        <v>2.2270891252591087E-9</v>
      </c>
      <c r="H73" s="14">
        <v>0</v>
      </c>
      <c r="I73" s="14">
        <v>2.3654459132926133E-8</v>
      </c>
      <c r="J73" s="14">
        <v>2.85529002318762E-9</v>
      </c>
      <c r="K73" s="14">
        <v>0</v>
      </c>
    </row>
    <row r="74" spans="1:11">
      <c r="A74" s="2" t="s">
        <v>505</v>
      </c>
      <c r="B74" s="3" t="s">
        <v>415</v>
      </c>
      <c r="D74" s="14">
        <v>6.2912794575890709E-14</v>
      </c>
      <c r="E74" s="14">
        <v>3.7909812744332378E-5</v>
      </c>
      <c r="F74" s="14">
        <v>2.0502801807346793E-6</v>
      </c>
      <c r="G74" s="14">
        <v>1.871447174462942E-10</v>
      </c>
      <c r="H74" s="14">
        <v>0</v>
      </c>
      <c r="I74" s="14">
        <v>3.6759877579047853E-8</v>
      </c>
      <c r="J74" s="14">
        <v>2.9599897236537658E-9</v>
      </c>
      <c r="K74" s="14">
        <v>0</v>
      </c>
    </row>
    <row r="75" spans="1:11">
      <c r="A75" s="2" t="s">
        <v>506</v>
      </c>
      <c r="B75" s="3" t="s">
        <v>416</v>
      </c>
      <c r="D75" s="14">
        <v>3.8628033334047312E-14</v>
      </c>
      <c r="E75" s="14">
        <v>1.7078717694109139E-6</v>
      </c>
      <c r="F75" s="14">
        <v>3.8262807616915862E-5</v>
      </c>
      <c r="G75" s="14">
        <v>2.2404806287912726E-9</v>
      </c>
      <c r="H75" s="14">
        <v>0</v>
      </c>
      <c r="I75" s="14">
        <v>2.3996524330288014E-8</v>
      </c>
      <c r="J75" s="14">
        <v>3.0835700861167561E-9</v>
      </c>
      <c r="K75" s="14">
        <v>0</v>
      </c>
    </row>
    <row r="76" spans="1:11">
      <c r="A76" s="2" t="s">
        <v>507</v>
      </c>
      <c r="B76" s="3" t="s">
        <v>417</v>
      </c>
      <c r="D76" s="14">
        <v>8.921461171562681E-13</v>
      </c>
      <c r="E76" s="14">
        <v>1.7903958582412433E-5</v>
      </c>
      <c r="F76" s="14">
        <v>2.2055181639961588E-5</v>
      </c>
      <c r="G76" s="14">
        <v>1.603898764178992E-9</v>
      </c>
      <c r="H76" s="14">
        <v>0</v>
      </c>
      <c r="I76" s="14">
        <v>3.2105257674613152E-8</v>
      </c>
      <c r="J76" s="14">
        <v>7.1497290410733365E-9</v>
      </c>
      <c r="K76" s="14">
        <v>0</v>
      </c>
    </row>
    <row r="77" spans="1:11">
      <c r="A77" s="2" t="s">
        <v>508</v>
      </c>
      <c r="B77" s="3" t="s">
        <v>418</v>
      </c>
      <c r="D77" s="14">
        <v>2.7867179651271164E-13</v>
      </c>
      <c r="E77" s="14">
        <v>1.5147678964330584E-6</v>
      </c>
      <c r="F77" s="14">
        <v>3.8456315005973616E-5</v>
      </c>
      <c r="G77" s="14">
        <v>2.2378654970122009E-9</v>
      </c>
      <c r="H77" s="14">
        <v>0</v>
      </c>
      <c r="I77" s="14">
        <v>2.375111833766842E-8</v>
      </c>
      <c r="J77" s="14">
        <v>2.927835086862831E-9</v>
      </c>
      <c r="K77" s="14">
        <v>0</v>
      </c>
    </row>
    <row r="78" spans="1:11">
      <c r="A78" s="2" t="s">
        <v>509</v>
      </c>
      <c r="B78" s="3" t="s">
        <v>419</v>
      </c>
      <c r="D78" s="14">
        <v>2.7622470791157879E-14</v>
      </c>
      <c r="E78" s="14">
        <v>1.7214530613230089E-7</v>
      </c>
      <c r="F78" s="14">
        <v>3.9649412780127725E-5</v>
      </c>
      <c r="G78" s="14">
        <v>1.5300341309045302E-8</v>
      </c>
      <c r="H78" s="14">
        <v>0</v>
      </c>
      <c r="I78" s="14">
        <v>1.5981024477321563E-7</v>
      </c>
      <c r="J78" s="14">
        <v>3.331300035244645E-9</v>
      </c>
      <c r="K78" s="14">
        <v>0</v>
      </c>
    </row>
    <row r="79" spans="1:11">
      <c r="A79" s="2" t="s">
        <v>510</v>
      </c>
      <c r="B79" s="3" t="s">
        <v>420</v>
      </c>
      <c r="D79" s="14">
        <v>6.9384518440561068E-19</v>
      </c>
      <c r="E79" s="14">
        <v>1.7214531948397382E-7</v>
      </c>
      <c r="F79" s="14">
        <v>3.9649415855355298E-5</v>
      </c>
      <c r="G79" s="14">
        <v>1.5297921129649222E-8</v>
      </c>
      <c r="H79" s="14">
        <v>0</v>
      </c>
      <c r="I79" s="14">
        <v>1.5981013093395176E-7</v>
      </c>
      <c r="J79" s="14">
        <v>3.3307730964303647E-9</v>
      </c>
      <c r="K79" s="14">
        <v>0</v>
      </c>
    </row>
    <row r="80" spans="1:11">
      <c r="A80" s="2" t="s">
        <v>511</v>
      </c>
      <c r="B80" s="3" t="s">
        <v>421</v>
      </c>
      <c r="D80" s="14">
        <v>7.8447545891426596E-14</v>
      </c>
      <c r="E80" s="14">
        <v>6.6639545168863808E-6</v>
      </c>
      <c r="F80" s="14">
        <v>3.3300718084157365E-5</v>
      </c>
      <c r="G80" s="14">
        <v>2.177799820915048E-9</v>
      </c>
      <c r="H80" s="14">
        <v>0</v>
      </c>
      <c r="I80" s="14">
        <v>2.7644859562999187E-8</v>
      </c>
      <c r="J80" s="14">
        <v>5.5046611247938826E-9</v>
      </c>
      <c r="K80" s="14">
        <v>0</v>
      </c>
    </row>
    <row r="81" spans="1:11">
      <c r="A81" s="2" t="s">
        <v>512</v>
      </c>
      <c r="B81" s="3" t="s">
        <v>422</v>
      </c>
      <c r="D81" s="14">
        <v>1.0254282773953381E-13</v>
      </c>
      <c r="E81" s="14">
        <v>3.2160141564338557E-5</v>
      </c>
      <c r="F81" s="14">
        <v>7.7979334795671041E-6</v>
      </c>
      <c r="G81" s="14">
        <v>6.3729995130701769E-10</v>
      </c>
      <c r="H81" s="14">
        <v>0</v>
      </c>
      <c r="I81" s="14">
        <v>3.5799017616564683E-8</v>
      </c>
      <c r="J81" s="14">
        <v>5.4885359836439316E-9</v>
      </c>
      <c r="K81" s="14">
        <v>0</v>
      </c>
    </row>
    <row r="82" spans="1:11">
      <c r="A82" s="2" t="s">
        <v>513</v>
      </c>
      <c r="B82" s="3" t="s">
        <v>423</v>
      </c>
      <c r="D82" s="14">
        <v>2.58164562559251E-17</v>
      </c>
      <c r="E82" s="14">
        <v>2.4320319070408164E-5</v>
      </c>
      <c r="F82" s="14">
        <v>1.5637626743636207E-5</v>
      </c>
      <c r="G82" s="14">
        <v>1.1892316717660751E-9</v>
      </c>
      <c r="H82" s="14">
        <v>0</v>
      </c>
      <c r="I82" s="14">
        <v>3.396606621080808E-8</v>
      </c>
      <c r="J82" s="14">
        <v>6.8988880472421684E-9</v>
      </c>
      <c r="K82" s="14">
        <v>0</v>
      </c>
    </row>
    <row r="83" spans="1:11">
      <c r="A83" s="2" t="s">
        <v>514</v>
      </c>
      <c r="B83" s="3" t="s">
        <v>424</v>
      </c>
      <c r="D83" s="14">
        <v>9.853172084989929E-15</v>
      </c>
      <c r="E83" s="14">
        <v>1.1628099253659945E-7</v>
      </c>
      <c r="F83" s="14">
        <v>3.9541241813374025E-5</v>
      </c>
      <c r="G83" s="14">
        <v>2.9309922063163244E-8</v>
      </c>
      <c r="H83" s="14">
        <v>0</v>
      </c>
      <c r="I83" s="14">
        <v>3.0912218050531664E-7</v>
      </c>
      <c r="J83" s="14">
        <v>4.0450816677280633E-9</v>
      </c>
      <c r="K83" s="14">
        <v>0</v>
      </c>
    </row>
    <row r="84" spans="1:11">
      <c r="A84" s="2" t="s">
        <v>403</v>
      </c>
      <c r="B84" s="3" t="s">
        <v>404</v>
      </c>
      <c r="D84" s="14">
        <v>1.7832053220183046E-48</v>
      </c>
      <c r="E84" s="14">
        <v>1.1324368477602862E-5</v>
      </c>
      <c r="F84" s="14">
        <v>1.231049642977308E-5</v>
      </c>
      <c r="G84" s="14">
        <v>2.8482041959300585E-6</v>
      </c>
      <c r="H84" s="14">
        <v>0</v>
      </c>
      <c r="I84" s="14">
        <v>1.607051017656536E-7</v>
      </c>
      <c r="J84" s="14">
        <v>1.335622579492835E-5</v>
      </c>
      <c r="K84" s="14">
        <v>0</v>
      </c>
    </row>
    <row r="85" spans="1:11">
      <c r="A85" s="2" t="s">
        <v>405</v>
      </c>
      <c r="B85" s="3" t="s">
        <v>406</v>
      </c>
      <c r="D85" s="14">
        <v>4.3169765821881727E-13</v>
      </c>
      <c r="E85" s="14">
        <v>1.5753378477976996E-6</v>
      </c>
      <c r="F85" s="14">
        <v>2.4759769244736724E-5</v>
      </c>
      <c r="G85" s="14">
        <v>1.2944056059611503E-6</v>
      </c>
      <c r="H85" s="14">
        <v>0</v>
      </c>
      <c r="I85" s="14">
        <v>1.1883426251534829E-5</v>
      </c>
      <c r="J85" s="14">
        <v>4.8706061827194039E-7</v>
      </c>
      <c r="K85" s="14">
        <v>0</v>
      </c>
    </row>
    <row r="86" spans="1:11">
      <c r="A86" s="2" t="s">
        <v>407</v>
      </c>
      <c r="B86" s="3" t="s">
        <v>408</v>
      </c>
      <c r="D86" s="14">
        <v>1.0181152891486019E-9</v>
      </c>
      <c r="E86" s="14">
        <v>1.4036848090132637E-8</v>
      </c>
      <c r="F86" s="14">
        <v>6.8072417495748571E-6</v>
      </c>
      <c r="G86" s="14">
        <v>2.8917898537351363E-5</v>
      </c>
      <c r="H86" s="14">
        <v>0</v>
      </c>
      <c r="I86" s="14">
        <v>1.6254190503706709E-6</v>
      </c>
      <c r="J86" s="14">
        <v>2.6343856993238305E-6</v>
      </c>
      <c r="K86" s="14">
        <v>0</v>
      </c>
    </row>
    <row r="87" spans="1:11">
      <c r="A87" s="2" t="s">
        <v>409</v>
      </c>
      <c r="B87" s="3" t="s">
        <v>410</v>
      </c>
      <c r="D87" s="14">
        <v>1.2620697683187559E-10</v>
      </c>
      <c r="E87" s="14">
        <v>4.8696304488680617E-9</v>
      </c>
      <c r="F87" s="14">
        <v>3.6724642655968129E-6</v>
      </c>
      <c r="G87" s="14">
        <v>3.2692876509124333E-5</v>
      </c>
      <c r="H87" s="14">
        <v>0</v>
      </c>
      <c r="I87" s="14">
        <v>1.8531611268501364E-6</v>
      </c>
      <c r="J87" s="14">
        <v>1.7765022610030221E-6</v>
      </c>
      <c r="K87" s="14">
        <v>0</v>
      </c>
    </row>
    <row r="88" spans="1:11">
      <c r="A88" s="2" t="s">
        <v>301</v>
      </c>
      <c r="B88" s="3" t="s">
        <v>302</v>
      </c>
      <c r="D88" s="14">
        <v>1.5608187292398587E-11</v>
      </c>
      <c r="E88" s="14">
        <v>1.3686270155460621E-9</v>
      </c>
      <c r="F88" s="14">
        <v>1.7054016651031419E-6</v>
      </c>
      <c r="G88" s="14">
        <v>3.5214557707341116E-5</v>
      </c>
      <c r="H88" s="14">
        <v>0</v>
      </c>
      <c r="I88" s="14">
        <v>2.0154076722418661E-6</v>
      </c>
      <c r="J88" s="14">
        <v>1.0632487201110331E-6</v>
      </c>
      <c r="K88" s="14">
        <v>0</v>
      </c>
    </row>
    <row r="89" spans="1:11">
      <c r="A89" s="2" t="s">
        <v>303</v>
      </c>
      <c r="B89" s="3" t="s">
        <v>304</v>
      </c>
      <c r="D89" s="14">
        <v>3.2203696050790013E-18</v>
      </c>
      <c r="E89" s="14">
        <v>2.4750990589749229E-8</v>
      </c>
      <c r="F89" s="14">
        <v>2.8288031541259315E-6</v>
      </c>
      <c r="G89" s="14">
        <v>7.3571363253981366E-6</v>
      </c>
      <c r="H89" s="14">
        <v>0</v>
      </c>
      <c r="I89" s="14">
        <v>2.9478981192956509E-5</v>
      </c>
      <c r="J89" s="14">
        <v>3.1032833692645647E-7</v>
      </c>
      <c r="K89" s="14">
        <v>0</v>
      </c>
    </row>
    <row r="90" spans="1:11">
      <c r="A90" s="2" t="s">
        <v>425</v>
      </c>
      <c r="B90" s="3" t="s">
        <v>426</v>
      </c>
      <c r="D90" s="14">
        <v>6.4038657944164085E-18</v>
      </c>
      <c r="E90" s="14">
        <v>3.8910507618388897E-5</v>
      </c>
      <c r="F90" s="14">
        <v>3.6627600687670084E-8</v>
      </c>
      <c r="G90" s="14">
        <v>1.2297979304169714E-8</v>
      </c>
      <c r="H90" s="14">
        <v>0</v>
      </c>
      <c r="I90" s="14">
        <v>3.6537497805527288E-8</v>
      </c>
      <c r="J90" s="14">
        <v>1.0040293038073409E-6</v>
      </c>
      <c r="K90" s="14">
        <v>0</v>
      </c>
    </row>
    <row r="91" spans="1:11">
      <c r="A91" s="2" t="s">
        <v>427</v>
      </c>
      <c r="B91" s="3" t="s">
        <v>428</v>
      </c>
      <c r="D91" s="14">
        <v>3.2942617392788177E-9</v>
      </c>
      <c r="E91" s="14">
        <v>2.8637212542055509E-5</v>
      </c>
      <c r="F91" s="14">
        <v>2.1980234281121186E-6</v>
      </c>
      <c r="G91" s="14">
        <v>6.181983940261395E-7</v>
      </c>
      <c r="H91" s="14">
        <v>0</v>
      </c>
      <c r="I91" s="14">
        <v>5.8492995930334636E-8</v>
      </c>
      <c r="J91" s="14">
        <v>8.4847783781366228E-6</v>
      </c>
      <c r="K91" s="14">
        <v>0</v>
      </c>
    </row>
    <row r="92" spans="1:11">
      <c r="A92" s="2" t="s">
        <v>429</v>
      </c>
      <c r="B92" s="3" t="s">
        <v>430</v>
      </c>
      <c r="D92" s="14">
        <v>2.014889651058629E-8</v>
      </c>
      <c r="E92" s="14">
        <v>5.058991000045299E-6</v>
      </c>
      <c r="F92" s="14">
        <v>1.9201072220630407E-5</v>
      </c>
      <c r="G92" s="14">
        <v>4.0515484477553367E-6</v>
      </c>
      <c r="H92" s="14">
        <v>0</v>
      </c>
      <c r="I92" s="14">
        <v>2.2013277419132418E-7</v>
      </c>
      <c r="J92" s="14">
        <v>1.1448106660867055E-5</v>
      </c>
      <c r="K92" s="14">
        <v>0</v>
      </c>
    </row>
    <row r="93" spans="1:11">
      <c r="A93" s="2" t="s">
        <v>431</v>
      </c>
      <c r="B93" s="3" t="s">
        <v>432</v>
      </c>
      <c r="D93" s="14">
        <v>4.8170832694471546E-22</v>
      </c>
      <c r="E93" s="14">
        <v>3.978253580851986E-5</v>
      </c>
      <c r="F93" s="14">
        <v>1.7431069588558865E-7</v>
      </c>
      <c r="G93" s="14">
        <v>1.3965161360423015E-10</v>
      </c>
      <c r="H93" s="14">
        <v>0</v>
      </c>
      <c r="I93" s="14">
        <v>3.6899377216976207E-8</v>
      </c>
      <c r="J93" s="14">
        <v>6.1144667639817182E-9</v>
      </c>
      <c r="K93" s="14">
        <v>0</v>
      </c>
    </row>
    <row r="94" spans="1:11">
      <c r="A94" s="2" t="s">
        <v>433</v>
      </c>
      <c r="B94" s="3" t="s">
        <v>434</v>
      </c>
      <c r="D94" s="14">
        <v>1.0181341850320486E-22</v>
      </c>
      <c r="E94" s="14">
        <v>3.9962040924161569E-5</v>
      </c>
      <c r="F94" s="14">
        <v>6.783896834346883E-10</v>
      </c>
      <c r="G94" s="14">
        <v>9.466182576329584E-13</v>
      </c>
      <c r="H94" s="14">
        <v>0</v>
      </c>
      <c r="I94" s="14">
        <v>3.7125040536482018E-8</v>
      </c>
      <c r="J94" s="14">
        <v>1.5469900026378106E-10</v>
      </c>
      <c r="K94" s="14">
        <v>0</v>
      </c>
    </row>
    <row r="95" spans="1:11">
      <c r="A95" s="2" t="s">
        <v>435</v>
      </c>
      <c r="B95" s="3" t="s">
        <v>436</v>
      </c>
      <c r="D95" s="14">
        <v>5.4451492308791818E-13</v>
      </c>
      <c r="E95" s="14">
        <v>3.7446465271461082E-5</v>
      </c>
      <c r="F95" s="14">
        <v>1.4936718410268186E-7</v>
      </c>
      <c r="G95" s="14">
        <v>5.1806760908307593E-8</v>
      </c>
      <c r="H95" s="14">
        <v>0</v>
      </c>
      <c r="I95" s="14">
        <v>3.7637007191196003E-8</v>
      </c>
      <c r="J95" s="14">
        <v>2.3147232318218106E-6</v>
      </c>
      <c r="K95" s="14">
        <v>0</v>
      </c>
    </row>
    <row r="96" spans="1:11">
      <c r="A96" s="2" t="s">
        <v>437</v>
      </c>
      <c r="B96" s="163" t="s">
        <v>438</v>
      </c>
      <c r="D96" s="14">
        <v>1.9020165629003336E-12</v>
      </c>
      <c r="E96" s="14">
        <v>2.0409244807778479E-8</v>
      </c>
      <c r="F96" s="14">
        <v>8.3963108621159345E-6</v>
      </c>
      <c r="G96" s="14">
        <v>2.7075972526102368E-5</v>
      </c>
      <c r="H96" s="14">
        <v>0</v>
      </c>
      <c r="I96" s="14">
        <v>1.5171298511717673E-6</v>
      </c>
      <c r="J96" s="14">
        <v>2.9901756137855897E-6</v>
      </c>
      <c r="K96" s="14">
        <v>0</v>
      </c>
    </row>
    <row r="97" spans="1:11">
      <c r="A97" s="2" t="s">
        <v>439</v>
      </c>
      <c r="B97" s="3" t="s">
        <v>440</v>
      </c>
      <c r="D97" s="14">
        <v>1.5933918768064754E-9</v>
      </c>
      <c r="E97" s="14">
        <v>2.3964878933069094E-5</v>
      </c>
      <c r="F97" s="14">
        <v>4.0944617059912986E-6</v>
      </c>
      <c r="G97" s="14">
        <v>1.0856563303692729E-6</v>
      </c>
      <c r="H97" s="14">
        <v>0</v>
      </c>
      <c r="I97" s="14">
        <v>7.8714286654161617E-8</v>
      </c>
      <c r="J97" s="14">
        <v>1.0774695352039371E-5</v>
      </c>
      <c r="K97" s="14">
        <v>0</v>
      </c>
    </row>
    <row r="98" spans="1:11">
      <c r="A98" s="2" t="s">
        <v>441</v>
      </c>
      <c r="B98" s="3" t="s">
        <v>442</v>
      </c>
      <c r="D98" s="14">
        <v>1.0862202880416557E-21</v>
      </c>
      <c r="E98" s="14">
        <v>2.7843931117369934E-5</v>
      </c>
      <c r="F98" s="14">
        <v>2.4830880795377944E-6</v>
      </c>
      <c r="G98" s="14">
        <v>6.9069717608098041E-7</v>
      </c>
      <c r="H98" s="14">
        <v>0</v>
      </c>
      <c r="I98" s="14">
        <v>6.1555352687245361E-8</v>
      </c>
      <c r="J98" s="14">
        <v>8.9207282743240467E-6</v>
      </c>
      <c r="K98" s="14">
        <v>0</v>
      </c>
    </row>
    <row r="99" spans="1:11">
      <c r="A99" s="2" t="s">
        <v>443</v>
      </c>
      <c r="B99" s="3" t="s">
        <v>444</v>
      </c>
      <c r="D99" s="14">
        <v>1.6792302295817362E-33</v>
      </c>
      <c r="E99" s="14">
        <v>3.4505067744207558E-5</v>
      </c>
      <c r="F99" s="14">
        <v>5.9072378637482267E-7</v>
      </c>
      <c r="G99" s="14">
        <v>1.8555814150160029E-7</v>
      </c>
      <c r="H99" s="14">
        <v>0</v>
      </c>
      <c r="I99" s="14">
        <v>4.1378131503880591E-8</v>
      </c>
      <c r="J99" s="14">
        <v>4.6772721964121464E-6</v>
      </c>
      <c r="K99" s="14">
        <v>0</v>
      </c>
    </row>
    <row r="100" spans="1:11">
      <c r="A100" s="2" t="s">
        <v>445</v>
      </c>
      <c r="B100" s="3" t="s">
        <v>446</v>
      </c>
      <c r="D100" s="14">
        <v>1.9856247703286026E-12</v>
      </c>
      <c r="E100" s="14">
        <v>1.3340429820275075E-7</v>
      </c>
      <c r="F100" s="14">
        <v>2.099284971981629E-5</v>
      </c>
      <c r="G100" s="14">
        <v>1.352903910848227E-5</v>
      </c>
      <c r="H100" s="14">
        <v>0</v>
      </c>
      <c r="I100" s="14">
        <v>7.4447449712896802E-7</v>
      </c>
      <c r="J100" s="14">
        <v>4.6002303907449569E-6</v>
      </c>
      <c r="K100" s="14">
        <v>0</v>
      </c>
    </row>
    <row r="101" spans="1:11">
      <c r="A101" s="2" t="s">
        <v>447</v>
      </c>
      <c r="B101" s="3" t="s">
        <v>448</v>
      </c>
      <c r="D101" s="14">
        <v>1.767981900880832E-13</v>
      </c>
      <c r="E101" s="14">
        <v>7.0539187881088999E-6</v>
      </c>
      <c r="F101" s="14">
        <v>1.6647615230415395E-5</v>
      </c>
      <c r="G101" s="14">
        <v>3.6378734311222504E-6</v>
      </c>
      <c r="H101" s="14">
        <v>0</v>
      </c>
      <c r="I101" s="14">
        <v>1.9938235546831178E-7</v>
      </c>
      <c r="J101" s="14">
        <v>1.246121001808696E-5</v>
      </c>
      <c r="K101" s="14">
        <v>0</v>
      </c>
    </row>
    <row r="102" spans="1:11">
      <c r="A102" s="2" t="s">
        <v>449</v>
      </c>
      <c r="B102" s="3" t="s">
        <v>450</v>
      </c>
      <c r="D102" s="14">
        <v>7.8391726438751059E-9</v>
      </c>
      <c r="E102" s="14">
        <v>1.5507538558437649E-6</v>
      </c>
      <c r="F102" s="14">
        <v>2.5736201252287217E-5</v>
      </c>
      <c r="G102" s="14">
        <v>4.8712452955850555E-6</v>
      </c>
      <c r="H102" s="14">
        <v>0</v>
      </c>
      <c r="I102" s="14">
        <v>2.6297116667281577E-7</v>
      </c>
      <c r="J102" s="14">
        <v>7.5709892569672701E-6</v>
      </c>
      <c r="K102" s="14">
        <v>0</v>
      </c>
    </row>
    <row r="103" spans="1:11">
      <c r="A103" s="2" t="s">
        <v>451</v>
      </c>
      <c r="B103" s="3" t="s">
        <v>452</v>
      </c>
      <c r="D103" s="14">
        <v>1.7588312461764659E-23</v>
      </c>
      <c r="E103" s="14">
        <v>3.5759719389932913E-5</v>
      </c>
      <c r="F103" s="14">
        <v>4.1987080379180037E-6</v>
      </c>
      <c r="G103" s="14">
        <v>4.0746553907573783E-10</v>
      </c>
      <c r="H103" s="14">
        <v>0</v>
      </c>
      <c r="I103" s="14">
        <v>3.6457463673381299E-8</v>
      </c>
      <c r="J103" s="14">
        <v>4.7076429366244442E-9</v>
      </c>
      <c r="K103" s="14">
        <v>0</v>
      </c>
    </row>
    <row r="104" spans="1:11">
      <c r="A104" s="2" t="s">
        <v>453</v>
      </c>
      <c r="B104" s="3" t="s">
        <v>454</v>
      </c>
      <c r="D104" s="14">
        <v>4.5120875363571405E-25</v>
      </c>
      <c r="E104" s="14">
        <v>4.4395165787758683E-7</v>
      </c>
      <c r="F104" s="14">
        <v>3.9452747816573098E-5</v>
      </c>
      <c r="G104" s="14">
        <v>4.1777544146114691E-8</v>
      </c>
      <c r="H104" s="14">
        <v>0</v>
      </c>
      <c r="I104" s="14">
        <v>3.3799003926334496E-8</v>
      </c>
      <c r="J104" s="14">
        <v>2.7723977476863515E-8</v>
      </c>
      <c r="K104" s="14">
        <v>0</v>
      </c>
    </row>
    <row r="105" spans="1:11">
      <c r="A105" s="2" t="s">
        <v>455</v>
      </c>
      <c r="B105" s="163">
        <v>354656</v>
      </c>
      <c r="D105" s="14">
        <v>1.4730750433516508E-14</v>
      </c>
      <c r="E105" s="14">
        <v>3.8705930492416133E-5</v>
      </c>
      <c r="F105" s="14">
        <v>3.9273452974911995E-8</v>
      </c>
      <c r="G105" s="14">
        <v>1.5191289567242718E-8</v>
      </c>
      <c r="H105" s="14">
        <v>0</v>
      </c>
      <c r="I105" s="14">
        <v>3.6489386918988185E-8</v>
      </c>
      <c r="J105" s="14">
        <v>1.2031153633919748E-6</v>
      </c>
      <c r="K105" s="14">
        <v>0</v>
      </c>
    </row>
    <row r="106" spans="1:11">
      <c r="A106" s="2" t="s">
        <v>457</v>
      </c>
      <c r="B106" s="3" t="s">
        <v>458</v>
      </c>
      <c r="D106" s="14">
        <v>2.1828567044483137E-14</v>
      </c>
      <c r="E106" s="14">
        <v>3.7321763528159715E-5</v>
      </c>
      <c r="F106" s="14">
        <v>1.6189184290929743E-7</v>
      </c>
      <c r="G106" s="14">
        <v>5.5898539982847539E-8</v>
      </c>
      <c r="H106" s="14">
        <v>0</v>
      </c>
      <c r="I106" s="14">
        <v>3.7671002493845574E-8</v>
      </c>
      <c r="J106" s="14">
        <v>2.4227750646257359E-6</v>
      </c>
      <c r="K106" s="14">
        <v>0</v>
      </c>
    </row>
    <row r="107" spans="1:11">
      <c r="A107" s="2" t="s">
        <v>459</v>
      </c>
      <c r="B107" s="3" t="s">
        <v>460</v>
      </c>
      <c r="D107" s="14">
        <v>1.8284541066211749E-24</v>
      </c>
      <c r="E107" s="14">
        <v>8.3216364540653314E-7</v>
      </c>
      <c r="F107" s="14">
        <v>2.8339188334432506E-5</v>
      </c>
      <c r="G107" s="14">
        <v>4.9599306044347466E-6</v>
      </c>
      <c r="H107" s="14">
        <v>0</v>
      </c>
      <c r="I107" s="14">
        <v>4.0625790639315168E-7</v>
      </c>
      <c r="J107" s="14">
        <v>5.4624595093330637E-6</v>
      </c>
      <c r="K107" s="14">
        <v>0</v>
      </c>
    </row>
    <row r="108" spans="1:11">
      <c r="A108" s="2" t="s">
        <v>461</v>
      </c>
      <c r="B108" s="3" t="s">
        <v>462</v>
      </c>
      <c r="D108" s="14">
        <v>4.3989163201760311E-14</v>
      </c>
      <c r="E108" s="14">
        <v>3.9960410914601787E-5</v>
      </c>
      <c r="F108" s="14">
        <v>3.5139234077234954E-10</v>
      </c>
      <c r="G108" s="14">
        <v>1.018483207190777E-11</v>
      </c>
      <c r="H108" s="14">
        <v>0</v>
      </c>
      <c r="I108" s="14">
        <v>3.7005860980072636E-8</v>
      </c>
      <c r="J108" s="14">
        <v>2.2216032561378891E-9</v>
      </c>
      <c r="K108" s="14">
        <v>0</v>
      </c>
    </row>
    <row r="109" spans="1:11">
      <c r="A109" s="2" t="s">
        <v>463</v>
      </c>
      <c r="B109" s="3" t="s">
        <v>464</v>
      </c>
      <c r="D109" s="14">
        <v>1.1122823360962877E-16</v>
      </c>
      <c r="E109" s="14">
        <v>3.6441975047664976E-5</v>
      </c>
      <c r="F109" s="14">
        <v>2.2835580117365827E-6</v>
      </c>
      <c r="G109" s="14">
        <v>1.135058185150914E-7</v>
      </c>
      <c r="H109" s="14">
        <v>0</v>
      </c>
      <c r="I109" s="14">
        <v>4.3963650239092296E-7</v>
      </c>
      <c r="J109" s="14">
        <v>7.2132461958120577E-7</v>
      </c>
      <c r="K109" s="14">
        <v>0</v>
      </c>
    </row>
    <row r="110" spans="1:11">
      <c r="A110" s="2" t="s">
        <v>465</v>
      </c>
      <c r="B110" s="3" t="s">
        <v>466</v>
      </c>
      <c r="D110" s="14">
        <v>8.3514808895530659E-16</v>
      </c>
      <c r="E110" s="14">
        <v>3.97025154363936E-5</v>
      </c>
      <c r="F110" s="14">
        <v>8.9854451529340091E-9</v>
      </c>
      <c r="G110" s="14">
        <v>1.7191197244959592E-9</v>
      </c>
      <c r="H110" s="14">
        <v>0</v>
      </c>
      <c r="I110" s="14">
        <v>3.6734664431447207E-8</v>
      </c>
      <c r="J110" s="14">
        <v>2.5004533346237406E-7</v>
      </c>
      <c r="K110" s="14">
        <v>0</v>
      </c>
    </row>
    <row r="111" spans="1:11">
      <c r="A111" s="2" t="s">
        <v>467</v>
      </c>
      <c r="B111" s="3" t="s">
        <v>468</v>
      </c>
      <c r="D111" s="14">
        <v>1.484536651276099E-34</v>
      </c>
      <c r="E111" s="14">
        <v>3.9962253027577421E-5</v>
      </c>
      <c r="F111" s="14">
        <v>6.3857445237767491E-10</v>
      </c>
      <c r="G111" s="14">
        <v>5.2757412607028276E-13</v>
      </c>
      <c r="H111" s="14">
        <v>0</v>
      </c>
      <c r="I111" s="14">
        <v>3.6883277446514681E-8</v>
      </c>
      <c r="J111" s="14">
        <v>2.2459294957055934E-10</v>
      </c>
      <c r="K111" s="14">
        <v>0</v>
      </c>
    </row>
    <row r="112" spans="1:11">
      <c r="A112" s="2" t="s">
        <v>469</v>
      </c>
      <c r="B112" s="3" t="s">
        <v>470</v>
      </c>
      <c r="D112" s="14">
        <v>9.3837138877234146E-18</v>
      </c>
      <c r="E112" s="14">
        <v>3.9634866352339146E-5</v>
      </c>
      <c r="F112" s="14">
        <v>3.0991954974711191E-9</v>
      </c>
      <c r="G112" s="14">
        <v>1.4479198692195794E-9</v>
      </c>
      <c r="H112" s="14">
        <v>0</v>
      </c>
      <c r="I112" s="14">
        <v>3.6652066439321682E-8</v>
      </c>
      <c r="J112" s="14">
        <v>3.239344658454624E-7</v>
      </c>
      <c r="K112" s="14">
        <v>0</v>
      </c>
    </row>
    <row r="113" spans="1:11">
      <c r="A113" s="2" t="s">
        <v>471</v>
      </c>
      <c r="B113" s="3" t="s">
        <v>472</v>
      </c>
      <c r="D113" s="14">
        <v>1.1548037237272058E-13</v>
      </c>
      <c r="E113" s="14">
        <v>3.8026015087833799E-5</v>
      </c>
      <c r="F113" s="14">
        <v>8.8060752138923565E-8</v>
      </c>
      <c r="G113" s="14">
        <v>3.2053683611862963E-8</v>
      </c>
      <c r="H113" s="14">
        <v>0</v>
      </c>
      <c r="I113" s="14">
        <v>3.6721206114357238E-8</v>
      </c>
      <c r="J113" s="14">
        <v>1.8171491548206844E-6</v>
      </c>
      <c r="K113" s="14">
        <v>0</v>
      </c>
    </row>
    <row r="114" spans="1:11">
      <c r="A114" s="2" t="s">
        <v>473</v>
      </c>
      <c r="B114" s="3" t="s">
        <v>474</v>
      </c>
      <c r="D114" s="14">
        <v>9.211176984148274E-21</v>
      </c>
      <c r="E114" s="14">
        <v>3.9793935879347716E-5</v>
      </c>
      <c r="F114" s="14">
        <v>9.0244027697975849E-10</v>
      </c>
      <c r="G114" s="14">
        <v>4.5466034152980594E-10</v>
      </c>
      <c r="H114" s="14">
        <v>0</v>
      </c>
      <c r="I114" s="14">
        <v>3.6749402960718721E-8</v>
      </c>
      <c r="J114" s="14">
        <v>1.6795761707305115E-7</v>
      </c>
      <c r="K114" s="14">
        <v>0</v>
      </c>
    </row>
    <row r="115" spans="1:11">
      <c r="A115" s="2" t="s">
        <v>475</v>
      </c>
      <c r="B115" s="3" t="s">
        <v>476</v>
      </c>
      <c r="D115" s="14">
        <v>4.7635601299369059E-17</v>
      </c>
      <c r="E115" s="14">
        <v>3.8863220625106953E-5</v>
      </c>
      <c r="F115" s="14">
        <v>1.0970852153171057E-6</v>
      </c>
      <c r="G115" s="14">
        <v>1.3140872925489157E-10</v>
      </c>
      <c r="H115" s="14">
        <v>0</v>
      </c>
      <c r="I115" s="14">
        <v>3.6857940283568915E-8</v>
      </c>
      <c r="J115" s="14">
        <v>2.7048105154841689E-9</v>
      </c>
      <c r="K115" s="14">
        <v>0</v>
      </c>
    </row>
    <row r="116" spans="1:11">
      <c r="A116" s="2" t="s">
        <v>477</v>
      </c>
      <c r="B116" s="3" t="s">
        <v>478</v>
      </c>
      <c r="D116" s="14">
        <v>1.2123126373041564E-21</v>
      </c>
      <c r="E116" s="14">
        <v>4.8294358450003492E-6</v>
      </c>
      <c r="F116" s="14">
        <v>2.9606078161411907E-5</v>
      </c>
      <c r="G116" s="14">
        <v>7.1707470318528244E-7</v>
      </c>
      <c r="H116" s="14">
        <v>0</v>
      </c>
      <c r="I116" s="14">
        <v>4.155138866218623E-6</v>
      </c>
      <c r="J116" s="14">
        <v>6.9227242418384188E-7</v>
      </c>
      <c r="K116" s="14">
        <v>0</v>
      </c>
    </row>
    <row r="117" spans="1:11">
      <c r="A117" s="2" t="s">
        <v>291</v>
      </c>
      <c r="B117" s="3" t="s">
        <v>479</v>
      </c>
      <c r="D117" s="14">
        <v>1.1740211656382764E-14</v>
      </c>
      <c r="E117" s="14">
        <v>1.8842068014888355E-5</v>
      </c>
      <c r="F117" s="14">
        <v>6.816322680481044E-6</v>
      </c>
      <c r="G117" s="14">
        <v>1.710195253872817E-6</v>
      </c>
      <c r="H117" s="14">
        <v>0</v>
      </c>
      <c r="I117" s="14">
        <v>1.0697372605657971E-7</v>
      </c>
      <c r="J117" s="14">
        <v>1.2524440312961003E-5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8.127931412570498E-8</v>
      </c>
      <c r="J2" s="67" t="s">
        <v>231</v>
      </c>
      <c r="K2" s="68">
        <v>8.9224216256447394E-4</v>
      </c>
      <c r="L2" s="67" t="s">
        <v>231</v>
      </c>
      <c r="M2" s="68">
        <v>1.1392925359086253E-3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7.8662748496010022E-6</v>
      </c>
      <c r="J3" s="67" t="s">
        <v>231</v>
      </c>
      <c r="K3" s="68">
        <v>3.899176602826653E-3</v>
      </c>
      <c r="L3" s="67" t="s">
        <v>231</v>
      </c>
      <c r="M3" s="68">
        <v>0.24147510950050771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9.1570692889512485E-15</v>
      </c>
      <c r="J4" s="67" t="s">
        <v>231</v>
      </c>
      <c r="K4" s="68">
        <v>1.0217410290810892E-3</v>
      </c>
      <c r="L4" s="67" t="s">
        <v>231</v>
      </c>
      <c r="M4" s="68">
        <v>3.0572877896684228E-3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1.2205825770540609E-10</v>
      </c>
      <c r="J5" s="67" t="s">
        <v>231</v>
      </c>
      <c r="K5" s="68">
        <v>8.1467736718208723E-4</v>
      </c>
      <c r="L5" s="67" t="s">
        <v>231</v>
      </c>
      <c r="M5" s="68">
        <v>4.4978852310706648E-2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3.5077864573470058E-7</v>
      </c>
      <c r="J6" s="67" t="s">
        <v>231</v>
      </c>
      <c r="K6" s="68">
        <v>7.5042162658678151E-4</v>
      </c>
      <c r="L6" s="67" t="s">
        <v>231</v>
      </c>
      <c r="M6" s="68">
        <v>6.3944553806318277E-2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1.5816707875094307E-6</v>
      </c>
      <c r="J7" s="67" t="s">
        <v>231</v>
      </c>
      <c r="K7" s="68">
        <v>7.2513490230101797E-4</v>
      </c>
      <c r="L7" s="67" t="s">
        <v>231</v>
      </c>
      <c r="M7" s="68">
        <v>8.4331090005560869E-2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5.3106097130134445E-9</v>
      </c>
      <c r="J8" s="67" t="s">
        <v>231</v>
      </c>
      <c r="K8" s="68">
        <v>7.0905147349742197E-4</v>
      </c>
      <c r="L8" s="67" t="s">
        <v>231</v>
      </c>
      <c r="M8" s="68">
        <v>7.0259679223338811E-2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4.199029797260255E-7</v>
      </c>
      <c r="J9" s="67" t="s">
        <v>231</v>
      </c>
      <c r="K9" s="68">
        <v>8.3737596301442256E-4</v>
      </c>
      <c r="L9" s="67" t="s">
        <v>231</v>
      </c>
      <c r="M9" s="68">
        <v>3.9515867618303023E-2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2.0854372397703842E-4</v>
      </c>
      <c r="J10" s="67" t="s">
        <v>231</v>
      </c>
      <c r="K10" s="68">
        <v>6.8940136581927165E-3</v>
      </c>
      <c r="L10" s="67" t="s">
        <v>231</v>
      </c>
      <c r="M10" s="68">
        <v>0.68401560037716425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5.1209243207145942E-9</v>
      </c>
      <c r="J11" s="67" t="s">
        <v>231</v>
      </c>
      <c r="K11" s="68">
        <v>4.2867749519396987E-2</v>
      </c>
      <c r="L11" s="67" t="s">
        <v>231</v>
      </c>
      <c r="M11" s="68">
        <v>5.159458029168146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2.4026311511158707E-8</v>
      </c>
      <c r="J12" s="67" t="s">
        <v>231</v>
      </c>
      <c r="K12" s="68">
        <v>8.3165475174572679E-4</v>
      </c>
      <c r="L12" s="67" t="s">
        <v>231</v>
      </c>
      <c r="M12" s="68">
        <v>6.1556054031222223E-5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9.4400143445159284E-4</v>
      </c>
      <c r="J13" s="67" t="s">
        <v>231</v>
      </c>
      <c r="K13" s="68">
        <v>2.3141938484905252E-3</v>
      </c>
      <c r="L13" s="67" t="s">
        <v>231</v>
      </c>
      <c r="M13" s="68">
        <v>0.18013147032283591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9.3567434595687947E-9</v>
      </c>
      <c r="J14" s="67" t="s">
        <v>231</v>
      </c>
      <c r="K14" s="68">
        <v>1.2252961737741984E-3</v>
      </c>
      <c r="L14" s="67" t="s">
        <v>231</v>
      </c>
      <c r="M14" s="68">
        <v>0.16773099897126389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1.0654427143093205E-6</v>
      </c>
      <c r="J15" s="67" t="s">
        <v>231</v>
      </c>
      <c r="K15" s="68">
        <v>9.8650316969351869E-4</v>
      </c>
      <c r="L15" s="67" t="s">
        <v>231</v>
      </c>
      <c r="M15" s="68">
        <v>2.9048795443333109E-2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8.2666140587886165E-5</v>
      </c>
      <c r="J16" s="67" t="s">
        <v>231</v>
      </c>
      <c r="K16" s="68">
        <v>2.5106121587899722E-3</v>
      </c>
      <c r="L16" s="67" t="s">
        <v>231</v>
      </c>
      <c r="M16" s="68">
        <v>0.20257571111053621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1.8601094599865379E-6</v>
      </c>
      <c r="J17" s="67" t="s">
        <v>231</v>
      </c>
      <c r="K17" s="68">
        <v>2.3819479442610822E-3</v>
      </c>
      <c r="L17" s="67" t="s">
        <v>231</v>
      </c>
      <c r="M17" s="68">
        <v>0.18804095524388614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2.5077009291339823E-3</v>
      </c>
      <c r="J18" s="67" t="s">
        <v>231</v>
      </c>
      <c r="K18" s="68">
        <v>3.5286078450959012E-2</v>
      </c>
      <c r="L18" s="67" t="s">
        <v>231</v>
      </c>
      <c r="M18" s="68">
        <v>3.550032618264535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1.8044275555638679E-6</v>
      </c>
      <c r="J19" s="67" t="s">
        <v>231</v>
      </c>
      <c r="K19" s="68">
        <v>9.2026584365219994E-4</v>
      </c>
      <c r="L19" s="67" t="s">
        <v>231</v>
      </c>
      <c r="M19" s="68">
        <v>1.0199837313797181E-2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5.0277423718461933E-6</v>
      </c>
      <c r="J20" s="67" t="s">
        <v>231</v>
      </c>
      <c r="K20" s="68">
        <v>9.5776058013163944E-4</v>
      </c>
      <c r="L20" s="67" t="s">
        <v>231</v>
      </c>
      <c r="M20" s="68">
        <v>1.7468977520104307E-2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2.0101400756814095E-6</v>
      </c>
      <c r="J21" s="67" t="s">
        <v>231</v>
      </c>
      <c r="K21" s="68">
        <v>2.1475606470190995E-3</v>
      </c>
      <c r="L21" s="67" t="s">
        <v>231</v>
      </c>
      <c r="M21" s="68">
        <v>0.21875247880202855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4.0205270970568324E-8</v>
      </c>
      <c r="J22" s="67" t="s">
        <v>231</v>
      </c>
      <c r="K22" s="68">
        <v>8.3438640501534895E-4</v>
      </c>
      <c r="L22" s="67" t="s">
        <v>231</v>
      </c>
      <c r="M22" s="68">
        <v>1.8494997187250379E-3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1.0751160193722209E-5</v>
      </c>
      <c r="J23" s="67" t="s">
        <v>231</v>
      </c>
      <c r="K23" s="68">
        <v>1.1477540043866254E-3</v>
      </c>
      <c r="L23" s="67" t="s">
        <v>231</v>
      </c>
      <c r="M23" s="68">
        <v>4.8278911020738662E-2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1.5481990708369174E-4</v>
      </c>
      <c r="J24" s="67" t="s">
        <v>231</v>
      </c>
      <c r="K24" s="68">
        <v>3.209329093347037E-3</v>
      </c>
      <c r="L24" s="67" t="s">
        <v>231</v>
      </c>
      <c r="M24" s="68">
        <v>0.28123420735347721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8.5552379596781864E-4</v>
      </c>
      <c r="J25" s="67" t="s">
        <v>231</v>
      </c>
      <c r="K25" s="68">
        <v>3.2350152373836941E-2</v>
      </c>
      <c r="L25" s="67" t="s">
        <v>231</v>
      </c>
      <c r="M25" s="68">
        <v>3.2507918828863107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1.7071302718827826E-4</v>
      </c>
      <c r="J26" s="67" t="s">
        <v>231</v>
      </c>
      <c r="K26" s="68">
        <v>4.4009787079053201E-3</v>
      </c>
      <c r="L26" s="67" t="s">
        <v>231</v>
      </c>
      <c r="M26" s="68">
        <v>0.4212806430825512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5.0744901995867843E-5</v>
      </c>
      <c r="J27" s="67" t="s">
        <v>231</v>
      </c>
      <c r="K27" s="68">
        <v>2.5480345074493579E-3</v>
      </c>
      <c r="L27" s="67" t="s">
        <v>231</v>
      </c>
      <c r="M27" s="68">
        <v>0.25065433073279109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2.3916654425293415E-5</v>
      </c>
      <c r="J28" s="67" t="s">
        <v>231</v>
      </c>
      <c r="K28" s="68">
        <v>1.2675324909755168E-3</v>
      </c>
      <c r="L28" s="67" t="s">
        <v>231</v>
      </c>
      <c r="M28" s="68">
        <v>0.12233419635489916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2.5844843417760595E-7</v>
      </c>
      <c r="J29" s="67" t="s">
        <v>231</v>
      </c>
      <c r="K29" s="68">
        <v>6.9050187881664881E-5</v>
      </c>
      <c r="L29" s="67" t="s">
        <v>231</v>
      </c>
      <c r="M29" s="68">
        <v>1.5164801740181991E-3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5.7451189127796407E-6</v>
      </c>
      <c r="J30" s="67" t="s">
        <v>231</v>
      </c>
      <c r="K30" s="68">
        <v>4.8720455009980065E-4</v>
      </c>
      <c r="L30" s="67" t="s">
        <v>231</v>
      </c>
      <c r="M30" s="68">
        <v>4.6941646925253322E-2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8.9711524215244476E-8</v>
      </c>
      <c r="J31" s="67" t="s">
        <v>231</v>
      </c>
      <c r="K31" s="68">
        <v>8.6526981070953888E-6</v>
      </c>
      <c r="L31" s="67" t="s">
        <v>231</v>
      </c>
      <c r="M31" s="68">
        <v>8.1091276473123375E-4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8.640406010952823E-5</v>
      </c>
      <c r="J32" s="67" t="s">
        <v>231</v>
      </c>
      <c r="K32" s="68">
        <v>2.1056189759941623E-3</v>
      </c>
      <c r="L32" s="67" t="s">
        <v>231</v>
      </c>
      <c r="M32" s="68">
        <v>0.15633166040627269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2.9287112172629379E-5</v>
      </c>
      <c r="J33" s="67" t="s">
        <v>231</v>
      </c>
      <c r="K33" s="68">
        <v>1.4549246027176928E-3</v>
      </c>
      <c r="L33" s="67" t="s">
        <v>231</v>
      </c>
      <c r="M33" s="68">
        <v>7.9391312319296969E-2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8.12988027623515E-5</v>
      </c>
      <c r="J34" s="67" t="s">
        <v>231</v>
      </c>
      <c r="K34" s="68">
        <v>4.9054848887394127E-3</v>
      </c>
      <c r="L34" s="67" t="s">
        <v>231</v>
      </c>
      <c r="M34" s="68">
        <v>0.46742288723117453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4.034843736659773E-4</v>
      </c>
      <c r="J35" s="67" t="s">
        <v>231</v>
      </c>
      <c r="K35" s="68">
        <v>6.5661912688298237E-3</v>
      </c>
      <c r="L35" s="67" t="s">
        <v>231</v>
      </c>
      <c r="M35" s="68">
        <v>0.64910902245974178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8.2808131510764011E-4</v>
      </c>
      <c r="J36" s="67" t="s">
        <v>231</v>
      </c>
      <c r="K36" s="68">
        <v>1.4624131058439977E-2</v>
      </c>
      <c r="L36" s="67" t="s">
        <v>231</v>
      </c>
      <c r="M36" s="68">
        <v>1.4590850514425742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5.4290683443815443E-4</v>
      </c>
      <c r="J37" s="67" t="s">
        <v>231</v>
      </c>
      <c r="K37" s="68">
        <v>3.4409865613576902E-2</v>
      </c>
      <c r="L37" s="67" t="s">
        <v>231</v>
      </c>
      <c r="M37" s="68">
        <v>3.4607391341522589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2.9336382560206679E-4</v>
      </c>
      <c r="J38" s="67" t="s">
        <v>231</v>
      </c>
      <c r="K38" s="68">
        <v>2.1429554075158924E-2</v>
      </c>
      <c r="L38" s="67" t="s">
        <v>231</v>
      </c>
      <c r="M38" s="68">
        <v>2.144441294274579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1.8019042766924506E-4</v>
      </c>
      <c r="J39" s="67" t="s">
        <v>231</v>
      </c>
      <c r="K39" s="68">
        <v>1.6004365427284329E-2</v>
      </c>
      <c r="L39" s="67" t="s">
        <v>231</v>
      </c>
      <c r="M39" s="68">
        <v>1.5981834482570039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2.9336382560206679E-4</v>
      </c>
      <c r="J40" s="67" t="s">
        <v>231</v>
      </c>
      <c r="K40" s="68">
        <v>2.1429554075158924E-2</v>
      </c>
      <c r="L40" s="67" t="s">
        <v>231</v>
      </c>
      <c r="M40" s="68">
        <v>2.144441294274579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8.4498152667757119E-9</v>
      </c>
      <c r="J41" s="67" t="s">
        <v>231</v>
      </c>
      <c r="K41" s="68">
        <v>9.0007063687284113E-4</v>
      </c>
      <c r="L41" s="67" t="s">
        <v>231</v>
      </c>
      <c r="M41" s="68">
        <v>5.4727635043743802E-3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9.8812854803122176E-4</v>
      </c>
      <c r="J42" s="67" t="s">
        <v>231</v>
      </c>
      <c r="K42" s="68">
        <v>3.5162433280071119E-2</v>
      </c>
      <c r="L42" s="67" t="s">
        <v>231</v>
      </c>
      <c r="M42" s="68">
        <v>3.5375930270996236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1.7453987209165014E-3</v>
      </c>
      <c r="J43" s="67" t="s">
        <v>231</v>
      </c>
      <c r="K43" s="68">
        <v>3.3986985944969772E-3</v>
      </c>
      <c r="L43" s="67" t="s">
        <v>231</v>
      </c>
      <c r="M43" s="68">
        <v>0.30214765392138848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1.5369200050906467E-3</v>
      </c>
      <c r="J44" s="67" t="s">
        <v>231</v>
      </c>
      <c r="K44" s="68">
        <v>1.0406411836147855E-2</v>
      </c>
      <c r="L44" s="67" t="s">
        <v>231</v>
      </c>
      <c r="M44" s="68">
        <v>1.0357260771081671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2.6927965238948983E-3</v>
      </c>
      <c r="J45" s="67" t="s">
        <v>231</v>
      </c>
      <c r="K45" s="68">
        <v>4.1030463158421807E-2</v>
      </c>
      <c r="L45" s="67" t="s">
        <v>231</v>
      </c>
      <c r="M45" s="68">
        <v>4.1390550974052376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3.9295504264087923E-4</v>
      </c>
      <c r="J46" s="67" t="s">
        <v>231</v>
      </c>
      <c r="K46" s="68">
        <v>3.6212232736083039E-2</v>
      </c>
      <c r="L46" s="67" t="s">
        <v>231</v>
      </c>
      <c r="M46" s="68">
        <v>3.6446484306531928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7.5983023309833487E-4</v>
      </c>
      <c r="J47" s="142" t="s">
        <v>231</v>
      </c>
      <c r="K47" s="143">
        <v>2.8893293986656604E-2</v>
      </c>
      <c r="L47" s="142" t="s">
        <v>231</v>
      </c>
      <c r="M47" s="143">
        <v>2.8995615580597707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2.1695288036191102E-4</v>
      </c>
      <c r="J48" s="142" t="s">
        <v>231</v>
      </c>
      <c r="K48" s="143">
        <v>6.1734345639076786E-3</v>
      </c>
      <c r="L48" s="142" t="s">
        <v>231</v>
      </c>
      <c r="M48" s="143">
        <v>0.60474600496419684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9.247243336318147E-4</v>
      </c>
      <c r="J49" s="142" t="s">
        <v>231</v>
      </c>
      <c r="K49" s="143">
        <v>1.112581872201472E-2</v>
      </c>
      <c r="L49" s="142" t="s">
        <v>231</v>
      </c>
      <c r="M49" s="143">
        <v>1.1078590984011882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2.2754956701465575E-4</v>
      </c>
      <c r="J50" s="142" t="s">
        <v>231</v>
      </c>
      <c r="K50" s="143">
        <v>1.2398122821041982E-2</v>
      </c>
      <c r="L50" s="142" t="s">
        <v>231</v>
      </c>
      <c r="M50" s="143">
        <v>1.2355101669194977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4.6594239024558542E-4</v>
      </c>
      <c r="J51" s="142" t="s">
        <v>231</v>
      </c>
      <c r="K51" s="143">
        <v>6.4442866267823634E-3</v>
      </c>
      <c r="L51" s="142" t="s">
        <v>231</v>
      </c>
      <c r="M51" s="143">
        <v>0.63430910601673496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1.0111149552312331E-2</v>
      </c>
      <c r="J52" s="142" t="s">
        <v>232</v>
      </c>
      <c r="K52" s="143">
        <v>6.2033167576287943E-3</v>
      </c>
      <c r="L52" s="142" t="s">
        <v>231</v>
      </c>
      <c r="M52" s="143">
        <v>0.60799606428729636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2.1693411104517224E-3</v>
      </c>
      <c r="J53" s="142" t="s">
        <v>231</v>
      </c>
      <c r="K53" s="143">
        <v>1.6919034934077506E-2</v>
      </c>
      <c r="L53" s="142" t="s">
        <v>231</v>
      </c>
      <c r="M53" s="143">
        <v>1.6898837734635079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1.0913497801632748E-3</v>
      </c>
      <c r="J54" s="67" t="s">
        <v>231</v>
      </c>
      <c r="K54" s="68">
        <v>1.1750610849599991E-2</v>
      </c>
      <c r="L54" s="67" t="s">
        <v>231</v>
      </c>
      <c r="M54" s="68">
        <v>1.1705321225510472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7.9927341147295746E-4</v>
      </c>
      <c r="J55" s="67" t="s">
        <v>231</v>
      </c>
      <c r="K55" s="68">
        <v>2.8532283794017343E-2</v>
      </c>
      <c r="L55" s="67" t="s">
        <v>231</v>
      </c>
      <c r="M55" s="68">
        <v>2.8629500515104489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6.4741466650904079E-4</v>
      </c>
      <c r="J56" s="67" t="s">
        <v>231</v>
      </c>
      <c r="K56" s="68">
        <v>1.0642889547528248E-2</v>
      </c>
      <c r="L56" s="67" t="s">
        <v>231</v>
      </c>
      <c r="M56" s="68">
        <v>1.059433141620294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1.613172006485927E-3</v>
      </c>
      <c r="J57" s="67" t="s">
        <v>231</v>
      </c>
      <c r="K57" s="68">
        <v>6.0075997844284664E-3</v>
      </c>
      <c r="L57" s="67" t="s">
        <v>231</v>
      </c>
      <c r="M57" s="68">
        <v>0.58695258731727773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6.6349332201464132E-3</v>
      </c>
      <c r="J58" s="67" t="s">
        <v>231</v>
      </c>
      <c r="K58" s="68">
        <v>1.1878417997956463E-2</v>
      </c>
      <c r="L58" s="67" t="s">
        <v>231</v>
      </c>
      <c r="M58" s="68">
        <v>1.1833554450852601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1.0462475308345796E-3</v>
      </c>
      <c r="J59" s="67" t="s">
        <v>231</v>
      </c>
      <c r="K59" s="68">
        <v>6.2041444694323853E-3</v>
      </c>
      <c r="L59" s="67" t="s">
        <v>231</v>
      </c>
      <c r="M59" s="68">
        <v>0.60807718952055623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3.129094569001325E-3</v>
      </c>
      <c r="J60" s="67" t="s">
        <v>231</v>
      </c>
      <c r="K60" s="68">
        <v>1.5516852831046752E-2</v>
      </c>
      <c r="L60" s="67" t="s">
        <v>231</v>
      </c>
      <c r="M60" s="68">
        <v>1.5488313378442098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2.4802536621495626E-5</v>
      </c>
      <c r="J61" s="67" t="s">
        <v>231</v>
      </c>
      <c r="K61" s="68">
        <v>2.4894260462616058E-2</v>
      </c>
      <c r="L61" s="67" t="s">
        <v>231</v>
      </c>
      <c r="M61" s="68">
        <v>0.78112216617194874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1.2504412200970368E-4</v>
      </c>
      <c r="J62" s="67" t="s">
        <v>231</v>
      </c>
      <c r="K62" s="68">
        <v>4.7905288919589169E-3</v>
      </c>
      <c r="L62" s="67" t="s">
        <v>231</v>
      </c>
      <c r="M62" s="68">
        <v>0.45492296734393095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1.6780225352914378E-6</v>
      </c>
      <c r="J63" s="67" t="s">
        <v>231</v>
      </c>
      <c r="K63" s="68">
        <v>4.9314027306949131E-3</v>
      </c>
      <c r="L63" s="67" t="s">
        <v>231</v>
      </c>
      <c r="M63" s="68">
        <v>0.11108640607550621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1.0521405884555517E-7</v>
      </c>
      <c r="J64" s="67" t="s">
        <v>231</v>
      </c>
      <c r="K64" s="68">
        <v>9.0557442802300932E-4</v>
      </c>
      <c r="L64" s="67" t="s">
        <v>231</v>
      </c>
      <c r="M64" s="68">
        <v>2.2531277711162387E-3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2.0123916745168065E-8</v>
      </c>
      <c r="J65" s="67" t="s">
        <v>231</v>
      </c>
      <c r="K65" s="68">
        <v>1.2705530803140785E-3</v>
      </c>
      <c r="L65" s="67" t="s">
        <v>231</v>
      </c>
      <c r="M65" s="68">
        <v>9.5684007243931127E-3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1.4119451075781794E-7</v>
      </c>
      <c r="J66" s="67" t="s">
        <v>231</v>
      </c>
      <c r="K66" s="68">
        <v>3.417650425339417E-2</v>
      </c>
      <c r="L66" s="67" t="s">
        <v>231</v>
      </c>
      <c r="M66" s="68">
        <v>0.86022478582581174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1.9826688851147568E-8</v>
      </c>
      <c r="J67" s="67" t="s">
        <v>231</v>
      </c>
      <c r="K67" s="68">
        <v>1.2075774992097634E-3</v>
      </c>
      <c r="L67" s="67" t="s">
        <v>231</v>
      </c>
      <c r="M67" s="68">
        <v>7.9668781341362717E-3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6.4440679743065871E-9</v>
      </c>
      <c r="J68" s="67" t="s">
        <v>231</v>
      </c>
      <c r="K68" s="68">
        <v>9.4212237392452057E-4</v>
      </c>
      <c r="L68" s="67" t="s">
        <v>231</v>
      </c>
      <c r="M68" s="68">
        <v>1.057737540927177E-3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3.6179294772116527E-5</v>
      </c>
      <c r="J69" s="67" t="s">
        <v>231</v>
      </c>
      <c r="K69" s="68">
        <v>9.4709662843734978E-3</v>
      </c>
      <c r="L69" s="67" t="s">
        <v>231</v>
      </c>
      <c r="M69" s="68">
        <v>0.94197798249314402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2.2286194580478087E-14</v>
      </c>
      <c r="J70" s="67" t="s">
        <v>231</v>
      </c>
      <c r="K70" s="68">
        <v>9.0136118620043749E-4</v>
      </c>
      <c r="L70" s="67" t="s">
        <v>231</v>
      </c>
      <c r="M70" s="68">
        <v>3.715895703062608E-3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1.8879418542229086E-10</v>
      </c>
      <c r="J71" s="67" t="s">
        <v>231</v>
      </c>
      <c r="K71" s="68">
        <v>8.9861296429862871E-4</v>
      </c>
      <c r="L71" s="67" t="s">
        <v>231</v>
      </c>
      <c r="M71" s="68">
        <v>6.6427706325463496E-3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2.8864231967110336E-14</v>
      </c>
      <c r="J72" s="67" t="s">
        <v>231</v>
      </c>
      <c r="K72" s="68">
        <v>4.6623193893701982E-3</v>
      </c>
      <c r="L72" s="67" t="s">
        <v>231</v>
      </c>
      <c r="M72" s="68">
        <v>0.65385801653792319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1.5684775522320688E-11</v>
      </c>
      <c r="J73" s="67" t="s">
        <v>231</v>
      </c>
      <c r="K73" s="68">
        <v>5.7863158348645145E-4</v>
      </c>
      <c r="L73" s="67" t="s">
        <v>231</v>
      </c>
      <c r="M73" s="68">
        <v>7.6630934368161763E-2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1.7787662192043077E-11</v>
      </c>
      <c r="J74" s="67" t="s">
        <v>231</v>
      </c>
      <c r="K74" s="68">
        <v>8.992142264933427E-4</v>
      </c>
      <c r="L74" s="67" t="s">
        <v>231</v>
      </c>
      <c r="M74" s="68">
        <v>6.0819675188775743E-3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9.7152195124417953E-14</v>
      </c>
      <c r="J75" s="67" t="s">
        <v>231</v>
      </c>
      <c r="K75" s="68">
        <v>5.8699912745322934E-4</v>
      </c>
      <c r="L75" s="67" t="s">
        <v>231</v>
      </c>
      <c r="M75" s="68">
        <v>7.6967559667675614E-2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8.3666687110328407E-9</v>
      </c>
      <c r="J76" s="67" t="s">
        <v>231</v>
      </c>
      <c r="K76" s="68">
        <v>7.8535366131636866E-4</v>
      </c>
      <c r="L76" s="67" t="s">
        <v>231</v>
      </c>
      <c r="M76" s="68">
        <v>5.3486731187391647E-2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6.5942627360135441E-8</v>
      </c>
      <c r="J77" s="67" t="s">
        <v>231</v>
      </c>
      <c r="K77" s="68">
        <v>5.8099604544198684E-4</v>
      </c>
      <c r="L77" s="67" t="s">
        <v>231</v>
      </c>
      <c r="M77" s="68">
        <v>7.6736693985723262E-2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2.853673721961168E-13</v>
      </c>
      <c r="J78" s="67" t="s">
        <v>231</v>
      </c>
      <c r="K78" s="68">
        <v>3.9092525629455871E-3</v>
      </c>
      <c r="L78" s="67" t="s">
        <v>231</v>
      </c>
      <c r="M78" s="68">
        <v>0.5481098951351836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1.5699430892033255E-16</v>
      </c>
      <c r="J79" s="67" t="s">
        <v>231</v>
      </c>
      <c r="K79" s="68">
        <v>3.9092497782277826E-3</v>
      </c>
      <c r="L79" s="67" t="s">
        <v>231</v>
      </c>
      <c r="M79" s="68">
        <v>0.54810963593751161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2.0680476161117626E-14</v>
      </c>
      <c r="J80" s="67" t="s">
        <v>231</v>
      </c>
      <c r="K80" s="68">
        <v>6.7624411846866901E-4</v>
      </c>
      <c r="L80" s="67" t="s">
        <v>231</v>
      </c>
      <c r="M80" s="68">
        <v>7.3787786322684998E-2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7.0044754733321568E-11</v>
      </c>
      <c r="J81" s="67" t="s">
        <v>231</v>
      </c>
      <c r="K81" s="68">
        <v>8.7570982427995789E-4</v>
      </c>
      <c r="L81" s="67" t="s">
        <v>231</v>
      </c>
      <c r="M81" s="68">
        <v>2.0999570340495096E-2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1.3920787845690561E-15</v>
      </c>
      <c r="J82" s="67" t="s">
        <v>231</v>
      </c>
      <c r="K82" s="68">
        <v>8.3087246112544216E-4</v>
      </c>
      <c r="L82" s="67" t="s">
        <v>231</v>
      </c>
      <c r="M82" s="68">
        <v>3.9545902065987418E-2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1.6927928015811645E-14</v>
      </c>
      <c r="J83" s="67" t="s">
        <v>231</v>
      </c>
      <c r="K83" s="68">
        <v>7.5616971747875898E-3</v>
      </c>
      <c r="L83" s="67" t="s">
        <v>231</v>
      </c>
      <c r="M83" s="68">
        <v>1.0609164595669549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3.36495699449283E-2</v>
      </c>
      <c r="J84" s="67" t="s">
        <v>232</v>
      </c>
      <c r="K84" s="68">
        <v>3.9311424110972017E-3</v>
      </c>
      <c r="L84" s="67" t="s">
        <v>231</v>
      </c>
      <c r="M84" s="68">
        <v>0.36096937972819965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3.80707461644011E-6</v>
      </c>
      <c r="J85" s="67" t="s">
        <v>231</v>
      </c>
      <c r="K85" s="68">
        <v>0.29069046603558779</v>
      </c>
      <c r="L85" s="67" t="s">
        <v>231</v>
      </c>
      <c r="M85" s="68">
        <v>7.4518135395405514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2.6062215927137822E-4</v>
      </c>
      <c r="J86" s="67" t="s">
        <v>231</v>
      </c>
      <c r="K86" s="68">
        <v>3.9760739979713092E-2</v>
      </c>
      <c r="L86" s="67" t="s">
        <v>231</v>
      </c>
      <c r="M86" s="68">
        <v>4.0083530897660147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1.8863424876815549E-4</v>
      </c>
      <c r="J87" s="67" t="s">
        <v>231</v>
      </c>
      <c r="K87" s="68">
        <v>4.533173010885852E-2</v>
      </c>
      <c r="L87" s="67" t="s">
        <v>231</v>
      </c>
      <c r="M87" s="68">
        <v>4.585137620219105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2.890499119892158E-4</v>
      </c>
      <c r="J88" s="67" t="s">
        <v>231</v>
      </c>
      <c r="K88" s="68">
        <v>4.9300579066581848E-2</v>
      </c>
      <c r="L88" s="67" t="s">
        <v>231</v>
      </c>
      <c r="M88" s="68">
        <v>5.0052005006587796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2.4360052286683269E-7</v>
      </c>
      <c r="J89" s="67" t="s">
        <v>231</v>
      </c>
      <c r="K89" s="68">
        <v>0.7211101074597972</v>
      </c>
      <c r="L89" s="67" t="s">
        <v>231</v>
      </c>
      <c r="M89" s="68">
        <v>18.671475946146572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1.9088616944948488E-5</v>
      </c>
      <c r="J90" s="67" t="s">
        <v>231</v>
      </c>
      <c r="K90" s="68">
        <v>8.9377440815869094E-4</v>
      </c>
      <c r="L90" s="67" t="s">
        <v>231</v>
      </c>
      <c r="M90" s="68">
        <v>1.4798320723090129E-3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3.3315488701590265E-5</v>
      </c>
      <c r="J91" s="67" t="s">
        <v>231</v>
      </c>
      <c r="K91" s="68">
        <v>1.4308462800962484E-3</v>
      </c>
      <c r="L91" s="67" t="s">
        <v>231</v>
      </c>
      <c r="M91" s="68">
        <v>7.6458735949660087E-2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2.7634070110556666E-5</v>
      </c>
      <c r="J92" s="67" t="s">
        <v>231</v>
      </c>
      <c r="K92" s="68">
        <v>5.3848525976351314E-3</v>
      </c>
      <c r="L92" s="67" t="s">
        <v>231</v>
      </c>
      <c r="M92" s="68">
        <v>0.51942192543399224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1.2886701563335341E-8</v>
      </c>
      <c r="J93" s="67" t="s">
        <v>231</v>
      </c>
      <c r="K93" s="68">
        <v>9.0262664425088573E-4</v>
      </c>
      <c r="L93" s="67" t="s">
        <v>231</v>
      </c>
      <c r="M93" s="68">
        <v>6.2131205649027302E-4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2.1126800857135176E-18</v>
      </c>
      <c r="J94" s="67" t="s">
        <v>231</v>
      </c>
      <c r="K94" s="68">
        <v>9.0814678416051905E-4</v>
      </c>
      <c r="L94" s="67" t="s">
        <v>231</v>
      </c>
      <c r="M94" s="68">
        <v>1.5135965983951357E-4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2.2721423061716514E-6</v>
      </c>
      <c r="J95" s="67" t="s">
        <v>231</v>
      </c>
      <c r="K95" s="68">
        <v>9.2067043031301369E-4</v>
      </c>
      <c r="L95" s="67" t="s">
        <v>231</v>
      </c>
      <c r="M95" s="68">
        <v>6.37297386677412E-3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2.8974200215208588E-3</v>
      </c>
      <c r="J96" s="67" t="s">
        <v>231</v>
      </c>
      <c r="K96" s="68">
        <v>3.7111786966041276E-2</v>
      </c>
      <c r="L96" s="67" t="s">
        <v>231</v>
      </c>
      <c r="M96" s="68">
        <v>3.7366576166284324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9.851747394008182E-5</v>
      </c>
      <c r="J97" s="67" t="s">
        <v>231</v>
      </c>
      <c r="K97" s="68">
        <v>1.9254962488787089E-3</v>
      </c>
      <c r="L97" s="67" t="s">
        <v>231</v>
      </c>
      <c r="M97" s="68">
        <v>0.13526692279794181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2.6832786677324096E-5</v>
      </c>
      <c r="J98" s="67" t="s">
        <v>231</v>
      </c>
      <c r="K98" s="68">
        <v>1.5057571596684284E-3</v>
      </c>
      <c r="L98" s="67" t="s">
        <v>231</v>
      </c>
      <c r="M98" s="68">
        <v>8.5543481543408989E-2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1.7598619999601163E-6</v>
      </c>
      <c r="J99" s="67" t="s">
        <v>231</v>
      </c>
      <c r="K99" s="68">
        <v>1.0121852129129304E-3</v>
      </c>
      <c r="L99" s="67" t="s">
        <v>231</v>
      </c>
      <c r="M99" s="68">
        <v>2.2634935192671641E-2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2.2704641813939713E-3</v>
      </c>
      <c r="J100" s="67" t="s">
        <v>231</v>
      </c>
      <c r="K100" s="68">
        <v>1.8211215683193931E-2</v>
      </c>
      <c r="L100" s="67" t="s">
        <v>231</v>
      </c>
      <c r="M100" s="68">
        <v>1.8199782315085364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1.8464020311137766E-2</v>
      </c>
      <c r="J101" s="67" t="s">
        <v>232</v>
      </c>
      <c r="K101" s="68">
        <v>4.8772591846455915E-3</v>
      </c>
      <c r="L101" s="67" t="s">
        <v>231</v>
      </c>
      <c r="M101" s="68">
        <v>0.46435147167637497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5.6420522246155378E-3</v>
      </c>
      <c r="J102" s="67" t="s">
        <v>231</v>
      </c>
      <c r="K102" s="68">
        <v>6.4327584802547884E-3</v>
      </c>
      <c r="L102" s="67" t="s">
        <v>231</v>
      </c>
      <c r="M102" s="68">
        <v>0.63305178932835826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1.5539973059522488E-9</v>
      </c>
      <c r="J103" s="67" t="s">
        <v>231</v>
      </c>
      <c r="K103" s="68">
        <v>8.9181662606118643E-4</v>
      </c>
      <c r="L103" s="67" t="s">
        <v>231</v>
      </c>
      <c r="M103" s="68">
        <v>1.185322020314448E-2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2.4595220535040944E-7</v>
      </c>
      <c r="J104" s="67" t="s">
        <v>231</v>
      </c>
      <c r="K104" s="68">
        <v>8.2678581033107862E-4</v>
      </c>
      <c r="L104" s="67" t="s">
        <v>231</v>
      </c>
      <c r="M104" s="68">
        <v>0.11252256517483995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9.7120804734806856E-8</v>
      </c>
      <c r="J105" s="67" t="s">
        <v>231</v>
      </c>
      <c r="K105" s="68">
        <v>8.9259752737250934E-4</v>
      </c>
      <c r="L105" s="67" t="s">
        <v>231</v>
      </c>
      <c r="M105" s="68">
        <v>1.8054849946314156E-3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3.3192328787795297E-8</v>
      </c>
      <c r="J106" s="67" t="s">
        <v>231</v>
      </c>
      <c r="K106" s="68">
        <v>9.2150201795121282E-4</v>
      </c>
      <c r="L106" s="67" t="s">
        <v>231</v>
      </c>
      <c r="M106" s="68">
        <v>6.8510688625483688E-3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8.4678882514976222E-6</v>
      </c>
      <c r="J107" s="67" t="s">
        <v>231</v>
      </c>
      <c r="K107" s="68">
        <v>9.9378157141181908E-3</v>
      </c>
      <c r="L107" s="67" t="s">
        <v>231</v>
      </c>
      <c r="M107" s="68">
        <v>0.69413917447362294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2.6544400518585137E-10</v>
      </c>
      <c r="J108" s="67" t="s">
        <v>231</v>
      </c>
      <c r="K108" s="68">
        <v>9.0523143297633647E-4</v>
      </c>
      <c r="L108" s="67" t="s">
        <v>231</v>
      </c>
      <c r="M108" s="68">
        <v>7.8341305783139411E-5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2.7250798444448923E-6</v>
      </c>
      <c r="J109" s="67" t="s">
        <v>231</v>
      </c>
      <c r="K109" s="68">
        <v>1.0754317573163478E-2</v>
      </c>
      <c r="L109" s="67" t="s">
        <v>231</v>
      </c>
      <c r="M109" s="68">
        <v>0.25703245886508502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5.8402181137163946E-6</v>
      </c>
      <c r="J110" s="67" t="s">
        <v>231</v>
      </c>
      <c r="K110" s="68">
        <v>8.9859746652268127E-4</v>
      </c>
      <c r="L110" s="67" t="s">
        <v>231</v>
      </c>
      <c r="M110" s="68">
        <v>2.2257695779777977E-4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8.14101539744583E-14</v>
      </c>
      <c r="J111" s="67" t="s">
        <v>231</v>
      </c>
      <c r="K111" s="68">
        <v>9.0223281424938069E-4</v>
      </c>
      <c r="L111" s="67" t="s">
        <v>231</v>
      </c>
      <c r="M111" s="68">
        <v>3.2426824430829621E-6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9.1836485261709475E-9</v>
      </c>
      <c r="J112" s="67" t="s">
        <v>231</v>
      </c>
      <c r="K112" s="68">
        <v>8.965769676937789E-4</v>
      </c>
      <c r="L112" s="67" t="s">
        <v>231</v>
      </c>
      <c r="M112" s="68">
        <v>1.6807138119796224E-4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4.2159671281252737E-7</v>
      </c>
      <c r="J113" s="67" t="s">
        <v>231</v>
      </c>
      <c r="K113" s="68">
        <v>8.9826825132967812E-4</v>
      </c>
      <c r="L113" s="67" t="s">
        <v>231</v>
      </c>
      <c r="M113" s="68">
        <v>3.8386382558301393E-3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5.7133544518474056E-8</v>
      </c>
      <c r="J114" s="67" t="s">
        <v>231</v>
      </c>
      <c r="K114" s="68">
        <v>8.9895799806063406E-4</v>
      </c>
      <c r="L114" s="67" t="s">
        <v>231</v>
      </c>
      <c r="M114" s="68">
        <v>5.2246552466142076E-5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4.7448186940745668E-11</v>
      </c>
      <c r="J115" s="67" t="s">
        <v>231</v>
      </c>
      <c r="K115" s="68">
        <v>9.0161302063524742E-4</v>
      </c>
      <c r="L115" s="67" t="s">
        <v>231</v>
      </c>
      <c r="M115" s="68">
        <v>3.3966443282102922E-3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8.5278601913957061E-6</v>
      </c>
      <c r="J116" s="67" t="s">
        <v>231</v>
      </c>
      <c r="K116" s="68">
        <v>0.10164234017168844</v>
      </c>
      <c r="L116" s="67" t="s">
        <v>231</v>
      </c>
      <c r="M116" s="68">
        <v>2.6127615927977494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6.7348098133748624E-5</v>
      </c>
      <c r="J117" s="67" t="s">
        <v>231</v>
      </c>
      <c r="K117" s="68">
        <v>2.6167741207578205E-3</v>
      </c>
      <c r="L117" s="67" t="s">
        <v>231</v>
      </c>
      <c r="M117" s="68">
        <v>0.21455811159154051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0.97573800741198413</v>
      </c>
      <c r="F2" s="14">
        <v>0.97871276364628745</v>
      </c>
      <c r="G2" s="14">
        <v>2.910474105973663E-10</v>
      </c>
      <c r="H2" s="14">
        <v>0.17050426703359528</v>
      </c>
      <c r="I2" s="14">
        <v>0.63356681674833415</v>
      </c>
      <c r="J2" s="14">
        <v>0</v>
      </c>
      <c r="K2" s="14">
        <v>1.0217502388284023</v>
      </c>
      <c r="L2" s="14">
        <v>0.97871276364628756</v>
      </c>
      <c r="M2" s="14">
        <v>0.80303382257177891</v>
      </c>
      <c r="N2" s="14">
        <v>0.89224216256447397</v>
      </c>
      <c r="O2" s="14">
        <v>173.26450554839519</v>
      </c>
      <c r="P2" s="8">
        <v>0.89224216256447397</v>
      </c>
      <c r="Q2" s="54">
        <v>1.5761314059935402E-2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0.69557757922992047</v>
      </c>
      <c r="F3" s="14">
        <v>0.46746696617524303</v>
      </c>
      <c r="G3" s="14">
        <v>2.2131323180524621E-10</v>
      </c>
      <c r="H3" s="14">
        <v>52.578479265057375</v>
      </c>
      <c r="I3" s="14">
        <v>118.2654337616768</v>
      </c>
      <c r="J3" s="14">
        <v>0</v>
      </c>
      <c r="K3" s="14">
        <v>2.1391885894780471</v>
      </c>
      <c r="L3" s="14">
        <v>0.46746696617524303</v>
      </c>
      <c r="M3" s="14">
        <v>0.38355664574678694</v>
      </c>
      <c r="N3" s="14">
        <v>3.8991766028266528</v>
      </c>
      <c r="O3" s="14">
        <v>998.54013621787738</v>
      </c>
      <c r="P3" s="8">
        <v>3.8991766028266528</v>
      </c>
      <c r="Q3" s="54">
        <v>0.20279527359556493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0.99893515045610581</v>
      </c>
      <c r="F4" s="14">
        <v>1.0024211240233993</v>
      </c>
      <c r="G4" s="14">
        <v>1.5100060857665709E-19</v>
      </c>
      <c r="H4" s="14">
        <v>0.119770595870381</v>
      </c>
      <c r="I4" s="14">
        <v>1.2212581286036349E-3</v>
      </c>
      <c r="J4" s="14">
        <v>0</v>
      </c>
      <c r="K4" s="14">
        <v>0.99758472366017015</v>
      </c>
      <c r="L4" s="14">
        <v>1.0024211240233993</v>
      </c>
      <c r="M4" s="14">
        <v>0.82248653226119928</v>
      </c>
      <c r="N4" s="14">
        <v>1.0217410290810891</v>
      </c>
      <c r="O4" s="14">
        <v>302.58860576236452</v>
      </c>
      <c r="P4" s="8">
        <v>1.0217410290810893</v>
      </c>
      <c r="Q4" s="54">
        <v>1.3925393216976452E-5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0.99897942697873598</v>
      </c>
      <c r="F5" s="14">
        <v>0.54930970068396834</v>
      </c>
      <c r="G5" s="14">
        <v>2.5141841900611387E-12</v>
      </c>
      <c r="H5" s="14">
        <v>128.40362027862344</v>
      </c>
      <c r="I5" s="14">
        <v>9.4362220014338472E-2</v>
      </c>
      <c r="J5" s="14">
        <v>0</v>
      </c>
      <c r="K5" s="14">
        <v>1.8204666670820822</v>
      </c>
      <c r="L5" s="14">
        <v>0.54930970068396834</v>
      </c>
      <c r="M5" s="14">
        <v>0.450708609411196</v>
      </c>
      <c r="N5" s="14">
        <v>0.81467736718208728</v>
      </c>
      <c r="O5" s="14">
        <v>180.07628524192856</v>
      </c>
      <c r="P5" s="8">
        <v>0.81467736718208728</v>
      </c>
      <c r="Q5" s="54">
        <v>1.2688145486585252E-4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0.99852825556690994</v>
      </c>
      <c r="F6" s="14">
        <v>0.32512012476178503</v>
      </c>
      <c r="G6" s="14">
        <v>2.0626154339815529E-13</v>
      </c>
      <c r="H6" s="14">
        <v>191.70076806760667</v>
      </c>
      <c r="I6" s="14">
        <v>0.51472823797120593</v>
      </c>
      <c r="J6" s="14">
        <v>0</v>
      </c>
      <c r="K6" s="14">
        <v>3.0757862212703637</v>
      </c>
      <c r="L6" s="14">
        <v>0.32512012476178503</v>
      </c>
      <c r="M6" s="14">
        <v>0.26676106236704461</v>
      </c>
      <c r="N6" s="14">
        <v>0.75042162658678147</v>
      </c>
      <c r="O6" s="14">
        <v>172.7920837378723</v>
      </c>
      <c r="P6" s="8">
        <v>0.75042162658678147</v>
      </c>
      <c r="Q6" s="54">
        <v>4.7574912070453315E-4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0.99553542114786653</v>
      </c>
      <c r="F7" s="14">
        <v>0.10796884927475114</v>
      </c>
      <c r="G7" s="14">
        <v>1.7992254543990315E-9</v>
      </c>
      <c r="H7" s="14">
        <v>251.87117762136518</v>
      </c>
      <c r="I7" s="14">
        <v>4.7471744529390065</v>
      </c>
      <c r="J7" s="14">
        <v>0</v>
      </c>
      <c r="K7" s="14">
        <v>9.2619307023942969</v>
      </c>
      <c r="L7" s="14">
        <v>0.10796884927475116</v>
      </c>
      <c r="M7" s="14">
        <v>8.8588440829933321E-2</v>
      </c>
      <c r="N7" s="14">
        <v>0.72513490230101796</v>
      </c>
      <c r="O7" s="14">
        <v>149.58082764665397</v>
      </c>
      <c r="P7" s="8">
        <v>0.72513490230101796</v>
      </c>
      <c r="Q7" s="54">
        <v>2.5132471098916068E-3</v>
      </c>
    </row>
    <row r="8" spans="1:20">
      <c r="A8" s="2" t="s">
        <v>289</v>
      </c>
      <c r="B8" s="16" t="s">
        <v>290</v>
      </c>
      <c r="D8" s="14">
        <v>1</v>
      </c>
      <c r="E8" s="14">
        <v>0.9989276877114398</v>
      </c>
      <c r="F8" s="14">
        <v>0.23054430583163293</v>
      </c>
      <c r="G8" s="14">
        <v>1.2779975653777051E-19</v>
      </c>
      <c r="H8" s="14">
        <v>218.61220269446537</v>
      </c>
      <c r="I8" s="14">
        <v>0.30779431961569198</v>
      </c>
      <c r="J8" s="14">
        <v>0</v>
      </c>
      <c r="K8" s="14">
        <v>4.3375610444714363</v>
      </c>
      <c r="L8" s="14">
        <v>0.23054430583163293</v>
      </c>
      <c r="M8" s="14">
        <v>0.18916160293485484</v>
      </c>
      <c r="N8" s="14">
        <v>0.70905147349742192</v>
      </c>
      <c r="O8" s="14">
        <v>247.04771439597178</v>
      </c>
      <c r="P8" s="8">
        <v>0.70905147349742204</v>
      </c>
      <c r="Q8" s="54">
        <v>2.3467163578595111E-4</v>
      </c>
    </row>
    <row r="9" spans="1:20">
      <c r="A9" s="2" t="s">
        <v>291</v>
      </c>
      <c r="B9" s="16" t="s">
        <v>292</v>
      </c>
      <c r="D9" s="14">
        <v>1</v>
      </c>
      <c r="E9" s="14">
        <v>0.99828971915433828</v>
      </c>
      <c r="F9" s="14">
        <v>0.61584786185191764</v>
      </c>
      <c r="G9" s="14">
        <v>5.3561844600840699E-15</v>
      </c>
      <c r="H9" s="14">
        <v>109.33858216886935</v>
      </c>
      <c r="I9" s="14">
        <v>0.38371343187973078</v>
      </c>
      <c r="J9" s="14">
        <v>0</v>
      </c>
      <c r="K9" s="14">
        <v>1.6237776599449376</v>
      </c>
      <c r="L9" s="14">
        <v>0.61584786185191764</v>
      </c>
      <c r="M9" s="14">
        <v>0.50530317064949848</v>
      </c>
      <c r="N9" s="14">
        <v>0.83737596301442263</v>
      </c>
      <c r="O9" s="14">
        <v>258.18813067623688</v>
      </c>
      <c r="P9" s="8">
        <v>0.83737596301442263</v>
      </c>
      <c r="Q9" s="54">
        <v>5.7677576241084894E-4</v>
      </c>
    </row>
    <row r="10" spans="1:20">
      <c r="A10" s="2" t="s">
        <v>367</v>
      </c>
      <c r="B10" s="16" t="s">
        <v>368</v>
      </c>
      <c r="D10" s="14">
        <v>1</v>
      </c>
      <c r="E10" s="14">
        <v>0.88311026834742479</v>
      </c>
      <c r="F10" s="14">
        <v>1.0332514104890146E-2</v>
      </c>
      <c r="G10" s="14">
        <v>1.6054415346603714E-7</v>
      </c>
      <c r="H10" s="14">
        <v>211.18642906937052</v>
      </c>
      <c r="I10" s="14">
        <v>341.52553283644204</v>
      </c>
      <c r="J10" s="14">
        <v>0</v>
      </c>
      <c r="K10" s="14">
        <v>96.781866431396651</v>
      </c>
      <c r="L10" s="14">
        <v>1.0332514104890146E-2</v>
      </c>
      <c r="M10" s="14">
        <v>8.4778278230623651E-3</v>
      </c>
      <c r="N10" s="14">
        <v>6.8940136581927165</v>
      </c>
      <c r="O10" s="14">
        <v>1918.8797616213606</v>
      </c>
      <c r="P10" s="8">
        <v>6.8940136581927174</v>
      </c>
      <c r="Q10" s="54">
        <v>7.4134980486061E-2</v>
      </c>
    </row>
    <row r="11" spans="1:20">
      <c r="A11" s="2" t="s">
        <v>369</v>
      </c>
      <c r="B11" s="16" t="s">
        <v>370</v>
      </c>
      <c r="D11" s="14">
        <v>1</v>
      </c>
      <c r="E11" s="14">
        <v>0.93896342288215129</v>
      </c>
      <c r="F11" s="14">
        <v>5.9660322998095791E-4</v>
      </c>
      <c r="G11" s="14">
        <v>6.4280865018813734E-14</v>
      </c>
      <c r="H11" s="14">
        <v>154.10814762928257</v>
      </c>
      <c r="I11" s="14">
        <v>1042.5132600824588</v>
      </c>
      <c r="J11" s="14">
        <v>0</v>
      </c>
      <c r="K11" s="14">
        <v>1676.1558599538885</v>
      </c>
      <c r="L11" s="14">
        <v>5.9660322998095791E-4</v>
      </c>
      <c r="M11" s="14">
        <v>4.8951295019937599E-4</v>
      </c>
      <c r="N11" s="14">
        <v>42.867749519396988</v>
      </c>
      <c r="O11" s="14">
        <v>17442.887279442635</v>
      </c>
      <c r="P11" s="8">
        <v>42.867749519396988</v>
      </c>
      <c r="Q11" s="54">
        <v>1.1627372544686831E-2</v>
      </c>
    </row>
    <row r="12" spans="1:20">
      <c r="A12" s="2" t="s">
        <v>371</v>
      </c>
      <c r="B12" s="16" t="s">
        <v>372</v>
      </c>
      <c r="D12" s="14">
        <v>1</v>
      </c>
      <c r="E12" s="14">
        <v>0.92006171588054542</v>
      </c>
      <c r="F12" s="14">
        <v>0.92362369076895801</v>
      </c>
      <c r="G12" s="14">
        <v>8.3216772210161492E-4</v>
      </c>
      <c r="H12" s="14">
        <v>7.3502777872907141E-3</v>
      </c>
      <c r="I12" s="14">
        <v>3.3732869248081145E-2</v>
      </c>
      <c r="J12" s="14">
        <v>0</v>
      </c>
      <c r="K12" s="14">
        <v>1.0826920205646255</v>
      </c>
      <c r="L12" s="14">
        <v>0.92362369076895801</v>
      </c>
      <c r="M12" s="14">
        <v>0.75783323827593008</v>
      </c>
      <c r="N12" s="14">
        <v>0.83165475174572678</v>
      </c>
      <c r="O12" s="14">
        <v>116.58967964723342</v>
      </c>
      <c r="P12" s="8">
        <v>0.83165475174572678</v>
      </c>
      <c r="Q12" s="54">
        <v>2.8304356324669756E-3</v>
      </c>
    </row>
    <row r="13" spans="1:20">
      <c r="A13" s="2" t="s">
        <v>293</v>
      </c>
      <c r="B13" s="16" t="s">
        <v>294</v>
      </c>
      <c r="D13" s="14">
        <v>1</v>
      </c>
      <c r="E13" s="14">
        <v>0.69995944485040051</v>
      </c>
      <c r="F13" s="14">
        <v>0.52568985266697654</v>
      </c>
      <c r="G13" s="14">
        <v>1.9436500849250722E-10</v>
      </c>
      <c r="H13" s="14">
        <v>39.883163047353939</v>
      </c>
      <c r="I13" s="14">
        <v>94.721106945397082</v>
      </c>
      <c r="J13" s="14">
        <v>0</v>
      </c>
      <c r="K13" s="14">
        <v>1.9022623224068544</v>
      </c>
      <c r="L13" s="14">
        <v>0.52568985266697654</v>
      </c>
      <c r="M13" s="14">
        <v>0.43132852411325429</v>
      </c>
      <c r="N13" s="14">
        <v>2.3141938484905253</v>
      </c>
      <c r="O13" s="14">
        <v>764.51707978732998</v>
      </c>
      <c r="P13" s="8">
        <v>2.3141938484905253</v>
      </c>
      <c r="Q13" s="54">
        <v>0.20093091629192419</v>
      </c>
    </row>
    <row r="14" spans="1:20">
      <c r="A14" s="2" t="s">
        <v>373</v>
      </c>
      <c r="B14" s="16" t="s">
        <v>374</v>
      </c>
      <c r="D14" s="14">
        <v>1</v>
      </c>
      <c r="E14" s="14">
        <v>0.99796662883960685</v>
      </c>
      <c r="F14" s="14">
        <v>8.8313228651676814E-3</v>
      </c>
      <c r="G14" s="14">
        <v>9.5224505297241828E-10</v>
      </c>
      <c r="H14" s="14">
        <v>280.70216512582118</v>
      </c>
      <c r="I14" s="14">
        <v>4.0716742758091424</v>
      </c>
      <c r="J14" s="14">
        <v>0</v>
      </c>
      <c r="K14" s="14">
        <v>113.23331909245205</v>
      </c>
      <c r="L14" s="14">
        <v>8.8313228651676814E-3</v>
      </c>
      <c r="M14" s="14">
        <v>7.2461004108700829E-3</v>
      </c>
      <c r="N14" s="14">
        <v>1.2252961737741985</v>
      </c>
      <c r="O14" s="14">
        <v>326.34538292302</v>
      </c>
      <c r="P14" s="8">
        <v>1.2252961737741985</v>
      </c>
      <c r="Q14" s="54">
        <v>5.2719711890019067E-4</v>
      </c>
    </row>
    <row r="15" spans="1:20">
      <c r="A15" s="2" t="s">
        <v>375</v>
      </c>
      <c r="B15" s="16" t="s">
        <v>376</v>
      </c>
      <c r="D15" s="14">
        <v>1</v>
      </c>
      <c r="E15" s="14">
        <v>0.7867775478861605</v>
      </c>
      <c r="F15" s="14">
        <v>0.76437791106625108</v>
      </c>
      <c r="G15" s="14">
        <v>9.4527161309363307E-4</v>
      </c>
      <c r="H15" s="14">
        <v>5.5274920720879246</v>
      </c>
      <c r="I15" s="14">
        <v>15.609367268357897</v>
      </c>
      <c r="J15" s="14">
        <v>0</v>
      </c>
      <c r="K15" s="14">
        <v>1.3082533986429219</v>
      </c>
      <c r="L15" s="14">
        <v>0.76437791106625108</v>
      </c>
      <c r="M15" s="14">
        <v>0.62717207602985903</v>
      </c>
      <c r="N15" s="14">
        <v>0.98650316969351881</v>
      </c>
      <c r="O15" s="14">
        <v>147.38357355221171</v>
      </c>
      <c r="P15" s="8">
        <v>0.98650316969351881</v>
      </c>
      <c r="Q15" s="54">
        <v>8.5819365469790354E-2</v>
      </c>
    </row>
    <row r="16" spans="1:20">
      <c r="A16" s="2" t="s">
        <v>377</v>
      </c>
      <c r="B16" s="16" t="s">
        <v>378</v>
      </c>
      <c r="D16" s="14">
        <v>1</v>
      </c>
      <c r="E16" s="14">
        <v>0.68863397704903684</v>
      </c>
      <c r="F16" s="14">
        <v>0.49028360652333602</v>
      </c>
      <c r="G16" s="14">
        <v>7.3929175000364643E-6</v>
      </c>
      <c r="H16" s="14">
        <v>45.434669378814462</v>
      </c>
      <c r="I16" s="14">
        <v>106.32724051302777</v>
      </c>
      <c r="J16" s="14">
        <v>0</v>
      </c>
      <c r="K16" s="14">
        <v>2.0396358081216057</v>
      </c>
      <c r="L16" s="14">
        <v>0.49028360652333608</v>
      </c>
      <c r="M16" s="14">
        <v>0.40227769915239725</v>
      </c>
      <c r="N16" s="14">
        <v>2.5106121587899723</v>
      </c>
      <c r="O16" s="14">
        <v>557.95844616948341</v>
      </c>
      <c r="P16" s="8">
        <v>2.5106121587899723</v>
      </c>
      <c r="Q16" s="54">
        <v>0.20799099995603168</v>
      </c>
    </row>
    <row r="17" spans="1:21">
      <c r="A17" s="2" t="s">
        <v>379</v>
      </c>
      <c r="B17" s="16" t="s">
        <v>380</v>
      </c>
      <c r="D17" s="14">
        <v>1</v>
      </c>
      <c r="E17" s="14">
        <v>0.69432946941562068</v>
      </c>
      <c r="F17" s="14">
        <v>0.51157869381943089</v>
      </c>
      <c r="G17" s="14">
        <v>2.223212299433259E-5</v>
      </c>
      <c r="H17" s="14">
        <v>41.836221022574939</v>
      </c>
      <c r="I17" s="14">
        <v>98.811984027231134</v>
      </c>
      <c r="J17" s="14">
        <v>0</v>
      </c>
      <c r="K17" s="14">
        <v>1.9547334790939603</v>
      </c>
      <c r="L17" s="14">
        <v>0.51157869381943089</v>
      </c>
      <c r="M17" s="14">
        <v>0.41975031827884307</v>
      </c>
      <c r="N17" s="14">
        <v>2.381947944261082</v>
      </c>
      <c r="O17" s="14">
        <v>306.22322771420471</v>
      </c>
      <c r="P17" s="8">
        <v>2.381947944261082</v>
      </c>
      <c r="Q17" s="54">
        <v>0.20333381988320187</v>
      </c>
    </row>
    <row r="18" spans="1:21">
      <c r="A18" s="2" t="s">
        <v>381</v>
      </c>
      <c r="B18" s="16" t="s">
        <v>382</v>
      </c>
      <c r="D18" s="14">
        <v>1</v>
      </c>
      <c r="E18" s="14">
        <v>0.88351357320619262</v>
      </c>
      <c r="F18" s="14">
        <v>6.443655944371443E-4</v>
      </c>
      <c r="G18" s="14">
        <v>4.5905088724696458E-10</v>
      </c>
      <c r="H18" s="14">
        <v>67.64447701591277</v>
      </c>
      <c r="I18" s="14">
        <v>1697.0299780889509</v>
      </c>
      <c r="J18" s="14">
        <v>0</v>
      </c>
      <c r="K18" s="14">
        <v>1551.9140199803865</v>
      </c>
      <c r="L18" s="14">
        <v>6.443655944371443E-4</v>
      </c>
      <c r="M18" s="14">
        <v>5.2870197023567687E-4</v>
      </c>
      <c r="N18" s="14">
        <v>35.28607845095901</v>
      </c>
      <c r="O18" s="14">
        <v>13807.089637075753</v>
      </c>
      <c r="P18" s="8">
        <v>35.286078450959018</v>
      </c>
      <c r="Q18" s="54">
        <v>5.4286208979084545E-2</v>
      </c>
    </row>
    <row r="19" spans="1:21">
      <c r="A19" s="2" t="s">
        <v>383</v>
      </c>
      <c r="B19" s="16" t="s">
        <v>384</v>
      </c>
      <c r="D19" s="14">
        <v>1</v>
      </c>
      <c r="E19" s="14">
        <v>0.91078293628673446</v>
      </c>
      <c r="F19" s="14">
        <v>0.9059270864153931</v>
      </c>
      <c r="G19" s="14">
        <v>1.3068379345043172E-4</v>
      </c>
      <c r="H19" s="14">
        <v>1.7848151548058213</v>
      </c>
      <c r="I19" s="14">
        <v>5.5469010114587354</v>
      </c>
      <c r="J19" s="14">
        <v>0</v>
      </c>
      <c r="K19" s="14">
        <v>1.1038415949751963</v>
      </c>
      <c r="L19" s="14">
        <v>0.9059270864153931</v>
      </c>
      <c r="M19" s="14">
        <v>0.74331317440383005</v>
      </c>
      <c r="N19" s="14">
        <v>0.92026584365219988</v>
      </c>
      <c r="O19" s="14">
        <v>85.704358019329376</v>
      </c>
      <c r="P19" s="8">
        <v>0.92026584365219988</v>
      </c>
      <c r="Q19" s="54">
        <v>5.164763216209705E-2</v>
      </c>
    </row>
    <row r="20" spans="1:21">
      <c r="A20" s="2" t="s">
        <v>385</v>
      </c>
      <c r="B20" s="16" t="s">
        <v>386</v>
      </c>
      <c r="D20" s="14">
        <v>1</v>
      </c>
      <c r="E20" s="14">
        <v>0.87592133884388623</v>
      </c>
      <c r="F20" s="14">
        <v>0.8645049532813206</v>
      </c>
      <c r="G20" s="14">
        <v>2.4400345376974887E-4</v>
      </c>
      <c r="H20" s="14">
        <v>3.1824932116033717</v>
      </c>
      <c r="I20" s="14">
        <v>9.4454935703481286</v>
      </c>
      <c r="J20" s="14">
        <v>0</v>
      </c>
      <c r="K20" s="14">
        <v>1.1567313711788387</v>
      </c>
      <c r="L20" s="14">
        <v>0.86450495328132071</v>
      </c>
      <c r="M20" s="14">
        <v>0.70932631416732361</v>
      </c>
      <c r="N20" s="14">
        <v>0.95776058013163945</v>
      </c>
      <c r="O20" s="14">
        <v>106.42635566422777</v>
      </c>
      <c r="P20" s="8">
        <v>0.95776058013163945</v>
      </c>
      <c r="Q20" s="54">
        <v>6.8269175327660789E-2</v>
      </c>
    </row>
    <row r="21" spans="1:21">
      <c r="A21" s="2" t="s">
        <v>387</v>
      </c>
      <c r="B21" s="16" t="s">
        <v>388</v>
      </c>
      <c r="D21" s="14">
        <v>1</v>
      </c>
      <c r="E21" s="14">
        <v>0.92744809090938496</v>
      </c>
      <c r="F21" s="14">
        <v>0.10633029824059974</v>
      </c>
      <c r="G21" s="14">
        <v>2.0663444875934978E-5</v>
      </c>
      <c r="H21" s="14">
        <v>224.43833178985503</v>
      </c>
      <c r="I21" s="14">
        <v>83.864431931633007</v>
      </c>
      <c r="J21" s="14">
        <v>0</v>
      </c>
      <c r="K21" s="14">
        <v>9.4046571536669799</v>
      </c>
      <c r="L21" s="14">
        <v>0.10633029824059975</v>
      </c>
      <c r="M21" s="14">
        <v>8.7244009706412093E-2</v>
      </c>
      <c r="N21" s="14">
        <v>2.1475606470190995</v>
      </c>
      <c r="O21" s="14">
        <v>424.03584975392113</v>
      </c>
      <c r="P21" s="8">
        <v>2.1475606470190995</v>
      </c>
      <c r="Q21" s="54">
        <v>4.6235739647606001E-2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0.90408945479409419</v>
      </c>
      <c r="F22" s="14">
        <v>0.90622130813565949</v>
      </c>
      <c r="G22" s="14">
        <v>7.2775091020885088E-4</v>
      </c>
      <c r="H22" s="14">
        <v>0.28770954460147113</v>
      </c>
      <c r="I22" s="14">
        <v>1.0228488009076644</v>
      </c>
      <c r="J22" s="14">
        <v>0</v>
      </c>
      <c r="K22" s="14">
        <v>1.1034832121275855</v>
      </c>
      <c r="L22" s="14">
        <v>0.9062213081356596</v>
      </c>
      <c r="M22" s="14">
        <v>0.74355458332530866</v>
      </c>
      <c r="N22" s="14">
        <v>0.83438640501534889</v>
      </c>
      <c r="O22" s="14">
        <v>48.461162403291461</v>
      </c>
      <c r="P22" s="8">
        <v>0.83438640501534889</v>
      </c>
      <c r="Q22" s="54">
        <v>1.9953148757298905E-2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0.76517483731977187</v>
      </c>
      <c r="F23" s="14">
        <v>0.72459855827377206</v>
      </c>
      <c r="G23" s="14">
        <v>7.6521936732687826E-4</v>
      </c>
      <c r="H23" s="14">
        <v>9.5489905948455025</v>
      </c>
      <c r="I23" s="14">
        <v>25.799698833341957</v>
      </c>
      <c r="J23" s="14">
        <v>0</v>
      </c>
      <c r="K23" s="14">
        <v>1.3800745096461731</v>
      </c>
      <c r="L23" s="14">
        <v>0.72459855827377206</v>
      </c>
      <c r="M23" s="14">
        <v>0.59453311706362999</v>
      </c>
      <c r="N23" s="14">
        <v>1.1477540043866252</v>
      </c>
      <c r="O23" s="14">
        <v>122.9818415700269</v>
      </c>
      <c r="P23" s="8">
        <v>1.1477540043866254</v>
      </c>
      <c r="Q23" s="54">
        <v>0.11122813014412009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0.66459874358721727</v>
      </c>
      <c r="F24" s="14">
        <v>0.37925223085273785</v>
      </c>
      <c r="G24" s="14">
        <v>2.1817080384255453E-5</v>
      </c>
      <c r="H24" s="14">
        <v>65.670170536199336</v>
      </c>
      <c r="I24" s="14">
        <v>146.76595162282098</v>
      </c>
      <c r="J24" s="14">
        <v>0</v>
      </c>
      <c r="K24" s="14">
        <v>2.636767614396172</v>
      </c>
      <c r="L24" s="14">
        <v>0.3792522308527379</v>
      </c>
      <c r="M24" s="14">
        <v>0.31117645541467143</v>
      </c>
      <c r="N24" s="14">
        <v>3.2093290933470371</v>
      </c>
      <c r="O24" s="14">
        <v>519.97549970408693</v>
      </c>
      <c r="P24" s="8">
        <v>3.2093290933470371</v>
      </c>
      <c r="Q24" s="54">
        <v>0.22285650477023933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0.87800301884618304</v>
      </c>
      <c r="F25" s="14">
        <v>8.9901961354804877E-4</v>
      </c>
      <c r="G25" s="14">
        <v>2.1155225275012051E-6</v>
      </c>
      <c r="H25" s="14">
        <v>80.758671608715872</v>
      </c>
      <c r="I25" s="14">
        <v>1560.4373520594488</v>
      </c>
      <c r="J25" s="14">
        <v>0</v>
      </c>
      <c r="K25" s="14">
        <v>1112.3227846536345</v>
      </c>
      <c r="L25" s="14">
        <v>8.9901961354804877E-4</v>
      </c>
      <c r="M25" s="14">
        <v>7.3764559291617405E-4</v>
      </c>
      <c r="N25" s="14">
        <v>32.350152373836941</v>
      </c>
      <c r="O25" s="14">
        <v>7550.2020625298037</v>
      </c>
      <c r="P25" s="8">
        <v>32.350152373836949</v>
      </c>
      <c r="Q25" s="54">
        <v>5.9902691670189363E-2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0.60007279901087229</v>
      </c>
      <c r="F26" s="14">
        <v>0.13635513720494863</v>
      </c>
      <c r="G26" s="14">
        <v>1.4729906577552491E-3</v>
      </c>
      <c r="H26" s="14">
        <v>108.53542338092275</v>
      </c>
      <c r="I26" s="14">
        <v>216.78472381411828</v>
      </c>
      <c r="J26" s="14">
        <v>0</v>
      </c>
      <c r="K26" s="14">
        <v>7.3337904276899355</v>
      </c>
      <c r="L26" s="14">
        <v>0.13635513720494863</v>
      </c>
      <c r="M26" s="14">
        <v>0.11187939007666035</v>
      </c>
      <c r="N26" s="14">
        <v>4.4009787079053204</v>
      </c>
      <c r="O26" s="14">
        <v>564.07344099222485</v>
      </c>
      <c r="P26" s="8">
        <v>4.4009787079053204</v>
      </c>
      <c r="Q26" s="54">
        <v>0.17743066304738137</v>
      </c>
    </row>
    <row r="27" spans="1:21">
      <c r="A27" s="2" t="s">
        <v>397</v>
      </c>
      <c r="B27" s="16" t="s">
        <v>398</v>
      </c>
      <c r="D27" s="14">
        <v>1</v>
      </c>
      <c r="E27" s="14">
        <v>0.31826037205514313</v>
      </c>
      <c r="F27" s="14">
        <v>1.6148612471789184E-2</v>
      </c>
      <c r="G27" s="14">
        <v>6.6958189218256671E-3</v>
      </c>
      <c r="H27" s="14">
        <v>72.173075568613299</v>
      </c>
      <c r="I27" s="14">
        <v>126.94990593053924</v>
      </c>
      <c r="J27" s="14">
        <v>0</v>
      </c>
      <c r="K27" s="14">
        <v>61.924824918979873</v>
      </c>
      <c r="L27" s="14">
        <v>1.6148612471789184E-2</v>
      </c>
      <c r="M27" s="14">
        <v>1.3249936533103026E-2</v>
      </c>
      <c r="N27" s="14">
        <v>2.548034507449358</v>
      </c>
      <c r="O27" s="14">
        <v>462.34086137668601</v>
      </c>
      <c r="P27" s="8">
        <v>2.548034507449358</v>
      </c>
      <c r="Q27" s="54">
        <v>5.1645487756905376E-2</v>
      </c>
    </row>
    <row r="28" spans="1:21">
      <c r="A28" s="2" t="s">
        <v>399</v>
      </c>
      <c r="B28" s="16" t="s">
        <v>400</v>
      </c>
      <c r="D28" s="14">
        <v>1</v>
      </c>
      <c r="E28" s="14">
        <v>0.16618680840863378</v>
      </c>
      <c r="F28" s="14">
        <v>2.9212442685959787E-2</v>
      </c>
      <c r="G28" s="14">
        <v>8.508957628089224E-3</v>
      </c>
      <c r="H28" s="14">
        <v>32.18458201940043</v>
      </c>
      <c r="I28" s="14">
        <v>62.763195084690707</v>
      </c>
      <c r="J28" s="14">
        <v>0</v>
      </c>
      <c r="K28" s="14">
        <v>34.231988428705563</v>
      </c>
      <c r="L28" s="14">
        <v>2.9212442685959791E-2</v>
      </c>
      <c r="M28" s="14">
        <v>2.3968809223830007E-2</v>
      </c>
      <c r="N28" s="14">
        <v>1.2675324909755168</v>
      </c>
      <c r="O28" s="14">
        <v>186.32727617340097</v>
      </c>
      <c r="P28" s="8">
        <v>1.267532490975517</v>
      </c>
      <c r="Q28" s="54">
        <v>4.5030321128852462E-2</v>
      </c>
    </row>
    <row r="29" spans="1:21">
      <c r="A29" s="2" t="s">
        <v>297</v>
      </c>
      <c r="B29" s="16" t="s">
        <v>298</v>
      </c>
      <c r="D29" s="14">
        <v>1</v>
      </c>
      <c r="E29" s="14">
        <v>6.0460361640719835E-2</v>
      </c>
      <c r="F29" s="14">
        <v>5.9393201631988003E-2</v>
      </c>
      <c r="G29" s="14">
        <v>1.0350592825914121E-2</v>
      </c>
      <c r="H29" s="14">
        <v>0.28076097172615117</v>
      </c>
      <c r="I29" s="14">
        <v>0.81807648171760938</v>
      </c>
      <c r="J29" s="14">
        <v>0</v>
      </c>
      <c r="K29" s="14">
        <v>16.836943834013148</v>
      </c>
      <c r="L29" s="14">
        <v>5.9393201631988003E-2</v>
      </c>
      <c r="M29" s="14">
        <v>4.8732121939046157E-2</v>
      </c>
      <c r="N29" s="14">
        <v>6.9050187881664879E-2</v>
      </c>
      <c r="O29" s="14">
        <v>5.8644324567897987</v>
      </c>
      <c r="P29" s="8">
        <v>6.9050187881664893E-2</v>
      </c>
      <c r="Q29" s="54">
        <v>5.3431074461212195E-3</v>
      </c>
    </row>
    <row r="30" spans="1:21">
      <c r="A30" s="2" t="s">
        <v>401</v>
      </c>
      <c r="B30" s="16" t="s">
        <v>402</v>
      </c>
      <c r="D30" s="14">
        <v>1</v>
      </c>
      <c r="E30" s="14">
        <v>6.4377128144674445E-2</v>
      </c>
      <c r="F30" s="14">
        <v>1.2024259007010814E-2</v>
      </c>
      <c r="G30" s="14">
        <v>1.0096871060078441E-2</v>
      </c>
      <c r="H30" s="14">
        <v>12.290182235751326</v>
      </c>
      <c r="I30" s="14">
        <v>24.099914028181843</v>
      </c>
      <c r="J30" s="14">
        <v>0</v>
      </c>
      <c r="K30" s="14">
        <v>83.165207886568652</v>
      </c>
      <c r="L30" s="14">
        <v>1.2024259007010814E-2</v>
      </c>
      <c r="M30" s="14">
        <v>9.8659045152523737E-3</v>
      </c>
      <c r="N30" s="14">
        <v>0.48720455009980068</v>
      </c>
      <c r="O30" s="14">
        <v>80.793130543049955</v>
      </c>
      <c r="P30" s="8">
        <v>0.48720455009980068</v>
      </c>
      <c r="Q30" s="54">
        <v>1.7824423543693322E-2</v>
      </c>
    </row>
    <row r="31" spans="1:21">
      <c r="A31" s="2" t="s">
        <v>299</v>
      </c>
      <c r="B31" s="16" t="s">
        <v>300</v>
      </c>
      <c r="D31" s="14">
        <v>1</v>
      </c>
      <c r="E31" s="14">
        <v>1.3154860627098003E-3</v>
      </c>
      <c r="F31" s="14">
        <v>4.4952529714463923E-4</v>
      </c>
      <c r="G31" s="14">
        <v>1.1089261490182288E-2</v>
      </c>
      <c r="H31" s="14">
        <v>0.20131407354546985</v>
      </c>
      <c r="I31" s="14">
        <v>0.41949936479254885</v>
      </c>
      <c r="J31" s="14">
        <v>0</v>
      </c>
      <c r="K31" s="14">
        <v>2224.5689093627138</v>
      </c>
      <c r="L31" s="14">
        <v>4.4952529714463923E-4</v>
      </c>
      <c r="M31" s="14">
        <v>3.688355063071765E-4</v>
      </c>
      <c r="N31" s="14">
        <v>8.6526981070953902E-3</v>
      </c>
      <c r="O31" s="14">
        <v>0.71073262251681524</v>
      </c>
      <c r="P31" s="8">
        <v>8.6526981070953902E-3</v>
      </c>
      <c r="Q31" s="54">
        <v>4.3344231530766136E-4</v>
      </c>
    </row>
    <row r="32" spans="1:21">
      <c r="A32" s="2" t="s">
        <v>343</v>
      </c>
      <c r="B32" s="16" t="s">
        <v>344</v>
      </c>
      <c r="D32" s="14">
        <v>1</v>
      </c>
      <c r="E32" s="14">
        <v>0.71229207441193632</v>
      </c>
      <c r="F32" s="14">
        <v>0.56315369836453377</v>
      </c>
      <c r="G32" s="14">
        <v>2.1775865642406925E-5</v>
      </c>
      <c r="H32" s="14">
        <v>34.115122931890568</v>
      </c>
      <c r="I32" s="14">
        <v>82.376647109323656</v>
      </c>
      <c r="J32" s="14">
        <v>0</v>
      </c>
      <c r="K32" s="14">
        <v>1.7757141663175089</v>
      </c>
      <c r="L32" s="14">
        <v>0.56315369836453377</v>
      </c>
      <c r="M32" s="14">
        <v>0.4620676095081</v>
      </c>
      <c r="N32" s="14">
        <v>2.1056189759941621</v>
      </c>
      <c r="O32" s="14">
        <v>345.74263585824144</v>
      </c>
      <c r="P32" s="8">
        <v>2.1056189759941621</v>
      </c>
      <c r="Q32" s="54">
        <v>0.19142740468357725</v>
      </c>
    </row>
    <row r="33" spans="1:17">
      <c r="A33" s="2" t="s">
        <v>345</v>
      </c>
      <c r="B33" s="16" t="s">
        <v>346</v>
      </c>
      <c r="D33" s="14">
        <v>1</v>
      </c>
      <c r="E33" s="14">
        <v>0.78269167067315526</v>
      </c>
      <c r="F33" s="14">
        <v>0.71218525981752701</v>
      </c>
      <c r="G33" s="14">
        <v>9.2811430923420554E-7</v>
      </c>
      <c r="H33" s="14">
        <v>16.269454091843695</v>
      </c>
      <c r="I33" s="14">
        <v>42.211438409889702</v>
      </c>
      <c r="J33" s="14">
        <v>0</v>
      </c>
      <c r="K33" s="14">
        <v>1.4041290327410254</v>
      </c>
      <c r="L33" s="14">
        <v>0.71218525981752701</v>
      </c>
      <c r="M33" s="14">
        <v>0.58434800568028089</v>
      </c>
      <c r="N33" s="14">
        <v>1.4549246027176927</v>
      </c>
      <c r="O33" s="14">
        <v>219.92640294680643</v>
      </c>
      <c r="P33" s="8">
        <v>1.454924602717693</v>
      </c>
      <c r="Q33" s="54">
        <v>0.14562305961414945</v>
      </c>
    </row>
    <row r="34" spans="1:17">
      <c r="A34" s="2" t="s">
        <v>347</v>
      </c>
      <c r="B34" s="16" t="s">
        <v>348</v>
      </c>
      <c r="D34" s="14">
        <v>1</v>
      </c>
      <c r="E34" s="14">
        <v>0.68455614843283163</v>
      </c>
      <c r="F34" s="14">
        <v>0.17408845606615961</v>
      </c>
      <c r="G34" s="14">
        <v>8.0156447531434279E-7</v>
      </c>
      <c r="H34" s="14">
        <v>119.26416548648392</v>
      </c>
      <c r="I34" s="14">
        <v>240.86136567409301</v>
      </c>
      <c r="J34" s="14">
        <v>0</v>
      </c>
      <c r="K34" s="14">
        <v>5.7442062650033821</v>
      </c>
      <c r="L34" s="14">
        <v>0.17408845606615961</v>
      </c>
      <c r="M34" s="14">
        <v>0.14283957820228396</v>
      </c>
      <c r="N34" s="14">
        <v>4.9054848887394122</v>
      </c>
      <c r="O34" s="14">
        <v>864.59171164032148</v>
      </c>
      <c r="P34" s="8">
        <v>4.9054848887394122</v>
      </c>
      <c r="Q34" s="54">
        <v>0.20949185601546652</v>
      </c>
    </row>
    <row r="35" spans="1:17">
      <c r="A35" s="2" t="s">
        <v>349</v>
      </c>
      <c r="B35" s="16" t="s">
        <v>350</v>
      </c>
      <c r="D35" s="14">
        <v>1</v>
      </c>
      <c r="E35" s="14">
        <v>0.83489654054088114</v>
      </c>
      <c r="F35" s="14">
        <v>2.0728966312996078E-2</v>
      </c>
      <c r="G35" s="14">
        <v>1.4657035287902892E-4</v>
      </c>
      <c r="H35" s="14">
        <v>196.16324889146881</v>
      </c>
      <c r="I35" s="14">
        <v>326.49370823793623</v>
      </c>
      <c r="J35" s="14">
        <v>0</v>
      </c>
      <c r="K35" s="14">
        <v>48.241672300516377</v>
      </c>
      <c r="L35" s="14">
        <v>2.0728966312996078E-2</v>
      </c>
      <c r="M35" s="14">
        <v>1.7008116859813283E-2</v>
      </c>
      <c r="N35" s="14">
        <v>6.5661912688298241</v>
      </c>
      <c r="O35" s="14">
        <v>1262.6785809959752</v>
      </c>
      <c r="P35" s="8">
        <v>6.5661912688298241</v>
      </c>
      <c r="Q35" s="54">
        <v>9.801099915070198E-2</v>
      </c>
    </row>
    <row r="36" spans="1:17">
      <c r="A36" s="2" t="s">
        <v>351</v>
      </c>
      <c r="B36" s="16" t="s">
        <v>352</v>
      </c>
      <c r="D36" s="14">
        <v>1</v>
      </c>
      <c r="E36" s="14">
        <v>0.8676845915710053</v>
      </c>
      <c r="F36" s="14">
        <v>4.5972763220587798E-3</v>
      </c>
      <c r="G36" s="14">
        <v>3.9619509609209234E-6</v>
      </c>
      <c r="H36" s="14">
        <v>167.8342561395219</v>
      </c>
      <c r="I36" s="14">
        <v>717.36102755175432</v>
      </c>
      <c r="J36" s="14">
        <v>0</v>
      </c>
      <c r="K36" s="14">
        <v>217.52009884673933</v>
      </c>
      <c r="L36" s="14">
        <v>4.5972763220587798E-3</v>
      </c>
      <c r="M36" s="14">
        <v>3.7720652222492288E-3</v>
      </c>
      <c r="N36" s="14">
        <v>14.624131058439977</v>
      </c>
      <c r="O36" s="14">
        <v>3251.9680234652978</v>
      </c>
      <c r="P36" s="8">
        <v>14.624131058439978</v>
      </c>
      <c r="Q36" s="54">
        <v>7.8983755358030608E-2</v>
      </c>
    </row>
    <row r="37" spans="1:17">
      <c r="A37" s="2" t="s">
        <v>353</v>
      </c>
      <c r="B37" s="16" t="s">
        <v>354</v>
      </c>
      <c r="D37" s="14">
        <v>1</v>
      </c>
      <c r="E37" s="14">
        <v>0.87983349321927817</v>
      </c>
      <c r="F37" s="14">
        <v>7.0610431259587132E-4</v>
      </c>
      <c r="G37" s="14">
        <v>2.6995871465442118E-5</v>
      </c>
      <c r="H37" s="14">
        <v>70.985372227546534</v>
      </c>
      <c r="I37" s="14">
        <v>1656.2505472061446</v>
      </c>
      <c r="J37" s="14">
        <v>0</v>
      </c>
      <c r="K37" s="14">
        <v>1416.2213459986833</v>
      </c>
      <c r="L37" s="14">
        <v>7.0610431259587132E-4</v>
      </c>
      <c r="M37" s="14">
        <v>5.7935858848491236E-4</v>
      </c>
      <c r="N37" s="14">
        <v>34.409865613576898</v>
      </c>
      <c r="O37" s="14">
        <v>8134.1481323934431</v>
      </c>
      <c r="P37" s="8">
        <v>34.409865613576898</v>
      </c>
      <c r="Q37" s="54">
        <v>5.5734747091935634E-2</v>
      </c>
    </row>
    <row r="38" spans="1:17">
      <c r="A38" s="2" t="s">
        <v>355</v>
      </c>
      <c r="B38" s="16" t="s">
        <v>356</v>
      </c>
      <c r="D38" s="14">
        <v>1</v>
      </c>
      <c r="E38" s="14">
        <v>0.86667266099674356</v>
      </c>
      <c r="F38" s="14">
        <v>2.5293804738316496E-3</v>
      </c>
      <c r="G38" s="14">
        <v>1.4823223242743875E-6</v>
      </c>
      <c r="H38" s="14">
        <v>132.83550207644893</v>
      </c>
      <c r="I38" s="14">
        <v>1044.1702909315086</v>
      </c>
      <c r="J38" s="14">
        <v>0</v>
      </c>
      <c r="K38" s="14">
        <v>395.3537280554487</v>
      </c>
      <c r="L38" s="14">
        <v>2.5293804738316496E-3</v>
      </c>
      <c r="M38" s="14">
        <v>2.0753566787788686E-3</v>
      </c>
      <c r="N38" s="14">
        <v>21.429554075158922</v>
      </c>
      <c r="O38" s="14">
        <v>5537.3967730210652</v>
      </c>
      <c r="P38" s="8">
        <v>21.429554075158926</v>
      </c>
      <c r="Q38" s="54">
        <v>7.5122724867250051E-2</v>
      </c>
    </row>
    <row r="39" spans="1:17">
      <c r="A39" s="2" t="s">
        <v>357</v>
      </c>
      <c r="B39" s="16" t="s">
        <v>358</v>
      </c>
      <c r="D39" s="14">
        <v>1</v>
      </c>
      <c r="E39" s="14">
        <v>0.84351463863657583</v>
      </c>
      <c r="F39" s="14">
        <v>3.8030026544200305E-3</v>
      </c>
      <c r="G39" s="14">
        <v>2.9940228894847473E-4</v>
      </c>
      <c r="H39" s="14">
        <v>154.03755925055353</v>
      </c>
      <c r="I39" s="14">
        <v>783.5808240540955</v>
      </c>
      <c r="J39" s="14">
        <v>0</v>
      </c>
      <c r="K39" s="14">
        <v>262.95011885877921</v>
      </c>
      <c r="L39" s="14">
        <v>3.803002654420031E-3</v>
      </c>
      <c r="M39" s="14">
        <v>3.1203636779516355E-3</v>
      </c>
      <c r="N39" s="14">
        <v>16.004365427284331</v>
      </c>
      <c r="O39" s="14">
        <v>3783.2719433557427</v>
      </c>
      <c r="P39" s="8">
        <v>16.004365427284331</v>
      </c>
      <c r="Q39" s="54">
        <v>7.6398318376679555E-2</v>
      </c>
    </row>
    <row r="40" spans="1:17">
      <c r="A40" s="2" t="s">
        <v>359</v>
      </c>
      <c r="B40" s="16" t="s">
        <v>360</v>
      </c>
      <c r="D40" s="14">
        <v>1</v>
      </c>
      <c r="E40" s="14">
        <v>0.86667266099674356</v>
      </c>
      <c r="F40" s="14">
        <v>2.5293804738316496E-3</v>
      </c>
      <c r="G40" s="14">
        <v>1.4823223242743875E-6</v>
      </c>
      <c r="H40" s="14">
        <v>132.83550207644893</v>
      </c>
      <c r="I40" s="14">
        <v>1044.1702909315086</v>
      </c>
      <c r="J40" s="14">
        <v>0</v>
      </c>
      <c r="K40" s="14">
        <v>395.3537280554487</v>
      </c>
      <c r="L40" s="14">
        <v>2.5293804738316496E-3</v>
      </c>
      <c r="M40" s="14">
        <v>2.0753566787788686E-3</v>
      </c>
      <c r="N40" s="14">
        <v>21.429554075158922</v>
      </c>
      <c r="O40" s="14">
        <v>5537.3967730210652</v>
      </c>
      <c r="P40" s="8">
        <v>21.429554075158926</v>
      </c>
      <c r="Q40" s="54">
        <v>7.5122724867250051E-2</v>
      </c>
    </row>
    <row r="41" spans="1:17">
      <c r="A41" s="2" t="s">
        <v>313</v>
      </c>
      <c r="B41" s="16" t="s">
        <v>314</v>
      </c>
      <c r="D41" s="14">
        <v>1</v>
      </c>
      <c r="E41" s="14">
        <v>0.99889990940317197</v>
      </c>
      <c r="F41" s="14">
        <v>0.95711827610947808</v>
      </c>
      <c r="G41" s="14">
        <v>6.2301211002160791E-10</v>
      </c>
      <c r="H41" s="14">
        <v>12.932592969358993</v>
      </c>
      <c r="I41" s="14">
        <v>2.8494941806353986E-2</v>
      </c>
      <c r="J41" s="14">
        <v>0</v>
      </c>
      <c r="K41" s="14">
        <v>1.0448029516945687</v>
      </c>
      <c r="L41" s="14">
        <v>0.95711827610947808</v>
      </c>
      <c r="M41" s="14">
        <v>0.78531554554782679</v>
      </c>
      <c r="N41" s="14">
        <v>0.90007063687284117</v>
      </c>
      <c r="O41" s="14">
        <v>165.71200495465879</v>
      </c>
      <c r="P41" s="8">
        <v>0.90007063687284117</v>
      </c>
      <c r="Q41" s="54">
        <v>1.2160957602647114E-4</v>
      </c>
    </row>
    <row r="42" spans="1:17">
      <c r="A42" s="2" t="s">
        <v>315</v>
      </c>
      <c r="B42" s="16" t="s">
        <v>316</v>
      </c>
      <c r="D42" s="14">
        <v>1</v>
      </c>
      <c r="E42" s="14">
        <v>0.88041767273959115</v>
      </c>
      <c r="F42" s="14">
        <v>6.4210768713953423E-4</v>
      </c>
      <c r="G42" s="14">
        <v>3.8934657342083608E-5</v>
      </c>
      <c r="H42" s="14">
        <v>67.407445492790146</v>
      </c>
      <c r="I42" s="14">
        <v>1691.083452692701</v>
      </c>
      <c r="J42" s="14">
        <v>0</v>
      </c>
      <c r="K42" s="14">
        <v>1557.3711700210395</v>
      </c>
      <c r="L42" s="14">
        <v>6.4210768713953423E-4</v>
      </c>
      <c r="M42" s="14">
        <v>5.2684935729798788E-4</v>
      </c>
      <c r="N42" s="14">
        <v>35.162433280071113</v>
      </c>
      <c r="O42" s="14">
        <v>12831.123528230752</v>
      </c>
      <c r="P42" s="8">
        <v>35.16243328007112</v>
      </c>
      <c r="Q42" s="54">
        <v>5.4095985868987347E-2</v>
      </c>
    </row>
    <row r="43" spans="1:17">
      <c r="A43" s="2" t="s">
        <v>317</v>
      </c>
      <c r="B43" s="16" t="s">
        <v>318</v>
      </c>
      <c r="D43" s="14">
        <v>1</v>
      </c>
      <c r="E43" s="14">
        <v>0.66319789462883127</v>
      </c>
      <c r="F43" s="14">
        <v>0.35409453697007193</v>
      </c>
      <c r="G43" s="14">
        <v>4.8904375129778562E-14</v>
      </c>
      <c r="H43" s="14">
        <v>71.239231601423469</v>
      </c>
      <c r="I43" s="14">
        <v>157.46222982956627</v>
      </c>
      <c r="J43" s="14">
        <v>0</v>
      </c>
      <c r="K43" s="14">
        <v>2.8241045698045322</v>
      </c>
      <c r="L43" s="14">
        <v>0.35409453697007193</v>
      </c>
      <c r="M43" s="14">
        <v>0.29053456758394403</v>
      </c>
      <c r="N43" s="14">
        <v>3.398698594496977</v>
      </c>
      <c r="O43" s="14">
        <v>1078.4750380057808</v>
      </c>
      <c r="P43" s="8">
        <v>3.398698594496977</v>
      </c>
      <c r="Q43" s="54">
        <v>0.22499682889715417</v>
      </c>
    </row>
    <row r="44" spans="1:17">
      <c r="A44" s="2" t="s">
        <v>307</v>
      </c>
      <c r="B44" s="16" t="s">
        <v>308</v>
      </c>
      <c r="D44" s="14">
        <v>1</v>
      </c>
      <c r="E44" s="14">
        <v>0.87352807677819966</v>
      </c>
      <c r="F44" s="14">
        <v>6.8989803962496103E-3</v>
      </c>
      <c r="G44" s="14">
        <v>1.3251755017439291E-6</v>
      </c>
      <c r="H44" s="14">
        <v>190.91713604777635</v>
      </c>
      <c r="I44" s="14">
        <v>512.9819470963962</v>
      </c>
      <c r="J44" s="14">
        <v>0</v>
      </c>
      <c r="K44" s="14">
        <v>144.94895514467834</v>
      </c>
      <c r="L44" s="14">
        <v>6.8989803962496103E-3</v>
      </c>
      <c r="M44" s="14">
        <v>5.6606134151228052E-3</v>
      </c>
      <c r="N44" s="14">
        <v>10.406411836147855</v>
      </c>
      <c r="O44" s="14">
        <v>3648.3839256350761</v>
      </c>
      <c r="P44" s="8">
        <v>10.406411836147855</v>
      </c>
      <c r="Q44" s="54">
        <v>7.8109180557817653E-2</v>
      </c>
    </row>
    <row r="45" spans="1:17">
      <c r="A45" s="2" t="s">
        <v>319</v>
      </c>
      <c r="B45" s="16" t="s">
        <v>320</v>
      </c>
      <c r="D45" s="14">
        <v>1</v>
      </c>
      <c r="E45" s="14">
        <v>0.89674213227765043</v>
      </c>
      <c r="F45" s="14">
        <v>2.8789969685697944E-4</v>
      </c>
      <c r="G45" s="14">
        <v>1.2718318459618116E-7</v>
      </c>
      <c r="H45" s="14">
        <v>43.102375649822818</v>
      </c>
      <c r="I45" s="14">
        <v>1960.010411691145</v>
      </c>
      <c r="J45" s="14">
        <v>0</v>
      </c>
      <c r="K45" s="14">
        <v>3473.4319310408032</v>
      </c>
      <c r="L45" s="14">
        <v>2.8789969685697944E-4</v>
      </c>
      <c r="M45" s="14">
        <v>2.3622170127115164E-4</v>
      </c>
      <c r="N45" s="14">
        <v>41.030463158421803</v>
      </c>
      <c r="O45" s="14">
        <v>14544.888885028946</v>
      </c>
      <c r="P45" s="8">
        <v>41.030463158421803</v>
      </c>
      <c r="Q45" s="54">
        <v>4.1386469324284428E-2</v>
      </c>
    </row>
    <row r="46" spans="1:17">
      <c r="A46" s="2" t="s">
        <v>321</v>
      </c>
      <c r="B46" s="16" t="s">
        <v>322</v>
      </c>
      <c r="D46" s="14">
        <v>1</v>
      </c>
      <c r="E46" s="14">
        <v>0.88538364804826541</v>
      </c>
      <c r="F46" s="14">
        <v>5.749044123624596E-4</v>
      </c>
      <c r="G46" s="14">
        <v>1.873631285444472E-7</v>
      </c>
      <c r="H46" s="14">
        <v>63.570502130363089</v>
      </c>
      <c r="I46" s="14">
        <v>1739.8540267047226</v>
      </c>
      <c r="J46" s="14">
        <v>0</v>
      </c>
      <c r="K46" s="14">
        <v>1739.4195947995797</v>
      </c>
      <c r="L46" s="14">
        <v>5.749044123624596E-4</v>
      </c>
      <c r="M46" s="14">
        <v>4.7170907034339816E-4</v>
      </c>
      <c r="N46" s="14">
        <v>36.212232736083045</v>
      </c>
      <c r="O46" s="14">
        <v>12836.874382614078</v>
      </c>
      <c r="P46" s="8">
        <v>36.212232736083045</v>
      </c>
      <c r="Q46" s="54">
        <v>5.237364650437492E-2</v>
      </c>
    </row>
    <row r="47" spans="1:17">
      <c r="A47" s="2" t="s">
        <v>323</v>
      </c>
      <c r="B47" s="16" t="s">
        <v>324</v>
      </c>
      <c r="D47" s="14">
        <v>1</v>
      </c>
      <c r="E47" s="14">
        <v>0.87292825251036532</v>
      </c>
      <c r="F47" s="14">
        <v>1.2803017328895986E-3</v>
      </c>
      <c r="G47" s="14">
        <v>1.7691343745838248E-6</v>
      </c>
      <c r="H47" s="14">
        <v>96.723573485897958</v>
      </c>
      <c r="I47" s="14">
        <v>1398.265055139389</v>
      </c>
      <c r="J47" s="14">
        <v>0</v>
      </c>
      <c r="K47" s="14">
        <v>781.06588026170448</v>
      </c>
      <c r="L47" s="14">
        <v>1.2803017328895986E-3</v>
      </c>
      <c r="M47" s="14">
        <v>1.0504875718359158E-3</v>
      </c>
      <c r="N47" s="14">
        <v>28.893293986656605</v>
      </c>
      <c r="O47" s="14">
        <v>9247.0098074895814</v>
      </c>
      <c r="P47" s="8">
        <v>28.893293986656605</v>
      </c>
      <c r="Q47" s="54">
        <v>6.5733915785552488E-2</v>
      </c>
    </row>
    <row r="48" spans="1:17">
      <c r="A48" s="2" t="s">
        <v>325</v>
      </c>
      <c r="B48" s="16" t="s">
        <v>326</v>
      </c>
      <c r="D48" s="14">
        <v>1</v>
      </c>
      <c r="E48" s="14">
        <v>0.77114281995661549</v>
      </c>
      <c r="F48" s="14">
        <v>5.9362612827724391E-2</v>
      </c>
      <c r="G48" s="14">
        <v>1.1222807034997351E-6</v>
      </c>
      <c r="H48" s="14">
        <v>169.15039178454009</v>
      </c>
      <c r="I48" s="14">
        <v>307.56023127371822</v>
      </c>
      <c r="J48" s="14">
        <v>0</v>
      </c>
      <c r="K48" s="14">
        <v>16.845619698413365</v>
      </c>
      <c r="L48" s="14">
        <v>5.9362612827724391E-2</v>
      </c>
      <c r="M48" s="14">
        <v>4.8707023825147862E-2</v>
      </c>
      <c r="N48" s="14">
        <v>6.1734345639076791</v>
      </c>
      <c r="O48" s="14">
        <v>1878.8848095253022</v>
      </c>
      <c r="P48" s="8">
        <v>6.1734345639076791</v>
      </c>
      <c r="Q48" s="54">
        <v>0.15015167414263522</v>
      </c>
    </row>
    <row r="49" spans="1:17">
      <c r="A49" s="2" t="s">
        <v>275</v>
      </c>
      <c r="B49" s="16" t="s">
        <v>276</v>
      </c>
      <c r="D49" s="14">
        <v>1</v>
      </c>
      <c r="E49" s="14">
        <v>0.8723122919710331</v>
      </c>
      <c r="F49" s="14">
        <v>6.4130485644177896E-3</v>
      </c>
      <c r="G49" s="14">
        <v>1.7018176221515938E-8</v>
      </c>
      <c r="H49" s="14">
        <v>186.93237713340778</v>
      </c>
      <c r="I49" s="14">
        <v>547.95096928672865</v>
      </c>
      <c r="J49" s="14">
        <v>0</v>
      </c>
      <c r="K49" s="14">
        <v>155.93207972077556</v>
      </c>
      <c r="L49" s="14">
        <v>6.4130485644177896E-3</v>
      </c>
      <c r="M49" s="14">
        <v>5.2619063471047965E-3</v>
      </c>
      <c r="N49" s="14">
        <v>11.125818722014721</v>
      </c>
      <c r="O49" s="14">
        <v>4122.0045783192336</v>
      </c>
      <c r="P49" s="8">
        <v>11.125818722014721</v>
      </c>
      <c r="Q49" s="54">
        <v>7.8513023019965558E-2</v>
      </c>
    </row>
    <row r="50" spans="1:17">
      <c r="A50" s="2" t="s">
        <v>327</v>
      </c>
      <c r="B50" s="16" t="s">
        <v>328</v>
      </c>
      <c r="D50" s="14">
        <v>1</v>
      </c>
      <c r="E50" s="14">
        <v>0.87029954355158712</v>
      </c>
      <c r="F50" s="14">
        <v>5.6601289247031634E-3</v>
      </c>
      <c r="G50" s="14">
        <v>8.856758671707239E-7</v>
      </c>
      <c r="H50" s="14">
        <v>179.90627998915281</v>
      </c>
      <c r="I50" s="14">
        <v>609.68216989381267</v>
      </c>
      <c r="J50" s="14">
        <v>0</v>
      </c>
      <c r="K50" s="14">
        <v>176.67442090154216</v>
      </c>
      <c r="L50" s="14">
        <v>5.6601289247031634E-3</v>
      </c>
      <c r="M50" s="14">
        <v>4.6441357827189458E-3</v>
      </c>
      <c r="N50" s="14">
        <v>12.398122821041984</v>
      </c>
      <c r="O50" s="14">
        <v>4722.5689637631021</v>
      </c>
      <c r="P50" s="8">
        <v>12.398122821041984</v>
      </c>
      <c r="Q50" s="54">
        <v>7.8941158265652289E-2</v>
      </c>
    </row>
    <row r="51" spans="1:17">
      <c r="A51" s="2" t="s">
        <v>329</v>
      </c>
      <c r="B51" s="16" t="s">
        <v>330</v>
      </c>
      <c r="D51" s="14">
        <v>1</v>
      </c>
      <c r="E51" s="14">
        <v>0.80566538899740725</v>
      </c>
      <c r="F51" s="14">
        <v>3.8096137546498952E-2</v>
      </c>
      <c r="G51" s="14">
        <v>5.8712345961896629E-7</v>
      </c>
      <c r="H51" s="14">
        <v>183.52741437217773</v>
      </c>
      <c r="I51" s="14">
        <v>321.03923870118291</v>
      </c>
      <c r="J51" s="14">
        <v>0</v>
      </c>
      <c r="K51" s="14">
        <v>26.249380236498553</v>
      </c>
      <c r="L51" s="14">
        <v>3.8096137546498952E-2</v>
      </c>
      <c r="M51" s="14">
        <v>3.1257880856902391E-2</v>
      </c>
      <c r="N51" s="14">
        <v>6.4442866267823637</v>
      </c>
      <c r="O51" s="14">
        <v>1768.3122503890804</v>
      </c>
      <c r="P51" s="8">
        <v>6.4442866267823637</v>
      </c>
      <c r="Q51" s="54">
        <v>0.12669460354709255</v>
      </c>
    </row>
    <row r="52" spans="1:17">
      <c r="A52" s="2" t="s">
        <v>277</v>
      </c>
      <c r="B52" s="16" t="s">
        <v>278</v>
      </c>
      <c r="D52" s="14">
        <v>1</v>
      </c>
      <c r="E52" s="14">
        <v>0.77444750124886708</v>
      </c>
      <c r="F52" s="14">
        <v>5.695354586904406E-2</v>
      </c>
      <c r="G52" s="14">
        <v>1.7467439820068189E-6</v>
      </c>
      <c r="H52" s="14">
        <v>170.60854059521623</v>
      </c>
      <c r="I52" s="14">
        <v>309.07077329692129</v>
      </c>
      <c r="J52" s="14">
        <v>0</v>
      </c>
      <c r="K52" s="14">
        <v>17.558169289395018</v>
      </c>
      <c r="L52" s="14">
        <v>5.6953545869044067E-2</v>
      </c>
      <c r="M52" s="14">
        <v>4.6730384385550654E-2</v>
      </c>
      <c r="N52" s="14">
        <v>6.2033167576287944</v>
      </c>
      <c r="O52" s="14">
        <v>2524.3156881818854</v>
      </c>
      <c r="P52" s="8">
        <v>6.2033167576287944</v>
      </c>
      <c r="Q52" s="54">
        <v>0.14786246389485777</v>
      </c>
    </row>
    <row r="53" spans="1:17">
      <c r="A53" s="2" t="s">
        <v>331</v>
      </c>
      <c r="B53" s="16" t="s">
        <v>332</v>
      </c>
      <c r="D53" s="14">
        <v>1</v>
      </c>
      <c r="E53" s="14">
        <v>0.86664177240436169</v>
      </c>
      <c r="F53" s="14">
        <v>3.7486667646845135E-3</v>
      </c>
      <c r="G53" s="14">
        <v>5.8909498217653173E-7</v>
      </c>
      <c r="H53" s="14">
        <v>155.83206861469824</v>
      </c>
      <c r="I53" s="14">
        <v>827.96886639010097</v>
      </c>
      <c r="J53" s="14">
        <v>0</v>
      </c>
      <c r="K53" s="14">
        <v>266.76150823028934</v>
      </c>
      <c r="L53" s="14">
        <v>3.748666764684514E-3</v>
      </c>
      <c r="M53" s="14">
        <v>3.0757810804236435E-3</v>
      </c>
      <c r="N53" s="14">
        <v>16.919034934077509</v>
      </c>
      <c r="O53" s="14">
        <v>6444.6295967394635</v>
      </c>
      <c r="P53" s="8">
        <v>16.919034934077509</v>
      </c>
      <c r="Q53" s="54">
        <v>7.8309419857615276E-2</v>
      </c>
    </row>
    <row r="54" spans="1:17">
      <c r="A54" s="2" t="s">
        <v>333</v>
      </c>
      <c r="B54" s="16" t="s">
        <v>334</v>
      </c>
      <c r="D54" s="14">
        <v>1</v>
      </c>
      <c r="E54" s="14">
        <v>0.87129995744392608</v>
      </c>
      <c r="F54" s="14">
        <v>6.0278624892843831E-3</v>
      </c>
      <c r="G54" s="14">
        <v>9.6452130281307158E-10</v>
      </c>
      <c r="H54" s="14">
        <v>183.4777207205897</v>
      </c>
      <c r="I54" s="14">
        <v>578.28310892222953</v>
      </c>
      <c r="J54" s="14">
        <v>0</v>
      </c>
      <c r="K54" s="14">
        <v>165.89628608444218</v>
      </c>
      <c r="L54" s="14">
        <v>6.027862489284384E-3</v>
      </c>
      <c r="M54" s="14">
        <v>4.9458611724578364E-3</v>
      </c>
      <c r="N54" s="14">
        <v>11.75061084959999</v>
      </c>
      <c r="O54" s="14">
        <v>4517.8748594542049</v>
      </c>
      <c r="P54" s="8">
        <v>11.75061084959999</v>
      </c>
      <c r="Q54" s="54">
        <v>7.8766311236084144E-2</v>
      </c>
    </row>
    <row r="55" spans="1:17">
      <c r="A55" s="2" t="s">
        <v>335</v>
      </c>
      <c r="B55" s="16" t="s">
        <v>336</v>
      </c>
      <c r="D55" s="14">
        <v>1</v>
      </c>
      <c r="E55" s="14">
        <v>0.87225893371187979</v>
      </c>
      <c r="F55" s="14">
        <v>1.3246885154624382E-3</v>
      </c>
      <c r="G55" s="14">
        <v>4.5966587009352261E-6</v>
      </c>
      <c r="H55" s="14">
        <v>98.358924463677127</v>
      </c>
      <c r="I55" s="14">
        <v>1381.2457092871698</v>
      </c>
      <c r="J55" s="14">
        <v>0</v>
      </c>
      <c r="K55" s="14">
        <v>754.89444373336926</v>
      </c>
      <c r="L55" s="14">
        <v>1.3246885154624382E-3</v>
      </c>
      <c r="M55" s="14">
        <v>1.0869069269369305E-3</v>
      </c>
      <c r="N55" s="14">
        <v>28.532283794017342</v>
      </c>
      <c r="O55" s="14">
        <v>10651.672185982554</v>
      </c>
      <c r="P55" s="8">
        <v>28.532283794017346</v>
      </c>
      <c r="Q55" s="54">
        <v>6.6262976753096517E-2</v>
      </c>
    </row>
    <row r="56" spans="1:17">
      <c r="A56" s="2" t="s">
        <v>337</v>
      </c>
      <c r="B56" s="16" t="s">
        <v>338</v>
      </c>
      <c r="D56" s="14">
        <v>1</v>
      </c>
      <c r="E56" s="14">
        <v>0.87315403051552631</v>
      </c>
      <c r="F56" s="14">
        <v>6.7343169814319016E-3</v>
      </c>
      <c r="G56" s="14">
        <v>3.4033141725162663E-7</v>
      </c>
      <c r="H56" s="14">
        <v>189.61537731667261</v>
      </c>
      <c r="I56" s="14">
        <v>524.48216590640504</v>
      </c>
      <c r="J56" s="14">
        <v>0</v>
      </c>
      <c r="K56" s="14">
        <v>148.49315866141075</v>
      </c>
      <c r="L56" s="14">
        <v>6.7343169814319016E-3</v>
      </c>
      <c r="M56" s="14">
        <v>5.5255070832648757E-3</v>
      </c>
      <c r="N56" s="14">
        <v>10.642889547528247</v>
      </c>
      <c r="O56" s="14">
        <v>4143.4897586436973</v>
      </c>
      <c r="P56" s="8">
        <v>10.642889547528249</v>
      </c>
      <c r="Q56" s="54">
        <v>7.8258356914059454E-2</v>
      </c>
    </row>
    <row r="57" spans="1:17">
      <c r="A57" s="2" t="s">
        <v>279</v>
      </c>
      <c r="B57" s="16" t="s">
        <v>280</v>
      </c>
      <c r="D57" s="14">
        <v>1</v>
      </c>
      <c r="E57" s="14">
        <v>0.75382002126203951</v>
      </c>
      <c r="F57" s="14">
        <v>7.1118570946144335E-2</v>
      </c>
      <c r="G57" s="14">
        <v>3.3731178049800733E-5</v>
      </c>
      <c r="H57" s="14">
        <v>161.80912945396577</v>
      </c>
      <c r="I57" s="14">
        <v>299.13015232115413</v>
      </c>
      <c r="J57" s="14">
        <v>0</v>
      </c>
      <c r="K57" s="14">
        <v>14.061024943221453</v>
      </c>
      <c r="L57" s="14">
        <v>7.1118570946144335E-2</v>
      </c>
      <c r="M57" s="14">
        <v>5.8352787461311423E-2</v>
      </c>
      <c r="N57" s="14">
        <v>6.0075997844284661</v>
      </c>
      <c r="O57" s="14">
        <v>1747.1902453053308</v>
      </c>
      <c r="P57" s="8">
        <v>6.007599784428467</v>
      </c>
      <c r="Q57" s="54">
        <v>0.15997797387030999</v>
      </c>
    </row>
    <row r="58" spans="1:17">
      <c r="A58" s="2" t="s">
        <v>339</v>
      </c>
      <c r="B58" s="16" t="s">
        <v>340</v>
      </c>
      <c r="D58" s="14">
        <v>1</v>
      </c>
      <c r="E58" s="14">
        <v>0.87110680130762363</v>
      </c>
      <c r="F58" s="14">
        <v>5.9529908288593579E-3</v>
      </c>
      <c r="G58" s="14">
        <v>3.3802101473730095E-9</v>
      </c>
      <c r="H58" s="14">
        <v>182.77433543097303</v>
      </c>
      <c r="I58" s="14">
        <v>584.4836732575684</v>
      </c>
      <c r="J58" s="14">
        <v>0</v>
      </c>
      <c r="K58" s="14">
        <v>167.9827886097396</v>
      </c>
      <c r="L58" s="14">
        <v>5.9529908288593579E-3</v>
      </c>
      <c r="M58" s="14">
        <v>4.8844289750791031E-3</v>
      </c>
      <c r="N58" s="14">
        <v>11.878417997956463</v>
      </c>
      <c r="O58" s="14">
        <v>4105.7751809936508</v>
      </c>
      <c r="P58" s="8">
        <v>11.878417997956463</v>
      </c>
      <c r="Q58" s="54">
        <v>7.8808377113697245E-2</v>
      </c>
    </row>
    <row r="59" spans="1:17">
      <c r="A59" s="2" t="s">
        <v>281</v>
      </c>
      <c r="B59" s="16" t="s">
        <v>282</v>
      </c>
      <c r="D59" s="14">
        <v>1</v>
      </c>
      <c r="E59" s="14">
        <v>0.7745508361845298</v>
      </c>
      <c r="F59" s="14">
        <v>5.6961145210495431E-2</v>
      </c>
      <c r="G59" s="14">
        <v>2.6441567662572105E-7</v>
      </c>
      <c r="H59" s="14">
        <v>170.631304982134</v>
      </c>
      <c r="I59" s="14">
        <v>309.11201277205987</v>
      </c>
      <c r="J59" s="14">
        <v>0</v>
      </c>
      <c r="K59" s="14">
        <v>17.555826806230435</v>
      </c>
      <c r="L59" s="14">
        <v>5.6961145210495431E-2</v>
      </c>
      <c r="M59" s="14">
        <v>4.6736619645211502E-2</v>
      </c>
      <c r="N59" s="14">
        <v>6.2041444694323857</v>
      </c>
      <c r="O59" s="14">
        <v>1807.0191181668765</v>
      </c>
      <c r="P59" s="8">
        <v>6.2041444694323857</v>
      </c>
      <c r="Q59" s="54">
        <v>0.1478821932608495</v>
      </c>
    </row>
    <row r="60" spans="1:17">
      <c r="A60" s="2" t="s">
        <v>341</v>
      </c>
      <c r="B60" s="16" t="s">
        <v>342</v>
      </c>
      <c r="D60" s="14">
        <v>1</v>
      </c>
      <c r="E60" s="14">
        <v>0.86697439085321504</v>
      </c>
      <c r="F60" s="14">
        <v>4.2409595209209495E-3</v>
      </c>
      <c r="G60" s="14">
        <v>4.9343802631024916E-6</v>
      </c>
      <c r="H60" s="14">
        <v>163.0812859046232</v>
      </c>
      <c r="I60" s="14">
        <v>760.43359990016893</v>
      </c>
      <c r="J60" s="14">
        <v>0</v>
      </c>
      <c r="K60" s="14">
        <v>235.79569554175893</v>
      </c>
      <c r="L60" s="14">
        <v>4.2409595209209495E-3</v>
      </c>
      <c r="M60" s="14">
        <v>3.4797072869156391E-3</v>
      </c>
      <c r="N60" s="14">
        <v>15.516852831046752</v>
      </c>
      <c r="O60" s="14">
        <v>5202.490417193354</v>
      </c>
      <c r="P60" s="8">
        <v>15.516852831046752</v>
      </c>
      <c r="Q60" s="54">
        <v>7.8788221647598813E-2</v>
      </c>
    </row>
    <row r="61" spans="1:17">
      <c r="A61" s="2" t="s">
        <v>483</v>
      </c>
      <c r="B61" s="16" t="s">
        <v>484</v>
      </c>
      <c r="D61" s="14">
        <v>1</v>
      </c>
      <c r="E61" s="14">
        <v>0.78254909512760296</v>
      </c>
      <c r="F61" s="14">
        <v>0.27284986874444445</v>
      </c>
      <c r="G61" s="14">
        <v>8.3186293450683901E-16</v>
      </c>
      <c r="H61" s="14">
        <v>124.43601075934644</v>
      </c>
      <c r="I61" s="14">
        <v>191.96643172575631</v>
      </c>
      <c r="J61" s="14">
        <v>0</v>
      </c>
      <c r="K61" s="14">
        <v>3.665019171904444</v>
      </c>
      <c r="L61" s="14">
        <v>0.27284986874444445</v>
      </c>
      <c r="M61" s="14">
        <v>0.22387331730481669</v>
      </c>
      <c r="N61" s="14">
        <v>24.894260462616057</v>
      </c>
      <c r="O61" s="14">
        <v>11599.480662555952</v>
      </c>
      <c r="P61" s="8">
        <v>24.894260462616057</v>
      </c>
      <c r="Q61" s="54">
        <v>0.12960605520868176</v>
      </c>
    </row>
    <row r="62" spans="1:17">
      <c r="A62" s="2" t="s">
        <v>485</v>
      </c>
      <c r="B62" s="16" t="s">
        <v>486</v>
      </c>
      <c r="D62" s="14">
        <v>1</v>
      </c>
      <c r="E62" s="14">
        <v>0.68026289081043767</v>
      </c>
      <c r="F62" s="14">
        <v>0.18605350813133822</v>
      </c>
      <c r="G62" s="14">
        <v>2.272826848346919E-9</v>
      </c>
      <c r="H62" s="14">
        <v>115.32882391846651</v>
      </c>
      <c r="I62" s="14">
        <v>234.63620947491066</v>
      </c>
      <c r="J62" s="14">
        <v>0</v>
      </c>
      <c r="K62" s="14">
        <v>5.3747978742442397</v>
      </c>
      <c r="L62" s="14">
        <v>0.18605350813133822</v>
      </c>
      <c r="M62" s="14">
        <v>0.15265690342176302</v>
      </c>
      <c r="N62" s="14">
        <v>4.7905288919589166</v>
      </c>
      <c r="O62" s="14">
        <v>1553.999667262553</v>
      </c>
      <c r="P62" s="8">
        <v>4.7905288919589166</v>
      </c>
      <c r="Q62" s="54">
        <v>0.21251766427260582</v>
      </c>
    </row>
    <row r="63" spans="1:17">
      <c r="A63" s="2" t="s">
        <v>487</v>
      </c>
      <c r="B63" s="16" t="s">
        <v>488</v>
      </c>
      <c r="D63" s="14">
        <v>1</v>
      </c>
      <c r="E63" s="14">
        <v>0.95510207040323014</v>
      </c>
      <c r="F63" s="14">
        <v>0.92271161930276713</v>
      </c>
      <c r="G63" s="14">
        <v>7.9202664478351245E-15</v>
      </c>
      <c r="H63" s="14">
        <v>9.0361056497778858</v>
      </c>
      <c r="I63" s="14">
        <v>11.039252523616639</v>
      </c>
      <c r="J63" s="14">
        <v>0</v>
      </c>
      <c r="K63" s="14">
        <v>1.0837622276347127</v>
      </c>
      <c r="L63" s="14">
        <v>0.92271161930276713</v>
      </c>
      <c r="M63" s="14">
        <v>0.75708488363792048</v>
      </c>
      <c r="N63" s="14">
        <v>4.9314027306949129</v>
      </c>
      <c r="O63" s="14">
        <v>2177.5101897656459</v>
      </c>
      <c r="P63" s="8">
        <v>4.9314027306949129</v>
      </c>
      <c r="Q63" s="54">
        <v>2.690417430356877E-2</v>
      </c>
    </row>
    <row r="64" spans="1:17">
      <c r="A64" s="2" t="s">
        <v>489</v>
      </c>
      <c r="B64" s="16" t="s">
        <v>490</v>
      </c>
      <c r="D64" s="14">
        <v>1</v>
      </c>
      <c r="E64" s="14">
        <v>0.99473624911942948</v>
      </c>
      <c r="F64" s="14">
        <v>0.98627892689066721</v>
      </c>
      <c r="G64" s="14">
        <v>1.4640434042640536E-16</v>
      </c>
      <c r="H64" s="14">
        <v>3.4536613782152115</v>
      </c>
      <c r="I64" s="14">
        <v>0.39702580063257448</v>
      </c>
      <c r="J64" s="14">
        <v>0</v>
      </c>
      <c r="K64" s="14">
        <v>1.0139119601313897</v>
      </c>
      <c r="L64" s="14">
        <v>0.98627892689066721</v>
      </c>
      <c r="M64" s="14">
        <v>0.80924185951379246</v>
      </c>
      <c r="N64" s="14">
        <v>0.90557442802300925</v>
      </c>
      <c r="O64" s="14">
        <v>363.52474264127665</v>
      </c>
      <c r="P64" s="8">
        <v>0.90557442802300936</v>
      </c>
      <c r="Q64" s="54">
        <v>2.9283213252046156E-3</v>
      </c>
    </row>
    <row r="65" spans="1:17">
      <c r="A65" s="2" t="s">
        <v>491</v>
      </c>
      <c r="B65" s="16" t="s">
        <v>492</v>
      </c>
      <c r="D65" s="14">
        <v>1</v>
      </c>
      <c r="E65" s="14">
        <v>0.99676626909398114</v>
      </c>
      <c r="F65" s="14">
        <v>0.99899736814047624</v>
      </c>
      <c r="G65" s="14">
        <v>2.4408815430910999E-14</v>
      </c>
      <c r="H65" s="14">
        <v>0.45263720658741352</v>
      </c>
      <c r="I65" s="14">
        <v>0.18640406791191533</v>
      </c>
      <c r="J65" s="14">
        <v>0</v>
      </c>
      <c r="K65" s="14">
        <v>1.0010036381390974</v>
      </c>
      <c r="L65" s="14">
        <v>0.99899736814047635</v>
      </c>
      <c r="M65" s="14">
        <v>0.81967734055926078</v>
      </c>
      <c r="N65" s="14">
        <v>1.2705530803140785</v>
      </c>
      <c r="O65" s="14">
        <v>352.40060235591284</v>
      </c>
      <c r="P65" s="8">
        <v>1.2705530803140785</v>
      </c>
      <c r="Q65" s="54">
        <v>1.3062773176253158E-3</v>
      </c>
    </row>
    <row r="66" spans="1:17">
      <c r="A66" s="2" t="s">
        <v>493</v>
      </c>
      <c r="B66" s="16" t="s">
        <v>494</v>
      </c>
      <c r="D66" s="14">
        <v>1</v>
      </c>
      <c r="E66" s="14">
        <v>0.94828579632016785</v>
      </c>
      <c r="F66" s="14">
        <v>0.75139129068237231</v>
      </c>
      <c r="G66" s="14">
        <v>3.101153978407299E-13</v>
      </c>
      <c r="H66" s="14">
        <v>55.405360460470391</v>
      </c>
      <c r="I66" s="14">
        <v>12.856603161243841</v>
      </c>
      <c r="J66" s="14">
        <v>0</v>
      </c>
      <c r="K66" s="14">
        <v>1.3308645074816541</v>
      </c>
      <c r="L66" s="14">
        <v>0.75139129068237243</v>
      </c>
      <c r="M66" s="14">
        <v>0.61651655400488659</v>
      </c>
      <c r="N66" s="14">
        <v>34.176504253394171</v>
      </c>
      <c r="O66" s="14">
        <v>11087.541509886138</v>
      </c>
      <c r="P66" s="8">
        <v>34.176504253394178</v>
      </c>
      <c r="Q66" s="54">
        <v>1.1330426005843304E-2</v>
      </c>
    </row>
    <row r="67" spans="1:17">
      <c r="A67" s="2" t="s">
        <v>495</v>
      </c>
      <c r="B67" s="16" t="s">
        <v>496</v>
      </c>
      <c r="D67" s="14">
        <v>1</v>
      </c>
      <c r="E67" s="14">
        <v>0.99658966188802489</v>
      </c>
      <c r="F67" s="14">
        <v>0.99906803219356077</v>
      </c>
      <c r="G67" s="14">
        <v>1.9069686404510679E-14</v>
      </c>
      <c r="H67" s="14">
        <v>0.38170233196118059</v>
      </c>
      <c r="I67" s="14">
        <v>0.19319743788236893</v>
      </c>
      <c r="J67" s="14">
        <v>0</v>
      </c>
      <c r="K67" s="14">
        <v>1.0009328371806603</v>
      </c>
      <c r="L67" s="14">
        <v>0.99906803219356077</v>
      </c>
      <c r="M67" s="14">
        <v>0.81973532041481667</v>
      </c>
      <c r="N67" s="14">
        <v>1.2075774992097634</v>
      </c>
      <c r="O67" s="14">
        <v>378.47893980232408</v>
      </c>
      <c r="P67" s="8">
        <v>1.2075774992097634</v>
      </c>
      <c r="Q67" s="54">
        <v>1.4689308865948373E-3</v>
      </c>
    </row>
    <row r="68" spans="1:17">
      <c r="A68" s="2" t="s">
        <v>497</v>
      </c>
      <c r="B68" s="16" t="s">
        <v>498</v>
      </c>
      <c r="D68" s="14">
        <v>1</v>
      </c>
      <c r="E68" s="14">
        <v>0.99815689143679354</v>
      </c>
      <c r="F68" s="14">
        <v>1.0018904225140717</v>
      </c>
      <c r="G68" s="14">
        <v>1.7265234730404397E-13</v>
      </c>
      <c r="H68" s="14">
        <v>4.5447164598568075E-2</v>
      </c>
      <c r="I68" s="14">
        <v>3.246642612445752E-2</v>
      </c>
      <c r="J68" s="14">
        <v>0</v>
      </c>
      <c r="K68" s="14">
        <v>0.99811314444015942</v>
      </c>
      <c r="L68" s="14">
        <v>1.0018904225140717</v>
      </c>
      <c r="M68" s="14">
        <v>0.82205109167279578</v>
      </c>
      <c r="N68" s="14">
        <v>0.94212237392452058</v>
      </c>
      <c r="O68" s="14">
        <v>256.59644976208244</v>
      </c>
      <c r="P68" s="8">
        <v>0.94212237392452058</v>
      </c>
      <c r="Q68" s="54">
        <v>5.9417515002386752E-4</v>
      </c>
    </row>
    <row r="69" spans="1:17">
      <c r="A69" s="2" t="s">
        <v>499</v>
      </c>
      <c r="B69" s="16" t="s">
        <v>500</v>
      </c>
      <c r="D69" s="14">
        <v>1</v>
      </c>
      <c r="E69" s="14">
        <v>0.87562576117193558</v>
      </c>
      <c r="F69" s="14">
        <v>7.6191890898273454E-3</v>
      </c>
      <c r="G69" s="14">
        <v>8.4703087208674334E-14</v>
      </c>
      <c r="H69" s="14">
        <v>196.22789806564262</v>
      </c>
      <c r="I69" s="14">
        <v>467.44220572289237</v>
      </c>
      <c r="J69" s="14">
        <v>0</v>
      </c>
      <c r="K69" s="14">
        <v>131.24756299002161</v>
      </c>
      <c r="L69" s="14">
        <v>7.6191890898273454E-3</v>
      </c>
      <c r="M69" s="14">
        <v>6.2515446482033369E-3</v>
      </c>
      <c r="N69" s="14">
        <v>9.4709662843734979</v>
      </c>
      <c r="O69" s="14">
        <v>4068.6324061040104</v>
      </c>
      <c r="P69" s="8">
        <v>9.4709662843734979</v>
      </c>
      <c r="Q69" s="54">
        <v>7.7419065112522722E-2</v>
      </c>
    </row>
    <row r="70" spans="1:17">
      <c r="A70" s="2" t="s">
        <v>501</v>
      </c>
      <c r="B70" s="16" t="s">
        <v>411</v>
      </c>
      <c r="D70" s="14">
        <v>1</v>
      </c>
      <c r="E70" s="14">
        <v>0.99902203073081541</v>
      </c>
      <c r="F70" s="14">
        <v>0.97258522709861461</v>
      </c>
      <c r="G70" s="14">
        <v>3.0949679519786314E-15</v>
      </c>
      <c r="H70" s="14">
        <v>8.5906825049784228</v>
      </c>
      <c r="I70" s="14">
        <v>7.5593579104608882E-3</v>
      </c>
      <c r="J70" s="14">
        <v>0</v>
      </c>
      <c r="K70" s="14">
        <v>1.0281875275683223</v>
      </c>
      <c r="L70" s="14">
        <v>0.97258522709861472</v>
      </c>
      <c r="M70" s="14">
        <v>0.79800617883441338</v>
      </c>
      <c r="N70" s="14">
        <v>0.90136118620043748</v>
      </c>
      <c r="O70" s="14">
        <v>270.4984919787513</v>
      </c>
      <c r="P70" s="8">
        <v>0.90136118620043759</v>
      </c>
      <c r="Q70" s="54">
        <v>3.8325242211265513E-5</v>
      </c>
    </row>
    <row r="71" spans="1:17">
      <c r="A71" s="2" t="s">
        <v>502</v>
      </c>
      <c r="B71" s="16" t="s">
        <v>412</v>
      </c>
      <c r="D71" s="14">
        <v>1</v>
      </c>
      <c r="E71" s="14">
        <v>0.99900383112216484</v>
      </c>
      <c r="F71" s="14">
        <v>0.94634313384866042</v>
      </c>
      <c r="G71" s="14">
        <v>1.4136330456573701E-10</v>
      </c>
      <c r="H71" s="14">
        <v>16.014324907526532</v>
      </c>
      <c r="I71" s="14">
        <v>1.347524173362199E-2</v>
      </c>
      <c r="J71" s="14">
        <v>0</v>
      </c>
      <c r="K71" s="14">
        <v>1.0566991656959814</v>
      </c>
      <c r="L71" s="14">
        <v>0.94634313384866053</v>
      </c>
      <c r="M71" s="14">
        <v>0.7764745413228259</v>
      </c>
      <c r="N71" s="14">
        <v>0.8986129642986288</v>
      </c>
      <c r="O71" s="14">
        <v>294.879844234595</v>
      </c>
      <c r="P71" s="8">
        <v>0.8986129642986288</v>
      </c>
      <c r="Q71" s="54">
        <v>5.2497251296604838E-5</v>
      </c>
    </row>
    <row r="72" spans="1:17">
      <c r="A72" s="2" t="s">
        <v>503</v>
      </c>
      <c r="B72" s="16" t="s">
        <v>413</v>
      </c>
      <c r="D72" s="14">
        <v>1</v>
      </c>
      <c r="E72" s="14">
        <v>0.99514737508153706</v>
      </c>
      <c r="F72" s="14">
        <v>3.8924887539413837E-3</v>
      </c>
      <c r="G72" s="14">
        <v>1.9071103908994411E-12</v>
      </c>
      <c r="H72" s="14">
        <v>281.60954214727963</v>
      </c>
      <c r="I72" s="14">
        <v>1.197493986224589</v>
      </c>
      <c r="J72" s="14">
        <v>0</v>
      </c>
      <c r="K72" s="14">
        <v>256.90504538707751</v>
      </c>
      <c r="L72" s="14">
        <v>3.8924887539413841E-3</v>
      </c>
      <c r="M72" s="14">
        <v>3.1937870226089056E-3</v>
      </c>
      <c r="N72" s="14">
        <v>4.6623193893701984</v>
      </c>
      <c r="O72" s="14">
        <v>2163.6891822189218</v>
      </c>
      <c r="P72" s="8">
        <v>4.6623193893701984</v>
      </c>
      <c r="Q72" s="54">
        <v>5.9220673348582281E-5</v>
      </c>
    </row>
    <row r="73" spans="1:17">
      <c r="A73" s="2" t="s">
        <v>504</v>
      </c>
      <c r="B73" s="16" t="s">
        <v>414</v>
      </c>
      <c r="D73" s="14">
        <v>1</v>
      </c>
      <c r="E73" s="14">
        <v>0.99933725604606782</v>
      </c>
      <c r="F73" s="14">
        <v>3.6229975033659871E-2</v>
      </c>
      <c r="G73" s="14">
        <v>2.5003252152861973E-12</v>
      </c>
      <c r="H73" s="14">
        <v>273.75876612066497</v>
      </c>
      <c r="I73" s="14">
        <v>0.14651902139862558</v>
      </c>
      <c r="J73" s="14">
        <v>0</v>
      </c>
      <c r="K73" s="14">
        <v>27.601454294984702</v>
      </c>
      <c r="L73" s="14">
        <v>3.6229975033659878E-2</v>
      </c>
      <c r="M73" s="14">
        <v>2.9726694515117929E-2</v>
      </c>
      <c r="N73" s="14">
        <v>0.57863158348645138</v>
      </c>
      <c r="O73" s="14">
        <v>181.71924879392006</v>
      </c>
      <c r="P73" s="8">
        <v>0.57863158348645138</v>
      </c>
      <c r="Q73" s="54">
        <v>4.818301914129108E-5</v>
      </c>
    </row>
    <row r="74" spans="1:17">
      <c r="A74" s="2" t="s">
        <v>505</v>
      </c>
      <c r="B74" s="16" t="s">
        <v>415</v>
      </c>
      <c r="D74" s="14">
        <v>1</v>
      </c>
      <c r="E74" s="14">
        <v>0.99900700174461254</v>
      </c>
      <c r="F74" s="14">
        <v>0.95145446870912498</v>
      </c>
      <c r="G74" s="14">
        <v>1.7475776271080753E-11</v>
      </c>
      <c r="H74" s="14">
        <v>14.56827095224164</v>
      </c>
      <c r="I74" s="14">
        <v>1.2312152463571986E-2</v>
      </c>
      <c r="J74" s="14">
        <v>0</v>
      </c>
      <c r="K74" s="14">
        <v>1.0510224428886634</v>
      </c>
      <c r="L74" s="14">
        <v>0.95145446870912509</v>
      </c>
      <c r="M74" s="14">
        <v>0.78066839157583712</v>
      </c>
      <c r="N74" s="14">
        <v>0.89921422649334271</v>
      </c>
      <c r="O74" s="14">
        <v>192.46781303863509</v>
      </c>
      <c r="P74" s="8">
        <v>0.89921422649334282</v>
      </c>
      <c r="Q74" s="54">
        <v>4.9949826586657288E-5</v>
      </c>
    </row>
    <row r="75" spans="1:17">
      <c r="A75" s="2" t="s">
        <v>506</v>
      </c>
      <c r="B75" s="16" t="s">
        <v>416</v>
      </c>
      <c r="D75" s="14">
        <v>1</v>
      </c>
      <c r="E75" s="14">
        <v>0.99932299667388913</v>
      </c>
      <c r="F75" s="14">
        <v>4.2863894842928525E-2</v>
      </c>
      <c r="G75" s="14">
        <v>1.0730009259457588E-11</v>
      </c>
      <c r="H75" s="14">
        <v>271.87647522251496</v>
      </c>
      <c r="I75" s="14">
        <v>0.14740004136784687</v>
      </c>
      <c r="J75" s="14">
        <v>0</v>
      </c>
      <c r="K75" s="14">
        <v>23.329657831245243</v>
      </c>
      <c r="L75" s="14">
        <v>4.2863894842928525E-2</v>
      </c>
      <c r="M75" s="14">
        <v>3.5169825718622857E-2</v>
      </c>
      <c r="N75" s="14">
        <v>0.58699912745322924</v>
      </c>
      <c r="O75" s="14">
        <v>243.05872870455866</v>
      </c>
      <c r="P75" s="8">
        <v>0.58699912745322935</v>
      </c>
      <c r="Q75" s="54">
        <v>5.2035245203220256E-5</v>
      </c>
    </row>
    <row r="76" spans="1:17">
      <c r="A76" s="2" t="s">
        <v>507</v>
      </c>
      <c r="B76" s="16" t="s">
        <v>417</v>
      </c>
      <c r="D76" s="14">
        <v>1</v>
      </c>
      <c r="E76" s="14">
        <v>0.99901860302845491</v>
      </c>
      <c r="F76" s="14">
        <v>0.44935071338135668</v>
      </c>
      <c r="G76" s="14">
        <v>2.4781836587674112E-10</v>
      </c>
      <c r="H76" s="14">
        <v>156.71314830577526</v>
      </c>
      <c r="I76" s="14">
        <v>0.10551965553809158</v>
      </c>
      <c r="J76" s="14">
        <v>0</v>
      </c>
      <c r="K76" s="14">
        <v>2.2254332088960456</v>
      </c>
      <c r="L76" s="14">
        <v>0.44935071338135674</v>
      </c>
      <c r="M76" s="14">
        <v>0.36869226032940322</v>
      </c>
      <c r="N76" s="14">
        <v>0.78535366131636863</v>
      </c>
      <c r="O76" s="14">
        <v>336.2648771658296</v>
      </c>
      <c r="P76" s="8">
        <v>0.78535366131636875</v>
      </c>
      <c r="Q76" s="54">
        <v>1.2065167756811253E-4</v>
      </c>
    </row>
    <row r="77" spans="1:17">
      <c r="A77" s="2" t="s">
        <v>508</v>
      </c>
      <c r="B77" s="16" t="s">
        <v>418</v>
      </c>
      <c r="D77" s="14">
        <v>1</v>
      </c>
      <c r="E77" s="14">
        <v>0.9993330191975921</v>
      </c>
      <c r="F77" s="14">
        <v>3.8017404460374785E-2</v>
      </c>
      <c r="G77" s="14">
        <v>7.7408832364642131E-11</v>
      </c>
      <c r="H77" s="14">
        <v>273.25144245945324</v>
      </c>
      <c r="I77" s="14">
        <v>0.1472279932244869</v>
      </c>
      <c r="J77" s="14">
        <v>0</v>
      </c>
      <c r="K77" s="14">
        <v>26.303742041156209</v>
      </c>
      <c r="L77" s="14">
        <v>3.8017404460374792E-2</v>
      </c>
      <c r="M77" s="14">
        <v>3.1193280359737514E-2</v>
      </c>
      <c r="N77" s="14">
        <v>0.5809960454419868</v>
      </c>
      <c r="O77" s="14">
        <v>306.8704912815486</v>
      </c>
      <c r="P77" s="8">
        <v>0.58099604544198691</v>
      </c>
      <c r="Q77" s="54">
        <v>4.940721709081027E-5</v>
      </c>
    </row>
    <row r="78" spans="1:17">
      <c r="A78" s="2" t="s">
        <v>509</v>
      </c>
      <c r="B78" s="16" t="s">
        <v>419</v>
      </c>
      <c r="D78" s="14">
        <v>1</v>
      </c>
      <c r="E78" s="14">
        <v>0.99592146068922671</v>
      </c>
      <c r="F78" s="14">
        <v>4.3204755953685069E-3</v>
      </c>
      <c r="G78" s="14">
        <v>7.67290855309941E-12</v>
      </c>
      <c r="H78" s="14">
        <v>281.72900167780614</v>
      </c>
      <c r="I78" s="14">
        <v>1.0066014019108753</v>
      </c>
      <c r="J78" s="14">
        <v>0</v>
      </c>
      <c r="K78" s="14">
        <v>231.45600013850023</v>
      </c>
      <c r="L78" s="14">
        <v>4.3204755953685069E-3</v>
      </c>
      <c r="M78" s="14">
        <v>3.5449502259998602E-3</v>
      </c>
      <c r="N78" s="14">
        <v>3.9092525629455874</v>
      </c>
      <c r="O78" s="14">
        <v>2205.1702782319767</v>
      </c>
      <c r="P78" s="8">
        <v>3.9092525629455874</v>
      </c>
      <c r="Q78" s="54">
        <v>5.621568809475338E-5</v>
      </c>
    </row>
    <row r="79" spans="1:17">
      <c r="A79" s="2" t="s">
        <v>510</v>
      </c>
      <c r="B79" s="16" t="s">
        <v>420</v>
      </c>
      <c r="D79" s="14">
        <v>1</v>
      </c>
      <c r="E79" s="14">
        <v>0.99592147739922299</v>
      </c>
      <c r="F79" s="14">
        <v>4.3204759304666766E-3</v>
      </c>
      <c r="G79" s="14">
        <v>1.9273477344600297E-16</v>
      </c>
      <c r="H79" s="14">
        <v>281.72902352884336</v>
      </c>
      <c r="I79" s="14">
        <v>1.0064421795821854</v>
      </c>
      <c r="J79" s="14">
        <v>0</v>
      </c>
      <c r="K79" s="14">
        <v>231.45598218666265</v>
      </c>
      <c r="L79" s="14">
        <v>4.3204759304666775E-3</v>
      </c>
      <c r="M79" s="14">
        <v>3.5449505009479084E-3</v>
      </c>
      <c r="N79" s="14">
        <v>3.9092497782277831</v>
      </c>
      <c r="O79" s="14">
        <v>1955.133091585061</v>
      </c>
      <c r="P79" s="8">
        <v>3.9092497782277831</v>
      </c>
      <c r="Q79" s="54">
        <v>5.6206796002262392E-5</v>
      </c>
    </row>
    <row r="80" spans="1:17">
      <c r="A80" s="2" t="s">
        <v>511</v>
      </c>
      <c r="B80" s="16" t="s">
        <v>421</v>
      </c>
      <c r="D80" s="14">
        <v>1</v>
      </c>
      <c r="E80" s="14">
        <v>0.99917126002161649</v>
      </c>
      <c r="F80" s="14">
        <v>0.16725087372830194</v>
      </c>
      <c r="G80" s="14">
        <v>2.1790984969840723E-11</v>
      </c>
      <c r="H80" s="14">
        <v>236.61833563663433</v>
      </c>
      <c r="I80" s="14">
        <v>0.14327630400756894</v>
      </c>
      <c r="J80" s="14">
        <v>0</v>
      </c>
      <c r="K80" s="14">
        <v>5.9790420086204996</v>
      </c>
      <c r="L80" s="14">
        <v>0.16725087372830194</v>
      </c>
      <c r="M80" s="14">
        <v>0.13722934189407174</v>
      </c>
      <c r="N80" s="14">
        <v>0.67624411846866894</v>
      </c>
      <c r="O80" s="14">
        <v>246.19343376970363</v>
      </c>
      <c r="P80" s="8">
        <v>0.67624411846866905</v>
      </c>
      <c r="Q80" s="54">
        <v>9.2891156480896765E-5</v>
      </c>
    </row>
    <row r="81" spans="1:17">
      <c r="A81" s="2" t="s">
        <v>512</v>
      </c>
      <c r="B81" s="16" t="s">
        <v>422</v>
      </c>
      <c r="D81" s="14">
        <v>1</v>
      </c>
      <c r="E81" s="14">
        <v>0.99896780859642409</v>
      </c>
      <c r="F81" s="14">
        <v>0.80715013318768269</v>
      </c>
      <c r="G81" s="14">
        <v>2.848411881653717E-11</v>
      </c>
      <c r="H81" s="14">
        <v>55.408235842763069</v>
      </c>
      <c r="I81" s="14">
        <v>4.1927628375461691E-2</v>
      </c>
      <c r="J81" s="14">
        <v>0</v>
      </c>
      <c r="K81" s="14">
        <v>1.2389268847056918</v>
      </c>
      <c r="L81" s="14">
        <v>0.80715013318768281</v>
      </c>
      <c r="M81" s="14">
        <v>0.66226668428049373</v>
      </c>
      <c r="N81" s="14">
        <v>0.87570982427995792</v>
      </c>
      <c r="O81" s="14">
        <v>231.2311791011229</v>
      </c>
      <c r="P81" s="8">
        <v>0.87570982427995803</v>
      </c>
      <c r="Q81" s="54">
        <v>9.2619044723991331E-5</v>
      </c>
    </row>
    <row r="82" spans="1:17">
      <c r="A82" s="2" t="s">
        <v>513</v>
      </c>
      <c r="B82" s="16" t="s">
        <v>423</v>
      </c>
      <c r="D82" s="14">
        <v>1</v>
      </c>
      <c r="E82" s="14">
        <v>0.99897837614290341</v>
      </c>
      <c r="F82" s="14">
        <v>0.61038751143478143</v>
      </c>
      <c r="G82" s="14">
        <v>7.171237848868083E-15</v>
      </c>
      <c r="H82" s="14">
        <v>111.11319593875204</v>
      </c>
      <c r="I82" s="14">
        <v>7.8238925774083881E-2</v>
      </c>
      <c r="J82" s="14">
        <v>0</v>
      </c>
      <c r="K82" s="14">
        <v>1.6383035059963671</v>
      </c>
      <c r="L82" s="14">
        <v>0.61038751143478143</v>
      </c>
      <c r="M82" s="14">
        <v>0.50082295313223812</v>
      </c>
      <c r="N82" s="14">
        <v>0.83087246112544222</v>
      </c>
      <c r="O82" s="14">
        <v>332.44038042090068</v>
      </c>
      <c r="P82" s="8">
        <v>0.83087246112544222</v>
      </c>
      <c r="Q82" s="54">
        <v>1.1641873579721157E-4</v>
      </c>
    </row>
    <row r="83" spans="1:17">
      <c r="A83" s="2" t="s">
        <v>514</v>
      </c>
      <c r="B83" s="16" t="s">
        <v>424</v>
      </c>
      <c r="D83" s="14">
        <v>1</v>
      </c>
      <c r="E83" s="14">
        <v>0.99217081819934461</v>
      </c>
      <c r="F83" s="14">
        <v>2.9184019114264913E-3</v>
      </c>
      <c r="G83" s="14">
        <v>2.7369922458305357E-12</v>
      </c>
      <c r="H83" s="14">
        <v>280.96039260298733</v>
      </c>
      <c r="I83" s="14">
        <v>1.9282843462607395</v>
      </c>
      <c r="J83" s="14">
        <v>0</v>
      </c>
      <c r="K83" s="14">
        <v>342.65328434876471</v>
      </c>
      <c r="L83" s="14">
        <v>2.9184019114264913E-3</v>
      </c>
      <c r="M83" s="14">
        <v>2.3945487683254365E-3</v>
      </c>
      <c r="N83" s="14">
        <v>7.5616971747875903</v>
      </c>
      <c r="O83" s="14">
        <v>3887.3172836148046</v>
      </c>
      <c r="P83" s="8">
        <v>7.5616971747875903</v>
      </c>
      <c r="Q83" s="54">
        <v>6.8260753142911074E-5</v>
      </c>
    </row>
    <row r="84" spans="1:17">
      <c r="A84" s="2" t="s">
        <v>403</v>
      </c>
      <c r="B84" s="16" t="s">
        <v>404</v>
      </c>
      <c r="D84" s="14">
        <v>1</v>
      </c>
      <c r="E84" s="14">
        <v>0.6620767275826499</v>
      </c>
      <c r="F84" s="14">
        <v>0.28421720428927283</v>
      </c>
      <c r="G84" s="14">
        <v>4.9533481167175127E-46</v>
      </c>
      <c r="H84" s="14">
        <v>87.472263171989255</v>
      </c>
      <c r="I84" s="14">
        <v>187.38185499539856</v>
      </c>
      <c r="J84" s="14">
        <v>0</v>
      </c>
      <c r="K84" s="14">
        <v>3.5184358473324933</v>
      </c>
      <c r="L84" s="14">
        <v>0.28421720428927283</v>
      </c>
      <c r="M84" s="14">
        <v>0.23320021611934835</v>
      </c>
      <c r="N84" s="14">
        <v>3.9311424110972015</v>
      </c>
      <c r="O84" s="14">
        <v>4727.6311750096047</v>
      </c>
      <c r="P84" s="8">
        <v>3.9311424110972015</v>
      </c>
      <c r="Q84" s="54">
        <v>0.22538631028941591</v>
      </c>
    </row>
    <row r="85" spans="1:17">
      <c r="A85" s="2" t="s">
        <v>405</v>
      </c>
      <c r="B85" s="16" t="s">
        <v>406</v>
      </c>
      <c r="D85" s="14">
        <v>1</v>
      </c>
      <c r="E85" s="14">
        <v>0.69073781746238938</v>
      </c>
      <c r="F85" s="14">
        <v>3.9537579494845189E-2</v>
      </c>
      <c r="G85" s="14">
        <v>1.1991601617189367E-10</v>
      </c>
      <c r="H85" s="14">
        <v>175.93060229604882</v>
      </c>
      <c r="I85" s="14">
        <v>85.158263550075674</v>
      </c>
      <c r="J85" s="14">
        <v>0</v>
      </c>
      <c r="K85" s="14">
        <v>25.292393029026407</v>
      </c>
      <c r="L85" s="14">
        <v>3.9537579494845196E-2</v>
      </c>
      <c r="M85" s="14">
        <v>3.2440583975520479E-2</v>
      </c>
      <c r="N85" s="14">
        <v>290.6904660355878</v>
      </c>
      <c r="O85" s="14">
        <v>92689.562000107529</v>
      </c>
      <c r="P85" s="8">
        <v>290.6904660355878</v>
      </c>
      <c r="Q85" s="54">
        <v>8.2191479333389925E-3</v>
      </c>
    </row>
    <row r="86" spans="1:17">
      <c r="A86" s="2" t="s">
        <v>407</v>
      </c>
      <c r="B86" s="16" t="s">
        <v>408</v>
      </c>
      <c r="D86" s="14">
        <v>1</v>
      </c>
      <c r="E86" s="14">
        <v>0.89347942837540884</v>
      </c>
      <c r="F86" s="14">
        <v>3.5229458747312111E-4</v>
      </c>
      <c r="G86" s="14">
        <v>2.828098025412783E-7</v>
      </c>
      <c r="H86" s="14">
        <v>48.368873277447541</v>
      </c>
      <c r="I86" s="14">
        <v>1902.4933248257475</v>
      </c>
      <c r="J86" s="14">
        <v>0</v>
      </c>
      <c r="K86" s="14">
        <v>2838.5335328953825</v>
      </c>
      <c r="L86" s="14">
        <v>3.5229458747312116E-4</v>
      </c>
      <c r="M86" s="14">
        <v>2.8905770902169591E-4</v>
      </c>
      <c r="N86" s="14">
        <v>39.760739979713087</v>
      </c>
      <c r="O86" s="14">
        <v>19315.369874744822</v>
      </c>
      <c r="P86" s="8">
        <v>39.760739979713094</v>
      </c>
      <c r="Q86" s="54">
        <v>4.4455258676089633E-2</v>
      </c>
    </row>
    <row r="87" spans="1:17">
      <c r="A87" s="2" t="s">
        <v>409</v>
      </c>
      <c r="B87" s="16" t="s">
        <v>410</v>
      </c>
      <c r="D87" s="14">
        <v>1</v>
      </c>
      <c r="E87" s="14">
        <v>0.90925526012925029</v>
      </c>
      <c r="F87" s="14">
        <v>1.22217212804097E-4</v>
      </c>
      <c r="G87" s="14">
        <v>3.5057493564409892E-8</v>
      </c>
      <c r="H87" s="14">
        <v>26.094704024533971</v>
      </c>
      <c r="I87" s="14">
        <v>2150.8471387581799</v>
      </c>
      <c r="J87" s="14">
        <v>0</v>
      </c>
      <c r="K87" s="14">
        <v>8182.1535367764291</v>
      </c>
      <c r="L87" s="14">
        <v>1.2221721280409703E-4</v>
      </c>
      <c r="M87" s="14">
        <v>1.002792231057616E-4</v>
      </c>
      <c r="N87" s="14">
        <v>45.331730108858522</v>
      </c>
      <c r="O87" s="14">
        <v>25598.374675171319</v>
      </c>
      <c r="P87" s="8">
        <v>45.331730108858522</v>
      </c>
      <c r="Q87" s="54">
        <v>2.9978475654425994E-2</v>
      </c>
    </row>
    <row r="88" spans="1:17">
      <c r="A88" s="2" t="s">
        <v>301</v>
      </c>
      <c r="B88" s="16" t="s">
        <v>302</v>
      </c>
      <c r="D88" s="14">
        <v>1</v>
      </c>
      <c r="E88" s="14">
        <v>0.92303319998649502</v>
      </c>
      <c r="F88" s="14">
        <v>3.4349583806161494E-5</v>
      </c>
      <c r="G88" s="14">
        <v>4.3356075812218294E-9</v>
      </c>
      <c r="H88" s="14">
        <v>12.117735796833376</v>
      </c>
      <c r="I88" s="14">
        <v>2316.7472175882313</v>
      </c>
      <c r="J88" s="14">
        <v>0</v>
      </c>
      <c r="K88" s="14">
        <v>29112.434247911438</v>
      </c>
      <c r="L88" s="14">
        <v>3.4349583806161494E-5</v>
      </c>
      <c r="M88" s="14">
        <v>2.8183833512955509E-5</v>
      </c>
      <c r="N88" s="14">
        <v>49.300579066581847</v>
      </c>
      <c r="O88" s="14">
        <v>31728.866675670746</v>
      </c>
      <c r="P88" s="8">
        <v>49.300579066581847</v>
      </c>
      <c r="Q88" s="54">
        <v>1.7942322151873677E-2</v>
      </c>
    </row>
    <row r="89" spans="1:17">
      <c r="A89" s="2" t="s">
        <v>303</v>
      </c>
      <c r="B89" s="16" t="s">
        <v>304</v>
      </c>
      <c r="D89" s="14">
        <v>1</v>
      </c>
      <c r="E89" s="14">
        <v>0.25526726175284542</v>
      </c>
      <c r="F89" s="14">
        <v>6.2119643693347212E-4</v>
      </c>
      <c r="G89" s="14">
        <v>8.9454711252194477E-16</v>
      </c>
      <c r="H89" s="14">
        <v>20.100067886865702</v>
      </c>
      <c r="I89" s="14">
        <v>484.02212667093005</v>
      </c>
      <c r="J89" s="14">
        <v>0</v>
      </c>
      <c r="K89" s="14">
        <v>1609.7967414888701</v>
      </c>
      <c r="L89" s="14">
        <v>6.2119643693347223E-4</v>
      </c>
      <c r="M89" s="14">
        <v>5.0969167650391392E-4</v>
      </c>
      <c r="N89" s="14">
        <v>721.11010745979718</v>
      </c>
      <c r="O89" s="14">
        <v>465339.5634448817</v>
      </c>
      <c r="P89" s="8">
        <v>721.11010745979729</v>
      </c>
      <c r="Q89" s="54">
        <v>5.2367906856339522E-3</v>
      </c>
    </row>
    <row r="90" spans="1:17">
      <c r="A90" s="2" t="s">
        <v>425</v>
      </c>
      <c r="B90" s="16" t="s">
        <v>426</v>
      </c>
      <c r="D90" s="14">
        <v>1</v>
      </c>
      <c r="E90" s="14">
        <v>0.97398582995951843</v>
      </c>
      <c r="F90" s="14">
        <v>0.97656974997301715</v>
      </c>
      <c r="G90" s="14">
        <v>1.7788516095601136E-15</v>
      </c>
      <c r="H90" s="14">
        <v>0.26025750829688271</v>
      </c>
      <c r="I90" s="14">
        <v>0.80907758580063893</v>
      </c>
      <c r="J90" s="14">
        <v>0</v>
      </c>
      <c r="K90" s="14">
        <v>1.0239923979087311</v>
      </c>
      <c r="L90" s="14">
        <v>0.97656974997301726</v>
      </c>
      <c r="M90" s="14">
        <v>0.80127547985286063</v>
      </c>
      <c r="N90" s="14">
        <v>0.89377440815869091</v>
      </c>
      <c r="O90" s="14">
        <v>247.80789240607865</v>
      </c>
      <c r="P90" s="8">
        <v>0.89377440815869091</v>
      </c>
      <c r="Q90" s="54">
        <v>1.6942994501748875E-2</v>
      </c>
    </row>
    <row r="91" spans="1:17">
      <c r="A91" s="2" t="s">
        <v>427</v>
      </c>
      <c r="B91" s="16" t="s">
        <v>428</v>
      </c>
      <c r="D91" s="14">
        <v>1</v>
      </c>
      <c r="E91" s="14">
        <v>0.78633585910484416</v>
      </c>
      <c r="F91" s="14">
        <v>0.71873221923485286</v>
      </c>
      <c r="G91" s="14">
        <v>9.1507270535522711E-7</v>
      </c>
      <c r="H91" s="14">
        <v>15.61806096600812</v>
      </c>
      <c r="I91" s="14">
        <v>40.670946975403908</v>
      </c>
      <c r="J91" s="14">
        <v>0</v>
      </c>
      <c r="K91" s="14">
        <v>1.3913387673987661</v>
      </c>
      <c r="L91" s="14">
        <v>0.71873221923485298</v>
      </c>
      <c r="M91" s="14">
        <v>0.58971978588219687</v>
      </c>
      <c r="N91" s="14">
        <v>1.4308462800962485</v>
      </c>
      <c r="O91" s="14">
        <v>236.36149700909928</v>
      </c>
      <c r="P91" s="8">
        <v>1.4308462800962485</v>
      </c>
      <c r="Q91" s="54">
        <v>0.1431806351310555</v>
      </c>
    </row>
    <row r="92" spans="1:17">
      <c r="A92" s="2" t="s">
        <v>429</v>
      </c>
      <c r="B92" s="16" t="s">
        <v>430</v>
      </c>
      <c r="D92" s="14">
        <v>1</v>
      </c>
      <c r="E92" s="14">
        <v>0.70779029171077601</v>
      </c>
      <c r="F92" s="14">
        <v>0.12696975388969609</v>
      </c>
      <c r="G92" s="14">
        <v>5.5969156973850809E-6</v>
      </c>
      <c r="H92" s="14">
        <v>136.43326668819924</v>
      </c>
      <c r="I92" s="14">
        <v>266.5492399839037</v>
      </c>
      <c r="J92" s="14">
        <v>0</v>
      </c>
      <c r="K92" s="14">
        <v>7.8758914573366949</v>
      </c>
      <c r="L92" s="14">
        <v>0.12696975388969609</v>
      </c>
      <c r="M92" s="14">
        <v>0.10417868306649564</v>
      </c>
      <c r="N92" s="14">
        <v>5.3848525976351311</v>
      </c>
      <c r="O92" s="14">
        <v>970.56583219775609</v>
      </c>
      <c r="P92" s="8">
        <v>5.384852597635132</v>
      </c>
      <c r="Q92" s="54">
        <v>0.19318679990213156</v>
      </c>
    </row>
    <row r="93" spans="1:17">
      <c r="A93" s="2" t="s">
        <v>431</v>
      </c>
      <c r="B93" s="16" t="s">
        <v>432</v>
      </c>
      <c r="D93" s="14">
        <v>1</v>
      </c>
      <c r="E93" s="14">
        <v>0.99892465390047624</v>
      </c>
      <c r="F93" s="14">
        <v>0.99845577520706363</v>
      </c>
      <c r="G93" s="14">
        <v>1.3380786859575431E-19</v>
      </c>
      <c r="H93" s="14">
        <v>1.2385650855899604</v>
      </c>
      <c r="I93" s="14">
        <v>9.1876061581730364E-3</v>
      </c>
      <c r="J93" s="14">
        <v>0</v>
      </c>
      <c r="K93" s="14">
        <v>1.0015466131112478</v>
      </c>
      <c r="L93" s="14">
        <v>0.99845577520706363</v>
      </c>
      <c r="M93" s="14">
        <v>0.81923296355739572</v>
      </c>
      <c r="N93" s="14">
        <v>0.90262664425088568</v>
      </c>
      <c r="O93" s="14">
        <v>351.02247568272691</v>
      </c>
      <c r="P93" s="8">
        <v>0.90262664425088568</v>
      </c>
      <c r="Q93" s="54">
        <v>1.0318162664219148E-4</v>
      </c>
    </row>
    <row r="94" spans="1:17">
      <c r="A94" s="2" t="s">
        <v>433</v>
      </c>
      <c r="B94" s="16" t="s">
        <v>434</v>
      </c>
      <c r="D94" s="14">
        <v>1</v>
      </c>
      <c r="E94" s="14">
        <v>0.99906800651158145</v>
      </c>
      <c r="F94" s="14">
        <v>1.0029609661344177</v>
      </c>
      <c r="G94" s="14">
        <v>2.8281505139779128E-20</v>
      </c>
      <c r="H94" s="14">
        <v>4.8202995923906341E-3</v>
      </c>
      <c r="I94" s="14">
        <v>6.2277516949536739E-5</v>
      </c>
      <c r="J94" s="14">
        <v>0</v>
      </c>
      <c r="K94" s="14">
        <v>0.99704777530293154</v>
      </c>
      <c r="L94" s="14">
        <v>1.0029609661344177</v>
      </c>
      <c r="M94" s="14">
        <v>0.82292947271328964</v>
      </c>
      <c r="N94" s="14">
        <v>0.90814678416051897</v>
      </c>
      <c r="O94" s="14">
        <v>162.77622959293143</v>
      </c>
      <c r="P94" s="8">
        <v>0.90814678416051908</v>
      </c>
      <c r="Q94" s="54">
        <v>2.6105456294513047E-6</v>
      </c>
    </row>
    <row r="95" spans="1:17">
      <c r="A95" s="2" t="s">
        <v>435</v>
      </c>
      <c r="B95" s="16" t="s">
        <v>436</v>
      </c>
      <c r="D95" s="14">
        <v>1</v>
      </c>
      <c r="E95" s="14">
        <v>0.94119098041180171</v>
      </c>
      <c r="F95" s="14">
        <v>0.93982544731032158</v>
      </c>
      <c r="G95" s="14">
        <v>1.5125414530219951E-10</v>
      </c>
      <c r="H95" s="14">
        <v>1.0613289002293789</v>
      </c>
      <c r="I95" s="14">
        <v>3.4083395334412891</v>
      </c>
      <c r="J95" s="14">
        <v>0</v>
      </c>
      <c r="K95" s="14">
        <v>1.0640273711058701</v>
      </c>
      <c r="L95" s="14">
        <v>0.93982544731032169</v>
      </c>
      <c r="M95" s="14">
        <v>0.77112677951811892</v>
      </c>
      <c r="N95" s="14">
        <v>0.92067043031301377</v>
      </c>
      <c r="O95" s="14">
        <v>240.37784265042472</v>
      </c>
      <c r="P95" s="8">
        <v>0.92067043031301377</v>
      </c>
      <c r="Q95" s="54">
        <v>3.9060954536993049E-2</v>
      </c>
    </row>
    <row r="96" spans="1:17">
      <c r="A96" s="2" t="s">
        <v>437</v>
      </c>
      <c r="B96" s="164" t="s">
        <v>438</v>
      </c>
      <c r="D96" s="14">
        <v>1</v>
      </c>
      <c r="E96" s="14">
        <v>0.88731731582565199</v>
      </c>
      <c r="F96" s="14">
        <v>5.1222798978985877E-4</v>
      </c>
      <c r="G96" s="14">
        <v>5.2833793413898156E-10</v>
      </c>
      <c r="H96" s="14">
        <v>59.660007831087526</v>
      </c>
      <c r="I96" s="14">
        <v>1781.3139819804189</v>
      </c>
      <c r="J96" s="14">
        <v>0</v>
      </c>
      <c r="K96" s="14">
        <v>1952.2556750759547</v>
      </c>
      <c r="L96" s="14">
        <v>5.1222798978985877E-4</v>
      </c>
      <c r="M96" s="14">
        <v>4.2028306562257912E-4</v>
      </c>
      <c r="N96" s="14">
        <v>37.111786966041272</v>
      </c>
      <c r="O96" s="14">
        <v>15449.636913962982</v>
      </c>
      <c r="P96" s="8">
        <v>37.111786966041272</v>
      </c>
      <c r="Q96" s="54">
        <v>5.0459213482631819E-2</v>
      </c>
    </row>
    <row r="97" spans="1:17">
      <c r="A97" s="2" t="s">
        <v>439</v>
      </c>
      <c r="B97" s="16" t="s">
        <v>440</v>
      </c>
      <c r="D97" s="14">
        <v>1</v>
      </c>
      <c r="E97" s="14">
        <v>0.72862492423574154</v>
      </c>
      <c r="F97" s="14">
        <v>0.6014667312317612</v>
      </c>
      <c r="G97" s="14">
        <v>4.4260885466846542E-7</v>
      </c>
      <c r="H97" s="14">
        <v>29.093207892730351</v>
      </c>
      <c r="I97" s="14">
        <v>71.424758576925839</v>
      </c>
      <c r="J97" s="14">
        <v>0</v>
      </c>
      <c r="K97" s="14">
        <v>1.6626023486819808</v>
      </c>
      <c r="L97" s="14">
        <v>0.60146673123176131</v>
      </c>
      <c r="M97" s="14">
        <v>0.49350345297566012</v>
      </c>
      <c r="N97" s="14">
        <v>1.9254962488787091</v>
      </c>
      <c r="O97" s="14">
        <v>368.28966752303069</v>
      </c>
      <c r="P97" s="8">
        <v>1.9254962488787091</v>
      </c>
      <c r="Q97" s="54">
        <v>0.18182298406566438</v>
      </c>
    </row>
    <row r="98" spans="1:17">
      <c r="A98" s="2" t="s">
        <v>441</v>
      </c>
      <c r="B98" s="16" t="s">
        <v>442</v>
      </c>
      <c r="D98" s="14">
        <v>1</v>
      </c>
      <c r="E98" s="14">
        <v>0.77544290932471771</v>
      </c>
      <c r="F98" s="14">
        <v>0.69882256783268726</v>
      </c>
      <c r="G98" s="14">
        <v>3.017278577893488E-19</v>
      </c>
      <c r="H98" s="14">
        <v>17.643588559698969</v>
      </c>
      <c r="I98" s="14">
        <v>45.440603689538186</v>
      </c>
      <c r="J98" s="14">
        <v>0</v>
      </c>
      <c r="K98" s="14">
        <v>1.4309783999984111</v>
      </c>
      <c r="L98" s="14">
        <v>0.69882256783268726</v>
      </c>
      <c r="M98" s="14">
        <v>0.57338391690671997</v>
      </c>
      <c r="N98" s="14">
        <v>1.5057571596684285</v>
      </c>
      <c r="O98" s="14">
        <v>590.94945488347139</v>
      </c>
      <c r="P98" s="8">
        <v>1.5057571596684285</v>
      </c>
      <c r="Q98" s="54">
        <v>0.15053728962921825</v>
      </c>
    </row>
    <row r="99" spans="1:17">
      <c r="A99" s="2" t="s">
        <v>443</v>
      </c>
      <c r="B99" s="16" t="s">
        <v>444</v>
      </c>
      <c r="D99" s="14">
        <v>1</v>
      </c>
      <c r="E99" s="14">
        <v>0.88203374180209937</v>
      </c>
      <c r="F99" s="14">
        <v>0.8660027186033924</v>
      </c>
      <c r="G99" s="14">
        <v>4.6645284155048235E-31</v>
      </c>
      <c r="H99" s="14">
        <v>4.1973893415673516</v>
      </c>
      <c r="I99" s="14">
        <v>12.207772467210544</v>
      </c>
      <c r="J99" s="14">
        <v>0</v>
      </c>
      <c r="K99" s="14">
        <v>1.1547307860796394</v>
      </c>
      <c r="L99" s="14">
        <v>0.8660027186033924</v>
      </c>
      <c r="M99" s="14">
        <v>0.71055523061408343</v>
      </c>
      <c r="N99" s="14">
        <v>1.0121852129129303</v>
      </c>
      <c r="O99" s="14">
        <v>790.45592017222395</v>
      </c>
      <c r="P99" s="8">
        <v>1.0121852129129305</v>
      </c>
      <c r="Q99" s="54">
        <v>7.892896831445495E-2</v>
      </c>
    </row>
    <row r="100" spans="1:17">
      <c r="A100" s="2" t="s">
        <v>445</v>
      </c>
      <c r="B100" s="16" t="s">
        <v>446</v>
      </c>
      <c r="D100" s="14">
        <v>1</v>
      </c>
      <c r="E100" s="14">
        <v>0.86638232816253269</v>
      </c>
      <c r="F100" s="14">
        <v>3.3481599217075535E-3</v>
      </c>
      <c r="G100" s="14">
        <v>5.5156243620238963E-10</v>
      </c>
      <c r="H100" s="14">
        <v>149.16474619014531</v>
      </c>
      <c r="I100" s="14">
        <v>890.06836240014923</v>
      </c>
      <c r="J100" s="14">
        <v>0</v>
      </c>
      <c r="K100" s="14">
        <v>298.67151611145334</v>
      </c>
      <c r="L100" s="14">
        <v>3.3481599217075535E-3</v>
      </c>
      <c r="M100" s="14">
        <v>2.7471652157610477E-3</v>
      </c>
      <c r="N100" s="14">
        <v>18.211215683193934</v>
      </c>
      <c r="O100" s="14">
        <v>5579.9164853306211</v>
      </c>
      <c r="P100" s="8">
        <v>18.211215683193934</v>
      </c>
      <c r="Q100" s="54">
        <v>7.7628887843821132E-2</v>
      </c>
    </row>
    <row r="101" spans="1:17">
      <c r="A101" s="2" t="s">
        <v>447</v>
      </c>
      <c r="B101" s="16" t="s">
        <v>448</v>
      </c>
      <c r="D101" s="14">
        <v>1</v>
      </c>
      <c r="E101" s="14">
        <v>0.68348518624116361</v>
      </c>
      <c r="F101" s="14">
        <v>0.1770381351688648</v>
      </c>
      <c r="G101" s="14">
        <v>4.9110608357800898E-11</v>
      </c>
      <c r="H101" s="14">
        <v>118.289671657681</v>
      </c>
      <c r="I101" s="14">
        <v>239.33377836330592</v>
      </c>
      <c r="J101" s="14">
        <v>0</v>
      </c>
      <c r="K101" s="14">
        <v>5.6485005281272711</v>
      </c>
      <c r="L101" s="14">
        <v>0.1770381351688648</v>
      </c>
      <c r="M101" s="14">
        <v>0.14525978990605357</v>
      </c>
      <c r="N101" s="14">
        <v>4.8772591846455917</v>
      </c>
      <c r="O101" s="14">
        <v>1642.758438572328</v>
      </c>
      <c r="P101" s="8">
        <v>4.8772591846455917</v>
      </c>
      <c r="Q101" s="54">
        <v>0.21028291905521743</v>
      </c>
    </row>
    <row r="102" spans="1:17">
      <c r="A102" s="2" t="s">
        <v>449</v>
      </c>
      <c r="B102" s="16" t="s">
        <v>450</v>
      </c>
      <c r="D102" s="14">
        <v>1</v>
      </c>
      <c r="E102" s="14">
        <v>0.80395501009290093</v>
      </c>
      <c r="F102" s="14">
        <v>3.8920574363191587E-2</v>
      </c>
      <c r="G102" s="14">
        <v>2.177547956631974E-6</v>
      </c>
      <c r="H102" s="14">
        <v>182.86864236788895</v>
      </c>
      <c r="I102" s="14">
        <v>320.47666418322729</v>
      </c>
      <c r="J102" s="14">
        <v>0</v>
      </c>
      <c r="K102" s="14">
        <v>25.693351559213667</v>
      </c>
      <c r="L102" s="14">
        <v>3.8920574363191587E-2</v>
      </c>
      <c r="M102" s="14">
        <v>3.19343312649987E-2</v>
      </c>
      <c r="N102" s="14">
        <v>6.4327584802547886</v>
      </c>
      <c r="O102" s="14">
        <v>2991.8116415816994</v>
      </c>
      <c r="P102" s="8">
        <v>6.4327584802547886</v>
      </c>
      <c r="Q102" s="54">
        <v>0.12776044371132267</v>
      </c>
    </row>
    <row r="103" spans="1:17">
      <c r="A103" s="2" t="s">
        <v>451</v>
      </c>
      <c r="B103" s="16" t="s">
        <v>452</v>
      </c>
      <c r="D103" s="14">
        <v>1</v>
      </c>
      <c r="E103" s="14">
        <v>0.99897087233474979</v>
      </c>
      <c r="F103" s="14">
        <v>0.89749176665143682</v>
      </c>
      <c r="G103" s="14">
        <v>4.8856423504901834E-21</v>
      </c>
      <c r="H103" s="14">
        <v>29.833930464969896</v>
      </c>
      <c r="I103" s="14">
        <v>2.6806943360245909E-2</v>
      </c>
      <c r="J103" s="14">
        <v>0</v>
      </c>
      <c r="K103" s="14">
        <v>1.1142163495616499</v>
      </c>
      <c r="L103" s="14">
        <v>0.89749176665143682</v>
      </c>
      <c r="M103" s="14">
        <v>0.73639199453750392</v>
      </c>
      <c r="N103" s="14">
        <v>0.89181662606118639</v>
      </c>
      <c r="O103" s="14">
        <v>294.9594309034768</v>
      </c>
      <c r="P103" s="8">
        <v>0.8918166260611865</v>
      </c>
      <c r="Q103" s="54">
        <v>7.9441474555537486E-5</v>
      </c>
    </row>
    <row r="104" spans="1:17">
      <c r="A104" s="2" t="s">
        <v>453</v>
      </c>
      <c r="B104" s="16" t="s">
        <v>454</v>
      </c>
      <c r="D104" s="14">
        <v>1</v>
      </c>
      <c r="E104" s="14">
        <v>0.99846192546491996</v>
      </c>
      <c r="F104" s="14">
        <v>1.1142228309782527E-2</v>
      </c>
      <c r="G104" s="14">
        <v>1.2533576489880946E-22</v>
      </c>
      <c r="H104" s="14">
        <v>280.3315982873828</v>
      </c>
      <c r="I104" s="14">
        <v>2.748522641191756</v>
      </c>
      <c r="J104" s="14">
        <v>0</v>
      </c>
      <c r="K104" s="14">
        <v>89.748654595601067</v>
      </c>
      <c r="L104" s="14">
        <v>1.1142228309782528E-2</v>
      </c>
      <c r="M104" s="14">
        <v>9.1421983281765647E-3</v>
      </c>
      <c r="N104" s="14">
        <v>0.82678581033107867</v>
      </c>
      <c r="O104" s="14">
        <v>408.43219030355283</v>
      </c>
      <c r="P104" s="8">
        <v>0.82678581033107867</v>
      </c>
      <c r="Q104" s="54">
        <v>4.6784211992207178E-4</v>
      </c>
    </row>
    <row r="105" spans="1:17">
      <c r="A105" s="2" t="s">
        <v>455</v>
      </c>
      <c r="B105" s="164">
        <v>354656</v>
      </c>
      <c r="D105" s="14">
        <v>1</v>
      </c>
      <c r="E105" s="14">
        <v>0.96900988087395712</v>
      </c>
      <c r="F105" s="14">
        <v>0.97143530570616821</v>
      </c>
      <c r="G105" s="14">
        <v>4.0918751204212521E-12</v>
      </c>
      <c r="H105" s="14">
        <v>0.27905761834151888</v>
      </c>
      <c r="I105" s="14">
        <v>0.99942694521333686</v>
      </c>
      <c r="J105" s="14">
        <v>0</v>
      </c>
      <c r="K105" s="14">
        <v>1.0294046285182801</v>
      </c>
      <c r="L105" s="14">
        <v>0.97143530570616821</v>
      </c>
      <c r="M105" s="14">
        <v>0.79706266833191108</v>
      </c>
      <c r="N105" s="14">
        <v>0.89259752737250941</v>
      </c>
      <c r="O105" s="14">
        <v>176.01130642258514</v>
      </c>
      <c r="P105" s="8">
        <v>0.89259752737250941</v>
      </c>
      <c r="Q105" s="54">
        <v>2.0302571757239572E-2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0.93848884777629649</v>
      </c>
      <c r="F106" s="14">
        <v>0.93669570273152136</v>
      </c>
      <c r="G106" s="14">
        <v>6.0634908456897607E-12</v>
      </c>
      <c r="H106" s="14">
        <v>1.1503228947056718</v>
      </c>
      <c r="I106" s="14">
        <v>3.6775355251873378</v>
      </c>
      <c r="J106" s="14">
        <v>0</v>
      </c>
      <c r="K106" s="14">
        <v>1.0675825639894314</v>
      </c>
      <c r="L106" s="14">
        <v>0.93669570273152147</v>
      </c>
      <c r="M106" s="14">
        <v>0.76855882409121334</v>
      </c>
      <c r="N106" s="14">
        <v>0.92150201795121278</v>
      </c>
      <c r="O106" s="14">
        <v>147.60619323542528</v>
      </c>
      <c r="P106" s="8">
        <v>0.92150201795121289</v>
      </c>
      <c r="Q106" s="54">
        <v>4.088432921555929E-2</v>
      </c>
    </row>
    <row r="107" spans="1:17">
      <c r="A107" s="2" t="s">
        <v>459</v>
      </c>
      <c r="B107" s="16" t="s">
        <v>460</v>
      </c>
      <c r="D107" s="14">
        <v>1</v>
      </c>
      <c r="E107" s="14">
        <v>0.85328206460684464</v>
      </c>
      <c r="F107" s="14">
        <v>2.0885511212072473E-2</v>
      </c>
      <c r="G107" s="14">
        <v>5.0790391850588198E-22</v>
      </c>
      <c r="H107" s="14">
        <v>201.36417359049929</v>
      </c>
      <c r="I107" s="14">
        <v>326.31122397597017</v>
      </c>
      <c r="J107" s="14">
        <v>0</v>
      </c>
      <c r="K107" s="14">
        <v>47.880082505328815</v>
      </c>
      <c r="L107" s="14">
        <v>2.0885511212072473E-2</v>
      </c>
      <c r="M107" s="14">
        <v>1.7136561949505465E-2</v>
      </c>
      <c r="N107" s="14">
        <v>9.9378157141181909</v>
      </c>
      <c r="O107" s="14">
        <v>5281.2534049538299</v>
      </c>
      <c r="P107" s="8">
        <v>9.9378157141181926</v>
      </c>
      <c r="Q107" s="54">
        <v>9.2179004219995447E-2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0.99901931229436569</v>
      </c>
      <c r="F108" s="14">
        <v>1.0029200564129648</v>
      </c>
      <c r="G108" s="14">
        <v>1.2219212000488975E-11</v>
      </c>
      <c r="H108" s="14">
        <v>2.4968191562382731E-3</v>
      </c>
      <c r="I108" s="14">
        <v>6.7005474157287961E-4</v>
      </c>
      <c r="J108" s="14">
        <v>0</v>
      </c>
      <c r="K108" s="14">
        <v>0.99708844549045228</v>
      </c>
      <c r="L108" s="14">
        <v>1.002920056412965</v>
      </c>
      <c r="M108" s="14">
        <v>0.82289590628683773</v>
      </c>
      <c r="N108" s="14">
        <v>0.90523143297633646</v>
      </c>
      <c r="O108" s="14">
        <v>116.91969188322362</v>
      </c>
      <c r="P108" s="8">
        <v>0.90523143297633646</v>
      </c>
      <c r="Q108" s="54">
        <v>3.7489554947326875E-5</v>
      </c>
    </row>
    <row r="109" spans="1:17">
      <c r="A109" s="2" t="s">
        <v>463</v>
      </c>
      <c r="B109" s="16" t="s">
        <v>464</v>
      </c>
      <c r="D109" s="14">
        <v>1</v>
      </c>
      <c r="E109" s="14">
        <v>0.97097597194791629</v>
      </c>
      <c r="F109" s="14">
        <v>0.91461491096051295</v>
      </c>
      <c r="G109" s="14">
        <v>3.0896731558230214E-14</v>
      </c>
      <c r="H109" s="14">
        <v>16.225827163885448</v>
      </c>
      <c r="I109" s="14">
        <v>7.4674880602033813</v>
      </c>
      <c r="J109" s="14">
        <v>0</v>
      </c>
      <c r="K109" s="14">
        <v>1.0933563273638487</v>
      </c>
      <c r="L109" s="14">
        <v>0.91461491096051295</v>
      </c>
      <c r="M109" s="14">
        <v>0.75044153444310091</v>
      </c>
      <c r="N109" s="14">
        <v>10.754317573163478</v>
      </c>
      <c r="O109" s="14">
        <v>3224.1444084344107</v>
      </c>
      <c r="P109" s="8">
        <v>10.754317573163478</v>
      </c>
      <c r="Q109" s="54">
        <v>1.2172352955432847E-2</v>
      </c>
    </row>
    <row r="110" spans="1:17">
      <c r="A110" s="2" t="s">
        <v>465</v>
      </c>
      <c r="B110" s="16" t="s">
        <v>466</v>
      </c>
      <c r="D110" s="14">
        <v>1</v>
      </c>
      <c r="E110" s="14">
        <v>0.99283050003177575</v>
      </c>
      <c r="F110" s="14">
        <v>0.99644743659666846</v>
      </c>
      <c r="G110" s="14">
        <v>2.3198558026536298E-13</v>
      </c>
      <c r="H110" s="14">
        <v>6.3846103008000865E-2</v>
      </c>
      <c r="I110" s="14">
        <v>0.11309998187473415</v>
      </c>
      <c r="J110" s="14">
        <v>0</v>
      </c>
      <c r="K110" s="14">
        <v>1.0035652291057773</v>
      </c>
      <c r="L110" s="14">
        <v>0.99644743659666846</v>
      </c>
      <c r="M110" s="14">
        <v>0.81758512172756648</v>
      </c>
      <c r="N110" s="14">
        <v>0.89859746652268124</v>
      </c>
      <c r="O110" s="14">
        <v>214.00997262704178</v>
      </c>
      <c r="P110" s="8">
        <v>0.89859746652268124</v>
      </c>
      <c r="Q110" s="54">
        <v>4.219515002177562E-3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0.99907230324009799</v>
      </c>
      <c r="F111" s="14">
        <v>1.0029662894723141</v>
      </c>
      <c r="G111" s="14">
        <v>4.1237129202113868E-32</v>
      </c>
      <c r="H111" s="14">
        <v>4.5373923685316829E-3</v>
      </c>
      <c r="I111" s="14">
        <v>3.4708824083571233E-5</v>
      </c>
      <c r="J111" s="14">
        <v>0</v>
      </c>
      <c r="K111" s="14">
        <v>0.9970424833781053</v>
      </c>
      <c r="L111" s="14">
        <v>1.0029662894723144</v>
      </c>
      <c r="M111" s="14">
        <v>0.82293384051203389</v>
      </c>
      <c r="N111" s="14">
        <v>0.90223281424938073</v>
      </c>
      <c r="O111" s="14">
        <v>415.41505466484239</v>
      </c>
      <c r="P111" s="8">
        <v>0.90223281424938073</v>
      </c>
      <c r="Q111" s="54">
        <v>3.7900060240031886E-6</v>
      </c>
    </row>
    <row r="112" spans="1:17">
      <c r="A112" s="2" t="s">
        <v>469</v>
      </c>
      <c r="B112" s="16" t="s">
        <v>470</v>
      </c>
      <c r="D112" s="14">
        <v>1</v>
      </c>
      <c r="E112" s="14">
        <v>0.99098533669264588</v>
      </c>
      <c r="F112" s="14">
        <v>0.99474959061252244</v>
      </c>
      <c r="G112" s="14">
        <v>2.606587191034282E-15</v>
      </c>
      <c r="H112" s="14">
        <v>2.2021341358793196E-2</v>
      </c>
      <c r="I112" s="14">
        <v>9.5257886132867065E-2</v>
      </c>
      <c r="J112" s="14">
        <v>0</v>
      </c>
      <c r="K112" s="14">
        <v>1.0052781216871318</v>
      </c>
      <c r="L112" s="14">
        <v>0.99474959061252244</v>
      </c>
      <c r="M112" s="14">
        <v>0.81619203909757465</v>
      </c>
      <c r="N112" s="14">
        <v>0.89657696769377881</v>
      </c>
      <c r="O112" s="14">
        <v>184.0224226191481</v>
      </c>
      <c r="P112" s="8">
        <v>0.89657696769377893</v>
      </c>
      <c r="Q112" s="54">
        <v>5.4663941111421773E-3</v>
      </c>
    </row>
    <row r="113" spans="1:17">
      <c r="A113" s="2" t="s">
        <v>471</v>
      </c>
      <c r="B113" s="16" t="s">
        <v>472</v>
      </c>
      <c r="D113" s="14">
        <v>1</v>
      </c>
      <c r="E113" s="14">
        <v>0.95365323808961466</v>
      </c>
      <c r="F113" s="14">
        <v>0.95437089669953845</v>
      </c>
      <c r="G113" s="14">
        <v>3.2077881214644611E-11</v>
      </c>
      <c r="H113" s="14">
        <v>0.62571589457511623</v>
      </c>
      <c r="I113" s="14">
        <v>2.1087949744646686</v>
      </c>
      <c r="J113" s="14">
        <v>0</v>
      </c>
      <c r="K113" s="14">
        <v>1.047810660884839</v>
      </c>
      <c r="L113" s="14">
        <v>0.95437089669953856</v>
      </c>
      <c r="M113" s="14">
        <v>0.78306132074197132</v>
      </c>
      <c r="N113" s="14">
        <v>0.89826825132967814</v>
      </c>
      <c r="O113" s="14">
        <v>135.78222887099415</v>
      </c>
      <c r="P113" s="8">
        <v>0.89826825132967814</v>
      </c>
      <c r="Q113" s="54">
        <v>3.066439198759905E-2</v>
      </c>
    </row>
    <row r="114" spans="1:17">
      <c r="A114" s="2" t="s">
        <v>473</v>
      </c>
      <c r="B114" s="16" t="s">
        <v>474</v>
      </c>
      <c r="D114" s="14">
        <v>1</v>
      </c>
      <c r="E114" s="14">
        <v>0.99488232449915559</v>
      </c>
      <c r="F114" s="14">
        <v>0.99874189237693511</v>
      </c>
      <c r="G114" s="14">
        <v>2.5586602733745209E-18</v>
      </c>
      <c r="H114" s="14">
        <v>6.4122916452063333E-3</v>
      </c>
      <c r="I114" s="14">
        <v>2.9911864574329334E-2</v>
      </c>
      <c r="J114" s="14">
        <v>0</v>
      </c>
      <c r="K114" s="14">
        <v>1.001259692451741</v>
      </c>
      <c r="L114" s="14">
        <v>0.99874189237693523</v>
      </c>
      <c r="M114" s="14">
        <v>0.81946772269527535</v>
      </c>
      <c r="N114" s="14">
        <v>0.89895799806063414</v>
      </c>
      <c r="O114" s="14">
        <v>305.07038622185678</v>
      </c>
      <c r="P114" s="8">
        <v>0.89895799806063414</v>
      </c>
      <c r="Q114" s="54">
        <v>2.8342847881077378E-3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0.99901093122883278</v>
      </c>
      <c r="F115" s="14">
        <v>0.97538294851416152</v>
      </c>
      <c r="G115" s="14">
        <v>1.3232111472046962E-14</v>
      </c>
      <c r="H115" s="14">
        <v>7.7953417413959869</v>
      </c>
      <c r="I115" s="14">
        <v>8.645311135190235E-3</v>
      </c>
      <c r="J115" s="14">
        <v>0</v>
      </c>
      <c r="K115" s="14">
        <v>1.0252383451272535</v>
      </c>
      <c r="L115" s="14">
        <v>0.97538294851416152</v>
      </c>
      <c r="M115" s="14">
        <v>0.80030170925586952</v>
      </c>
      <c r="N115" s="14">
        <v>0.9016130206352474</v>
      </c>
      <c r="O115" s="14">
        <v>173.22690965465009</v>
      </c>
      <c r="P115" s="8">
        <v>0.9016130206352474</v>
      </c>
      <c r="Q115" s="54">
        <v>4.564367744879534E-5</v>
      </c>
    </row>
    <row r="116" spans="1:17">
      <c r="A116" s="2" t="s">
        <v>477</v>
      </c>
      <c r="B116" s="16" t="s">
        <v>478</v>
      </c>
      <c r="D116" s="14">
        <v>1</v>
      </c>
      <c r="E116" s="14">
        <v>0.87881471773993847</v>
      </c>
      <c r="F116" s="14">
        <v>0.12120841501008404</v>
      </c>
      <c r="G116" s="14">
        <v>3.3675351036226571E-19</v>
      </c>
      <c r="H116" s="14">
        <v>210.36606242476628</v>
      </c>
      <c r="I116" s="14">
        <v>47.175967314821207</v>
      </c>
      <c r="J116" s="14">
        <v>0</v>
      </c>
      <c r="K116" s="14">
        <v>8.2502522610893312</v>
      </c>
      <c r="L116" s="14">
        <v>0.12120841501008404</v>
      </c>
      <c r="M116" s="14">
        <v>9.9451504515773961E-2</v>
      </c>
      <c r="N116" s="14">
        <v>101.64234017168845</v>
      </c>
      <c r="O116" s="14">
        <v>46206.607842049569</v>
      </c>
      <c r="P116" s="8">
        <v>101.64234017168845</v>
      </c>
      <c r="Q116" s="54">
        <v>1.1682097158102331E-2</v>
      </c>
    </row>
    <row r="117" spans="1:17">
      <c r="A117" s="2" t="s">
        <v>291</v>
      </c>
      <c r="B117" s="16" t="s">
        <v>479</v>
      </c>
      <c r="D117" s="14">
        <v>1</v>
      </c>
      <c r="E117" s="14">
        <v>0.68421464873105531</v>
      </c>
      <c r="F117" s="14">
        <v>0.47289523515694465</v>
      </c>
      <c r="G117" s="14">
        <v>3.2611699045507675E-12</v>
      </c>
      <c r="H117" s="14">
        <v>48.433397854714102</v>
      </c>
      <c r="I117" s="14">
        <v>112.51284564952743</v>
      </c>
      <c r="J117" s="14">
        <v>0</v>
      </c>
      <c r="K117" s="14">
        <v>2.1146332753133357</v>
      </c>
      <c r="L117" s="14">
        <v>0.47289523515694465</v>
      </c>
      <c r="M117" s="14">
        <v>0.38801054044627309</v>
      </c>
      <c r="N117" s="14">
        <v>2.6167741207578206</v>
      </c>
      <c r="O117" s="14">
        <v>806.8299646532588</v>
      </c>
      <c r="P117" s="8">
        <v>2.616774120757821</v>
      </c>
      <c r="Q117" s="54">
        <v>0.2113499302812169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2.6194266953762965E-8</v>
      </c>
      <c r="E2" s="20">
        <v>0.97573800741198413</v>
      </c>
      <c r="F2" s="20">
        <v>5.9990221313100159E-4</v>
      </c>
      <c r="G2" s="20">
        <v>2.4075539036436697E-4</v>
      </c>
      <c r="H2" s="20">
        <v>0</v>
      </c>
      <c r="I2" s="20">
        <v>0.97489734980848874</v>
      </c>
      <c r="J2" s="20">
        <v>9.1187149014089225E-4</v>
      </c>
      <c r="K2" s="20">
        <v>2.3350094903608003E-2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1.9918190862472155E-8</v>
      </c>
      <c r="E3" s="20">
        <v>0.69557757922992036</v>
      </c>
      <c r="F3" s="20">
        <v>0.18499212144617783</v>
      </c>
      <c r="G3" s="20">
        <v>4.4940864829437176E-2</v>
      </c>
      <c r="H3" s="20">
        <v>0</v>
      </c>
      <c r="I3" s="20">
        <v>0.46564459295430538</v>
      </c>
      <c r="J3" s="20">
        <v>3.9849584880888387E-3</v>
      </c>
      <c r="K3" s="20">
        <v>0.30043744236379988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1.3590054771899135E-17</v>
      </c>
      <c r="E4" s="20">
        <v>0.99893515045610581</v>
      </c>
      <c r="F4" s="20">
        <v>4.214008645103484E-4</v>
      </c>
      <c r="G4" s="20">
        <v>4.6407808886938118E-7</v>
      </c>
      <c r="H4" s="20">
        <v>0</v>
      </c>
      <c r="I4" s="20">
        <v>0.9985132855135066</v>
      </c>
      <c r="J4" s="20">
        <v>1.0442193317208731E-3</v>
      </c>
      <c r="K4" s="20">
        <v>2.0630212173298449E-5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2.2627657710550247E-10</v>
      </c>
      <c r="E5" s="20">
        <v>0.99897942697873598</v>
      </c>
      <c r="F5" s="20">
        <v>0.45177529758830864</v>
      </c>
      <c r="G5" s="20">
        <v>3.5857643605448618E-5</v>
      </c>
      <c r="H5" s="20">
        <v>0</v>
      </c>
      <c r="I5" s="20">
        <v>0.54716827174682192</v>
      </c>
      <c r="J5" s="20">
        <v>8.3260026926009313E-4</v>
      </c>
      <c r="K5" s="20">
        <v>1.8797252572718892E-4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1.8563538905833975E-11</v>
      </c>
      <c r="E6" s="20">
        <v>0.99852825556690983</v>
      </c>
      <c r="F6" s="20">
        <v>0.67447998236906714</v>
      </c>
      <c r="G6" s="20">
        <v>1.9559673042905825E-4</v>
      </c>
      <c r="H6" s="20">
        <v>0</v>
      </c>
      <c r="I6" s="20">
        <v>0.32385267646741367</v>
      </c>
      <c r="J6" s="20">
        <v>7.6693090237169048E-4</v>
      </c>
      <c r="K6" s="20">
        <v>7.0481351215486397E-4</v>
      </c>
      <c r="L6" s="20">
        <v>0</v>
      </c>
    </row>
    <row r="7" spans="1:14">
      <c r="A7" s="2" t="s">
        <v>366</v>
      </c>
      <c r="B7" s="3" t="s">
        <v>305</v>
      </c>
      <c r="D7" s="20">
        <v>1.6193029089591282E-7</v>
      </c>
      <c r="E7" s="20">
        <v>0.99553542114786653</v>
      </c>
      <c r="F7" s="20">
        <v>0.88618355134301119</v>
      </c>
      <c r="G7" s="20">
        <v>1.8039262921168225E-3</v>
      </c>
      <c r="H7" s="20">
        <v>0</v>
      </c>
      <c r="I7" s="20">
        <v>0.10754794351273847</v>
      </c>
      <c r="J7" s="20">
        <v>7.4108787015164028E-4</v>
      </c>
      <c r="K7" s="20">
        <v>3.7233290516912689E-3</v>
      </c>
      <c r="L7" s="20">
        <v>0</v>
      </c>
    </row>
    <row r="8" spans="1:14">
      <c r="A8" s="2" t="s">
        <v>289</v>
      </c>
      <c r="B8" s="3" t="s">
        <v>290</v>
      </c>
      <c r="D8" s="20">
        <v>1.1501978088399344E-17</v>
      </c>
      <c r="E8" s="20">
        <v>0.9989276877114398</v>
      </c>
      <c r="F8" s="20">
        <v>0.76916517396020689</v>
      </c>
      <c r="G8" s="20">
        <v>1.1696184145396295E-4</v>
      </c>
      <c r="H8" s="20">
        <v>0</v>
      </c>
      <c r="I8" s="20">
        <v>0.22964555190977889</v>
      </c>
      <c r="J8" s="20">
        <v>7.246506059143652E-4</v>
      </c>
      <c r="K8" s="20">
        <v>3.476616826458535E-4</v>
      </c>
      <c r="L8" s="20">
        <v>0</v>
      </c>
    </row>
    <row r="9" spans="1:14">
      <c r="A9" s="2" t="s">
        <v>291</v>
      </c>
      <c r="B9" s="3" t="s">
        <v>292</v>
      </c>
      <c r="D9" s="20">
        <v>4.8205660140756628E-13</v>
      </c>
      <c r="E9" s="20">
        <v>0.99828971915433817</v>
      </c>
      <c r="F9" s="20">
        <v>0.38469686750294985</v>
      </c>
      <c r="G9" s="20">
        <v>1.4581110411429767E-4</v>
      </c>
      <c r="H9" s="20">
        <v>0</v>
      </c>
      <c r="I9" s="20">
        <v>0.61344704054727406</v>
      </c>
      <c r="J9" s="20">
        <v>8.5579823420073981E-4</v>
      </c>
      <c r="K9" s="20">
        <v>8.5448261097903543E-4</v>
      </c>
      <c r="L9" s="20">
        <v>0</v>
      </c>
    </row>
    <row r="10" spans="1:14">
      <c r="A10" s="2" t="s">
        <v>367</v>
      </c>
      <c r="B10" s="3" t="s">
        <v>368</v>
      </c>
      <c r="D10" s="20">
        <v>1.444897381194334E-5</v>
      </c>
      <c r="E10" s="20">
        <v>0.88311026834742479</v>
      </c>
      <c r="F10" s="20">
        <v>0.74303833203767311</v>
      </c>
      <c r="G10" s="20">
        <v>0.12977970247784798</v>
      </c>
      <c r="H10" s="20">
        <v>0</v>
      </c>
      <c r="I10" s="20">
        <v>1.0292233831903641E-2</v>
      </c>
      <c r="J10" s="20">
        <v>7.0456819586729559E-3</v>
      </c>
      <c r="K10" s="20">
        <v>0.10982960072009038</v>
      </c>
      <c r="L10" s="20">
        <v>0</v>
      </c>
    </row>
    <row r="11" spans="1:14">
      <c r="A11" s="2" t="s">
        <v>369</v>
      </c>
      <c r="B11" s="3" t="s">
        <v>370</v>
      </c>
      <c r="D11" s="20">
        <v>5.7852778516932352E-12</v>
      </c>
      <c r="E11" s="20">
        <v>0.93896342288215129</v>
      </c>
      <c r="F11" s="20">
        <v>0.54221410661886782</v>
      </c>
      <c r="G11" s="20">
        <v>0.39615503883133429</v>
      </c>
      <c r="H11" s="20">
        <v>0</v>
      </c>
      <c r="I11" s="20">
        <v>5.9427743194920008E-4</v>
      </c>
      <c r="J11" s="20">
        <v>4.3810840008823716E-2</v>
      </c>
      <c r="K11" s="20">
        <v>1.7225737103239748E-2</v>
      </c>
      <c r="L11" s="20">
        <v>0</v>
      </c>
    </row>
    <row r="12" spans="1:14">
      <c r="A12" s="2" t="s">
        <v>371</v>
      </c>
      <c r="B12" s="3" t="s">
        <v>372</v>
      </c>
      <c r="D12" s="20">
        <v>7.489509498914533E-2</v>
      </c>
      <c r="E12" s="20">
        <v>0.92006171588054542</v>
      </c>
      <c r="F12" s="20">
        <v>2.5861217366803642E-5</v>
      </c>
      <c r="G12" s="20">
        <v>1.2818490314270833E-5</v>
      </c>
      <c r="H12" s="20">
        <v>0</v>
      </c>
      <c r="I12" s="20">
        <v>0.92002303617286429</v>
      </c>
      <c r="J12" s="20">
        <v>8.499511562841326E-4</v>
      </c>
      <c r="K12" s="20">
        <v>4.1932379740251486E-3</v>
      </c>
      <c r="L12" s="20">
        <v>0</v>
      </c>
    </row>
    <row r="13" spans="1:14">
      <c r="A13" s="2" t="s">
        <v>293</v>
      </c>
      <c r="B13" s="3" t="s">
        <v>294</v>
      </c>
      <c r="D13" s="20">
        <v>1.7492850764325648E-8</v>
      </c>
      <c r="E13" s="20">
        <v>0.69995944485040051</v>
      </c>
      <c r="F13" s="20">
        <v>0.14032492086581008</v>
      </c>
      <c r="G13" s="20">
        <v>3.599402063925089E-2</v>
      </c>
      <c r="H13" s="20">
        <v>0</v>
      </c>
      <c r="I13" s="20">
        <v>0.52364050334533951</v>
      </c>
      <c r="J13" s="20">
        <v>2.3651061131573165E-3</v>
      </c>
      <c r="K13" s="20">
        <v>0.29767543154359138</v>
      </c>
      <c r="L13" s="20">
        <v>0</v>
      </c>
    </row>
    <row r="14" spans="1:14">
      <c r="A14" s="2" t="s">
        <v>373</v>
      </c>
      <c r="B14" s="3" t="s">
        <v>374</v>
      </c>
      <c r="D14" s="20">
        <v>8.5702054767517643E-8</v>
      </c>
      <c r="E14" s="20">
        <v>0.99796662883960674</v>
      </c>
      <c r="F14" s="20">
        <v>0.98762249777868916</v>
      </c>
      <c r="G14" s="20">
        <v>1.5472362248074739E-3</v>
      </c>
      <c r="H14" s="20">
        <v>0</v>
      </c>
      <c r="I14" s="20">
        <v>8.7968948361101112E-3</v>
      </c>
      <c r="J14" s="20">
        <v>1.2522526895972306E-3</v>
      </c>
      <c r="K14" s="20">
        <v>7.8103276874102328E-4</v>
      </c>
      <c r="L14" s="20">
        <v>0</v>
      </c>
    </row>
    <row r="15" spans="1:14">
      <c r="A15" s="2" t="s">
        <v>375</v>
      </c>
      <c r="B15" s="3" t="s">
        <v>376</v>
      </c>
      <c r="D15" s="20">
        <v>8.5074445178426966E-2</v>
      </c>
      <c r="E15" s="20">
        <v>0.78677754788616039</v>
      </c>
      <c r="F15" s="20">
        <v>1.9447928106434153E-2</v>
      </c>
      <c r="G15" s="20">
        <v>5.9315595619760008E-3</v>
      </c>
      <c r="H15" s="20">
        <v>0</v>
      </c>
      <c r="I15" s="20">
        <v>0.76139806021775025</v>
      </c>
      <c r="J15" s="20">
        <v>1.0082062394267761E-3</v>
      </c>
      <c r="K15" s="20">
        <v>0.12713980069598571</v>
      </c>
      <c r="L15" s="20">
        <v>0</v>
      </c>
    </row>
    <row r="16" spans="1:14">
      <c r="A16" s="2" t="s">
        <v>377</v>
      </c>
      <c r="B16" s="3" t="s">
        <v>378</v>
      </c>
      <c r="D16" s="20">
        <v>6.6536257500328171E-4</v>
      </c>
      <c r="E16" s="20">
        <v>0.68863397704903684</v>
      </c>
      <c r="F16" s="20">
        <v>0.15985734074242078</v>
      </c>
      <c r="G16" s="20">
        <v>4.040435139495055E-2</v>
      </c>
      <c r="H16" s="20">
        <v>0</v>
      </c>
      <c r="I16" s="20">
        <v>0.48837228491166546</v>
      </c>
      <c r="J16" s="20">
        <v>2.5658456262833513E-3</v>
      </c>
      <c r="K16" s="20">
        <v>0.30813481474967658</v>
      </c>
      <c r="L16" s="20">
        <v>0</v>
      </c>
    </row>
    <row r="17" spans="1:12">
      <c r="A17" s="2" t="s">
        <v>379</v>
      </c>
      <c r="B17" s="3" t="s">
        <v>380</v>
      </c>
      <c r="D17" s="20">
        <v>2.0008910694899328E-3</v>
      </c>
      <c r="E17" s="20">
        <v>0.69432946941562057</v>
      </c>
      <c r="F17" s="20">
        <v>0.14719656004582765</v>
      </c>
      <c r="G17" s="20">
        <v>3.7548553930347825E-2</v>
      </c>
      <c r="H17" s="20">
        <v>0</v>
      </c>
      <c r="I17" s="20">
        <v>0.50958435543944514</v>
      </c>
      <c r="J17" s="20">
        <v>2.4343507990348258E-3</v>
      </c>
      <c r="K17" s="20">
        <v>0.30123528871585464</v>
      </c>
      <c r="L17" s="20">
        <v>0</v>
      </c>
    </row>
    <row r="18" spans="1:12">
      <c r="A18" s="2" t="s">
        <v>381</v>
      </c>
      <c r="B18" s="3" t="s">
        <v>382</v>
      </c>
      <c r="D18" s="20">
        <v>4.1314579852226806E-8</v>
      </c>
      <c r="E18" s="20">
        <v>0.8835135732061925</v>
      </c>
      <c r="F18" s="20">
        <v>0.23800032793278744</v>
      </c>
      <c r="G18" s="20">
        <v>0.64487139167380125</v>
      </c>
      <c r="H18" s="20">
        <v>0</v>
      </c>
      <c r="I18" s="20">
        <v>6.4185359960379051E-4</v>
      </c>
      <c r="J18" s="20">
        <v>3.606237217688011E-2</v>
      </c>
      <c r="K18" s="20">
        <v>8.0424013302347469E-2</v>
      </c>
      <c r="L18" s="20">
        <v>0</v>
      </c>
    </row>
    <row r="19" spans="1:12">
      <c r="A19" s="2" t="s">
        <v>383</v>
      </c>
      <c r="B19" s="3" t="s">
        <v>384</v>
      </c>
      <c r="D19" s="20">
        <v>1.1761541410538852E-2</v>
      </c>
      <c r="E19" s="20">
        <v>0.91078293628673435</v>
      </c>
      <c r="F19" s="20">
        <v>6.2796936406688013E-3</v>
      </c>
      <c r="G19" s="20">
        <v>2.1078223843543189E-3</v>
      </c>
      <c r="H19" s="20">
        <v>0</v>
      </c>
      <c r="I19" s="20">
        <v>0.90239542026171127</v>
      </c>
      <c r="J19" s="20">
        <v>9.4051169221254823E-4</v>
      </c>
      <c r="K19" s="20">
        <v>7.6515010610514148E-2</v>
      </c>
      <c r="L19" s="20">
        <v>0</v>
      </c>
    </row>
    <row r="20" spans="1:12">
      <c r="A20" s="2" t="s">
        <v>385</v>
      </c>
      <c r="B20" s="3" t="s">
        <v>386</v>
      </c>
      <c r="D20" s="20">
        <v>2.1960310839277398E-2</v>
      </c>
      <c r="E20" s="20">
        <v>0.87592133884388623</v>
      </c>
      <c r="F20" s="20">
        <v>1.1197284115705301E-2</v>
      </c>
      <c r="G20" s="20">
        <v>3.5892875567322892E-3</v>
      </c>
      <c r="H20" s="20">
        <v>0</v>
      </c>
      <c r="I20" s="20">
        <v>0.86113476717144866</v>
      </c>
      <c r="J20" s="20">
        <v>9.7883131289453547E-4</v>
      </c>
      <c r="K20" s="20">
        <v>0.10113951900394191</v>
      </c>
      <c r="L20" s="20">
        <v>0</v>
      </c>
    </row>
    <row r="21" spans="1:12">
      <c r="A21" s="2" t="s">
        <v>387</v>
      </c>
      <c r="B21" s="3" t="s">
        <v>388</v>
      </c>
      <c r="D21" s="20">
        <v>1.8597100388341478E-3</v>
      </c>
      <c r="E21" s="20">
        <v>0.92744809090938496</v>
      </c>
      <c r="F21" s="20">
        <v>0.7896638265694258</v>
      </c>
      <c r="G21" s="20">
        <v>3.186848413402054E-2</v>
      </c>
      <c r="H21" s="20">
        <v>0</v>
      </c>
      <c r="I21" s="20">
        <v>0.10591578020593859</v>
      </c>
      <c r="J21" s="20">
        <v>2.1948069812535195E-3</v>
      </c>
      <c r="K21" s="20">
        <v>6.8497392070527408E-2</v>
      </c>
      <c r="L21" s="20">
        <v>0</v>
      </c>
    </row>
    <row r="22" spans="1:12">
      <c r="A22" s="2" t="s">
        <v>295</v>
      </c>
      <c r="B22" s="3" t="s">
        <v>296</v>
      </c>
      <c r="D22" s="20">
        <v>6.5497581918796566E-2</v>
      </c>
      <c r="E22" s="20">
        <v>0.90408945479409408</v>
      </c>
      <c r="F22" s="20">
        <v>1.0122772617258157E-3</v>
      </c>
      <c r="G22" s="20">
        <v>3.8868254434491246E-4</v>
      </c>
      <c r="H22" s="20">
        <v>0</v>
      </c>
      <c r="I22" s="20">
        <v>0.90268849498802339</v>
      </c>
      <c r="J22" s="20">
        <v>8.5274290592568655E-4</v>
      </c>
      <c r="K22" s="20">
        <v>2.9560220381183562E-2</v>
      </c>
      <c r="L22" s="20">
        <v>0</v>
      </c>
    </row>
    <row r="23" spans="1:12">
      <c r="A23" s="2" t="s">
        <v>389</v>
      </c>
      <c r="B23" s="3" t="s">
        <v>390</v>
      </c>
      <c r="D23" s="20">
        <v>6.8869743059419036E-2</v>
      </c>
      <c r="E23" s="20">
        <v>0.76517483731977187</v>
      </c>
      <c r="F23" s="20">
        <v>3.3597168508904415E-2</v>
      </c>
      <c r="G23" s="20">
        <v>9.8038855566699428E-3</v>
      </c>
      <c r="H23" s="20">
        <v>0</v>
      </c>
      <c r="I23" s="20">
        <v>0.7217737832541975</v>
      </c>
      <c r="J23" s="20">
        <v>1.1730045924831308E-3</v>
      </c>
      <c r="K23" s="20">
        <v>0.16478241502832605</v>
      </c>
      <c r="L23" s="20">
        <v>0</v>
      </c>
    </row>
    <row r="24" spans="1:12">
      <c r="A24" s="2" t="s">
        <v>391</v>
      </c>
      <c r="B24" s="3" t="s">
        <v>392</v>
      </c>
      <c r="D24" s="20">
        <v>1.9635372345829906E-3</v>
      </c>
      <c r="E24" s="20">
        <v>0.66459874358721716</v>
      </c>
      <c r="F24" s="20">
        <v>0.2310539280145637</v>
      </c>
      <c r="G24" s="20">
        <v>5.5771061616671967E-2</v>
      </c>
      <c r="H24" s="20">
        <v>0</v>
      </c>
      <c r="I24" s="20">
        <v>0.37777375395598151</v>
      </c>
      <c r="J24" s="20">
        <v>3.2799343334006716E-3</v>
      </c>
      <c r="K24" s="20">
        <v>0.33015778484479902</v>
      </c>
      <c r="L24" s="20">
        <v>0</v>
      </c>
    </row>
    <row r="25" spans="1:12">
      <c r="A25" s="2" t="s">
        <v>393</v>
      </c>
      <c r="B25" s="3" t="s">
        <v>394</v>
      </c>
      <c r="D25" s="20">
        <v>1.9039702747510845E-4</v>
      </c>
      <c r="E25" s="20">
        <v>0.87800301884618304</v>
      </c>
      <c r="F25" s="20">
        <v>0.2841413101881059</v>
      </c>
      <c r="G25" s="20">
        <v>0.59296619378259052</v>
      </c>
      <c r="H25" s="20">
        <v>0</v>
      </c>
      <c r="I25" s="20">
        <v>8.9551487548659298E-4</v>
      </c>
      <c r="J25" s="20">
        <v>3.3061855726061351E-2</v>
      </c>
      <c r="K25" s="20">
        <v>8.874472840028054E-2</v>
      </c>
      <c r="L25" s="20">
        <v>0</v>
      </c>
    </row>
    <row r="26" spans="1:12">
      <c r="A26" s="2" t="s">
        <v>395</v>
      </c>
      <c r="B26" s="3" t="s">
        <v>396</v>
      </c>
      <c r="D26" s="20">
        <v>0.13256915919797241</v>
      </c>
      <c r="E26" s="20">
        <v>0.60007279901087229</v>
      </c>
      <c r="F26" s="20">
        <v>0.38187103362343849</v>
      </c>
      <c r="G26" s="20">
        <v>8.2378195049364944E-2</v>
      </c>
      <c r="H26" s="20">
        <v>0</v>
      </c>
      <c r="I26" s="20">
        <v>0.13582357033806886</v>
      </c>
      <c r="J26" s="20">
        <v>4.4978002394792374E-3</v>
      </c>
      <c r="K26" s="20">
        <v>0.26286024155167609</v>
      </c>
      <c r="L26" s="20">
        <v>0</v>
      </c>
    </row>
    <row r="27" spans="1:12">
      <c r="A27" s="2" t="s">
        <v>397</v>
      </c>
      <c r="B27" s="3" t="s">
        <v>398</v>
      </c>
      <c r="D27" s="20">
        <v>0.60262370296431</v>
      </c>
      <c r="E27" s="20">
        <v>0.31826037205514307</v>
      </c>
      <c r="F27" s="20">
        <v>0.25393374908060901</v>
      </c>
      <c r="G27" s="20">
        <v>4.8240964253604912E-2</v>
      </c>
      <c r="H27" s="20">
        <v>0</v>
      </c>
      <c r="I27" s="20">
        <v>1.6085658720929159E-2</v>
      </c>
      <c r="J27" s="20">
        <v>2.6040912666132439E-3</v>
      </c>
      <c r="K27" s="20">
        <v>7.6511833713933886E-2</v>
      </c>
      <c r="L27" s="20">
        <v>0</v>
      </c>
    </row>
    <row r="28" spans="1:12">
      <c r="A28" s="2" t="s">
        <v>399</v>
      </c>
      <c r="B28" s="3" t="s">
        <v>400</v>
      </c>
      <c r="D28" s="20">
        <v>0.76580618652803001</v>
      </c>
      <c r="E28" s="20">
        <v>0.16618680840863376</v>
      </c>
      <c r="F28" s="20">
        <v>0.11323823337705846</v>
      </c>
      <c r="G28" s="20">
        <v>2.3850014132182469E-2</v>
      </c>
      <c r="H28" s="20">
        <v>0</v>
      </c>
      <c r="I28" s="20">
        <v>2.909856089939284E-2</v>
      </c>
      <c r="J28" s="20">
        <v>1.2954182057769781E-3</v>
      </c>
      <c r="K28" s="20">
        <v>6.6711586857559194E-2</v>
      </c>
      <c r="L28" s="20">
        <v>0</v>
      </c>
    </row>
    <row r="29" spans="1:12">
      <c r="A29" s="2" t="s">
        <v>297</v>
      </c>
      <c r="B29" s="3" t="s">
        <v>298</v>
      </c>
      <c r="D29" s="20">
        <v>0.9315533543322706</v>
      </c>
      <c r="E29" s="20">
        <v>6.0460361640719835E-2</v>
      </c>
      <c r="F29" s="20">
        <v>9.8782940292129026E-4</v>
      </c>
      <c r="G29" s="20">
        <v>3.1086906305269151E-4</v>
      </c>
      <c r="H29" s="20">
        <v>0</v>
      </c>
      <c r="I29" s="20">
        <v>5.9161663174745853E-2</v>
      </c>
      <c r="J29" s="20">
        <v>7.0569292015061513E-5</v>
      </c>
      <c r="K29" s="20">
        <v>7.9157147349943995E-3</v>
      </c>
      <c r="L29" s="20">
        <v>0</v>
      </c>
    </row>
    <row r="30" spans="1:12">
      <c r="A30" s="2" t="s">
        <v>401</v>
      </c>
      <c r="B30" s="3" t="s">
        <v>402</v>
      </c>
      <c r="D30" s="20">
        <v>0.90871839540705945</v>
      </c>
      <c r="E30" s="20">
        <v>6.4377128144674445E-2</v>
      </c>
      <c r="F30" s="20">
        <v>4.3241777178267465E-2</v>
      </c>
      <c r="G30" s="20">
        <v>9.1579673307090985E-3</v>
      </c>
      <c r="H30" s="20">
        <v>0</v>
      </c>
      <c r="I30" s="20">
        <v>1.1977383635697883E-2</v>
      </c>
      <c r="J30" s="20">
        <v>4.9792305020199626E-4</v>
      </c>
      <c r="K30" s="20">
        <v>2.6406553398064182E-2</v>
      </c>
      <c r="L30" s="20">
        <v>0</v>
      </c>
    </row>
    <row r="31" spans="1:12">
      <c r="A31" s="2" t="s">
        <v>299</v>
      </c>
      <c r="B31" s="3" t="s">
        <v>300</v>
      </c>
      <c r="D31" s="20">
        <v>0.99803353411640594</v>
      </c>
      <c r="E31" s="20">
        <v>1.3154860627098001E-3</v>
      </c>
      <c r="F31" s="20">
        <v>7.0830343636238099E-4</v>
      </c>
      <c r="G31" s="20">
        <v>1.5940975862116855E-4</v>
      </c>
      <c r="H31" s="20">
        <v>0</v>
      </c>
      <c r="I31" s="20">
        <v>4.4777286772625053E-4</v>
      </c>
      <c r="J31" s="20">
        <v>8.8430574654514866E-6</v>
      </c>
      <c r="K31" s="20">
        <v>6.4213676341875765E-4</v>
      </c>
      <c r="L31" s="20">
        <v>0</v>
      </c>
    </row>
    <row r="32" spans="1:12">
      <c r="A32" s="2" t="s">
        <v>343</v>
      </c>
      <c r="B32" s="3" t="s">
        <v>344</v>
      </c>
      <c r="D32" s="20">
        <v>1.959827907816623E-3</v>
      </c>
      <c r="E32" s="20">
        <v>0.7122920744119362</v>
      </c>
      <c r="F32" s="20">
        <v>0.12003064852356375</v>
      </c>
      <c r="G32" s="20">
        <v>3.1303125901542987E-2</v>
      </c>
      <c r="H32" s="20">
        <v>0</v>
      </c>
      <c r="I32" s="20">
        <v>0.56095829998682945</v>
      </c>
      <c r="J32" s="20">
        <v>2.1519425934660337E-3</v>
      </c>
      <c r="K32" s="20">
        <v>0.2835961550867811</v>
      </c>
      <c r="L32" s="20">
        <v>0</v>
      </c>
    </row>
    <row r="33" spans="1:12">
      <c r="A33" s="2" t="s">
        <v>345</v>
      </c>
      <c r="B33" s="3" t="s">
        <v>346</v>
      </c>
      <c r="D33" s="20">
        <v>8.3530287831078492E-5</v>
      </c>
      <c r="E33" s="20">
        <v>0.78269167067315526</v>
      </c>
      <c r="F33" s="20">
        <v>5.7242447276742853E-2</v>
      </c>
      <c r="G33" s="20">
        <v>1.6040346595758086E-2</v>
      </c>
      <c r="H33" s="20">
        <v>0</v>
      </c>
      <c r="I33" s="20">
        <v>0.70940887680065434</v>
      </c>
      <c r="J33" s="20">
        <v>1.4869329439774817E-3</v>
      </c>
      <c r="K33" s="20">
        <v>0.21573786609503623</v>
      </c>
      <c r="L33" s="20">
        <v>0</v>
      </c>
    </row>
    <row r="34" spans="1:12">
      <c r="A34" s="2" t="s">
        <v>347</v>
      </c>
      <c r="B34" s="3" t="s">
        <v>348</v>
      </c>
      <c r="D34" s="20">
        <v>7.2140802778290834E-5</v>
      </c>
      <c r="E34" s="20">
        <v>0.68455614843283163</v>
      </c>
      <c r="F34" s="20">
        <v>0.41961903984764498</v>
      </c>
      <c r="G34" s="20">
        <v>9.1527318956155332E-2</v>
      </c>
      <c r="H34" s="20">
        <v>0</v>
      </c>
      <c r="I34" s="20">
        <v>0.17340978962903128</v>
      </c>
      <c r="J34" s="20">
        <v>5.0134055562916788E-3</v>
      </c>
      <c r="K34" s="20">
        <v>0.31035830520809854</v>
      </c>
      <c r="L34" s="20">
        <v>0</v>
      </c>
    </row>
    <row r="35" spans="1:12">
      <c r="A35" s="2" t="s">
        <v>349</v>
      </c>
      <c r="B35" s="3" t="s">
        <v>350</v>
      </c>
      <c r="D35" s="20">
        <v>1.3191331759112601E-2</v>
      </c>
      <c r="E35" s="20">
        <v>0.83489654054088114</v>
      </c>
      <c r="F35" s="20">
        <v>0.69018077489974383</v>
      </c>
      <c r="G35" s="20">
        <v>0.12406760913041577</v>
      </c>
      <c r="H35" s="20">
        <v>0</v>
      </c>
      <c r="I35" s="20">
        <v>2.0648156510721494E-2</v>
      </c>
      <c r="J35" s="20">
        <v>6.7106474767440792E-3</v>
      </c>
      <c r="K35" s="20">
        <v>0.14520148022326221</v>
      </c>
      <c r="L35" s="20">
        <v>0</v>
      </c>
    </row>
    <row r="36" spans="1:12">
      <c r="A36" s="2" t="s">
        <v>351</v>
      </c>
      <c r="B36" s="3" t="s">
        <v>352</v>
      </c>
      <c r="D36" s="20">
        <v>3.5657558648288307E-4</v>
      </c>
      <c r="E36" s="20">
        <v>0.8676845915710053</v>
      </c>
      <c r="F36" s="20">
        <v>0.59050804680129376</v>
      </c>
      <c r="G36" s="20">
        <v>0.27259719046966663</v>
      </c>
      <c r="H36" s="20">
        <v>0</v>
      </c>
      <c r="I36" s="20">
        <v>4.5793543000448656E-3</v>
      </c>
      <c r="J36" s="20">
        <v>1.4945861941725654E-2</v>
      </c>
      <c r="K36" s="20">
        <v>0.11701297090078608</v>
      </c>
      <c r="L36" s="20">
        <v>0</v>
      </c>
    </row>
    <row r="37" spans="1:12">
      <c r="A37" s="2" t="s">
        <v>353</v>
      </c>
      <c r="B37" s="3" t="s">
        <v>354</v>
      </c>
      <c r="D37" s="20">
        <v>2.4296284318897905E-3</v>
      </c>
      <c r="E37" s="20">
        <v>0.87983349321927817</v>
      </c>
      <c r="F37" s="20">
        <v>0.24975493364539966</v>
      </c>
      <c r="G37" s="20">
        <v>0.6293752079383349</v>
      </c>
      <c r="H37" s="20">
        <v>0</v>
      </c>
      <c r="I37" s="20">
        <v>7.033516355436475E-4</v>
      </c>
      <c r="J37" s="20">
        <v>3.5166882657075585E-2</v>
      </c>
      <c r="K37" s="20">
        <v>8.2569995691756493E-2</v>
      </c>
      <c r="L37" s="20">
        <v>0</v>
      </c>
    </row>
    <row r="38" spans="1:12">
      <c r="A38" s="2" t="s">
        <v>355</v>
      </c>
      <c r="B38" s="3" t="s">
        <v>356</v>
      </c>
      <c r="D38" s="20">
        <v>1.3340900918469486E-4</v>
      </c>
      <c r="E38" s="20">
        <v>0.86667266099674356</v>
      </c>
      <c r="F38" s="20">
        <v>0.46736843050577787</v>
      </c>
      <c r="G38" s="20">
        <v>0.39678471055397324</v>
      </c>
      <c r="H38" s="20">
        <v>0</v>
      </c>
      <c r="I38" s="20">
        <v>2.5195199369924641E-3</v>
      </c>
      <c r="J38" s="20">
        <v>2.1901004264812417E-2</v>
      </c>
      <c r="K38" s="20">
        <v>0.11129292572925936</v>
      </c>
      <c r="L38" s="20">
        <v>0</v>
      </c>
    </row>
    <row r="39" spans="1:12">
      <c r="A39" s="2" t="s">
        <v>357</v>
      </c>
      <c r="B39" s="3" t="s">
        <v>358</v>
      </c>
      <c r="D39" s="20">
        <v>2.6946206005362728E-2</v>
      </c>
      <c r="E39" s="20">
        <v>0.84351463863657572</v>
      </c>
      <c r="F39" s="20">
        <v>0.5419657484671474</v>
      </c>
      <c r="G39" s="20">
        <v>0.2977607131405563</v>
      </c>
      <c r="H39" s="20">
        <v>0</v>
      </c>
      <c r="I39" s="20">
        <v>3.7881770288720395E-3</v>
      </c>
      <c r="J39" s="20">
        <v>1.6356461466684583E-2</v>
      </c>
      <c r="K39" s="20">
        <v>0.11318269389137713</v>
      </c>
      <c r="L39" s="20">
        <v>0</v>
      </c>
    </row>
    <row r="40" spans="1:12">
      <c r="A40" s="2" t="s">
        <v>359</v>
      </c>
      <c r="B40" s="3" t="s">
        <v>360</v>
      </c>
      <c r="D40" s="20">
        <v>1.3340900918469486E-4</v>
      </c>
      <c r="E40" s="20">
        <v>0.86667266099674356</v>
      </c>
      <c r="F40" s="20">
        <v>0.46736843050577787</v>
      </c>
      <c r="G40" s="20">
        <v>0.39678471055397324</v>
      </c>
      <c r="H40" s="20">
        <v>0</v>
      </c>
      <c r="I40" s="20">
        <v>2.5195199369924641E-3</v>
      </c>
      <c r="J40" s="20">
        <v>2.1901004264812417E-2</v>
      </c>
      <c r="K40" s="20">
        <v>0.11129292572925936</v>
      </c>
      <c r="L40" s="20">
        <v>0</v>
      </c>
    </row>
    <row r="41" spans="1:12">
      <c r="A41" s="2" t="s">
        <v>313</v>
      </c>
      <c r="B41" s="3" t="s">
        <v>314</v>
      </c>
      <c r="D41" s="20">
        <v>5.6071089901944708E-8</v>
      </c>
      <c r="E41" s="20">
        <v>0.99889990940317197</v>
      </c>
      <c r="F41" s="20">
        <v>4.550203510339268E-2</v>
      </c>
      <c r="G41" s="20">
        <v>1.0828077886414514E-5</v>
      </c>
      <c r="H41" s="20">
        <v>0</v>
      </c>
      <c r="I41" s="20">
        <v>0.95338704622189285</v>
      </c>
      <c r="J41" s="20">
        <v>9.1987219088404356E-4</v>
      </c>
      <c r="K41" s="20">
        <v>1.8016233485403134E-4</v>
      </c>
      <c r="L41" s="20">
        <v>0</v>
      </c>
    </row>
    <row r="42" spans="1:12">
      <c r="A42" s="2" t="s">
        <v>315</v>
      </c>
      <c r="B42" s="3" t="s">
        <v>316</v>
      </c>
      <c r="D42" s="20">
        <v>3.5041191607875239E-3</v>
      </c>
      <c r="E42" s="20">
        <v>0.88041767273959115</v>
      </c>
      <c r="F42" s="20">
        <v>0.23716635622183282</v>
      </c>
      <c r="G42" s="20">
        <v>0.64261171202322631</v>
      </c>
      <c r="H42" s="20">
        <v>0</v>
      </c>
      <c r="I42" s="20">
        <v>6.3960449453198936E-4</v>
      </c>
      <c r="J42" s="20">
        <v>3.5936006812232676E-2</v>
      </c>
      <c r="K42" s="20">
        <v>8.0142201287388665E-2</v>
      </c>
      <c r="L42" s="20">
        <v>0</v>
      </c>
    </row>
    <row r="43" spans="1:12">
      <c r="A43" s="2" t="s">
        <v>317</v>
      </c>
      <c r="B43" s="3" t="s">
        <v>318</v>
      </c>
      <c r="D43" s="20">
        <v>4.4013937616800696E-12</v>
      </c>
      <c r="E43" s="20">
        <v>0.66319789462883127</v>
      </c>
      <c r="F43" s="20">
        <v>0.2506481124664483</v>
      </c>
      <c r="G43" s="20">
        <v>5.9835647335235179E-2</v>
      </c>
      <c r="H43" s="20">
        <v>0</v>
      </c>
      <c r="I43" s="20">
        <v>0.35271413482714775</v>
      </c>
      <c r="J43" s="20">
        <v>3.4734699635759099E-3</v>
      </c>
      <c r="K43" s="20">
        <v>0.33332863540319135</v>
      </c>
      <c r="L43" s="20">
        <v>0</v>
      </c>
    </row>
    <row r="44" spans="1:12">
      <c r="A44" s="2" t="s">
        <v>307</v>
      </c>
      <c r="B44" s="3" t="s">
        <v>308</v>
      </c>
      <c r="D44" s="20">
        <v>1.1926579515695362E-4</v>
      </c>
      <c r="E44" s="20">
        <v>0.87352807677819966</v>
      </c>
      <c r="F44" s="20">
        <v>0.67172285147049615</v>
      </c>
      <c r="G44" s="20">
        <v>0.19493313989663058</v>
      </c>
      <c r="H44" s="20">
        <v>0</v>
      </c>
      <c r="I44" s="20">
        <v>6.8720854110728711E-3</v>
      </c>
      <c r="J44" s="20">
        <v>1.0635352896543106E-2</v>
      </c>
      <c r="K44" s="20">
        <v>0.11571730453010022</v>
      </c>
      <c r="L44" s="20">
        <v>0</v>
      </c>
    </row>
    <row r="45" spans="1:12">
      <c r="A45" s="2" t="s">
        <v>319</v>
      </c>
      <c r="B45" s="3" t="s">
        <v>320</v>
      </c>
      <c r="D45" s="20">
        <v>1.1446486613656303E-5</v>
      </c>
      <c r="E45" s="20">
        <v>0.89674213227765043</v>
      </c>
      <c r="F45" s="20">
        <v>0.1516513984863366</v>
      </c>
      <c r="G45" s="20">
        <v>0.74480395644263508</v>
      </c>
      <c r="H45" s="20">
        <v>0</v>
      </c>
      <c r="I45" s="20">
        <v>2.8677734867875215E-4</v>
      </c>
      <c r="J45" s="20">
        <v>4.1933133347907076E-2</v>
      </c>
      <c r="K45" s="20">
        <v>6.1313287887828791E-2</v>
      </c>
      <c r="L45" s="20">
        <v>0</v>
      </c>
    </row>
    <row r="46" spans="1:12">
      <c r="A46" s="2" t="s">
        <v>321</v>
      </c>
      <c r="B46" s="3" t="s">
        <v>322</v>
      </c>
      <c r="D46" s="20">
        <v>1.6862681569000246E-5</v>
      </c>
      <c r="E46" s="20">
        <v>0.88538364804826541</v>
      </c>
      <c r="F46" s="20">
        <v>0.22366645469546947</v>
      </c>
      <c r="G46" s="20">
        <v>0.66114453014779462</v>
      </c>
      <c r="H46" s="20">
        <v>0</v>
      </c>
      <c r="I46" s="20">
        <v>5.7266320500130581E-4</v>
      </c>
      <c r="J46" s="20">
        <v>3.7008901856276866E-2</v>
      </c>
      <c r="K46" s="20">
        <v>7.7590587413888759E-2</v>
      </c>
      <c r="L46" s="20">
        <v>0</v>
      </c>
    </row>
    <row r="47" spans="1:12">
      <c r="A47" s="2" t="s">
        <v>323</v>
      </c>
      <c r="B47" s="3" t="s">
        <v>324</v>
      </c>
      <c r="D47" s="20">
        <v>1.592220937125442E-4</v>
      </c>
      <c r="E47" s="20">
        <v>0.87292825251036521</v>
      </c>
      <c r="F47" s="20">
        <v>0.34031222095278335</v>
      </c>
      <c r="G47" s="20">
        <v>0.5313407209529678</v>
      </c>
      <c r="H47" s="20">
        <v>0</v>
      </c>
      <c r="I47" s="20">
        <v>1.2753106046141018E-3</v>
      </c>
      <c r="J47" s="20">
        <v>2.9528946454363051E-2</v>
      </c>
      <c r="K47" s="20">
        <v>9.7383578941559232E-2</v>
      </c>
      <c r="L47" s="20">
        <v>0</v>
      </c>
    </row>
    <row r="48" spans="1:12">
      <c r="A48" s="2" t="s">
        <v>325</v>
      </c>
      <c r="B48" s="3" t="s">
        <v>326</v>
      </c>
      <c r="D48" s="20">
        <v>1.0100526331497613E-4</v>
      </c>
      <c r="E48" s="20">
        <v>0.77114281995661549</v>
      </c>
      <c r="F48" s="20">
        <v>0.59513873845472576</v>
      </c>
      <c r="G48" s="20">
        <v>0.11687288788401293</v>
      </c>
      <c r="H48" s="20">
        <v>0</v>
      </c>
      <c r="I48" s="20">
        <v>5.913119361787679E-2</v>
      </c>
      <c r="J48" s="20">
        <v>6.3092501243136477E-3</v>
      </c>
      <c r="K48" s="20">
        <v>0.22244692465575588</v>
      </c>
      <c r="L48" s="20">
        <v>0</v>
      </c>
    </row>
    <row r="49" spans="1:12">
      <c r="A49" s="2" t="s">
        <v>275</v>
      </c>
      <c r="B49" s="3" t="s">
        <v>276</v>
      </c>
      <c r="D49" s="20">
        <v>1.5316358599364341E-6</v>
      </c>
      <c r="E49" s="20">
        <v>0.8723122919710331</v>
      </c>
      <c r="F49" s="20">
        <v>0.65770287570618191</v>
      </c>
      <c r="G49" s="20">
        <v>0.20822136832895688</v>
      </c>
      <c r="H49" s="20">
        <v>0</v>
      </c>
      <c r="I49" s="20">
        <v>6.3880479358942631E-3</v>
      </c>
      <c r="J49" s="20">
        <v>1.1370586733899042E-2</v>
      </c>
      <c r="K49" s="20">
        <v>0.11631558965920823</v>
      </c>
      <c r="L49" s="20">
        <v>0</v>
      </c>
    </row>
    <row r="50" spans="1:12">
      <c r="A50" s="2" t="s">
        <v>327</v>
      </c>
      <c r="B50" s="3" t="s">
        <v>328</v>
      </c>
      <c r="D50" s="20">
        <v>7.9710828045365139E-5</v>
      </c>
      <c r="E50" s="20">
        <v>0.87029954355158701</v>
      </c>
      <c r="F50" s="20">
        <v>0.63298225551383513</v>
      </c>
      <c r="G50" s="20">
        <v>0.23167922455964879</v>
      </c>
      <c r="H50" s="20">
        <v>0</v>
      </c>
      <c r="I50" s="20">
        <v>5.6380634781030992E-3</v>
      </c>
      <c r="J50" s="20">
        <v>1.2670881523104905E-2</v>
      </c>
      <c r="K50" s="20">
        <v>0.11694986409726266</v>
      </c>
      <c r="L50" s="20">
        <v>0</v>
      </c>
    </row>
    <row r="51" spans="1:12">
      <c r="A51" s="2" t="s">
        <v>329</v>
      </c>
      <c r="B51" s="3" t="s">
        <v>330</v>
      </c>
      <c r="D51" s="20">
        <v>5.2841111365706958E-5</v>
      </c>
      <c r="E51" s="20">
        <v>0.80566538899740725</v>
      </c>
      <c r="F51" s="20">
        <v>0.64572285472707003</v>
      </c>
      <c r="G51" s="20">
        <v>0.12199491070644951</v>
      </c>
      <c r="H51" s="20">
        <v>0</v>
      </c>
      <c r="I51" s="20">
        <v>3.7947623563887679E-2</v>
      </c>
      <c r="J51" s="20">
        <v>6.5860609325715741E-3</v>
      </c>
      <c r="K51" s="20">
        <v>0.18769570895865562</v>
      </c>
      <c r="L51" s="20">
        <v>0</v>
      </c>
    </row>
    <row r="52" spans="1:12">
      <c r="A52" s="2" t="s">
        <v>277</v>
      </c>
      <c r="B52" s="3" t="s">
        <v>278</v>
      </c>
      <c r="D52" s="20">
        <v>1.5720695838061368E-4</v>
      </c>
      <c r="E52" s="20">
        <v>0.77444750124886697</v>
      </c>
      <c r="F52" s="20">
        <v>0.60026908923020872</v>
      </c>
      <c r="G52" s="20">
        <v>0.11744689385283008</v>
      </c>
      <c r="H52" s="20">
        <v>0</v>
      </c>
      <c r="I52" s="20">
        <v>5.6731518165828186E-2</v>
      </c>
      <c r="J52" s="20">
        <v>6.3397897262966263E-3</v>
      </c>
      <c r="K52" s="20">
        <v>0.21905550206645594</v>
      </c>
      <c r="L52" s="20">
        <v>0</v>
      </c>
    </row>
    <row r="53" spans="1:12">
      <c r="A53" s="2" t="s">
        <v>331</v>
      </c>
      <c r="B53" s="3" t="s">
        <v>332</v>
      </c>
      <c r="D53" s="20">
        <v>5.3018548395887857E-5</v>
      </c>
      <c r="E53" s="20">
        <v>0.86664177240436169</v>
      </c>
      <c r="F53" s="20">
        <v>0.54827955021395425</v>
      </c>
      <c r="G53" s="20">
        <v>0.31462816922823833</v>
      </c>
      <c r="H53" s="20">
        <v>0</v>
      </c>
      <c r="I53" s="20">
        <v>3.7340529621690674E-3</v>
      </c>
      <c r="J53" s="20">
        <v>1.7291253702627209E-2</v>
      </c>
      <c r="K53" s="20">
        <v>0.11601395534461523</v>
      </c>
      <c r="L53" s="20">
        <v>0</v>
      </c>
    </row>
    <row r="54" spans="1:12">
      <c r="A54" s="2" t="s">
        <v>333</v>
      </c>
      <c r="B54" s="3" t="s">
        <v>334</v>
      </c>
      <c r="D54" s="20">
        <v>8.6806917253176435E-8</v>
      </c>
      <c r="E54" s="20">
        <v>0.87129995744392608</v>
      </c>
      <c r="F54" s="20">
        <v>0.64554801258332273</v>
      </c>
      <c r="G54" s="20">
        <v>0.21974758139044717</v>
      </c>
      <c r="H54" s="20">
        <v>0</v>
      </c>
      <c r="I54" s="20">
        <v>6.0043634701561566E-3</v>
      </c>
      <c r="J54" s="20">
        <v>1.2009124288291187E-2</v>
      </c>
      <c r="K54" s="20">
        <v>0.11669083146086541</v>
      </c>
      <c r="L54" s="20">
        <v>0</v>
      </c>
    </row>
    <row r="55" spans="1:12">
      <c r="A55" s="2" t="s">
        <v>335</v>
      </c>
      <c r="B55" s="3" t="s">
        <v>336</v>
      </c>
      <c r="D55" s="20">
        <v>4.1369928308417027E-4</v>
      </c>
      <c r="E55" s="20">
        <v>0.87225893371187979</v>
      </c>
      <c r="F55" s="20">
        <v>0.3460660398330016</v>
      </c>
      <c r="G55" s="20">
        <v>0.52487336952912444</v>
      </c>
      <c r="H55" s="20">
        <v>0</v>
      </c>
      <c r="I55" s="20">
        <v>1.3195243497537595E-3</v>
      </c>
      <c r="J55" s="20">
        <v>2.9159994037485721E-2</v>
      </c>
      <c r="K55" s="20">
        <v>9.816737296755039E-2</v>
      </c>
      <c r="L55" s="20">
        <v>0</v>
      </c>
    </row>
    <row r="56" spans="1:12">
      <c r="A56" s="2" t="s">
        <v>337</v>
      </c>
      <c r="B56" s="3" t="s">
        <v>338</v>
      </c>
      <c r="D56" s="20">
        <v>3.0629827552646392E-5</v>
      </c>
      <c r="E56" s="20">
        <v>0.8731540305155262</v>
      </c>
      <c r="F56" s="20">
        <v>0.6671427435509808</v>
      </c>
      <c r="G56" s="20">
        <v>0.1993032230444339</v>
      </c>
      <c r="H56" s="20">
        <v>0</v>
      </c>
      <c r="I56" s="20">
        <v>6.7080639201114872E-3</v>
      </c>
      <c r="J56" s="20">
        <v>1.0877033117573869E-2</v>
      </c>
      <c r="K56" s="20">
        <v>0.11593830653934735</v>
      </c>
      <c r="L56" s="20">
        <v>0</v>
      </c>
    </row>
    <row r="57" spans="1:12">
      <c r="A57" s="2" t="s">
        <v>279</v>
      </c>
      <c r="B57" s="3" t="s">
        <v>280</v>
      </c>
      <c r="D57" s="20">
        <v>3.0358060244820655E-3</v>
      </c>
      <c r="E57" s="20">
        <v>0.7538200212620394</v>
      </c>
      <c r="F57" s="20">
        <v>0.56930924107083303</v>
      </c>
      <c r="G57" s="20">
        <v>0.11366945788203855</v>
      </c>
      <c r="H57" s="20">
        <v>0</v>
      </c>
      <c r="I57" s="20">
        <v>7.084132230916787E-2</v>
      </c>
      <c r="J57" s="20">
        <v>6.1397669796858919E-3</v>
      </c>
      <c r="K57" s="20">
        <v>0.23700440573379256</v>
      </c>
      <c r="L57" s="20">
        <v>0</v>
      </c>
    </row>
    <row r="58" spans="1:12">
      <c r="A58" s="2" t="s">
        <v>339</v>
      </c>
      <c r="B58" s="3" t="s">
        <v>340</v>
      </c>
      <c r="D58" s="20">
        <v>3.0421891326357085E-7</v>
      </c>
      <c r="E58" s="20">
        <v>0.87110680130762352</v>
      </c>
      <c r="F58" s="20">
        <v>0.64307322178033544</v>
      </c>
      <c r="G58" s="20">
        <v>0.22210379583787598</v>
      </c>
      <c r="H58" s="20">
        <v>0</v>
      </c>
      <c r="I58" s="20">
        <v>5.9297836894121317E-3</v>
      </c>
      <c r="J58" s="20">
        <v>1.2139743193911503E-2</v>
      </c>
      <c r="K58" s="20">
        <v>0.11675315127955148</v>
      </c>
      <c r="L58" s="20">
        <v>0</v>
      </c>
    </row>
    <row r="59" spans="1:12">
      <c r="A59" s="2" t="s">
        <v>281</v>
      </c>
      <c r="B59" s="3" t="s">
        <v>282</v>
      </c>
      <c r="D59" s="20">
        <v>2.379741089631489E-5</v>
      </c>
      <c r="E59" s="20">
        <v>0.7745508361845298</v>
      </c>
      <c r="F59" s="20">
        <v>0.60034918344914023</v>
      </c>
      <c r="G59" s="20">
        <v>0.11746256485338274</v>
      </c>
      <c r="H59" s="20">
        <v>0</v>
      </c>
      <c r="I59" s="20">
        <v>5.6739087882006829E-2</v>
      </c>
      <c r="J59" s="20">
        <v>6.3406356477598968E-3</v>
      </c>
      <c r="K59" s="20">
        <v>0.21908473075681406</v>
      </c>
      <c r="L59" s="20">
        <v>0</v>
      </c>
    </row>
    <row r="60" spans="1:12">
      <c r="A60" s="2" t="s">
        <v>341</v>
      </c>
      <c r="B60" s="3" t="s">
        <v>342</v>
      </c>
      <c r="D60" s="20">
        <v>4.440942236792242E-4</v>
      </c>
      <c r="E60" s="20">
        <v>0.86697439085321493</v>
      </c>
      <c r="F60" s="20">
        <v>0.57378519632682612</v>
      </c>
      <c r="G60" s="20">
        <v>0.28896476796206416</v>
      </c>
      <c r="H60" s="20">
        <v>0</v>
      </c>
      <c r="I60" s="20">
        <v>4.2244265643245913E-3</v>
      </c>
      <c r="J60" s="20">
        <v>1.5858223593329779E-2</v>
      </c>
      <c r="K60" s="20">
        <v>0.11672329132977602</v>
      </c>
      <c r="L60" s="20">
        <v>0</v>
      </c>
    </row>
    <row r="61" spans="1:12">
      <c r="A61" s="2" t="s">
        <v>483</v>
      </c>
      <c r="B61" s="3" t="s">
        <v>484</v>
      </c>
      <c r="D61" s="20">
        <v>7.4867664105615505E-14</v>
      </c>
      <c r="E61" s="20">
        <v>0.78254909512760296</v>
      </c>
      <c r="F61" s="20">
        <v>0.43781566025568447</v>
      </c>
      <c r="G61" s="20">
        <v>7.2947244055787397E-2</v>
      </c>
      <c r="H61" s="20">
        <v>0</v>
      </c>
      <c r="I61" s="20">
        <v>0.27178619081613109</v>
      </c>
      <c r="J61" s="20">
        <v>2.5441934192793607E-2</v>
      </c>
      <c r="K61" s="20">
        <v>0.19200897067952852</v>
      </c>
      <c r="L61" s="20">
        <v>0</v>
      </c>
    </row>
    <row r="62" spans="1:12">
      <c r="A62" s="2" t="s">
        <v>485</v>
      </c>
      <c r="B62" s="3" t="s">
        <v>486</v>
      </c>
      <c r="D62" s="20">
        <v>2.0455441635122271E-7</v>
      </c>
      <c r="E62" s="20">
        <v>0.68026289081043767</v>
      </c>
      <c r="F62" s="20">
        <v>0.40577293407473258</v>
      </c>
      <c r="G62" s="20">
        <v>8.9161759600466045E-2</v>
      </c>
      <c r="H62" s="20">
        <v>0</v>
      </c>
      <c r="I62" s="20">
        <v>0.18532819713523901</v>
      </c>
      <c r="J62" s="20">
        <v>4.8959205275820126E-3</v>
      </c>
      <c r="K62" s="20">
        <v>0.31484098410756423</v>
      </c>
      <c r="L62" s="20">
        <v>0</v>
      </c>
    </row>
    <row r="63" spans="1:12">
      <c r="A63" s="2" t="s">
        <v>487</v>
      </c>
      <c r="B63" s="3" t="s">
        <v>488</v>
      </c>
      <c r="D63" s="20">
        <v>7.1282398030516119E-13</v>
      </c>
      <c r="E63" s="20">
        <v>0.95510207040323003</v>
      </c>
      <c r="F63" s="20">
        <v>3.1792634118178509E-2</v>
      </c>
      <c r="G63" s="20">
        <v>4.1949159589743223E-3</v>
      </c>
      <c r="H63" s="20">
        <v>0</v>
      </c>
      <c r="I63" s="20">
        <v>0.91911452032607721</v>
      </c>
      <c r="J63" s="20">
        <v>5.0398935907702003E-3</v>
      </c>
      <c r="K63" s="20">
        <v>3.9858036005287069E-2</v>
      </c>
      <c r="L63" s="20">
        <v>0</v>
      </c>
    </row>
    <row r="64" spans="1:12">
      <c r="A64" s="2" t="s">
        <v>489</v>
      </c>
      <c r="B64" s="3" t="s">
        <v>490</v>
      </c>
      <c r="D64" s="20">
        <v>1.317639063837648E-14</v>
      </c>
      <c r="E64" s="20">
        <v>0.99473624911942937</v>
      </c>
      <c r="F64" s="20">
        <v>1.21513621931124E-2</v>
      </c>
      <c r="G64" s="20">
        <v>1.508698042403783E-4</v>
      </c>
      <c r="H64" s="20">
        <v>0</v>
      </c>
      <c r="I64" s="20">
        <v>0.98243401712207656</v>
      </c>
      <c r="J64" s="20">
        <v>9.254970654395153E-4</v>
      </c>
      <c r="K64" s="20">
        <v>4.3382538151179491E-3</v>
      </c>
      <c r="L64" s="20">
        <v>0</v>
      </c>
    </row>
    <row r="65" spans="1:12">
      <c r="A65" s="2" t="s">
        <v>491</v>
      </c>
      <c r="B65" s="3" t="s">
        <v>492</v>
      </c>
      <c r="D65" s="20">
        <v>2.1967933887819897E-12</v>
      </c>
      <c r="E65" s="20">
        <v>0.99676626909398114</v>
      </c>
      <c r="F65" s="20">
        <v>1.5925587476571556E-3</v>
      </c>
      <c r="G65" s="20">
        <v>7.0833545806527827E-5</v>
      </c>
      <c r="H65" s="20">
        <v>0</v>
      </c>
      <c r="I65" s="20">
        <v>0.99510287680051746</v>
      </c>
      <c r="J65" s="20">
        <v>1.298505248080988E-3</v>
      </c>
      <c r="K65" s="20">
        <v>1.9352256557412088E-3</v>
      </c>
      <c r="L65" s="20">
        <v>0</v>
      </c>
    </row>
    <row r="66" spans="1:12">
      <c r="A66" s="2" t="s">
        <v>493</v>
      </c>
      <c r="B66" s="3" t="s">
        <v>494</v>
      </c>
      <c r="D66" s="20">
        <v>2.7910385805665687E-11</v>
      </c>
      <c r="E66" s="20">
        <v>0.94828579632016774</v>
      </c>
      <c r="F66" s="20">
        <v>0.194938220244119</v>
      </c>
      <c r="G66" s="20">
        <v>4.8855092012726597E-3</v>
      </c>
      <c r="H66" s="20">
        <v>0</v>
      </c>
      <c r="I66" s="20">
        <v>0.74846206687477612</v>
      </c>
      <c r="J66" s="20">
        <v>3.4928387346968841E-2</v>
      </c>
      <c r="K66" s="20">
        <v>1.6785816304953044E-2</v>
      </c>
      <c r="L66" s="20">
        <v>0</v>
      </c>
    </row>
    <row r="67" spans="1:12">
      <c r="A67" s="2" t="s">
        <v>495</v>
      </c>
      <c r="B67" s="3" t="s">
        <v>496</v>
      </c>
      <c r="D67" s="20">
        <v>1.7162717764059608E-12</v>
      </c>
      <c r="E67" s="20">
        <v>0.99658966188802478</v>
      </c>
      <c r="F67" s="20">
        <v>1.3429814847722176E-3</v>
      </c>
      <c r="G67" s="20">
        <v>7.3415026395300185E-5</v>
      </c>
      <c r="H67" s="20">
        <v>0</v>
      </c>
      <c r="I67" s="20">
        <v>0.99517326537685724</v>
      </c>
      <c r="J67" s="20">
        <v>1.234144204192378E-3</v>
      </c>
      <c r="K67" s="20">
        <v>2.1761939060664253E-3</v>
      </c>
      <c r="L67" s="20">
        <v>0</v>
      </c>
    </row>
    <row r="68" spans="1:12">
      <c r="A68" s="2" t="s">
        <v>497</v>
      </c>
      <c r="B68" s="3" t="s">
        <v>498</v>
      </c>
      <c r="D68" s="20">
        <v>1.5538711257363956E-11</v>
      </c>
      <c r="E68" s="20">
        <v>0.99815689143679354</v>
      </c>
      <c r="F68" s="20">
        <v>1.5990130392360189E-4</v>
      </c>
      <c r="G68" s="20">
        <v>1.2337241927293857E-5</v>
      </c>
      <c r="H68" s="20">
        <v>0</v>
      </c>
      <c r="I68" s="20">
        <v>0.99798465289094263</v>
      </c>
      <c r="J68" s="20">
        <v>9.6284906615085985E-4</v>
      </c>
      <c r="K68" s="20">
        <v>8.8025948151684071E-4</v>
      </c>
      <c r="L68" s="20">
        <v>0</v>
      </c>
    </row>
    <row r="69" spans="1:12">
      <c r="A69" s="2" t="s">
        <v>499</v>
      </c>
      <c r="B69" s="3" t="s">
        <v>500</v>
      </c>
      <c r="D69" s="20">
        <v>7.6232778487806895E-12</v>
      </c>
      <c r="E69" s="20">
        <v>0.87562576117193558</v>
      </c>
      <c r="F69" s="20">
        <v>0.69040823655415695</v>
      </c>
      <c r="G69" s="20">
        <v>0.1776280381746991</v>
      </c>
      <c r="H69" s="20">
        <v>0</v>
      </c>
      <c r="I69" s="20">
        <v>7.5894864430795621E-3</v>
      </c>
      <c r="J69" s="20">
        <v>9.6793275426297135E-3</v>
      </c>
      <c r="K69" s="20">
        <v>0.11469491127781145</v>
      </c>
      <c r="L69" s="20">
        <v>0</v>
      </c>
    </row>
    <row r="70" spans="1:12">
      <c r="A70" s="2" t="s">
        <v>501</v>
      </c>
      <c r="B70" s="3" t="s">
        <v>411</v>
      </c>
      <c r="D70" s="20">
        <v>2.7854711567807679E-13</v>
      </c>
      <c r="E70" s="20">
        <v>0.9990220307308153</v>
      </c>
      <c r="F70" s="20">
        <v>3.0225457325516084E-2</v>
      </c>
      <c r="G70" s="20">
        <v>2.8725560059751372E-6</v>
      </c>
      <c r="H70" s="20">
        <v>0</v>
      </c>
      <c r="I70" s="20">
        <v>0.96879370084929328</v>
      </c>
      <c r="J70" s="20">
        <v>9.2119113229684711E-4</v>
      </c>
      <c r="K70" s="20">
        <v>5.6778136609282247E-5</v>
      </c>
      <c r="L70" s="20">
        <v>0</v>
      </c>
    </row>
    <row r="71" spans="1:12">
      <c r="A71" s="2" t="s">
        <v>502</v>
      </c>
      <c r="B71" s="3" t="s">
        <v>412</v>
      </c>
      <c r="D71" s="20">
        <v>1.2722697410916329E-8</v>
      </c>
      <c r="E71" s="20">
        <v>0.99900383112216473</v>
      </c>
      <c r="F71" s="20">
        <v>5.6344800754641343E-2</v>
      </c>
      <c r="G71" s="20">
        <v>5.1205918587763561E-6</v>
      </c>
      <c r="H71" s="20">
        <v>0</v>
      </c>
      <c r="I71" s="20">
        <v>0.94265390977566466</v>
      </c>
      <c r="J71" s="20">
        <v>9.183824495131985E-4</v>
      </c>
      <c r="K71" s="20">
        <v>7.7773705624599755E-5</v>
      </c>
      <c r="L71" s="20">
        <v>0</v>
      </c>
    </row>
    <row r="72" spans="1:12">
      <c r="A72" s="2" t="s">
        <v>503</v>
      </c>
      <c r="B72" s="3" t="s">
        <v>413</v>
      </c>
      <c r="D72" s="20">
        <v>1.7163993518094965E-10</v>
      </c>
      <c r="E72" s="20">
        <v>0.99514737508153694</v>
      </c>
      <c r="F72" s="20">
        <v>0.99081501309098863</v>
      </c>
      <c r="G72" s="20">
        <v>4.5504771476534385E-4</v>
      </c>
      <c r="H72" s="20">
        <v>0</v>
      </c>
      <c r="I72" s="20">
        <v>3.8773142757830186E-3</v>
      </c>
      <c r="J72" s="20">
        <v>4.7648904159363426E-3</v>
      </c>
      <c r="K72" s="20">
        <v>8.7734330886788574E-5</v>
      </c>
      <c r="L72" s="20">
        <v>0</v>
      </c>
    </row>
    <row r="73" spans="1:12">
      <c r="A73" s="2" t="s">
        <v>504</v>
      </c>
      <c r="B73" s="3" t="s">
        <v>414</v>
      </c>
      <c r="D73" s="20">
        <v>2.2502926937575771E-10</v>
      </c>
      <c r="E73" s="20">
        <v>0.99933725604606771</v>
      </c>
      <c r="F73" s="20">
        <v>0.96319284271894756</v>
      </c>
      <c r="G73" s="20">
        <v>5.5677228131477714E-5</v>
      </c>
      <c r="H73" s="20">
        <v>0</v>
      </c>
      <c r="I73" s="20">
        <v>3.6088736098988654E-2</v>
      </c>
      <c r="J73" s="20">
        <v>5.9136147832315332E-4</v>
      </c>
      <c r="K73" s="20">
        <v>7.138225057969049E-5</v>
      </c>
      <c r="L73" s="20">
        <v>0</v>
      </c>
    </row>
    <row r="74" spans="1:12">
      <c r="A74" s="2" t="s">
        <v>505</v>
      </c>
      <c r="B74" s="3" t="s">
        <v>415</v>
      </c>
      <c r="D74" s="20">
        <v>1.5728198643972675E-9</v>
      </c>
      <c r="E74" s="20">
        <v>0.99900700174461243</v>
      </c>
      <c r="F74" s="20">
        <v>5.1257004518366976E-2</v>
      </c>
      <c r="G74" s="20">
        <v>4.6786179361573544E-6</v>
      </c>
      <c r="H74" s="20">
        <v>0</v>
      </c>
      <c r="I74" s="20">
        <v>0.94774531860830935</v>
      </c>
      <c r="J74" s="20">
        <v>9.1899693947619621E-4</v>
      </c>
      <c r="K74" s="20">
        <v>7.3999743091344135E-5</v>
      </c>
      <c r="L74" s="20">
        <v>0</v>
      </c>
    </row>
    <row r="75" spans="1:12">
      <c r="A75" s="2" t="s">
        <v>506</v>
      </c>
      <c r="B75" s="3" t="s">
        <v>416</v>
      </c>
      <c r="D75" s="20">
        <v>9.6570083335118273E-10</v>
      </c>
      <c r="E75" s="20">
        <v>0.99932299667388902</v>
      </c>
      <c r="F75" s="20">
        <v>0.95657019042289637</v>
      </c>
      <c r="G75" s="20">
        <v>5.6012015719781811E-5</v>
      </c>
      <c r="H75" s="20">
        <v>0</v>
      </c>
      <c r="I75" s="20">
        <v>4.2696794235272846E-2</v>
      </c>
      <c r="J75" s="20">
        <v>5.9991310825720028E-4</v>
      </c>
      <c r="K75" s="20">
        <v>7.7089252152918899E-5</v>
      </c>
      <c r="L75" s="20">
        <v>0</v>
      </c>
    </row>
    <row r="76" spans="1:12">
      <c r="A76" s="2" t="s">
        <v>507</v>
      </c>
      <c r="B76" s="3" t="s">
        <v>417</v>
      </c>
      <c r="D76" s="20">
        <v>2.2303652928906699E-8</v>
      </c>
      <c r="E76" s="20">
        <v>0.99901860302845491</v>
      </c>
      <c r="F76" s="20">
        <v>0.55137954099903963</v>
      </c>
      <c r="G76" s="20">
        <v>4.0097469104474794E-5</v>
      </c>
      <c r="H76" s="20">
        <v>0</v>
      </c>
      <c r="I76" s="20">
        <v>0.44759896456031079</v>
      </c>
      <c r="J76" s="20">
        <v>8.0263144186532866E-4</v>
      </c>
      <c r="K76" s="20">
        <v>1.7874322602683341E-4</v>
      </c>
      <c r="L76" s="20">
        <v>0</v>
      </c>
    </row>
    <row r="77" spans="1:12">
      <c r="A77" s="2" t="s">
        <v>508</v>
      </c>
      <c r="B77" s="3" t="s">
        <v>418</v>
      </c>
      <c r="D77" s="20">
        <v>6.966794912817791E-9</v>
      </c>
      <c r="E77" s="20">
        <v>0.99933301919759199</v>
      </c>
      <c r="F77" s="20">
        <v>0.96140787514934023</v>
      </c>
      <c r="G77" s="20">
        <v>5.5946637425305019E-5</v>
      </c>
      <c r="H77" s="20">
        <v>0</v>
      </c>
      <c r="I77" s="20">
        <v>3.7869197410826456E-2</v>
      </c>
      <c r="J77" s="20">
        <v>5.9377795844171041E-4</v>
      </c>
      <c r="K77" s="20">
        <v>7.3195877171570764E-5</v>
      </c>
      <c r="L77" s="20">
        <v>0</v>
      </c>
    </row>
    <row r="78" spans="1:12">
      <c r="A78" s="2" t="s">
        <v>509</v>
      </c>
      <c r="B78" s="3" t="s">
        <v>419</v>
      </c>
      <c r="D78" s="20">
        <v>6.9056176977894691E-10</v>
      </c>
      <c r="E78" s="20">
        <v>0.99592146068922671</v>
      </c>
      <c r="F78" s="20">
        <v>0.9912353195031931</v>
      </c>
      <c r="G78" s="20">
        <v>3.8250853272613257E-4</v>
      </c>
      <c r="H78" s="20">
        <v>0</v>
      </c>
      <c r="I78" s="20">
        <v>4.3036326533075217E-3</v>
      </c>
      <c r="J78" s="20">
        <v>3.9952561193303902E-3</v>
      </c>
      <c r="K78" s="20">
        <v>8.3282500881116117E-5</v>
      </c>
      <c r="L78" s="20">
        <v>0</v>
      </c>
    </row>
    <row r="79" spans="1:12">
      <c r="A79" s="2" t="s">
        <v>510</v>
      </c>
      <c r="B79" s="3" t="s">
        <v>420</v>
      </c>
      <c r="D79" s="20">
        <v>1.7346129610140264E-14</v>
      </c>
      <c r="E79" s="20">
        <v>0.99592147739922299</v>
      </c>
      <c r="F79" s="20">
        <v>0.99123539638388236</v>
      </c>
      <c r="G79" s="20">
        <v>3.824480282412305E-4</v>
      </c>
      <c r="H79" s="20">
        <v>0</v>
      </c>
      <c r="I79" s="20">
        <v>4.3036329870993458E-3</v>
      </c>
      <c r="J79" s="20">
        <v>3.9952532733487931E-3</v>
      </c>
      <c r="K79" s="20">
        <v>8.3269327410759114E-5</v>
      </c>
      <c r="L79" s="20">
        <v>0</v>
      </c>
    </row>
    <row r="80" spans="1:12">
      <c r="A80" s="2" t="s">
        <v>511</v>
      </c>
      <c r="B80" s="3" t="s">
        <v>421</v>
      </c>
      <c r="D80" s="20">
        <v>1.9611886472856646E-9</v>
      </c>
      <c r="E80" s="20">
        <v>0.99917126002161649</v>
      </c>
      <c r="F80" s="20">
        <v>0.83251795210393409</v>
      </c>
      <c r="G80" s="20">
        <v>5.4444995522876194E-5</v>
      </c>
      <c r="H80" s="20">
        <v>0</v>
      </c>
      <c r="I80" s="20">
        <v>0.1665988629221595</v>
      </c>
      <c r="J80" s="20">
        <v>6.9112148907497968E-4</v>
      </c>
      <c r="K80" s="20">
        <v>1.3761652811984705E-4</v>
      </c>
      <c r="L80" s="20">
        <v>0</v>
      </c>
    </row>
    <row r="81" spans="1:12">
      <c r="A81" s="2" t="s">
        <v>512</v>
      </c>
      <c r="B81" s="3" t="s">
        <v>422</v>
      </c>
      <c r="D81" s="20">
        <v>2.5635706934883448E-9</v>
      </c>
      <c r="E81" s="20">
        <v>0.99896780859642398</v>
      </c>
      <c r="F81" s="20">
        <v>0.19494833698917757</v>
      </c>
      <c r="G81" s="20">
        <v>1.593249878267544E-5</v>
      </c>
      <c r="H81" s="20">
        <v>0</v>
      </c>
      <c r="I81" s="20">
        <v>0.80400353910846378</v>
      </c>
      <c r="J81" s="20">
        <v>8.9497544041411696E-4</v>
      </c>
      <c r="K81" s="20">
        <v>1.3721339959109826E-4</v>
      </c>
      <c r="L81" s="20">
        <v>0</v>
      </c>
    </row>
    <row r="82" spans="1:12">
      <c r="A82" s="2" t="s">
        <v>513</v>
      </c>
      <c r="B82" s="3" t="s">
        <v>423</v>
      </c>
      <c r="D82" s="20">
        <v>6.4541140639812741E-13</v>
      </c>
      <c r="E82" s="20">
        <v>0.9989783761429033</v>
      </c>
      <c r="F82" s="20">
        <v>0.39094066859090515</v>
      </c>
      <c r="G82" s="20">
        <v>2.9730791794151873E-5</v>
      </c>
      <c r="H82" s="20">
        <v>0</v>
      </c>
      <c r="I82" s="20">
        <v>0.60800797676020402</v>
      </c>
      <c r="J82" s="20">
        <v>8.4915165527020184E-4</v>
      </c>
      <c r="K82" s="20">
        <v>1.7247220118105419E-4</v>
      </c>
      <c r="L82" s="20">
        <v>0</v>
      </c>
    </row>
    <row r="83" spans="1:12">
      <c r="A83" s="2" t="s">
        <v>514</v>
      </c>
      <c r="B83" s="3" t="s">
        <v>424</v>
      </c>
      <c r="D83" s="20">
        <v>2.4632930212474818E-10</v>
      </c>
      <c r="E83" s="20">
        <v>0.99217081819934461</v>
      </c>
      <c r="F83" s="20">
        <v>0.98853104533435054</v>
      </c>
      <c r="G83" s="20">
        <v>7.3274805157908104E-4</v>
      </c>
      <c r="H83" s="20">
        <v>0</v>
      </c>
      <c r="I83" s="20">
        <v>2.9070248134149862E-3</v>
      </c>
      <c r="J83" s="20">
        <v>7.728054512632916E-3</v>
      </c>
      <c r="K83" s="20">
        <v>1.0112704169320158E-4</v>
      </c>
      <c r="L83" s="20">
        <v>0</v>
      </c>
    </row>
    <row r="84" spans="1:12">
      <c r="A84" s="2" t="s">
        <v>403</v>
      </c>
      <c r="B84" s="3" t="s">
        <v>404</v>
      </c>
      <c r="D84" s="20">
        <v>4.4580133050457606E-44</v>
      </c>
      <c r="E84" s="20">
        <v>0.6620767275826499</v>
      </c>
      <c r="F84" s="20">
        <v>0.30776241074432698</v>
      </c>
      <c r="G84" s="20">
        <v>7.1205104898251451E-2</v>
      </c>
      <c r="H84" s="20">
        <v>0</v>
      </c>
      <c r="I84" s="20">
        <v>0.28310921194007149</v>
      </c>
      <c r="J84" s="20">
        <v>4.0176275441413398E-3</v>
      </c>
      <c r="K84" s="20">
        <v>0.33390564487320873</v>
      </c>
      <c r="L84" s="20">
        <v>0</v>
      </c>
    </row>
    <row r="85" spans="1:12">
      <c r="A85" s="2" t="s">
        <v>405</v>
      </c>
      <c r="B85" s="3" t="s">
        <v>406</v>
      </c>
      <c r="D85" s="20">
        <v>1.0792441455470431E-8</v>
      </c>
      <c r="E85" s="20">
        <v>0.69073781746238938</v>
      </c>
      <c r="F85" s="20">
        <v>0.61899423111841811</v>
      </c>
      <c r="G85" s="20">
        <v>3.236014014902875E-2</v>
      </c>
      <c r="H85" s="20">
        <v>0</v>
      </c>
      <c r="I85" s="20">
        <v>3.9383446194942481E-2</v>
      </c>
      <c r="J85" s="20">
        <v>0.29708565628837069</v>
      </c>
      <c r="K85" s="20">
        <v>1.2176515456798509E-2</v>
      </c>
      <c r="L85" s="20">
        <v>0</v>
      </c>
    </row>
    <row r="86" spans="1:12">
      <c r="A86" s="2" t="s">
        <v>407</v>
      </c>
      <c r="B86" s="3" t="s">
        <v>408</v>
      </c>
      <c r="D86" s="20">
        <v>2.5452882228715046E-5</v>
      </c>
      <c r="E86" s="20">
        <v>0.89347942837540872</v>
      </c>
      <c r="F86" s="20">
        <v>0.1701810437393714</v>
      </c>
      <c r="G86" s="20">
        <v>0.72294746343378402</v>
      </c>
      <c r="H86" s="20">
        <v>0</v>
      </c>
      <c r="I86" s="20">
        <v>3.509212022533159E-4</v>
      </c>
      <c r="J86" s="20">
        <v>4.0635476259266771E-2</v>
      </c>
      <c r="K86" s="20">
        <v>6.5859642483095754E-2</v>
      </c>
      <c r="L86" s="20">
        <v>0</v>
      </c>
    </row>
    <row r="87" spans="1:12">
      <c r="A87" s="2" t="s">
        <v>409</v>
      </c>
      <c r="B87" s="3" t="s">
        <v>410</v>
      </c>
      <c r="D87" s="20">
        <v>3.1551744207968897E-6</v>
      </c>
      <c r="E87" s="20">
        <v>0.90925526012925029</v>
      </c>
      <c r="F87" s="20">
        <v>9.1811606639920315E-2</v>
      </c>
      <c r="G87" s="20">
        <v>0.81732191272810828</v>
      </c>
      <c r="H87" s="20">
        <v>0</v>
      </c>
      <c r="I87" s="20">
        <v>1.2174076122170151E-4</v>
      </c>
      <c r="J87" s="20">
        <v>4.6329028171253409E-2</v>
      </c>
      <c r="K87" s="20">
        <v>4.4412556525075544E-2</v>
      </c>
      <c r="L87" s="20">
        <v>0</v>
      </c>
    </row>
    <row r="88" spans="1:12">
      <c r="A88" s="2" t="s">
        <v>301</v>
      </c>
      <c r="B88" s="3" t="s">
        <v>302</v>
      </c>
      <c r="D88" s="20">
        <v>3.9020468230996464E-7</v>
      </c>
      <c r="E88" s="20">
        <v>0.92303319998649502</v>
      </c>
      <c r="F88" s="20">
        <v>4.2635041627578543E-2</v>
      </c>
      <c r="G88" s="20">
        <v>0.8803639426835278</v>
      </c>
      <c r="H88" s="20">
        <v>0</v>
      </c>
      <c r="I88" s="20">
        <v>3.4215675388651551E-5</v>
      </c>
      <c r="J88" s="20">
        <v>5.0385191806046649E-2</v>
      </c>
      <c r="K88" s="20">
        <v>2.6581218002775821E-2</v>
      </c>
      <c r="L88" s="20">
        <v>0</v>
      </c>
    </row>
    <row r="89" spans="1:12">
      <c r="A89" s="2" t="s">
        <v>303</v>
      </c>
      <c r="B89" s="3" t="s">
        <v>304</v>
      </c>
      <c r="D89" s="20">
        <v>8.0509240126975026E-14</v>
      </c>
      <c r="E89" s="20">
        <v>0.25526726175284542</v>
      </c>
      <c r="F89" s="20">
        <v>7.072007885314828E-2</v>
      </c>
      <c r="G89" s="20">
        <v>0.1839284081349534</v>
      </c>
      <c r="H89" s="20">
        <v>0</v>
      </c>
      <c r="I89" s="20">
        <v>6.1877476474373068E-4</v>
      </c>
      <c r="J89" s="20">
        <v>0.73697452982391265</v>
      </c>
      <c r="K89" s="20">
        <v>7.7582084231614112E-3</v>
      </c>
      <c r="L89" s="20">
        <v>0</v>
      </c>
    </row>
    <row r="90" spans="1:12">
      <c r="A90" s="2" t="s">
        <v>425</v>
      </c>
      <c r="B90" s="3" t="s">
        <v>426</v>
      </c>
      <c r="D90" s="20">
        <v>1.600966448604102E-13</v>
      </c>
      <c r="E90" s="20">
        <v>0.97398582995951832</v>
      </c>
      <c r="F90" s="20">
        <v>9.1569001719175197E-4</v>
      </c>
      <c r="G90" s="20">
        <v>3.0744948260424281E-4</v>
      </c>
      <c r="H90" s="20">
        <v>0</v>
      </c>
      <c r="I90" s="20">
        <v>0.9727626904597223</v>
      </c>
      <c r="J90" s="20">
        <v>9.1343744513818208E-4</v>
      </c>
      <c r="K90" s="20">
        <v>2.5100732595183518E-2</v>
      </c>
      <c r="L90" s="20">
        <v>0</v>
      </c>
    </row>
    <row r="91" spans="1:12">
      <c r="A91" s="2" t="s">
        <v>427</v>
      </c>
      <c r="B91" s="3" t="s">
        <v>428</v>
      </c>
      <c r="D91" s="20">
        <v>8.2356543481970428E-5</v>
      </c>
      <c r="E91" s="20">
        <v>0.78633585910484416</v>
      </c>
      <c r="F91" s="20">
        <v>5.4950585702802965E-2</v>
      </c>
      <c r="G91" s="20">
        <v>1.5454959850653486E-2</v>
      </c>
      <c r="H91" s="20">
        <v>0</v>
      </c>
      <c r="I91" s="20">
        <v>0.7159303135513877</v>
      </c>
      <c r="J91" s="20">
        <v>1.4623248982583658E-3</v>
      </c>
      <c r="K91" s="20">
        <v>0.21211945945341554</v>
      </c>
      <c r="L91" s="20">
        <v>0</v>
      </c>
    </row>
    <row r="92" spans="1:12">
      <c r="A92" s="2" t="s">
        <v>429</v>
      </c>
      <c r="B92" s="3" t="s">
        <v>430</v>
      </c>
      <c r="D92" s="20">
        <v>5.0372241276465716E-4</v>
      </c>
      <c r="E92" s="20">
        <v>0.70779029171077601</v>
      </c>
      <c r="F92" s="20">
        <v>0.4800268055157601</v>
      </c>
      <c r="G92" s="20">
        <v>0.10128871119388341</v>
      </c>
      <c r="H92" s="20">
        <v>0</v>
      </c>
      <c r="I92" s="20">
        <v>0.12647477500113247</v>
      </c>
      <c r="J92" s="20">
        <v>5.5033193547831035E-3</v>
      </c>
      <c r="K92" s="20">
        <v>0.28620266652167636</v>
      </c>
      <c r="L92" s="20">
        <v>0</v>
      </c>
    </row>
    <row r="93" spans="1:12">
      <c r="A93" s="2" t="s">
        <v>431</v>
      </c>
      <c r="B93" s="3" t="s">
        <v>432</v>
      </c>
      <c r="D93" s="20">
        <v>1.2042708173617886E-17</v>
      </c>
      <c r="E93" s="20">
        <v>0.99892465390047613</v>
      </c>
      <c r="F93" s="20">
        <v>4.3577673971397163E-3</v>
      </c>
      <c r="G93" s="20">
        <v>3.4912903401057534E-6</v>
      </c>
      <c r="H93" s="20">
        <v>0</v>
      </c>
      <c r="I93" s="20">
        <v>0.9945633952129963</v>
      </c>
      <c r="J93" s="20">
        <v>9.224844304244051E-4</v>
      </c>
      <c r="K93" s="20">
        <v>1.5286166909954293E-4</v>
      </c>
      <c r="L93" s="20">
        <v>0</v>
      </c>
    </row>
    <row r="94" spans="1:12">
      <c r="A94" s="2" t="s">
        <v>433</v>
      </c>
      <c r="B94" s="3" t="s">
        <v>434</v>
      </c>
      <c r="D94" s="20">
        <v>2.5453354625801209E-18</v>
      </c>
      <c r="E94" s="20">
        <v>0.99906800651158134</v>
      </c>
      <c r="F94" s="20">
        <v>1.6959742085867204E-5</v>
      </c>
      <c r="G94" s="20">
        <v>2.3665456440823958E-8</v>
      </c>
      <c r="H94" s="20">
        <v>0</v>
      </c>
      <c r="I94" s="20">
        <v>0.99905102310403904</v>
      </c>
      <c r="J94" s="20">
        <v>9.2812601341205037E-4</v>
      </c>
      <c r="K94" s="20">
        <v>3.8674750065945256E-6</v>
      </c>
      <c r="L94" s="20">
        <v>0</v>
      </c>
    </row>
    <row r="95" spans="1:12">
      <c r="A95" s="2" t="s">
        <v>435</v>
      </c>
      <c r="B95" s="3" t="s">
        <v>436</v>
      </c>
      <c r="D95" s="20">
        <v>1.3612873077197954E-8</v>
      </c>
      <c r="E95" s="20">
        <v>0.94119098041180171</v>
      </c>
      <c r="F95" s="20">
        <v>3.734179602567046E-3</v>
      </c>
      <c r="G95" s="20">
        <v>1.2951690227076898E-3</v>
      </c>
      <c r="H95" s="20">
        <v>0</v>
      </c>
      <c r="I95" s="20">
        <v>0.936161631786527</v>
      </c>
      <c r="J95" s="20">
        <v>9.4092517977989996E-4</v>
      </c>
      <c r="K95" s="20">
        <v>5.7868080795545257E-2</v>
      </c>
      <c r="L95" s="20">
        <v>0</v>
      </c>
    </row>
    <row r="96" spans="1:12">
      <c r="A96" s="2" t="s">
        <v>437</v>
      </c>
      <c r="B96" s="163" t="s">
        <v>438</v>
      </c>
      <c r="D96" s="20">
        <v>4.7550414072508335E-8</v>
      </c>
      <c r="E96" s="20">
        <v>0.88731731582565188</v>
      </c>
      <c r="F96" s="20">
        <v>0.20990777155289833</v>
      </c>
      <c r="G96" s="20">
        <v>0.67689931315255913</v>
      </c>
      <c r="H96" s="20">
        <v>0</v>
      </c>
      <c r="I96" s="20">
        <v>5.102311201944619E-4</v>
      </c>
      <c r="J96" s="20">
        <v>3.7928246279294177E-2</v>
      </c>
      <c r="K96" s="20">
        <v>7.4754390344639737E-2</v>
      </c>
      <c r="L96" s="20">
        <v>0</v>
      </c>
    </row>
    <row r="97" spans="1:12">
      <c r="A97" s="2" t="s">
        <v>439</v>
      </c>
      <c r="B97" s="3" t="s">
        <v>440</v>
      </c>
      <c r="D97" s="20">
        <v>3.9834796920161878E-5</v>
      </c>
      <c r="E97" s="20">
        <v>0.72862492423574154</v>
      </c>
      <c r="F97" s="20">
        <v>0.10236154264978245</v>
      </c>
      <c r="G97" s="20">
        <v>2.7141408259231819E-2</v>
      </c>
      <c r="H97" s="20">
        <v>0</v>
      </c>
      <c r="I97" s="20">
        <v>0.59912197332672723</v>
      </c>
      <c r="J97" s="20">
        <v>1.9678571663540403E-3</v>
      </c>
      <c r="K97" s="20">
        <v>0.26936738380098424</v>
      </c>
      <c r="L97" s="20">
        <v>0</v>
      </c>
    </row>
    <row r="98" spans="1:12">
      <c r="A98" s="2" t="s">
        <v>441</v>
      </c>
      <c r="B98" s="3" t="s">
        <v>442</v>
      </c>
      <c r="D98" s="20">
        <v>2.7155507201041391E-17</v>
      </c>
      <c r="E98" s="20">
        <v>0.7754429093247176</v>
      </c>
      <c r="F98" s="20">
        <v>6.2077201988444852E-2</v>
      </c>
      <c r="G98" s="20">
        <v>1.7267429402024508E-2</v>
      </c>
      <c r="H98" s="20">
        <v>0</v>
      </c>
      <c r="I98" s="20">
        <v>0.69609827793424828</v>
      </c>
      <c r="J98" s="20">
        <v>1.5388838171811337E-3</v>
      </c>
      <c r="K98" s="20">
        <v>0.22301820685810111</v>
      </c>
      <c r="L98" s="20">
        <v>0</v>
      </c>
    </row>
    <row r="99" spans="1:12">
      <c r="A99" s="2" t="s">
        <v>443</v>
      </c>
      <c r="B99" s="3" t="s">
        <v>444</v>
      </c>
      <c r="D99" s="20">
        <v>4.19807557395434E-29</v>
      </c>
      <c r="E99" s="20">
        <v>0.88203374180209926</v>
      </c>
      <c r="F99" s="20">
        <v>1.4768094659370566E-2</v>
      </c>
      <c r="G99" s="20">
        <v>4.6389535375400068E-3</v>
      </c>
      <c r="H99" s="20">
        <v>0</v>
      </c>
      <c r="I99" s="20">
        <v>0.86262669360518873</v>
      </c>
      <c r="J99" s="20">
        <v>1.0344532875970146E-3</v>
      </c>
      <c r="K99" s="20">
        <v>0.11693180491030364</v>
      </c>
      <c r="L99" s="20">
        <v>0</v>
      </c>
    </row>
    <row r="100" spans="1:12">
      <c r="A100" s="2" t="s">
        <v>445</v>
      </c>
      <c r="B100" s="3" t="s">
        <v>446</v>
      </c>
      <c r="D100" s="20">
        <v>4.9640619258215058E-8</v>
      </c>
      <c r="E100" s="20">
        <v>0.86638232816253269</v>
      </c>
      <c r="F100" s="20">
        <v>0.52482124299540722</v>
      </c>
      <c r="G100" s="20">
        <v>0.3382259777120567</v>
      </c>
      <c r="H100" s="20">
        <v>0</v>
      </c>
      <c r="I100" s="20">
        <v>3.3351074550687682E-3</v>
      </c>
      <c r="J100" s="20">
        <v>1.8611862428224199E-2</v>
      </c>
      <c r="K100" s="20">
        <v>0.11500575976862391</v>
      </c>
      <c r="L100" s="20">
        <v>0</v>
      </c>
    </row>
    <row r="101" spans="1:12">
      <c r="A101" s="2" t="s">
        <v>447</v>
      </c>
      <c r="B101" s="3" t="s">
        <v>448</v>
      </c>
      <c r="D101" s="20">
        <v>4.4199547522020802E-9</v>
      </c>
      <c r="E101" s="20">
        <v>0.68348518624116361</v>
      </c>
      <c r="F101" s="20">
        <v>0.41619038076038484</v>
      </c>
      <c r="G101" s="20">
        <v>9.0946835778056248E-2</v>
      </c>
      <c r="H101" s="20">
        <v>0</v>
      </c>
      <c r="I101" s="20">
        <v>0.17634796970272248</v>
      </c>
      <c r="J101" s="20">
        <v>4.984558886707794E-3</v>
      </c>
      <c r="K101" s="20">
        <v>0.31153025045217397</v>
      </c>
      <c r="L101" s="20">
        <v>0</v>
      </c>
    </row>
    <row r="102" spans="1:12">
      <c r="A102" s="2" t="s">
        <v>449</v>
      </c>
      <c r="B102" s="3" t="s">
        <v>450</v>
      </c>
      <c r="D102" s="20">
        <v>1.9597931609687764E-4</v>
      </c>
      <c r="E102" s="20">
        <v>0.80395501009290093</v>
      </c>
      <c r="F102" s="20">
        <v>0.64340503130718041</v>
      </c>
      <c r="G102" s="20">
        <v>0.12178113238962636</v>
      </c>
      <c r="H102" s="20">
        <v>0</v>
      </c>
      <c r="I102" s="20">
        <v>3.8768846396094118E-2</v>
      </c>
      <c r="J102" s="20">
        <v>6.5742791668203931E-3</v>
      </c>
      <c r="K102" s="20">
        <v>0.18927473142418172</v>
      </c>
      <c r="L102" s="20">
        <v>0</v>
      </c>
    </row>
    <row r="103" spans="1:12">
      <c r="A103" s="2" t="s">
        <v>451</v>
      </c>
      <c r="B103" s="3" t="s">
        <v>452</v>
      </c>
      <c r="D103" s="20">
        <v>4.3970781154411648E-19</v>
      </c>
      <c r="E103" s="20">
        <v>0.99897087233474979</v>
      </c>
      <c r="F103" s="20">
        <v>0.10496770094795008</v>
      </c>
      <c r="G103" s="20">
        <v>1.0186638476893445E-5</v>
      </c>
      <c r="H103" s="20">
        <v>0</v>
      </c>
      <c r="I103" s="20">
        <v>0.89399298474832278</v>
      </c>
      <c r="J103" s="20">
        <v>9.114365918345324E-4</v>
      </c>
      <c r="K103" s="20">
        <v>1.1769107341561108E-4</v>
      </c>
      <c r="L103" s="20">
        <v>0</v>
      </c>
    </row>
    <row r="104" spans="1:12">
      <c r="A104" s="2" t="s">
        <v>453</v>
      </c>
      <c r="B104" s="3" t="s">
        <v>454</v>
      </c>
      <c r="D104" s="20">
        <v>1.128021884089285E-20</v>
      </c>
      <c r="E104" s="20">
        <v>0.99846192546491996</v>
      </c>
      <c r="F104" s="20">
        <v>0.98631869541432737</v>
      </c>
      <c r="G104" s="20">
        <v>1.0444386036528672E-3</v>
      </c>
      <c r="H104" s="20">
        <v>0</v>
      </c>
      <c r="I104" s="20">
        <v>1.109879144693967E-2</v>
      </c>
      <c r="J104" s="20">
        <v>8.4497509815836239E-4</v>
      </c>
      <c r="K104" s="20">
        <v>6.9309943692158786E-4</v>
      </c>
      <c r="L104" s="20">
        <v>0</v>
      </c>
    </row>
    <row r="105" spans="1:12">
      <c r="A105" s="2" t="s">
        <v>455</v>
      </c>
      <c r="B105" s="163">
        <v>354656</v>
      </c>
      <c r="D105" s="20">
        <v>3.6826876083791263E-10</v>
      </c>
      <c r="E105" s="20">
        <v>0.96900988087395712</v>
      </c>
      <c r="F105" s="20">
        <v>9.8183632437279992E-4</v>
      </c>
      <c r="G105" s="20">
        <v>3.7978223918106791E-4</v>
      </c>
      <c r="H105" s="20">
        <v>0</v>
      </c>
      <c r="I105" s="20">
        <v>0.96764826231040324</v>
      </c>
      <c r="J105" s="20">
        <v>9.1223467297470444E-4</v>
      </c>
      <c r="K105" s="20">
        <v>3.0077884084799365E-2</v>
      </c>
      <c r="L105" s="20">
        <v>0</v>
      </c>
    </row>
    <row r="106" spans="1:12">
      <c r="A106" s="2" t="s">
        <v>457</v>
      </c>
      <c r="B106" s="3" t="s">
        <v>458</v>
      </c>
      <c r="D106" s="20">
        <v>5.4571417611207832E-10</v>
      </c>
      <c r="E106" s="20">
        <v>0.93848884777629638</v>
      </c>
      <c r="F106" s="20">
        <v>4.0472960727324352E-3</v>
      </c>
      <c r="G106" s="20">
        <v>1.3974634995711883E-3</v>
      </c>
      <c r="H106" s="20">
        <v>0</v>
      </c>
      <c r="I106" s="20">
        <v>0.93304408820399276</v>
      </c>
      <c r="J106" s="20">
        <v>9.4177506234613937E-4</v>
      </c>
      <c r="K106" s="20">
        <v>6.0569376615643399E-2</v>
      </c>
      <c r="L106" s="20">
        <v>0</v>
      </c>
    </row>
    <row r="107" spans="1:12">
      <c r="A107" s="2" t="s">
        <v>459</v>
      </c>
      <c r="B107" s="3" t="s">
        <v>460</v>
      </c>
      <c r="D107" s="20">
        <v>4.5711352665529367E-20</v>
      </c>
      <c r="E107" s="20">
        <v>0.85328206460684464</v>
      </c>
      <c r="F107" s="20">
        <v>0.70847970836081264</v>
      </c>
      <c r="G107" s="20">
        <v>0.12399826511086864</v>
      </c>
      <c r="H107" s="20">
        <v>0</v>
      </c>
      <c r="I107" s="20">
        <v>2.0804091135163325E-2</v>
      </c>
      <c r="J107" s="20">
        <v>1.015644765982879E-2</v>
      </c>
      <c r="K107" s="20">
        <v>0.13656148773332658</v>
      </c>
      <c r="L107" s="20">
        <v>0</v>
      </c>
    </row>
    <row r="108" spans="1:12">
      <c r="A108" s="2" t="s">
        <v>461</v>
      </c>
      <c r="B108" s="3" t="s">
        <v>462</v>
      </c>
      <c r="D108" s="20">
        <v>1.0997290800440076E-9</v>
      </c>
      <c r="E108" s="20">
        <v>0.99901931229436558</v>
      </c>
      <c r="F108" s="20">
        <v>8.7848085193087387E-6</v>
      </c>
      <c r="G108" s="20">
        <v>2.5462080179769421E-7</v>
      </c>
      <c r="H108" s="20">
        <v>0</v>
      </c>
      <c r="I108" s="20">
        <v>0.99901027286504451</v>
      </c>
      <c r="J108" s="20">
        <v>9.2514652450181574E-4</v>
      </c>
      <c r="K108" s="20">
        <v>5.5540081403447222E-5</v>
      </c>
      <c r="L108" s="20">
        <v>0</v>
      </c>
    </row>
    <row r="109" spans="1:12">
      <c r="A109" s="2" t="s">
        <v>463</v>
      </c>
      <c r="B109" s="3" t="s">
        <v>464</v>
      </c>
      <c r="D109" s="20">
        <v>2.7807058402407186E-12</v>
      </c>
      <c r="E109" s="20">
        <v>0.97097597194791629</v>
      </c>
      <c r="F109" s="20">
        <v>5.7088950293414563E-2</v>
      </c>
      <c r="G109" s="20">
        <v>2.8376454628772849E-3</v>
      </c>
      <c r="H109" s="20">
        <v>0</v>
      </c>
      <c r="I109" s="20">
        <v>0.9110493761916244</v>
      </c>
      <c r="J109" s="20">
        <v>1.0990912559773074E-2</v>
      </c>
      <c r="K109" s="20">
        <v>1.8033115489530144E-2</v>
      </c>
      <c r="L109" s="20">
        <v>0</v>
      </c>
    </row>
    <row r="110" spans="1:12">
      <c r="A110" s="2" t="s">
        <v>465</v>
      </c>
      <c r="B110" s="3" t="s">
        <v>466</v>
      </c>
      <c r="D110" s="20">
        <v>2.0878702223882663E-11</v>
      </c>
      <c r="E110" s="20">
        <v>0.99283050003177575</v>
      </c>
      <c r="F110" s="20">
        <v>2.2463612882335022E-4</v>
      </c>
      <c r="G110" s="20">
        <v>4.2977993112398977E-5</v>
      </c>
      <c r="H110" s="20">
        <v>0</v>
      </c>
      <c r="I110" s="20">
        <v>0.99256288590983999</v>
      </c>
      <c r="J110" s="20">
        <v>9.1836661078618009E-4</v>
      </c>
      <c r="K110" s="20">
        <v>6.2511333365593514E-3</v>
      </c>
      <c r="L110" s="20">
        <v>0</v>
      </c>
    </row>
    <row r="111" spans="1:12">
      <c r="A111" s="2" t="s">
        <v>467</v>
      </c>
      <c r="B111" s="3" t="s">
        <v>468</v>
      </c>
      <c r="D111" s="20">
        <v>3.7113416281902474E-30</v>
      </c>
      <c r="E111" s="20">
        <v>0.99907230324009799</v>
      </c>
      <c r="F111" s="20">
        <v>1.596436130944187E-5</v>
      </c>
      <c r="G111" s="20">
        <v>1.3189353151757068E-8</v>
      </c>
      <c r="H111" s="20">
        <v>0</v>
      </c>
      <c r="I111" s="20">
        <v>0.99905632568943536</v>
      </c>
      <c r="J111" s="20">
        <v>9.22081936162867E-4</v>
      </c>
      <c r="K111" s="20">
        <v>5.6148237392639827E-6</v>
      </c>
      <c r="L111" s="20">
        <v>0</v>
      </c>
    </row>
    <row r="112" spans="1:12">
      <c r="A112" s="2" t="s">
        <v>469</v>
      </c>
      <c r="B112" s="3" t="s">
        <v>470</v>
      </c>
      <c r="D112" s="20">
        <v>2.3459284719308537E-13</v>
      </c>
      <c r="E112" s="20">
        <v>0.99098533669264588</v>
      </c>
      <c r="F112" s="20">
        <v>7.7479887436777961E-5</v>
      </c>
      <c r="G112" s="20">
        <v>3.6197996730489485E-5</v>
      </c>
      <c r="H112" s="20">
        <v>0</v>
      </c>
      <c r="I112" s="20">
        <v>0.99087165880847861</v>
      </c>
      <c r="J112" s="20">
        <v>9.1630166098304196E-4</v>
      </c>
      <c r="K112" s="20">
        <v>8.0983616461365593E-3</v>
      </c>
      <c r="L112" s="20">
        <v>0</v>
      </c>
    </row>
    <row r="113" spans="1:12">
      <c r="A113" s="2" t="s">
        <v>471</v>
      </c>
      <c r="B113" s="3" t="s">
        <v>472</v>
      </c>
      <c r="D113" s="20">
        <v>2.8870093093180148E-9</v>
      </c>
      <c r="E113" s="20">
        <v>0.95365323808961466</v>
      </c>
      <c r="F113" s="20">
        <v>2.2015188034730888E-3</v>
      </c>
      <c r="G113" s="20">
        <v>8.0134209029657406E-4</v>
      </c>
      <c r="H113" s="20">
        <v>0</v>
      </c>
      <c r="I113" s="20">
        <v>0.950650377195845</v>
      </c>
      <c r="J113" s="20">
        <v>9.1803015285893083E-4</v>
      </c>
      <c r="K113" s="20">
        <v>4.5428728870517111E-2</v>
      </c>
      <c r="L113" s="20">
        <v>0</v>
      </c>
    </row>
    <row r="114" spans="1:12">
      <c r="A114" s="2" t="s">
        <v>473</v>
      </c>
      <c r="B114" s="3" t="s">
        <v>474</v>
      </c>
      <c r="D114" s="20">
        <v>2.3027942460370682E-16</v>
      </c>
      <c r="E114" s="20">
        <v>0.99488232449915548</v>
      </c>
      <c r="F114" s="20">
        <v>2.2561006924493961E-5</v>
      </c>
      <c r="G114" s="20">
        <v>1.1366508538245147E-5</v>
      </c>
      <c r="H114" s="20">
        <v>0</v>
      </c>
      <c r="I114" s="20">
        <v>0.99484839698369276</v>
      </c>
      <c r="J114" s="20">
        <v>9.1873507401796803E-4</v>
      </c>
      <c r="K114" s="20">
        <v>4.1989404268262783E-3</v>
      </c>
      <c r="L114" s="20">
        <v>0</v>
      </c>
    </row>
    <row r="115" spans="1:12">
      <c r="A115" s="2" t="s">
        <v>475</v>
      </c>
      <c r="B115" s="3" t="s">
        <v>476</v>
      </c>
      <c r="D115" s="20">
        <v>1.1908900324842264E-12</v>
      </c>
      <c r="E115" s="20">
        <v>0.99901093122883278</v>
      </c>
      <c r="F115" s="20">
        <v>2.7427130382927642E-2</v>
      </c>
      <c r="G115" s="20">
        <v>3.2852182313722888E-6</v>
      </c>
      <c r="H115" s="20">
        <v>0</v>
      </c>
      <c r="I115" s="20">
        <v>0.97158051562767378</v>
      </c>
      <c r="J115" s="20">
        <v>9.2144850708922278E-4</v>
      </c>
      <c r="K115" s="20">
        <v>6.7620262887104209E-5</v>
      </c>
      <c r="L115" s="20">
        <v>0</v>
      </c>
    </row>
    <row r="116" spans="1:12">
      <c r="A116" s="2" t="s">
        <v>477</v>
      </c>
      <c r="B116" s="3" t="s">
        <v>478</v>
      </c>
      <c r="D116" s="20">
        <v>3.0307815932603909E-17</v>
      </c>
      <c r="E116" s="20">
        <v>0.87881471773993847</v>
      </c>
      <c r="F116" s="20">
        <v>0.74015195403529765</v>
      </c>
      <c r="G116" s="20">
        <v>1.7926867579632057E-2</v>
      </c>
      <c r="H116" s="20">
        <v>0</v>
      </c>
      <c r="I116" s="20">
        <v>0.12073589612500872</v>
      </c>
      <c r="J116" s="20">
        <v>0.10387847165546557</v>
      </c>
      <c r="K116" s="20">
        <v>1.7306810604596046E-2</v>
      </c>
      <c r="L116" s="20">
        <v>0</v>
      </c>
    </row>
    <row r="117" spans="1:12">
      <c r="A117" s="2" t="s">
        <v>291</v>
      </c>
      <c r="B117" s="3" t="s">
        <v>479</v>
      </c>
      <c r="D117" s="20">
        <v>2.9350529140956908E-10</v>
      </c>
      <c r="E117" s="20">
        <v>0.68421464873105531</v>
      </c>
      <c r="F117" s="20">
        <v>0.17040806701202607</v>
      </c>
      <c r="G117" s="20">
        <v>4.2754881346820421E-2</v>
      </c>
      <c r="H117" s="20">
        <v>0</v>
      </c>
      <c r="I117" s="20">
        <v>0.47105170037220878</v>
      </c>
      <c r="J117" s="20">
        <v>2.6743431514144925E-3</v>
      </c>
      <c r="K117" s="20">
        <v>0.31311100782402501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D394-3F34-4623-AF75-E680F6665972}">
  <dimension ref="A1:D117"/>
  <sheetViews>
    <sheetView tabSelected="1" topLeftCell="A100" workbookViewId="0">
      <selection activeCell="D108" sqref="A2:D117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3.6474859605635696E-8</v>
      </c>
      <c r="B2">
        <f>'Mass Balance'!E2</f>
        <v>3.8995893992339557E-5</v>
      </c>
      <c r="C2">
        <f>SUM('Mass Balance'!E2:H2)</f>
        <v>3.9029520296479371E-5</v>
      </c>
      <c r="D2">
        <f>Concentrations!F2/Concentrations!E2</f>
        <v>1.0030487243621815</v>
      </c>
    </row>
    <row r="3" spans="1:4">
      <c r="A3">
        <f>'Mass Balance'!I3</f>
        <v>1.5939833952355357E-7</v>
      </c>
      <c r="B3">
        <f>'Mass Balance'!E3</f>
        <v>1.862578371817222E-5</v>
      </c>
      <c r="C3">
        <f>SUM('Mass Balance'!E3:H3)</f>
        <v>2.782310316919682E-5</v>
      </c>
      <c r="D3">
        <f>Concentrations!F3/Concentrations!E3</f>
        <v>0.67205582832727218</v>
      </c>
    </row>
    <row r="4" spans="1:4">
      <c r="A4">
        <f>'Mass Balance'!I4</f>
        <v>4.1768773268834922E-8</v>
      </c>
      <c r="B4">
        <f>'Mass Balance'!E4</f>
        <v>3.9940531420540271E-5</v>
      </c>
      <c r="C4">
        <f>SUM('Mass Balance'!E4:H4)</f>
        <v>3.9957406018244237E-5</v>
      </c>
      <c r="D4">
        <f>Concentrations!F4/Concentrations!E4</f>
        <v>1.0034896895616316</v>
      </c>
    </row>
    <row r="5" spans="1:4">
      <c r="A5">
        <f>'Mass Balance'!I5</f>
        <v>3.3304010770403731E-8</v>
      </c>
      <c r="B5">
        <f>'Mass Balance'!E5</f>
        <v>2.1886730869872879E-5</v>
      </c>
      <c r="C5">
        <f>SUM('Mass Balance'!E5:H5)</f>
        <v>3.9959177079149441E-5</v>
      </c>
      <c r="D5">
        <f>Concentrations!F5/Concentrations!E5</f>
        <v>0.54987088407343232</v>
      </c>
    </row>
    <row r="6" spans="1:4">
      <c r="A6">
        <f>'Mass Balance'!I6</f>
        <v>3.0677236094867624E-8</v>
      </c>
      <c r="B6">
        <f>'Mass Balance'!E6</f>
        <v>1.2954107058696547E-5</v>
      </c>
      <c r="C6">
        <f>SUM('Mass Balance'!E6:H6)</f>
        <v>3.9941130222676395E-5</v>
      </c>
      <c r="D6">
        <f>Concentrations!F6/Concentrations!E6</f>
        <v>0.3255993237539378</v>
      </c>
    </row>
    <row r="7" spans="1:4">
      <c r="A7">
        <f>'Mass Balance'!I7</f>
        <v>2.9643514806065614E-8</v>
      </c>
      <c r="B7">
        <f>'Mass Balance'!E7</f>
        <v>4.3019177405095393E-6</v>
      </c>
      <c r="C7">
        <f>SUM('Mass Balance'!E7:H7)</f>
        <v>3.9821416845914669E-5</v>
      </c>
      <c r="D7">
        <f>Concentrations!F7/Concentrations!E7</f>
        <v>0.10845304645239194</v>
      </c>
    </row>
    <row r="8" spans="1:4">
      <c r="A8">
        <f>'Mass Balance'!I8</f>
        <v>2.8986024236574608E-8</v>
      </c>
      <c r="B8">
        <f>'Mass Balance'!E8</f>
        <v>9.1858220763911567E-6</v>
      </c>
      <c r="C8">
        <f>SUM('Mass Balance'!E8:H8)</f>
        <v>3.9957107508457598E-5</v>
      </c>
      <c r="D8">
        <f>Concentrations!F8/Concentrations!E8</f>
        <v>0.23079178670061076</v>
      </c>
    </row>
    <row r="9" spans="1:4">
      <c r="A9">
        <f>'Mass Balance'!I9</f>
        <v>3.4231929368029594E-8</v>
      </c>
      <c r="B9">
        <f>'Mass Balance'!E9</f>
        <v>2.4537881621890965E-5</v>
      </c>
      <c r="C9">
        <f>SUM('Mass Balance'!E9:H9)</f>
        <v>3.9931588766173532E-5</v>
      </c>
      <c r="D9">
        <f>Concentrations!F9/Concentrations!E9</f>
        <v>0.61690293913234806</v>
      </c>
    </row>
    <row r="10" spans="1:4">
      <c r="A10">
        <f>'Mass Balance'!I10</f>
        <v>2.8182727834691828E-7</v>
      </c>
      <c r="B10">
        <f>'Mass Balance'!E10</f>
        <v>4.116893532761457E-7</v>
      </c>
      <c r="C10">
        <f>SUM('Mass Balance'!E10:H10)</f>
        <v>3.5324410733896997E-5</v>
      </c>
      <c r="D10">
        <f>Concentrations!F10/Concentrations!E10</f>
        <v>1.1700140373438878E-2</v>
      </c>
    </row>
    <row r="11" spans="1:4">
      <c r="A11">
        <f>'Mass Balance'!I11</f>
        <v>1.752433600352949E-6</v>
      </c>
      <c r="B11">
        <f>'Mass Balance'!E11</f>
        <v>2.3771097277968006E-8</v>
      </c>
      <c r="C11">
        <f>SUM('Mass Balance'!E11:H11)</f>
        <v>3.7558536915286057E-5</v>
      </c>
      <c r="D11">
        <f>Concentrations!F11/Concentrations!E11</f>
        <v>6.353849526424388E-4</v>
      </c>
    </row>
    <row r="12" spans="1:4">
      <c r="A12">
        <f>'Mass Balance'!I12</f>
        <v>3.3998046251365305E-8</v>
      </c>
      <c r="B12">
        <f>'Mass Balance'!E12</f>
        <v>3.6800921446914579E-5</v>
      </c>
      <c r="C12">
        <f>SUM('Mass Balance'!E12:H12)</f>
        <v>3.680246863522182E-5</v>
      </c>
      <c r="D12">
        <f>Concentrations!F12/Concentrations!E12</f>
        <v>1.0038714521286256</v>
      </c>
    </row>
    <row r="13" spans="1:4">
      <c r="A13">
        <f>'Mass Balance'!I13</f>
        <v>9.4604244526292675E-8</v>
      </c>
      <c r="B13">
        <f>'Mass Balance'!E13</f>
        <v>2.0945620133813584E-5</v>
      </c>
      <c r="C13">
        <f>SUM('Mass Balance'!E13:H13)</f>
        <v>2.7998377794016023E-5</v>
      </c>
      <c r="D13">
        <f>Concentrations!F13/Concentrations!E13</f>
        <v>0.75102901537292654</v>
      </c>
    </row>
    <row r="14" spans="1:4">
      <c r="A14">
        <f>'Mass Balance'!I14</f>
        <v>5.009010758388923E-8</v>
      </c>
      <c r="B14">
        <f>'Mass Balance'!E14</f>
        <v>3.518757934444045E-7</v>
      </c>
      <c r="C14">
        <f>SUM('Mass Balance'!E14:H14)</f>
        <v>3.9918665153584277E-5</v>
      </c>
      <c r="D14">
        <f>Concentrations!F14/Concentrations!E14</f>
        <v>8.8493168107598632E-3</v>
      </c>
    </row>
    <row r="15" spans="1:4">
      <c r="A15">
        <f>'Mass Balance'!I15</f>
        <v>4.0328249577071045E-8</v>
      </c>
      <c r="B15">
        <f>'Mass Balance'!E15</f>
        <v>3.0455922408710014E-5</v>
      </c>
      <c r="C15">
        <f>SUM('Mass Balance'!E15:H15)</f>
        <v>3.1471101915446423E-5</v>
      </c>
      <c r="D15">
        <f>Concentrations!F15/Concentrations!E15</f>
        <v>0.97152989827926506</v>
      </c>
    </row>
    <row r="16" spans="1:4">
      <c r="A16">
        <f>'Mass Balance'!I16</f>
        <v>1.0263382505133405E-7</v>
      </c>
      <c r="B16">
        <f>'Mass Balance'!E16</f>
        <v>1.9534891396466619E-5</v>
      </c>
      <c r="C16">
        <f>SUM('Mass Balance'!E16:H16)</f>
        <v>2.7545359081961473E-5</v>
      </c>
      <c r="D16">
        <f>Concentrations!F16/Concentrations!E16</f>
        <v>0.71196546040949049</v>
      </c>
    </row>
    <row r="17" spans="1:4">
      <c r="A17">
        <f>'Mass Balance'!I17</f>
        <v>9.7374031961393038E-8</v>
      </c>
      <c r="B17">
        <f>'Mass Balance'!E17</f>
        <v>2.0383374217577808E-5</v>
      </c>
      <c r="C17">
        <f>SUM('Mass Balance'!E17:H17)</f>
        <v>2.7773178776624828E-5</v>
      </c>
      <c r="D17">
        <f>Concentrations!F17/Concentrations!E17</f>
        <v>0.73679530590858955</v>
      </c>
    </row>
    <row r="18" spans="1:4">
      <c r="A18">
        <f>'Mass Balance'!I18</f>
        <v>1.4424948870752044E-6</v>
      </c>
      <c r="B18">
        <f>'Mass Balance'!E18</f>
        <v>2.5674143984151622E-8</v>
      </c>
      <c r="C18">
        <f>SUM('Mass Balance'!E18:H18)</f>
        <v>3.5340542928247706E-5</v>
      </c>
      <c r="D18">
        <f>Concentrations!F18/Concentrations!E18</f>
        <v>7.2932166972692735E-4</v>
      </c>
    </row>
    <row r="19" spans="1:4">
      <c r="A19">
        <f>'Mass Balance'!I19</f>
        <v>3.7620467688501932E-8</v>
      </c>
      <c r="B19">
        <f>'Mass Balance'!E19</f>
        <v>3.6095816810468457E-5</v>
      </c>
      <c r="C19">
        <f>SUM('Mass Balance'!E19:H19)</f>
        <v>3.6431317451469385E-5</v>
      </c>
      <c r="D19">
        <f>Concentrations!F19/Concentrations!E19</f>
        <v>0.99466848831057519</v>
      </c>
    </row>
    <row r="20" spans="1:4">
      <c r="A20">
        <f>'Mass Balance'!I20</f>
        <v>3.9153252515781424E-8</v>
      </c>
      <c r="B20">
        <f>'Mass Balance'!E20</f>
        <v>3.4445390686857946E-5</v>
      </c>
      <c r="C20">
        <f>SUM('Mass Balance'!E20:H20)</f>
        <v>3.5036853553755448E-5</v>
      </c>
      <c r="D20">
        <f>Concentrations!F20/Concentrations!E20</f>
        <v>0.98696642602903828</v>
      </c>
    </row>
    <row r="21" spans="1:4">
      <c r="A21">
        <f>'Mass Balance'!I21</f>
        <v>8.7792279250140783E-8</v>
      </c>
      <c r="B21">
        <f>'Mass Balance'!E21</f>
        <v>4.2366312082375435E-6</v>
      </c>
      <c r="C21">
        <f>SUM('Mass Balance'!E21:H21)</f>
        <v>3.7097923636375405E-5</v>
      </c>
      <c r="D21">
        <f>Concentrations!F21/Concentrations!E21</f>
        <v>0.1146482474683196</v>
      </c>
    </row>
    <row r="22" spans="1:4">
      <c r="A22">
        <f>'Mass Balance'!I22</f>
        <v>3.4109716237027467E-8</v>
      </c>
      <c r="B22">
        <f>'Mass Balance'!E22</f>
        <v>3.6107539799520937E-5</v>
      </c>
      <c r="C22">
        <f>SUM('Mass Balance'!E22:H22)</f>
        <v>3.6163578191763767E-5</v>
      </c>
      <c r="D22">
        <f>Concentrations!F22/Concentrations!E22</f>
        <v>1.002358011511207</v>
      </c>
    </row>
    <row r="23" spans="1:4">
      <c r="A23">
        <f>'Mass Balance'!I23</f>
        <v>4.6920183699325239E-8</v>
      </c>
      <c r="B23">
        <f>'Mass Balance'!E23</f>
        <v>2.8870951330167904E-5</v>
      </c>
      <c r="C23">
        <f>SUM('Mass Balance'!E23:H23)</f>
        <v>3.0606993492790875E-5</v>
      </c>
      <c r="D23">
        <f>Concentrations!F23/Concentrations!E23</f>
        <v>0.94697123184535315</v>
      </c>
    </row>
    <row r="24" spans="1:4">
      <c r="A24">
        <f>'Mass Balance'!I24</f>
        <v>1.3119737333602687E-7</v>
      </c>
      <c r="B24">
        <f>'Mass Balance'!E24</f>
        <v>1.5110950158239263E-5</v>
      </c>
      <c r="C24">
        <f>SUM('Mass Balance'!E24:H24)</f>
        <v>2.6583949743488694E-5</v>
      </c>
      <c r="D24">
        <f>Concentrations!F24/Concentrations!E24</f>
        <v>0.57064843187288916</v>
      </c>
    </row>
    <row r="25" spans="1:4">
      <c r="A25">
        <f>'Mass Balance'!I25</f>
        <v>1.3224742290424542E-6</v>
      </c>
      <c r="B25">
        <f>'Mass Balance'!E25</f>
        <v>3.5820595019463719E-8</v>
      </c>
      <c r="C25">
        <f>SUM('Mass Balance'!E25:H25)</f>
        <v>3.5120120753847326E-5</v>
      </c>
      <c r="D25">
        <f>Concentrations!F25/Concentrations!E25</f>
        <v>1.0239368137133337E-3</v>
      </c>
    </row>
    <row r="26" spans="1:4">
      <c r="A26">
        <f>'Mass Balance'!I26</f>
        <v>1.7991200957916951E-7</v>
      </c>
      <c r="B26">
        <f>'Mass Balance'!E26</f>
        <v>5.4329428135227543E-6</v>
      </c>
      <c r="C26">
        <f>SUM('Mass Balance'!E26:H26)</f>
        <v>2.4002911960434894E-5</v>
      </c>
      <c r="D26">
        <f>Concentrations!F26/Concentrations!E26</f>
        <v>0.2272309916891902</v>
      </c>
    </row>
    <row r="27" spans="1:4">
      <c r="A27">
        <f>'Mass Balance'!I27</f>
        <v>1.0416365066452975E-7</v>
      </c>
      <c r="B27">
        <f>'Mass Balance'!E27</f>
        <v>6.4342634883716642E-7</v>
      </c>
      <c r="C27">
        <f>SUM('Mass Balance'!E27:H27)</f>
        <v>1.2730414882205725E-5</v>
      </c>
      <c r="D27">
        <f>Concentrations!F27/Concentrations!E27</f>
        <v>5.0740255117250999E-2</v>
      </c>
    </row>
    <row r="28" spans="1:4">
      <c r="A28">
        <f>'Mass Balance'!I28</f>
        <v>5.181672823107913E-8</v>
      </c>
      <c r="B28">
        <f>'Mass Balance'!E28</f>
        <v>1.1639424359757136E-6</v>
      </c>
      <c r="C28">
        <f>SUM('Mass Balance'!E28:H28)</f>
        <v>6.6474723363453513E-6</v>
      </c>
      <c r="D28">
        <f>Concentrations!F28/Concentrations!E28</f>
        <v>0.17578075519766787</v>
      </c>
    </row>
    <row r="29" spans="1:4">
      <c r="A29">
        <f>'Mass Balance'!I29</f>
        <v>2.8227716806024607E-9</v>
      </c>
      <c r="B29">
        <f>'Mass Balance'!E29</f>
        <v>2.3664665269898343E-6</v>
      </c>
      <c r="C29">
        <f>SUM('Mass Balance'!E29:H29)</f>
        <v>2.4184144656287935E-6</v>
      </c>
      <c r="D29">
        <f>Concentrations!F29/Concentrations!E29</f>
        <v>0.98234942729794883</v>
      </c>
    </row>
    <row r="30" spans="1:4">
      <c r="A30">
        <f>'Mass Balance'!I30</f>
        <v>1.9916922008079851E-8</v>
      </c>
      <c r="B30">
        <f>'Mass Balance'!E30</f>
        <v>4.7909534542791538E-7</v>
      </c>
      <c r="C30">
        <f>SUM('Mass Balance'!E30:H30)</f>
        <v>2.5750851257869782E-6</v>
      </c>
      <c r="D30">
        <f>Concentrations!F30/Concentrations!E30</f>
        <v>0.18677843130853475</v>
      </c>
    </row>
    <row r="31" spans="1:4">
      <c r="A31">
        <f>'Mass Balance'!I31</f>
        <v>3.5372229861805949E-10</v>
      </c>
      <c r="B31">
        <f>'Mass Balance'!E31</f>
        <v>1.7910914709050023E-8</v>
      </c>
      <c r="C31">
        <f>SUM('Mass Balance'!E31:H31)</f>
        <v>5.2619442508392012E-8</v>
      </c>
      <c r="D31">
        <f>Concentrations!F31/Concentrations!E31</f>
        <v>0.34171802338874774</v>
      </c>
    </row>
    <row r="32" spans="1:4">
      <c r="A32">
        <f>'Mass Balance'!I32</f>
        <v>8.607770373864135E-8</v>
      </c>
      <c r="B32">
        <f>'Mass Balance'!E32</f>
        <v>2.2438331999473182E-5</v>
      </c>
      <c r="C32">
        <f>SUM('Mass Balance'!E32:H32)</f>
        <v>2.8491682976477452E-5</v>
      </c>
      <c r="D32">
        <f>Concentrations!F32/Concentrations!E32</f>
        <v>0.79062187913500204</v>
      </c>
    </row>
    <row r="33" spans="1:4">
      <c r="A33">
        <f>'Mass Balance'!I33</f>
        <v>5.9477317759099276E-8</v>
      </c>
      <c r="B33">
        <f>'Mass Balance'!E33</f>
        <v>2.8376355072026175E-5</v>
      </c>
      <c r="C33">
        <f>SUM('Mass Balance'!E33:H33)</f>
        <v>3.1307666826926213E-5</v>
      </c>
      <c r="D33">
        <f>Concentrations!F33/Concentrations!E33</f>
        <v>0.90991802583642023</v>
      </c>
    </row>
    <row r="34" spans="1:4">
      <c r="A34">
        <f>'Mass Balance'!I34</f>
        <v>2.0053622225166717E-7</v>
      </c>
      <c r="B34">
        <f>'Mass Balance'!E34</f>
        <v>6.9363915851612518E-6</v>
      </c>
      <c r="C34">
        <f>SUM('Mass Balance'!E34:H34)</f>
        <v>2.7382245937313266E-5</v>
      </c>
      <c r="D34">
        <f>Concentrations!F34/Concentrations!E34</f>
        <v>0.25430851284398492</v>
      </c>
    </row>
    <row r="35" spans="1:4">
      <c r="A35">
        <f>'Mass Balance'!I35</f>
        <v>2.684258990697632E-7</v>
      </c>
      <c r="B35">
        <f>'Mass Balance'!E35</f>
        <v>8.2592626042885974E-7</v>
      </c>
      <c r="C35">
        <f>SUM('Mass Balance'!E35:H35)</f>
        <v>3.3395861621635247E-5</v>
      </c>
      <c r="D35">
        <f>Concentrations!F35/Concentrations!E35</f>
        <v>2.4828185657071931E-2</v>
      </c>
    </row>
    <row r="36" spans="1:4">
      <c r="A36">
        <f>'Mass Balance'!I36</f>
        <v>5.9783447766902626E-7</v>
      </c>
      <c r="B36">
        <f>'Mass Balance'!E36</f>
        <v>1.8317417200179464E-7</v>
      </c>
      <c r="C36">
        <f>SUM('Mass Balance'!E36:H36)</f>
        <v>3.4707383662840218E-5</v>
      </c>
      <c r="D36">
        <f>Concentrations!F36/Concentrations!E36</f>
        <v>5.2983265655727283E-3</v>
      </c>
    </row>
    <row r="37" spans="1:4">
      <c r="A37">
        <f>'Mass Balance'!I37</f>
        <v>1.4066753062830236E-6</v>
      </c>
      <c r="B37">
        <f>'Mass Balance'!E37</f>
        <v>2.8134065421745903E-8</v>
      </c>
      <c r="C37">
        <f>SUM('Mass Balance'!E37:H37)</f>
        <v>3.5193339728771129E-5</v>
      </c>
      <c r="D37">
        <f>Concentrations!F37/Concentrations!E37</f>
        <v>8.0254311530271688E-4</v>
      </c>
    </row>
    <row r="38" spans="1:4">
      <c r="A38">
        <f>'Mass Balance'!I38</f>
        <v>8.7604017059249678E-7</v>
      </c>
      <c r="B38">
        <f>'Mass Balance'!E38</f>
        <v>1.0078079747969857E-7</v>
      </c>
      <c r="C38">
        <f>SUM('Mass Balance'!E38:H38)</f>
        <v>3.4666906439869747E-5</v>
      </c>
      <c r="D38">
        <f>Concentrations!F38/Concentrations!E38</f>
        <v>2.918495745467104E-3</v>
      </c>
    </row>
    <row r="39" spans="1:4">
      <c r="A39">
        <f>'Mass Balance'!I39</f>
        <v>6.542584586673834E-7</v>
      </c>
      <c r="B39">
        <f>'Mass Balance'!E39</f>
        <v>1.515270811548816E-7</v>
      </c>
      <c r="C39">
        <f>SUM('Mass Balance'!E39:H39)</f>
        <v>3.3740585545463034E-5</v>
      </c>
      <c r="D39">
        <f>Concentrations!F39/Concentrations!E39</f>
        <v>4.5085200424820789E-3</v>
      </c>
    </row>
    <row r="40" spans="1:4">
      <c r="A40">
        <f>'Mass Balance'!I40</f>
        <v>8.7604017059249678E-7</v>
      </c>
      <c r="B40">
        <f>'Mass Balance'!E40</f>
        <v>1.0078079747969857E-7</v>
      </c>
      <c r="C40">
        <f>SUM('Mass Balance'!E40:H40)</f>
        <v>3.4666906439869747E-5</v>
      </c>
      <c r="D40">
        <f>Concentrations!F40/Concentrations!E40</f>
        <v>2.918495745467104E-3</v>
      </c>
    </row>
    <row r="41" spans="1:4">
      <c r="A41">
        <f>'Mass Balance'!I41</f>
        <v>3.679488763536175E-8</v>
      </c>
      <c r="B41">
        <f>'Mass Balance'!E41</f>
        <v>3.8135481848875721E-5</v>
      </c>
      <c r="C41">
        <f>SUM('Mass Balance'!E41:H41)</f>
        <v>3.9955996376126888E-5</v>
      </c>
      <c r="D41">
        <f>Concentrations!F41/Concentrations!E41</f>
        <v>0.95817235250460897</v>
      </c>
    </row>
    <row r="42" spans="1:4">
      <c r="A42">
        <f>'Mass Balance'!I42</f>
        <v>1.4374402724893072E-6</v>
      </c>
      <c r="B42">
        <f>'Mass Balance'!E42</f>
        <v>2.558417978127958E-8</v>
      </c>
      <c r="C42">
        <f>SUM('Mass Balance'!E42:H42)</f>
        <v>3.5216706909583648E-5</v>
      </c>
      <c r="D42">
        <f>Concentrations!F42/Concentrations!E42</f>
        <v>7.2932166972692746E-4</v>
      </c>
    </row>
    <row r="43" spans="1:4">
      <c r="A43">
        <f>'Mass Balance'!I43</f>
        <v>1.389387985430364E-7</v>
      </c>
      <c r="B43">
        <f>'Mass Balance'!E43</f>
        <v>1.4108565393085912E-5</v>
      </c>
      <c r="C43">
        <f>SUM('Mass Balance'!E43:H43)</f>
        <v>2.6527915785153255E-5</v>
      </c>
      <c r="D43">
        <f>Concentrations!F43/Concentrations!E43</f>
        <v>0.53391987495413606</v>
      </c>
    </row>
    <row r="44" spans="1:4">
      <c r="A44">
        <f>'Mass Balance'!I44</f>
        <v>4.254141158617243E-7</v>
      </c>
      <c r="B44">
        <f>'Mass Balance'!E44</f>
        <v>2.7488341644291484E-7</v>
      </c>
      <c r="C44">
        <f>SUM('Mass Balance'!E44:H44)</f>
        <v>3.4941123071127985E-5</v>
      </c>
      <c r="D44">
        <f>Concentrations!F44/Concentrations!E44</f>
        <v>7.8978347458445262E-3</v>
      </c>
    </row>
    <row r="45" spans="1:4">
      <c r="A45">
        <f>'Mass Balance'!I45</f>
        <v>1.6773253339162833E-6</v>
      </c>
      <c r="B45">
        <f>'Mass Balance'!E45</f>
        <v>1.1471093947150088E-8</v>
      </c>
      <c r="C45">
        <f>SUM('Mass Balance'!E45:H45)</f>
        <v>3.5869685291106019E-5</v>
      </c>
      <c r="D45">
        <f>Concentrations!F45/Concentrations!E45</f>
        <v>3.210507084413868E-4</v>
      </c>
    </row>
    <row r="46" spans="1:4">
      <c r="A46">
        <f>'Mass Balance'!I46</f>
        <v>1.4803560742510747E-6</v>
      </c>
      <c r="B46">
        <f>'Mass Balance'!E46</f>
        <v>2.2906528200052231E-8</v>
      </c>
      <c r="C46">
        <f>SUM('Mass Balance'!E46:H46)</f>
        <v>3.5415345921930619E-5</v>
      </c>
      <c r="D46">
        <f>Concentrations!F46/Concentrations!E46</f>
        <v>6.4932802139476553E-4</v>
      </c>
    </row>
    <row r="47" spans="1:4">
      <c r="A47">
        <f>'Mass Balance'!I47</f>
        <v>1.1811578581745221E-6</v>
      </c>
      <c r="B47">
        <f>'Mass Balance'!E47</f>
        <v>5.1012424184564075E-8</v>
      </c>
      <c r="C47">
        <f>SUM('Mass Balance'!E47:H47)</f>
        <v>3.4917130100414611E-5</v>
      </c>
      <c r="D47">
        <f>Concentrations!F47/Concentrations!E47</f>
        <v>1.4666746427414962E-3</v>
      </c>
    </row>
    <row r="48" spans="1:4">
      <c r="A48">
        <f>'Mass Balance'!I48</f>
        <v>2.5237000497254591E-7</v>
      </c>
      <c r="B48">
        <f>'Mass Balance'!E48</f>
        <v>2.3652477447150718E-6</v>
      </c>
      <c r="C48">
        <f>SUM('Mass Balance'!E48:H48)</f>
        <v>3.084571279826462E-5</v>
      </c>
      <c r="D48">
        <f>Concentrations!F48/Concentrations!E48</f>
        <v>7.6980049987451268E-2</v>
      </c>
    </row>
    <row r="49" spans="1:4">
      <c r="A49">
        <f>'Mass Balance'!I49</f>
        <v>4.5482346935596176E-7</v>
      </c>
      <c r="B49">
        <f>'Mass Balance'!E49</f>
        <v>2.5552191743577057E-7</v>
      </c>
      <c r="C49">
        <f>SUM('Mass Balance'!E49:H49)</f>
        <v>3.4892491678841322E-5</v>
      </c>
      <c r="D49">
        <f>Concentrations!F49/Concentrations!E49</f>
        <v>7.3517805761136147E-3</v>
      </c>
    </row>
    <row r="50" spans="1:4">
      <c r="A50">
        <f>'Mass Balance'!I50</f>
        <v>5.0683526092419623E-7</v>
      </c>
      <c r="B50">
        <f>'Mass Balance'!E50</f>
        <v>2.2552253912412399E-7</v>
      </c>
      <c r="C50">
        <f>SUM('Mass Balance'!E50:H50)</f>
        <v>3.4811981742063487E-5</v>
      </c>
      <c r="D50">
        <f>Concentrations!F50/Concentrations!E50</f>
        <v>6.5036560878853986E-3</v>
      </c>
    </row>
    <row r="51" spans="1:4">
      <c r="A51">
        <f>'Mass Balance'!I51</f>
        <v>2.6344243730286302E-7</v>
      </c>
      <c r="B51">
        <f>'Mass Balance'!E51</f>
        <v>1.5179049425555073E-6</v>
      </c>
      <c r="C51">
        <f>SUM('Mass Balance'!E51:H51)</f>
        <v>3.2226615559896295E-5</v>
      </c>
      <c r="D51">
        <f>Concentrations!F51/Concentrations!E51</f>
        <v>4.728530984048708E-2</v>
      </c>
    </row>
    <row r="52" spans="1:4">
      <c r="A52">
        <f>'Mass Balance'!I52</f>
        <v>2.5359158905186507E-7</v>
      </c>
      <c r="B52">
        <f>'Mass Balance'!E52</f>
        <v>2.2692607266331276E-6</v>
      </c>
      <c r="C52">
        <f>SUM('Mass Balance'!E52:H52)</f>
        <v>3.0977900049954683E-5</v>
      </c>
      <c r="D52">
        <f>Concentrations!F52/Concentrations!E52</f>
        <v>7.3540873690213074E-2</v>
      </c>
    </row>
    <row r="53" spans="1:4">
      <c r="A53">
        <f>'Mass Balance'!I53</f>
        <v>6.916501481050884E-7</v>
      </c>
      <c r="B53">
        <f>'Mass Balance'!E53</f>
        <v>1.4936211848676272E-7</v>
      </c>
      <c r="C53">
        <f>SUM('Mass Balance'!E53:H53)</f>
        <v>3.4665670896174465E-5</v>
      </c>
      <c r="D53">
        <f>Concentrations!F53/Concentrations!E53</f>
        <v>4.3255089750456237E-3</v>
      </c>
    </row>
    <row r="54" spans="1:4">
      <c r="A54">
        <f>'Mass Balance'!I54</f>
        <v>4.8036497153164762E-7</v>
      </c>
      <c r="B54">
        <f>'Mass Balance'!E54</f>
        <v>2.4017453880624631E-7</v>
      </c>
      <c r="C54">
        <f>SUM('Mass Balance'!E54:H54)</f>
        <v>3.485199829775705E-5</v>
      </c>
      <c r="D54">
        <f>Concentrations!F54/Concentrations!E54</f>
        <v>6.9182403118300574E-3</v>
      </c>
    </row>
    <row r="55" spans="1:4">
      <c r="A55">
        <f>'Mass Balance'!I55</f>
        <v>1.1663997614994289E-6</v>
      </c>
      <c r="B55">
        <f>'Mass Balance'!E55</f>
        <v>5.2780973990150383E-8</v>
      </c>
      <c r="C55">
        <f>SUM('Mass Balance'!E55:H55)</f>
        <v>3.4890357348475192E-5</v>
      </c>
      <c r="D55">
        <f>Concentrations!F55/Concentrations!E55</f>
        <v>1.5186872432767799E-3</v>
      </c>
    </row>
    <row r="56" spans="1:4">
      <c r="A56">
        <f>'Mass Balance'!I56</f>
        <v>4.3508132470295475E-7</v>
      </c>
      <c r="B56">
        <f>'Mass Balance'!E56</f>
        <v>2.6832255680445955E-7</v>
      </c>
      <c r="C56">
        <f>SUM('Mass Balance'!E56:H56)</f>
        <v>3.4926161220621052E-5</v>
      </c>
      <c r="D56">
        <f>Concentrations!F56/Concentrations!E56</f>
        <v>7.712633448483123E-3</v>
      </c>
    </row>
    <row r="57" spans="1:4">
      <c r="A57">
        <f>'Mass Balance'!I57</f>
        <v>2.4559067918743568E-7</v>
      </c>
      <c r="B57">
        <f>'Mass Balance'!E57</f>
        <v>2.8336528923667152E-6</v>
      </c>
      <c r="C57">
        <f>SUM('Mass Balance'!E57:H57)</f>
        <v>3.0152800850481581E-5</v>
      </c>
      <c r="D57">
        <f>Concentrations!F57/Concentrations!E57</f>
        <v>9.4344231965447389E-2</v>
      </c>
    </row>
    <row r="58" spans="1:4">
      <c r="A58">
        <f>'Mass Balance'!I58</f>
        <v>4.855897277564601E-7</v>
      </c>
      <c r="B58">
        <f>'Mass Balance'!E58</f>
        <v>2.3719134757648529E-7</v>
      </c>
      <c r="C58">
        <f>SUM('Mass Balance'!E58:H58)</f>
        <v>3.4844272052304946E-5</v>
      </c>
      <c r="D58">
        <f>Concentrations!F58/Concentrations!E58</f>
        <v>6.8338243025118017E-3</v>
      </c>
    </row>
    <row r="59" spans="1:4">
      <c r="A59">
        <f>'Mass Balance'!I59</f>
        <v>2.5362542591039588E-7</v>
      </c>
      <c r="B59">
        <f>'Mass Balance'!E59</f>
        <v>2.2695635152802736E-6</v>
      </c>
      <c r="C59">
        <f>SUM('Mass Balance'!E59:H59)</f>
        <v>3.0982033447381193E-5</v>
      </c>
      <c r="D59">
        <f>Concentrations!F59/Concentrations!E59</f>
        <v>7.3540873690213088E-2</v>
      </c>
    </row>
    <row r="60" spans="1:4">
      <c r="A60">
        <f>'Mass Balance'!I60</f>
        <v>6.3432894373319116E-7</v>
      </c>
      <c r="B60">
        <f>'Mass Balance'!E60</f>
        <v>1.6897706257298367E-7</v>
      </c>
      <c r="C60">
        <f>SUM('Mass Balance'!E60:H60)</f>
        <v>3.4678975634128603E-5</v>
      </c>
      <c r="D60">
        <f>Concentrations!F60/Concentrations!E60</f>
        <v>4.8916779614992965E-3</v>
      </c>
    </row>
    <row r="61" spans="1:4">
      <c r="A61">
        <f>'Mass Balance'!I61</f>
        <v>1.0176773677117444E-6</v>
      </c>
      <c r="B61">
        <f>'Mass Balance'!E61</f>
        <v>1.0871447632645245E-5</v>
      </c>
      <c r="C61">
        <f>SUM('Mass Balance'!E61:H61)</f>
        <v>3.1301963805104123E-5</v>
      </c>
      <c r="D61">
        <f>Concentrations!F61/Concentrations!E61</f>
        <v>0.34866805219416092</v>
      </c>
    </row>
    <row r="62" spans="1:4">
      <c r="A62">
        <f>'Mass Balance'!I62</f>
        <v>1.9583682110328052E-7</v>
      </c>
      <c r="B62">
        <f>'Mass Balance'!E62</f>
        <v>7.4131278854095612E-6</v>
      </c>
      <c r="C62">
        <f>SUM('Mass Balance'!E62:H62)</f>
        <v>2.7210515632417506E-5</v>
      </c>
      <c r="D62">
        <f>Concentrations!F62/Concentrations!E62</f>
        <v>0.27350236304920528</v>
      </c>
    </row>
    <row r="63" spans="1:4">
      <c r="A63">
        <f>'Mass Balance'!I63</f>
        <v>2.0159574363080804E-7</v>
      </c>
      <c r="B63">
        <f>'Mass Balance'!E63</f>
        <v>3.6764580813043089E-5</v>
      </c>
      <c r="C63">
        <f>SUM('Mass Balance'!E63:H63)</f>
        <v>3.8204082816129201E-5</v>
      </c>
      <c r="D63">
        <f>Concentrations!F63/Concentrations!E63</f>
        <v>0.96608692190690337</v>
      </c>
    </row>
    <row r="64" spans="1:4">
      <c r="A64">
        <f>'Mass Balance'!I64</f>
        <v>3.7019882617580614E-8</v>
      </c>
      <c r="B64">
        <f>'Mass Balance'!E64</f>
        <v>3.929736068488307E-5</v>
      </c>
      <c r="C64">
        <f>SUM('Mass Balance'!E64:H64)</f>
        <v>3.9789449964777177E-5</v>
      </c>
      <c r="D64">
        <f>Concentrations!F64/Concentrations!E64</f>
        <v>0.99149792496629241</v>
      </c>
    </row>
    <row r="65" spans="1:4">
      <c r="A65">
        <f>'Mass Balance'!I65</f>
        <v>5.1940209923239526E-8</v>
      </c>
      <c r="B65">
        <f>'Mass Balance'!E65</f>
        <v>3.9804115072020699E-5</v>
      </c>
      <c r="C65">
        <f>SUM('Mass Balance'!E65:H65)</f>
        <v>3.9870650763759242E-5</v>
      </c>
      <c r="D65">
        <f>Concentrations!F65/Concentrations!E65</f>
        <v>1.0022383372267634</v>
      </c>
    </row>
    <row r="66" spans="1:4">
      <c r="A66">
        <f>'Mass Balance'!I66</f>
        <v>1.3971354938787539E-6</v>
      </c>
      <c r="B66">
        <f>'Mass Balance'!E66</f>
        <v>2.9938482674991047E-5</v>
      </c>
      <c r="C66">
        <f>SUM('Mass Balance'!E66:H66)</f>
        <v>3.7931431852806716E-5</v>
      </c>
      <c r="D66">
        <f>Concentrations!F66/Concentrations!E66</f>
        <v>0.7923679692326443</v>
      </c>
    </row>
    <row r="67" spans="1:4">
      <c r="A67">
        <f>'Mass Balance'!I67</f>
        <v>4.9365768167695125E-8</v>
      </c>
      <c r="B67">
        <f>'Mass Balance'!E67</f>
        <v>3.9806930615074298E-5</v>
      </c>
      <c r="C67">
        <f>SUM('Mass Balance'!E67:H67)</f>
        <v>3.9863586475521001E-5</v>
      </c>
      <c r="D67">
        <f>Concentrations!F67/Concentrations!E67</f>
        <v>1.002486851309335</v>
      </c>
    </row>
    <row r="68" spans="1:4">
      <c r="A68">
        <f>'Mass Balance'!I68</f>
        <v>3.8513962646034396E-8</v>
      </c>
      <c r="B68">
        <f>'Mass Balance'!E68</f>
        <v>3.9919386115637708E-5</v>
      </c>
      <c r="C68">
        <f>SUM('Mass Balance'!E68:H68)</f>
        <v>3.9926275657471747E-5</v>
      </c>
      <c r="D68">
        <f>Concentrations!F68/Concentrations!E68</f>
        <v>1.0037404250867856</v>
      </c>
    </row>
    <row r="69" spans="1:4">
      <c r="A69">
        <f>'Mass Balance'!I69</f>
        <v>3.8717310170518856E-7</v>
      </c>
      <c r="B69">
        <f>'Mass Balance'!E69</f>
        <v>3.035794577231825E-7</v>
      </c>
      <c r="C69">
        <f>SUM('Mass Balance'!E69:H69)</f>
        <v>3.5025030446877425E-5</v>
      </c>
      <c r="D69">
        <f>Concentrations!F69/Concentrations!E69</f>
        <v>8.701421803339637E-3</v>
      </c>
    </row>
    <row r="70" spans="1:4">
      <c r="A70">
        <f>'Mass Balance'!I70</f>
        <v>3.6847645291873885E-8</v>
      </c>
      <c r="B70">
        <f>'Mass Balance'!E70</f>
        <v>3.8751748033971735E-5</v>
      </c>
      <c r="C70">
        <f>SUM('Mass Balance'!E70:H70)</f>
        <v>3.9960881229232615E-5</v>
      </c>
      <c r="D70">
        <f>Concentrations!F70/Concentrations!E70</f>
        <v>0.97353731667672883</v>
      </c>
    </row>
    <row r="71" spans="1:4">
      <c r="A71">
        <f>'Mass Balance'!I71</f>
        <v>3.6735297980527943E-8</v>
      </c>
      <c r="B71">
        <f>'Mass Balance'!E71</f>
        <v>3.7706156391026595E-5</v>
      </c>
      <c r="C71">
        <f>SUM('Mass Balance'!E71:H71)</f>
        <v>3.9960153244886599E-5</v>
      </c>
      <c r="D71">
        <f>Concentrations!F71/Concentrations!E71</f>
        <v>0.94728679146870587</v>
      </c>
    </row>
    <row r="72" spans="1:4">
      <c r="A72">
        <f>'Mass Balance'!I72</f>
        <v>1.9059561663745371E-7</v>
      </c>
      <c r="B72">
        <f>'Mass Balance'!E72</f>
        <v>1.5509257103132074E-7</v>
      </c>
      <c r="C72">
        <f>SUM('Mass Balance'!E72:H72)</f>
        <v>3.9805895003261488E-5</v>
      </c>
      <c r="D72">
        <f>Concentrations!F72/Concentrations!E72</f>
        <v>3.911469649028069E-3</v>
      </c>
    </row>
    <row r="73" spans="1:4">
      <c r="A73">
        <f>'Mass Balance'!I73</f>
        <v>2.3654459132926133E-8</v>
      </c>
      <c r="B73">
        <f>'Mass Balance'!E73</f>
        <v>1.4435494439595462E-6</v>
      </c>
      <c r="C73">
        <f>SUM('Mass Balance'!E73:H73)</f>
        <v>3.9973490241842711E-5</v>
      </c>
      <c r="D73">
        <f>Concentrations!F73/Concentrations!E73</f>
        <v>3.625400215439354E-2</v>
      </c>
    </row>
    <row r="74" spans="1:4">
      <c r="A74">
        <f>'Mass Balance'!I74</f>
        <v>3.6759877579047853E-8</v>
      </c>
      <c r="B74">
        <f>'Mass Balance'!E74</f>
        <v>3.7909812744332378E-5</v>
      </c>
      <c r="C74">
        <f>SUM('Mass Balance'!E74:H74)</f>
        <v>3.9960280069784506E-5</v>
      </c>
      <c r="D74">
        <f>Concentrations!F74/Concentrations!E74</f>
        <v>0.95240020044659912</v>
      </c>
    </row>
    <row r="75" spans="1:4">
      <c r="A75">
        <f>'Mass Balance'!I75</f>
        <v>2.3996524330288014E-8</v>
      </c>
      <c r="B75">
        <f>'Mass Balance'!E75</f>
        <v>1.7078717694109139E-6</v>
      </c>
      <c r="C75">
        <f>SUM('Mass Balance'!E75:H75)</f>
        <v>3.9972919866955565E-5</v>
      </c>
      <c r="D75">
        <f>Concentrations!F75/Concentrations!E75</f>
        <v>4.2892933501575747E-2</v>
      </c>
    </row>
    <row r="76" spans="1:4">
      <c r="A76">
        <f>'Mass Balance'!I76</f>
        <v>3.2105257674613152E-8</v>
      </c>
      <c r="B76">
        <f>'Mass Balance'!E76</f>
        <v>1.7903958582412433E-5</v>
      </c>
      <c r="C76">
        <f>SUM('Mass Balance'!E76:H76)</f>
        <v>3.9960744121138206E-5</v>
      </c>
      <c r="D76">
        <f>Concentrations!F76/Concentrations!E76</f>
        <v>0.44979213802343765</v>
      </c>
    </row>
    <row r="77" spans="1:4">
      <c r="A77">
        <f>'Mass Balance'!I77</f>
        <v>2.375111833766842E-8</v>
      </c>
      <c r="B77">
        <f>'Mass Balance'!E77</f>
        <v>1.5147678964330584E-6</v>
      </c>
      <c r="C77">
        <f>SUM('Mass Balance'!E77:H77)</f>
        <v>3.9973320767903685E-5</v>
      </c>
      <c r="D77">
        <f>Concentrations!F77/Concentrations!E77</f>
        <v>3.8042778263146566E-2</v>
      </c>
    </row>
    <row r="78" spans="1:4">
      <c r="A78">
        <f>'Mass Balance'!I78</f>
        <v>1.5981024477321563E-7</v>
      </c>
      <c r="B78">
        <f>'Mass Balance'!E78</f>
        <v>1.7214530613230089E-7</v>
      </c>
      <c r="C78">
        <f>SUM('Mass Balance'!E78:H78)</f>
        <v>3.9836858427569075E-5</v>
      </c>
      <c r="D78">
        <f>Concentrations!F78/Concentrations!E78</f>
        <v>4.3381689881233452E-3</v>
      </c>
    </row>
    <row r="79" spans="1:4">
      <c r="A79">
        <f>'Mass Balance'!I79</f>
        <v>1.5981013093395176E-7</v>
      </c>
      <c r="B79">
        <f>'Mass Balance'!E79</f>
        <v>1.7214531948397382E-7</v>
      </c>
      <c r="C79">
        <f>SUM('Mass Balance'!E79:H79)</f>
        <v>3.983685909596892E-5</v>
      </c>
      <c r="D79">
        <f>Concentrations!F79/Concentrations!E79</f>
        <v>4.3381692518061638E-3</v>
      </c>
    </row>
    <row r="80" spans="1:4">
      <c r="A80">
        <f>'Mass Balance'!I80</f>
        <v>2.7644859562999187E-8</v>
      </c>
      <c r="B80">
        <f>'Mass Balance'!E80</f>
        <v>6.6639545168863808E-6</v>
      </c>
      <c r="C80">
        <f>SUM('Mass Balance'!E80:H80)</f>
        <v>3.9966850400864666E-5</v>
      </c>
      <c r="D80">
        <f>Concentrations!F80/Concentrations!E80</f>
        <v>0.16738959617862065</v>
      </c>
    </row>
    <row r="81" spans="1:4">
      <c r="A81">
        <f>'Mass Balance'!I81</f>
        <v>3.5799017616564683E-8</v>
      </c>
      <c r="B81">
        <f>'Mass Balance'!E81</f>
        <v>3.2160141564338557E-5</v>
      </c>
      <c r="C81">
        <f>SUM('Mass Balance'!E81:H81)</f>
        <v>3.9958712343856969E-5</v>
      </c>
      <c r="D81">
        <f>Concentrations!F81/Concentrations!E81</f>
        <v>0.80798412745827086</v>
      </c>
    </row>
    <row r="82" spans="1:4">
      <c r="A82">
        <f>'Mass Balance'!I82</f>
        <v>3.396606621080808E-8</v>
      </c>
      <c r="B82">
        <f>'Mass Balance'!E82</f>
        <v>2.4320319070408164E-5</v>
      </c>
      <c r="C82">
        <f>SUM('Mass Balance'!E82:H82)</f>
        <v>3.9959135045716134E-5</v>
      </c>
      <c r="D82">
        <f>Concentrations!F82/Concentrations!E82</f>
        <v>0.61101173560083721</v>
      </c>
    </row>
    <row r="83" spans="1:4">
      <c r="A83">
        <f>'Mass Balance'!I83</f>
        <v>3.0912218050531664E-7</v>
      </c>
      <c r="B83">
        <f>'Mass Balance'!E83</f>
        <v>1.1628099253659945E-7</v>
      </c>
      <c r="C83">
        <f>SUM('Mass Balance'!E83:H83)</f>
        <v>3.9686832727973788E-5</v>
      </c>
      <c r="D83">
        <f>Concentrations!F83/Concentrations!E83</f>
        <v>2.9414309087652819E-3</v>
      </c>
    </row>
    <row r="84" spans="1:4">
      <c r="A84">
        <f>'Mass Balance'!I84</f>
        <v>1.607051017656536E-7</v>
      </c>
      <c r="B84">
        <f>'Mass Balance'!E84</f>
        <v>1.1324368477602862E-5</v>
      </c>
      <c r="C84">
        <f>SUM('Mass Balance'!E84:H84)</f>
        <v>2.6483069103306001E-5</v>
      </c>
      <c r="D84">
        <f>Concentrations!F84/Concentrations!E84</f>
        <v>0.4292813694373403</v>
      </c>
    </row>
    <row r="85" spans="1:4">
      <c r="A85">
        <f>'Mass Balance'!I85</f>
        <v>1.1883426251534829E-5</v>
      </c>
      <c r="B85">
        <f>'Mass Balance'!E85</f>
        <v>1.5753378477976996E-6</v>
      </c>
      <c r="C85">
        <f>SUM('Mass Balance'!E85:H85)</f>
        <v>2.7629512698495572E-5</v>
      </c>
      <c r="D85">
        <f>Concentrations!F85/Concentrations!E85</f>
        <v>5.7239633469175162E-2</v>
      </c>
    </row>
    <row r="86" spans="1:4">
      <c r="A86">
        <f>'Mass Balance'!I86</f>
        <v>1.6254190503706709E-6</v>
      </c>
      <c r="B86">
        <f>'Mass Balance'!E86</f>
        <v>1.4036848090132637E-8</v>
      </c>
      <c r="C86">
        <f>SUM('Mass Balance'!E86:H86)</f>
        <v>3.5739177135016356E-5</v>
      </c>
      <c r="D86">
        <f>Concentrations!F86/Concentrations!E86</f>
        <v>3.942951301225698E-4</v>
      </c>
    </row>
    <row r="87" spans="1:4">
      <c r="A87">
        <f>'Mass Balance'!I87</f>
        <v>1.8531611268501364E-6</v>
      </c>
      <c r="B87">
        <f>'Mass Balance'!E87</f>
        <v>4.8696304488680617E-9</v>
      </c>
      <c r="C87">
        <f>SUM('Mass Balance'!E87:H87)</f>
        <v>3.6370210405170011E-5</v>
      </c>
      <c r="D87">
        <f>Concentrations!F87/Concentrations!E87</f>
        <v>1.3441463378141346E-4</v>
      </c>
    </row>
    <row r="88" spans="1:4">
      <c r="A88">
        <f>'Mass Balance'!I88</f>
        <v>2.0154076722418661E-6</v>
      </c>
      <c r="B88">
        <f>'Mass Balance'!E88</f>
        <v>1.3686270155460621E-9</v>
      </c>
      <c r="C88">
        <f>SUM('Mass Balance'!E88:H88)</f>
        <v>3.6921327999459801E-5</v>
      </c>
      <c r="D88">
        <f>Concentrations!F88/Concentrations!E88</f>
        <v>3.7213811818105853E-5</v>
      </c>
    </row>
    <row r="89" spans="1:4">
      <c r="A89">
        <f>'Mass Balance'!I89</f>
        <v>2.9478981192956509E-5</v>
      </c>
      <c r="B89">
        <f>'Mass Balance'!E89</f>
        <v>2.4750990589749229E-8</v>
      </c>
      <c r="C89">
        <f>SUM('Mass Balance'!E89:H89)</f>
        <v>1.0210690470113817E-5</v>
      </c>
      <c r="D89">
        <f>Concentrations!F89/Concentrations!E89</f>
        <v>2.4335139283741219E-3</v>
      </c>
    </row>
    <row r="90" spans="1:4">
      <c r="A90">
        <f>'Mass Balance'!I90</f>
        <v>3.6537497805527288E-8</v>
      </c>
      <c r="B90">
        <f>'Mass Balance'!E90</f>
        <v>3.8910507618388897E-5</v>
      </c>
      <c r="C90">
        <f>SUM('Mass Balance'!E90:H90)</f>
        <v>3.8959433198380736E-5</v>
      </c>
      <c r="D90">
        <f>Concentrations!F90/Concentrations!E90</f>
        <v>1.0026529338867345</v>
      </c>
    </row>
    <row r="91" spans="1:4">
      <c r="A91">
        <f>'Mass Balance'!I91</f>
        <v>5.8492995930334636E-8</v>
      </c>
      <c r="B91">
        <f>'Mass Balance'!E91</f>
        <v>2.8637212542055509E-5</v>
      </c>
      <c r="C91">
        <f>SUM('Mass Balance'!E91:H91)</f>
        <v>3.1453434364193768E-5</v>
      </c>
      <c r="D91">
        <f>Concentrations!F91/Concentrations!E91</f>
        <v>0.9140270164622144</v>
      </c>
    </row>
    <row r="92" spans="1:4">
      <c r="A92">
        <f>'Mass Balance'!I92</f>
        <v>2.2013277419132418E-7</v>
      </c>
      <c r="B92">
        <f>'Mass Balance'!E92</f>
        <v>5.058991000045299E-6</v>
      </c>
      <c r="C92">
        <f>SUM('Mass Balance'!E92:H92)</f>
        <v>2.8311611668431041E-5</v>
      </c>
      <c r="D92">
        <f>Concentrations!F92/Concentrations!E92</f>
        <v>0.17938894525213361</v>
      </c>
    </row>
    <row r="93" spans="1:4">
      <c r="A93">
        <f>'Mass Balance'!I93</f>
        <v>3.6899377216976207E-8</v>
      </c>
      <c r="B93">
        <f>'Mass Balance'!E93</f>
        <v>3.978253580851986E-5</v>
      </c>
      <c r="C93">
        <f>SUM('Mass Balance'!E93:H93)</f>
        <v>3.995698615601905E-5</v>
      </c>
      <c r="D93">
        <f>Concentrations!F93/Concentrations!E93</f>
        <v>0.99953061655693276</v>
      </c>
    </row>
    <row r="94" spans="1:4">
      <c r="A94">
        <f>'Mass Balance'!I94</f>
        <v>3.7125040536482018E-8</v>
      </c>
      <c r="B94">
        <f>'Mass Balance'!E94</f>
        <v>3.9962040924161569E-5</v>
      </c>
      <c r="C94">
        <f>SUM('Mass Balance'!E94:H94)</f>
        <v>3.9962720260463266E-5</v>
      </c>
      <c r="D94">
        <f>Concentrations!F94/Concentrations!E94</f>
        <v>1.0038965912204807</v>
      </c>
    </row>
    <row r="95" spans="1:4">
      <c r="A95">
        <f>'Mass Balance'!I95</f>
        <v>3.7637007191196003E-8</v>
      </c>
      <c r="B95">
        <f>'Mass Balance'!E95</f>
        <v>3.7446465271461082E-5</v>
      </c>
      <c r="C95">
        <f>SUM('Mass Balance'!E95:H95)</f>
        <v>3.7647639216472072E-5</v>
      </c>
      <c r="D95">
        <f>Concentrations!F95/Concentrations!E95</f>
        <v>0.99854914344707946</v>
      </c>
    </row>
    <row r="96" spans="1:4">
      <c r="A96">
        <f>'Mass Balance'!I96</f>
        <v>1.5171298511717673E-6</v>
      </c>
      <c r="B96">
        <f>'Mass Balance'!E96</f>
        <v>2.0409244807778479E-8</v>
      </c>
      <c r="C96">
        <f>SUM('Mass Balance'!E96:H96)</f>
        <v>3.549269263302608E-5</v>
      </c>
      <c r="D96">
        <f>Concentrations!F96/Concentrations!E96</f>
        <v>5.7727712584221215E-4</v>
      </c>
    </row>
    <row r="97" spans="1:4">
      <c r="A97">
        <f>'Mass Balance'!I97</f>
        <v>7.8714286654161617E-8</v>
      </c>
      <c r="B97">
        <f>'Mass Balance'!E97</f>
        <v>2.3964878933069094E-5</v>
      </c>
      <c r="C97">
        <f>SUM('Mass Balance'!E97:H97)</f>
        <v>2.9144996969429664E-5</v>
      </c>
      <c r="D97">
        <f>Concentrations!F97/Concentrations!E97</f>
        <v>0.82548196091787929</v>
      </c>
    </row>
    <row r="98" spans="1:4">
      <c r="A98">
        <f>'Mass Balance'!I98</f>
        <v>6.1555352687245361E-8</v>
      </c>
      <c r="B98">
        <f>'Mass Balance'!E98</f>
        <v>2.7843931117369934E-5</v>
      </c>
      <c r="C98">
        <f>SUM('Mass Balance'!E98:H98)</f>
        <v>3.1017716372988705E-5</v>
      </c>
      <c r="D98">
        <f>Concentrations!F98/Concentrations!E98</f>
        <v>0.90119151188221702</v>
      </c>
    </row>
    <row r="99" spans="1:4">
      <c r="A99">
        <f>'Mass Balance'!I99</f>
        <v>4.1378131503880591E-8</v>
      </c>
      <c r="B99">
        <f>'Mass Balance'!E99</f>
        <v>3.4505067744207558E-5</v>
      </c>
      <c r="C99">
        <f>SUM('Mass Balance'!E99:H99)</f>
        <v>3.5281349672083982E-5</v>
      </c>
      <c r="D99">
        <f>Concentrations!F99/Concentrations!E99</f>
        <v>0.98182493204176779</v>
      </c>
    </row>
    <row r="100" spans="1:4">
      <c r="A100">
        <f>'Mass Balance'!I100</f>
        <v>7.4447449712896802E-7</v>
      </c>
      <c r="B100">
        <f>'Mass Balance'!E100</f>
        <v>1.3340429820275075E-7</v>
      </c>
      <c r="C100">
        <f>SUM('Mass Balance'!E100:H100)</f>
        <v>3.4655293126501315E-5</v>
      </c>
      <c r="D100">
        <f>Concentrations!F100/Concentrations!E100</f>
        <v>3.8645293340741375E-3</v>
      </c>
    </row>
    <row r="101" spans="1:4">
      <c r="A101">
        <f>'Mass Balance'!I101</f>
        <v>1.9938235546831178E-7</v>
      </c>
      <c r="B101">
        <f>'Mass Balance'!E101</f>
        <v>7.0539187881088999E-6</v>
      </c>
      <c r="C101">
        <f>SUM('Mass Balance'!E101:H101)</f>
        <v>2.7339407449646546E-5</v>
      </c>
      <c r="D101">
        <f>Concentrations!F101/Concentrations!E101</f>
        <v>0.25902263682185783</v>
      </c>
    </row>
    <row r="102" spans="1:4">
      <c r="A102">
        <f>'Mass Balance'!I102</f>
        <v>2.6297116667281577E-7</v>
      </c>
      <c r="B102">
        <f>'Mass Balance'!E102</f>
        <v>1.5507538558437649E-6</v>
      </c>
      <c r="C102">
        <f>SUM('Mass Balance'!E102:H102)</f>
        <v>3.2158200403716035E-5</v>
      </c>
      <c r="D102">
        <f>Concentrations!F102/Concentrations!E102</f>
        <v>4.8411383565722318E-2</v>
      </c>
    </row>
    <row r="103" spans="1:4">
      <c r="A103">
        <f>'Mass Balance'!I103</f>
        <v>3.6457463673381299E-8</v>
      </c>
      <c r="B103">
        <f>'Mass Balance'!E103</f>
        <v>3.5759719389932913E-5</v>
      </c>
      <c r="C103">
        <f>SUM('Mass Balance'!E103:H103)</f>
        <v>3.995883489338999E-5</v>
      </c>
      <c r="D103">
        <f>Concentrations!F103/Concentrations!E103</f>
        <v>0.89841635177396051</v>
      </c>
    </row>
    <row r="104" spans="1:4">
      <c r="A104">
        <f>'Mass Balance'!I104</f>
        <v>3.3799003926334496E-8</v>
      </c>
      <c r="B104">
        <f>'Mass Balance'!E104</f>
        <v>4.4395165787758683E-7</v>
      </c>
      <c r="C104">
        <f>SUM('Mass Balance'!E104:H104)</f>
        <v>3.9938477018596799E-5</v>
      </c>
      <c r="D104">
        <f>Concentrations!F104/Concentrations!E104</f>
        <v>1.1159392286885955E-2</v>
      </c>
    </row>
    <row r="105" spans="1:4">
      <c r="A105">
        <f>'Mass Balance'!I105</f>
        <v>3.6489386918988185E-8</v>
      </c>
      <c r="B105">
        <f>'Mass Balance'!E105</f>
        <v>3.8705930492416133E-5</v>
      </c>
      <c r="C105">
        <f>SUM('Mass Balance'!E105:H105)</f>
        <v>3.8760395234958288E-5</v>
      </c>
      <c r="D105">
        <f>Concentrations!F105/Concentrations!E105</f>
        <v>1.0025029928797253</v>
      </c>
    </row>
    <row r="106" spans="1:4">
      <c r="A106">
        <f>'Mass Balance'!I106</f>
        <v>3.7671002493845574E-8</v>
      </c>
      <c r="B106">
        <f>'Mass Balance'!E106</f>
        <v>3.7321763528159715E-5</v>
      </c>
      <c r="C106">
        <f>SUM('Mass Balance'!E106:H106)</f>
        <v>3.753955391105186E-5</v>
      </c>
      <c r="D106">
        <f>Concentrations!F106/Concentrations!E106</f>
        <v>0.99808932727434763</v>
      </c>
    </row>
    <row r="107" spans="1:4">
      <c r="A107">
        <f>'Mass Balance'!I107</f>
        <v>4.0625790639315168E-7</v>
      </c>
      <c r="B107">
        <f>'Mass Balance'!E107</f>
        <v>8.3216364540653314E-7</v>
      </c>
      <c r="C107">
        <f>SUM('Mass Balance'!E107:H107)</f>
        <v>3.4131282584273786E-5</v>
      </c>
      <c r="D107">
        <f>Concentrations!F107/Concentrations!E107</f>
        <v>2.447667902371253E-2</v>
      </c>
    </row>
    <row r="108" spans="1:4">
      <c r="A108">
        <f>'Mass Balance'!I108</f>
        <v>3.7005860980072636E-8</v>
      </c>
      <c r="B108">
        <f>'Mass Balance'!E108</f>
        <v>3.9960410914601787E-5</v>
      </c>
      <c r="C108">
        <f>SUM('Mass Balance'!E108:H108)</f>
        <v>3.9960772491774633E-5</v>
      </c>
      <c r="D108">
        <f>Concentrations!F108/Concentrations!E108</f>
        <v>1.003904573285616</v>
      </c>
    </row>
    <row r="109" spans="1:4">
      <c r="A109">
        <f>'Mass Balance'!I109</f>
        <v>4.3963650239092296E-7</v>
      </c>
      <c r="B109">
        <f>'Mass Balance'!E109</f>
        <v>3.6441975047664976E-5</v>
      </c>
      <c r="C109">
        <f>SUM('Mass Balance'!E109:H109)</f>
        <v>3.8839038877916652E-5</v>
      </c>
      <c r="D109">
        <f>Concentrations!F109/Concentrations!E109</f>
        <v>0.94195421656590017</v>
      </c>
    </row>
    <row r="110" spans="1:4">
      <c r="A110">
        <f>'Mass Balance'!I110</f>
        <v>3.6734664431447207E-8</v>
      </c>
      <c r="B110">
        <f>'Mass Balance'!E110</f>
        <v>3.97025154363936E-5</v>
      </c>
      <c r="C110">
        <f>SUM('Mass Balance'!E110:H110)</f>
        <v>3.971322000127103E-5</v>
      </c>
      <c r="D110">
        <f>Concentrations!F110/Concentrations!E110</f>
        <v>1.0036430554508318</v>
      </c>
    </row>
    <row r="111" spans="1:4">
      <c r="A111">
        <f>'Mass Balance'!I111</f>
        <v>3.6883277446514681E-8</v>
      </c>
      <c r="B111">
        <f>'Mass Balance'!E111</f>
        <v>3.9962253027577421E-5</v>
      </c>
      <c r="C111">
        <f>SUM('Mass Balance'!E111:H111)</f>
        <v>3.9962892129603923E-5</v>
      </c>
      <c r="D111">
        <f>Concentrations!F111/Concentrations!E111</f>
        <v>1.0038976020249861</v>
      </c>
    </row>
    <row r="112" spans="1:4">
      <c r="A112">
        <f>'Mass Balance'!I112</f>
        <v>3.6652066439321682E-8</v>
      </c>
      <c r="B112">
        <f>'Mass Balance'!E112</f>
        <v>3.9634866352339146E-5</v>
      </c>
      <c r="C112">
        <f>SUM('Mass Balance'!E112:H112)</f>
        <v>3.9639413467705838E-5</v>
      </c>
      <c r="D112">
        <f>Concentrations!F112/Concentrations!E112</f>
        <v>1.0037984960831403</v>
      </c>
    </row>
    <row r="113" spans="1:4">
      <c r="A113">
        <f>'Mass Balance'!I113</f>
        <v>3.6721206114357238E-8</v>
      </c>
      <c r="B113">
        <f>'Mass Balance'!E113</f>
        <v>3.8026015087833799E-5</v>
      </c>
      <c r="C113">
        <f>SUM('Mass Balance'!E113:H113)</f>
        <v>3.814612952358459E-5</v>
      </c>
      <c r="D113">
        <f>Concentrations!F113/Concentrations!E113</f>
        <v>1.0007525362272784</v>
      </c>
    </row>
    <row r="114" spans="1:4">
      <c r="A114">
        <f>'Mass Balance'!I114</f>
        <v>3.6749402960718721E-8</v>
      </c>
      <c r="B114">
        <f>'Mass Balance'!E114</f>
        <v>3.9793935879347716E-5</v>
      </c>
      <c r="C114">
        <f>SUM('Mass Balance'!E114:H114)</f>
        <v>3.9795292979966223E-5</v>
      </c>
      <c r="D114">
        <f>Concentrations!F114/Concentrations!E114</f>
        <v>1.0038794214981379</v>
      </c>
    </row>
    <row r="115" spans="1:4">
      <c r="A115">
        <f>'Mass Balance'!I115</f>
        <v>3.6857940283568915E-8</v>
      </c>
      <c r="B115">
        <f>'Mass Balance'!E115</f>
        <v>3.8863220625106953E-5</v>
      </c>
      <c r="C115">
        <f>SUM('Mass Balance'!E115:H115)</f>
        <v>3.9960437249153317E-5</v>
      </c>
      <c r="D115">
        <f>Concentrations!F115/Concentrations!E115</f>
        <v>0.97634862444837545</v>
      </c>
    </row>
    <row r="116" spans="1:4">
      <c r="A116">
        <f>'Mass Balance'!I116</f>
        <v>4.155138866218623E-6</v>
      </c>
      <c r="B116">
        <f>'Mass Balance'!E116</f>
        <v>4.8294358450003492E-6</v>
      </c>
      <c r="C116">
        <f>SUM('Mass Balance'!E116:H116)</f>
        <v>3.5152588709597535E-5</v>
      </c>
      <c r="D116">
        <f>Concentrations!F116/Concentrations!E116</f>
        <v>0.13792260480320315</v>
      </c>
    </row>
    <row r="117" spans="1:4">
      <c r="A117">
        <f>'Mass Balance'!I117</f>
        <v>1.0697372605657971E-7</v>
      </c>
      <c r="B117">
        <f>'Mass Balance'!E117</f>
        <v>1.8842068014888355E-5</v>
      </c>
      <c r="C117">
        <f>SUM('Mass Balance'!E117:H117)</f>
        <v>2.7368585949242214E-5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0.9722585073061869</v>
      </c>
      <c r="M2" s="115">
        <v>0.89224216256447397</v>
      </c>
      <c r="N2" s="115">
        <v>1.1392925359086252</v>
      </c>
      <c r="O2" s="115">
        <v>0.81294163524827123</v>
      </c>
      <c r="P2" s="115">
        <v>0.94088549686922596</v>
      </c>
      <c r="Q2" s="111">
        <v>0.81294163524827123</v>
      </c>
      <c r="R2" s="68">
        <v>0.94088549686922596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0.64694559418947528</v>
      </c>
      <c r="M3" s="115">
        <v>3.8991766028266528</v>
      </c>
      <c r="N3" s="115">
        <v>241.47510950050773</v>
      </c>
      <c r="O3" s="115">
        <v>2.3923004972084954</v>
      </c>
      <c r="P3" s="115">
        <v>2.2165215195137398</v>
      </c>
      <c r="Q3" s="111">
        <v>2.3923004972084954</v>
      </c>
      <c r="R3" s="68">
        <v>2.2165215195137398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1.1021344942220097</v>
      </c>
      <c r="M4" s="115">
        <v>1.0217410290810891</v>
      </c>
      <c r="N4" s="115">
        <v>3.0572877896684227</v>
      </c>
      <c r="O4" s="115">
        <v>0.82733350666911976</v>
      </c>
      <c r="P4" s="115">
        <v>0.9616277400606873</v>
      </c>
      <c r="Q4" s="111">
        <v>0.82733350666911976</v>
      </c>
      <c r="R4" s="68">
        <v>0.96162774006068741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0.55049498553841891</v>
      </c>
      <c r="M5" s="115">
        <v>0.81467736718208728</v>
      </c>
      <c r="N5" s="115">
        <v>44.97885231070665</v>
      </c>
      <c r="O5" s="115">
        <v>2.6251472405944649</v>
      </c>
      <c r="P5" s="115">
        <v>4.2916785593126727</v>
      </c>
      <c r="Q5" s="111">
        <v>2.6251472405944649</v>
      </c>
      <c r="R5" s="68">
        <v>4.2916785593126727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0.32742633814185124</v>
      </c>
      <c r="M6" s="115">
        <v>0.75042162658678147</v>
      </c>
      <c r="N6" s="115">
        <v>63.944553806318275</v>
      </c>
      <c r="O6" s="115">
        <v>3.5057117634470432</v>
      </c>
      <c r="P6" s="115">
        <v>5.9314245404666623</v>
      </c>
      <c r="Q6" s="111">
        <v>3.5057117634470432</v>
      </c>
      <c r="R6" s="68">
        <v>5.9314245404666623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0.10929244716062853</v>
      </c>
      <c r="M7" s="115">
        <v>0.72513490230101796</v>
      </c>
      <c r="N7" s="115">
        <v>84.331090005560867</v>
      </c>
      <c r="O7" s="115">
        <v>4.3638271366304942</v>
      </c>
      <c r="P7" s="115">
        <v>7.4893815909940278</v>
      </c>
      <c r="Q7" s="111">
        <v>4.3638271366304942</v>
      </c>
      <c r="R7" s="68">
        <v>7.4893815909940287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0.23270983066588691</v>
      </c>
      <c r="M8" s="115">
        <v>0.70905147349742192</v>
      </c>
      <c r="N8" s="115">
        <v>70.259679223338807</v>
      </c>
      <c r="O8" s="115">
        <v>3.874253448063921</v>
      </c>
      <c r="P8" s="115">
        <v>6.6275247056313233</v>
      </c>
      <c r="Q8" s="111">
        <v>3.8742534480639215</v>
      </c>
      <c r="R8" s="68">
        <v>6.6275247056313242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0.61636914406482124</v>
      </c>
      <c r="M9" s="115">
        <v>0.83737596301442263</v>
      </c>
      <c r="N9" s="115">
        <v>39.515867618303027</v>
      </c>
      <c r="O9" s="115">
        <v>2.3617446706702787</v>
      </c>
      <c r="P9" s="115">
        <v>3.7971732816028916</v>
      </c>
      <c r="Q9" s="111">
        <v>2.3617446706702792</v>
      </c>
      <c r="R9" s="68">
        <v>3.7971732816028916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1.0429789955462457E-2</v>
      </c>
      <c r="M10" s="115">
        <v>6.8940136581927165</v>
      </c>
      <c r="N10" s="115">
        <v>684.01560037716433</v>
      </c>
      <c r="O10" s="115">
        <v>7.4114477095107487</v>
      </c>
      <c r="P10" s="115">
        <v>7.5607082296743506</v>
      </c>
      <c r="Q10" s="111">
        <v>7.4114477095107487</v>
      </c>
      <c r="R10" s="68">
        <v>7.5607082296743506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6.0432192452746728E-4</v>
      </c>
      <c r="M11" s="115">
        <v>42.867749519396988</v>
      </c>
      <c r="N11" s="115">
        <v>5159.4580291681459</v>
      </c>
      <c r="O11" s="115">
        <v>20.944046242187074</v>
      </c>
      <c r="P11" s="115">
        <v>9.6137592874699607</v>
      </c>
      <c r="Q11" s="111">
        <v>20.944046242187078</v>
      </c>
      <c r="R11" s="68">
        <v>9.6137592874699607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0.91755248285632462</v>
      </c>
      <c r="M12" s="115">
        <v>0.83165475174572678</v>
      </c>
      <c r="N12" s="115">
        <v>6.1556054031222225E-2</v>
      </c>
      <c r="O12" s="115">
        <v>0.75838243732666977</v>
      </c>
      <c r="P12" s="115">
        <v>0.88126720707580219</v>
      </c>
      <c r="Q12" s="111">
        <v>0.75838243732666988</v>
      </c>
      <c r="R12" s="68">
        <v>0.88126720707580231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0.52877870120868609</v>
      </c>
      <c r="M13" s="115">
        <v>2.3141938484905253</v>
      </c>
      <c r="N13" s="115">
        <v>180.1314703228359</v>
      </c>
      <c r="O13" s="115">
        <v>2.1644279946180198</v>
      </c>
      <c r="P13" s="115">
        <v>2.0459206230463303</v>
      </c>
      <c r="Q13" s="111">
        <v>2.1644279946180198</v>
      </c>
      <c r="R13" s="68">
        <v>2.0459206230463307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8.9700665310888383E-3</v>
      </c>
      <c r="M14" s="115">
        <v>1.2252961737741985</v>
      </c>
      <c r="N14" s="115">
        <v>167.73099897126392</v>
      </c>
      <c r="O14" s="115">
        <v>4.9605322747517855</v>
      </c>
      <c r="P14" s="115">
        <v>8.310661942070281</v>
      </c>
      <c r="Q14" s="111">
        <v>4.9605322747517855</v>
      </c>
      <c r="R14" s="68">
        <v>8.310661942070281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0.76281670333287543</v>
      </c>
      <c r="M15" s="115">
        <v>0.98650316969351881</v>
      </c>
      <c r="N15" s="115">
        <v>29.048795443333109</v>
      </c>
      <c r="O15" s="115">
        <v>0.89465675112719256</v>
      </c>
      <c r="P15" s="115">
        <v>0.95270881719782219</v>
      </c>
      <c r="Q15" s="111">
        <v>0.89465675112719267</v>
      </c>
      <c r="R15" s="68">
        <v>0.95270881719782219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0.49339498549616778</v>
      </c>
      <c r="M16" s="115">
        <v>2.5106121587899723</v>
      </c>
      <c r="N16" s="115">
        <v>202.57571111053622</v>
      </c>
      <c r="O16" s="115">
        <v>2.3591874933032959</v>
      </c>
      <c r="P16" s="115">
        <v>2.2209819955005385</v>
      </c>
      <c r="Q16" s="111">
        <v>2.3591874933032964</v>
      </c>
      <c r="R16" s="68">
        <v>2.2209819955005385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0.51467800548802056</v>
      </c>
      <c r="M17" s="115">
        <v>2.381947944261082</v>
      </c>
      <c r="N17" s="115">
        <v>188.04095524388615</v>
      </c>
      <c r="O17" s="115">
        <v>2.2316746156424685</v>
      </c>
      <c r="P17" s="115">
        <v>2.1059607760443422</v>
      </c>
      <c r="Q17" s="111">
        <v>2.2316746156424689</v>
      </c>
      <c r="R17" s="68">
        <v>2.1059607760443426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6.5058062300923426E-4</v>
      </c>
      <c r="M18" s="115">
        <v>35.28607845095901</v>
      </c>
      <c r="N18" s="115">
        <v>3550.0326182645349</v>
      </c>
      <c r="O18" s="115">
        <v>21.410505167353712</v>
      </c>
      <c r="P18" s="115">
        <v>9.1712233468627122</v>
      </c>
      <c r="Q18" s="111">
        <v>21.410505167353712</v>
      </c>
      <c r="R18" s="68">
        <v>9.1712233468627122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0.90138423297522452</v>
      </c>
      <c r="M19" s="115">
        <v>0.92026584365219988</v>
      </c>
      <c r="N19" s="115">
        <v>10.199837313797181</v>
      </c>
      <c r="O19" s="115">
        <v>0.83522478126110522</v>
      </c>
      <c r="P19" s="115">
        <v>0.93818230617715892</v>
      </c>
      <c r="Q19" s="111">
        <v>0.83522478126110533</v>
      </c>
      <c r="R19" s="68">
        <v>0.93818230617715892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0.86116928367383061</v>
      </c>
      <c r="M20" s="115">
        <v>0.95776058013163945</v>
      </c>
      <c r="N20" s="115">
        <v>17.468977520104307</v>
      </c>
      <c r="O20" s="115">
        <v>0.86834958618820879</v>
      </c>
      <c r="P20" s="115">
        <v>0.95506266564108511</v>
      </c>
      <c r="Q20" s="111">
        <v>0.86834958618820879</v>
      </c>
      <c r="R20" s="68">
        <v>0.95506266564108522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0.10737803032478993</v>
      </c>
      <c r="M21" s="115">
        <v>2.1475606470190995</v>
      </c>
      <c r="N21" s="115">
        <v>218.75247880202855</v>
      </c>
      <c r="O21" s="115">
        <v>4.653235910947318</v>
      </c>
      <c r="P21" s="115">
        <v>6.8380395767894084</v>
      </c>
      <c r="Q21" s="111">
        <v>4.653235910947318</v>
      </c>
      <c r="R21" s="68">
        <v>6.8380395767894093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0.90038211672044099</v>
      </c>
      <c r="M22" s="115">
        <v>0.83438640501534889</v>
      </c>
      <c r="N22" s="115">
        <v>1.8494997187250379</v>
      </c>
      <c r="O22" s="115">
        <v>0.75977154896686849</v>
      </c>
      <c r="P22" s="115">
        <v>0.87671969559825269</v>
      </c>
      <c r="Q22" s="111">
        <v>0.7597715489668686</v>
      </c>
      <c r="R22" s="68">
        <v>0.8767196955982528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0.72460588486763822</v>
      </c>
      <c r="M23" s="115">
        <v>1.1477540043866252</v>
      </c>
      <c r="N23" s="115">
        <v>48.278911020738661</v>
      </c>
      <c r="O23" s="115">
        <v>1.0438337095869104</v>
      </c>
      <c r="P23" s="115">
        <v>1.0730131413957871</v>
      </c>
      <c r="Q23" s="111">
        <v>1.0438337095869104</v>
      </c>
      <c r="R23" s="68">
        <v>1.0730131413957871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0.38209414128861974</v>
      </c>
      <c r="M24" s="115">
        <v>3.2093290933470371</v>
      </c>
      <c r="N24" s="115">
        <v>281.23420735347719</v>
      </c>
      <c r="O24" s="115">
        <v>3.0631860406137901</v>
      </c>
      <c r="P24" s="115">
        <v>2.8689545247770485</v>
      </c>
      <c r="Q24" s="111">
        <v>3.0631860406137901</v>
      </c>
      <c r="R24" s="68">
        <v>2.8689545247770485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9.0767297871764425E-4</v>
      </c>
      <c r="M25" s="115">
        <v>32.350152373836941</v>
      </c>
      <c r="N25" s="115">
        <v>3250.7918828863108</v>
      </c>
      <c r="O25" s="115">
        <v>19.954680253925545</v>
      </c>
      <c r="P25" s="115">
        <v>8.9607364670796663</v>
      </c>
      <c r="Q25" s="111">
        <v>19.954680253925545</v>
      </c>
      <c r="R25" s="68">
        <v>8.9607364670796663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0.13755976333571829</v>
      </c>
      <c r="M26" s="115">
        <v>4.4009787079053204</v>
      </c>
      <c r="N26" s="115">
        <v>421.28064308255119</v>
      </c>
      <c r="O26" s="115">
        <v>4.3743060190825629</v>
      </c>
      <c r="P26" s="115">
        <v>4.172691805448876</v>
      </c>
      <c r="Q26" s="111">
        <v>4.3743060190825629</v>
      </c>
      <c r="R26" s="68">
        <v>4.172691805448876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1.6298372392863067E-2</v>
      </c>
      <c r="M27" s="115">
        <v>2.548034507449358</v>
      </c>
      <c r="N27" s="115">
        <v>250.6543307327911</v>
      </c>
      <c r="O27" s="115">
        <v>2.6558636181202782</v>
      </c>
      <c r="P27" s="115">
        <v>2.6357678326341301</v>
      </c>
      <c r="Q27" s="111">
        <v>2.6558636181202782</v>
      </c>
      <c r="R27" s="68">
        <v>2.6357678326341301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2.9474345231973356E-2</v>
      </c>
      <c r="M28" s="115">
        <v>1.2675324909755168</v>
      </c>
      <c r="N28" s="115">
        <v>122.33419635489916</v>
      </c>
      <c r="O28" s="115">
        <v>1.2710097740213773</v>
      </c>
      <c r="P28" s="115">
        <v>1.2206598904618569</v>
      </c>
      <c r="Q28" s="111">
        <v>1.2710097740213773</v>
      </c>
      <c r="R28" s="68">
        <v>1.2206598904618569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5.9199818804903485E-2</v>
      </c>
      <c r="M29" s="115">
        <v>6.9050187881664879E-2</v>
      </c>
      <c r="N29" s="115">
        <v>1.516480174018199</v>
      </c>
      <c r="O29" s="115">
        <v>6.2594830595847958E-2</v>
      </c>
      <c r="P29" s="115">
        <v>6.8104633209437881E-2</v>
      </c>
      <c r="Q29" s="111">
        <v>6.2594830595847958E-2</v>
      </c>
      <c r="R29" s="68">
        <v>6.8104633209437881E-2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1.2131733202415843E-2</v>
      </c>
      <c r="M30" s="115">
        <v>0.48720455009980068</v>
      </c>
      <c r="N30" s="115">
        <v>46.941646925253323</v>
      </c>
      <c r="O30" s="115">
        <v>0.4875456691186113</v>
      </c>
      <c r="P30" s="115">
        <v>0.46747979348519064</v>
      </c>
      <c r="Q30" s="111">
        <v>0.4875456691186113</v>
      </c>
      <c r="R30" s="68">
        <v>0.46747979348519064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4.5334703766986738E-4</v>
      </c>
      <c r="M31" s="115">
        <v>8.6526981070953902E-3</v>
      </c>
      <c r="N31" s="115">
        <v>0.81091276473123375</v>
      </c>
      <c r="O31" s="115">
        <v>8.4681702277818582E-3</v>
      </c>
      <c r="P31" s="115">
        <v>7.9955243479682865E-3</v>
      </c>
      <c r="Q31" s="111">
        <v>8.4681702277818582E-3</v>
      </c>
      <c r="R31" s="68">
        <v>7.9955243479682865E-3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0.56612918641159993</v>
      </c>
      <c r="M32" s="115">
        <v>2.1056189759941621</v>
      </c>
      <c r="N32" s="115">
        <v>156.3316604062727</v>
      </c>
      <c r="O32" s="115">
        <v>1.9594639386820218</v>
      </c>
      <c r="P32" s="115">
        <v>1.8635568754713343</v>
      </c>
      <c r="Q32" s="111">
        <v>1.9594639386820218</v>
      </c>
      <c r="R32" s="68">
        <v>1.8635568754713345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0.71364699369321682</v>
      </c>
      <c r="M33" s="115">
        <v>1.4549246027176927</v>
      </c>
      <c r="N33" s="115">
        <v>79.391312319296972</v>
      </c>
      <c r="O33" s="115">
        <v>1.3306791889476026</v>
      </c>
      <c r="P33" s="115">
        <v>1.3232088932028265</v>
      </c>
      <c r="Q33" s="111">
        <v>1.3306791889476026</v>
      </c>
      <c r="R33" s="68">
        <v>1.3232088932028268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0.17561377160411815</v>
      </c>
      <c r="M34" s="115">
        <v>4.9054848887394122</v>
      </c>
      <c r="N34" s="115">
        <v>467.42288723117451</v>
      </c>
      <c r="O34" s="115">
        <v>4.8560325839938034</v>
      </c>
      <c r="P34" s="115">
        <v>4.6187091306424817</v>
      </c>
      <c r="Q34" s="111">
        <v>4.8560325839938034</v>
      </c>
      <c r="R34" s="68">
        <v>4.6187091306424826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2.0922871890854358E-2</v>
      </c>
      <c r="M35" s="115">
        <v>6.5661912688298241</v>
      </c>
      <c r="N35" s="115">
        <v>649.10902245974182</v>
      </c>
      <c r="O35" s="115">
        <v>6.9919352491291802</v>
      </c>
      <c r="P35" s="115">
        <v>7.0683273875818458</v>
      </c>
      <c r="Q35" s="111">
        <v>6.9919352491291811</v>
      </c>
      <c r="R35" s="68">
        <v>7.0683273875818458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4.6409803414432073E-3</v>
      </c>
      <c r="M36" s="115">
        <v>14.624131058439977</v>
      </c>
      <c r="N36" s="115">
        <v>1459.0850514425742</v>
      </c>
      <c r="O36" s="115">
        <v>11.19048901131983</v>
      </c>
      <c r="P36" s="115">
        <v>7.8856450238644547</v>
      </c>
      <c r="Q36" s="111">
        <v>11.190489011319832</v>
      </c>
      <c r="R36" s="68">
        <v>7.8856450238644555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7.1291093505357393E-4</v>
      </c>
      <c r="M37" s="115">
        <v>34.409865613576898</v>
      </c>
      <c r="N37" s="115">
        <v>3460.7391341522589</v>
      </c>
      <c r="O37" s="115">
        <v>20.966768192246629</v>
      </c>
      <c r="P37" s="115">
        <v>9.0917494184191359</v>
      </c>
      <c r="Q37" s="111">
        <v>20.966768192246633</v>
      </c>
      <c r="R37" s="68">
        <v>9.0917494184191359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2.5535507985091107E-3</v>
      </c>
      <c r="M38" s="115">
        <v>21.429554075158922</v>
      </c>
      <c r="N38" s="115">
        <v>2144.4412942745789</v>
      </c>
      <c r="O38" s="115">
        <v>14.547198863093296</v>
      </c>
      <c r="P38" s="115">
        <v>8.2583431107307099</v>
      </c>
      <c r="Q38" s="111">
        <v>14.547198863093298</v>
      </c>
      <c r="R38" s="68">
        <v>8.2583431107307099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3.8392107417552957E-3</v>
      </c>
      <c r="M39" s="115">
        <v>16.004365427284331</v>
      </c>
      <c r="N39" s="115">
        <v>1598.1834482570039</v>
      </c>
      <c r="O39" s="115">
        <v>11.76355555607023</v>
      </c>
      <c r="P39" s="115">
        <v>7.7665405756489738</v>
      </c>
      <c r="Q39" s="111">
        <v>11.763555556070232</v>
      </c>
      <c r="R39" s="68">
        <v>7.7665405756489738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2.5535507985091107E-3</v>
      </c>
      <c r="M40" s="115">
        <v>21.429554075158922</v>
      </c>
      <c r="N40" s="115">
        <v>2144.4412942745789</v>
      </c>
      <c r="O40" s="115">
        <v>14.547198863093296</v>
      </c>
      <c r="P40" s="115">
        <v>8.2583431107307099</v>
      </c>
      <c r="Q40" s="111">
        <v>14.547198863093298</v>
      </c>
      <c r="R40" s="68">
        <v>8.2583431107307099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0.95154657352081551</v>
      </c>
      <c r="M41" s="115">
        <v>0.90007063687284117</v>
      </c>
      <c r="N41" s="115">
        <v>5.4727635043743801</v>
      </c>
      <c r="O41" s="115">
        <v>1.0081469106310526</v>
      </c>
      <c r="P41" s="115">
        <v>1.2946373007674961</v>
      </c>
      <c r="Q41" s="111">
        <v>1.0081469106310526</v>
      </c>
      <c r="R41" s="68">
        <v>1.2946373007674961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6.483009377667915E-4</v>
      </c>
      <c r="M42" s="115">
        <v>35.162433280071113</v>
      </c>
      <c r="N42" s="115">
        <v>3537.5930270996237</v>
      </c>
      <c r="O42" s="115">
        <v>21.335481087421083</v>
      </c>
      <c r="P42" s="115">
        <v>9.139086664982635</v>
      </c>
      <c r="Q42" s="111">
        <v>21.335481087421087</v>
      </c>
      <c r="R42" s="68">
        <v>9.139086664982635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0.35682239648019781</v>
      </c>
      <c r="M43" s="115">
        <v>3.398698594496977</v>
      </c>
      <c r="N43" s="115">
        <v>302.1476539213885</v>
      </c>
      <c r="O43" s="115">
        <v>3.2565563509246322</v>
      </c>
      <c r="P43" s="115">
        <v>3.0507320301995255</v>
      </c>
      <c r="Q43" s="111">
        <v>3.2565563509246327</v>
      </c>
      <c r="R43" s="68">
        <v>3.050732030199526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6.9642850930894586E-3</v>
      </c>
      <c r="M44" s="115">
        <v>10.406411836147855</v>
      </c>
      <c r="N44" s="115">
        <v>1035.7260771081671</v>
      </c>
      <c r="O44" s="115">
        <v>9.1227776725242311</v>
      </c>
      <c r="P44" s="115">
        <v>7.6923958972479829</v>
      </c>
      <c r="Q44" s="111">
        <v>9.1227776725242329</v>
      </c>
      <c r="R44" s="68">
        <v>7.6923958972479838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2.9068948218933458E-4</v>
      </c>
      <c r="M45" s="115">
        <v>41.030463158421803</v>
      </c>
      <c r="N45" s="115">
        <v>4139.0550974052376</v>
      </c>
      <c r="O45" s="115">
        <v>24.253178680077816</v>
      </c>
      <c r="P45" s="115">
        <v>9.6074063865602284</v>
      </c>
      <c r="Q45" s="111">
        <v>24.253178680077816</v>
      </c>
      <c r="R45" s="68">
        <v>9.6074063865602284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5.804532682976831E-4</v>
      </c>
      <c r="M46" s="115">
        <v>36.212232736083045</v>
      </c>
      <c r="N46" s="115">
        <v>3644.6484306531929</v>
      </c>
      <c r="O46" s="115">
        <v>21.869297115394509</v>
      </c>
      <c r="P46" s="115">
        <v>9.2389521973398452</v>
      </c>
      <c r="Q46" s="111">
        <v>21.869297115394509</v>
      </c>
      <c r="R46" s="68">
        <v>9.238952197339847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1.2925966567491696E-3</v>
      </c>
      <c r="M47" s="115">
        <v>28.893293986656605</v>
      </c>
      <c r="N47" s="115">
        <v>2899.5615580597705</v>
      </c>
      <c r="O47" s="115">
        <v>18.241513284853767</v>
      </c>
      <c r="P47" s="115">
        <v>8.7255959994752565</v>
      </c>
      <c r="Q47" s="111">
        <v>18.241513284853767</v>
      </c>
      <c r="R47" s="68">
        <v>8.7255959994752565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5.9909070220482821E-2</v>
      </c>
      <c r="M48" s="115">
        <v>6.1734345639076791</v>
      </c>
      <c r="N48" s="115">
        <v>604.7460049641968</v>
      </c>
      <c r="O48" s="115">
        <v>6.354173131262967</v>
      </c>
      <c r="P48" s="115">
        <v>6.2375660258006649</v>
      </c>
      <c r="Q48" s="111">
        <v>6.354173131262967</v>
      </c>
      <c r="R48" s="68">
        <v>6.2375660258006649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6.4738044532788039E-3</v>
      </c>
      <c r="M49" s="115">
        <v>11.125818722014721</v>
      </c>
      <c r="N49" s="115">
        <v>1107.8590984011882</v>
      </c>
      <c r="O49" s="115">
        <v>9.4752531582145458</v>
      </c>
      <c r="P49" s="115">
        <v>7.7241063372403724</v>
      </c>
      <c r="Q49" s="111">
        <v>9.4752531582145476</v>
      </c>
      <c r="R49" s="68">
        <v>7.7241063372403733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5.713824666981642E-3</v>
      </c>
      <c r="M50" s="115">
        <v>12.398122821041984</v>
      </c>
      <c r="N50" s="115">
        <v>1235.5101669194976</v>
      </c>
      <c r="O50" s="115">
        <v>10.098390430914128</v>
      </c>
      <c r="P50" s="115">
        <v>7.780675261228521</v>
      </c>
      <c r="Q50" s="111">
        <v>10.098390430914128</v>
      </c>
      <c r="R50" s="68">
        <v>7.7806752612285219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3.844980285821499E-2</v>
      </c>
      <c r="M51" s="115">
        <v>6.4442866267823637</v>
      </c>
      <c r="N51" s="115">
        <v>634.30910601673497</v>
      </c>
      <c r="O51" s="115">
        <v>6.7312187132479036</v>
      </c>
      <c r="P51" s="115">
        <v>6.6925691488482011</v>
      </c>
      <c r="Q51" s="111">
        <v>6.7312187132479036</v>
      </c>
      <c r="R51" s="68">
        <v>6.6925691488482011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5.7478318867690587E-2</v>
      </c>
      <c r="M52" s="115">
        <v>6.2033167576287944</v>
      </c>
      <c r="N52" s="115">
        <v>607.99606428729635</v>
      </c>
      <c r="O52" s="115">
        <v>6.3938190282604737</v>
      </c>
      <c r="P52" s="115">
        <v>6.2840436534326667</v>
      </c>
      <c r="Q52" s="111">
        <v>6.3938190282604737</v>
      </c>
      <c r="R52" s="68">
        <v>6.2840436534326667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3.7843708538916046E-3</v>
      </c>
      <c r="M53" s="115">
        <v>16.919034934077509</v>
      </c>
      <c r="N53" s="115">
        <v>1689.8837734635079</v>
      </c>
      <c r="O53" s="115">
        <v>12.32137788472826</v>
      </c>
      <c r="P53" s="115">
        <v>8.0061639043396244</v>
      </c>
      <c r="Q53" s="111">
        <v>12.321377884728262</v>
      </c>
      <c r="R53" s="68">
        <v>8.0061639043396262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6.0850083199944192E-3</v>
      </c>
      <c r="M54" s="115">
        <v>11.75061084959999</v>
      </c>
      <c r="N54" s="115">
        <v>1170.5321225510472</v>
      </c>
      <c r="O54" s="115">
        <v>9.7812784868023179</v>
      </c>
      <c r="P54" s="115">
        <v>7.7517804818746443</v>
      </c>
      <c r="Q54" s="111">
        <v>9.7812784868023197</v>
      </c>
      <c r="R54" s="68">
        <v>7.7517804818746443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1.3374067403485617E-3</v>
      </c>
      <c r="M55" s="115">
        <v>28.532283794017342</v>
      </c>
      <c r="N55" s="115">
        <v>2862.9500515104487</v>
      </c>
      <c r="O55" s="115">
        <v>18.061632302224204</v>
      </c>
      <c r="P55" s="115">
        <v>8.699959109484066</v>
      </c>
      <c r="Q55" s="111">
        <v>18.061632302224204</v>
      </c>
      <c r="R55" s="68">
        <v>8.699959109484066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6.7980809708846528E-3</v>
      </c>
      <c r="M56" s="115">
        <v>10.642889547528247</v>
      </c>
      <c r="N56" s="115">
        <v>1059.433141620294</v>
      </c>
      <c r="O56" s="115">
        <v>9.2387976150582851</v>
      </c>
      <c r="P56" s="115">
        <v>7.7030600686870363</v>
      </c>
      <c r="Q56" s="111">
        <v>9.2387976150582851</v>
      </c>
      <c r="R56" s="68">
        <v>7.7030600686870372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7.1770203851319672E-2</v>
      </c>
      <c r="M57" s="115">
        <v>6.0075997844284661</v>
      </c>
      <c r="N57" s="115">
        <v>586.95258731727768</v>
      </c>
      <c r="O57" s="115">
        <v>6.1450314263937269</v>
      </c>
      <c r="P57" s="115">
        <v>5.9999436534516448</v>
      </c>
      <c r="Q57" s="111">
        <v>6.1450314263937269</v>
      </c>
      <c r="R57" s="68">
        <v>5.9999436534516448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6.0094345030378962E-3</v>
      </c>
      <c r="M58" s="115">
        <v>11.878417997956463</v>
      </c>
      <c r="N58" s="115">
        <v>1183.35544508526</v>
      </c>
      <c r="O58" s="115">
        <v>9.8439106580500422</v>
      </c>
      <c r="P58" s="115">
        <v>7.7575325094756389</v>
      </c>
      <c r="Q58" s="111">
        <v>9.8439106580500422</v>
      </c>
      <c r="R58" s="68">
        <v>7.7575325094756389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5.7485988229877993E-2</v>
      </c>
      <c r="M59" s="115">
        <v>6.2041444694323857</v>
      </c>
      <c r="N59" s="115">
        <v>608.0771895205562</v>
      </c>
      <c r="O59" s="115">
        <v>6.3946721588817992</v>
      </c>
      <c r="P59" s="115">
        <v>6.2848821366682408</v>
      </c>
      <c r="Q59" s="111">
        <v>6.3946721588818001</v>
      </c>
      <c r="R59" s="68">
        <v>6.2848821366682408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4.2813069638411782E-3</v>
      </c>
      <c r="M60" s="115">
        <v>15.516852831046752</v>
      </c>
      <c r="N60" s="115">
        <v>1548.8313378442099</v>
      </c>
      <c r="O60" s="115">
        <v>11.62930186654336</v>
      </c>
      <c r="P60" s="115">
        <v>7.930153622341666</v>
      </c>
      <c r="Q60" s="111">
        <v>11.62930186654336</v>
      </c>
      <c r="R60" s="68">
        <v>7.9301536223416669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0.9905391173145226</v>
      </c>
      <c r="M61" s="115">
        <v>24.894260462616057</v>
      </c>
      <c r="N61" s="115">
        <v>781.12216617194872</v>
      </c>
      <c r="O61" s="115">
        <v>4.320795443896273</v>
      </c>
      <c r="P61" s="115">
        <v>4.3448326426955193</v>
      </c>
      <c r="Q61" s="111">
        <v>4.320795443896273</v>
      </c>
      <c r="R61" s="68">
        <v>4.3448326426955193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0.18767369742685425</v>
      </c>
      <c r="M62" s="115">
        <v>4.7905288919589166</v>
      </c>
      <c r="N62" s="115">
        <v>454.92296734393096</v>
      </c>
      <c r="O62" s="115">
        <v>4.7294667679349818</v>
      </c>
      <c r="P62" s="115">
        <v>4.4899691011917122</v>
      </c>
      <c r="Q62" s="111">
        <v>4.7294667679349818</v>
      </c>
      <c r="R62" s="68">
        <v>4.4899691011917131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2.7101127606611803</v>
      </c>
      <c r="M63" s="115">
        <v>4.9314027306949129</v>
      </c>
      <c r="N63" s="115">
        <v>111.0864060755062</v>
      </c>
      <c r="O63" s="115">
        <v>1.0564479221207432</v>
      </c>
      <c r="P63" s="115">
        <v>1.1825675418803738</v>
      </c>
      <c r="Q63" s="111">
        <v>1.0564479221207435</v>
      </c>
      <c r="R63" s="68">
        <v>1.1825675418803738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0.97996697304088975</v>
      </c>
      <c r="M64" s="115">
        <v>0.90557442802300925</v>
      </c>
      <c r="N64" s="115">
        <v>2.253127771116239</v>
      </c>
      <c r="O64" s="115">
        <v>0.87365263645446833</v>
      </c>
      <c r="P64" s="115">
        <v>1.0445280520226683</v>
      </c>
      <c r="Q64" s="111">
        <v>0.87365263645446833</v>
      </c>
      <c r="R64" s="68">
        <v>1.0445280520226683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1.3046617149626518</v>
      </c>
      <c r="M65" s="115">
        <v>1.2705530803140785</v>
      </c>
      <c r="N65" s="115">
        <v>9.5684007243931131</v>
      </c>
      <c r="O65" s="115">
        <v>0.8347543793050719</v>
      </c>
      <c r="P65" s="115">
        <v>0.96950574022076441</v>
      </c>
      <c r="Q65" s="111">
        <v>0.8347543793050719</v>
      </c>
      <c r="R65" s="68">
        <v>0.96950574022076441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3.7883756087943956</v>
      </c>
      <c r="M66" s="115">
        <v>34.176504253394171</v>
      </c>
      <c r="N66" s="115">
        <v>860.22478582581175</v>
      </c>
      <c r="O66" s="115">
        <v>2.054778684530512</v>
      </c>
      <c r="P66" s="115">
        <v>2.5054068912568681</v>
      </c>
      <c r="Q66" s="111">
        <v>2.054778684530512</v>
      </c>
      <c r="R66" s="68">
        <v>2.5054068912568681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1.2544032911370619</v>
      </c>
      <c r="M67" s="115">
        <v>1.2075774992097634</v>
      </c>
      <c r="N67" s="115">
        <v>7.9668781341362722</v>
      </c>
      <c r="O67" s="115">
        <v>0.83291610301089614</v>
      </c>
      <c r="P67" s="115">
        <v>0.96722351692080932</v>
      </c>
      <c r="Q67" s="111">
        <v>0.83291610301089614</v>
      </c>
      <c r="R67" s="68">
        <v>0.96722351692080932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1.031577675457594</v>
      </c>
      <c r="M68" s="115">
        <v>0.94212237392452058</v>
      </c>
      <c r="N68" s="115">
        <v>1.057737540927177</v>
      </c>
      <c r="O68" s="115">
        <v>0.82492214261523789</v>
      </c>
      <c r="P68" s="115">
        <v>0.95859909070209326</v>
      </c>
      <c r="Q68" s="111">
        <v>0.82492214261523789</v>
      </c>
      <c r="R68" s="68">
        <v>0.95859909070209337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7.6912249336335073E-3</v>
      </c>
      <c r="M69" s="115">
        <v>9.4709662843734979</v>
      </c>
      <c r="N69" s="115">
        <v>941.97798249314405</v>
      </c>
      <c r="O69" s="115">
        <v>8.6661858062487322</v>
      </c>
      <c r="P69" s="115">
        <v>7.6548572920189448</v>
      </c>
      <c r="Q69" s="111">
        <v>8.6661858062487322</v>
      </c>
      <c r="R69" s="68">
        <v>7.6548572920189448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0.96661679675964685</v>
      </c>
      <c r="M70" s="115">
        <v>0.90136118620043748</v>
      </c>
      <c r="N70" s="115">
        <v>3.7158957030626079</v>
      </c>
      <c r="O70" s="115">
        <v>0.94664716880817024</v>
      </c>
      <c r="P70" s="115">
        <v>1.1818030103338886</v>
      </c>
      <c r="Q70" s="111">
        <v>0.94664716880817024</v>
      </c>
      <c r="R70" s="68">
        <v>1.1818030103338886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0.94103422034250694</v>
      </c>
      <c r="M71" s="115">
        <v>0.8986129642986288</v>
      </c>
      <c r="N71" s="115">
        <v>6.64277063254635</v>
      </c>
      <c r="O71" s="115">
        <v>1.0516184641716286</v>
      </c>
      <c r="P71" s="115">
        <v>1.3748366662685219</v>
      </c>
      <c r="Q71" s="111">
        <v>1.0516184641716286</v>
      </c>
      <c r="R71" s="68">
        <v>1.3748366662685219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3.9558373429877452E-3</v>
      </c>
      <c r="M72" s="115">
        <v>4.6623193893701984</v>
      </c>
      <c r="N72" s="115">
        <v>653.85801653792316</v>
      </c>
      <c r="O72" s="115">
        <v>6.2409804816765142</v>
      </c>
      <c r="P72" s="115">
        <v>8.7984142159177079</v>
      </c>
      <c r="Q72" s="111">
        <v>6.2409804816765142</v>
      </c>
      <c r="R72" s="68">
        <v>8.7984142159177079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3.6772037027663025E-2</v>
      </c>
      <c r="M73" s="115">
        <v>0.57863158348645138</v>
      </c>
      <c r="N73" s="115">
        <v>76.630934368161761</v>
      </c>
      <c r="O73" s="115">
        <v>4.6129439204330156</v>
      </c>
      <c r="P73" s="115">
        <v>8.0472224968448742</v>
      </c>
      <c r="Q73" s="111">
        <v>4.6129439204330165</v>
      </c>
      <c r="R73" s="68">
        <v>8.0472224968448742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0.94602048977853548</v>
      </c>
      <c r="M74" s="115">
        <v>0.89921422649334271</v>
      </c>
      <c r="N74" s="115">
        <v>6.0819675188775744</v>
      </c>
      <c r="O74" s="115">
        <v>1.0311955455023172</v>
      </c>
      <c r="P74" s="115">
        <v>1.3372444134706643</v>
      </c>
      <c r="Q74" s="111">
        <v>1.0311955455023174</v>
      </c>
      <c r="R74" s="68">
        <v>1.3372444134706643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4.3495753200019874E-2</v>
      </c>
      <c r="M75" s="115">
        <v>0.58699912745322924</v>
      </c>
      <c r="N75" s="115">
        <v>76.967559667675616</v>
      </c>
      <c r="O75" s="115">
        <v>4.5891730245279945</v>
      </c>
      <c r="P75" s="115">
        <v>7.9992971917636195</v>
      </c>
      <c r="Q75" s="111">
        <v>4.5891730245279945</v>
      </c>
      <c r="R75" s="68">
        <v>7.9992971917636204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0.45127088672332683</v>
      </c>
      <c r="M76" s="115">
        <v>0.78535366131636863</v>
      </c>
      <c r="N76" s="115">
        <v>53.486731187391648</v>
      </c>
      <c r="O76" s="115">
        <v>3.0184607302666215</v>
      </c>
      <c r="P76" s="115">
        <v>5.0253344327586067</v>
      </c>
      <c r="Q76" s="111">
        <v>3.0184607302666215</v>
      </c>
      <c r="R76" s="68">
        <v>5.0253344327586067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3.8583930937888693E-2</v>
      </c>
      <c r="M77" s="115">
        <v>0.5809960454419868</v>
      </c>
      <c r="N77" s="115">
        <v>76.736693985723264</v>
      </c>
      <c r="O77" s="115">
        <v>4.606578526771961</v>
      </c>
      <c r="P77" s="115">
        <v>8.0343194316345183</v>
      </c>
      <c r="Q77" s="111">
        <v>4.606578526771961</v>
      </c>
      <c r="R77" s="68">
        <v>8.0343194316345183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4.3907642359444698E-3</v>
      </c>
      <c r="M78" s="115">
        <v>3.9092525629455874</v>
      </c>
      <c r="N78" s="115">
        <v>548.10989513518371</v>
      </c>
      <c r="O78" s="115">
        <v>5.9631391228513797</v>
      </c>
      <c r="P78" s="115">
        <v>8.7007197560848528</v>
      </c>
      <c r="Q78" s="111">
        <v>5.9631391228513797</v>
      </c>
      <c r="R78" s="68">
        <v>8.7007197560848546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4.39076460091372E-3</v>
      </c>
      <c r="M79" s="115">
        <v>3.9092497782277831</v>
      </c>
      <c r="N79" s="115">
        <v>548.1096359375116</v>
      </c>
      <c r="O79" s="115">
        <v>5.963138041462094</v>
      </c>
      <c r="P79" s="115">
        <v>8.7007201101915097</v>
      </c>
      <c r="Q79" s="111">
        <v>5.963138041462094</v>
      </c>
      <c r="R79" s="68">
        <v>8.7007201101915097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0.16910079177257925</v>
      </c>
      <c r="M80" s="115">
        <v>0.67624411846866894</v>
      </c>
      <c r="N80" s="115">
        <v>73.787786322685008</v>
      </c>
      <c r="O80" s="115">
        <v>4.1188649053172108</v>
      </c>
      <c r="P80" s="115">
        <v>7.0925889722724085</v>
      </c>
      <c r="Q80" s="111">
        <v>4.1188649053172108</v>
      </c>
      <c r="R80" s="68">
        <v>7.0925889722724085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0.80478594904012501</v>
      </c>
      <c r="M81" s="115">
        <v>0.87570982427995792</v>
      </c>
      <c r="N81" s="115">
        <v>20.999570340495097</v>
      </c>
      <c r="O81" s="115">
        <v>1.605571390816791</v>
      </c>
      <c r="P81" s="115">
        <v>2.3980898100905694</v>
      </c>
      <c r="Q81" s="111">
        <v>1.6055713908167912</v>
      </c>
      <c r="R81" s="68">
        <v>2.3980898100905694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0.61094459080059726</v>
      </c>
      <c r="M82" s="115">
        <v>0.83087246112544222</v>
      </c>
      <c r="N82" s="115">
        <v>39.54590206598742</v>
      </c>
      <c r="O82" s="115">
        <v>2.3842780913448149</v>
      </c>
      <c r="P82" s="115">
        <v>3.8433841033648437</v>
      </c>
      <c r="Q82" s="111">
        <v>2.3842780913448149</v>
      </c>
      <c r="R82" s="68">
        <v>3.8433841033648437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2.9659262943290466E-3</v>
      </c>
      <c r="M83" s="115">
        <v>7.5616971747875903</v>
      </c>
      <c r="N83" s="115">
        <v>1060.9164595669549</v>
      </c>
      <c r="O83" s="115">
        <v>7.3079829976500825</v>
      </c>
      <c r="P83" s="115">
        <v>9.169622703262986</v>
      </c>
      <c r="Q83" s="111">
        <v>7.3079829976500834</v>
      </c>
      <c r="R83" s="68">
        <v>9.169622703262986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0.28654428108457081</v>
      </c>
      <c r="M84" s="115">
        <v>3.9311424110972015</v>
      </c>
      <c r="N84" s="115">
        <v>360.96937972819961</v>
      </c>
      <c r="O84" s="115">
        <v>3.8090507449605888</v>
      </c>
      <c r="P84" s="115">
        <v>3.5789314358886744</v>
      </c>
      <c r="Q84" s="111">
        <v>3.8090507449605888</v>
      </c>
      <c r="R84" s="68">
        <v>3.5789314358886748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0.21806556235507971</v>
      </c>
      <c r="M85" s="115">
        <v>290.6904660355878</v>
      </c>
      <c r="N85" s="115">
        <v>7451.8135395405516</v>
      </c>
      <c r="O85" s="115">
        <v>7.3996619973719113</v>
      </c>
      <c r="P85" s="115">
        <v>6.6664644397110111</v>
      </c>
      <c r="Q85" s="111">
        <v>7.3996619973719122</v>
      </c>
      <c r="R85" s="68">
        <v>6.666464439711012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3.5570451675066671E-4</v>
      </c>
      <c r="M86" s="115">
        <v>39.760739979713087</v>
      </c>
      <c r="N86" s="115">
        <v>4008.3530897660144</v>
      </c>
      <c r="O86" s="115">
        <v>23.625694862303995</v>
      </c>
      <c r="P86" s="115">
        <v>9.5075606399477568</v>
      </c>
      <c r="Q86" s="111">
        <v>23.625694862303995</v>
      </c>
      <c r="R86" s="68">
        <v>9.5075606399477586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1.234069711535993E-4</v>
      </c>
      <c r="M87" s="115">
        <v>45.331730108858522</v>
      </c>
      <c r="N87" s="115">
        <v>4585.137620219105</v>
      </c>
      <c r="O87" s="115">
        <v>26.369946971531121</v>
      </c>
      <c r="P87" s="115">
        <v>9.9621886112763978</v>
      </c>
      <c r="Q87" s="111">
        <v>26.369946971531125</v>
      </c>
      <c r="R87" s="68">
        <v>9.9621886112763978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3.4686126841782404E-5</v>
      </c>
      <c r="M88" s="115">
        <v>49.300579066581847</v>
      </c>
      <c r="N88" s="115">
        <v>5005.2005006587797</v>
      </c>
      <c r="O88" s="115">
        <v>28.294090026196301</v>
      </c>
      <c r="P88" s="115">
        <v>10.319921959763292</v>
      </c>
      <c r="Q88" s="111">
        <v>28.294090026196301</v>
      </c>
      <c r="R88" s="68">
        <v>10.319921959763292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3.3534020682331289E-3</v>
      </c>
      <c r="M89" s="115">
        <v>721.11010745979718</v>
      </c>
      <c r="N89" s="115">
        <v>18671.475946146573</v>
      </c>
      <c r="O89" s="115">
        <v>14.263950055502228</v>
      </c>
      <c r="P89" s="115">
        <v>4.9219335770497938</v>
      </c>
      <c r="Q89" s="111">
        <v>14.263950055502228</v>
      </c>
      <c r="R89" s="68">
        <v>4.9219335770497938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0.97018914078565699</v>
      </c>
      <c r="M90" s="115">
        <v>0.89377440815869091</v>
      </c>
      <c r="N90" s="115">
        <v>1.4798320723090128</v>
      </c>
      <c r="O90" s="115">
        <v>0.81341589245209067</v>
      </c>
      <c r="P90" s="115">
        <v>0.9407230111440682</v>
      </c>
      <c r="Q90" s="111">
        <v>0.81341589245209067</v>
      </c>
      <c r="R90" s="68">
        <v>0.9407230111440682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0.72007433212963934</v>
      </c>
      <c r="M91" s="115">
        <v>1.4308462800962485</v>
      </c>
      <c r="N91" s="115">
        <v>76.458735949660081</v>
      </c>
      <c r="O91" s="115">
        <v>1.3078140740162223</v>
      </c>
      <c r="P91" s="115">
        <v>1.3042503720276932</v>
      </c>
      <c r="Q91" s="111">
        <v>1.3078140740162225</v>
      </c>
      <c r="R91" s="68">
        <v>1.3042503720276932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0.1281069599552678</v>
      </c>
      <c r="M92" s="115">
        <v>5.3848525976351311</v>
      </c>
      <c r="N92" s="115">
        <v>519.42192543399233</v>
      </c>
      <c r="O92" s="115">
        <v>5.3959534934409383</v>
      </c>
      <c r="P92" s="115">
        <v>5.1794069451564448</v>
      </c>
      <c r="Q92" s="111">
        <v>5.3959534934409383</v>
      </c>
      <c r="R92" s="68">
        <v>5.1794069451564448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0.99177679997353629</v>
      </c>
      <c r="M93" s="115">
        <v>0.90262664425088568</v>
      </c>
      <c r="N93" s="115">
        <v>0.62131205649027299</v>
      </c>
      <c r="O93" s="115">
        <v>0.84209534085018367</v>
      </c>
      <c r="P93" s="115">
        <v>0.99031449585617548</v>
      </c>
      <c r="Q93" s="111">
        <v>0.84209534085018367</v>
      </c>
      <c r="R93" s="68">
        <v>0.99031449585617559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1.0015329634693535</v>
      </c>
      <c r="M94" s="115">
        <v>0.90814678416051897</v>
      </c>
      <c r="N94" s="115">
        <v>0.15135965983951355</v>
      </c>
      <c r="O94" s="115">
        <v>0.82442923300991988</v>
      </c>
      <c r="P94" s="115">
        <v>0.95824395489353609</v>
      </c>
      <c r="Q94" s="111">
        <v>0.82442923300991999</v>
      </c>
      <c r="R94" s="68">
        <v>0.9582439548935362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0.94452244166262245</v>
      </c>
      <c r="M95" s="115">
        <v>0.92067043031301377</v>
      </c>
      <c r="N95" s="115">
        <v>6.37297386677412</v>
      </c>
      <c r="O95" s="115">
        <v>0.82104975046242179</v>
      </c>
      <c r="P95" s="115">
        <v>0.93396753361739016</v>
      </c>
      <c r="Q95" s="111">
        <v>0.82104975046242179</v>
      </c>
      <c r="R95" s="68">
        <v>0.93396753361739016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5.1717528185901902E-4</v>
      </c>
      <c r="M96" s="115">
        <v>37.111786966041272</v>
      </c>
      <c r="N96" s="115">
        <v>3736.6576166284322</v>
      </c>
      <c r="O96" s="115">
        <v>22.314913948017821</v>
      </c>
      <c r="P96" s="115">
        <v>9.3058313850646748</v>
      </c>
      <c r="Q96" s="111">
        <v>22.314913948017821</v>
      </c>
      <c r="R96" s="68">
        <v>9.3058313850646748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0.60424912102784711</v>
      </c>
      <c r="M97" s="115">
        <v>1.9254962488787091</v>
      </c>
      <c r="N97" s="115">
        <v>135.26692279794179</v>
      </c>
      <c r="O97" s="115">
        <v>1.7834236531942937</v>
      </c>
      <c r="P97" s="115">
        <v>1.7094137666661786</v>
      </c>
      <c r="Q97" s="111">
        <v>1.783423653194294</v>
      </c>
      <c r="R97" s="68">
        <v>1.7094137666661788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0.70051359795380175</v>
      </c>
      <c r="M98" s="115">
        <v>1.5057571596684285</v>
      </c>
      <c r="N98" s="115">
        <v>85.543481543408987</v>
      </c>
      <c r="O98" s="115">
        <v>1.3790549178190126</v>
      </c>
      <c r="P98" s="115">
        <v>1.3635498039991105</v>
      </c>
      <c r="Q98" s="111">
        <v>1.3790549178190126</v>
      </c>
      <c r="R98" s="68">
        <v>1.3635498039991105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0.86323919921292058</v>
      </c>
      <c r="M99" s="115">
        <v>1.0121852129129303</v>
      </c>
      <c r="N99" s="115">
        <v>22.634935192671641</v>
      </c>
      <c r="O99" s="115">
        <v>0.91755700497744042</v>
      </c>
      <c r="P99" s="115">
        <v>0.99716714501926518</v>
      </c>
      <c r="Q99" s="111">
        <v>0.91755700497744053</v>
      </c>
      <c r="R99" s="68">
        <v>0.99716714501926518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3.3800808714401056E-3</v>
      </c>
      <c r="M100" s="115">
        <v>18.211215683193934</v>
      </c>
      <c r="N100" s="115">
        <v>1819.9782315085365</v>
      </c>
      <c r="O100" s="115">
        <v>12.958636776591035</v>
      </c>
      <c r="P100" s="115">
        <v>8.0763762553753775</v>
      </c>
      <c r="Q100" s="111">
        <v>12.958636776591035</v>
      </c>
      <c r="R100" s="68">
        <v>8.0763762553753775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0.17858699553211868</v>
      </c>
      <c r="M101" s="115">
        <v>4.8772591846455917</v>
      </c>
      <c r="N101" s="115">
        <v>464.35147167637496</v>
      </c>
      <c r="O101" s="115">
        <v>4.8248360262066816</v>
      </c>
      <c r="P101" s="115">
        <v>4.5868721123211236</v>
      </c>
      <c r="Q101" s="111">
        <v>4.8248360262066816</v>
      </c>
      <c r="R101" s="68">
        <v>4.5868721123211245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3.9281770156162764E-2</v>
      </c>
      <c r="M102" s="115">
        <v>6.4327584802547886</v>
      </c>
      <c r="N102" s="115">
        <v>633.05178932835827</v>
      </c>
      <c r="O102" s="115">
        <v>6.7144390657919688</v>
      </c>
      <c r="P102" s="115">
        <v>6.6717968613966274</v>
      </c>
      <c r="Q102" s="111">
        <v>6.7144390657919697</v>
      </c>
      <c r="R102" s="68">
        <v>6.6717968613966283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0.89331104958013974</v>
      </c>
      <c r="M103" s="115">
        <v>0.89181662606118639</v>
      </c>
      <c r="N103" s="115">
        <v>11.853220203144479</v>
      </c>
      <c r="O103" s="115">
        <v>1.2464074468720268</v>
      </c>
      <c r="P103" s="115">
        <v>1.7339485319845152</v>
      </c>
      <c r="Q103" s="111">
        <v>1.2464074468720268</v>
      </c>
      <c r="R103" s="68">
        <v>1.7339485319845154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1.1315790078556218E-2</v>
      </c>
      <c r="M104" s="115">
        <v>0.82678581033107867</v>
      </c>
      <c r="N104" s="115">
        <v>112.52256517483995</v>
      </c>
      <c r="O104" s="115">
        <v>4.804518544537709</v>
      </c>
      <c r="P104" s="115">
        <v>8.2488554954061168</v>
      </c>
      <c r="Q104" s="111">
        <v>4.8045185445377099</v>
      </c>
      <c r="R104" s="68">
        <v>8.2488554954061168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0.96514560757251866</v>
      </c>
      <c r="M105" s="115">
        <v>0.89259752737250941</v>
      </c>
      <c r="N105" s="115">
        <v>1.8054849946314155</v>
      </c>
      <c r="O105" s="115">
        <v>0.81287160701282901</v>
      </c>
      <c r="P105" s="115">
        <v>0.93856786940205328</v>
      </c>
      <c r="Q105" s="111">
        <v>0.81287160701282901</v>
      </c>
      <c r="R105" s="68">
        <v>0.93856786940205328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0.94005813776014713</v>
      </c>
      <c r="M106" s="115">
        <v>0.92150201795121278</v>
      </c>
      <c r="N106" s="115">
        <v>6.8510688625483693</v>
      </c>
      <c r="O106" s="115">
        <v>0.82248545195878497</v>
      </c>
      <c r="P106" s="115">
        <v>0.93408519566404613</v>
      </c>
      <c r="Q106" s="111">
        <v>0.82248545195878497</v>
      </c>
      <c r="R106" s="68">
        <v>0.93408519566404624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3.0435246093479938E-2</v>
      </c>
      <c r="M107" s="115">
        <v>9.9378157141181909</v>
      </c>
      <c r="N107" s="115">
        <v>694.13917447362303</v>
      </c>
      <c r="O107" s="115">
        <v>6.518287193285544</v>
      </c>
      <c r="P107" s="115">
        <v>6.558934095151117</v>
      </c>
      <c r="Q107" s="111">
        <v>6.518287193285544</v>
      </c>
      <c r="R107" s="68">
        <v>6.558934095151117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0.99887521744848495</v>
      </c>
      <c r="M108" s="115">
        <v>0.90523143297633646</v>
      </c>
      <c r="N108" s="115">
        <v>7.8341305783139414E-2</v>
      </c>
      <c r="O108" s="115">
        <v>0.82431291497643144</v>
      </c>
      <c r="P108" s="115">
        <v>0.95810920734732608</v>
      </c>
      <c r="Q108" s="111">
        <v>0.82431291497643155</v>
      </c>
      <c r="R108" s="68">
        <v>0.95810920734732619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3.6811196221246667</v>
      </c>
      <c r="M109" s="115">
        <v>10.754317573163478</v>
      </c>
      <c r="N109" s="115">
        <v>257.032458865085</v>
      </c>
      <c r="O109" s="115">
        <v>1.2077348910982237</v>
      </c>
      <c r="P109" s="115">
        <v>1.4044065767234362</v>
      </c>
      <c r="Q109" s="111">
        <v>1.2077348910982237</v>
      </c>
      <c r="R109" s="68">
        <v>1.4044065767234362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0.98971128252911578</v>
      </c>
      <c r="M110" s="115">
        <v>0.89859746652268124</v>
      </c>
      <c r="N110" s="115">
        <v>0.22257695779777978</v>
      </c>
      <c r="O110" s="115">
        <v>0.82048509075085885</v>
      </c>
      <c r="P110" s="115">
        <v>0.95326518496901635</v>
      </c>
      <c r="Q110" s="111">
        <v>0.82048509075085896</v>
      </c>
      <c r="R110" s="68">
        <v>0.95326518496901635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0.99614669833311864</v>
      </c>
      <c r="M111" s="115">
        <v>0.90223281424938073</v>
      </c>
      <c r="N111" s="115">
        <v>3.242682443082962E-3</v>
      </c>
      <c r="O111" s="115">
        <v>0.82434135090443317</v>
      </c>
      <c r="P111" s="115">
        <v>0.95819386717399291</v>
      </c>
      <c r="Q111" s="111">
        <v>0.82434135090443317</v>
      </c>
      <c r="R111" s="68">
        <v>0.95819386717399291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0.98801527887722485</v>
      </c>
      <c r="M112" s="115">
        <v>0.89657696769377881</v>
      </c>
      <c r="N112" s="115">
        <v>0.16807138119796225</v>
      </c>
      <c r="O112" s="115">
        <v>0.81761677660315157</v>
      </c>
      <c r="P112" s="115">
        <v>0.94971099578042661</v>
      </c>
      <c r="Q112" s="111">
        <v>0.81761677660315168</v>
      </c>
      <c r="R112" s="68">
        <v>0.94971099578042673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0.94853742075735981</v>
      </c>
      <c r="M113" s="115">
        <v>0.89826825132967814</v>
      </c>
      <c r="N113" s="115">
        <v>3.8386382558301393</v>
      </c>
      <c r="O113" s="115">
        <v>0.81707262368477207</v>
      </c>
      <c r="P113" s="115">
        <v>0.93682915071794448</v>
      </c>
      <c r="Q113" s="111">
        <v>0.81707262368477207</v>
      </c>
      <c r="R113" s="68">
        <v>0.93682915071794459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0.9919597812008234</v>
      </c>
      <c r="M114" s="115">
        <v>0.89895799806063414</v>
      </c>
      <c r="N114" s="115">
        <v>5.2246552466142078E-2</v>
      </c>
      <c r="O114" s="115">
        <v>0.81987348464733745</v>
      </c>
      <c r="P114" s="115">
        <v>0.95276747985932786</v>
      </c>
      <c r="Q114" s="111">
        <v>0.81987348464733745</v>
      </c>
      <c r="R114" s="68">
        <v>0.95276747985932786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0.96934156280579897</v>
      </c>
      <c r="M115" s="115">
        <v>0.9016130206352474</v>
      </c>
      <c r="N115" s="115">
        <v>3.3966443282102925</v>
      </c>
      <c r="O115" s="115">
        <v>0.93538252016555734</v>
      </c>
      <c r="P115" s="115">
        <v>1.1611035172903637</v>
      </c>
      <c r="Q115" s="111">
        <v>0.93538252016555745</v>
      </c>
      <c r="R115" s="68">
        <v>1.1611035172903637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0.65952992158970047</v>
      </c>
      <c r="M116" s="115">
        <v>101.64234017168845</v>
      </c>
      <c r="N116" s="115">
        <v>2612.7615927977495</v>
      </c>
      <c r="O116" s="115">
        <v>5.2149374314572272</v>
      </c>
      <c r="P116" s="115">
        <v>6.7812970986831047</v>
      </c>
      <c r="Q116" s="111">
        <v>5.2149374314572281</v>
      </c>
      <c r="R116" s="68">
        <v>6.7812970986831047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0.47599821048363694</v>
      </c>
      <c r="M117" s="115">
        <v>2.6167741207578206</v>
      </c>
      <c r="N117" s="115">
        <v>214.55811159154052</v>
      </c>
      <c r="O117" s="115">
        <v>2.464887388078759</v>
      </c>
      <c r="P117" s="115">
        <v>2.3168721885085648</v>
      </c>
      <c r="Q117" s="111">
        <v>2.464887388078759</v>
      </c>
      <c r="R117" s="68">
        <v>2.3168721885085648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Mass Balance</vt:lpstr>
      <vt:lpstr>QA-QC</vt:lpstr>
      <vt:lpstr>Concentrations</vt:lpstr>
      <vt:lpstr>Mass Fractions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2025-02-02T14:09:14Z</dcterms:modified>
</cp:coreProperties>
</file>