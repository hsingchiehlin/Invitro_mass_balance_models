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384well_1um\"/>
    </mc:Choice>
  </mc:AlternateContent>
  <xr:revisionPtr revIDLastSave="0" documentId="13_ncr:1_{D902C2EC-CADE-491C-841C-8CE9680236A7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Input System Parameters" sheetId="2" r:id="rId3"/>
    <sheet name="Options for Generic Calcs" sheetId="20" r:id="rId4"/>
    <sheet name="Well Plate Characteristics" sheetId="18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<sst xmlns="http://schemas.openxmlformats.org/spreadsheetml/2006/main" count="3131" uniqueCount="515">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</sst>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0.140736</v>
      </c>
      <c r="C9" s="75" t="s">
        <v>99</v>
      </c>
      <c r="F9" s="76" t="s">
        <v>68</v>
      </c>
      <c r="G9" s="89">
        <v>9.5700000000000004E-3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1.52E-2</v>
      </c>
      <c r="C10" s="75" t="s">
        <v>99</v>
      </c>
      <c r="F10" s="76" t="s">
        <v>69</v>
      </c>
      <c r="G10" s="90">
        <v>2.2329999999999999E-2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9.4600000000000004E-2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1.6799999999999999E-2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1.6799999999999999E-2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4.1999999999999996E-4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1.3397999999999999E-5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2.85</v>
      </c>
      <c r="K5" s="136">
        <v>3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1.1399999999999999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0.56999999999999995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0.28499999999999998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0.06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4.8000000000000001E-2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1.6799999999999999E-2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9.2999999999999992E-3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6.0000000000000001E-3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6.8999999999999999E-3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3.5999999999999999E-3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0.06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8.1323322946806794E-8</v>
      </c>
      <c r="J2" s="67" t="s">
        <v>231</v>
      </c>
      <c r="K2" s="68">
        <v>8.8312748924835541E-4</v>
      </c>
      <c r="L2" s="67" t="s">
        <v>231</v>
      </c>
      <c r="M2" s="68">
        <v>1.1399094077650721E-3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7.8699539489375116E-6</v>
      </c>
      <c r="J3" s="67" t="s">
        <v>231</v>
      </c>
      <c r="K3" s="68">
        <v>8.3788496680445006E-3</v>
      </c>
      <c r="L3" s="67" t="s">
        <v>231</v>
      </c>
      <c r="M3" s="68">
        <v>0.24158804871660847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9.162649327078228E-15</v>
      </c>
      <c r="J4" s="67" t="s">
        <v>231</v>
      </c>
      <c r="K4" s="68">
        <v>1.0368719365753496E-3</v>
      </c>
      <c r="L4" s="67" t="s">
        <v>231</v>
      </c>
      <c r="M4" s="68">
        <v>3.0591508073974771E-3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1.2208388430519291E-10</v>
      </c>
      <c r="J5" s="67" t="s">
        <v>231</v>
      </c>
      <c r="K5" s="68">
        <v>1.482907709247379E-3</v>
      </c>
      <c r="L5" s="67" t="s">
        <v>231</v>
      </c>
      <c r="M5" s="68">
        <v>4.4988295793423061E-2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3.507946837182036E-7</v>
      </c>
      <c r="J6" s="67" t="s">
        <v>231</v>
      </c>
      <c r="K6" s="68">
        <v>1.7172496978511249E-3</v>
      </c>
      <c r="L6" s="67" t="s">
        <v>231</v>
      </c>
      <c r="M6" s="68">
        <v>6.3947477421286078E-2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1.5814888773226452E-6</v>
      </c>
      <c r="J7" s="67" t="s">
        <v>231</v>
      </c>
      <c r="K7" s="68">
        <v>2.0381286813938139E-3</v>
      </c>
      <c r="L7" s="67" t="s">
        <v>231</v>
      </c>
      <c r="M7" s="68">
        <v>8.432139096802671E-2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5.3105022178304419E-9</v>
      </c>
      <c r="J8" s="67" t="s">
        <v>231</v>
      </c>
      <c r="K8" s="68">
        <v>1.7735179227609257E-3</v>
      </c>
      <c r="L8" s="67" t="s">
        <v>231</v>
      </c>
      <c r="M8" s="68">
        <v>7.0258257055737738E-2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4.2001158058168513E-7</v>
      </c>
      <c r="J9" s="67" t="s">
        <v>231</v>
      </c>
      <c r="K9" s="68">
        <v>1.4223484803541854E-3</v>
      </c>
      <c r="L9" s="67" t="s">
        <v>231</v>
      </c>
      <c r="M9" s="68">
        <v>3.9526087734002797E-2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2.0829144640027895E-4</v>
      </c>
      <c r="J10" s="67" t="s">
        <v>231</v>
      </c>
      <c r="K10" s="68">
        <v>1.9635403413018955E-2</v>
      </c>
      <c r="L10" s="67" t="s">
        <v>231</v>
      </c>
      <c r="M10" s="68">
        <v>0.68318813937839629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5.0692116582627396E-9</v>
      </c>
      <c r="J11" s="67" t="s">
        <v>231</v>
      </c>
      <c r="K11" s="68">
        <v>0.12730174059515292</v>
      </c>
      <c r="L11" s="67" t="s">
        <v>231</v>
      </c>
      <c r="M11" s="68">
        <v>5.107356241524533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2.4038633020833043E-8</v>
      </c>
      <c r="J12" s="67" t="s">
        <v>231</v>
      </c>
      <c r="K12" s="68">
        <v>8.0369769115974838E-4</v>
      </c>
      <c r="L12" s="67" t="s">
        <v>231</v>
      </c>
      <c r="M12" s="68">
        <v>6.1587622069242016E-5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9.4397732302182568E-4</v>
      </c>
      <c r="J13" s="67" t="s">
        <v>231</v>
      </c>
      <c r="K13" s="68">
        <v>5.6918748434872865E-3</v>
      </c>
      <c r="L13" s="67" t="s">
        <v>231</v>
      </c>
      <c r="M13" s="68">
        <v>0.18012686945345474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9.3535012228047826E-9</v>
      </c>
      <c r="J14" s="67" t="s">
        <v>231</v>
      </c>
      <c r="K14" s="68">
        <v>3.8055527219854248E-3</v>
      </c>
      <c r="L14" s="67" t="s">
        <v>231</v>
      </c>
      <c r="M14" s="68">
        <v>0.16767287793656002</v>
      </c>
      <c r="N14" s="67" t="s">
        <v>231</v>
      </c>
      <c r="P14" s="109" t="s">
        <v>229</v>
      </c>
      <c r="Q14" s="103">
        <f>COUNTIF(N2:N50000,"Yes")</f>
        <v>1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1.0658405428903895E-6</v>
      </c>
      <c r="J15" s="67" t="s">
        <v>231</v>
      </c>
      <c r="K15" s="68">
        <v>1.5123570239821877E-3</v>
      </c>
      <c r="L15" s="67" t="s">
        <v>231</v>
      </c>
      <c r="M15" s="68">
        <v>2.9059642052838976E-2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8.2659126590238098E-5</v>
      </c>
      <c r="J16" s="67" t="s">
        <v>231</v>
      </c>
      <c r="K16" s="68">
        <v>6.3106552546309171E-3</v>
      </c>
      <c r="L16" s="67" t="s">
        <v>231</v>
      </c>
      <c r="M16" s="68">
        <v>0.20255852311130004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1.8600213871104094E-6</v>
      </c>
      <c r="J17" s="67" t="s">
        <v>231</v>
      </c>
      <c r="K17" s="68">
        <v>5.9085327597769056E-3</v>
      </c>
      <c r="L17" s="67" t="s">
        <v>231</v>
      </c>
      <c r="M17" s="68">
        <v>0.18803205183894442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2.4918385711537368E-3</v>
      </c>
      <c r="J18" s="67" t="s">
        <v>231</v>
      </c>
      <c r="K18" s="68">
        <v>0.10038028469064661</v>
      </c>
      <c r="L18" s="67" t="s">
        <v>231</v>
      </c>
      <c r="M18" s="68">
        <v>3.5275770345151978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1.8053029581669068E-6</v>
      </c>
      <c r="J19" s="67" t="s">
        <v>231</v>
      </c>
      <c r="K19" s="68">
        <v>1.0853012431863672E-3</v>
      </c>
      <c r="L19" s="67" t="s">
        <v>231</v>
      </c>
      <c r="M19" s="68">
        <v>1.0204785677674433E-2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5.0300016772294419E-6</v>
      </c>
      <c r="J20" s="67" t="s">
        <v>231</v>
      </c>
      <c r="K20" s="68">
        <v>1.2616747548818892E-3</v>
      </c>
      <c r="L20" s="67" t="s">
        <v>231</v>
      </c>
      <c r="M20" s="68">
        <v>1.747682751559573E-2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2.0094426465707555E-6</v>
      </c>
      <c r="J21" s="67" t="s">
        <v>231</v>
      </c>
      <c r="K21" s="68">
        <v>6.0500022830313523E-3</v>
      </c>
      <c r="L21" s="67" t="s">
        <v>231</v>
      </c>
      <c r="M21" s="68">
        <v>0.21867658143119853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4.0225371135096997E-8</v>
      </c>
      <c r="J22" s="67" t="s">
        <v>231</v>
      </c>
      <c r="K22" s="68">
        <v>8.4102543689112302E-4</v>
      </c>
      <c r="L22" s="67" t="s">
        <v>231</v>
      </c>
      <c r="M22" s="68">
        <v>1.8504243549168776E-3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1.0754573249648192E-5</v>
      </c>
      <c r="J23" s="67" t="s">
        <v>231</v>
      </c>
      <c r="K23" s="68">
        <v>2.0378991928576839E-3</v>
      </c>
      <c r="L23" s="67" t="s">
        <v>231</v>
      </c>
      <c r="M23" s="68">
        <v>4.8294237610649916E-2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1.5477569788526827E-4</v>
      </c>
      <c r="J24" s="67" t="s">
        <v>231</v>
      </c>
      <c r="K24" s="68">
        <v>8.4870241801273862E-3</v>
      </c>
      <c r="L24" s="67" t="s">
        <v>231</v>
      </c>
      <c r="M24" s="68">
        <v>0.28115390024626757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8.5056951163093013E-4</v>
      </c>
      <c r="J25" s="67" t="s">
        <v>231</v>
      </c>
      <c r="K25" s="68">
        <v>9.2050794109733089E-2</v>
      </c>
      <c r="L25" s="67" t="s">
        <v>231</v>
      </c>
      <c r="M25" s="68">
        <v>3.2319667521491247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1.7059880781653328E-4</v>
      </c>
      <c r="J26" s="67" t="s">
        <v>231</v>
      </c>
      <c r="K26" s="68">
        <v>1.2294912541886426E-2</v>
      </c>
      <c r="L26" s="67" t="s">
        <v>231</v>
      </c>
      <c r="M26" s="68">
        <v>0.42099877583917944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5.0722798557695081E-5</v>
      </c>
      <c r="J27" s="67" t="s">
        <v>231</v>
      </c>
      <c r="K27" s="68">
        <v>7.2346106209929826E-3</v>
      </c>
      <c r="L27" s="67" t="s">
        <v>231</v>
      </c>
      <c r="M27" s="68">
        <v>0.25054515084901602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2.3911864702992096E-5</v>
      </c>
      <c r="J28" s="67" t="s">
        <v>231</v>
      </c>
      <c r="K28" s="68">
        <v>3.5605381262037326E-3</v>
      </c>
      <c r="L28" s="67" t="s">
        <v>231</v>
      </c>
      <c r="M28" s="68">
        <v>0.12230969682339798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2.5845626625491108E-7</v>
      </c>
      <c r="J29" s="67" t="s">
        <v>231</v>
      </c>
      <c r="K29" s="68">
        <v>9.5874319180025018E-5</v>
      </c>
      <c r="L29" s="67" t="s">
        <v>231</v>
      </c>
      <c r="M29" s="68">
        <v>1.5165261297617203E-3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5.7446800314864683E-6</v>
      </c>
      <c r="J30" s="67" t="s">
        <v>231</v>
      </c>
      <c r="K30" s="68">
        <v>1.367326291187251E-3</v>
      </c>
      <c r="L30" s="67" t="s">
        <v>231</v>
      </c>
      <c r="M30" s="68">
        <v>4.6938060957579027E-2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8.9711418045689377E-8</v>
      </c>
      <c r="J31" s="67" t="s">
        <v>231</v>
      </c>
      <c r="K31" s="68">
        <v>2.3872623894789599E-5</v>
      </c>
      <c r="L31" s="67" t="s">
        <v>231</v>
      </c>
      <c r="M31" s="68">
        <v>8.1091180505243866E-4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8.6407281566408035E-5</v>
      </c>
      <c r="J32" s="67" t="s">
        <v>231</v>
      </c>
      <c r="K32" s="68">
        <v>5.0350933266038638E-3</v>
      </c>
      <c r="L32" s="67" t="s">
        <v>231</v>
      </c>
      <c r="M32" s="68">
        <v>0.15633748901782529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2.9294602913618158E-5</v>
      </c>
      <c r="J33" s="67" t="s">
        <v>231</v>
      </c>
      <c r="K33" s="68">
        <v>2.9322477727551249E-3</v>
      </c>
      <c r="L33" s="67" t="s">
        <v>231</v>
      </c>
      <c r="M33" s="68">
        <v>7.9411618171025808E-2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8.1239499716176668E-5</v>
      </c>
      <c r="J34" s="67" t="s">
        <v>231</v>
      </c>
      <c r="K34" s="68">
        <v>1.3664747748534357E-2</v>
      </c>
      <c r="L34" s="67" t="s">
        <v>231</v>
      </c>
      <c r="M34" s="68">
        <v>0.46708192770750639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4.030242381252619E-4</v>
      </c>
      <c r="J35" s="67" t="s">
        <v>231</v>
      </c>
      <c r="K35" s="68">
        <v>1.8674760671136888E-2</v>
      </c>
      <c r="L35" s="67" t="s">
        <v>231</v>
      </c>
      <c r="M35" s="68">
        <v>0.6483687753757742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8.2593331317834442E-4</v>
      </c>
      <c r="J36" s="67" t="s">
        <v>231</v>
      </c>
      <c r="K36" s="68">
        <v>4.1669151431697679E-2</v>
      </c>
      <c r="L36" s="67" t="s">
        <v>231</v>
      </c>
      <c r="M36" s="68">
        <v>1.4553002570651068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5.3955925005298581E-4</v>
      </c>
      <c r="J37" s="67" t="s">
        <v>231</v>
      </c>
      <c r="K37" s="68">
        <v>9.7895430242397566E-2</v>
      </c>
      <c r="L37" s="67" t="s">
        <v>231</v>
      </c>
      <c r="M37" s="68">
        <v>3.4394000837816376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2.9224412183523151E-4</v>
      </c>
      <c r="J38" s="67" t="s">
        <v>231</v>
      </c>
      <c r="K38" s="68">
        <v>6.1033781501288638E-2</v>
      </c>
      <c r="L38" s="67" t="s">
        <v>231</v>
      </c>
      <c r="M38" s="68">
        <v>2.1362564439780964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1.7967820866275272E-4</v>
      </c>
      <c r="J39" s="67" t="s">
        <v>231</v>
      </c>
      <c r="K39" s="68">
        <v>4.5601475055446886E-2</v>
      </c>
      <c r="L39" s="67" t="s">
        <v>231</v>
      </c>
      <c r="M39" s="68">
        <v>1.5936403659820602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2.9224412183523151E-4</v>
      </c>
      <c r="J40" s="67" t="s">
        <v>231</v>
      </c>
      <c r="K40" s="68">
        <v>6.1033781501288638E-2</v>
      </c>
      <c r="L40" s="67" t="s">
        <v>231</v>
      </c>
      <c r="M40" s="68">
        <v>2.1362564439780964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8.4542082328876632E-9</v>
      </c>
      <c r="J41" s="67" t="s">
        <v>231</v>
      </c>
      <c r="K41" s="68">
        <v>9.534795480282542E-4</v>
      </c>
      <c r="L41" s="67" t="s">
        <v>231</v>
      </c>
      <c r="M41" s="68">
        <v>5.4756087339864375E-3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9.8189994569166544E-4</v>
      </c>
      <c r="J42" s="67" t="s">
        <v>231</v>
      </c>
      <c r="K42" s="68">
        <v>0.10003076151612648</v>
      </c>
      <c r="L42" s="67" t="s">
        <v>231</v>
      </c>
      <c r="M42" s="68">
        <v>3.5152940456068893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1.7448113611430655E-3</v>
      </c>
      <c r="J43" s="67" t="s">
        <v>231</v>
      </c>
      <c r="K43" s="68">
        <v>9.0686191462066509E-3</v>
      </c>
      <c r="L43" s="67" t="s">
        <v>231</v>
      </c>
      <c r="M43" s="68">
        <v>0.30204597550520501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1.5340948682322031E-3</v>
      </c>
      <c r="J44" s="67" t="s">
        <v>231</v>
      </c>
      <c r="K44" s="68">
        <v>2.9652342866732073E-2</v>
      </c>
      <c r="L44" s="67" t="s">
        <v>231</v>
      </c>
      <c r="M44" s="68">
        <v>1.0338222253097669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2.6729244484659615E-3</v>
      </c>
      <c r="J45" s="67" t="s">
        <v>231</v>
      </c>
      <c r="K45" s="68">
        <v>0.11667475091981978</v>
      </c>
      <c r="L45" s="67" t="s">
        <v>231</v>
      </c>
      <c r="M45" s="68">
        <v>4.1085100434547099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3.9040296421635377E-4</v>
      </c>
      <c r="J46" s="67" t="s">
        <v>231</v>
      </c>
      <c r="K46" s="68">
        <v>0.10300744218761497</v>
      </c>
      <c r="L46" s="67" t="s">
        <v>231</v>
      </c>
      <c r="M46" s="68">
        <v>3.6209779655477199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7.5590647812884043E-4</v>
      </c>
      <c r="J47" s="142" t="s">
        <v>231</v>
      </c>
      <c r="K47" s="143">
        <v>8.2239162630193513E-2</v>
      </c>
      <c r="L47" s="142" t="s">
        <v>231</v>
      </c>
      <c r="M47" s="143">
        <v>2.8845882540542171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2.1672765761289551E-4</v>
      </c>
      <c r="J48" s="142" t="s">
        <v>231</v>
      </c>
      <c r="K48" s="143">
        <v>1.7478139636491519E-2</v>
      </c>
      <c r="L48" s="142" t="s">
        <v>231</v>
      </c>
      <c r="M48" s="143">
        <v>0.60411820708722463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9.2290541345360427E-4</v>
      </c>
      <c r="J49" s="142" t="s">
        <v>231</v>
      </c>
      <c r="K49" s="143">
        <v>3.1702874604676586E-2</v>
      </c>
      <c r="L49" s="142" t="s">
        <v>231</v>
      </c>
      <c r="M49" s="143">
        <v>1.1056799546332485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2.2705012093469934E-4</v>
      </c>
      <c r="J50" s="142" t="s">
        <v>231</v>
      </c>
      <c r="K50" s="143">
        <v>3.5328475026374637E-2</v>
      </c>
      <c r="L50" s="142" t="s">
        <v>231</v>
      </c>
      <c r="M50" s="143">
        <v>1.2327983590364506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4.6542834862276866E-4</v>
      </c>
      <c r="J51" s="142" t="s">
        <v>231</v>
      </c>
      <c r="K51" s="143">
        <v>1.8290535694694941E-2</v>
      </c>
      <c r="L51" s="142" t="s">
        <v>231</v>
      </c>
      <c r="M51" s="143">
        <v>0.63360931718221325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1.0100580396934851E-2</v>
      </c>
      <c r="J52" s="142" t="s">
        <v>232</v>
      </c>
      <c r="K52" s="143">
        <v>1.7567761594366189E-2</v>
      </c>
      <c r="L52" s="142" t="s">
        <v>231</v>
      </c>
      <c r="M52" s="143">
        <v>0.60736052776010885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2.162820508060089E-3</v>
      </c>
      <c r="J53" s="142" t="s">
        <v>231</v>
      </c>
      <c r="K53" s="143">
        <v>4.820256723743948E-2</v>
      </c>
      <c r="L53" s="142" t="s">
        <v>231</v>
      </c>
      <c r="M53" s="143">
        <v>1.6848043232462322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1.0890809885343417E-3</v>
      </c>
      <c r="J54" s="67" t="s">
        <v>231</v>
      </c>
      <c r="K54" s="68">
        <v>3.3483439409535805E-2</v>
      </c>
      <c r="L54" s="67" t="s">
        <v>231</v>
      </c>
      <c r="M54" s="68">
        <v>1.1680987198699713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7.9519818408454513E-4</v>
      </c>
      <c r="J55" s="67" t="s">
        <v>231</v>
      </c>
      <c r="K55" s="68">
        <v>8.1214242906342091E-2</v>
      </c>
      <c r="L55" s="67" t="s">
        <v>231</v>
      </c>
      <c r="M55" s="68">
        <v>2.8483528282147672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6.4619719335996958E-4</v>
      </c>
      <c r="J56" s="67" t="s">
        <v>231</v>
      </c>
      <c r="K56" s="68">
        <v>3.0326414129144764E-2</v>
      </c>
      <c r="L56" s="67" t="s">
        <v>231</v>
      </c>
      <c r="M56" s="68">
        <v>1.0574408614482771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1.6115592956426727E-3</v>
      </c>
      <c r="J57" s="67" t="s">
        <v>231</v>
      </c>
      <c r="K57" s="68">
        <v>1.698415022461652E-2</v>
      </c>
      <c r="L57" s="67" t="s">
        <v>231</v>
      </c>
      <c r="M57" s="68">
        <v>0.58636580252418868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6.6209880522349381E-3</v>
      </c>
      <c r="J58" s="67" t="s">
        <v>231</v>
      </c>
      <c r="K58" s="68">
        <v>3.3847637671254711E-2</v>
      </c>
      <c r="L58" s="67" t="s">
        <v>231</v>
      </c>
      <c r="M58" s="68">
        <v>1.1808682926402942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1.0451537455448464E-3</v>
      </c>
      <c r="J59" s="67" t="s">
        <v>231</v>
      </c>
      <c r="K59" s="68">
        <v>1.757010321941373E-2</v>
      </c>
      <c r="L59" s="67" t="s">
        <v>231</v>
      </c>
      <c r="M59" s="68">
        <v>0.60744148347077531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3.1204766939567771E-3</v>
      </c>
      <c r="J60" s="67" t="s">
        <v>231</v>
      </c>
      <c r="K60" s="68">
        <v>4.4211094488949325E-2</v>
      </c>
      <c r="L60" s="67" t="s">
        <v>231</v>
      </c>
      <c r="M60" s="68">
        <v>1.5445656837898867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2.5038901293091531E-5</v>
      </c>
      <c r="J61" s="67" t="s">
        <v>231</v>
      </c>
      <c r="K61" s="68">
        <v>3.8463174868087112E-2</v>
      </c>
      <c r="L61" s="67" t="s">
        <v>231</v>
      </c>
      <c r="M61" s="68">
        <v>0.78856615011202291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1.2495651636529019E-4</v>
      </c>
      <c r="J62" s="67" t="s">
        <v>231</v>
      </c>
      <c r="K62" s="68">
        <v>1.3316876945608376E-2</v>
      </c>
      <c r="L62" s="67" t="s">
        <v>231</v>
      </c>
      <c r="M62" s="68">
        <v>0.45460424928607962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1.6817877324022537E-6</v>
      </c>
      <c r="J63" s="67" t="s">
        <v>231</v>
      </c>
      <c r="K63" s="68">
        <v>6.6842199299047243E-3</v>
      </c>
      <c r="L63" s="67" t="s">
        <v>231</v>
      </c>
      <c r="M63" s="68">
        <v>0.11133566507317143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1.0527120504460612E-7</v>
      </c>
      <c r="J64" s="67" t="s">
        <v>231</v>
      </c>
      <c r="K64" s="68">
        <v>9.1156549335855435E-4</v>
      </c>
      <c r="L64" s="67" t="s">
        <v>231</v>
      </c>
      <c r="M64" s="68">
        <v>2.2543515399690733E-3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2.0138347168829713E-8</v>
      </c>
      <c r="J65" s="67" t="s">
        <v>231</v>
      </c>
      <c r="K65" s="68">
        <v>1.386566893460421E-3</v>
      </c>
      <c r="L65" s="67" t="s">
        <v>231</v>
      </c>
      <c r="M65" s="68">
        <v>9.5752620167531399E-3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1.4335140453060408E-7</v>
      </c>
      <c r="J66" s="67" t="s">
        <v>231</v>
      </c>
      <c r="K66" s="68">
        <v>4.8061689207077797E-2</v>
      </c>
      <c r="L66" s="67" t="s">
        <v>231</v>
      </c>
      <c r="M66" s="68">
        <v>0.87336561880710573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1.9840356394599489E-8</v>
      </c>
      <c r="J67" s="67" t="s">
        <v>231</v>
      </c>
      <c r="K67" s="68">
        <v>1.2991528120800404E-3</v>
      </c>
      <c r="L67" s="67" t="s">
        <v>231</v>
      </c>
      <c r="M67" s="68">
        <v>7.9723701078032796E-3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6.4477674272828613E-9</v>
      </c>
      <c r="J68" s="67" t="s">
        <v>231</v>
      </c>
      <c r="K68" s="68">
        <v>9.2694104756339661E-4</v>
      </c>
      <c r="L68" s="67" t="s">
        <v>231</v>
      </c>
      <c r="M68" s="68">
        <v>1.0583447738597752E-3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3.6118848564776648E-5</v>
      </c>
      <c r="J69" s="67" t="s">
        <v>231</v>
      </c>
      <c r="K69" s="68">
        <v>2.6985467243192562E-2</v>
      </c>
      <c r="L69" s="67" t="s">
        <v>231</v>
      </c>
      <c r="M69" s="68">
        <v>0.94040418187602237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2.2298054891469221E-14</v>
      </c>
      <c r="J70" s="67" t="s">
        <v>231</v>
      </c>
      <c r="K70" s="68">
        <v>9.273795264776811E-4</v>
      </c>
      <c r="L70" s="67" t="s">
        <v>231</v>
      </c>
      <c r="M70" s="68">
        <v>3.7178732357674308E-3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1.8889073844516597E-10</v>
      </c>
      <c r="J71" s="67" t="s">
        <v>231</v>
      </c>
      <c r="K71" s="68">
        <v>9.7007774966392487E-4</v>
      </c>
      <c r="L71" s="67" t="s">
        <v>231</v>
      </c>
      <c r="M71" s="68">
        <v>6.646167874804652E-3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2.8824511901602097E-14</v>
      </c>
      <c r="J72" s="67" t="s">
        <v>231</v>
      </c>
      <c r="K72" s="68">
        <v>1.4605793592402518E-2</v>
      </c>
      <c r="L72" s="67" t="s">
        <v>231</v>
      </c>
      <c r="M72" s="68">
        <v>0.65295824261428059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1.5682554220641454E-11</v>
      </c>
      <c r="J73" s="67" t="s">
        <v>231</v>
      </c>
      <c r="K73" s="68">
        <v>1.7449982006711715E-3</v>
      </c>
      <c r="L73" s="67" t="s">
        <v>231</v>
      </c>
      <c r="M73" s="68">
        <v>7.6620081779104871E-2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1.7796830732488273E-11</v>
      </c>
      <c r="J74" s="67" t="s">
        <v>231</v>
      </c>
      <c r="K74" s="68">
        <v>9.6196861097019545E-4</v>
      </c>
      <c r="L74" s="67" t="s">
        <v>231</v>
      </c>
      <c r="M74" s="68">
        <v>6.0851024314130808E-3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9.7138724857532969E-14</v>
      </c>
      <c r="J75" s="67" t="s">
        <v>231</v>
      </c>
      <c r="K75" s="68">
        <v>1.7582883657690964E-3</v>
      </c>
      <c r="L75" s="67" t="s">
        <v>231</v>
      </c>
      <c r="M75" s="68">
        <v>7.6956888024395903E-2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8.367810713478215E-9</v>
      </c>
      <c r="J76" s="67" t="s">
        <v>231</v>
      </c>
      <c r="K76" s="68">
        <v>1.5863016991431117E-3</v>
      </c>
      <c r="L76" s="67" t="s">
        <v>231</v>
      </c>
      <c r="M76" s="68">
        <v>5.3494031820405893E-2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6.593333916428757E-8</v>
      </c>
      <c r="J77" s="67" t="s">
        <v>231</v>
      </c>
      <c r="K77" s="68">
        <v>1.7489214383412347E-3</v>
      </c>
      <c r="L77" s="67" t="s">
        <v>231</v>
      </c>
      <c r="M77" s="68">
        <v>7.6725885416653594E-2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2.8503828273301431E-13</v>
      </c>
      <c r="J78" s="67" t="s">
        <v>231</v>
      </c>
      <c r="K78" s="68">
        <v>1.2247290681068827E-2</v>
      </c>
      <c r="L78" s="67" t="s">
        <v>231</v>
      </c>
      <c r="M78" s="68">
        <v>0.54747780748717023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1.5681326105664818E-16</v>
      </c>
      <c r="J79" s="67" t="s">
        <v>231</v>
      </c>
      <c r="K79" s="68">
        <v>1.2247282868299819E-2</v>
      </c>
      <c r="L79" s="67" t="s">
        <v>231</v>
      </c>
      <c r="M79" s="68">
        <v>0.54747754882980848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2.0679174858617206E-14</v>
      </c>
      <c r="J80" s="67" t="s">
        <v>231</v>
      </c>
      <c r="K80" s="68">
        <v>1.7952433447334475E-3</v>
      </c>
      <c r="L80" s="67" t="s">
        <v>231</v>
      </c>
      <c r="M80" s="68">
        <v>7.3783143284967004E-2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7.0073036866233959E-11</v>
      </c>
      <c r="J81" s="67" t="s">
        <v>231</v>
      </c>
      <c r="K81" s="68">
        <v>1.1703916421928261E-3</v>
      </c>
      <c r="L81" s="67" t="s">
        <v>231</v>
      </c>
      <c r="M81" s="68">
        <v>2.1008049385667492E-2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1.3924342297952248E-15</v>
      </c>
      <c r="J82" s="67" t="s">
        <v>231</v>
      </c>
      <c r="K82" s="68">
        <v>1.4143674811455417E-3</v>
      </c>
      <c r="L82" s="67" t="s">
        <v>231</v>
      </c>
      <c r="M82" s="68">
        <v>3.9555999484509781E-2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1.6890131937860012E-14</v>
      </c>
      <c r="J83" s="67" t="s">
        <v>231</v>
      </c>
      <c r="K83" s="68">
        <v>2.3675152757951189E-2</v>
      </c>
      <c r="L83" s="67" t="s">
        <v>231</v>
      </c>
      <c r="M83" s="68">
        <v>1.0585476828821467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3.3633436254646806E-2</v>
      </c>
      <c r="J84" s="67" t="s">
        <v>232</v>
      </c>
      <c r="K84" s="68">
        <v>1.0702769641975571E-2</v>
      </c>
      <c r="L84" s="67" t="s">
        <v>231</v>
      </c>
      <c r="M84" s="68">
        <v>0.36079630862556239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4.3613948624551604E-6</v>
      </c>
      <c r="J85" s="67" t="s">
        <v>231</v>
      </c>
      <c r="K85" s="68">
        <v>0.46366535221197547</v>
      </c>
      <c r="L85" s="67" t="s">
        <v>231</v>
      </c>
      <c r="M85" s="68">
        <v>8.536817520460394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2.5875990153620973E-4</v>
      </c>
      <c r="J86" s="67" t="s">
        <v>231</v>
      </c>
      <c r="K86" s="68">
        <v>0.11307273704379821</v>
      </c>
      <c r="L86" s="67" t="s">
        <v>231</v>
      </c>
      <c r="M86" s="68">
        <v>3.9797116781240729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1.8709083362500136E-4</v>
      </c>
      <c r="J87" s="67" t="s">
        <v>231</v>
      </c>
      <c r="K87" s="68">
        <v>0.12888574572009509</v>
      </c>
      <c r="L87" s="67" t="s">
        <v>231</v>
      </c>
      <c r="M87" s="68">
        <v>4.5476217879526653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2.8646424298949338E-4</v>
      </c>
      <c r="J88" s="67" t="s">
        <v>231</v>
      </c>
      <c r="K88" s="68">
        <v>0.14019019621244166</v>
      </c>
      <c r="L88" s="67" t="s">
        <v>231</v>
      </c>
      <c r="M88" s="68">
        <v>4.9604269469050903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3.5474510802829112E-7</v>
      </c>
      <c r="J89" s="67" t="s">
        <v>231</v>
      </c>
      <c r="K89" s="68">
        <v>1.4689694409586072</v>
      </c>
      <c r="L89" s="67" t="s">
        <v>232</v>
      </c>
      <c r="M89" s="68">
        <v>27.190478384910069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1.9098918275056379E-5</v>
      </c>
      <c r="J90" s="67" t="s">
        <v>231</v>
      </c>
      <c r="K90" s="68">
        <v>8.9112407956261157E-4</v>
      </c>
      <c r="L90" s="67" t="s">
        <v>231</v>
      </c>
      <c r="M90" s="68">
        <v>1.4806306759336267E-3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3.3324303094913562E-5</v>
      </c>
      <c r="J91" s="67" t="s">
        <v>231</v>
      </c>
      <c r="K91" s="68">
        <v>2.8527103676581167E-3</v>
      </c>
      <c r="L91" s="67" t="s">
        <v>231</v>
      </c>
      <c r="M91" s="68">
        <v>7.6478964900155127E-2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2.7610633653835581E-5</v>
      </c>
      <c r="J92" s="67" t="s">
        <v>231</v>
      </c>
      <c r="K92" s="68">
        <v>1.5111314420446741E-2</v>
      </c>
      <c r="L92" s="67" t="s">
        <v>231</v>
      </c>
      <c r="M92" s="68">
        <v>0.51898140366406431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1.2893829179216011E-8</v>
      </c>
      <c r="J93" s="67" t="s">
        <v>231</v>
      </c>
      <c r="K93" s="68">
        <v>8.8070502504730491E-4</v>
      </c>
      <c r="L93" s="67" t="s">
        <v>231</v>
      </c>
      <c r="M93" s="68">
        <v>6.2165570328452267E-4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2.1138621745114085E-18</v>
      </c>
      <c r="J94" s="67" t="s">
        <v>231</v>
      </c>
      <c r="K94" s="68">
        <v>8.7886751312283629E-4</v>
      </c>
      <c r="L94" s="67" t="s">
        <v>231</v>
      </c>
      <c r="M94" s="68">
        <v>1.5144434874227679E-4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2.2733159277940135E-6</v>
      </c>
      <c r="J95" s="67" t="s">
        <v>231</v>
      </c>
      <c r="K95" s="68">
        <v>1.0116303151979115E-3</v>
      </c>
      <c r="L95" s="67" t="s">
        <v>231</v>
      </c>
      <c r="M95" s="68">
        <v>6.3762656764061489E-3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2.8781257884759161E-3</v>
      </c>
      <c r="J96" s="67" t="s">
        <v>231</v>
      </c>
      <c r="K96" s="68">
        <v>0.10555901442278405</v>
      </c>
      <c r="L96" s="67" t="s">
        <v>231</v>
      </c>
      <c r="M96" s="68">
        <v>3.7117748097419989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9.8526905942692702E-5</v>
      </c>
      <c r="J97" s="67" t="s">
        <v>231</v>
      </c>
      <c r="K97" s="68">
        <v>4.4578718578948944E-3</v>
      </c>
      <c r="L97" s="67" t="s">
        <v>231</v>
      </c>
      <c r="M97" s="68">
        <v>0.13527987317027648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2.6839159580246934E-5</v>
      </c>
      <c r="J98" s="67" t="s">
        <v>231</v>
      </c>
      <c r="K98" s="68">
        <v>3.0993928153207361E-3</v>
      </c>
      <c r="L98" s="67" t="s">
        <v>231</v>
      </c>
      <c r="M98" s="68">
        <v>8.5563798490363219E-2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1.7606383156190103E-6</v>
      </c>
      <c r="J99" s="67" t="s">
        <v>231</v>
      </c>
      <c r="K99" s="68">
        <v>1.4137775670164058E-3</v>
      </c>
      <c r="L99" s="67" t="s">
        <v>231</v>
      </c>
      <c r="M99" s="68">
        <v>2.2644919983881701E-2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2.2631126090377693E-3</v>
      </c>
      <c r="J100" s="67" t="s">
        <v>231</v>
      </c>
      <c r="K100" s="68">
        <v>5.1879797155271988E-2</v>
      </c>
      <c r="L100" s="67" t="s">
        <v>231</v>
      </c>
      <c r="M100" s="68">
        <v>1.814085294828323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1.8450682814114147E-2</v>
      </c>
      <c r="J101" s="67" t="s">
        <v>232</v>
      </c>
      <c r="K101" s="68">
        <v>1.3579306987322062E-2</v>
      </c>
      <c r="L101" s="67" t="s">
        <v>231</v>
      </c>
      <c r="M101" s="68">
        <v>0.46401604709023209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5.6358431564294776E-3</v>
      </c>
      <c r="J102" s="67" t="s">
        <v>231</v>
      </c>
      <c r="K102" s="68">
        <v>1.825605324116273E-2</v>
      </c>
      <c r="L102" s="67" t="s">
        <v>231</v>
      </c>
      <c r="M102" s="68">
        <v>0.63235511698844293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1.5547327755127808E-9</v>
      </c>
      <c r="J103" s="67" t="s">
        <v>231</v>
      </c>
      <c r="K103" s="68">
        <v>1.0442666592856734E-3</v>
      </c>
      <c r="L103" s="67" t="s">
        <v>231</v>
      </c>
      <c r="M103" s="68">
        <v>1.1858830047267314E-2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2.4589573967856985E-7</v>
      </c>
      <c r="J104" s="67" t="s">
        <v>231</v>
      </c>
      <c r="K104" s="68">
        <v>2.5580022969130486E-3</v>
      </c>
      <c r="L104" s="67" t="s">
        <v>231</v>
      </c>
      <c r="M104" s="68">
        <v>0.11249673226055215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9.717288521890456E-8</v>
      </c>
      <c r="J105" s="67" t="s">
        <v>231</v>
      </c>
      <c r="K105" s="68">
        <v>8.9637973900299128E-4</v>
      </c>
      <c r="L105" s="67" t="s">
        <v>231</v>
      </c>
      <c r="M105" s="68">
        <v>1.8064531757828004E-3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3.3209361297834899E-8</v>
      </c>
      <c r="J106" s="67" t="s">
        <v>231</v>
      </c>
      <c r="K106" s="68">
        <v>1.0216960756631228E-3</v>
      </c>
      <c r="L106" s="67" t="s">
        <v>231</v>
      </c>
      <c r="M106" s="68">
        <v>6.8545844609846657E-3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8.4729769614109649E-6</v>
      </c>
      <c r="J107" s="67" t="s">
        <v>231</v>
      </c>
      <c r="K107" s="68">
        <v>2.2765735883454059E-2</v>
      </c>
      <c r="L107" s="67" t="s">
        <v>231</v>
      </c>
      <c r="M107" s="68">
        <v>0.69455631187476419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2.6559218375719083E-10</v>
      </c>
      <c r="J108" s="67" t="s">
        <v>231</v>
      </c>
      <c r="K108" s="68">
        <v>8.7484251447243744E-4</v>
      </c>
      <c r="L108" s="67" t="s">
        <v>231</v>
      </c>
      <c r="M108" s="68">
        <v>7.8385038180711132E-5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2.7382814278513263E-6</v>
      </c>
      <c r="J109" s="67" t="s">
        <v>231</v>
      </c>
      <c r="K109" s="68">
        <v>1.4761147506305397E-2</v>
      </c>
      <c r="L109" s="67" t="s">
        <v>231</v>
      </c>
      <c r="M109" s="68">
        <v>0.25827764639630002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5.8434471423060279E-6</v>
      </c>
      <c r="J110" s="67" t="s">
        <v>231</v>
      </c>
      <c r="K110" s="68">
        <v>8.7137896798748554E-4</v>
      </c>
      <c r="L110" s="67" t="s">
        <v>231</v>
      </c>
      <c r="M110" s="68">
        <v>2.2270001953042886E-4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8.1455491709960677E-14</v>
      </c>
      <c r="J111" s="67" t="s">
        <v>231</v>
      </c>
      <c r="K111" s="68">
        <v>8.7069114294128505E-4</v>
      </c>
      <c r="L111" s="67" t="s">
        <v>231</v>
      </c>
      <c r="M111" s="68">
        <v>3.244488309694746E-6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9.1887184077063306E-9</v>
      </c>
      <c r="J112" s="67" t="s">
        <v>231</v>
      </c>
      <c r="K112" s="68">
        <v>8.6845772274061171E-4</v>
      </c>
      <c r="L112" s="67" t="s">
        <v>231</v>
      </c>
      <c r="M112" s="68">
        <v>1.6816416588911559E-4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4.2181729486103528E-7</v>
      </c>
      <c r="J113" s="67" t="s">
        <v>231</v>
      </c>
      <c r="K113" s="68">
        <v>9.412004529846538E-4</v>
      </c>
      <c r="L113" s="67" t="s">
        <v>231</v>
      </c>
      <c r="M113" s="68">
        <v>3.8406466554789485E-3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5.7165223614373178E-8</v>
      </c>
      <c r="J114" s="67" t="s">
        <v>231</v>
      </c>
      <c r="K114" s="68">
        <v>8.6849987562448341E-4</v>
      </c>
      <c r="L114" s="67" t="s">
        <v>231</v>
      </c>
      <c r="M114" s="68">
        <v>5.2275521849363842E-5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4.747354381872308E-11</v>
      </c>
      <c r="J115" s="67" t="s">
        <v>231</v>
      </c>
      <c r="K115" s="68">
        <v>9.2268807835868365E-4</v>
      </c>
      <c r="L115" s="67" t="s">
        <v>231</v>
      </c>
      <c r="M115" s="68">
        <v>3.3984595355199135E-3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8.9235836167502767E-6</v>
      </c>
      <c r="J116" s="67" t="s">
        <v>231</v>
      </c>
      <c r="K116" s="68">
        <v>0.14832191767425076</v>
      </c>
      <c r="L116" s="67" t="s">
        <v>231</v>
      </c>
      <c r="M116" s="68">
        <v>2.7340031403761191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6.7340307769469472E-5</v>
      </c>
      <c r="J117" s="67" t="s">
        <v>231</v>
      </c>
      <c r="K117" s="68">
        <v>6.6421593249905014E-3</v>
      </c>
      <c r="L117" s="67" t="s">
        <v>231</v>
      </c>
      <c r="M117" s="68">
        <v>0.2145332929864921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0.97626632239436739</v>
      </c>
      <c r="F2" s="14">
        <v>0.97924268931542835</v>
      </c>
      <c r="G2" s="14">
        <v>2.9120499870650457E-10</v>
      </c>
      <c r="H2" s="14">
        <v>0.1705965868552583</v>
      </c>
      <c r="I2" s="14">
        <v>0.63390986256502502</v>
      </c>
      <c r="J2" s="14">
        <v>0</v>
      </c>
      <c r="K2" s="14">
        <v>1.0211973098303984</v>
      </c>
      <c r="L2" s="14">
        <v>0.97924268931542835</v>
      </c>
      <c r="M2" s="14">
        <v>0.80346862658330898</v>
      </c>
      <c r="N2" s="14">
        <v>0.88312748924835538</v>
      </c>
      <c r="O2" s="14">
        <v>171.49452713713814</v>
      </c>
      <c r="P2" s="8">
        <v>0.88312748924835549</v>
      </c>
      <c r="Q2" s="54">
        <v>1.5769848049896493E-2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0.69590290462970172</v>
      </c>
      <c r="F3" s="14">
        <v>0.46768560300626888</v>
      </c>
      <c r="G3" s="14">
        <v>2.2141674120198902E-10</v>
      </c>
      <c r="H3" s="14">
        <v>52.603070504478481</v>
      </c>
      <c r="I3" s="14">
        <v>118.32074714535632</v>
      </c>
      <c r="J3" s="14">
        <v>0</v>
      </c>
      <c r="K3" s="14">
        <v>2.1381885471180428</v>
      </c>
      <c r="L3" s="14">
        <v>0.46768560300626894</v>
      </c>
      <c r="M3" s="14">
        <v>0.38373603726664368</v>
      </c>
      <c r="N3" s="14">
        <v>8.3788496680445004</v>
      </c>
      <c r="O3" s="14">
        <v>2145.7396114895159</v>
      </c>
      <c r="P3" s="8">
        <v>8.3788496680445004</v>
      </c>
      <c r="Q3" s="54">
        <v>0.20289012204299373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0.99954387100304432</v>
      </c>
      <c r="F4" s="14">
        <v>1.0030319688160765</v>
      </c>
      <c r="G4" s="14">
        <v>1.5109262373199411E-19</v>
      </c>
      <c r="H4" s="14">
        <v>0.11984358041056069</v>
      </c>
      <c r="I4" s="14">
        <v>1.222002325977866E-3</v>
      </c>
      <c r="J4" s="14">
        <v>0</v>
      </c>
      <c r="K4" s="14">
        <v>0.99697719623068914</v>
      </c>
      <c r="L4" s="14">
        <v>1.0030319688160765</v>
      </c>
      <c r="M4" s="14">
        <v>0.82298773041359086</v>
      </c>
      <c r="N4" s="14">
        <v>1.0368719365753496</v>
      </c>
      <c r="O4" s="14">
        <v>307.0696240167897</v>
      </c>
      <c r="P4" s="8">
        <v>1.0368719365753496</v>
      </c>
      <c r="Q4" s="54">
        <v>1.3933878925955161E-5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0.99918916654451151</v>
      </c>
      <c r="F5" s="14">
        <v>0.54942503036442647</v>
      </c>
      <c r="G5" s="14">
        <v>2.5147120526837934E-12</v>
      </c>
      <c r="H5" s="14">
        <v>128.43057911164234</v>
      </c>
      <c r="I5" s="14">
        <v>9.4382031724686968E-2</v>
      </c>
      <c r="J5" s="14">
        <v>0</v>
      </c>
      <c r="K5" s="14">
        <v>1.8200845333470028</v>
      </c>
      <c r="L5" s="14">
        <v>0.54942503036442647</v>
      </c>
      <c r="M5" s="14">
        <v>0.4508032374140119</v>
      </c>
      <c r="N5" s="14">
        <v>1.482907709247379</v>
      </c>
      <c r="O5" s="14">
        <v>327.78192005204068</v>
      </c>
      <c r="P5" s="8">
        <v>1.4829077092473792</v>
      </c>
      <c r="Q5" s="54">
        <v>1.2690809411439942E-4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0.9985739093713385</v>
      </c>
      <c r="F6" s="14">
        <v>0.32513498960963372</v>
      </c>
      <c r="G6" s="14">
        <v>2.0627097390160966E-13</v>
      </c>
      <c r="H6" s="14">
        <v>191.70953283648061</v>
      </c>
      <c r="I6" s="14">
        <v>0.51475177190945876</v>
      </c>
      <c r="J6" s="14">
        <v>0</v>
      </c>
      <c r="K6" s="14">
        <v>3.0756455993882055</v>
      </c>
      <c r="L6" s="14">
        <v>0.32513498960963377</v>
      </c>
      <c r="M6" s="14">
        <v>0.2667732589747045</v>
      </c>
      <c r="N6" s="14">
        <v>1.7172496978511249</v>
      </c>
      <c r="O6" s="14">
        <v>395.41391542720004</v>
      </c>
      <c r="P6" s="8">
        <v>1.7172496978511251</v>
      </c>
      <c r="Q6" s="54">
        <v>4.7577087247489374E-4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0.99542092321577902</v>
      </c>
      <c r="F7" s="14">
        <v>0.10795643162520378</v>
      </c>
      <c r="G7" s="14">
        <v>1.799018522943343E-9</v>
      </c>
      <c r="H7" s="14">
        <v>251.84220956219073</v>
      </c>
      <c r="I7" s="14">
        <v>4.7466284737135833</v>
      </c>
      <c r="J7" s="14">
        <v>0</v>
      </c>
      <c r="K7" s="14">
        <v>9.2629960526273756</v>
      </c>
      <c r="L7" s="14">
        <v>0.1079564316252038</v>
      </c>
      <c r="M7" s="14">
        <v>8.8578252148479711E-2</v>
      </c>
      <c r="N7" s="14">
        <v>2.0381286813938138</v>
      </c>
      <c r="O7" s="14">
        <v>420.42518439791593</v>
      </c>
      <c r="P7" s="8">
        <v>2.0381286813938138</v>
      </c>
      <c r="Q7" s="54">
        <v>2.5129580577988395E-3</v>
      </c>
    </row>
    <row r="8" spans="1:20">
      <c r="A8" s="2" t="s">
        <v>289</v>
      </c>
      <c r="B8" s="16" t="s">
        <v>290</v>
      </c>
      <c r="D8" s="14">
        <v>1</v>
      </c>
      <c r="E8" s="14">
        <v>0.99890746782701967</v>
      </c>
      <c r="F8" s="14">
        <v>0.23053963924838075</v>
      </c>
      <c r="G8" s="14">
        <v>1.2779716966753164E-19</v>
      </c>
      <c r="H8" s="14">
        <v>218.60777763594945</v>
      </c>
      <c r="I8" s="14">
        <v>0.30778808936935448</v>
      </c>
      <c r="J8" s="14">
        <v>0</v>
      </c>
      <c r="K8" s="14">
        <v>4.3376488453797375</v>
      </c>
      <c r="L8" s="14">
        <v>0.23053963924838075</v>
      </c>
      <c r="M8" s="14">
        <v>0.18915777400329642</v>
      </c>
      <c r="N8" s="14">
        <v>1.7735179227609257</v>
      </c>
      <c r="O8" s="14">
        <v>617.92911464836175</v>
      </c>
      <c r="P8" s="8">
        <v>1.7735179227609259</v>
      </c>
      <c r="Q8" s="54">
        <v>2.3466688565897933E-4</v>
      </c>
    </row>
    <row r="9" spans="1:20">
      <c r="A9" s="2" t="s">
        <v>291</v>
      </c>
      <c r="B9" s="16" t="s">
        <v>292</v>
      </c>
      <c r="D9" s="14">
        <v>1</v>
      </c>
      <c r="E9" s="14">
        <v>0.99854791002920917</v>
      </c>
      <c r="F9" s="14">
        <v>0.61600714056148265</v>
      </c>
      <c r="G9" s="14">
        <v>5.3575697472659217E-15</v>
      </c>
      <c r="H9" s="14">
        <v>109.36686075738494</v>
      </c>
      <c r="I9" s="14">
        <v>0.38381267291645177</v>
      </c>
      <c r="J9" s="14">
        <v>0</v>
      </c>
      <c r="K9" s="14">
        <v>1.6233578057041884</v>
      </c>
      <c r="L9" s="14">
        <v>0.61600714056148265</v>
      </c>
      <c r="M9" s="14">
        <v>0.50543385883069658</v>
      </c>
      <c r="N9" s="14">
        <v>1.4223484803541853</v>
      </c>
      <c r="O9" s="14">
        <v>438.55270694760594</v>
      </c>
      <c r="P9" s="8">
        <v>1.4223484803541855</v>
      </c>
      <c r="Q9" s="54">
        <v>5.7692493577790247E-4</v>
      </c>
    </row>
    <row r="10" spans="1:20">
      <c r="A10" s="2" t="s">
        <v>367</v>
      </c>
      <c r="B10" s="16" t="s">
        <v>368</v>
      </c>
      <c r="D10" s="14">
        <v>1</v>
      </c>
      <c r="E10" s="14">
        <v>0.88204196039616445</v>
      </c>
      <c r="F10" s="14">
        <v>1.0320014751898339E-2</v>
      </c>
      <c r="G10" s="14">
        <v>1.6034994148388335E-7</v>
      </c>
      <c r="H10" s="14">
        <v>210.93095458395288</v>
      </c>
      <c r="I10" s="14">
        <v>341.11238574103982</v>
      </c>
      <c r="J10" s="14">
        <v>0</v>
      </c>
      <c r="K10" s="14">
        <v>96.899086294043585</v>
      </c>
      <c r="L10" s="14">
        <v>1.0320014751898339E-2</v>
      </c>
      <c r="M10" s="14">
        <v>8.4675721039325878E-3</v>
      </c>
      <c r="N10" s="14">
        <v>19.635403413018953</v>
      </c>
      <c r="O10" s="14">
        <v>5465.318185979695</v>
      </c>
      <c r="P10" s="8">
        <v>19.635403413018956</v>
      </c>
      <c r="Q10" s="54">
        <v>7.4045298606052981E-2</v>
      </c>
    </row>
    <row r="11" spans="1:20">
      <c r="A11" s="2" t="s">
        <v>369</v>
      </c>
      <c r="B11" s="16" t="s">
        <v>370</v>
      </c>
      <c r="D11" s="14">
        <v>1</v>
      </c>
      <c r="E11" s="14">
        <v>0.92948148261099206</v>
      </c>
      <c r="F11" s="14">
        <v>5.9057854781080889E-4</v>
      </c>
      <c r="G11" s="14">
        <v>6.3631737153091395E-14</v>
      </c>
      <c r="H11" s="14">
        <v>152.55191634752023</v>
      </c>
      <c r="I11" s="14">
        <v>1031.9856418354655</v>
      </c>
      <c r="J11" s="14">
        <v>0</v>
      </c>
      <c r="K11" s="14">
        <v>1693.2548662779211</v>
      </c>
      <c r="L11" s="14">
        <v>5.9057854781080889E-4</v>
      </c>
      <c r="M11" s="14">
        <v>4.8456969847876876E-4</v>
      </c>
      <c r="N11" s="14">
        <v>127.30174059515294</v>
      </c>
      <c r="O11" s="14">
        <v>51799.078248167723</v>
      </c>
      <c r="P11" s="8">
        <v>127.30174059515294</v>
      </c>
      <c r="Q11" s="54">
        <v>1.1509955774989004E-2</v>
      </c>
    </row>
    <row r="12" spans="1:20">
      <c r="A12" s="2" t="s">
        <v>371</v>
      </c>
      <c r="B12" s="16" t="s">
        <v>372</v>
      </c>
      <c r="D12" s="14">
        <v>1</v>
      </c>
      <c r="E12" s="14">
        <v>0.92053355481961618</v>
      </c>
      <c r="F12" s="14">
        <v>0.92409735640989377</v>
      </c>
      <c r="G12" s="14">
        <v>8.325944860114136E-4</v>
      </c>
      <c r="H12" s="14">
        <v>7.3540472597219313E-3</v>
      </c>
      <c r="I12" s="14">
        <v>3.3750168610681613E-2</v>
      </c>
      <c r="J12" s="14">
        <v>0</v>
      </c>
      <c r="K12" s="14">
        <v>1.0821370638749439</v>
      </c>
      <c r="L12" s="14">
        <v>0.92409735640989377</v>
      </c>
      <c r="M12" s="14">
        <v>0.75822188093431786</v>
      </c>
      <c r="N12" s="14">
        <v>0.80369769115974843</v>
      </c>
      <c r="O12" s="14">
        <v>112.67037932368513</v>
      </c>
      <c r="P12" s="8">
        <v>0.80369769115974843</v>
      </c>
      <c r="Q12" s="54">
        <v>2.8318871761220149E-3</v>
      </c>
    </row>
    <row r="13" spans="1:20">
      <c r="A13" s="2" t="s">
        <v>293</v>
      </c>
      <c r="B13" s="16" t="s">
        <v>294</v>
      </c>
      <c r="D13" s="14">
        <v>1</v>
      </c>
      <c r="E13" s="14">
        <v>0.69994156667524288</v>
      </c>
      <c r="F13" s="14">
        <v>0.5256764256386911</v>
      </c>
      <c r="G13" s="14">
        <v>1.9436004407393706E-10</v>
      </c>
      <c r="H13" s="14">
        <v>39.88214436237147</v>
      </c>
      <c r="I13" s="14">
        <v>94.718687604457315</v>
      </c>
      <c r="J13" s="14">
        <v>0</v>
      </c>
      <c r="K13" s="14">
        <v>1.9023109107185294</v>
      </c>
      <c r="L13" s="14">
        <v>0.52567642563869121</v>
      </c>
      <c r="M13" s="14">
        <v>0.4313175072365461</v>
      </c>
      <c r="N13" s="14">
        <v>5.6918748434872866</v>
      </c>
      <c r="O13" s="14">
        <v>1880.36777329446</v>
      </c>
      <c r="P13" s="8">
        <v>5.6918748434872866</v>
      </c>
      <c r="Q13" s="54">
        <v>0.20092578416870976</v>
      </c>
    </row>
    <row r="14" spans="1:20">
      <c r="A14" s="2" t="s">
        <v>373</v>
      </c>
      <c r="B14" s="16" t="s">
        <v>374</v>
      </c>
      <c r="D14" s="14">
        <v>1</v>
      </c>
      <c r="E14" s="14">
        <v>0.99762082005396879</v>
      </c>
      <c r="F14" s="14">
        <v>8.828262693667625E-3</v>
      </c>
      <c r="G14" s="14">
        <v>9.5191508732438732E-10</v>
      </c>
      <c r="H14" s="14">
        <v>280.60489807094882</v>
      </c>
      <c r="I14" s="14">
        <v>4.0702633862100894</v>
      </c>
      <c r="J14" s="14">
        <v>0</v>
      </c>
      <c r="K14" s="14">
        <v>113.27256955292964</v>
      </c>
      <c r="L14" s="14">
        <v>8.828262693667625E-3</v>
      </c>
      <c r="M14" s="14">
        <v>7.2435895401542867E-3</v>
      </c>
      <c r="N14" s="14">
        <v>3.8055527219854248</v>
      </c>
      <c r="O14" s="14">
        <v>1013.570911973598</v>
      </c>
      <c r="P14" s="8">
        <v>3.8055527219854253</v>
      </c>
      <c r="Q14" s="54">
        <v>5.2701443804673291E-4</v>
      </c>
    </row>
    <row r="15" spans="1:20">
      <c r="A15" s="2" t="s">
        <v>375</v>
      </c>
      <c r="B15" s="16" t="s">
        <v>376</v>
      </c>
      <c r="D15" s="14">
        <v>1</v>
      </c>
      <c r="E15" s="14">
        <v>0.78707132491545417</v>
      </c>
      <c r="F15" s="14">
        <v>0.76466332423363748</v>
      </c>
      <c r="G15" s="14">
        <v>9.4562457065719906E-4</v>
      </c>
      <c r="H15" s="14">
        <v>5.5295559975326007</v>
      </c>
      <c r="I15" s="14">
        <v>15.615195692869463</v>
      </c>
      <c r="J15" s="14">
        <v>0</v>
      </c>
      <c r="K15" s="14">
        <v>1.3077650886450216</v>
      </c>
      <c r="L15" s="14">
        <v>0.76466332423363759</v>
      </c>
      <c r="M15" s="14">
        <v>0.62740625753369961</v>
      </c>
      <c r="N15" s="14">
        <v>1.5123570239821877</v>
      </c>
      <c r="O15" s="14">
        <v>225.94613938293887</v>
      </c>
      <c r="P15" s="8">
        <v>1.512357023982188</v>
      </c>
      <c r="Q15" s="54">
        <v>8.585140979834463E-2</v>
      </c>
    </row>
    <row r="16" spans="1:20">
      <c r="A16" s="2" t="s">
        <v>377</v>
      </c>
      <c r="B16" s="16" t="s">
        <v>378</v>
      </c>
      <c r="D16" s="14">
        <v>1</v>
      </c>
      <c r="E16" s="14">
        <v>0.68857554832524437</v>
      </c>
      <c r="F16" s="14">
        <v>0.49024200729009998</v>
      </c>
      <c r="G16" s="14">
        <v>7.3922902310531922E-6</v>
      </c>
      <c r="H16" s="14">
        <v>45.430814370441055</v>
      </c>
      <c r="I16" s="14">
        <v>106.31821893527442</v>
      </c>
      <c r="J16" s="14">
        <v>0</v>
      </c>
      <c r="K16" s="14">
        <v>2.0398088803684491</v>
      </c>
      <c r="L16" s="14">
        <v>0.49024200729010003</v>
      </c>
      <c r="M16" s="14">
        <v>0.40224356698152708</v>
      </c>
      <c r="N16" s="14">
        <v>6.3106552546309169</v>
      </c>
      <c r="O16" s="14">
        <v>1402.480023789175</v>
      </c>
      <c r="P16" s="8">
        <v>6.3106552546309169</v>
      </c>
      <c r="Q16" s="54">
        <v>0.20797335248423568</v>
      </c>
    </row>
    <row r="17" spans="1:21">
      <c r="A17" s="2" t="s">
        <v>379</v>
      </c>
      <c r="B17" s="16" t="s">
        <v>380</v>
      </c>
      <c r="D17" s="14">
        <v>1</v>
      </c>
      <c r="E17" s="14">
        <v>0.69429659414958533</v>
      </c>
      <c r="F17" s="14">
        <v>0.51155447147773547</v>
      </c>
      <c r="G17" s="14">
        <v>2.2231070342831875E-5</v>
      </c>
      <c r="H17" s="14">
        <v>41.834240151883698</v>
      </c>
      <c r="I17" s="14">
        <v>98.807305455450035</v>
      </c>
      <c r="J17" s="14">
        <v>0</v>
      </c>
      <c r="K17" s="14">
        <v>1.9548260366316108</v>
      </c>
      <c r="L17" s="14">
        <v>0.51155447147773547</v>
      </c>
      <c r="M17" s="14">
        <v>0.41973044384748198</v>
      </c>
      <c r="N17" s="14">
        <v>5.9085327597769055</v>
      </c>
      <c r="O17" s="14">
        <v>759.60097159691895</v>
      </c>
      <c r="P17" s="8">
        <v>5.9085327597769055</v>
      </c>
      <c r="Q17" s="54">
        <v>0.20332419238830626</v>
      </c>
    </row>
    <row r="18" spans="1:21">
      <c r="A18" s="2" t="s">
        <v>381</v>
      </c>
      <c r="B18" s="16" t="s">
        <v>382</v>
      </c>
      <c r="D18" s="14">
        <v>1</v>
      </c>
      <c r="E18" s="14">
        <v>0.87792494482719285</v>
      </c>
      <c r="F18" s="14">
        <v>6.4028968665628884E-4</v>
      </c>
      <c r="G18" s="14">
        <v>4.5614717994277055E-10</v>
      </c>
      <c r="H18" s="14">
        <v>67.216594688579804</v>
      </c>
      <c r="I18" s="14">
        <v>1686.2954855093469</v>
      </c>
      <c r="J18" s="14">
        <v>0</v>
      </c>
      <c r="K18" s="14">
        <v>1561.7930771650949</v>
      </c>
      <c r="L18" s="14">
        <v>6.4028968665628895E-4</v>
      </c>
      <c r="M18" s="14">
        <v>5.2535768790148507E-4</v>
      </c>
      <c r="N18" s="14">
        <v>100.3802846906466</v>
      </c>
      <c r="O18" s="14">
        <v>39277.801596603116</v>
      </c>
      <c r="P18" s="8">
        <v>100.38028469064662</v>
      </c>
      <c r="Q18" s="54">
        <v>5.3942823820905407E-2</v>
      </c>
    </row>
    <row r="19" spans="1:21">
      <c r="A19" s="2" t="s">
        <v>383</v>
      </c>
      <c r="B19" s="16" t="s">
        <v>384</v>
      </c>
      <c r="D19" s="14">
        <v>1</v>
      </c>
      <c r="E19" s="14">
        <v>0.91122479484224705</v>
      </c>
      <c r="F19" s="14">
        <v>0.90636658919685198</v>
      </c>
      <c r="G19" s="14">
        <v>1.3074719357564525E-4</v>
      </c>
      <c r="H19" s="14">
        <v>1.7856810426202934</v>
      </c>
      <c r="I19" s="14">
        <v>5.5495920430655499</v>
      </c>
      <c r="J19" s="14">
        <v>0</v>
      </c>
      <c r="K19" s="14">
        <v>1.103306335338462</v>
      </c>
      <c r="L19" s="14">
        <v>0.90636658919685198</v>
      </c>
      <c r="M19" s="14">
        <v>0.74367378643601711</v>
      </c>
      <c r="N19" s="14">
        <v>1.0853012431863671</v>
      </c>
      <c r="O19" s="14">
        <v>101.07410477794636</v>
      </c>
      <c r="P19" s="8">
        <v>1.0853012431863671</v>
      </c>
      <c r="Q19" s="54">
        <v>5.1672688569319426E-2</v>
      </c>
    </row>
    <row r="20" spans="1:21">
      <c r="A20" s="2" t="s">
        <v>385</v>
      </c>
      <c r="B20" s="16" t="s">
        <v>386</v>
      </c>
      <c r="D20" s="14">
        <v>1</v>
      </c>
      <c r="E20" s="14">
        <v>0.87631494966357215</v>
      </c>
      <c r="F20" s="14">
        <v>0.86489343394527241</v>
      </c>
      <c r="G20" s="14">
        <v>2.441131010579075E-4</v>
      </c>
      <c r="H20" s="14">
        <v>3.183923321484377</v>
      </c>
      <c r="I20" s="14">
        <v>9.4497380707406755</v>
      </c>
      <c r="J20" s="14">
        <v>0</v>
      </c>
      <c r="K20" s="14">
        <v>1.1562118068562843</v>
      </c>
      <c r="L20" s="14">
        <v>0.86489343394527252</v>
      </c>
      <c r="M20" s="14">
        <v>0.70964506255209603</v>
      </c>
      <c r="N20" s="14">
        <v>1.2616747548818892</v>
      </c>
      <c r="O20" s="14">
        <v>140.19729876247553</v>
      </c>
      <c r="P20" s="8">
        <v>1.2616747548818892</v>
      </c>
      <c r="Q20" s="54">
        <v>6.8299853294811905E-2</v>
      </c>
    </row>
    <row r="21" spans="1:21">
      <c r="A21" s="2" t="s">
        <v>387</v>
      </c>
      <c r="B21" s="16" t="s">
        <v>388</v>
      </c>
      <c r="D21" s="14">
        <v>1</v>
      </c>
      <c r="E21" s="14">
        <v>0.92712630771375304</v>
      </c>
      <c r="F21" s="14">
        <v>0.10629340636115578</v>
      </c>
      <c r="G21" s="14">
        <v>2.0656275580542473E-5</v>
      </c>
      <c r="H21" s="14">
        <v>224.36046168118423</v>
      </c>
      <c r="I21" s="14">
        <v>83.835334707571263</v>
      </c>
      <c r="J21" s="14">
        <v>0</v>
      </c>
      <c r="K21" s="14">
        <v>9.4079212834921755</v>
      </c>
      <c r="L21" s="14">
        <v>0.10629340636115578</v>
      </c>
      <c r="M21" s="14">
        <v>8.721373991932832E-2</v>
      </c>
      <c r="N21" s="14">
        <v>6.0500022830313522</v>
      </c>
      <c r="O21" s="14">
        <v>1194.5729507845406</v>
      </c>
      <c r="P21" s="8">
        <v>6.0500022830313531</v>
      </c>
      <c r="Q21" s="54">
        <v>4.6219697904459352E-2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0.90454144395748781</v>
      </c>
      <c r="F22" s="14">
        <v>0.90667436309470339</v>
      </c>
      <c r="G22" s="14">
        <v>7.2811474093745871E-4</v>
      </c>
      <c r="H22" s="14">
        <v>0.28785338169156788</v>
      </c>
      <c r="I22" s="14">
        <v>1.0233601624453408</v>
      </c>
      <c r="J22" s="14">
        <v>0</v>
      </c>
      <c r="K22" s="14">
        <v>1.1029318140051443</v>
      </c>
      <c r="L22" s="14">
        <v>0.90667436309470339</v>
      </c>
      <c r="M22" s="14">
        <v>0.74392631491920413</v>
      </c>
      <c r="N22" s="14">
        <v>0.84102543689112308</v>
      </c>
      <c r="O22" s="14">
        <v>48.846757374636425</v>
      </c>
      <c r="P22" s="8">
        <v>0.84102543689112308</v>
      </c>
      <c r="Q22" s="54">
        <v>1.996312410538648E-2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0.76541774919773398</v>
      </c>
      <c r="F23" s="14">
        <v>0.72482858883407564</v>
      </c>
      <c r="G23" s="14">
        <v>7.6546229334130574E-4</v>
      </c>
      <c r="H23" s="14">
        <v>9.5520220108368612</v>
      </c>
      <c r="I23" s="14">
        <v>25.807889188001838</v>
      </c>
      <c r="J23" s="14">
        <v>0</v>
      </c>
      <c r="K23" s="14">
        <v>1.3796365311811885</v>
      </c>
      <c r="L23" s="14">
        <v>0.72482858883407564</v>
      </c>
      <c r="M23" s="14">
        <v>0.59472185713835912</v>
      </c>
      <c r="N23" s="14">
        <v>2.0378991928576839</v>
      </c>
      <c r="O23" s="14">
        <v>218.36089851470086</v>
      </c>
      <c r="P23" s="8">
        <v>2.0378991928576839</v>
      </c>
      <c r="Q23" s="54">
        <v>0.11126344054987018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0.66440896581069819</v>
      </c>
      <c r="F24" s="14">
        <v>0.37914393446216288</v>
      </c>
      <c r="G24" s="14">
        <v>2.181085046425423E-5</v>
      </c>
      <c r="H24" s="14">
        <v>65.651418260381419</v>
      </c>
      <c r="I24" s="14">
        <v>146.72404225083307</v>
      </c>
      <c r="J24" s="14">
        <v>0</v>
      </c>
      <c r="K24" s="14">
        <v>2.6375207648212977</v>
      </c>
      <c r="L24" s="14">
        <v>0.37914393446216293</v>
      </c>
      <c r="M24" s="14">
        <v>0.31108759822620469</v>
      </c>
      <c r="N24" s="14">
        <v>8.4870241801273867</v>
      </c>
      <c r="O24" s="14">
        <v>1375.0676576642393</v>
      </c>
      <c r="P24" s="8">
        <v>8.4870241801273867</v>
      </c>
      <c r="Q24" s="54">
        <v>0.22279286755700919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0.87291855874757218</v>
      </c>
      <c r="F25" s="14">
        <v>8.9381344767522461E-4</v>
      </c>
      <c r="G25" s="14">
        <v>2.1032716699894309E-6</v>
      </c>
      <c r="H25" s="14">
        <v>80.291003235603739</v>
      </c>
      <c r="I25" s="14">
        <v>1551.4009577844558</v>
      </c>
      <c r="J25" s="14">
        <v>0</v>
      </c>
      <c r="K25" s="14">
        <v>1118.8016946947516</v>
      </c>
      <c r="L25" s="14">
        <v>8.9381344767522461E-4</v>
      </c>
      <c r="M25" s="14">
        <v>7.3337393381752184E-4</v>
      </c>
      <c r="N25" s="14">
        <v>92.05079410973309</v>
      </c>
      <c r="O25" s="14">
        <v>21483.734837270604</v>
      </c>
      <c r="P25" s="8">
        <v>92.05079410973309</v>
      </c>
      <c r="Q25" s="54">
        <v>5.9555798961327476E-2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0.59967130687384473</v>
      </c>
      <c r="F26" s="14">
        <v>0.13626390574849642</v>
      </c>
      <c r="G26" s="14">
        <v>1.4720051203871518E-3</v>
      </c>
      <c r="H26" s="14">
        <v>108.46280532666627</v>
      </c>
      <c r="I26" s="14">
        <v>216.63967914256753</v>
      </c>
      <c r="J26" s="14">
        <v>0</v>
      </c>
      <c r="K26" s="14">
        <v>7.3387005495476512</v>
      </c>
      <c r="L26" s="14">
        <v>0.13626390574849642</v>
      </c>
      <c r="M26" s="14">
        <v>0.11180453466664132</v>
      </c>
      <c r="N26" s="14">
        <v>12.294912541886427</v>
      </c>
      <c r="O26" s="14">
        <v>1575.8389404935831</v>
      </c>
      <c r="P26" s="8">
        <v>12.294912541886427</v>
      </c>
      <c r="Q26" s="54">
        <v>0.1773119490910105</v>
      </c>
    </row>
    <row r="27" spans="1:21">
      <c r="A27" s="2" t="s">
        <v>397</v>
      </c>
      <c r="B27" s="16" t="s">
        <v>398</v>
      </c>
      <c r="D27" s="14">
        <v>1</v>
      </c>
      <c r="E27" s="14">
        <v>0.3181217443668457</v>
      </c>
      <c r="F27" s="14">
        <v>1.6141578467518663E-2</v>
      </c>
      <c r="G27" s="14">
        <v>6.6929023604818958E-3</v>
      </c>
      <c r="H27" s="14">
        <v>72.141638457675555</v>
      </c>
      <c r="I27" s="14">
        <v>126.89460915615584</v>
      </c>
      <c r="J27" s="14">
        <v>0</v>
      </c>
      <c r="K27" s="14">
        <v>61.951809856283738</v>
      </c>
      <c r="L27" s="14">
        <v>1.6141578467518663E-2</v>
      </c>
      <c r="M27" s="14">
        <v>1.3244165132599062E-2</v>
      </c>
      <c r="N27" s="14">
        <v>7.2346106209929824</v>
      </c>
      <c r="O27" s="14">
        <v>1312.7200971791767</v>
      </c>
      <c r="P27" s="8">
        <v>7.2346106209929832</v>
      </c>
      <c r="Q27" s="54">
        <v>5.1622992042052486E-2</v>
      </c>
    </row>
    <row r="28" spans="1:21">
      <c r="A28" s="2" t="s">
        <v>399</v>
      </c>
      <c r="B28" s="16" t="s">
        <v>400</v>
      </c>
      <c r="D28" s="14">
        <v>1</v>
      </c>
      <c r="E28" s="14">
        <v>0.16615352663567901</v>
      </c>
      <c r="F28" s="14">
        <v>2.9206592390775485E-2</v>
      </c>
      <c r="G28" s="14">
        <v>8.5072535626548387E-3</v>
      </c>
      <c r="H28" s="14">
        <v>32.178136502083682</v>
      </c>
      <c r="I28" s="14">
        <v>62.750625673022448</v>
      </c>
      <c r="J28" s="14">
        <v>0</v>
      </c>
      <c r="K28" s="14">
        <v>34.238845347663244</v>
      </c>
      <c r="L28" s="14">
        <v>2.9206592390775485E-2</v>
      </c>
      <c r="M28" s="14">
        <v>2.3964009056631284E-2</v>
      </c>
      <c r="N28" s="14">
        <v>3.5605381262037326</v>
      </c>
      <c r="O28" s="14">
        <v>523.39910455194865</v>
      </c>
      <c r="P28" s="8">
        <v>3.560538126203733</v>
      </c>
      <c r="Q28" s="54">
        <v>4.5021303030856351E-2</v>
      </c>
    </row>
    <row r="29" spans="1:21">
      <c r="A29" s="2" t="s">
        <v>297</v>
      </c>
      <c r="B29" s="16" t="s">
        <v>298</v>
      </c>
      <c r="D29" s="14">
        <v>1</v>
      </c>
      <c r="E29" s="14">
        <v>6.0462193844609068E-2</v>
      </c>
      <c r="F29" s="14">
        <v>5.9395001496429276E-2</v>
      </c>
      <c r="G29" s="14">
        <v>1.0350906492520089E-2</v>
      </c>
      <c r="H29" s="14">
        <v>0.28076947996742496</v>
      </c>
      <c r="I29" s="14">
        <v>0.81810127288443035</v>
      </c>
      <c r="J29" s="14">
        <v>0</v>
      </c>
      <c r="K29" s="14">
        <v>16.836433619083557</v>
      </c>
      <c r="L29" s="14">
        <v>5.9395001496429276E-2</v>
      </c>
      <c r="M29" s="14">
        <v>4.8733598727820224E-2</v>
      </c>
      <c r="N29" s="14">
        <v>9.5874319180025022E-2</v>
      </c>
      <c r="O29" s="14">
        <v>8.1426059279595258</v>
      </c>
      <c r="P29" s="8">
        <v>9.5874319180025022E-2</v>
      </c>
      <c r="Q29" s="54">
        <v>5.3432693648060841E-3</v>
      </c>
    </row>
    <row r="30" spans="1:21">
      <c r="A30" s="2" t="s">
        <v>401</v>
      </c>
      <c r="B30" s="16" t="s">
        <v>402</v>
      </c>
      <c r="D30" s="14">
        <v>1</v>
      </c>
      <c r="E30" s="14">
        <v>6.4372210245205383E-2</v>
      </c>
      <c r="F30" s="14">
        <v>1.202334044946265E-2</v>
      </c>
      <c r="G30" s="14">
        <v>1.0096099739607078E-2</v>
      </c>
      <c r="H30" s="14">
        <v>12.28924336378804</v>
      </c>
      <c r="I30" s="14">
        <v>24.098072986839686</v>
      </c>
      <c r="J30" s="14">
        <v>0</v>
      </c>
      <c r="K30" s="14">
        <v>83.171561530946434</v>
      </c>
      <c r="L30" s="14">
        <v>1.202334044946265E-2</v>
      </c>
      <c r="M30" s="14">
        <v>9.8651508387841043E-3</v>
      </c>
      <c r="N30" s="14">
        <v>1.367326291187251</v>
      </c>
      <c r="O30" s="14">
        <v>226.74371886758186</v>
      </c>
      <c r="P30" s="8">
        <v>1.367326291187251</v>
      </c>
      <c r="Q30" s="54">
        <v>1.7823061899805065E-2</v>
      </c>
    </row>
    <row r="31" spans="1:21">
      <c r="A31" s="2" t="s">
        <v>299</v>
      </c>
      <c r="B31" s="16" t="s">
        <v>300</v>
      </c>
      <c r="D31" s="14">
        <v>1</v>
      </c>
      <c r="E31" s="14">
        <v>1.3154845058911946E-3</v>
      </c>
      <c r="F31" s="14">
        <v>4.495247651516626E-4</v>
      </c>
      <c r="G31" s="14">
        <v>1.1089248366539935E-2</v>
      </c>
      <c r="H31" s="14">
        <v>0.20131383529931571</v>
      </c>
      <c r="I31" s="14">
        <v>0.41949886833391309</v>
      </c>
      <c r="J31" s="14">
        <v>0</v>
      </c>
      <c r="K31" s="14">
        <v>2224.5715420431079</v>
      </c>
      <c r="L31" s="14">
        <v>4.495247651516626E-4</v>
      </c>
      <c r="M31" s="14">
        <v>3.6883506980693917E-4</v>
      </c>
      <c r="N31" s="14">
        <v>2.3872623894789599E-2</v>
      </c>
      <c r="O31" s="14">
        <v>1.9608973267180176</v>
      </c>
      <c r="P31" s="8">
        <v>2.3872623894789599E-2</v>
      </c>
      <c r="Q31" s="54">
        <v>4.3344180234817061E-4</v>
      </c>
    </row>
    <row r="32" spans="1:21">
      <c r="A32" s="2" t="s">
        <v>343</v>
      </c>
      <c r="B32" s="16" t="s">
        <v>344</v>
      </c>
      <c r="D32" s="14">
        <v>1</v>
      </c>
      <c r="E32" s="14">
        <v>0.7123186312450368</v>
      </c>
      <c r="F32" s="14">
        <v>0.56317469477782367</v>
      </c>
      <c r="G32" s="14">
        <v>2.177667752569225E-5</v>
      </c>
      <c r="H32" s="14">
        <v>34.116394867460897</v>
      </c>
      <c r="I32" s="14">
        <v>82.379718409633242</v>
      </c>
      <c r="J32" s="14">
        <v>0</v>
      </c>
      <c r="K32" s="14">
        <v>1.7756479637184461</v>
      </c>
      <c r="L32" s="14">
        <v>0.56317469477782367</v>
      </c>
      <c r="M32" s="14">
        <v>0.46208483706520431</v>
      </c>
      <c r="N32" s="14">
        <v>5.0350933266038638</v>
      </c>
      <c r="O32" s="14">
        <v>826.76232422835426</v>
      </c>
      <c r="P32" s="8">
        <v>5.0350933266038638</v>
      </c>
      <c r="Q32" s="54">
        <v>0.19143454179182212</v>
      </c>
    </row>
    <row r="33" spans="1:17">
      <c r="A33" s="2" t="s">
        <v>345</v>
      </c>
      <c r="B33" s="16" t="s">
        <v>346</v>
      </c>
      <c r="D33" s="14">
        <v>1</v>
      </c>
      <c r="E33" s="14">
        <v>0.78289185908861014</v>
      </c>
      <c r="F33" s="14">
        <v>0.71236741486531296</v>
      </c>
      <c r="G33" s="14">
        <v>9.2835169228028656E-7</v>
      </c>
      <c r="H33" s="14">
        <v>16.273615316955702</v>
      </c>
      <c r="I33" s="14">
        <v>42.222234795345138</v>
      </c>
      <c r="J33" s="14">
        <v>0</v>
      </c>
      <c r="K33" s="14">
        <v>1.4037699916258377</v>
      </c>
      <c r="L33" s="14">
        <v>0.71236741486531296</v>
      </c>
      <c r="M33" s="14">
        <v>0.58449746389698931</v>
      </c>
      <c r="N33" s="14">
        <v>2.932247772755125</v>
      </c>
      <c r="O33" s="14">
        <v>443.23857332966469</v>
      </c>
      <c r="P33" s="8">
        <v>2.932247772755125</v>
      </c>
      <c r="Q33" s="54">
        <v>0.14566030550630615</v>
      </c>
    </row>
    <row r="34" spans="1:17">
      <c r="A34" s="2" t="s">
        <v>347</v>
      </c>
      <c r="B34" s="16" t="s">
        <v>348</v>
      </c>
      <c r="D34" s="14">
        <v>1</v>
      </c>
      <c r="E34" s="14">
        <v>0.68405680202795971</v>
      </c>
      <c r="F34" s="14">
        <v>0.17396146802454263</v>
      </c>
      <c r="G34" s="14">
        <v>8.0097977771146887E-7</v>
      </c>
      <c r="H34" s="14">
        <v>119.17716877715327</v>
      </c>
      <c r="I34" s="14">
        <v>240.68567043375774</v>
      </c>
      <c r="J34" s="14">
        <v>0</v>
      </c>
      <c r="K34" s="14">
        <v>5.7483994091089139</v>
      </c>
      <c r="L34" s="14">
        <v>0.17396146802454263</v>
      </c>
      <c r="M34" s="14">
        <v>0.14273538451413723</v>
      </c>
      <c r="N34" s="14">
        <v>13.664747748534356</v>
      </c>
      <c r="O34" s="14">
        <v>2408.4117906791803</v>
      </c>
      <c r="P34" s="8">
        <v>13.664747748534358</v>
      </c>
      <c r="Q34" s="54">
        <v>0.20933904312292184</v>
      </c>
    </row>
    <row r="35" spans="1:17">
      <c r="A35" s="2" t="s">
        <v>349</v>
      </c>
      <c r="B35" s="16" t="s">
        <v>350</v>
      </c>
      <c r="D35" s="14">
        <v>1</v>
      </c>
      <c r="E35" s="14">
        <v>0.83394442046834205</v>
      </c>
      <c r="F35" s="14">
        <v>2.0705326899067254E-2</v>
      </c>
      <c r="G35" s="14">
        <v>1.4640320333625463E-4</v>
      </c>
      <c r="H35" s="14">
        <v>195.93954336905398</v>
      </c>
      <c r="I35" s="14">
        <v>326.12137322625966</v>
      </c>
      <c r="J35" s="14">
        <v>0</v>
      </c>
      <c r="K35" s="14">
        <v>48.296750149114942</v>
      </c>
      <c r="L35" s="14">
        <v>2.0705326899067254E-2</v>
      </c>
      <c r="M35" s="14">
        <v>1.6988720720684681E-2</v>
      </c>
      <c r="N35" s="14">
        <v>18.674760671136887</v>
      </c>
      <c r="O35" s="14">
        <v>3591.1564770596233</v>
      </c>
      <c r="P35" s="8">
        <v>18.674760671136887</v>
      </c>
      <c r="Q35" s="54">
        <v>9.7899226930924274E-2</v>
      </c>
    </row>
    <row r="36" spans="1:17">
      <c r="A36" s="2" t="s">
        <v>351</v>
      </c>
      <c r="B36" s="16" t="s">
        <v>352</v>
      </c>
      <c r="D36" s="14">
        <v>1</v>
      </c>
      <c r="E36" s="14">
        <v>0.86543386070350303</v>
      </c>
      <c r="F36" s="14">
        <v>4.585351214911537E-3</v>
      </c>
      <c r="G36" s="14">
        <v>3.9516738563026083E-6</v>
      </c>
      <c r="H36" s="14">
        <v>167.39890238933768</v>
      </c>
      <c r="I36" s="14">
        <v>715.50022856611065</v>
      </c>
      <c r="J36" s="14">
        <v>0</v>
      </c>
      <c r="K36" s="14">
        <v>218.0858026203108</v>
      </c>
      <c r="L36" s="14">
        <v>4.5853512149115379E-3</v>
      </c>
      <c r="M36" s="14">
        <v>3.7622806718349165E-3</v>
      </c>
      <c r="N36" s="14">
        <v>41.669151431697678</v>
      </c>
      <c r="O36" s="14">
        <v>9265.9692038666126</v>
      </c>
      <c r="P36" s="8">
        <v>41.669151431697678</v>
      </c>
      <c r="Q36" s="54">
        <v>7.8778875407478854E-2</v>
      </c>
    </row>
    <row r="37" spans="1:17">
      <c r="A37" s="2" t="s">
        <v>353</v>
      </c>
      <c r="B37" s="16" t="s">
        <v>354</v>
      </c>
      <c r="D37" s="14">
        <v>1</v>
      </c>
      <c r="E37" s="14">
        <v>0.87440840612031523</v>
      </c>
      <c r="F37" s="14">
        <v>7.0175044629468102E-4</v>
      </c>
      <c r="G37" s="14">
        <v>2.682941388552372E-5</v>
      </c>
      <c r="H37" s="14">
        <v>70.547673697023811</v>
      </c>
      <c r="I37" s="14">
        <v>1646.0380427430312</v>
      </c>
      <c r="J37" s="14">
        <v>0</v>
      </c>
      <c r="K37" s="14">
        <v>1425.0080000377759</v>
      </c>
      <c r="L37" s="14">
        <v>7.0175044629468102E-4</v>
      </c>
      <c r="M37" s="14">
        <v>5.757862411847858E-4</v>
      </c>
      <c r="N37" s="14">
        <v>97.895430242397566</v>
      </c>
      <c r="O37" s="14">
        <v>23141.500755000357</v>
      </c>
      <c r="P37" s="8">
        <v>97.895430242397566</v>
      </c>
      <c r="Q37" s="54">
        <v>5.5391084501521991E-2</v>
      </c>
    </row>
    <row r="38" spans="1:17">
      <c r="A38" s="2" t="s">
        <v>355</v>
      </c>
      <c r="B38" s="16" t="s">
        <v>356</v>
      </c>
      <c r="D38" s="14">
        <v>1</v>
      </c>
      <c r="E38" s="14">
        <v>0.8633647662992987</v>
      </c>
      <c r="F38" s="14">
        <v>2.5197263972307035E-3</v>
      </c>
      <c r="G38" s="14">
        <v>1.4766646332255756E-6</v>
      </c>
      <c r="H38" s="14">
        <v>132.32849882974935</v>
      </c>
      <c r="I38" s="14">
        <v>1040.1849276864866</v>
      </c>
      <c r="J38" s="14">
        <v>0</v>
      </c>
      <c r="K38" s="14">
        <v>396.86848583998903</v>
      </c>
      <c r="L38" s="14">
        <v>2.5197263972307035E-3</v>
      </c>
      <c r="M38" s="14">
        <v>2.0674355089277925E-3</v>
      </c>
      <c r="N38" s="14">
        <v>61.033781501288637</v>
      </c>
      <c r="O38" s="14">
        <v>15771.129139932984</v>
      </c>
      <c r="P38" s="8">
        <v>61.033781501288644</v>
      </c>
      <c r="Q38" s="54">
        <v>7.4835998315889593E-2</v>
      </c>
    </row>
    <row r="39" spans="1:17">
      <c r="A39" s="2" t="s">
        <v>357</v>
      </c>
      <c r="B39" s="16" t="s">
        <v>358</v>
      </c>
      <c r="D39" s="14">
        <v>1</v>
      </c>
      <c r="E39" s="14">
        <v>0.84111681853174047</v>
      </c>
      <c r="F39" s="14">
        <v>3.7921920344191145E-3</v>
      </c>
      <c r="G39" s="14">
        <v>2.9855119188982172E-4</v>
      </c>
      <c r="H39" s="14">
        <v>153.59968379522326</v>
      </c>
      <c r="I39" s="14">
        <v>781.35337503588141</v>
      </c>
      <c r="J39" s="14">
        <v>0</v>
      </c>
      <c r="K39" s="14">
        <v>263.69972589037923</v>
      </c>
      <c r="L39" s="14">
        <v>3.7921920344191145E-3</v>
      </c>
      <c r="M39" s="14">
        <v>3.1114935642408835E-3</v>
      </c>
      <c r="N39" s="14">
        <v>45.601475055446883</v>
      </c>
      <c r="O39" s="14">
        <v>10779.732688357088</v>
      </c>
      <c r="P39" s="8">
        <v>45.601475055446883</v>
      </c>
      <c r="Q39" s="54">
        <v>7.6181144405549295E-2</v>
      </c>
    </row>
    <row r="40" spans="1:17">
      <c r="A40" s="2" t="s">
        <v>359</v>
      </c>
      <c r="B40" s="16" t="s">
        <v>360</v>
      </c>
      <c r="D40" s="14">
        <v>1</v>
      </c>
      <c r="E40" s="14">
        <v>0.8633647662992987</v>
      </c>
      <c r="F40" s="14">
        <v>2.5197263972307035E-3</v>
      </c>
      <c r="G40" s="14">
        <v>1.4766646332255756E-6</v>
      </c>
      <c r="H40" s="14">
        <v>132.32849882974935</v>
      </c>
      <c r="I40" s="14">
        <v>1040.1849276864866</v>
      </c>
      <c r="J40" s="14">
        <v>0</v>
      </c>
      <c r="K40" s="14">
        <v>396.86848583998903</v>
      </c>
      <c r="L40" s="14">
        <v>2.5197263972307035E-3</v>
      </c>
      <c r="M40" s="14">
        <v>2.0674355089277925E-3</v>
      </c>
      <c r="N40" s="14">
        <v>61.033781501288637</v>
      </c>
      <c r="O40" s="14">
        <v>15771.129139932984</v>
      </c>
      <c r="P40" s="8">
        <v>61.033781501288644</v>
      </c>
      <c r="Q40" s="54">
        <v>7.4835998315889593E-2</v>
      </c>
    </row>
    <row r="41" spans="1:17">
      <c r="A41" s="2" t="s">
        <v>313</v>
      </c>
      <c r="B41" s="16" t="s">
        <v>314</v>
      </c>
      <c r="D41" s="14">
        <v>1</v>
      </c>
      <c r="E41" s="14">
        <v>0.99941922649031523</v>
      </c>
      <c r="F41" s="14">
        <v>0.95761587138456183</v>
      </c>
      <c r="G41" s="14">
        <v>6.2333600717204873E-10</v>
      </c>
      <c r="H41" s="14">
        <v>12.939316482342459</v>
      </c>
      <c r="I41" s="14">
        <v>2.8509756013501159E-2</v>
      </c>
      <c r="J41" s="14">
        <v>0</v>
      </c>
      <c r="K41" s="14">
        <v>1.0442600523675085</v>
      </c>
      <c r="L41" s="14">
        <v>0.95761587138456195</v>
      </c>
      <c r="M41" s="14">
        <v>0.78572382247103312</v>
      </c>
      <c r="N41" s="14">
        <v>0.9534795480282543</v>
      </c>
      <c r="O41" s="14">
        <v>175.54511958748191</v>
      </c>
      <c r="P41" s="8">
        <v>0.9534795480282543</v>
      </c>
      <c r="Q41" s="54">
        <v>1.2167279950882035E-4</v>
      </c>
    </row>
    <row r="42" spans="1:17">
      <c r="A42" s="2" t="s">
        <v>315</v>
      </c>
      <c r="B42" s="16" t="s">
        <v>316</v>
      </c>
      <c r="D42" s="14">
        <v>1</v>
      </c>
      <c r="E42" s="14">
        <v>0.87486801871214859</v>
      </c>
      <c r="F42" s="14">
        <v>6.3806020419783299E-4</v>
      </c>
      <c r="G42" s="14">
        <v>3.8689235328628066E-5</v>
      </c>
      <c r="H42" s="14">
        <v>66.982547159940196</v>
      </c>
      <c r="I42" s="14">
        <v>1680.4238210376768</v>
      </c>
      <c r="J42" s="14">
        <v>0</v>
      </c>
      <c r="K42" s="14">
        <v>1567.2502272057484</v>
      </c>
      <c r="L42" s="14">
        <v>6.3806020419783299E-4</v>
      </c>
      <c r="M42" s="14">
        <v>5.23528397544322E-4</v>
      </c>
      <c r="N42" s="14">
        <v>100.03076151612649</v>
      </c>
      <c r="O42" s="14">
        <v>36502.225184849718</v>
      </c>
      <c r="P42" s="8">
        <v>100.03076151612649</v>
      </c>
      <c r="Q42" s="54">
        <v>5.3754995433263661E-2</v>
      </c>
    </row>
    <row r="43" spans="1:17">
      <c r="A43" s="2" t="s">
        <v>317</v>
      </c>
      <c r="B43" s="16" t="s">
        <v>318</v>
      </c>
      <c r="D43" s="14">
        <v>1</v>
      </c>
      <c r="E43" s="14">
        <v>0.66297471595884361</v>
      </c>
      <c r="F43" s="14">
        <v>0.35397537744249968</v>
      </c>
      <c r="G43" s="14">
        <v>4.8887917880009766E-14</v>
      </c>
      <c r="H43" s="14">
        <v>71.215258248841209</v>
      </c>
      <c r="I43" s="14">
        <v>157.40924080274445</v>
      </c>
      <c r="J43" s="14">
        <v>0</v>
      </c>
      <c r="K43" s="14">
        <v>2.825055254478658</v>
      </c>
      <c r="L43" s="14">
        <v>0.35397537744249968</v>
      </c>
      <c r="M43" s="14">
        <v>0.29043679719157101</v>
      </c>
      <c r="N43" s="14">
        <v>9.0686191462066503</v>
      </c>
      <c r="O43" s="14">
        <v>2877.6542274742942</v>
      </c>
      <c r="P43" s="8">
        <v>9.0686191462066503</v>
      </c>
      <c r="Q43" s="54">
        <v>0.22492111319686109</v>
      </c>
    </row>
    <row r="44" spans="1:17">
      <c r="A44" s="2" t="s">
        <v>307</v>
      </c>
      <c r="B44" s="16" t="s">
        <v>308</v>
      </c>
      <c r="D44" s="14">
        <v>1</v>
      </c>
      <c r="E44" s="14">
        <v>0.8719223742312765</v>
      </c>
      <c r="F44" s="14">
        <v>6.8862988228830281E-3</v>
      </c>
      <c r="G44" s="14">
        <v>1.322739589567965E-6</v>
      </c>
      <c r="H44" s="14">
        <v>190.56619583216946</v>
      </c>
      <c r="I44" s="14">
        <v>512.03899352584097</v>
      </c>
      <c r="J44" s="14">
        <v>0</v>
      </c>
      <c r="K44" s="14">
        <v>145.21588820354714</v>
      </c>
      <c r="L44" s="14">
        <v>6.8862988228830281E-3</v>
      </c>
      <c r="M44" s="14">
        <v>5.650208184175525E-3</v>
      </c>
      <c r="N44" s="14">
        <v>29.652342866732074</v>
      </c>
      <c r="O44" s="14">
        <v>10395.814885647596</v>
      </c>
      <c r="P44" s="8">
        <v>29.652342866732074</v>
      </c>
      <c r="Q44" s="54">
        <v>7.7965601761103578E-2</v>
      </c>
    </row>
    <row r="45" spans="1:17">
      <c r="A45" s="2" t="s">
        <v>319</v>
      </c>
      <c r="B45" s="16" t="s">
        <v>320</v>
      </c>
      <c r="D45" s="14">
        <v>1</v>
      </c>
      <c r="E45" s="14">
        <v>0.89012442940452285</v>
      </c>
      <c r="F45" s="14">
        <v>2.8577507866130723E-4</v>
      </c>
      <c r="G45" s="14">
        <v>1.2624460872713179E-7</v>
      </c>
      <c r="H45" s="14">
        <v>42.784292329200902</v>
      </c>
      <c r="I45" s="14">
        <v>1945.5460901588626</v>
      </c>
      <c r="J45" s="14">
        <v>0</v>
      </c>
      <c r="K45" s="14">
        <v>3499.2554448219489</v>
      </c>
      <c r="L45" s="14">
        <v>2.8577507866130723E-4</v>
      </c>
      <c r="M45" s="14">
        <v>2.3447845204160257E-4</v>
      </c>
      <c r="N45" s="14">
        <v>116.67475091981979</v>
      </c>
      <c r="O45" s="14">
        <v>41360.032453566921</v>
      </c>
      <c r="P45" s="8">
        <v>116.6747509198198</v>
      </c>
      <c r="Q45" s="54">
        <v>4.1081048906198035E-2</v>
      </c>
    </row>
    <row r="46" spans="1:17">
      <c r="A46" s="2" t="s">
        <v>321</v>
      </c>
      <c r="B46" s="16" t="s">
        <v>322</v>
      </c>
      <c r="D46" s="14">
        <v>1</v>
      </c>
      <c r="E46" s="14">
        <v>0.87963345207056265</v>
      </c>
      <c r="F46" s="14">
        <v>5.7117064898562573E-4</v>
      </c>
      <c r="G46" s="14">
        <v>1.8614628349597466E-7</v>
      </c>
      <c r="H46" s="14">
        <v>63.157638343623461</v>
      </c>
      <c r="I46" s="14">
        <v>1728.5544034869217</v>
      </c>
      <c r="J46" s="14">
        <v>0</v>
      </c>
      <c r="K46" s="14">
        <v>1750.790244169508</v>
      </c>
      <c r="L46" s="14">
        <v>5.7117064898562573E-4</v>
      </c>
      <c r="M46" s="14">
        <v>4.6864551749270592E-4</v>
      </c>
      <c r="N46" s="14">
        <v>103.00744218761497</v>
      </c>
      <c r="O46" s="14">
        <v>36515.108181087635</v>
      </c>
      <c r="P46" s="8">
        <v>103.00744218761498</v>
      </c>
      <c r="Q46" s="54">
        <v>5.2033501605459109E-2</v>
      </c>
    </row>
    <row r="47" spans="1:17">
      <c r="A47" s="2" t="s">
        <v>323</v>
      </c>
      <c r="B47" s="16" t="s">
        <v>324</v>
      </c>
      <c r="D47" s="14">
        <v>1</v>
      </c>
      <c r="E47" s="14">
        <v>0.86842046061212397</v>
      </c>
      <c r="F47" s="14">
        <v>1.2736902688176923E-3</v>
      </c>
      <c r="G47" s="14">
        <v>1.759998584124855E-6</v>
      </c>
      <c r="H47" s="14">
        <v>96.224094015878734</v>
      </c>
      <c r="I47" s="14">
        <v>1391.0444297683748</v>
      </c>
      <c r="J47" s="14">
        <v>0</v>
      </c>
      <c r="K47" s="14">
        <v>785.12023251010123</v>
      </c>
      <c r="L47" s="14">
        <v>1.2736902688176923E-3</v>
      </c>
      <c r="M47" s="14">
        <v>1.0450628655649166E-3</v>
      </c>
      <c r="N47" s="14">
        <v>82.239162630193519</v>
      </c>
      <c r="O47" s="14">
        <v>26319.821608167134</v>
      </c>
      <c r="P47" s="8">
        <v>82.239162630193519</v>
      </c>
      <c r="Q47" s="54">
        <v>6.5394466567170947E-2</v>
      </c>
    </row>
    <row r="48" spans="1:17">
      <c r="A48" s="2" t="s">
        <v>325</v>
      </c>
      <c r="B48" s="16" t="s">
        <v>326</v>
      </c>
      <c r="D48" s="14">
        <v>1</v>
      </c>
      <c r="E48" s="14">
        <v>0.77034228250578973</v>
      </c>
      <c r="F48" s="14">
        <v>5.9300987414743003E-2</v>
      </c>
      <c r="G48" s="14">
        <v>1.1211156433964185E-6</v>
      </c>
      <c r="H48" s="14">
        <v>168.97479367230844</v>
      </c>
      <c r="I48" s="14">
        <v>307.24094737824851</v>
      </c>
      <c r="J48" s="14">
        <v>0</v>
      </c>
      <c r="K48" s="14">
        <v>16.86312561722011</v>
      </c>
      <c r="L48" s="14">
        <v>5.9300987414743003E-2</v>
      </c>
      <c r="M48" s="14">
        <v>4.8656460173796635E-2</v>
      </c>
      <c r="N48" s="14">
        <v>17.47813963649152</v>
      </c>
      <c r="O48" s="14">
        <v>5319.471798366194</v>
      </c>
      <c r="P48" s="8">
        <v>17.47813963649152</v>
      </c>
      <c r="Q48" s="54">
        <v>0.14999579894631024</v>
      </c>
    </row>
    <row r="49" spans="1:17">
      <c r="A49" s="2" t="s">
        <v>275</v>
      </c>
      <c r="B49" s="16" t="s">
        <v>276</v>
      </c>
      <c r="D49" s="14">
        <v>1</v>
      </c>
      <c r="E49" s="14">
        <v>0.87059646556541059</v>
      </c>
      <c r="F49" s="14">
        <v>6.400434185176951E-3</v>
      </c>
      <c r="G49" s="14">
        <v>1.6984701700515627E-8</v>
      </c>
      <c r="H49" s="14">
        <v>186.56468369184623</v>
      </c>
      <c r="I49" s="14">
        <v>546.87315718807736</v>
      </c>
      <c r="J49" s="14">
        <v>0</v>
      </c>
      <c r="K49" s="14">
        <v>156.23940049503895</v>
      </c>
      <c r="L49" s="14">
        <v>6.4004341851769519E-3</v>
      </c>
      <c r="M49" s="14">
        <v>5.2515562489376891E-3</v>
      </c>
      <c r="N49" s="14">
        <v>31.702874604676587</v>
      </c>
      <c r="O49" s="14">
        <v>11745.598012286629</v>
      </c>
      <c r="P49" s="8">
        <v>31.702874604676587</v>
      </c>
      <c r="Q49" s="54">
        <v>7.8358588972293822E-2</v>
      </c>
    </row>
    <row r="50" spans="1:17">
      <c r="A50" s="2" t="s">
        <v>327</v>
      </c>
      <c r="B50" s="16" t="s">
        <v>328</v>
      </c>
      <c r="D50" s="14">
        <v>1</v>
      </c>
      <c r="E50" s="14">
        <v>0.86838933251002215</v>
      </c>
      <c r="F50" s="14">
        <v>5.6477055690335436E-3</v>
      </c>
      <c r="G50" s="14">
        <v>8.8373190680299466E-7</v>
      </c>
      <c r="H50" s="14">
        <v>179.51140564384437</v>
      </c>
      <c r="I50" s="14">
        <v>608.34398510283393</v>
      </c>
      <c r="J50" s="14">
        <v>0</v>
      </c>
      <c r="K50" s="14">
        <v>177.06305468242101</v>
      </c>
      <c r="L50" s="14">
        <v>5.6477055690335436E-3</v>
      </c>
      <c r="M50" s="14">
        <v>4.6339424193920222E-3</v>
      </c>
      <c r="N50" s="14">
        <v>35.32847502637464</v>
      </c>
      <c r="O50" s="14">
        <v>13456.969422296364</v>
      </c>
      <c r="P50" s="8">
        <v>35.32847502637464</v>
      </c>
      <c r="Q50" s="54">
        <v>7.876789117241953E-2</v>
      </c>
    </row>
    <row r="51" spans="1:17">
      <c r="A51" s="2" t="s">
        <v>329</v>
      </c>
      <c r="B51" s="16" t="s">
        <v>330</v>
      </c>
      <c r="D51" s="14">
        <v>1</v>
      </c>
      <c r="E51" s="14">
        <v>0.80477655477095011</v>
      </c>
      <c r="F51" s="14">
        <v>3.80541087447041E-2</v>
      </c>
      <c r="G51" s="14">
        <v>5.8647572740508202E-7</v>
      </c>
      <c r="H51" s="14">
        <v>183.32494142296719</v>
      </c>
      <c r="I51" s="14">
        <v>320.68505858212819</v>
      </c>
      <c r="J51" s="14">
        <v>0</v>
      </c>
      <c r="K51" s="14">
        <v>26.278371324073319</v>
      </c>
      <c r="L51" s="14">
        <v>3.80541087447041E-2</v>
      </c>
      <c r="M51" s="14">
        <v>3.1223396225029718E-2</v>
      </c>
      <c r="N51" s="14">
        <v>18.290535694694942</v>
      </c>
      <c r="O51" s="14">
        <v>5018.9229946242913</v>
      </c>
      <c r="P51" s="8">
        <v>18.290535694694942</v>
      </c>
      <c r="Q51" s="54">
        <v>0.12655483025972294</v>
      </c>
    </row>
    <row r="52" spans="1:17">
      <c r="A52" s="2" t="s">
        <v>277</v>
      </c>
      <c r="B52" s="16" t="s">
        <v>278</v>
      </c>
      <c r="D52" s="14">
        <v>1</v>
      </c>
      <c r="E52" s="14">
        <v>0.77363797351613461</v>
      </c>
      <c r="F52" s="14">
        <v>5.689401249230247E-2</v>
      </c>
      <c r="G52" s="14">
        <v>1.7449181155754113E-6</v>
      </c>
      <c r="H52" s="14">
        <v>170.43020398126873</v>
      </c>
      <c r="I52" s="14">
        <v>308.7477025116745</v>
      </c>
      <c r="J52" s="14">
        <v>0</v>
      </c>
      <c r="K52" s="14">
        <v>17.576541997899973</v>
      </c>
      <c r="L52" s="14">
        <v>5.689401249230247E-2</v>
      </c>
      <c r="M52" s="14">
        <v>4.668153724993418E-2</v>
      </c>
      <c r="N52" s="14">
        <v>17.567761594366189</v>
      </c>
      <c r="O52" s="14">
        <v>7148.8492255954334</v>
      </c>
      <c r="P52" s="8">
        <v>17.567761594366189</v>
      </c>
      <c r="Q52" s="54">
        <v>0.14770790368908526</v>
      </c>
    </row>
    <row r="53" spans="1:17">
      <c r="A53" s="2" t="s">
        <v>331</v>
      </c>
      <c r="B53" s="16" t="s">
        <v>332</v>
      </c>
      <c r="D53" s="14">
        <v>1</v>
      </c>
      <c r="E53" s="14">
        <v>0.86403682181056007</v>
      </c>
      <c r="F53" s="14">
        <v>3.7373990275114742E-3</v>
      </c>
      <c r="G53" s="14">
        <v>5.8732428132585745E-7</v>
      </c>
      <c r="H53" s="14">
        <v>155.36366880684571</v>
      </c>
      <c r="I53" s="14">
        <v>825.48015876160935</v>
      </c>
      <c r="J53" s="14">
        <v>0</v>
      </c>
      <c r="K53" s="14">
        <v>267.56575699808116</v>
      </c>
      <c r="L53" s="14">
        <v>3.7373990275114742E-3</v>
      </c>
      <c r="M53" s="14">
        <v>3.0665359020731649E-3</v>
      </c>
      <c r="N53" s="14">
        <v>48.202567237439474</v>
      </c>
      <c r="O53" s="14">
        <v>18360.839886413072</v>
      </c>
      <c r="P53" s="8">
        <v>48.202567237439482</v>
      </c>
      <c r="Q53" s="54">
        <v>7.8074037515967448E-2</v>
      </c>
    </row>
    <row r="54" spans="1:17">
      <c r="A54" s="2" t="s">
        <v>333</v>
      </c>
      <c r="B54" s="16" t="s">
        <v>334</v>
      </c>
      <c r="D54" s="14">
        <v>1</v>
      </c>
      <c r="E54" s="14">
        <v>0.86948862428047158</v>
      </c>
      <c r="F54" s="14">
        <v>6.0153312511748176E-3</v>
      </c>
      <c r="G54" s="14">
        <v>9.6251617311265356E-10</v>
      </c>
      <c r="H54" s="14">
        <v>183.09629148091523</v>
      </c>
      <c r="I54" s="14">
        <v>577.08092434261653</v>
      </c>
      <c r="J54" s="14">
        <v>0</v>
      </c>
      <c r="K54" s="14">
        <v>166.24188398680391</v>
      </c>
      <c r="L54" s="14">
        <v>6.0153312511748176E-3</v>
      </c>
      <c r="M54" s="14">
        <v>4.9355792915889377E-3</v>
      </c>
      <c r="N54" s="14">
        <v>33.483439409535805</v>
      </c>
      <c r="O54" s="14">
        <v>12873.712784178328</v>
      </c>
      <c r="P54" s="8">
        <v>33.483439409535812</v>
      </c>
      <c r="Q54" s="54">
        <v>7.8602565065220731E-2</v>
      </c>
    </row>
    <row r="55" spans="1:17">
      <c r="A55" s="2" t="s">
        <v>335</v>
      </c>
      <c r="B55" s="16" t="s">
        <v>336</v>
      </c>
      <c r="D55" s="14">
        <v>1</v>
      </c>
      <c r="E55" s="14">
        <v>0.8678115775939037</v>
      </c>
      <c r="F55" s="14">
        <v>1.317934372459759E-3</v>
      </c>
      <c r="G55" s="14">
        <v>4.573221877985351E-6</v>
      </c>
      <c r="H55" s="14">
        <v>97.857425255627078</v>
      </c>
      <c r="I55" s="14">
        <v>1374.2032000984295</v>
      </c>
      <c r="J55" s="14">
        <v>0</v>
      </c>
      <c r="K55" s="14">
        <v>758.76312272941607</v>
      </c>
      <c r="L55" s="14">
        <v>1.317934372459759E-3</v>
      </c>
      <c r="M55" s="14">
        <v>1.0813651526032323E-3</v>
      </c>
      <c r="N55" s="14">
        <v>81.214242906342093</v>
      </c>
      <c r="O55" s="14">
        <v>30318.901161795631</v>
      </c>
      <c r="P55" s="8">
        <v>81.214242906342093</v>
      </c>
      <c r="Q55" s="54">
        <v>6.5925124031079516E-2</v>
      </c>
    </row>
    <row r="56" spans="1:17">
      <c r="A56" s="2" t="s">
        <v>337</v>
      </c>
      <c r="B56" s="16" t="s">
        <v>338</v>
      </c>
      <c r="D56" s="14">
        <v>1</v>
      </c>
      <c r="E56" s="14">
        <v>0.87151205105144025</v>
      </c>
      <c r="F56" s="14">
        <v>6.7216529956954686E-3</v>
      </c>
      <c r="G56" s="14">
        <v>3.396914188337294E-7</v>
      </c>
      <c r="H56" s="14">
        <v>189.25880270927479</v>
      </c>
      <c r="I56" s="14">
        <v>523.49586919860747</v>
      </c>
      <c r="J56" s="14">
        <v>0</v>
      </c>
      <c r="K56" s="14">
        <v>148.77292842108895</v>
      </c>
      <c r="L56" s="14">
        <v>6.7216529956954686E-3</v>
      </c>
      <c r="M56" s="14">
        <v>5.515116282968132E-3</v>
      </c>
      <c r="N56" s="14">
        <v>30.326414129144766</v>
      </c>
      <c r="O56" s="14">
        <v>11806.679548758641</v>
      </c>
      <c r="P56" s="8">
        <v>30.326414129144766</v>
      </c>
      <c r="Q56" s="54">
        <v>7.8111190880971182E-2</v>
      </c>
    </row>
    <row r="57" spans="1:17">
      <c r="A57" s="2" t="s">
        <v>279</v>
      </c>
      <c r="B57" s="16" t="s">
        <v>280</v>
      </c>
      <c r="D57" s="14">
        <v>1</v>
      </c>
      <c r="E57" s="14">
        <v>0.7530664167379939</v>
      </c>
      <c r="F57" s="14">
        <v>7.1047472706117568E-2</v>
      </c>
      <c r="G57" s="14">
        <v>3.3697456514603036E-5</v>
      </c>
      <c r="H57" s="14">
        <v>161.64736658146438</v>
      </c>
      <c r="I57" s="14">
        <v>298.83110768223577</v>
      </c>
      <c r="J57" s="14">
        <v>0</v>
      </c>
      <c r="K57" s="14">
        <v>14.075096015539124</v>
      </c>
      <c r="L57" s="14">
        <v>7.1047472706117568E-2</v>
      </c>
      <c r="M57" s="14">
        <v>5.829445135536946E-2</v>
      </c>
      <c r="N57" s="14">
        <v>16.984150224616521</v>
      </c>
      <c r="O57" s="14">
        <v>4939.500409825223</v>
      </c>
      <c r="P57" s="8">
        <v>16.984150224616521</v>
      </c>
      <c r="Q57" s="54">
        <v>0.15981804162991331</v>
      </c>
    </row>
    <row r="58" spans="1:17">
      <c r="A58" s="2" t="s">
        <v>339</v>
      </c>
      <c r="B58" s="16" t="s">
        <v>340</v>
      </c>
      <c r="D58" s="14">
        <v>1</v>
      </c>
      <c r="E58" s="14">
        <v>0.86927592672154985</v>
      </c>
      <c r="F58" s="14">
        <v>5.9404789536181956E-3</v>
      </c>
      <c r="G58" s="14">
        <v>3.3731056903246615E-9</v>
      </c>
      <c r="H58" s="14">
        <v>182.390184044226</v>
      </c>
      <c r="I58" s="14">
        <v>583.25521734178869</v>
      </c>
      <c r="J58" s="14">
        <v>0</v>
      </c>
      <c r="K58" s="14">
        <v>168.33659504692383</v>
      </c>
      <c r="L58" s="14">
        <v>5.9404789536181956E-3</v>
      </c>
      <c r="M58" s="14">
        <v>4.8741629814437297E-3</v>
      </c>
      <c r="N58" s="14">
        <v>33.847637671254709</v>
      </c>
      <c r="O58" s="14">
        <v>11699.43596106919</v>
      </c>
      <c r="P58" s="8">
        <v>33.847637671254709</v>
      </c>
      <c r="Q58" s="54">
        <v>7.8642739266982467E-2</v>
      </c>
    </row>
    <row r="59" spans="1:17">
      <c r="A59" s="2" t="s">
        <v>281</v>
      </c>
      <c r="B59" s="16" t="s">
        <v>282</v>
      </c>
      <c r="D59" s="14">
        <v>1</v>
      </c>
      <c r="E59" s="14">
        <v>0.77374109251890477</v>
      </c>
      <c r="F59" s="14">
        <v>5.6901595953860247E-2</v>
      </c>
      <c r="G59" s="14">
        <v>2.6413924684314618E-7</v>
      </c>
      <c r="H59" s="14">
        <v>170.4529207987959</v>
      </c>
      <c r="I59" s="14">
        <v>308.78885581112525</v>
      </c>
      <c r="J59" s="14">
        <v>0</v>
      </c>
      <c r="K59" s="14">
        <v>17.574199514735387</v>
      </c>
      <c r="L59" s="14">
        <v>5.6901595953860254E-2</v>
      </c>
      <c r="M59" s="14">
        <v>4.6687759480142338E-2</v>
      </c>
      <c r="N59" s="14">
        <v>17.570103219413728</v>
      </c>
      <c r="O59" s="14">
        <v>5117.4682636864427</v>
      </c>
      <c r="P59" s="8">
        <v>17.570103219413731</v>
      </c>
      <c r="Q59" s="54">
        <v>0.1477275918277898</v>
      </c>
    </row>
    <row r="60" spans="1:17">
      <c r="A60" s="2" t="s">
        <v>341</v>
      </c>
      <c r="B60" s="16" t="s">
        <v>342</v>
      </c>
      <c r="D60" s="14">
        <v>1</v>
      </c>
      <c r="E60" s="14">
        <v>0.8645866467942106</v>
      </c>
      <c r="F60" s="14">
        <v>4.2292794459298164E-3</v>
      </c>
      <c r="G60" s="14">
        <v>4.9207904301358037E-6</v>
      </c>
      <c r="H60" s="14">
        <v>162.63214187492429</v>
      </c>
      <c r="I60" s="14">
        <v>758.33928104878737</v>
      </c>
      <c r="J60" s="14">
        <v>0</v>
      </c>
      <c r="K60" s="14">
        <v>236.44689663682126</v>
      </c>
      <c r="L60" s="14">
        <v>4.2292794459298164E-3</v>
      </c>
      <c r="M60" s="14">
        <v>3.4701237853854146E-3</v>
      </c>
      <c r="N60" s="14">
        <v>44.211094488949328</v>
      </c>
      <c r="O60" s="14">
        <v>14823.09576025493</v>
      </c>
      <c r="P60" s="8">
        <v>44.211094488949328</v>
      </c>
      <c r="Q60" s="54">
        <v>7.8571230107660206E-2</v>
      </c>
    </row>
    <row r="61" spans="1:17">
      <c r="A61" s="2" t="s">
        <v>483</v>
      </c>
      <c r="B61" s="16" t="s">
        <v>484</v>
      </c>
      <c r="D61" s="14">
        <v>1</v>
      </c>
      <c r="E61" s="14">
        <v>0.79000667749912556</v>
      </c>
      <c r="F61" s="14">
        <v>0.27545008946400074</v>
      </c>
      <c r="G61" s="14">
        <v>8.3979047080395734E-16</v>
      </c>
      <c r="H61" s="14">
        <v>125.62186837006948</v>
      </c>
      <c r="I61" s="14">
        <v>193.79584471220755</v>
      </c>
      <c r="J61" s="14">
        <v>0</v>
      </c>
      <c r="K61" s="14">
        <v>3.6304217651404773</v>
      </c>
      <c r="L61" s="14">
        <v>0.27545008946400074</v>
      </c>
      <c r="M61" s="14">
        <v>0.22600679840521262</v>
      </c>
      <c r="N61" s="14">
        <v>38.463174868087115</v>
      </c>
      <c r="O61" s="14">
        <v>17921.916329785188</v>
      </c>
      <c r="P61" s="8">
        <v>38.463174868087115</v>
      </c>
      <c r="Q61" s="54">
        <v>0.13084118261293648</v>
      </c>
    </row>
    <row r="62" spans="1:17">
      <c r="A62" s="2" t="s">
        <v>485</v>
      </c>
      <c r="B62" s="16" t="s">
        <v>486</v>
      </c>
      <c r="D62" s="14">
        <v>1</v>
      </c>
      <c r="E62" s="14">
        <v>0.6797863000842026</v>
      </c>
      <c r="F62" s="14">
        <v>0.18592315944150561</v>
      </c>
      <c r="G62" s="14">
        <v>2.2712345107184918E-9</v>
      </c>
      <c r="H62" s="14">
        <v>115.24802479111496</v>
      </c>
      <c r="I62" s="14">
        <v>234.47182384843401</v>
      </c>
      <c r="J62" s="14">
        <v>0</v>
      </c>
      <c r="K62" s="14">
        <v>5.3785660861395588</v>
      </c>
      <c r="L62" s="14">
        <v>0.18592315944150561</v>
      </c>
      <c r="M62" s="14">
        <v>0.15254995232175536</v>
      </c>
      <c r="N62" s="14">
        <v>13.316876945608376</v>
      </c>
      <c r="O62" s="14">
        <v>4319.8617123859003</v>
      </c>
      <c r="P62" s="8">
        <v>13.316876945608376</v>
      </c>
      <c r="Q62" s="54">
        <v>0.21236877485158687</v>
      </c>
    </row>
    <row r="63" spans="1:17">
      <c r="A63" s="2" t="s">
        <v>487</v>
      </c>
      <c r="B63" s="16" t="s">
        <v>488</v>
      </c>
      <c r="D63" s="14">
        <v>1</v>
      </c>
      <c r="E63" s="14">
        <v>0.95724515697113011</v>
      </c>
      <c r="F63" s="14">
        <v>0.92478202720852976</v>
      </c>
      <c r="G63" s="14">
        <v>7.9380381783805082E-15</v>
      </c>
      <c r="H63" s="14">
        <v>9.0563811336703957</v>
      </c>
      <c r="I63" s="14">
        <v>11.064022728326835</v>
      </c>
      <c r="J63" s="14">
        <v>0</v>
      </c>
      <c r="K63" s="14">
        <v>1.0813358938414028</v>
      </c>
      <c r="L63" s="14">
        <v>0.92478202720852976</v>
      </c>
      <c r="M63" s="14">
        <v>0.75878365332459863</v>
      </c>
      <c r="N63" s="14">
        <v>6.6842199299047245</v>
      </c>
      <c r="O63" s="14">
        <v>2951.48415224873</v>
      </c>
      <c r="P63" s="8">
        <v>6.6842199299047245</v>
      </c>
      <c r="Q63" s="54">
        <v>2.6964542693877123E-2</v>
      </c>
    </row>
    <row r="64" spans="1:17">
      <c r="A64" s="2" t="s">
        <v>489</v>
      </c>
      <c r="B64" s="16" t="s">
        <v>490</v>
      </c>
      <c r="D64" s="14">
        <v>1</v>
      </c>
      <c r="E64" s="14">
        <v>0.99527653238878633</v>
      </c>
      <c r="F64" s="14">
        <v>0.98681461663112857</v>
      </c>
      <c r="G64" s="14">
        <v>1.4648385880704508E-16</v>
      </c>
      <c r="H64" s="14">
        <v>3.4555372075743263</v>
      </c>
      <c r="I64" s="14">
        <v>0.39724144211319279</v>
      </c>
      <c r="J64" s="14">
        <v>0</v>
      </c>
      <c r="K64" s="14">
        <v>1.0133615606686945</v>
      </c>
      <c r="L64" s="14">
        <v>0.98681461663112868</v>
      </c>
      <c r="M64" s="14">
        <v>0.80968139294584107</v>
      </c>
      <c r="N64" s="14">
        <v>0.9115654933585543</v>
      </c>
      <c r="O64" s="14">
        <v>365.92973599892446</v>
      </c>
      <c r="P64" s="8">
        <v>0.9115654933585543</v>
      </c>
      <c r="Q64" s="54">
        <v>2.929911820193322E-3</v>
      </c>
    </row>
    <row r="65" spans="1:17">
      <c r="A65" s="2" t="s">
        <v>491</v>
      </c>
      <c r="B65" s="16" t="s">
        <v>492</v>
      </c>
      <c r="D65" s="14">
        <v>1</v>
      </c>
      <c r="E65" s="14">
        <v>0.99748102853851717</v>
      </c>
      <c r="F65" s="14">
        <v>0.99971372745768516</v>
      </c>
      <c r="G65" s="14">
        <v>2.4426318462363938E-14</v>
      </c>
      <c r="H65" s="14">
        <v>0.45296178289821792</v>
      </c>
      <c r="I65" s="14">
        <v>0.18653773422082959</v>
      </c>
      <c r="J65" s="14">
        <v>0</v>
      </c>
      <c r="K65" s="14">
        <v>1.0002863545177505</v>
      </c>
      <c r="L65" s="14">
        <v>0.99971372745768528</v>
      </c>
      <c r="M65" s="14">
        <v>0.82026511337903074</v>
      </c>
      <c r="N65" s="14">
        <v>1.3865668934604209</v>
      </c>
      <c r="O65" s="14">
        <v>384.57819357018235</v>
      </c>
      <c r="P65" s="8">
        <v>1.3865668934604209</v>
      </c>
      <c r="Q65" s="54">
        <v>1.307214020721022E-3</v>
      </c>
    </row>
    <row r="66" spans="1:17">
      <c r="A66" s="2" t="s">
        <v>493</v>
      </c>
      <c r="B66" s="16" t="s">
        <v>494</v>
      </c>
      <c r="D66" s="14">
        <v>1</v>
      </c>
      <c r="E66" s="14">
        <v>0.9627718533058589</v>
      </c>
      <c r="F66" s="14">
        <v>0.7628695782383127</v>
      </c>
      <c r="G66" s="14">
        <v>3.1485273477300664E-13</v>
      </c>
      <c r="H66" s="14">
        <v>56.251735268632281</v>
      </c>
      <c r="I66" s="14">
        <v>13.053001216301617</v>
      </c>
      <c r="J66" s="14">
        <v>0</v>
      </c>
      <c r="K66" s="14">
        <v>1.3108400551366723</v>
      </c>
      <c r="L66" s="14">
        <v>0.76286957823831281</v>
      </c>
      <c r="M66" s="14">
        <v>0.62593448894453563</v>
      </c>
      <c r="N66" s="14">
        <v>48.061689207077798</v>
      </c>
      <c r="O66" s="14">
        <v>15592.173212560179</v>
      </c>
      <c r="P66" s="8">
        <v>48.061689207077798</v>
      </c>
      <c r="Q66" s="54">
        <v>1.1503510109211426E-2</v>
      </c>
    </row>
    <row r="67" spans="1:17">
      <c r="A67" s="2" t="s">
        <v>495</v>
      </c>
      <c r="B67" s="16" t="s">
        <v>496</v>
      </c>
      <c r="D67" s="14">
        <v>1</v>
      </c>
      <c r="E67" s="14">
        <v>0.99727666175017293</v>
      </c>
      <c r="F67" s="14">
        <v>0.99975674052221541</v>
      </c>
      <c r="G67" s="14">
        <v>1.9082832107734498E-14</v>
      </c>
      <c r="H67" s="14">
        <v>0.38196545876197652</v>
      </c>
      <c r="I67" s="14">
        <v>0.19333061868713572</v>
      </c>
      <c r="J67" s="14">
        <v>0</v>
      </c>
      <c r="K67" s="14">
        <v>1.0002433186673565</v>
      </c>
      <c r="L67" s="14">
        <v>0.99975674052221553</v>
      </c>
      <c r="M67" s="14">
        <v>0.82030040559847783</v>
      </c>
      <c r="N67" s="14">
        <v>1.2991528120800404</v>
      </c>
      <c r="O67" s="14">
        <v>407.18047436212629</v>
      </c>
      <c r="P67" s="8">
        <v>1.2991528120800406</v>
      </c>
      <c r="Q67" s="54">
        <v>1.4699434952493199E-3</v>
      </c>
    </row>
    <row r="68" spans="1:17">
      <c r="A68" s="2" t="s">
        <v>497</v>
      </c>
      <c r="B68" s="16" t="s">
        <v>498</v>
      </c>
      <c r="D68" s="14">
        <v>1</v>
      </c>
      <c r="E68" s="14">
        <v>0.99872991991779925</v>
      </c>
      <c r="F68" s="14">
        <v>1.002465594365183</v>
      </c>
      <c r="G68" s="14">
        <v>1.7275146470048381E-13</v>
      </c>
      <c r="H68" s="14">
        <v>4.5473255206086145E-2</v>
      </c>
      <c r="I68" s="14">
        <v>3.2485064664155426E-2</v>
      </c>
      <c r="J68" s="14">
        <v>0</v>
      </c>
      <c r="K68" s="14">
        <v>0.99754046983852407</v>
      </c>
      <c r="L68" s="14">
        <v>1.002465594365183</v>
      </c>
      <c r="M68" s="14">
        <v>0.8225230201766327</v>
      </c>
      <c r="N68" s="14">
        <v>0.92694104756339668</v>
      </c>
      <c r="O68" s="14">
        <v>252.46166371436672</v>
      </c>
      <c r="P68" s="8">
        <v>0.92694104756339668</v>
      </c>
      <c r="Q68" s="54">
        <v>5.9451625800658085E-4</v>
      </c>
    </row>
    <row r="69" spans="1:17">
      <c r="A69" s="2" t="s">
        <v>499</v>
      </c>
      <c r="B69" s="16" t="s">
        <v>500</v>
      </c>
      <c r="D69" s="14">
        <v>1</v>
      </c>
      <c r="E69" s="14">
        <v>0.87416281788779138</v>
      </c>
      <c r="F69" s="14">
        <v>7.6064594032376441E-3</v>
      </c>
      <c r="G69" s="14">
        <v>8.4561570343738392E-14</v>
      </c>
      <c r="H69" s="14">
        <v>195.90005220001547</v>
      </c>
      <c r="I69" s="14">
        <v>466.66123117199226</v>
      </c>
      <c r="J69" s="14">
        <v>0</v>
      </c>
      <c r="K69" s="14">
        <v>131.46721056242751</v>
      </c>
      <c r="L69" s="14">
        <v>7.6064594032376441E-3</v>
      </c>
      <c r="M69" s="14">
        <v>6.2410999403564871E-3</v>
      </c>
      <c r="N69" s="14">
        <v>26.985467243192563</v>
      </c>
      <c r="O69" s="14">
        <v>11592.686873003093</v>
      </c>
      <c r="P69" s="8">
        <v>26.985467243192563</v>
      </c>
      <c r="Q69" s="54">
        <v>7.7289717957158652E-2</v>
      </c>
    </row>
    <row r="70" spans="1:17">
      <c r="A70" s="2" t="s">
        <v>501</v>
      </c>
      <c r="B70" s="16" t="s">
        <v>411</v>
      </c>
      <c r="D70" s="14">
        <v>1</v>
      </c>
      <c r="E70" s="14">
        <v>0.99955369224569068</v>
      </c>
      <c r="F70" s="14">
        <v>0.97310281942318655</v>
      </c>
      <c r="G70" s="14">
        <v>3.0966150381281083E-15</v>
      </c>
      <c r="H70" s="14">
        <v>8.595254311338957</v>
      </c>
      <c r="I70" s="14">
        <v>7.5633808644644356E-3</v>
      </c>
      <c r="J70" s="14">
        <v>0</v>
      </c>
      <c r="K70" s="14">
        <v>1.0276406357477792</v>
      </c>
      <c r="L70" s="14">
        <v>0.97310281942318666</v>
      </c>
      <c r="M70" s="14">
        <v>0.79843086333672464</v>
      </c>
      <c r="N70" s="14">
        <v>0.92737952647768107</v>
      </c>
      <c r="O70" s="14">
        <v>278.30659589595211</v>
      </c>
      <c r="P70" s="8">
        <v>0.92737952647768118</v>
      </c>
      <c r="Q70" s="54">
        <v>3.8345638214261658E-5</v>
      </c>
    </row>
    <row r="71" spans="1:17">
      <c r="A71" s="2" t="s">
        <v>502</v>
      </c>
      <c r="B71" s="16" t="s">
        <v>412</v>
      </c>
      <c r="D71" s="14">
        <v>1</v>
      </c>
      <c r="E71" s="14">
        <v>0.99951474113532524</v>
      </c>
      <c r="F71" s="14">
        <v>0.94682711215575621</v>
      </c>
      <c r="G71" s="14">
        <v>1.4143560051250523E-10</v>
      </c>
      <c r="H71" s="14">
        <v>16.022514945136365</v>
      </c>
      <c r="I71" s="14">
        <v>1.3482133234652301E-2</v>
      </c>
      <c r="J71" s="14">
        <v>0</v>
      </c>
      <c r="K71" s="14">
        <v>1.0561590254034643</v>
      </c>
      <c r="L71" s="14">
        <v>0.94682711215575621</v>
      </c>
      <c r="M71" s="14">
        <v>0.77687164552379795</v>
      </c>
      <c r="N71" s="14">
        <v>0.9700777496639249</v>
      </c>
      <c r="O71" s="14">
        <v>318.33101355221692</v>
      </c>
      <c r="P71" s="8">
        <v>0.9700777496639249</v>
      </c>
      <c r="Q71" s="54">
        <v>5.2524099413213854E-5</v>
      </c>
    </row>
    <row r="72" spans="1:17">
      <c r="A72" s="2" t="s">
        <v>503</v>
      </c>
      <c r="B72" s="16" t="s">
        <v>413</v>
      </c>
      <c r="D72" s="14">
        <v>1</v>
      </c>
      <c r="E72" s="14">
        <v>0.99377795292010085</v>
      </c>
      <c r="F72" s="14">
        <v>3.8871323007202197E-3</v>
      </c>
      <c r="G72" s="14">
        <v>1.9044860165615305E-12</v>
      </c>
      <c r="H72" s="14">
        <v>281.22201929634832</v>
      </c>
      <c r="I72" s="14">
        <v>1.195846114920313</v>
      </c>
      <c r="J72" s="14">
        <v>0</v>
      </c>
      <c r="K72" s="14">
        <v>257.2590595423564</v>
      </c>
      <c r="L72" s="14">
        <v>3.8871323007202202E-3</v>
      </c>
      <c r="M72" s="14">
        <v>3.1893920527409406E-3</v>
      </c>
      <c r="N72" s="14">
        <v>14.605793592402518</v>
      </c>
      <c r="O72" s="14">
        <v>6778.25669036216</v>
      </c>
      <c r="P72" s="8">
        <v>14.605793592402518</v>
      </c>
      <c r="Q72" s="54">
        <v>5.9139179788402737E-5</v>
      </c>
    </row>
    <row r="73" spans="1:17">
      <c r="A73" s="2" t="s">
        <v>504</v>
      </c>
      <c r="B73" s="16" t="s">
        <v>414</v>
      </c>
      <c r="D73" s="14">
        <v>1</v>
      </c>
      <c r="E73" s="14">
        <v>0.99919572838940363</v>
      </c>
      <c r="F73" s="14">
        <v>3.6224844089690268E-2</v>
      </c>
      <c r="G73" s="14">
        <v>2.4999711154400472E-12</v>
      </c>
      <c r="H73" s="14">
        <v>273.71999598933451</v>
      </c>
      <c r="I73" s="14">
        <v>0.14649827115277031</v>
      </c>
      <c r="J73" s="14">
        <v>0</v>
      </c>
      <c r="K73" s="14">
        <v>27.605363808442281</v>
      </c>
      <c r="L73" s="14">
        <v>3.6224844089690268E-2</v>
      </c>
      <c r="M73" s="14">
        <v>2.9722484575590864E-2</v>
      </c>
      <c r="N73" s="14">
        <v>1.7449982006711715</v>
      </c>
      <c r="O73" s="14">
        <v>548.01668492078147</v>
      </c>
      <c r="P73" s="8">
        <v>1.7449982006711717</v>
      </c>
      <c r="Q73" s="54">
        <v>4.8176195389100503E-5</v>
      </c>
    </row>
    <row r="74" spans="1:17">
      <c r="A74" s="2" t="s">
        <v>505</v>
      </c>
      <c r="B74" s="16" t="s">
        <v>415</v>
      </c>
      <c r="D74" s="14">
        <v>1</v>
      </c>
      <c r="E74" s="14">
        <v>0.99952193372396092</v>
      </c>
      <c r="F74" s="14">
        <v>0.9519448900294728</v>
      </c>
      <c r="G74" s="14">
        <v>1.7484784051857267E-11</v>
      </c>
      <c r="H74" s="14">
        <v>14.575780077386929</v>
      </c>
      <c r="I74" s="14">
        <v>1.231849868639829E-2</v>
      </c>
      <c r="J74" s="14">
        <v>0</v>
      </c>
      <c r="K74" s="14">
        <v>1.0504809789661662</v>
      </c>
      <c r="L74" s="14">
        <v>0.9519448900294728</v>
      </c>
      <c r="M74" s="14">
        <v>0.78107078226918247</v>
      </c>
      <c r="N74" s="14">
        <v>0.96196861097019548</v>
      </c>
      <c r="O74" s="14">
        <v>205.89976149206063</v>
      </c>
      <c r="P74" s="8">
        <v>0.96196861097019548</v>
      </c>
      <c r="Q74" s="54">
        <v>4.9975572915789579E-5</v>
      </c>
    </row>
    <row r="75" spans="1:17">
      <c r="A75" s="2" t="s">
        <v>506</v>
      </c>
      <c r="B75" s="16" t="s">
        <v>416</v>
      </c>
      <c r="D75" s="14">
        <v>1</v>
      </c>
      <c r="E75" s="14">
        <v>0.99918443935717327</v>
      </c>
      <c r="F75" s="14">
        <v>4.285795171315647E-2</v>
      </c>
      <c r="G75" s="14">
        <v>1.0728521530969124E-11</v>
      </c>
      <c r="H75" s="14">
        <v>271.8387792273158</v>
      </c>
      <c r="I75" s="14">
        <v>0.14737960417758536</v>
      </c>
      <c r="J75" s="14">
        <v>0</v>
      </c>
      <c r="K75" s="14">
        <v>23.33289296448158</v>
      </c>
      <c r="L75" s="14">
        <v>4.2857951713156477E-2</v>
      </c>
      <c r="M75" s="14">
        <v>3.5164949380644885E-2</v>
      </c>
      <c r="N75" s="14">
        <v>1.7582883657690964</v>
      </c>
      <c r="O75" s="14">
        <v>728.05446361400971</v>
      </c>
      <c r="P75" s="8">
        <v>1.7582883657690964</v>
      </c>
      <c r="Q75" s="54">
        <v>5.2028030454861612E-5</v>
      </c>
    </row>
    <row r="76" spans="1:17">
      <c r="A76" s="2" t="s">
        <v>507</v>
      </c>
      <c r="B76" s="16" t="s">
        <v>417</v>
      </c>
      <c r="D76" s="14">
        <v>1</v>
      </c>
      <c r="E76" s="14">
        <v>0.99915496335620735</v>
      </c>
      <c r="F76" s="14">
        <v>0.44941204718471806</v>
      </c>
      <c r="G76" s="14">
        <v>2.4785219166686314E-10</v>
      </c>
      <c r="H76" s="14">
        <v>156.73453875456303</v>
      </c>
      <c r="I76" s="14">
        <v>0.10553405836779854</v>
      </c>
      <c r="J76" s="14">
        <v>0</v>
      </c>
      <c r="K76" s="14">
        <v>2.2251294914419115</v>
      </c>
      <c r="L76" s="14">
        <v>0.44941204718471806</v>
      </c>
      <c r="M76" s="14">
        <v>0.36874258471506116</v>
      </c>
      <c r="N76" s="14">
        <v>1.5863016991431118</v>
      </c>
      <c r="O76" s="14">
        <v>679.20679852210617</v>
      </c>
      <c r="P76" s="8">
        <v>1.5863016991431118</v>
      </c>
      <c r="Q76" s="54">
        <v>1.2066814583231422E-4</v>
      </c>
    </row>
    <row r="77" spans="1:17">
      <c r="A77" s="2" t="s">
        <v>508</v>
      </c>
      <c r="B77" s="16" t="s">
        <v>418</v>
      </c>
      <c r="D77" s="14">
        <v>1</v>
      </c>
      <c r="E77" s="14">
        <v>0.99919226046274734</v>
      </c>
      <c r="F77" s="14">
        <v>3.801204960703649E-2</v>
      </c>
      <c r="G77" s="14">
        <v>7.7397929123079873E-11</v>
      </c>
      <c r="H77" s="14">
        <v>273.21295426122884</v>
      </c>
      <c r="I77" s="14">
        <v>0.1472072557669408</v>
      </c>
      <c r="J77" s="14">
        <v>0</v>
      </c>
      <c r="K77" s="14">
        <v>26.307447515665871</v>
      </c>
      <c r="L77" s="14">
        <v>3.801204960703649E-2</v>
      </c>
      <c r="M77" s="14">
        <v>3.1188886702573439E-2</v>
      </c>
      <c r="N77" s="14">
        <v>1.7489214383412348</v>
      </c>
      <c r="O77" s="14">
        <v>923.74532530307329</v>
      </c>
      <c r="P77" s="8">
        <v>1.7489214383412348</v>
      </c>
      <c r="Q77" s="54">
        <v>4.9400257951828261E-5</v>
      </c>
    </row>
    <row r="78" spans="1:17">
      <c r="A78" s="2" t="s">
        <v>509</v>
      </c>
      <c r="B78" s="16" t="s">
        <v>419</v>
      </c>
      <c r="D78" s="14">
        <v>1</v>
      </c>
      <c r="E78" s="14">
        <v>0.99477295076579642</v>
      </c>
      <c r="F78" s="14">
        <v>4.3154931652361296E-3</v>
      </c>
      <c r="G78" s="14">
        <v>7.6640600525271777E-12</v>
      </c>
      <c r="H78" s="14">
        <v>281.40410803215548</v>
      </c>
      <c r="I78" s="14">
        <v>1.0054405757366571</v>
      </c>
      <c r="J78" s="14">
        <v>0</v>
      </c>
      <c r="K78" s="14">
        <v>231.72322645661828</v>
      </c>
      <c r="L78" s="14">
        <v>4.3154931652361296E-3</v>
      </c>
      <c r="M78" s="14">
        <v>3.5408621420762445E-3</v>
      </c>
      <c r="N78" s="14">
        <v>12.247290681068826</v>
      </c>
      <c r="O78" s="14">
        <v>6908.5742002841143</v>
      </c>
      <c r="P78" s="8">
        <v>12.247290681068828</v>
      </c>
      <c r="Q78" s="54">
        <v>5.6150859412796254E-5</v>
      </c>
    </row>
    <row r="79" spans="1:17">
      <c r="A79" s="2" t="s">
        <v>510</v>
      </c>
      <c r="B79" s="16" t="s">
        <v>420</v>
      </c>
      <c r="D79" s="14">
        <v>1</v>
      </c>
      <c r="E79" s="14">
        <v>0.99477296789514913</v>
      </c>
      <c r="F79" s="14">
        <v>4.3154935018506965E-3</v>
      </c>
      <c r="G79" s="14">
        <v>1.9251250921725443E-16</v>
      </c>
      <c r="H79" s="14">
        <v>281.4041299820737</v>
      </c>
      <c r="I79" s="14">
        <v>1.0052815374685427</v>
      </c>
      <c r="J79" s="14">
        <v>0</v>
      </c>
      <c r="K79" s="14">
        <v>231.72320838188043</v>
      </c>
      <c r="L79" s="14">
        <v>4.3154935018506974E-3</v>
      </c>
      <c r="M79" s="14">
        <v>3.5408624182684972E-3</v>
      </c>
      <c r="N79" s="14">
        <v>12.24728286829982</v>
      </c>
      <c r="O79" s="14">
        <v>6125.2335809227889</v>
      </c>
      <c r="P79" s="8">
        <v>12.24728286829982</v>
      </c>
      <c r="Q79" s="54">
        <v>5.6141977599539816E-5</v>
      </c>
    </row>
    <row r="80" spans="1:17">
      <c r="A80" s="2" t="s">
        <v>511</v>
      </c>
      <c r="B80" s="16" t="s">
        <v>421</v>
      </c>
      <c r="D80" s="14">
        <v>1</v>
      </c>
      <c r="E80" s="14">
        <v>0.99910838796543744</v>
      </c>
      <c r="F80" s="14">
        <v>0.16724034960020717</v>
      </c>
      <c r="G80" s="14">
        <v>2.1789613789457499E-11</v>
      </c>
      <c r="H80" s="14">
        <v>236.6034466162167</v>
      </c>
      <c r="I80" s="14">
        <v>0.14326728846018968</v>
      </c>
      <c r="J80" s="14">
        <v>0</v>
      </c>
      <c r="K80" s="14">
        <v>5.9794182587547109</v>
      </c>
      <c r="L80" s="14">
        <v>0.1672403496002072</v>
      </c>
      <c r="M80" s="14">
        <v>0.13722070684696999</v>
      </c>
      <c r="N80" s="14">
        <v>1.7952433447334475</v>
      </c>
      <c r="O80" s="14">
        <v>653.57629208365881</v>
      </c>
      <c r="P80" s="8">
        <v>1.7952433447334475</v>
      </c>
      <c r="Q80" s="54">
        <v>9.2885311378818172E-5</v>
      </c>
    </row>
    <row r="81" spans="1:17">
      <c r="A81" s="2" t="s">
        <v>512</v>
      </c>
      <c r="B81" s="16" t="s">
        <v>422</v>
      </c>
      <c r="D81" s="14">
        <v>1</v>
      </c>
      <c r="E81" s="14">
        <v>0.99937116414311</v>
      </c>
      <c r="F81" s="14">
        <v>0.8074760380671272</v>
      </c>
      <c r="G81" s="14">
        <v>2.849561991518944E-11</v>
      </c>
      <c r="H81" s="14">
        <v>55.430608154530212</v>
      </c>
      <c r="I81" s="14">
        <v>4.1944557591117183E-2</v>
      </c>
      <c r="J81" s="14">
        <v>0</v>
      </c>
      <c r="K81" s="14">
        <v>1.238426842230169</v>
      </c>
      <c r="L81" s="14">
        <v>0.8074760380671272</v>
      </c>
      <c r="M81" s="14">
        <v>0.66253408923407786</v>
      </c>
      <c r="N81" s="14">
        <v>1.170391642192826</v>
      </c>
      <c r="O81" s="14">
        <v>309.04191312101574</v>
      </c>
      <c r="P81" s="8">
        <v>1.170391642192826</v>
      </c>
      <c r="Q81" s="54">
        <v>9.2656441730277914E-5</v>
      </c>
    </row>
    <row r="82" spans="1:17">
      <c r="A82" s="2" t="s">
        <v>513</v>
      </c>
      <c r="B82" s="16" t="s">
        <v>423</v>
      </c>
      <c r="D82" s="14">
        <v>1</v>
      </c>
      <c r="E82" s="14">
        <v>0.99923344941805259</v>
      </c>
      <c r="F82" s="14">
        <v>0.61054336419933575</v>
      </c>
      <c r="G82" s="14">
        <v>7.1730689106494682E-15</v>
      </c>
      <c r="H82" s="14">
        <v>111.14156693003399</v>
      </c>
      <c r="I82" s="14">
        <v>7.8258902842174599E-2</v>
      </c>
      <c r="J82" s="14">
        <v>0</v>
      </c>
      <c r="K82" s="14">
        <v>1.637885297977804</v>
      </c>
      <c r="L82" s="14">
        <v>0.61054336419933575</v>
      </c>
      <c r="M82" s="14">
        <v>0.50095083032555499</v>
      </c>
      <c r="N82" s="14">
        <v>1.4143674811455418</v>
      </c>
      <c r="O82" s="14">
        <v>565.90257288114276</v>
      </c>
      <c r="P82" s="8">
        <v>1.4143674811455418</v>
      </c>
      <c r="Q82" s="54">
        <v>1.1644846147390056E-4</v>
      </c>
    </row>
    <row r="83" spans="1:17">
      <c r="A83" s="2" t="s">
        <v>514</v>
      </c>
      <c r="B83" s="16" t="s">
        <v>424</v>
      </c>
      <c r="D83" s="14">
        <v>1</v>
      </c>
      <c r="E83" s="14">
        <v>0.98995553434706374</v>
      </c>
      <c r="F83" s="14">
        <v>2.9118858070317044E-3</v>
      </c>
      <c r="G83" s="14">
        <v>2.7308811865101157E-12</v>
      </c>
      <c r="H83" s="14">
        <v>280.33307419223877</v>
      </c>
      <c r="I83" s="14">
        <v>1.9239789412876023</v>
      </c>
      <c r="J83" s="14">
        <v>0</v>
      </c>
      <c r="K83" s="14">
        <v>343.42006049315933</v>
      </c>
      <c r="L83" s="14">
        <v>2.9118858070317044E-3</v>
      </c>
      <c r="M83" s="14">
        <v>2.3892023046695136E-3</v>
      </c>
      <c r="N83" s="14">
        <v>23.675152757951189</v>
      </c>
      <c r="O83" s="14">
        <v>12170.922529807549</v>
      </c>
      <c r="P83" s="8">
        <v>23.675152757951189</v>
      </c>
      <c r="Q83" s="54">
        <v>6.8108342951633284E-5</v>
      </c>
    </row>
    <row r="84" spans="1:17">
      <c r="A84" s="2" t="s">
        <v>403</v>
      </c>
      <c r="B84" s="16" t="s">
        <v>404</v>
      </c>
      <c r="D84" s="14">
        <v>1</v>
      </c>
      <c r="E84" s="14">
        <v>0.66175928694721575</v>
      </c>
      <c r="F84" s="14">
        <v>0.28408093293857861</v>
      </c>
      <c r="G84" s="14">
        <v>4.9509731744967853E-46</v>
      </c>
      <c r="H84" s="14">
        <v>87.430323545285319</v>
      </c>
      <c r="I84" s="14">
        <v>187.29201251545558</v>
      </c>
      <c r="J84" s="14">
        <v>0</v>
      </c>
      <c r="K84" s="14">
        <v>3.5201236128586317</v>
      </c>
      <c r="L84" s="14">
        <v>0.28408093293857861</v>
      </c>
      <c r="M84" s="14">
        <v>0.23308840547610377</v>
      </c>
      <c r="N84" s="14">
        <v>10.702769641975571</v>
      </c>
      <c r="O84" s="14">
        <v>12871.257799136241</v>
      </c>
      <c r="P84" s="8">
        <v>10.702769641975571</v>
      </c>
      <c r="Q84" s="54">
        <v>0.22527824611712932</v>
      </c>
    </row>
    <row r="85" spans="1:17">
      <c r="A85" s="2" t="s">
        <v>405</v>
      </c>
      <c r="B85" s="16" t="s">
        <v>406</v>
      </c>
      <c r="D85" s="14">
        <v>1</v>
      </c>
      <c r="E85" s="14">
        <v>0.79131109103423236</v>
      </c>
      <c r="F85" s="14">
        <v>4.5294356810892569E-2</v>
      </c>
      <c r="G85" s="14">
        <v>1.3737610883687667E-10</v>
      </c>
      <c r="H85" s="14">
        <v>201.54656850936976</v>
      </c>
      <c r="I85" s="14">
        <v>97.557534475170499</v>
      </c>
      <c r="J85" s="14">
        <v>0</v>
      </c>
      <c r="K85" s="14">
        <v>22.077805501799642</v>
      </c>
      <c r="L85" s="14">
        <v>4.5294356810892569E-2</v>
      </c>
      <c r="M85" s="14">
        <v>3.7164019763337358E-2</v>
      </c>
      <c r="N85" s="14">
        <v>463.66535221197546</v>
      </c>
      <c r="O85" s="14">
        <v>147844.33420631051</v>
      </c>
      <c r="P85" s="8">
        <v>463.66535221197546</v>
      </c>
      <c r="Q85" s="54">
        <v>9.4158778541995371E-3</v>
      </c>
    </row>
    <row r="86" spans="1:17">
      <c r="A86" s="2" t="s">
        <v>407</v>
      </c>
      <c r="B86" s="16" t="s">
        <v>408</v>
      </c>
      <c r="D86" s="14">
        <v>1</v>
      </c>
      <c r="E86" s="14">
        <v>0.88709513249911887</v>
      </c>
      <c r="F86" s="14">
        <v>3.497772906998384E-4</v>
      </c>
      <c r="G86" s="14">
        <v>2.8078900452534455E-7</v>
      </c>
      <c r="H86" s="14">
        <v>48.023256816229761</v>
      </c>
      <c r="I86" s="14">
        <v>1888.899189468385</v>
      </c>
      <c r="J86" s="14">
        <v>0</v>
      </c>
      <c r="K86" s="14">
        <v>2858.9620498208687</v>
      </c>
      <c r="L86" s="14">
        <v>3.4977729069983845E-4</v>
      </c>
      <c r="M86" s="14">
        <v>2.8699226701921741E-4</v>
      </c>
      <c r="N86" s="14">
        <v>113.0727370437982</v>
      </c>
      <c r="O86" s="14">
        <v>54929.604928506735</v>
      </c>
      <c r="P86" s="8">
        <v>113.07273704379821</v>
      </c>
      <c r="Q86" s="54">
        <v>4.4137606679153105E-2</v>
      </c>
    </row>
    <row r="87" spans="1:17">
      <c r="A87" s="2" t="s">
        <v>409</v>
      </c>
      <c r="B87" s="16" t="s">
        <v>410</v>
      </c>
      <c r="D87" s="14">
        <v>1</v>
      </c>
      <c r="E87" s="14">
        <v>0.90181568673979196</v>
      </c>
      <c r="F87" s="14">
        <v>1.2121722527146301E-4</v>
      </c>
      <c r="G87" s="14">
        <v>3.4770651345662849E-8</v>
      </c>
      <c r="H87" s="14">
        <v>25.881195811626718</v>
      </c>
      <c r="I87" s="14">
        <v>2133.2487966424314</v>
      </c>
      <c r="J87" s="14">
        <v>0</v>
      </c>
      <c r="K87" s="14">
        <v>8249.6526195887127</v>
      </c>
      <c r="L87" s="14">
        <v>1.2121722527146301E-4</v>
      </c>
      <c r="M87" s="14">
        <v>9.94587333352354E-5</v>
      </c>
      <c r="N87" s="14">
        <v>128.88574572009509</v>
      </c>
      <c r="O87" s="14">
        <v>72780.491750680507</v>
      </c>
      <c r="P87" s="8">
        <v>128.88574572009512</v>
      </c>
      <c r="Q87" s="54">
        <v>2.9733190221924357E-2</v>
      </c>
    </row>
    <row r="88" spans="1:17">
      <c r="A88" s="2" t="s">
        <v>301</v>
      </c>
      <c r="B88" s="16" t="s">
        <v>302</v>
      </c>
      <c r="D88" s="14">
        <v>1</v>
      </c>
      <c r="E88" s="14">
        <v>0.9147762926776678</v>
      </c>
      <c r="F88" s="14">
        <v>3.4042312811371258E-5</v>
      </c>
      <c r="G88" s="14">
        <v>4.2968238084104933E-9</v>
      </c>
      <c r="H88" s="14">
        <v>12.009337722670089</v>
      </c>
      <c r="I88" s="14">
        <v>2296.0229716630688</v>
      </c>
      <c r="J88" s="14">
        <v>0</v>
      </c>
      <c r="K88" s="14">
        <v>29375.207423214997</v>
      </c>
      <c r="L88" s="14">
        <v>3.4042312811371258E-5</v>
      </c>
      <c r="M88" s="14">
        <v>2.7931717661730116E-5</v>
      </c>
      <c r="N88" s="14">
        <v>140.19019621244166</v>
      </c>
      <c r="O88" s="14">
        <v>90223.606478403206</v>
      </c>
      <c r="P88" s="8">
        <v>140.19019621244166</v>
      </c>
      <c r="Q88" s="54">
        <v>1.7781820784300649E-2</v>
      </c>
    </row>
    <row r="89" spans="1:17">
      <c r="A89" s="2" t="s">
        <v>303</v>
      </c>
      <c r="B89" s="16" t="s">
        <v>304</v>
      </c>
      <c r="D89" s="14">
        <v>1</v>
      </c>
      <c r="E89" s="14">
        <v>0.37173488497026819</v>
      </c>
      <c r="F89" s="14">
        <v>9.0462202023769954E-4</v>
      </c>
      <c r="G89" s="14">
        <v>1.302691013686654E-15</v>
      </c>
      <c r="H89" s="14">
        <v>29.270876227963118</v>
      </c>
      <c r="I89" s="14">
        <v>704.86089107381247</v>
      </c>
      <c r="J89" s="14">
        <v>0</v>
      </c>
      <c r="K89" s="14">
        <v>1105.4340681837909</v>
      </c>
      <c r="L89" s="14">
        <v>9.0462202023769965E-4</v>
      </c>
      <c r="M89" s="14">
        <v>7.4224236760503251E-4</v>
      </c>
      <c r="N89" s="14">
        <v>1468.9694409586073</v>
      </c>
      <c r="O89" s="14">
        <v>947940.66994499869</v>
      </c>
      <c r="P89" s="8">
        <v>1468.9694409586073</v>
      </c>
      <c r="Q89" s="54">
        <v>7.6261161332248648E-3</v>
      </c>
    </row>
    <row r="90" spans="1:17">
      <c r="A90" s="2" t="s">
        <v>425</v>
      </c>
      <c r="B90" s="16" t="s">
        <v>426</v>
      </c>
      <c r="D90" s="14">
        <v>1</v>
      </c>
      <c r="E90" s="14">
        <v>0.97451144947316648</v>
      </c>
      <c r="F90" s="14">
        <v>0.97709676392048461</v>
      </c>
      <c r="G90" s="14">
        <v>1.7798115815526302E-15</v>
      </c>
      <c r="H90" s="14">
        <v>0.26039795841507379</v>
      </c>
      <c r="I90" s="14">
        <v>0.80951421121557932</v>
      </c>
      <c r="J90" s="14">
        <v>0</v>
      </c>
      <c r="K90" s="14">
        <v>1.0234400899943819</v>
      </c>
      <c r="L90" s="14">
        <v>0.97709676392048461</v>
      </c>
      <c r="M90" s="14">
        <v>0.80170789479675764</v>
      </c>
      <c r="N90" s="14">
        <v>0.89112407956261164</v>
      </c>
      <c r="O90" s="14">
        <v>247.07306229952968</v>
      </c>
      <c r="P90" s="8">
        <v>0.89112407956261164</v>
      </c>
      <c r="Q90" s="54">
        <v>1.6952137928948549E-2</v>
      </c>
    </row>
    <row r="91" spans="1:17">
      <c r="A91" s="2" t="s">
        <v>427</v>
      </c>
      <c r="B91" s="16" t="s">
        <v>428</v>
      </c>
      <c r="D91" s="14">
        <v>1</v>
      </c>
      <c r="E91" s="14">
        <v>0.78654390268506746</v>
      </c>
      <c r="F91" s="14">
        <v>0.71892237668777847</v>
      </c>
      <c r="G91" s="14">
        <v>9.1531480928522372E-7</v>
      </c>
      <c r="H91" s="14">
        <v>15.622193090064131</v>
      </c>
      <c r="I91" s="14">
        <v>40.681707427597289</v>
      </c>
      <c r="J91" s="14">
        <v>0</v>
      </c>
      <c r="K91" s="14">
        <v>1.3909707534869109</v>
      </c>
      <c r="L91" s="14">
        <v>0.71892237668777847</v>
      </c>
      <c r="M91" s="14">
        <v>0.58987581007232226</v>
      </c>
      <c r="N91" s="14">
        <v>2.8527103676581165</v>
      </c>
      <c r="O91" s="14">
        <v>471.23922563344428</v>
      </c>
      <c r="P91" s="8">
        <v>2.8527103676581165</v>
      </c>
      <c r="Q91" s="54">
        <v>0.14321851692368442</v>
      </c>
    </row>
    <row r="92" spans="1:17">
      <c r="A92" s="2" t="s">
        <v>429</v>
      </c>
      <c r="B92" s="16" t="s">
        <v>430</v>
      </c>
      <c r="D92" s="14">
        <v>1</v>
      </c>
      <c r="E92" s="14">
        <v>0.70719001471672782</v>
      </c>
      <c r="F92" s="14">
        <v>0.12686207083287462</v>
      </c>
      <c r="G92" s="14">
        <v>5.592168952805345E-6</v>
      </c>
      <c r="H92" s="14">
        <v>136.31755762553632</v>
      </c>
      <c r="I92" s="14">
        <v>266.32317955552929</v>
      </c>
      <c r="J92" s="14">
        <v>0</v>
      </c>
      <c r="K92" s="14">
        <v>7.8825766711421448</v>
      </c>
      <c r="L92" s="14">
        <v>0.12686207083287465</v>
      </c>
      <c r="M92" s="14">
        <v>0.10409032911837364</v>
      </c>
      <c r="N92" s="14">
        <v>15.111314420446741</v>
      </c>
      <c r="O92" s="14">
        <v>2723.6633111413207</v>
      </c>
      <c r="P92" s="8">
        <v>15.111314420446741</v>
      </c>
      <c r="Q92" s="54">
        <v>0.19302295816412926</v>
      </c>
    </row>
    <row r="93" spans="1:17">
      <c r="A93" s="2" t="s">
        <v>431</v>
      </c>
      <c r="B93" s="16" t="s">
        <v>432</v>
      </c>
      <c r="D93" s="14">
        <v>1</v>
      </c>
      <c r="E93" s="14">
        <v>0.99947715767281409</v>
      </c>
      <c r="F93" s="14">
        <v>0.99900801964327834</v>
      </c>
      <c r="G93" s="14">
        <v>1.338818775331441E-19</v>
      </c>
      <c r="H93" s="14">
        <v>1.2392501341363169</v>
      </c>
      <c r="I93" s="14">
        <v>9.1926878097684031E-3</v>
      </c>
      <c r="J93" s="14">
        <v>0</v>
      </c>
      <c r="K93" s="14">
        <v>1.0009929653588525</v>
      </c>
      <c r="L93" s="14">
        <v>0.99900801964327846</v>
      </c>
      <c r="M93" s="14">
        <v>0.81968608011730992</v>
      </c>
      <c r="N93" s="14">
        <v>0.88070502504730486</v>
      </c>
      <c r="O93" s="14">
        <v>342.49737719064638</v>
      </c>
      <c r="P93" s="8">
        <v>0.88070502504730497</v>
      </c>
      <c r="Q93" s="54">
        <v>1.0323869624972711E-4</v>
      </c>
    </row>
    <row r="94" spans="1:17">
      <c r="A94" s="2" t="s">
        <v>433</v>
      </c>
      <c r="B94" s="16" t="s">
        <v>434</v>
      </c>
      <c r="D94" s="14">
        <v>1</v>
      </c>
      <c r="E94" s="14">
        <v>0.99962700600554866</v>
      </c>
      <c r="F94" s="14">
        <v>1.0035221438209052</v>
      </c>
      <c r="G94" s="14">
        <v>2.8297329234794409E-20</v>
      </c>
      <c r="H94" s="14">
        <v>4.8229966510646722E-3</v>
      </c>
      <c r="I94" s="14">
        <v>6.2312362525847282E-5</v>
      </c>
      <c r="J94" s="14">
        <v>0</v>
      </c>
      <c r="K94" s="14">
        <v>0.99649021813560124</v>
      </c>
      <c r="L94" s="14">
        <v>1.0035221438209052</v>
      </c>
      <c r="M94" s="14">
        <v>0.82338991900505265</v>
      </c>
      <c r="N94" s="14">
        <v>0.87886751312283629</v>
      </c>
      <c r="O94" s="14">
        <v>157.52821305213718</v>
      </c>
      <c r="P94" s="8">
        <v>0.87886751312283629</v>
      </c>
      <c r="Q94" s="54">
        <v>2.6120062844581013E-6</v>
      </c>
    </row>
    <row r="95" spans="1:17">
      <c r="A95" s="2" t="s">
        <v>435</v>
      </c>
      <c r="B95" s="16" t="s">
        <v>436</v>
      </c>
      <c r="D95" s="14">
        <v>1</v>
      </c>
      <c r="E95" s="14">
        <v>0.94167713045723822</v>
      </c>
      <c r="F95" s="14">
        <v>0.94031089202177898</v>
      </c>
      <c r="G95" s="14">
        <v>1.5133227207045534E-10</v>
      </c>
      <c r="H95" s="14">
        <v>1.0618771046892683</v>
      </c>
      <c r="I95" s="14">
        <v>3.4101000309954839</v>
      </c>
      <c r="J95" s="14">
        <v>0</v>
      </c>
      <c r="K95" s="14">
        <v>1.063478056549874</v>
      </c>
      <c r="L95" s="14">
        <v>0.94031089202177898</v>
      </c>
      <c r="M95" s="14">
        <v>0.77152508690386967</v>
      </c>
      <c r="N95" s="14">
        <v>1.0116303151979116</v>
      </c>
      <c r="O95" s="14">
        <v>264.12655899502272</v>
      </c>
      <c r="P95" s="8">
        <v>1.0116303151979116</v>
      </c>
      <c r="Q95" s="54">
        <v>3.9081130553570091E-2</v>
      </c>
    </row>
    <row r="96" spans="1:17">
      <c r="A96" s="2" t="s">
        <v>437</v>
      </c>
      <c r="B96" s="164" t="s">
        <v>438</v>
      </c>
      <c r="D96" s="14">
        <v>1</v>
      </c>
      <c r="E96" s="14">
        <v>0.88140857392796645</v>
      </c>
      <c r="F96" s="14">
        <v>5.0881700824981929E-4</v>
      </c>
      <c r="G96" s="14">
        <v>5.2481967473853395E-10</v>
      </c>
      <c r="H96" s="14">
        <v>59.262725391535696</v>
      </c>
      <c r="I96" s="14">
        <v>1769.4520196693747</v>
      </c>
      <c r="J96" s="14">
        <v>0</v>
      </c>
      <c r="K96" s="14">
        <v>1965.3431072198341</v>
      </c>
      <c r="L96" s="14">
        <v>5.088170082498194E-4</v>
      </c>
      <c r="M96" s="14">
        <v>4.1748435526897681E-4</v>
      </c>
      <c r="N96" s="14">
        <v>105.55901442278405</v>
      </c>
      <c r="O96" s="14">
        <v>43944.217704205003</v>
      </c>
      <c r="P96" s="8">
        <v>105.55901442278406</v>
      </c>
      <c r="Q96" s="54">
        <v>5.0123200126968109E-2</v>
      </c>
    </row>
    <row r="97" spans="1:17">
      <c r="A97" s="2" t="s">
        <v>439</v>
      </c>
      <c r="B97" s="16" t="s">
        <v>440</v>
      </c>
      <c r="D97" s="14">
        <v>1</v>
      </c>
      <c r="E97" s="14">
        <v>0.72869468233968904</v>
      </c>
      <c r="F97" s="14">
        <v>0.60152431528819761</v>
      </c>
      <c r="G97" s="14">
        <v>4.4265122976910366E-7</v>
      </c>
      <c r="H97" s="14">
        <v>29.095993258633762</v>
      </c>
      <c r="I97" s="14">
        <v>71.43159673956275</v>
      </c>
      <c r="J97" s="14">
        <v>0</v>
      </c>
      <c r="K97" s="14">
        <v>1.6624431873895034</v>
      </c>
      <c r="L97" s="14">
        <v>0.60152431528819772</v>
      </c>
      <c r="M97" s="14">
        <v>0.49355070069396623</v>
      </c>
      <c r="N97" s="14">
        <v>4.4578718578948946</v>
      </c>
      <c r="O97" s="14">
        <v>852.65715025955649</v>
      </c>
      <c r="P97" s="8">
        <v>4.4578718578948946</v>
      </c>
      <c r="Q97" s="54">
        <v>0.18184039168678823</v>
      </c>
    </row>
    <row r="98" spans="1:17">
      <c r="A98" s="2" t="s">
        <v>441</v>
      </c>
      <c r="B98" s="16" t="s">
        <v>442</v>
      </c>
      <c r="D98" s="14">
        <v>1</v>
      </c>
      <c r="E98" s="14">
        <v>0.77562708037048933</v>
      </c>
      <c r="F98" s="14">
        <v>0.69898854121587117</v>
      </c>
      <c r="G98" s="14">
        <v>3.0179951946094225E-19</v>
      </c>
      <c r="H98" s="14">
        <v>17.647778988313547</v>
      </c>
      <c r="I98" s="14">
        <v>45.451396029504622</v>
      </c>
      <c r="J98" s="14">
        <v>0</v>
      </c>
      <c r="K98" s="14">
        <v>1.4306386171374537</v>
      </c>
      <c r="L98" s="14">
        <v>0.69898854121587117</v>
      </c>
      <c r="M98" s="14">
        <v>0.57352009806762227</v>
      </c>
      <c r="N98" s="14">
        <v>3.0993928153207362</v>
      </c>
      <c r="O98" s="14">
        <v>1216.387704300776</v>
      </c>
      <c r="P98" s="8">
        <v>3.0993928153207362</v>
      </c>
      <c r="Q98" s="54">
        <v>0.15057304288677628</v>
      </c>
    </row>
    <row r="99" spans="1:17">
      <c r="A99" s="2" t="s">
        <v>443</v>
      </c>
      <c r="B99" s="16" t="s">
        <v>444</v>
      </c>
      <c r="D99" s="14">
        <v>1</v>
      </c>
      <c r="E99" s="14">
        <v>0.88242282719939169</v>
      </c>
      <c r="F99" s="14">
        <v>0.86638473234714719</v>
      </c>
      <c r="G99" s="14">
        <v>4.6665860464158803E-31</v>
      </c>
      <c r="H99" s="14">
        <v>4.199240906674393</v>
      </c>
      <c r="I99" s="14">
        <v>12.213157596798393</v>
      </c>
      <c r="J99" s="14">
        <v>0</v>
      </c>
      <c r="K99" s="14">
        <v>1.1542216323351773</v>
      </c>
      <c r="L99" s="14">
        <v>0.8663847323471473</v>
      </c>
      <c r="M99" s="14">
        <v>0.71086867289083433</v>
      </c>
      <c r="N99" s="14">
        <v>1.4137775670164057</v>
      </c>
      <c r="O99" s="14">
        <v>1104.075453185792</v>
      </c>
      <c r="P99" s="8">
        <v>1.4137775670164059</v>
      </c>
      <c r="Q99" s="54">
        <v>7.8963785700161479E-2</v>
      </c>
    </row>
    <row r="100" spans="1:17">
      <c r="A100" s="2" t="s">
        <v>445</v>
      </c>
      <c r="B100" s="16" t="s">
        <v>446</v>
      </c>
      <c r="D100" s="14">
        <v>1</v>
      </c>
      <c r="E100" s="14">
        <v>0.86357705493875014</v>
      </c>
      <c r="F100" s="14">
        <v>3.3373188610441532E-3</v>
      </c>
      <c r="G100" s="14">
        <v>5.4977652335164593E-10</v>
      </c>
      <c r="H100" s="14">
        <v>148.68176326815174</v>
      </c>
      <c r="I100" s="14">
        <v>887.18639578654972</v>
      </c>
      <c r="J100" s="14">
        <v>0</v>
      </c>
      <c r="K100" s="14">
        <v>299.6417308734857</v>
      </c>
      <c r="L100" s="14">
        <v>3.3373188610441532E-3</v>
      </c>
      <c r="M100" s="14">
        <v>2.7382701254867279E-3</v>
      </c>
      <c r="N100" s="14">
        <v>51.879797155271987</v>
      </c>
      <c r="O100" s="14">
        <v>15895.969848375336</v>
      </c>
      <c r="P100" s="8">
        <v>51.879797155271994</v>
      </c>
      <c r="Q100" s="54">
        <v>7.7377532023900214E-2</v>
      </c>
    </row>
    <row r="101" spans="1:17">
      <c r="A101" s="2" t="s">
        <v>447</v>
      </c>
      <c r="B101" s="16" t="s">
        <v>448</v>
      </c>
      <c r="D101" s="14">
        <v>1</v>
      </c>
      <c r="E101" s="14">
        <v>0.68299147027445828</v>
      </c>
      <c r="F101" s="14">
        <v>0.17691025155732776</v>
      </c>
      <c r="G101" s="14">
        <v>4.9075133278064054E-11</v>
      </c>
      <c r="H101" s="14">
        <v>118.20422503678948</v>
      </c>
      <c r="I101" s="14">
        <v>239.16089545358304</v>
      </c>
      <c r="J101" s="14">
        <v>0</v>
      </c>
      <c r="K101" s="14">
        <v>5.6525836756042942</v>
      </c>
      <c r="L101" s="14">
        <v>0.17691025155732776</v>
      </c>
      <c r="M101" s="14">
        <v>0.14515486140278741</v>
      </c>
      <c r="N101" s="14">
        <v>13.579306987322061</v>
      </c>
      <c r="O101" s="14">
        <v>4573.7821794698166</v>
      </c>
      <c r="P101" s="8">
        <v>13.579306987322061</v>
      </c>
      <c r="Q101" s="54">
        <v>0.21013102105252052</v>
      </c>
    </row>
    <row r="102" spans="1:17">
      <c r="A102" s="2" t="s">
        <v>449</v>
      </c>
      <c r="B102" s="16" t="s">
        <v>450</v>
      </c>
      <c r="D102" s="14">
        <v>1</v>
      </c>
      <c r="E102" s="14">
        <v>0.8030702590701414</v>
      </c>
      <c r="F102" s="14">
        <v>3.8877742342068609E-2</v>
      </c>
      <c r="G102" s="14">
        <v>2.1751515690760143E-6</v>
      </c>
      <c r="H102" s="14">
        <v>182.66739576038668</v>
      </c>
      <c r="I102" s="14">
        <v>320.12398019861735</v>
      </c>
      <c r="J102" s="14">
        <v>0</v>
      </c>
      <c r="K102" s="14">
        <v>25.721658197161453</v>
      </c>
      <c r="L102" s="14">
        <v>3.8877742342068609E-2</v>
      </c>
      <c r="M102" s="14">
        <v>3.1899187591667294E-2</v>
      </c>
      <c r="N102" s="14">
        <v>18.256053241162729</v>
      </c>
      <c r="O102" s="14">
        <v>8490.7078019323726</v>
      </c>
      <c r="P102" s="8">
        <v>18.256053241162729</v>
      </c>
      <c r="Q102" s="54">
        <v>0.12761984357596343</v>
      </c>
    </row>
    <row r="103" spans="1:17">
      <c r="A103" s="2" t="s">
        <v>451</v>
      </c>
      <c r="B103" s="16" t="s">
        <v>452</v>
      </c>
      <c r="D103" s="14">
        <v>1</v>
      </c>
      <c r="E103" s="14">
        <v>0.99944366122932904</v>
      </c>
      <c r="F103" s="14">
        <v>0.897916527925264</v>
      </c>
      <c r="G103" s="14">
        <v>4.8879546075440849E-21</v>
      </c>
      <c r="H103" s="14">
        <v>29.848050146930714</v>
      </c>
      <c r="I103" s="14">
        <v>2.6819630441991066E-2</v>
      </c>
      <c r="J103" s="14">
        <v>0</v>
      </c>
      <c r="K103" s="14">
        <v>1.1136892672090704</v>
      </c>
      <c r="L103" s="14">
        <v>0.897916527925264</v>
      </c>
      <c r="M103" s="14">
        <v>0.73674051116267913</v>
      </c>
      <c r="N103" s="14">
        <v>1.0442666592856735</v>
      </c>
      <c r="O103" s="14">
        <v>345.38075489214367</v>
      </c>
      <c r="P103" s="8">
        <v>1.0442666592856735</v>
      </c>
      <c r="Q103" s="54">
        <v>7.9479072295350535E-5</v>
      </c>
    </row>
    <row r="104" spans="1:17">
      <c r="A104" s="2" t="s">
        <v>453</v>
      </c>
      <c r="B104" s="16" t="s">
        <v>454</v>
      </c>
      <c r="D104" s="14">
        <v>1</v>
      </c>
      <c r="E104" s="14">
        <v>0.99823269872004361</v>
      </c>
      <c r="F104" s="14">
        <v>1.1139670278613806E-2</v>
      </c>
      <c r="G104" s="14">
        <v>1.2530699033197661E-22</v>
      </c>
      <c r="H104" s="14">
        <v>280.26723979947002</v>
      </c>
      <c r="I104" s="14">
        <v>2.7478916357601104</v>
      </c>
      <c r="J104" s="14">
        <v>0</v>
      </c>
      <c r="K104" s="14">
        <v>89.769263810242464</v>
      </c>
      <c r="L104" s="14">
        <v>1.1139670278613806E-2</v>
      </c>
      <c r="M104" s="14">
        <v>9.140099463602629E-3</v>
      </c>
      <c r="N104" s="14">
        <v>2.5580022969130489</v>
      </c>
      <c r="O104" s="14">
        <v>1263.653134675046</v>
      </c>
      <c r="P104" s="8">
        <v>2.5580022969130489</v>
      </c>
      <c r="Q104" s="54">
        <v>4.6773471279563987E-4</v>
      </c>
    </row>
    <row r="105" spans="1:17">
      <c r="A105" s="2" t="s">
        <v>455</v>
      </c>
      <c r="B105" s="164">
        <v>354656</v>
      </c>
      <c r="D105" s="14">
        <v>1</v>
      </c>
      <c r="E105" s="14">
        <v>0.96952950696055284</v>
      </c>
      <c r="F105" s="14">
        <v>0.97195623241315876</v>
      </c>
      <c r="G105" s="14">
        <v>4.0940693653898849E-12</v>
      </c>
      <c r="H105" s="14">
        <v>0.27920726141638902</v>
      </c>
      <c r="I105" s="14">
        <v>0.99996288227923247</v>
      </c>
      <c r="J105" s="14">
        <v>0</v>
      </c>
      <c r="K105" s="14">
        <v>1.028852911943591</v>
      </c>
      <c r="L105" s="14">
        <v>0.97195623241315876</v>
      </c>
      <c r="M105" s="14">
        <v>0.79749008869499682</v>
      </c>
      <c r="N105" s="14">
        <v>0.89637973900299128</v>
      </c>
      <c r="O105" s="14">
        <v>176.75712073399984</v>
      </c>
      <c r="P105" s="8">
        <v>0.89637973900299128</v>
      </c>
      <c r="Q105" s="54">
        <v>2.0313458896904783E-2</v>
      </c>
    </row>
    <row r="106" spans="1:17">
      <c r="A106" s="2" t="s">
        <v>457</v>
      </c>
      <c r="B106" s="16" t="s">
        <v>458</v>
      </c>
      <c r="D106" s="14">
        <v>1</v>
      </c>
      <c r="E106" s="14">
        <v>0.93897042955454424</v>
      </c>
      <c r="F106" s="14">
        <v>0.93717636436460028</v>
      </c>
      <c r="G106" s="14">
        <v>6.0666023016338293E-12</v>
      </c>
      <c r="H106" s="14">
        <v>1.1509131782732434</v>
      </c>
      <c r="I106" s="14">
        <v>3.6794226377534436</v>
      </c>
      <c r="J106" s="14">
        <v>0</v>
      </c>
      <c r="K106" s="14">
        <v>1.0670350192602156</v>
      </c>
      <c r="L106" s="14">
        <v>0.93717636436460028</v>
      </c>
      <c r="M106" s="14">
        <v>0.76895320696115455</v>
      </c>
      <c r="N106" s="14">
        <v>1.0216960756631228</v>
      </c>
      <c r="O106" s="14">
        <v>163.65527739971901</v>
      </c>
      <c r="P106" s="8">
        <v>1.0216960756631228</v>
      </c>
      <c r="Q106" s="54">
        <v>4.0905308844686211E-2</v>
      </c>
    </row>
    <row r="107" spans="1:17">
      <c r="A107" s="2" t="s">
        <v>459</v>
      </c>
      <c r="B107" s="16" t="s">
        <v>460</v>
      </c>
      <c r="D107" s="14">
        <v>1</v>
      </c>
      <c r="E107" s="14">
        <v>0.85379483765864694</v>
      </c>
      <c r="F107" s="14">
        <v>2.0898062193473448E-2</v>
      </c>
      <c r="G107" s="14">
        <v>5.0820913931517516E-22</v>
      </c>
      <c r="H107" s="14">
        <v>201.48518178473952</v>
      </c>
      <c r="I107" s="14">
        <v>326.50731810368706</v>
      </c>
      <c r="J107" s="14">
        <v>0</v>
      </c>
      <c r="K107" s="14">
        <v>47.851326632203438</v>
      </c>
      <c r="L107" s="14">
        <v>2.0898062193473451E-2</v>
      </c>
      <c r="M107" s="14">
        <v>1.7146860029744967E-2</v>
      </c>
      <c r="N107" s="14">
        <v>22.76573588345406</v>
      </c>
      <c r="O107" s="14">
        <v>12098.395020543991</v>
      </c>
      <c r="P107" s="8">
        <v>22.76573588345406</v>
      </c>
      <c r="Q107" s="54">
        <v>9.2234398457454028E-2</v>
      </c>
    </row>
    <row r="108" spans="1:17">
      <c r="A108" s="2" t="s">
        <v>461</v>
      </c>
      <c r="B108" s="16" t="s">
        <v>462</v>
      </c>
      <c r="D108" s="14">
        <v>1</v>
      </c>
      <c r="E108" s="14">
        <v>0.99957699395808486</v>
      </c>
      <c r="F108" s="14">
        <v>1.00347991558561</v>
      </c>
      <c r="G108" s="14">
        <v>1.2226033120355138E-11</v>
      </c>
      <c r="H108" s="14">
        <v>2.4982129533790503E-3</v>
      </c>
      <c r="I108" s="14">
        <v>6.7042878563635722E-4</v>
      </c>
      <c r="J108" s="14">
        <v>0</v>
      </c>
      <c r="K108" s="14">
        <v>0.99653215223188651</v>
      </c>
      <c r="L108" s="14">
        <v>1.0034799155856102</v>
      </c>
      <c r="M108" s="14">
        <v>0.82335527073799308</v>
      </c>
      <c r="N108" s="14">
        <v>0.87484251447243744</v>
      </c>
      <c r="O108" s="14">
        <v>112.99465916926002</v>
      </c>
      <c r="P108" s="8">
        <v>0.87484251447243744</v>
      </c>
      <c r="Q108" s="54">
        <v>3.7510482708299884E-5</v>
      </c>
    </row>
    <row r="109" spans="1:17">
      <c r="A109" s="2" t="s">
        <v>463</v>
      </c>
      <c r="B109" s="16" t="s">
        <v>464</v>
      </c>
      <c r="D109" s="14">
        <v>1</v>
      </c>
      <c r="E109" s="14">
        <v>0.97567984156312926</v>
      </c>
      <c r="F109" s="14">
        <v>0.91904574077873891</v>
      </c>
      <c r="G109" s="14">
        <v>3.1046410027095498E-14</v>
      </c>
      <c r="H109" s="14">
        <v>16.304432791195445</v>
      </c>
      <c r="I109" s="14">
        <v>7.5036641255264893</v>
      </c>
      <c r="J109" s="14">
        <v>0</v>
      </c>
      <c r="K109" s="14">
        <v>1.0880851252873069</v>
      </c>
      <c r="L109" s="14">
        <v>0.91904574077873902</v>
      </c>
      <c r="M109" s="14">
        <v>0.75407703030895534</v>
      </c>
      <c r="N109" s="14">
        <v>14.761147506305399</v>
      </c>
      <c r="O109" s="14">
        <v>4425.3920223903588</v>
      </c>
      <c r="P109" s="8">
        <v>14.761147506305399</v>
      </c>
      <c r="Q109" s="54">
        <v>1.2231321624964226E-2</v>
      </c>
    </row>
    <row r="110" spans="1:17">
      <c r="A110" s="2" t="s">
        <v>465</v>
      </c>
      <c r="B110" s="16" t="s">
        <v>466</v>
      </c>
      <c r="D110" s="14">
        <v>1</v>
      </c>
      <c r="E110" s="14">
        <v>0.99337943125434991</v>
      </c>
      <c r="F110" s="14">
        <v>0.99699836760612515</v>
      </c>
      <c r="G110" s="14">
        <v>2.3211384398025747E-13</v>
      </c>
      <c r="H110" s="14">
        <v>6.3881403212194487E-2</v>
      </c>
      <c r="I110" s="14">
        <v>0.1131625143123674</v>
      </c>
      <c r="J110" s="14">
        <v>0</v>
      </c>
      <c r="K110" s="14">
        <v>1.0030106693164222</v>
      </c>
      <c r="L110" s="14">
        <v>0.99699836760612526</v>
      </c>
      <c r="M110" s="14">
        <v>0.81803716062082577</v>
      </c>
      <c r="N110" s="14">
        <v>0.8713789679874856</v>
      </c>
      <c r="O110" s="14">
        <v>207.52761501589956</v>
      </c>
      <c r="P110" s="8">
        <v>0.8713789679874856</v>
      </c>
      <c r="Q110" s="54">
        <v>4.2218479517885403E-3</v>
      </c>
    </row>
    <row r="111" spans="1:17">
      <c r="A111" s="2" t="s">
        <v>467</v>
      </c>
      <c r="B111" s="16" t="s">
        <v>468</v>
      </c>
      <c r="D111" s="14">
        <v>1</v>
      </c>
      <c r="E111" s="14">
        <v>0.99962869176930103</v>
      </c>
      <c r="F111" s="14">
        <v>1.0035248465825755</v>
      </c>
      <c r="G111" s="14">
        <v>4.1260094372493347E-32</v>
      </c>
      <c r="H111" s="14">
        <v>4.5399192657924288E-3</v>
      </c>
      <c r="I111" s="14">
        <v>3.4728153607089806E-5</v>
      </c>
      <c r="J111" s="14">
        <v>0</v>
      </c>
      <c r="K111" s="14">
        <v>0.99648753432007287</v>
      </c>
      <c r="L111" s="14">
        <v>1.0035248465825755</v>
      </c>
      <c r="M111" s="14">
        <v>0.82339213662100319</v>
      </c>
      <c r="N111" s="14">
        <v>0.87069114294128513</v>
      </c>
      <c r="O111" s="14">
        <v>400.89232294445588</v>
      </c>
      <c r="P111" s="8">
        <v>0.87069114294128513</v>
      </c>
      <c r="Q111" s="54">
        <v>3.7921166979459325E-6</v>
      </c>
    </row>
    <row r="112" spans="1:17">
      <c r="A112" s="2" t="s">
        <v>469</v>
      </c>
      <c r="B112" s="16" t="s">
        <v>470</v>
      </c>
      <c r="D112" s="14">
        <v>1</v>
      </c>
      <c r="E112" s="14">
        <v>0.9915324153668803</v>
      </c>
      <c r="F112" s="14">
        <v>0.99529874736295809</v>
      </c>
      <c r="G112" s="14">
        <v>2.6080261712209179E-15</v>
      </c>
      <c r="H112" s="14">
        <v>2.2033498356267688E-2</v>
      </c>
      <c r="I112" s="14">
        <v>9.5310473750590902E-2</v>
      </c>
      <c r="J112" s="14">
        <v>0</v>
      </c>
      <c r="K112" s="14">
        <v>1.0047234588102294</v>
      </c>
      <c r="L112" s="14">
        <v>0.99529874736295809</v>
      </c>
      <c r="M112" s="14">
        <v>0.81664262221130712</v>
      </c>
      <c r="N112" s="14">
        <v>0.86845772274061173</v>
      </c>
      <c r="O112" s="14">
        <v>178.25094759251056</v>
      </c>
      <c r="P112" s="8">
        <v>0.86845772274061173</v>
      </c>
      <c r="Q112" s="54">
        <v>5.4694118628004886E-3</v>
      </c>
    </row>
    <row r="113" spans="1:17">
      <c r="A113" s="2" t="s">
        <v>471</v>
      </c>
      <c r="B113" s="16" t="s">
        <v>472</v>
      </c>
      <c r="D113" s="14">
        <v>1</v>
      </c>
      <c r="E113" s="14">
        <v>0.95415219545439256</v>
      </c>
      <c r="F113" s="14">
        <v>0.95487022954780931</v>
      </c>
      <c r="G113" s="14">
        <v>3.2094664563601281E-11</v>
      </c>
      <c r="H113" s="14">
        <v>0.62604327306174756</v>
      </c>
      <c r="I113" s="14">
        <v>2.1098983092422272</v>
      </c>
      <c r="J113" s="14">
        <v>0</v>
      </c>
      <c r="K113" s="14">
        <v>1.047262726447721</v>
      </c>
      <c r="L113" s="14">
        <v>0.95487022954780931</v>
      </c>
      <c r="M113" s="14">
        <v>0.78347102334397756</v>
      </c>
      <c r="N113" s="14">
        <v>0.94120045298465382</v>
      </c>
      <c r="O113" s="14">
        <v>142.27186047316027</v>
      </c>
      <c r="P113" s="8">
        <v>0.94120045298465382</v>
      </c>
      <c r="Q113" s="54">
        <v>3.0680435790112946E-2</v>
      </c>
    </row>
    <row r="114" spans="1:17">
      <c r="A114" s="2" t="s">
        <v>473</v>
      </c>
      <c r="B114" s="16" t="s">
        <v>474</v>
      </c>
      <c r="D114" s="14">
        <v>1</v>
      </c>
      <c r="E114" s="14">
        <v>0.99543396141984342</v>
      </c>
      <c r="F114" s="14">
        <v>0.99929566932975222</v>
      </c>
      <c r="G114" s="14">
        <v>2.5600789853563633E-18</v>
      </c>
      <c r="H114" s="14">
        <v>6.4158470976760458E-3</v>
      </c>
      <c r="I114" s="14">
        <v>2.9928449941723532E-2</v>
      </c>
      <c r="J114" s="14">
        <v>0</v>
      </c>
      <c r="K114" s="14">
        <v>1.0007048271015926</v>
      </c>
      <c r="L114" s="14">
        <v>0.99929566932975222</v>
      </c>
      <c r="M114" s="14">
        <v>0.81992209668506177</v>
      </c>
      <c r="N114" s="14">
        <v>0.86849987562448339</v>
      </c>
      <c r="O114" s="14">
        <v>294.73411779192469</v>
      </c>
      <c r="P114" s="8">
        <v>0.8684998756244835</v>
      </c>
      <c r="Q114" s="54">
        <v>2.8358563268660038E-3</v>
      </c>
    </row>
    <row r="115" spans="1:17">
      <c r="A115" s="2" t="s">
        <v>475</v>
      </c>
      <c r="B115" s="16" t="s">
        <v>476</v>
      </c>
      <c r="D115" s="14">
        <v>1</v>
      </c>
      <c r="E115" s="14">
        <v>0.99954481460593447</v>
      </c>
      <c r="F115" s="14">
        <v>0.9759042048150105</v>
      </c>
      <c r="G115" s="14">
        <v>1.3239182870505227E-14</v>
      </c>
      <c r="H115" s="14">
        <v>7.7995076651556383</v>
      </c>
      <c r="I115" s="14">
        <v>8.6499312927487432E-3</v>
      </c>
      <c r="J115" s="14">
        <v>0</v>
      </c>
      <c r="K115" s="14">
        <v>1.0246907381545272</v>
      </c>
      <c r="L115" s="14">
        <v>0.9759042048150105</v>
      </c>
      <c r="M115" s="14">
        <v>0.80072940005071613</v>
      </c>
      <c r="N115" s="14">
        <v>0.92268807835868361</v>
      </c>
      <c r="O115" s="14">
        <v>177.27606049505388</v>
      </c>
      <c r="P115" s="8">
        <v>0.92268807835868372</v>
      </c>
      <c r="Q115" s="54">
        <v>4.5668069975341294E-5</v>
      </c>
    </row>
    <row r="116" spans="1:17">
      <c r="A116" s="2" t="s">
        <v>477</v>
      </c>
      <c r="B116" s="16" t="s">
        <v>478</v>
      </c>
      <c r="D116" s="14">
        <v>1</v>
      </c>
      <c r="E116" s="14">
        <v>0.91959488563093439</v>
      </c>
      <c r="F116" s="14">
        <v>0.12683292198992216</v>
      </c>
      <c r="G116" s="14">
        <v>3.5238008603656987E-19</v>
      </c>
      <c r="H116" s="14">
        <v>220.12780533948654</v>
      </c>
      <c r="I116" s="14">
        <v>49.365102099074853</v>
      </c>
      <c r="J116" s="14">
        <v>0</v>
      </c>
      <c r="K116" s="14">
        <v>7.8843882511786463</v>
      </c>
      <c r="L116" s="14">
        <v>0.12683292198992216</v>
      </c>
      <c r="M116" s="14">
        <v>0.10406641249273113</v>
      </c>
      <c r="N116" s="14">
        <v>148.32191767425078</v>
      </c>
      <c r="O116" s="14">
        <v>67427.143774714408</v>
      </c>
      <c r="P116" s="8">
        <v>148.32191767425078</v>
      </c>
      <c r="Q116" s="54">
        <v>1.2224188538469172E-2</v>
      </c>
    </row>
    <row r="117" spans="1:17">
      <c r="A117" s="2" t="s">
        <v>291</v>
      </c>
      <c r="B117" s="16" t="s">
        <v>479</v>
      </c>
      <c r="D117" s="14">
        <v>1</v>
      </c>
      <c r="E117" s="14">
        <v>0.68413550349152441</v>
      </c>
      <c r="F117" s="14">
        <v>0.47284053389217501</v>
      </c>
      <c r="G117" s="14">
        <v>3.2607926748703958E-12</v>
      </c>
      <c r="H117" s="14">
        <v>48.42779541272953</v>
      </c>
      <c r="I117" s="14">
        <v>112.49983093822924</v>
      </c>
      <c r="J117" s="14">
        <v>0</v>
      </c>
      <c r="K117" s="14">
        <v>2.114877909828341</v>
      </c>
      <c r="L117" s="14">
        <v>0.47284053389217501</v>
      </c>
      <c r="M117" s="14">
        <v>0.38796565805852962</v>
      </c>
      <c r="N117" s="14">
        <v>6.6421593249905015</v>
      </c>
      <c r="O117" s="14">
        <v>2047.9769846743213</v>
      </c>
      <c r="P117" s="8">
        <v>6.6421593249905015</v>
      </c>
      <c r="Q117" s="54">
        <v>0.21132548277649313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2.620844988358541E-8</v>
      </c>
      <c r="E2" s="20">
        <v>0.97626632239436728</v>
      </c>
      <c r="F2" s="20">
        <v>6.0022703119154072E-4</v>
      </c>
      <c r="G2" s="20">
        <v>2.4088574777470948E-4</v>
      </c>
      <c r="H2" s="20">
        <v>0</v>
      </c>
      <c r="I2" s="20">
        <v>0.97542520961540102</v>
      </c>
      <c r="J2" s="20">
        <v>3.709135454843092E-4</v>
      </c>
      <c r="K2" s="20">
        <v>2.3362737851698508E-2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1.9927506708179011E-8</v>
      </c>
      <c r="E3" s="20">
        <v>0.69590290462970172</v>
      </c>
      <c r="F3" s="20">
        <v>0.18507864326295703</v>
      </c>
      <c r="G3" s="20">
        <v>4.4961883915235396E-2</v>
      </c>
      <c r="H3" s="20">
        <v>0</v>
      </c>
      <c r="I3" s="20">
        <v>0.46586237745150927</v>
      </c>
      <c r="J3" s="20">
        <v>3.5191168605786896E-3</v>
      </c>
      <c r="K3" s="20">
        <v>0.30057795858221298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1.3598336135879469E-17</v>
      </c>
      <c r="E4" s="20">
        <v>0.99954387100304432</v>
      </c>
      <c r="F4" s="20">
        <v>4.2165765331651669E-4</v>
      </c>
      <c r="G4" s="20">
        <v>4.6436088387158905E-7</v>
      </c>
      <c r="H4" s="20">
        <v>0</v>
      </c>
      <c r="I4" s="20">
        <v>0.99912174898884387</v>
      </c>
      <c r="J4" s="20">
        <v>4.3548621336164672E-4</v>
      </c>
      <c r="K4" s="20">
        <v>2.0642783594007647E-5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2.2632408474154134E-10</v>
      </c>
      <c r="E5" s="20">
        <v>0.99918916654451151</v>
      </c>
      <c r="F5" s="20">
        <v>0.45187014954640231</v>
      </c>
      <c r="G5" s="20">
        <v>3.5865172055381047E-5</v>
      </c>
      <c r="H5" s="20">
        <v>0</v>
      </c>
      <c r="I5" s="20">
        <v>0.5472831518260538</v>
      </c>
      <c r="J5" s="20">
        <v>6.2282123788389907E-4</v>
      </c>
      <c r="K5" s="20">
        <v>1.8801199128059171E-4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1.8564387651144869E-11</v>
      </c>
      <c r="E6" s="20">
        <v>0.99857390937133839</v>
      </c>
      <c r="F6" s="20">
        <v>0.67451082033187326</v>
      </c>
      <c r="G6" s="20">
        <v>1.9560567332559429E-4</v>
      </c>
      <c r="H6" s="20">
        <v>0</v>
      </c>
      <c r="I6" s="20">
        <v>0.32386748336613952</v>
      </c>
      <c r="J6" s="20">
        <v>7.2124487309747226E-4</v>
      </c>
      <c r="K6" s="20">
        <v>7.0484573699984262E-4</v>
      </c>
      <c r="L6" s="20">
        <v>0</v>
      </c>
    </row>
    <row r="7" spans="1:14">
      <c r="A7" s="2" t="s">
        <v>366</v>
      </c>
      <c r="B7" s="3" t="s">
        <v>305</v>
      </c>
      <c r="D7" s="20">
        <v>1.6191166706490087E-7</v>
      </c>
      <c r="E7" s="20">
        <v>0.99542092321577902</v>
      </c>
      <c r="F7" s="20">
        <v>0.88608163012361174</v>
      </c>
      <c r="G7" s="20">
        <v>1.8037188200111616E-3</v>
      </c>
      <c r="H7" s="20">
        <v>0</v>
      </c>
      <c r="I7" s="20">
        <v>0.10753557427215608</v>
      </c>
      <c r="J7" s="20">
        <v>8.5601404618540163E-4</v>
      </c>
      <c r="K7" s="20">
        <v>3.7229008263686509E-3</v>
      </c>
      <c r="L7" s="20">
        <v>0</v>
      </c>
    </row>
    <row r="8" spans="1:14">
      <c r="A8" s="2" t="s">
        <v>289</v>
      </c>
      <c r="B8" s="3" t="s">
        <v>290</v>
      </c>
      <c r="D8" s="20">
        <v>1.1501745270077845E-17</v>
      </c>
      <c r="E8" s="20">
        <v>0.99890746782701967</v>
      </c>
      <c r="F8" s="20">
        <v>0.76914960483432449</v>
      </c>
      <c r="G8" s="20">
        <v>1.1695947396035469E-4</v>
      </c>
      <c r="H8" s="20">
        <v>0</v>
      </c>
      <c r="I8" s="20">
        <v>0.22964090351873484</v>
      </c>
      <c r="J8" s="20">
        <v>7.448775275595887E-4</v>
      </c>
      <c r="K8" s="20">
        <v>3.4765464542071012E-4</v>
      </c>
      <c r="L8" s="20">
        <v>0</v>
      </c>
    </row>
    <row r="9" spans="1:14">
      <c r="A9" s="2" t="s">
        <v>291</v>
      </c>
      <c r="B9" s="3" t="s">
        <v>292</v>
      </c>
      <c r="D9" s="20">
        <v>4.8218127725393287E-13</v>
      </c>
      <c r="E9" s="20">
        <v>0.99854791002920906</v>
      </c>
      <c r="F9" s="20">
        <v>0.38479636288878316</v>
      </c>
      <c r="G9" s="20">
        <v>1.4584881570825167E-4</v>
      </c>
      <c r="H9" s="20">
        <v>0</v>
      </c>
      <c r="I9" s="20">
        <v>0.61360569832471767</v>
      </c>
      <c r="J9" s="20">
        <v>5.9738636174875778E-4</v>
      </c>
      <c r="K9" s="20">
        <v>8.5470360855985556E-4</v>
      </c>
      <c r="L9" s="20">
        <v>0</v>
      </c>
    </row>
    <row r="10" spans="1:14">
      <c r="A10" s="2" t="s">
        <v>367</v>
      </c>
      <c r="B10" s="3" t="s">
        <v>368</v>
      </c>
      <c r="D10" s="20">
        <v>1.44314947335495E-5</v>
      </c>
      <c r="E10" s="20">
        <v>0.88204196039616445</v>
      </c>
      <c r="F10" s="20">
        <v>0.74213947060817975</v>
      </c>
      <c r="G10" s="20">
        <v>0.12962270658159511</v>
      </c>
      <c r="H10" s="20">
        <v>0</v>
      </c>
      <c r="I10" s="20">
        <v>1.0279783206389538E-2</v>
      </c>
      <c r="J10" s="20">
        <v>8.2468694334679599E-3</v>
      </c>
      <c r="K10" s="20">
        <v>0.10969673867563405</v>
      </c>
      <c r="L10" s="20">
        <v>0</v>
      </c>
    </row>
    <row r="11" spans="1:14">
      <c r="A11" s="2" t="s">
        <v>369</v>
      </c>
      <c r="B11" s="3" t="s">
        <v>370</v>
      </c>
      <c r="D11" s="20">
        <v>5.7268563437782241E-12</v>
      </c>
      <c r="E11" s="20">
        <v>0.92948148261099195</v>
      </c>
      <c r="F11" s="20">
        <v>0.5367386624771151</v>
      </c>
      <c r="G11" s="20">
        <v>0.39215454389747684</v>
      </c>
      <c r="H11" s="20">
        <v>0</v>
      </c>
      <c r="I11" s="20">
        <v>5.8827623640002324E-4</v>
      </c>
      <c r="J11" s="20">
        <v>5.3466731049964224E-2</v>
      </c>
      <c r="K11" s="20">
        <v>1.7051786333317043E-2</v>
      </c>
      <c r="L11" s="20">
        <v>0</v>
      </c>
    </row>
    <row r="12" spans="1:14">
      <c r="A12" s="2" t="s">
        <v>371</v>
      </c>
      <c r="B12" s="3" t="s">
        <v>372</v>
      </c>
      <c r="D12" s="20">
        <v>7.4933503741027224E-2</v>
      </c>
      <c r="E12" s="20">
        <v>0.92053355481961607</v>
      </c>
      <c r="F12" s="20">
        <v>2.587447987860564E-5</v>
      </c>
      <c r="G12" s="20">
        <v>1.2825064072059012E-5</v>
      </c>
      <c r="H12" s="20">
        <v>0</v>
      </c>
      <c r="I12" s="20">
        <v>0.92049485527566544</v>
      </c>
      <c r="J12" s="20">
        <v>3.3755303028709427E-4</v>
      </c>
      <c r="K12" s="20">
        <v>4.1953884090696518E-3</v>
      </c>
      <c r="L12" s="20">
        <v>0</v>
      </c>
    </row>
    <row r="13" spans="1:14">
      <c r="A13" s="2" t="s">
        <v>293</v>
      </c>
      <c r="B13" s="3" t="s">
        <v>294</v>
      </c>
      <c r="D13" s="20">
        <v>1.7492403966654333E-8</v>
      </c>
      <c r="E13" s="20">
        <v>0.69994156667524288</v>
      </c>
      <c r="F13" s="20">
        <v>0.14032133672456779</v>
      </c>
      <c r="G13" s="20">
        <v>3.5993101289693775E-2</v>
      </c>
      <c r="H13" s="20">
        <v>0</v>
      </c>
      <c r="I13" s="20">
        <v>0.52362712866098127</v>
      </c>
      <c r="J13" s="20">
        <v>2.3905874342646598E-3</v>
      </c>
      <c r="K13" s="20">
        <v>0.29766782839808853</v>
      </c>
      <c r="L13" s="20">
        <v>0</v>
      </c>
    </row>
    <row r="14" spans="1:14">
      <c r="A14" s="2" t="s">
        <v>373</v>
      </c>
      <c r="B14" s="3" t="s">
        <v>374</v>
      </c>
      <c r="D14" s="20">
        <v>8.5672357859194844E-8</v>
      </c>
      <c r="E14" s="20">
        <v>0.99762082005396868</v>
      </c>
      <c r="F14" s="20">
        <v>0.9872802733728262</v>
      </c>
      <c r="G14" s="20">
        <v>1.5467000867598337E-3</v>
      </c>
      <c r="H14" s="20">
        <v>0</v>
      </c>
      <c r="I14" s="20">
        <v>8.7938465943826309E-3</v>
      </c>
      <c r="J14" s="20">
        <v>1.5983321432338779E-3</v>
      </c>
      <c r="K14" s="20">
        <v>7.8076213043960427E-4</v>
      </c>
      <c r="L14" s="20">
        <v>0</v>
      </c>
    </row>
    <row r="15" spans="1:14">
      <c r="A15" s="2" t="s">
        <v>375</v>
      </c>
      <c r="B15" s="3" t="s">
        <v>376</v>
      </c>
      <c r="D15" s="20">
        <v>8.5106211359147907E-2</v>
      </c>
      <c r="E15" s="20">
        <v>0.78707132491545417</v>
      </c>
      <c r="F15" s="20">
        <v>1.9455189821718701E-2</v>
      </c>
      <c r="G15" s="20">
        <v>5.9337743632903953E-3</v>
      </c>
      <c r="H15" s="20">
        <v>0</v>
      </c>
      <c r="I15" s="20">
        <v>0.76168236073044504</v>
      </c>
      <c r="J15" s="20">
        <v>6.3518995007251868E-4</v>
      </c>
      <c r="K15" s="20">
        <v>0.12718727377532538</v>
      </c>
      <c r="L15" s="20">
        <v>0</v>
      </c>
    </row>
    <row r="16" spans="1:14">
      <c r="A16" s="2" t="s">
        <v>377</v>
      </c>
      <c r="B16" s="3" t="s">
        <v>378</v>
      </c>
      <c r="D16" s="20">
        <v>6.6530612079478721E-4</v>
      </c>
      <c r="E16" s="20">
        <v>0.68857554832524426</v>
      </c>
      <c r="F16" s="20">
        <v>0.15984377728095978</v>
      </c>
      <c r="G16" s="20">
        <v>4.0400923195404274E-2</v>
      </c>
      <c r="H16" s="20">
        <v>0</v>
      </c>
      <c r="I16" s="20">
        <v>0.4883308478488802</v>
      </c>
      <c r="J16" s="20">
        <v>2.6504752069449844E-3</v>
      </c>
      <c r="K16" s="20">
        <v>0.30810867034701583</v>
      </c>
      <c r="L16" s="20">
        <v>0</v>
      </c>
    </row>
    <row r="17" spans="1:12">
      <c r="A17" s="2" t="s">
        <v>379</v>
      </c>
      <c r="B17" s="3" t="s">
        <v>380</v>
      </c>
      <c r="D17" s="20">
        <v>2.0007963308548682E-3</v>
      </c>
      <c r="E17" s="20">
        <v>0.69429659414958522</v>
      </c>
      <c r="F17" s="20">
        <v>0.14718959055038758</v>
      </c>
      <c r="G17" s="20">
        <v>3.7546776073071012E-2</v>
      </c>
      <c r="H17" s="20">
        <v>0</v>
      </c>
      <c r="I17" s="20">
        <v>0.50956022752612662</v>
      </c>
      <c r="J17" s="20">
        <v>2.4815837591062998E-3</v>
      </c>
      <c r="K17" s="20">
        <v>0.30122102576045373</v>
      </c>
      <c r="L17" s="20">
        <v>0</v>
      </c>
    </row>
    <row r="18" spans="1:12">
      <c r="A18" s="2" t="s">
        <v>381</v>
      </c>
      <c r="B18" s="3" t="s">
        <v>382</v>
      </c>
      <c r="D18" s="20">
        <v>4.1053246194849344E-8</v>
      </c>
      <c r="E18" s="20">
        <v>0.87792494482719274</v>
      </c>
      <c r="F18" s="20">
        <v>0.23649486675229919</v>
      </c>
      <c r="G18" s="20">
        <v>0.64079228449355174</v>
      </c>
      <c r="H18" s="20">
        <v>0</v>
      </c>
      <c r="I18" s="20">
        <v>6.3779358134182797E-4</v>
      </c>
      <c r="J18" s="20">
        <v>4.2159719570071572E-2</v>
      </c>
      <c r="K18" s="20">
        <v>7.9915294549489493E-2</v>
      </c>
      <c r="L18" s="20">
        <v>0</v>
      </c>
    </row>
    <row r="19" spans="1:12">
      <c r="A19" s="2" t="s">
        <v>383</v>
      </c>
      <c r="B19" s="3" t="s">
        <v>384</v>
      </c>
      <c r="D19" s="20">
        <v>1.1767247421808071E-2</v>
      </c>
      <c r="E19" s="20">
        <v>0.91122479484224694</v>
      </c>
      <c r="F19" s="20">
        <v>6.2827401803552396E-3</v>
      </c>
      <c r="G19" s="20">
        <v>2.108844976364909E-3</v>
      </c>
      <c r="H19" s="20">
        <v>0</v>
      </c>
      <c r="I19" s="20">
        <v>0.90283320968552683</v>
      </c>
      <c r="J19" s="20">
        <v>4.5582652213827407E-4</v>
      </c>
      <c r="K19" s="20">
        <v>7.6552131213806565E-2</v>
      </c>
      <c r="L19" s="20">
        <v>0</v>
      </c>
    </row>
    <row r="20" spans="1:12">
      <c r="A20" s="2" t="s">
        <v>385</v>
      </c>
      <c r="B20" s="3" t="s">
        <v>386</v>
      </c>
      <c r="D20" s="20">
        <v>2.1970179095211671E-2</v>
      </c>
      <c r="E20" s="20">
        <v>0.87631494966357215</v>
      </c>
      <c r="F20" s="20">
        <v>1.120231581431063E-2</v>
      </c>
      <c r="G20" s="20">
        <v>3.5909004668814564E-3</v>
      </c>
      <c r="H20" s="20">
        <v>0</v>
      </c>
      <c r="I20" s="20">
        <v>0.86152173338238003</v>
      </c>
      <c r="J20" s="20">
        <v>5.299033970503934E-4</v>
      </c>
      <c r="K20" s="20">
        <v>0.10118496784416579</v>
      </c>
      <c r="L20" s="20">
        <v>0</v>
      </c>
    </row>
    <row r="21" spans="1:12">
      <c r="A21" s="2" t="s">
        <v>387</v>
      </c>
      <c r="B21" s="3" t="s">
        <v>388</v>
      </c>
      <c r="D21" s="20">
        <v>1.8590648022488222E-3</v>
      </c>
      <c r="E21" s="20">
        <v>0.92712630771375293</v>
      </c>
      <c r="F21" s="20">
        <v>0.78938984837907844</v>
      </c>
      <c r="G21" s="20">
        <v>3.1857427188877081E-2</v>
      </c>
      <c r="H21" s="20">
        <v>0</v>
      </c>
      <c r="I21" s="20">
        <v>0.10587903214579746</v>
      </c>
      <c r="J21" s="20">
        <v>2.5410009588731674E-3</v>
      </c>
      <c r="K21" s="20">
        <v>6.8473626525124967E-2</v>
      </c>
      <c r="L21" s="20">
        <v>0</v>
      </c>
    </row>
    <row r="22" spans="1:12">
      <c r="A22" s="2" t="s">
        <v>295</v>
      </c>
      <c r="B22" s="3" t="s">
        <v>296</v>
      </c>
      <c r="D22" s="20">
        <v>6.5530326684371282E-2</v>
      </c>
      <c r="E22" s="20">
        <v>0.90454144395748781</v>
      </c>
      <c r="F22" s="20">
        <v>1.0127833381436125E-3</v>
      </c>
      <c r="G22" s="20">
        <v>3.888768617292295E-4</v>
      </c>
      <c r="H22" s="20">
        <v>0</v>
      </c>
      <c r="I22" s="20">
        <v>0.90313978375761494</v>
      </c>
      <c r="J22" s="20">
        <v>3.532306834942716E-4</v>
      </c>
      <c r="K22" s="20">
        <v>2.9574998674646639E-2</v>
      </c>
      <c r="L22" s="20">
        <v>0</v>
      </c>
    </row>
    <row r="23" spans="1:12">
      <c r="A23" s="2" t="s">
        <v>389</v>
      </c>
      <c r="B23" s="3" t="s">
        <v>390</v>
      </c>
      <c r="D23" s="20">
        <v>6.8891606400717509E-2</v>
      </c>
      <c r="E23" s="20">
        <v>0.76541774919773398</v>
      </c>
      <c r="F23" s="20">
        <v>3.3607834242928403E-2</v>
      </c>
      <c r="G23" s="20">
        <v>9.8069978914406969E-3</v>
      </c>
      <c r="H23" s="20">
        <v>0</v>
      </c>
      <c r="I23" s="20">
        <v>0.72200291706336484</v>
      </c>
      <c r="J23" s="20">
        <v>8.5591766100022709E-4</v>
      </c>
      <c r="K23" s="20">
        <v>0.16483472674054842</v>
      </c>
      <c r="L23" s="20">
        <v>0</v>
      </c>
    </row>
    <row r="24" spans="1:12">
      <c r="A24" s="2" t="s">
        <v>391</v>
      </c>
      <c r="B24" s="3" t="s">
        <v>392</v>
      </c>
      <c r="D24" s="20">
        <v>1.9629765417828807E-3</v>
      </c>
      <c r="E24" s="20">
        <v>0.66440896581069808</v>
      </c>
      <c r="F24" s="20">
        <v>0.23098795000732597</v>
      </c>
      <c r="G24" s="20">
        <v>5.5755136055316561E-2</v>
      </c>
      <c r="H24" s="20">
        <v>0</v>
      </c>
      <c r="I24" s="20">
        <v>0.3776658797480556</v>
      </c>
      <c r="J24" s="20">
        <v>3.5645501556535015E-3</v>
      </c>
      <c r="K24" s="20">
        <v>0.33006350749186547</v>
      </c>
      <c r="L24" s="20">
        <v>0</v>
      </c>
    </row>
    <row r="25" spans="1:12">
      <c r="A25" s="2" t="s">
        <v>393</v>
      </c>
      <c r="B25" s="3" t="s">
        <v>394</v>
      </c>
      <c r="D25" s="20">
        <v>1.8929445029904873E-4</v>
      </c>
      <c r="E25" s="20">
        <v>0.87291855874757218</v>
      </c>
      <c r="F25" s="20">
        <v>0.2824958657841482</v>
      </c>
      <c r="G25" s="20">
        <v>0.58953236395809316</v>
      </c>
      <c r="H25" s="20">
        <v>0</v>
      </c>
      <c r="I25" s="20">
        <v>8.9032900533080744E-4</v>
      </c>
      <c r="J25" s="20">
        <v>3.8661333526087888E-2</v>
      </c>
      <c r="K25" s="20">
        <v>8.8230813276040709E-2</v>
      </c>
      <c r="L25" s="20">
        <v>0</v>
      </c>
    </row>
    <row r="26" spans="1:12">
      <c r="A26" s="2" t="s">
        <v>395</v>
      </c>
      <c r="B26" s="3" t="s">
        <v>396</v>
      </c>
      <c r="D26" s="20">
        <v>0.13248046083484366</v>
      </c>
      <c r="E26" s="20">
        <v>0.59967130687384462</v>
      </c>
      <c r="F26" s="20">
        <v>0.38161553426134254</v>
      </c>
      <c r="G26" s="20">
        <v>8.232307807417566E-2</v>
      </c>
      <c r="H26" s="20">
        <v>0</v>
      </c>
      <c r="I26" s="20">
        <v>0.13573269453832648</v>
      </c>
      <c r="J26" s="20">
        <v>5.1638632675922976E-3</v>
      </c>
      <c r="K26" s="20">
        <v>0.26268436902371928</v>
      </c>
      <c r="L26" s="20">
        <v>0</v>
      </c>
    </row>
    <row r="27" spans="1:12">
      <c r="A27" s="2" t="s">
        <v>397</v>
      </c>
      <c r="B27" s="3" t="s">
        <v>398</v>
      </c>
      <c r="D27" s="20">
        <v>0.6023612124433706</v>
      </c>
      <c r="E27" s="20">
        <v>0.3181217443668457</v>
      </c>
      <c r="F27" s="20">
        <v>0.25382314074948559</v>
      </c>
      <c r="G27" s="20">
        <v>4.8219951479339218E-2</v>
      </c>
      <c r="H27" s="20">
        <v>0</v>
      </c>
      <c r="I27" s="20">
        <v>1.6078652138020885E-2</v>
      </c>
      <c r="J27" s="20">
        <v>3.0385364608170517E-3</v>
      </c>
      <c r="K27" s="20">
        <v>7.6478506728966653E-2</v>
      </c>
      <c r="L27" s="20">
        <v>0</v>
      </c>
    </row>
    <row r="28" spans="1:12">
      <c r="A28" s="2" t="s">
        <v>399</v>
      </c>
      <c r="B28" s="3" t="s">
        <v>400</v>
      </c>
      <c r="D28" s="20">
        <v>0.76565282063893536</v>
      </c>
      <c r="E28" s="20">
        <v>0.16615352663567901</v>
      </c>
      <c r="F28" s="20">
        <v>0.11321555546893119</v>
      </c>
      <c r="G28" s="20">
        <v>2.3845237755748528E-2</v>
      </c>
      <c r="H28" s="20">
        <v>0</v>
      </c>
      <c r="I28" s="20">
        <v>2.9092733410999282E-2</v>
      </c>
      <c r="J28" s="20">
        <v>1.4954260130055673E-3</v>
      </c>
      <c r="K28" s="20">
        <v>6.669822671237978E-2</v>
      </c>
      <c r="L28" s="20">
        <v>0</v>
      </c>
    </row>
    <row r="29" spans="1:12">
      <c r="A29" s="2" t="s">
        <v>297</v>
      </c>
      <c r="B29" s="3" t="s">
        <v>298</v>
      </c>
      <c r="D29" s="20">
        <v>0.93158158432680782</v>
      </c>
      <c r="E29" s="20">
        <v>6.0462193844609068E-2</v>
      </c>
      <c r="F29" s="20">
        <v>9.8785933831738778E-4</v>
      </c>
      <c r="G29" s="20">
        <v>3.1087848369608351E-4</v>
      </c>
      <c r="H29" s="20">
        <v>0</v>
      </c>
      <c r="I29" s="20">
        <v>5.9163456022595595E-2</v>
      </c>
      <c r="J29" s="20">
        <v>4.0267214055610496E-5</v>
      </c>
      <c r="K29" s="20">
        <v>7.9159546145275324E-3</v>
      </c>
      <c r="L29" s="20">
        <v>0</v>
      </c>
    </row>
    <row r="30" spans="1:12">
      <c r="A30" s="2" t="s">
        <v>401</v>
      </c>
      <c r="B30" s="3" t="s">
        <v>402</v>
      </c>
      <c r="D30" s="20">
        <v>0.90864897656463683</v>
      </c>
      <c r="E30" s="20">
        <v>6.4372210245205383E-2</v>
      </c>
      <c r="F30" s="20">
        <v>4.3238473851151836E-2</v>
      </c>
      <c r="G30" s="20">
        <v>9.1572677349990791E-3</v>
      </c>
      <c r="H30" s="20">
        <v>0</v>
      </c>
      <c r="I30" s="20">
        <v>1.1976468659054463E-2</v>
      </c>
      <c r="J30" s="20">
        <v>5.7427704229864537E-4</v>
      </c>
      <c r="K30" s="20">
        <v>2.6404536147859356E-2</v>
      </c>
      <c r="L30" s="20">
        <v>0</v>
      </c>
    </row>
    <row r="31" spans="1:12">
      <c r="A31" s="2" t="s">
        <v>299</v>
      </c>
      <c r="B31" s="3" t="s">
        <v>300</v>
      </c>
      <c r="D31" s="20">
        <v>0.99803235298859394</v>
      </c>
      <c r="E31" s="20">
        <v>1.3154845058911944E-3</v>
      </c>
      <c r="F31" s="20">
        <v>7.0830259811711222E-4</v>
      </c>
      <c r="G31" s="20">
        <v>1.5940956996688695E-4</v>
      </c>
      <c r="H31" s="20">
        <v>0</v>
      </c>
      <c r="I31" s="20">
        <v>4.4777233780719534E-4</v>
      </c>
      <c r="J31" s="20">
        <v>1.0026502035811628E-5</v>
      </c>
      <c r="K31" s="20">
        <v>6.4213600347877127E-4</v>
      </c>
      <c r="L31" s="20">
        <v>0</v>
      </c>
    </row>
    <row r="32" spans="1:12">
      <c r="A32" s="2" t="s">
        <v>343</v>
      </c>
      <c r="B32" s="3" t="s">
        <v>344</v>
      </c>
      <c r="D32" s="20">
        <v>1.9599009773123024E-3</v>
      </c>
      <c r="E32" s="20">
        <v>0.71231863124503669</v>
      </c>
      <c r="F32" s="20">
        <v>0.12003512370167439</v>
      </c>
      <c r="G32" s="20">
        <v>3.1304292995660635E-2</v>
      </c>
      <c r="H32" s="20">
        <v>0</v>
      </c>
      <c r="I32" s="20">
        <v>0.56097921454770172</v>
      </c>
      <c r="J32" s="20">
        <v>2.1147391971736221E-3</v>
      </c>
      <c r="K32" s="20">
        <v>0.28360672858047725</v>
      </c>
      <c r="L32" s="20">
        <v>0</v>
      </c>
    </row>
    <row r="33" spans="1:12">
      <c r="A33" s="2" t="s">
        <v>345</v>
      </c>
      <c r="B33" s="3" t="s">
        <v>346</v>
      </c>
      <c r="D33" s="20">
        <v>8.3551652305225785E-5</v>
      </c>
      <c r="E33" s="20">
        <v>0.78289185908861003</v>
      </c>
      <c r="F33" s="20">
        <v>5.7257088131176935E-2</v>
      </c>
      <c r="G33" s="20">
        <v>1.6044449222231152E-2</v>
      </c>
      <c r="H33" s="20">
        <v>0</v>
      </c>
      <c r="I33" s="20">
        <v>0.70959032173520198</v>
      </c>
      <c r="J33" s="20">
        <v>1.2315440645571522E-3</v>
      </c>
      <c r="K33" s="20">
        <v>0.21579304519452763</v>
      </c>
      <c r="L33" s="20">
        <v>0</v>
      </c>
    </row>
    <row r="34" spans="1:12">
      <c r="A34" s="2" t="s">
        <v>347</v>
      </c>
      <c r="B34" s="3" t="s">
        <v>348</v>
      </c>
      <c r="D34" s="20">
        <v>7.2088179994032203E-5</v>
      </c>
      <c r="E34" s="20">
        <v>0.68405680202795971</v>
      </c>
      <c r="F34" s="20">
        <v>0.41931295062553597</v>
      </c>
      <c r="G34" s="20">
        <v>9.1460554764827937E-2</v>
      </c>
      <c r="H34" s="20">
        <v>0</v>
      </c>
      <c r="I34" s="20">
        <v>0.17328329663759576</v>
      </c>
      <c r="J34" s="20">
        <v>5.7391940543844288E-3</v>
      </c>
      <c r="K34" s="20">
        <v>0.31013191573766197</v>
      </c>
      <c r="L34" s="20">
        <v>0</v>
      </c>
    </row>
    <row r="35" spans="1:12">
      <c r="A35" s="2" t="s">
        <v>349</v>
      </c>
      <c r="B35" s="3" t="s">
        <v>350</v>
      </c>
      <c r="D35" s="20">
        <v>1.3176288300262915E-2</v>
      </c>
      <c r="E35" s="20">
        <v>0.83394442046834205</v>
      </c>
      <c r="F35" s="20">
        <v>0.68939368938967949</v>
      </c>
      <c r="G35" s="20">
        <v>0.12392612182597865</v>
      </c>
      <c r="H35" s="20">
        <v>0</v>
      </c>
      <c r="I35" s="20">
        <v>2.0624609252683928E-2</v>
      </c>
      <c r="J35" s="20">
        <v>7.8433994818774902E-3</v>
      </c>
      <c r="K35" s="20">
        <v>0.14503589174951745</v>
      </c>
      <c r="L35" s="20">
        <v>0</v>
      </c>
    </row>
    <row r="36" spans="1:12">
      <c r="A36" s="2" t="s">
        <v>351</v>
      </c>
      <c r="B36" s="3" t="s">
        <v>352</v>
      </c>
      <c r="D36" s="20">
        <v>3.556506470672347E-4</v>
      </c>
      <c r="E36" s="20">
        <v>0.86543386070350303</v>
      </c>
      <c r="F36" s="20">
        <v>0.58897629816664565</v>
      </c>
      <c r="G36" s="20">
        <v>0.271890086855122</v>
      </c>
      <c r="H36" s="20">
        <v>0</v>
      </c>
      <c r="I36" s="20">
        <v>4.5674756817353258E-3</v>
      </c>
      <c r="J36" s="20">
        <v>1.7501043601313021E-2</v>
      </c>
      <c r="K36" s="20">
        <v>0.11670944504811684</v>
      </c>
      <c r="L36" s="20">
        <v>0</v>
      </c>
    </row>
    <row r="37" spans="1:12">
      <c r="A37" s="2" t="s">
        <v>353</v>
      </c>
      <c r="B37" s="3" t="s">
        <v>354</v>
      </c>
      <c r="D37" s="20">
        <v>2.4146472496971343E-3</v>
      </c>
      <c r="E37" s="20">
        <v>0.87440840612031523</v>
      </c>
      <c r="F37" s="20">
        <v>0.24821493513560855</v>
      </c>
      <c r="G37" s="20">
        <v>0.62549445624235178</v>
      </c>
      <c r="H37" s="20">
        <v>0</v>
      </c>
      <c r="I37" s="20">
        <v>6.9901474235484575E-4</v>
      </c>
      <c r="J37" s="20">
        <v>4.1116080701806966E-2</v>
      </c>
      <c r="K37" s="20">
        <v>8.2060865928180737E-2</v>
      </c>
      <c r="L37" s="20">
        <v>0</v>
      </c>
    </row>
    <row r="38" spans="1:12">
      <c r="A38" s="2" t="s">
        <v>355</v>
      </c>
      <c r="B38" s="3" t="s">
        <v>356</v>
      </c>
      <c r="D38" s="20">
        <v>1.3289981699030179E-4</v>
      </c>
      <c r="E38" s="20">
        <v>0.86336476629929859</v>
      </c>
      <c r="F38" s="20">
        <v>0.46558459028258997</v>
      </c>
      <c r="G38" s="20">
        <v>0.39527027252086488</v>
      </c>
      <c r="H38" s="20">
        <v>0</v>
      </c>
      <c r="I38" s="20">
        <v>2.5099034958437393E-3</v>
      </c>
      <c r="J38" s="20">
        <v>2.5634188230541224E-2</v>
      </c>
      <c r="K38" s="20">
        <v>0.11086814565316978</v>
      </c>
      <c r="L38" s="20">
        <v>0</v>
      </c>
    </row>
    <row r="39" spans="1:12">
      <c r="A39" s="2" t="s">
        <v>357</v>
      </c>
      <c r="B39" s="3" t="s">
        <v>358</v>
      </c>
      <c r="D39" s="20">
        <v>2.6869607270083955E-2</v>
      </c>
      <c r="E39" s="20">
        <v>0.84111681853174047</v>
      </c>
      <c r="F39" s="20">
        <v>0.5404251274651134</v>
      </c>
      <c r="G39" s="20">
        <v>0.29691428251363494</v>
      </c>
      <c r="H39" s="20">
        <v>0</v>
      </c>
      <c r="I39" s="20">
        <v>3.7774085529921351E-3</v>
      </c>
      <c r="J39" s="20">
        <v>1.9152619523287687E-2</v>
      </c>
      <c r="K39" s="20">
        <v>0.11286095467488785</v>
      </c>
      <c r="L39" s="20">
        <v>0</v>
      </c>
    </row>
    <row r="40" spans="1:12">
      <c r="A40" s="2" t="s">
        <v>359</v>
      </c>
      <c r="B40" s="3" t="s">
        <v>360</v>
      </c>
      <c r="D40" s="20">
        <v>1.3289981699030179E-4</v>
      </c>
      <c r="E40" s="20">
        <v>0.86336476629929859</v>
      </c>
      <c r="F40" s="20">
        <v>0.46558459028258997</v>
      </c>
      <c r="G40" s="20">
        <v>0.39527027252086488</v>
      </c>
      <c r="H40" s="20">
        <v>0</v>
      </c>
      <c r="I40" s="20">
        <v>2.5099034958437393E-3</v>
      </c>
      <c r="J40" s="20">
        <v>2.5634188230541224E-2</v>
      </c>
      <c r="K40" s="20">
        <v>0.11086814565316978</v>
      </c>
      <c r="L40" s="20">
        <v>0</v>
      </c>
    </row>
    <row r="41" spans="1:12">
      <c r="A41" s="2" t="s">
        <v>313</v>
      </c>
      <c r="B41" s="3" t="s">
        <v>314</v>
      </c>
      <c r="D41" s="20">
        <v>5.6100240645484385E-8</v>
      </c>
      <c r="E41" s="20">
        <v>0.99941922649031512</v>
      </c>
      <c r="F41" s="20">
        <v>4.5525691111473705E-2</v>
      </c>
      <c r="G41" s="20">
        <v>1.083370728513044E-5</v>
      </c>
      <c r="H41" s="20">
        <v>0</v>
      </c>
      <c r="I41" s="20">
        <v>0.95388270167155631</v>
      </c>
      <c r="J41" s="20">
        <v>4.0046141017186665E-4</v>
      </c>
      <c r="K41" s="20">
        <v>1.8025599927232647E-4</v>
      </c>
      <c r="L41" s="20">
        <v>0</v>
      </c>
    </row>
    <row r="42" spans="1:12">
      <c r="A42" s="2" t="s">
        <v>315</v>
      </c>
      <c r="B42" s="3" t="s">
        <v>316</v>
      </c>
      <c r="D42" s="20">
        <v>3.4820311795765255E-3</v>
      </c>
      <c r="E42" s="20">
        <v>0.87486801871214848</v>
      </c>
      <c r="F42" s="20">
        <v>0.23567139392753358</v>
      </c>
      <c r="G42" s="20">
        <v>0.63856105199431712</v>
      </c>
      <c r="H42" s="20">
        <v>0</v>
      </c>
      <c r="I42" s="20">
        <v>6.3557279029778809E-4</v>
      </c>
      <c r="J42" s="20">
        <v>4.2012919836773119E-2</v>
      </c>
      <c r="K42" s="20">
        <v>7.9637030271501721E-2</v>
      </c>
      <c r="L42" s="20">
        <v>0</v>
      </c>
    </row>
    <row r="43" spans="1:12">
      <c r="A43" s="2" t="s">
        <v>317</v>
      </c>
      <c r="B43" s="3" t="s">
        <v>318</v>
      </c>
      <c r="D43" s="20">
        <v>4.3999126092008789E-12</v>
      </c>
      <c r="E43" s="20">
        <v>0.6629747159588435</v>
      </c>
      <c r="F43" s="20">
        <v>0.25056376462272284</v>
      </c>
      <c r="G43" s="20">
        <v>5.9815511505042884E-2</v>
      </c>
      <c r="H43" s="20">
        <v>0</v>
      </c>
      <c r="I43" s="20">
        <v>0.35259543983107783</v>
      </c>
      <c r="J43" s="20">
        <v>3.8088200414067926E-3</v>
      </c>
      <c r="K43" s="20">
        <v>0.33321646399534977</v>
      </c>
      <c r="L43" s="20">
        <v>0</v>
      </c>
    </row>
    <row r="44" spans="1:12">
      <c r="A44" s="2" t="s">
        <v>307</v>
      </c>
      <c r="B44" s="3" t="s">
        <v>308</v>
      </c>
      <c r="D44" s="20">
        <v>1.1904656306111685E-4</v>
      </c>
      <c r="E44" s="20">
        <v>0.87192237423127639</v>
      </c>
      <c r="F44" s="20">
        <v>0.67048810341590492</v>
      </c>
      <c r="G44" s="20">
        <v>0.19457481753981956</v>
      </c>
      <c r="H44" s="20">
        <v>0</v>
      </c>
      <c r="I44" s="20">
        <v>6.8594532755519013E-3</v>
      </c>
      <c r="J44" s="20">
        <v>1.2453984004027467E-2</v>
      </c>
      <c r="K44" s="20">
        <v>0.11550459520163492</v>
      </c>
      <c r="L44" s="20">
        <v>0</v>
      </c>
    </row>
    <row r="45" spans="1:12">
      <c r="A45" s="2" t="s">
        <v>319</v>
      </c>
      <c r="B45" s="3" t="s">
        <v>320</v>
      </c>
      <c r="D45" s="20">
        <v>1.1362014785441862E-5</v>
      </c>
      <c r="E45" s="20">
        <v>0.89012442940452285</v>
      </c>
      <c r="F45" s="20">
        <v>0.15053225413106044</v>
      </c>
      <c r="G45" s="20">
        <v>0.73930751426036778</v>
      </c>
      <c r="H45" s="20">
        <v>0</v>
      </c>
      <c r="I45" s="20">
        <v>2.8466101309465396E-4</v>
      </c>
      <c r="J45" s="20">
        <v>4.9003395386324304E-2</v>
      </c>
      <c r="K45" s="20">
        <v>6.0860813194367466E-2</v>
      </c>
      <c r="L45" s="20">
        <v>0</v>
      </c>
    </row>
    <row r="46" spans="1:12">
      <c r="A46" s="2" t="s">
        <v>321</v>
      </c>
      <c r="B46" s="3" t="s">
        <v>322</v>
      </c>
      <c r="D46" s="20">
        <v>1.6753165514637718E-5</v>
      </c>
      <c r="E46" s="20">
        <v>0.87963345207056265</v>
      </c>
      <c r="F46" s="20">
        <v>0.22221383474820477</v>
      </c>
      <c r="G46" s="20">
        <v>0.65685067332503022</v>
      </c>
      <c r="H46" s="20">
        <v>0</v>
      </c>
      <c r="I46" s="20">
        <v>5.6894399732762015E-4</v>
      </c>
      <c r="J46" s="20">
        <v>4.3263125718798277E-2</v>
      </c>
      <c r="K46" s="20">
        <v>7.7086669045124609E-2</v>
      </c>
      <c r="L46" s="20">
        <v>0</v>
      </c>
    </row>
    <row r="47" spans="1:12">
      <c r="A47" s="2" t="s">
        <v>323</v>
      </c>
      <c r="B47" s="3" t="s">
        <v>324</v>
      </c>
      <c r="D47" s="20">
        <v>1.5839987257123693E-4</v>
      </c>
      <c r="E47" s="20">
        <v>0.86842046061212386</v>
      </c>
      <c r="F47" s="20">
        <v>0.33855485238546768</v>
      </c>
      <c r="G47" s="20">
        <v>0.5285968833119824</v>
      </c>
      <c r="H47" s="20">
        <v>0</v>
      </c>
      <c r="I47" s="20">
        <v>1.2687249146737334E-3</v>
      </c>
      <c r="J47" s="20">
        <v>3.4540448304681268E-2</v>
      </c>
      <c r="K47" s="20">
        <v>9.6880691210623635E-2</v>
      </c>
      <c r="L47" s="20">
        <v>0</v>
      </c>
    </row>
    <row r="48" spans="1:12">
      <c r="A48" s="2" t="s">
        <v>325</v>
      </c>
      <c r="B48" s="3" t="s">
        <v>326</v>
      </c>
      <c r="D48" s="20">
        <v>1.0090040790567766E-4</v>
      </c>
      <c r="E48" s="20">
        <v>0.77034228250578973</v>
      </c>
      <c r="F48" s="20">
        <v>0.59452091405664997</v>
      </c>
      <c r="G48" s="20">
        <v>0.11675156000373443</v>
      </c>
      <c r="H48" s="20">
        <v>0</v>
      </c>
      <c r="I48" s="20">
        <v>5.9069808445405367E-2</v>
      </c>
      <c r="J48" s="20">
        <v>7.3408186473264371E-3</v>
      </c>
      <c r="K48" s="20">
        <v>0.22221599843897813</v>
      </c>
      <c r="L48" s="20">
        <v>0</v>
      </c>
    </row>
    <row r="49" spans="1:12">
      <c r="A49" s="2" t="s">
        <v>275</v>
      </c>
      <c r="B49" s="3" t="s">
        <v>276</v>
      </c>
      <c r="D49" s="20">
        <v>1.5286231530464063E-6</v>
      </c>
      <c r="E49" s="20">
        <v>0.87059646556541059</v>
      </c>
      <c r="F49" s="20">
        <v>0.65640918310139174</v>
      </c>
      <c r="G49" s="20">
        <v>0.20781179973146938</v>
      </c>
      <c r="H49" s="20">
        <v>0</v>
      </c>
      <c r="I49" s="20">
        <v>6.3754827325494569E-3</v>
      </c>
      <c r="J49" s="20">
        <v>1.3315207333964163E-2</v>
      </c>
      <c r="K49" s="20">
        <v>0.11608679847747232</v>
      </c>
      <c r="L49" s="20">
        <v>0</v>
      </c>
    </row>
    <row r="50" spans="1:12">
      <c r="A50" s="2" t="s">
        <v>327</v>
      </c>
      <c r="B50" s="3" t="s">
        <v>328</v>
      </c>
      <c r="D50" s="20">
        <v>7.9535871612269518E-5</v>
      </c>
      <c r="E50" s="20">
        <v>0.86838933251002204</v>
      </c>
      <c r="F50" s="20">
        <v>0.63159292961730196</v>
      </c>
      <c r="G50" s="20">
        <v>0.2311707143390769</v>
      </c>
      <c r="H50" s="20">
        <v>0</v>
      </c>
      <c r="I50" s="20">
        <v>5.6256885536432226E-3</v>
      </c>
      <c r="J50" s="20">
        <v>1.4837959511077345E-2</v>
      </c>
      <c r="K50" s="20">
        <v>0.11669317210728822</v>
      </c>
      <c r="L50" s="20">
        <v>0</v>
      </c>
    </row>
    <row r="51" spans="1:12">
      <c r="A51" s="2" t="s">
        <v>329</v>
      </c>
      <c r="B51" s="3" t="s">
        <v>330</v>
      </c>
      <c r="D51" s="20">
        <v>5.2782815466457378E-5</v>
      </c>
      <c r="E51" s="20">
        <v>0.80477655477095011</v>
      </c>
      <c r="F51" s="20">
        <v>0.6450104739025676</v>
      </c>
      <c r="G51" s="20">
        <v>0.12186032226120871</v>
      </c>
      <c r="H51" s="20">
        <v>0</v>
      </c>
      <c r="I51" s="20">
        <v>3.7905758607173747E-2</v>
      </c>
      <c r="J51" s="20">
        <v>7.6820249917718747E-3</v>
      </c>
      <c r="K51" s="20">
        <v>0.18748863742181177</v>
      </c>
      <c r="L51" s="20">
        <v>0</v>
      </c>
    </row>
    <row r="52" spans="1:12">
      <c r="A52" s="2" t="s">
        <v>277</v>
      </c>
      <c r="B52" s="3" t="s">
        <v>278</v>
      </c>
      <c r="D52" s="20">
        <v>1.5704263040178698E-4</v>
      </c>
      <c r="E52" s="20">
        <v>0.77363797351613461</v>
      </c>
      <c r="F52" s="20">
        <v>0.59964162968769585</v>
      </c>
      <c r="G52" s="20">
        <v>0.11732412695443629</v>
      </c>
      <c r="H52" s="20">
        <v>0</v>
      </c>
      <c r="I52" s="20">
        <v>5.6672216874002479E-2</v>
      </c>
      <c r="J52" s="20">
        <v>7.3784598696337968E-3</v>
      </c>
      <c r="K52" s="20">
        <v>0.21882652398383004</v>
      </c>
      <c r="L52" s="20">
        <v>0</v>
      </c>
    </row>
    <row r="53" spans="1:12">
      <c r="A53" s="2" t="s">
        <v>331</v>
      </c>
      <c r="B53" s="3" t="s">
        <v>332</v>
      </c>
      <c r="D53" s="20">
        <v>5.2859185319327168E-5</v>
      </c>
      <c r="E53" s="20">
        <v>0.86403682181055996</v>
      </c>
      <c r="F53" s="20">
        <v>0.54663153233000583</v>
      </c>
      <c r="G53" s="20">
        <v>0.31368246032941155</v>
      </c>
      <c r="H53" s="20">
        <v>0</v>
      </c>
      <c r="I53" s="20">
        <v>3.7228291511426236E-3</v>
      </c>
      <c r="J53" s="20">
        <v>2.0245078239724577E-2</v>
      </c>
      <c r="K53" s="20">
        <v>0.11566524076439623</v>
      </c>
      <c r="L53" s="20">
        <v>0</v>
      </c>
    </row>
    <row r="54" spans="1:12">
      <c r="A54" s="2" t="s">
        <v>333</v>
      </c>
      <c r="B54" s="3" t="s">
        <v>334</v>
      </c>
      <c r="D54" s="20">
        <v>8.6626455580138815E-8</v>
      </c>
      <c r="E54" s="20">
        <v>0.86948862428047158</v>
      </c>
      <c r="F54" s="20">
        <v>0.64420599194645201</v>
      </c>
      <c r="G54" s="20">
        <v>0.21929075125019429</v>
      </c>
      <c r="H54" s="20">
        <v>0</v>
      </c>
      <c r="I54" s="20">
        <v>5.9918810838252377E-3</v>
      </c>
      <c r="J54" s="20">
        <v>1.4063044552005036E-2</v>
      </c>
      <c r="K54" s="20">
        <v>0.11644824454106775</v>
      </c>
      <c r="L54" s="20">
        <v>0</v>
      </c>
    </row>
    <row r="55" spans="1:12">
      <c r="A55" s="2" t="s">
        <v>335</v>
      </c>
      <c r="B55" s="3" t="s">
        <v>336</v>
      </c>
      <c r="D55" s="20">
        <v>4.115899690186815E-4</v>
      </c>
      <c r="E55" s="20">
        <v>0.8678115775939037</v>
      </c>
      <c r="F55" s="20">
        <v>0.34430156501939829</v>
      </c>
      <c r="G55" s="20">
        <v>0.52219721603740321</v>
      </c>
      <c r="H55" s="20">
        <v>0</v>
      </c>
      <c r="I55" s="20">
        <v>1.3127965371021615E-3</v>
      </c>
      <c r="J55" s="20">
        <v>3.4109982020663676E-2</v>
      </c>
      <c r="K55" s="20">
        <v>9.7666850416414111E-2</v>
      </c>
      <c r="L55" s="20">
        <v>0</v>
      </c>
    </row>
    <row r="56" spans="1:12">
      <c r="A56" s="2" t="s">
        <v>337</v>
      </c>
      <c r="B56" s="3" t="s">
        <v>338</v>
      </c>
      <c r="D56" s="20">
        <v>3.0572227695035642E-5</v>
      </c>
      <c r="E56" s="20">
        <v>0.87151205105144025</v>
      </c>
      <c r="F56" s="20">
        <v>0.66588817145231238</v>
      </c>
      <c r="G56" s="20">
        <v>0.1989284302954708</v>
      </c>
      <c r="H56" s="20">
        <v>0</v>
      </c>
      <c r="I56" s="20">
        <v>6.6954493036570483E-3</v>
      </c>
      <c r="J56" s="20">
        <v>1.2737093934240799E-2</v>
      </c>
      <c r="K56" s="20">
        <v>0.11572028278662397</v>
      </c>
      <c r="L56" s="20">
        <v>0</v>
      </c>
    </row>
    <row r="57" spans="1:12">
      <c r="A57" s="2" t="s">
        <v>279</v>
      </c>
      <c r="B57" s="3" t="s">
        <v>280</v>
      </c>
      <c r="D57" s="20">
        <v>3.0327710863142726E-3</v>
      </c>
      <c r="E57" s="20">
        <v>0.7530664167379939</v>
      </c>
      <c r="F57" s="20">
        <v>0.56874009458022423</v>
      </c>
      <c r="G57" s="20">
        <v>0.11355582091924961</v>
      </c>
      <c r="H57" s="20">
        <v>0</v>
      </c>
      <c r="I57" s="20">
        <v>7.0770501238520037E-2</v>
      </c>
      <c r="J57" s="20">
        <v>7.1333430943389372E-3</v>
      </c>
      <c r="K57" s="20">
        <v>0.23676746908135307</v>
      </c>
      <c r="L57" s="20">
        <v>0</v>
      </c>
    </row>
    <row r="58" spans="1:12">
      <c r="A58" s="2" t="s">
        <v>339</v>
      </c>
      <c r="B58" s="3" t="s">
        <v>340</v>
      </c>
      <c r="D58" s="20">
        <v>3.0357951212921948E-7</v>
      </c>
      <c r="E58" s="20">
        <v>0.86927592672154974</v>
      </c>
      <c r="F58" s="20">
        <v>0.64172162354120466</v>
      </c>
      <c r="G58" s="20">
        <v>0.22163698258987971</v>
      </c>
      <c r="H58" s="20">
        <v>0</v>
      </c>
      <c r="I58" s="20">
        <v>5.9173205904654103E-3</v>
      </c>
      <c r="J58" s="20">
        <v>1.4216007821926977E-2</v>
      </c>
      <c r="K58" s="20">
        <v>0.11650776187701106</v>
      </c>
      <c r="L58" s="20">
        <v>0</v>
      </c>
    </row>
    <row r="59" spans="1:12">
      <c r="A59" s="2" t="s">
        <v>281</v>
      </c>
      <c r="B59" s="3" t="s">
        <v>282</v>
      </c>
      <c r="D59" s="20">
        <v>2.3772532215883152E-5</v>
      </c>
      <c r="E59" s="20">
        <v>0.77374109251890477</v>
      </c>
      <c r="F59" s="20">
        <v>0.59972155653848347</v>
      </c>
      <c r="G59" s="20">
        <v>0.11733976520822759</v>
      </c>
      <c r="H59" s="20">
        <v>0</v>
      </c>
      <c r="I59" s="20">
        <v>5.6679770772193723E-2</v>
      </c>
      <c r="J59" s="20">
        <v>7.3794433521537648E-3</v>
      </c>
      <c r="K59" s="20">
        <v>0.21885569159672566</v>
      </c>
      <c r="L59" s="20">
        <v>0</v>
      </c>
    </row>
    <row r="60" spans="1:12">
      <c r="A60" s="2" t="s">
        <v>341</v>
      </c>
      <c r="B60" s="3" t="s">
        <v>342</v>
      </c>
      <c r="D60" s="20">
        <v>4.4287113871222233E-4</v>
      </c>
      <c r="E60" s="20">
        <v>0.86458664679421049</v>
      </c>
      <c r="F60" s="20">
        <v>0.57220492797273348</v>
      </c>
      <c r="G60" s="20">
        <v>0.28816892679853917</v>
      </c>
      <c r="H60" s="20">
        <v>0</v>
      </c>
      <c r="I60" s="20">
        <v>4.2127920229378035E-3</v>
      </c>
      <c r="J60" s="20">
        <v>1.8568659685358712E-2</v>
      </c>
      <c r="K60" s="20">
        <v>0.11640182238171883</v>
      </c>
      <c r="L60" s="20">
        <v>0</v>
      </c>
    </row>
    <row r="61" spans="1:12">
      <c r="A61" s="2" t="s">
        <v>483</v>
      </c>
      <c r="B61" s="3" t="s">
        <v>484</v>
      </c>
      <c r="D61" s="20">
        <v>7.5581142372356156E-14</v>
      </c>
      <c r="E61" s="20">
        <v>0.79000667749912556</v>
      </c>
      <c r="F61" s="20">
        <v>0.44198798167325243</v>
      </c>
      <c r="G61" s="20">
        <v>7.3642420990638863E-2</v>
      </c>
      <c r="H61" s="20">
        <v>0</v>
      </c>
      <c r="I61" s="20">
        <v>0.27437627483523425</v>
      </c>
      <c r="J61" s="20">
        <v>1.6154533444596584E-2</v>
      </c>
      <c r="K61" s="20">
        <v>0.19383878905620222</v>
      </c>
      <c r="L61" s="20">
        <v>0</v>
      </c>
    </row>
    <row r="62" spans="1:12">
      <c r="A62" s="2" t="s">
        <v>485</v>
      </c>
      <c r="B62" s="3" t="s">
        <v>486</v>
      </c>
      <c r="D62" s="20">
        <v>2.0441110596466425E-7</v>
      </c>
      <c r="E62" s="20">
        <v>0.6797863000842026</v>
      </c>
      <c r="F62" s="20">
        <v>0.40548865042505883</v>
      </c>
      <c r="G62" s="20">
        <v>8.9099293062404911E-2</v>
      </c>
      <c r="H62" s="20">
        <v>0</v>
      </c>
      <c r="I62" s="20">
        <v>0.18519835659673883</v>
      </c>
      <c r="J62" s="20">
        <v>5.5930883171555167E-3</v>
      </c>
      <c r="K62" s="20">
        <v>0.31462040718753614</v>
      </c>
      <c r="L62" s="20">
        <v>0</v>
      </c>
    </row>
    <row r="63" spans="1:12">
      <c r="A63" s="2" t="s">
        <v>487</v>
      </c>
      <c r="B63" s="3" t="s">
        <v>488</v>
      </c>
      <c r="D63" s="20">
        <v>7.1442343605424557E-13</v>
      </c>
      <c r="E63" s="20">
        <v>0.95724515697113</v>
      </c>
      <c r="F63" s="20">
        <v>3.1863971380705916E-2</v>
      </c>
      <c r="G63" s="20">
        <v>4.2043286367641972E-3</v>
      </c>
      <c r="H63" s="20">
        <v>0</v>
      </c>
      <c r="I63" s="20">
        <v>0.92117685695365992</v>
      </c>
      <c r="J63" s="20">
        <v>2.8073723705599836E-3</v>
      </c>
      <c r="K63" s="20">
        <v>3.9947470657595741E-2</v>
      </c>
      <c r="L63" s="20">
        <v>0</v>
      </c>
    </row>
    <row r="64" spans="1:12">
      <c r="A64" s="2" t="s">
        <v>489</v>
      </c>
      <c r="B64" s="3" t="s">
        <v>490</v>
      </c>
      <c r="D64" s="20">
        <v>1.3183547292634055E-14</v>
      </c>
      <c r="E64" s="20">
        <v>0.99527653238878622</v>
      </c>
      <c r="F64" s="20">
        <v>1.2157962111129506E-2</v>
      </c>
      <c r="G64" s="20">
        <v>1.5095174800301326E-4</v>
      </c>
      <c r="H64" s="20">
        <v>0</v>
      </c>
      <c r="I64" s="20">
        <v>0.98296761852965375</v>
      </c>
      <c r="J64" s="20">
        <v>3.8285750721059276E-4</v>
      </c>
      <c r="K64" s="20">
        <v>4.3406101039901073E-3</v>
      </c>
      <c r="L64" s="20">
        <v>0</v>
      </c>
    </row>
    <row r="65" spans="1:12">
      <c r="A65" s="2" t="s">
        <v>491</v>
      </c>
      <c r="B65" s="3" t="s">
        <v>492</v>
      </c>
      <c r="D65" s="20">
        <v>2.1983686616127544E-12</v>
      </c>
      <c r="E65" s="20">
        <v>0.99748102853851717</v>
      </c>
      <c r="F65" s="20">
        <v>1.5937007369490898E-3</v>
      </c>
      <c r="G65" s="20">
        <v>7.0884339003915239E-5</v>
      </c>
      <c r="H65" s="20">
        <v>0</v>
      </c>
      <c r="I65" s="20">
        <v>0.99581644346256415</v>
      </c>
      <c r="J65" s="20">
        <v>5.8235809525337663E-4</v>
      </c>
      <c r="K65" s="20">
        <v>1.936613364031144E-3</v>
      </c>
      <c r="L65" s="20">
        <v>0</v>
      </c>
    </row>
    <row r="66" spans="1:12">
      <c r="A66" s="2" t="s">
        <v>493</v>
      </c>
      <c r="B66" s="3" t="s">
        <v>494</v>
      </c>
      <c r="D66" s="20">
        <v>2.8336746129570597E-11</v>
      </c>
      <c r="E66" s="20">
        <v>0.9627718533058589</v>
      </c>
      <c r="F66" s="20">
        <v>0.1979161053691558</v>
      </c>
      <c r="G66" s="20">
        <v>4.9601404621946133E-3</v>
      </c>
      <c r="H66" s="20">
        <v>0</v>
      </c>
      <c r="I66" s="20">
        <v>0.75989560747450846</v>
      </c>
      <c r="J66" s="20">
        <v>2.0185909466972671E-2</v>
      </c>
      <c r="K66" s="20">
        <v>1.7042237198831744E-2</v>
      </c>
      <c r="L66" s="20">
        <v>0</v>
      </c>
    </row>
    <row r="67" spans="1:12">
      <c r="A67" s="2" t="s">
        <v>495</v>
      </c>
      <c r="B67" s="3" t="s">
        <v>496</v>
      </c>
      <c r="D67" s="20">
        <v>1.7174548896961045E-12</v>
      </c>
      <c r="E67" s="20">
        <v>0.99727666175017282</v>
      </c>
      <c r="F67" s="20">
        <v>1.343907270108138E-3</v>
      </c>
      <c r="G67" s="20">
        <v>7.3465635101111569E-5</v>
      </c>
      <c r="H67" s="20">
        <v>0</v>
      </c>
      <c r="I67" s="20">
        <v>0.99585928884496355</v>
      </c>
      <c r="J67" s="20">
        <v>5.456441810736169E-4</v>
      </c>
      <c r="K67" s="20">
        <v>2.1776940670360295E-3</v>
      </c>
      <c r="L67" s="20">
        <v>0</v>
      </c>
    </row>
    <row r="68" spans="1:12">
      <c r="A68" s="2" t="s">
        <v>497</v>
      </c>
      <c r="B68" s="3" t="s">
        <v>498</v>
      </c>
      <c r="D68" s="20">
        <v>1.5547631823043543E-11</v>
      </c>
      <c r="E68" s="20">
        <v>0.99872991991779914</v>
      </c>
      <c r="F68" s="20">
        <v>1.5999310111709347E-4</v>
      </c>
      <c r="G68" s="20">
        <v>1.2344324572379062E-5</v>
      </c>
      <c r="H68" s="20">
        <v>0</v>
      </c>
      <c r="I68" s="20">
        <v>0.99855758249210969</v>
      </c>
      <c r="J68" s="20">
        <v>3.8931523997662651E-4</v>
      </c>
      <c r="K68" s="20">
        <v>8.8076482667641604E-4</v>
      </c>
      <c r="L68" s="20">
        <v>0</v>
      </c>
    </row>
    <row r="69" spans="1:12">
      <c r="A69" s="2" t="s">
        <v>499</v>
      </c>
      <c r="B69" s="3" t="s">
        <v>500</v>
      </c>
      <c r="D69" s="20">
        <v>7.6105413309364539E-12</v>
      </c>
      <c r="E69" s="20">
        <v>0.87416281788779138</v>
      </c>
      <c r="F69" s="20">
        <v>0.6892547436605343</v>
      </c>
      <c r="G69" s="20">
        <v>0.17733126784535702</v>
      </c>
      <c r="H69" s="20">
        <v>0</v>
      </c>
      <c r="I69" s="20">
        <v>7.576806381900063E-3</v>
      </c>
      <c r="J69" s="20">
        <v>1.1333896242140873E-2</v>
      </c>
      <c r="K69" s="20">
        <v>0.11450328586245727</v>
      </c>
      <c r="L69" s="20">
        <v>0</v>
      </c>
    </row>
    <row r="70" spans="1:12">
      <c r="A70" s="2" t="s">
        <v>501</v>
      </c>
      <c r="B70" s="3" t="s">
        <v>411</v>
      </c>
      <c r="D70" s="20">
        <v>2.7869535343152975E-13</v>
      </c>
      <c r="E70" s="20">
        <v>0.99955369224569057</v>
      </c>
      <c r="F70" s="20">
        <v>3.0241542769014983E-2</v>
      </c>
      <c r="G70" s="20">
        <v>2.8740847284964852E-6</v>
      </c>
      <c r="H70" s="20">
        <v>0</v>
      </c>
      <c r="I70" s="20">
        <v>0.96930927539194711</v>
      </c>
      <c r="J70" s="20">
        <v>3.8949940112062599E-4</v>
      </c>
      <c r="K70" s="20">
        <v>5.6808352910017272E-5</v>
      </c>
      <c r="L70" s="20">
        <v>0</v>
      </c>
    </row>
    <row r="71" spans="1:12">
      <c r="A71" s="2" t="s">
        <v>502</v>
      </c>
      <c r="B71" s="3" t="s">
        <v>412</v>
      </c>
      <c r="D71" s="20">
        <v>1.272920404612547E-8</v>
      </c>
      <c r="E71" s="20">
        <v>0.99951474113532524</v>
      </c>
      <c r="F71" s="20">
        <v>5.6373616582967773E-2</v>
      </c>
      <c r="G71" s="20">
        <v>5.1232106291678741E-6</v>
      </c>
      <c r="H71" s="20">
        <v>0</v>
      </c>
      <c r="I71" s="20">
        <v>0.94313600134172826</v>
      </c>
      <c r="J71" s="20">
        <v>4.0743265485884835E-4</v>
      </c>
      <c r="K71" s="20">
        <v>7.7813480612168683E-5</v>
      </c>
      <c r="L71" s="20">
        <v>0</v>
      </c>
    </row>
    <row r="72" spans="1:12">
      <c r="A72" s="2" t="s">
        <v>503</v>
      </c>
      <c r="B72" s="3" t="s">
        <v>413</v>
      </c>
      <c r="D72" s="20">
        <v>1.7140374149053773E-10</v>
      </c>
      <c r="E72" s="20">
        <v>0.99377795292010074</v>
      </c>
      <c r="F72" s="20">
        <v>0.98945155269227192</v>
      </c>
      <c r="G72" s="20">
        <v>4.5442152366971891E-4</v>
      </c>
      <c r="H72" s="20">
        <v>0</v>
      </c>
      <c r="I72" s="20">
        <v>3.871978704159092E-3</v>
      </c>
      <c r="J72" s="20">
        <v>6.1344333088090564E-3</v>
      </c>
      <c r="K72" s="20">
        <v>8.761359968652257E-5</v>
      </c>
      <c r="L72" s="20">
        <v>0</v>
      </c>
    </row>
    <row r="73" spans="1:12">
      <c r="A73" s="2" t="s">
        <v>504</v>
      </c>
      <c r="B73" s="3" t="s">
        <v>414</v>
      </c>
      <c r="D73" s="20">
        <v>2.2499740038960421E-10</v>
      </c>
      <c r="E73" s="20">
        <v>0.99919572838940351</v>
      </c>
      <c r="F73" s="20">
        <v>0.96305643388887441</v>
      </c>
      <c r="G73" s="20">
        <v>5.5669343038052708E-5</v>
      </c>
      <c r="H73" s="20">
        <v>0</v>
      </c>
      <c r="I73" s="20">
        <v>3.6083625157491014E-2</v>
      </c>
      <c r="J73" s="20">
        <v>7.3289924428189199E-4</v>
      </c>
      <c r="K73" s="20">
        <v>7.1372141317185933E-5</v>
      </c>
      <c r="L73" s="20">
        <v>0</v>
      </c>
    </row>
    <row r="74" spans="1:12">
      <c r="A74" s="2" t="s">
        <v>505</v>
      </c>
      <c r="B74" s="3" t="s">
        <v>415</v>
      </c>
      <c r="D74" s="20">
        <v>1.5736305646671537E-9</v>
      </c>
      <c r="E74" s="20">
        <v>0.99952193372396081</v>
      </c>
      <c r="F74" s="20">
        <v>5.1283424624278172E-2</v>
      </c>
      <c r="G74" s="20">
        <v>4.6810295008313489E-6</v>
      </c>
      <c r="H74" s="20">
        <v>0</v>
      </c>
      <c r="I74" s="20">
        <v>0.94823382807018186</v>
      </c>
      <c r="J74" s="20">
        <v>4.0402681660748203E-4</v>
      </c>
      <c r="K74" s="20">
        <v>7.4037885801169742E-5</v>
      </c>
      <c r="L74" s="20">
        <v>0</v>
      </c>
    </row>
    <row r="75" spans="1:12">
      <c r="A75" s="2" t="s">
        <v>506</v>
      </c>
      <c r="B75" s="3" t="s">
        <v>416</v>
      </c>
      <c r="D75" s="20">
        <v>9.6556693778722116E-10</v>
      </c>
      <c r="E75" s="20">
        <v>0.99918443935717327</v>
      </c>
      <c r="F75" s="20">
        <v>0.95643756083338793</v>
      </c>
      <c r="G75" s="20">
        <v>5.6004249587482437E-5</v>
      </c>
      <c r="H75" s="20">
        <v>0</v>
      </c>
      <c r="I75" s="20">
        <v>4.2690874274197897E-2</v>
      </c>
      <c r="J75" s="20">
        <v>7.3848111362302021E-4</v>
      </c>
      <c r="K75" s="20">
        <v>7.7078563636832028E-5</v>
      </c>
      <c r="L75" s="20">
        <v>0</v>
      </c>
    </row>
    <row r="76" spans="1:12">
      <c r="A76" s="2" t="s">
        <v>507</v>
      </c>
      <c r="B76" s="3" t="s">
        <v>417</v>
      </c>
      <c r="D76" s="20">
        <v>2.2306697250017678E-8</v>
      </c>
      <c r="E76" s="20">
        <v>0.99915496335620724</v>
      </c>
      <c r="F76" s="20">
        <v>0.55145480115405443</v>
      </c>
      <c r="G76" s="20">
        <v>4.0102942179763444E-5</v>
      </c>
      <c r="H76" s="20">
        <v>0</v>
      </c>
      <c r="I76" s="20">
        <v>0.4476600592599731</v>
      </c>
      <c r="J76" s="20">
        <v>6.6624671364010687E-4</v>
      </c>
      <c r="K76" s="20">
        <v>1.7876762345528035E-4</v>
      </c>
      <c r="L76" s="20">
        <v>0</v>
      </c>
    </row>
    <row r="77" spans="1:12">
      <c r="A77" s="2" t="s">
        <v>508</v>
      </c>
      <c r="B77" s="3" t="s">
        <v>418</v>
      </c>
      <c r="D77" s="20">
        <v>6.9658136210771868E-9</v>
      </c>
      <c r="E77" s="20">
        <v>0.99919226046274723</v>
      </c>
      <c r="F77" s="20">
        <v>0.96127245827270735</v>
      </c>
      <c r="G77" s="20">
        <v>5.5938757191437499E-5</v>
      </c>
      <c r="H77" s="20">
        <v>0</v>
      </c>
      <c r="I77" s="20">
        <v>3.7863863432848414E-2</v>
      </c>
      <c r="J77" s="20">
        <v>7.3454700410331849E-4</v>
      </c>
      <c r="K77" s="20">
        <v>7.3185567336041873E-5</v>
      </c>
      <c r="L77" s="20">
        <v>0</v>
      </c>
    </row>
    <row r="78" spans="1:12">
      <c r="A78" s="2" t="s">
        <v>509</v>
      </c>
      <c r="B78" s="3" t="s">
        <v>419</v>
      </c>
      <c r="D78" s="20">
        <v>6.8976540472744584E-10</v>
      </c>
      <c r="E78" s="20">
        <v>0.99477295076579642</v>
      </c>
      <c r="F78" s="20">
        <v>0.99009221370033573</v>
      </c>
      <c r="G78" s="20">
        <v>3.8206741877992967E-4</v>
      </c>
      <c r="H78" s="20">
        <v>0</v>
      </c>
      <c r="I78" s="20">
        <v>4.2986696466807729E-3</v>
      </c>
      <c r="J78" s="20">
        <v>5.1438620860489066E-3</v>
      </c>
      <c r="K78" s="20">
        <v>8.3186458389327783E-5</v>
      </c>
      <c r="L78" s="20">
        <v>0</v>
      </c>
    </row>
    <row r="79" spans="1:12">
      <c r="A79" s="2" t="s">
        <v>510</v>
      </c>
      <c r="B79" s="3" t="s">
        <v>420</v>
      </c>
      <c r="D79" s="20">
        <v>1.7326125829552898E-14</v>
      </c>
      <c r="E79" s="20">
        <v>0.99477296789514913</v>
      </c>
      <c r="F79" s="20">
        <v>0.99009229092892803</v>
      </c>
      <c r="G79" s="20">
        <v>3.8200698423804615E-4</v>
      </c>
      <c r="H79" s="20">
        <v>0</v>
      </c>
      <c r="I79" s="20">
        <v>4.2986699819830823E-3</v>
      </c>
      <c r="J79" s="20">
        <v>5.1438588046859232E-3</v>
      </c>
      <c r="K79" s="20">
        <v>8.3173300147466395E-5</v>
      </c>
      <c r="L79" s="20">
        <v>0</v>
      </c>
    </row>
    <row r="80" spans="1:12">
      <c r="A80" s="2" t="s">
        <v>511</v>
      </c>
      <c r="B80" s="3" t="s">
        <v>421</v>
      </c>
      <c r="D80" s="20">
        <v>1.9610652410511745E-9</v>
      </c>
      <c r="E80" s="20">
        <v>0.99910838796543733</v>
      </c>
      <c r="F80" s="20">
        <v>0.83246556657449677</v>
      </c>
      <c r="G80" s="20">
        <v>5.4441569614872071E-5</v>
      </c>
      <c r="H80" s="20">
        <v>0</v>
      </c>
      <c r="I80" s="20">
        <v>0.16658837982132571</v>
      </c>
      <c r="J80" s="20">
        <v>7.5400220478804778E-4</v>
      </c>
      <c r="K80" s="20">
        <v>1.3760786870936024E-4</v>
      </c>
      <c r="L80" s="20">
        <v>0</v>
      </c>
    </row>
    <row r="81" spans="1:12">
      <c r="A81" s="2" t="s">
        <v>512</v>
      </c>
      <c r="B81" s="3" t="s">
        <v>422</v>
      </c>
      <c r="D81" s="20">
        <v>2.5646057923670497E-9</v>
      </c>
      <c r="E81" s="20">
        <v>0.99937116414311</v>
      </c>
      <c r="F81" s="20">
        <v>0.19502705173089907</v>
      </c>
      <c r="G81" s="20">
        <v>1.5938931884624529E-5</v>
      </c>
      <c r="H81" s="20">
        <v>0</v>
      </c>
      <c r="I81" s="20">
        <v>0.80432817348032626</v>
      </c>
      <c r="J81" s="20">
        <v>4.9156448972098685E-4</v>
      </c>
      <c r="K81" s="20">
        <v>1.3726880256337471E-4</v>
      </c>
      <c r="L81" s="20">
        <v>0</v>
      </c>
    </row>
    <row r="82" spans="1:12">
      <c r="A82" s="2" t="s">
        <v>513</v>
      </c>
      <c r="B82" s="3" t="s">
        <v>423</v>
      </c>
      <c r="D82" s="20">
        <v>6.4557620195845207E-13</v>
      </c>
      <c r="E82" s="20">
        <v>0.99923344941805259</v>
      </c>
      <c r="F82" s="20">
        <v>0.39104048908663153</v>
      </c>
      <c r="G82" s="20">
        <v>2.9738383080026341E-5</v>
      </c>
      <c r="H82" s="20">
        <v>0</v>
      </c>
      <c r="I82" s="20">
        <v>0.60816322194834105</v>
      </c>
      <c r="J82" s="20">
        <v>5.9403434208112743E-4</v>
      </c>
      <c r="K82" s="20">
        <v>1.7251623922059345E-4</v>
      </c>
      <c r="L82" s="20">
        <v>0</v>
      </c>
    </row>
    <row r="83" spans="1:12">
      <c r="A83" s="2" t="s">
        <v>514</v>
      </c>
      <c r="B83" s="3" t="s">
        <v>424</v>
      </c>
      <c r="D83" s="20">
        <v>2.4577930678591035E-10</v>
      </c>
      <c r="E83" s="20">
        <v>0.98995553434706363</v>
      </c>
      <c r="F83" s="20">
        <v>0.98632388823797279</v>
      </c>
      <c r="G83" s="20">
        <v>7.3111199768928882E-4</v>
      </c>
      <c r="H83" s="20">
        <v>0</v>
      </c>
      <c r="I83" s="20">
        <v>2.9005341114015717E-3</v>
      </c>
      <c r="J83" s="20">
        <v>9.943564158339498E-3</v>
      </c>
      <c r="K83" s="20">
        <v>1.009012488172345E-4</v>
      </c>
      <c r="L83" s="20">
        <v>0</v>
      </c>
    </row>
    <row r="84" spans="1:12">
      <c r="A84" s="2" t="s">
        <v>403</v>
      </c>
      <c r="B84" s="3" t="s">
        <v>404</v>
      </c>
      <c r="D84" s="20">
        <v>4.4558758570471061E-44</v>
      </c>
      <c r="E84" s="20">
        <v>0.66175928694721575</v>
      </c>
      <c r="F84" s="20">
        <v>0.30761485036173181</v>
      </c>
      <c r="G84" s="20">
        <v>7.1170964755873117E-2</v>
      </c>
      <c r="H84" s="20">
        <v>0</v>
      </c>
      <c r="I84" s="20">
        <v>0.2829734718296108</v>
      </c>
      <c r="J84" s="20">
        <v>4.4951632496297396E-3</v>
      </c>
      <c r="K84" s="20">
        <v>0.33374554980315452</v>
      </c>
      <c r="L84" s="20">
        <v>0</v>
      </c>
    </row>
    <row r="85" spans="1:12">
      <c r="A85" s="2" t="s">
        <v>405</v>
      </c>
      <c r="B85" s="3" t="s">
        <v>406</v>
      </c>
      <c r="D85" s="20">
        <v>1.23638497953189E-8</v>
      </c>
      <c r="E85" s="20">
        <v>0.79131109103423225</v>
      </c>
      <c r="F85" s="20">
        <v>0.70912144664336652</v>
      </c>
      <c r="G85" s="20">
        <v>3.7071863100564789E-2</v>
      </c>
      <c r="H85" s="20">
        <v>0</v>
      </c>
      <c r="I85" s="20">
        <v>4.511778129030098E-2</v>
      </c>
      <c r="J85" s="20">
        <v>0.19473944792902964</v>
      </c>
      <c r="K85" s="20">
        <v>1.3949448672888205E-2</v>
      </c>
      <c r="L85" s="20">
        <v>0</v>
      </c>
    </row>
    <row r="86" spans="1:12">
      <c r="A86" s="2" t="s">
        <v>407</v>
      </c>
      <c r="B86" s="3" t="s">
        <v>408</v>
      </c>
      <c r="D86" s="20">
        <v>2.527101040728101E-5</v>
      </c>
      <c r="E86" s="20">
        <v>0.88709513249911875</v>
      </c>
      <c r="F86" s="20">
        <v>0.16896502678222278</v>
      </c>
      <c r="G86" s="20">
        <v>0.71778169199798625</v>
      </c>
      <c r="H86" s="20">
        <v>0</v>
      </c>
      <c r="I86" s="20">
        <v>3.4841371890977416E-4</v>
      </c>
      <c r="J86" s="20">
        <v>4.7490549558395233E-2</v>
      </c>
      <c r="K86" s="20">
        <v>6.538904693207867E-2</v>
      </c>
      <c r="L86" s="20">
        <v>0</v>
      </c>
    </row>
    <row r="87" spans="1:12">
      <c r="A87" s="2" t="s">
        <v>409</v>
      </c>
      <c r="B87" s="3" t="s">
        <v>410</v>
      </c>
      <c r="D87" s="20">
        <v>3.1293586211096558E-6</v>
      </c>
      <c r="E87" s="20">
        <v>0.90181568673979184</v>
      </c>
      <c r="F87" s="20">
        <v>9.1060399343627432E-2</v>
      </c>
      <c r="G87" s="20">
        <v>0.81063454272412394</v>
      </c>
      <c r="H87" s="20">
        <v>0</v>
      </c>
      <c r="I87" s="20">
        <v>1.2074467204046474E-4</v>
      </c>
      <c r="J87" s="20">
        <v>5.4132013202439926E-2</v>
      </c>
      <c r="K87" s="20">
        <v>4.4049170699147197E-2</v>
      </c>
      <c r="L87" s="20">
        <v>0</v>
      </c>
    </row>
    <row r="88" spans="1:12">
      <c r="A88" s="2" t="s">
        <v>301</v>
      </c>
      <c r="B88" s="3" t="s">
        <v>302</v>
      </c>
      <c r="D88" s="20">
        <v>3.8671414275694437E-7</v>
      </c>
      <c r="E88" s="20">
        <v>0.91477629267766769</v>
      </c>
      <c r="F88" s="20">
        <v>4.2253653843442436E-2</v>
      </c>
      <c r="G88" s="20">
        <v>0.87248872923196619</v>
      </c>
      <c r="H88" s="20">
        <v>0</v>
      </c>
      <c r="I88" s="20">
        <v>3.3909602259107409E-5</v>
      </c>
      <c r="J88" s="20">
        <v>5.8879882409225481E-2</v>
      </c>
      <c r="K88" s="20">
        <v>2.6343438198963925E-2</v>
      </c>
      <c r="L88" s="20">
        <v>0</v>
      </c>
    </row>
    <row r="89" spans="1:12">
      <c r="A89" s="2" t="s">
        <v>303</v>
      </c>
      <c r="B89" s="3" t="s">
        <v>304</v>
      </c>
      <c r="D89" s="20">
        <v>1.1724219123179884E-13</v>
      </c>
      <c r="E89" s="20">
        <v>0.37173488497026813</v>
      </c>
      <c r="F89" s="20">
        <v>0.10298665092046543</v>
      </c>
      <c r="G89" s="20">
        <v>0.26784713860804871</v>
      </c>
      <c r="H89" s="20">
        <v>0</v>
      </c>
      <c r="I89" s="20">
        <v>9.0109544175400499E-4</v>
      </c>
      <c r="J89" s="20">
        <v>0.61696716520261496</v>
      </c>
      <c r="K89" s="20">
        <v>1.12979498269998E-2</v>
      </c>
      <c r="L89" s="20">
        <v>0</v>
      </c>
    </row>
    <row r="90" spans="1:12">
      <c r="A90" s="2" t="s">
        <v>425</v>
      </c>
      <c r="B90" s="3" t="s">
        <v>426</v>
      </c>
      <c r="D90" s="20">
        <v>1.6018304233973669E-13</v>
      </c>
      <c r="E90" s="20">
        <v>0.97451144947316648</v>
      </c>
      <c r="F90" s="20">
        <v>9.1618417688759562E-4</v>
      </c>
      <c r="G90" s="20">
        <v>3.0761540026192009E-4</v>
      </c>
      <c r="H90" s="20">
        <v>0</v>
      </c>
      <c r="I90" s="20">
        <v>0.97328764989601702</v>
      </c>
      <c r="J90" s="20">
        <v>3.7427211341629679E-4</v>
      </c>
      <c r="K90" s="20">
        <v>2.5114278413257109E-2</v>
      </c>
      <c r="L90" s="20">
        <v>0</v>
      </c>
    </row>
    <row r="91" spans="1:12">
      <c r="A91" s="2" t="s">
        <v>427</v>
      </c>
      <c r="B91" s="3" t="s">
        <v>428</v>
      </c>
      <c r="D91" s="20">
        <v>8.2378332835670134E-5</v>
      </c>
      <c r="E91" s="20">
        <v>0.78654390268506735</v>
      </c>
      <c r="F91" s="20">
        <v>5.4965124168081629E-2</v>
      </c>
      <c r="G91" s="20">
        <v>1.5459048822486969E-2</v>
      </c>
      <c r="H91" s="20">
        <v>0</v>
      </c>
      <c r="I91" s="20">
        <v>0.71611972969449877</v>
      </c>
      <c r="J91" s="20">
        <v>1.1981383544164086E-3</v>
      </c>
      <c r="K91" s="20">
        <v>0.21217558062768063</v>
      </c>
      <c r="L91" s="20">
        <v>0</v>
      </c>
    </row>
    <row r="92" spans="1:12">
      <c r="A92" s="2" t="s">
        <v>429</v>
      </c>
      <c r="B92" s="3" t="s">
        <v>430</v>
      </c>
      <c r="D92" s="20">
        <v>5.0329520575248098E-4</v>
      </c>
      <c r="E92" s="20">
        <v>0.70719001471672782</v>
      </c>
      <c r="F92" s="20">
        <v>0.47961969474968691</v>
      </c>
      <c r="G92" s="20">
        <v>0.10120280823110113</v>
      </c>
      <c r="H92" s="20">
        <v>0</v>
      </c>
      <c r="I92" s="20">
        <v>0.12636751173593974</v>
      </c>
      <c r="J92" s="20">
        <v>6.3467520565876302E-3</v>
      </c>
      <c r="K92" s="20">
        <v>0.28595993802093223</v>
      </c>
      <c r="L92" s="20">
        <v>0</v>
      </c>
    </row>
    <row r="93" spans="1:12">
      <c r="A93" s="2" t="s">
        <v>431</v>
      </c>
      <c r="B93" s="3" t="s">
        <v>432</v>
      </c>
      <c r="D93" s="20">
        <v>1.2049368977982966E-17</v>
      </c>
      <c r="E93" s="20">
        <v>0.99947715767281398</v>
      </c>
      <c r="F93" s="20">
        <v>4.3601776719452163E-3</v>
      </c>
      <c r="G93" s="20">
        <v>3.4932213677119926E-6</v>
      </c>
      <c r="H93" s="20">
        <v>0</v>
      </c>
      <c r="I93" s="20">
        <v>0.99511348677950107</v>
      </c>
      <c r="J93" s="20">
        <v>3.6989611051986798E-4</v>
      </c>
      <c r="K93" s="20">
        <v>1.5294621666626237E-4</v>
      </c>
      <c r="L93" s="20">
        <v>0</v>
      </c>
    </row>
    <row r="94" spans="1:12">
      <c r="A94" s="2" t="s">
        <v>433</v>
      </c>
      <c r="B94" s="3" t="s">
        <v>434</v>
      </c>
      <c r="D94" s="20">
        <v>2.5467596311314966E-18</v>
      </c>
      <c r="E94" s="20">
        <v>0.99962700600554855</v>
      </c>
      <c r="F94" s="20">
        <v>1.696923141710594E-5</v>
      </c>
      <c r="G94" s="20">
        <v>2.3678697759821964E-8</v>
      </c>
      <c r="H94" s="20">
        <v>0</v>
      </c>
      <c r="I94" s="20">
        <v>0.99961001309543374</v>
      </c>
      <c r="J94" s="20">
        <v>3.6912435551159117E-4</v>
      </c>
      <c r="K94" s="20">
        <v>3.8696389399379273E-6</v>
      </c>
      <c r="L94" s="20">
        <v>0</v>
      </c>
    </row>
    <row r="95" spans="1:12">
      <c r="A95" s="2" t="s">
        <v>435</v>
      </c>
      <c r="B95" s="3" t="s">
        <v>436</v>
      </c>
      <c r="D95" s="20">
        <v>1.3619904486340978E-8</v>
      </c>
      <c r="E95" s="20">
        <v>0.94167713045723822</v>
      </c>
      <c r="F95" s="20">
        <v>3.7361084051387213E-3</v>
      </c>
      <c r="G95" s="20">
        <v>1.2958380117782838E-3</v>
      </c>
      <c r="H95" s="20">
        <v>0</v>
      </c>
      <c r="I95" s="20">
        <v>0.93664518404032127</v>
      </c>
      <c r="J95" s="20">
        <v>4.2488473238312273E-4</v>
      </c>
      <c r="K95" s="20">
        <v>5.7897971190474205E-2</v>
      </c>
      <c r="L95" s="20">
        <v>0</v>
      </c>
    </row>
    <row r="96" spans="1:12">
      <c r="A96" s="2" t="s">
        <v>437</v>
      </c>
      <c r="B96" s="163" t="s">
        <v>438</v>
      </c>
      <c r="D96" s="20">
        <v>4.7233770726468042E-8</v>
      </c>
      <c r="E96" s="20">
        <v>0.88140857392796634</v>
      </c>
      <c r="F96" s="20">
        <v>0.20850997301757915</v>
      </c>
      <c r="G96" s="20">
        <v>0.67239176747436236</v>
      </c>
      <c r="H96" s="20">
        <v>0</v>
      </c>
      <c r="I96" s="20">
        <v>5.0683343602485819E-4</v>
      </c>
      <c r="J96" s="20">
        <v>4.4334786057569291E-2</v>
      </c>
      <c r="K96" s="20">
        <v>7.4256592780693492E-2</v>
      </c>
      <c r="L96" s="20">
        <v>0</v>
      </c>
    </row>
    <row r="97" spans="1:12">
      <c r="A97" s="2" t="s">
        <v>439</v>
      </c>
      <c r="B97" s="3" t="s">
        <v>440</v>
      </c>
      <c r="D97" s="20">
        <v>3.9838610679219324E-5</v>
      </c>
      <c r="E97" s="20">
        <v>0.72869468233968904</v>
      </c>
      <c r="F97" s="20">
        <v>0.10237134268117702</v>
      </c>
      <c r="G97" s="20">
        <v>2.7144006761033845E-2</v>
      </c>
      <c r="H97" s="20">
        <v>0</v>
      </c>
      <c r="I97" s="20">
        <v>0.59917933289747816</v>
      </c>
      <c r="J97" s="20">
        <v>1.8723061803158551E-3</v>
      </c>
      <c r="K97" s="20">
        <v>0.26939317286931591</v>
      </c>
      <c r="L97" s="20">
        <v>0</v>
      </c>
    </row>
    <row r="98" spans="1:12">
      <c r="A98" s="2" t="s">
        <v>441</v>
      </c>
      <c r="B98" s="3" t="s">
        <v>442</v>
      </c>
      <c r="D98" s="20">
        <v>2.7161956751484803E-17</v>
      </c>
      <c r="E98" s="20">
        <v>0.77562708037048933</v>
      </c>
      <c r="F98" s="20">
        <v>6.2091945592482378E-2</v>
      </c>
      <c r="G98" s="20">
        <v>1.7271530491211756E-2</v>
      </c>
      <c r="H98" s="20">
        <v>0</v>
      </c>
      <c r="I98" s="20">
        <v>0.69626360428679523</v>
      </c>
      <c r="J98" s="20">
        <v>1.301744982434709E-3</v>
      </c>
      <c r="K98" s="20">
        <v>0.22307117464707599</v>
      </c>
      <c r="L98" s="20">
        <v>0</v>
      </c>
    </row>
    <row r="99" spans="1:12">
      <c r="A99" s="2" t="s">
        <v>443</v>
      </c>
      <c r="B99" s="3" t="s">
        <v>444</v>
      </c>
      <c r="D99" s="20">
        <v>4.1999274417742916E-29</v>
      </c>
      <c r="E99" s="20">
        <v>0.88242282719939169</v>
      </c>
      <c r="F99" s="20">
        <v>1.477460920604318E-2</v>
      </c>
      <c r="G99" s="20">
        <v>4.6409998867833887E-3</v>
      </c>
      <c r="H99" s="20">
        <v>0</v>
      </c>
      <c r="I99" s="20">
        <v>0.86300721810656511</v>
      </c>
      <c r="J99" s="20">
        <v>5.9378657814689029E-4</v>
      </c>
      <c r="K99" s="20">
        <v>0.11698338622246145</v>
      </c>
      <c r="L99" s="20">
        <v>0</v>
      </c>
    </row>
    <row r="100" spans="1:12">
      <c r="A100" s="2" t="s">
        <v>445</v>
      </c>
      <c r="B100" s="3" t="s">
        <v>446</v>
      </c>
      <c r="D100" s="20">
        <v>4.9479887101648133E-8</v>
      </c>
      <c r="E100" s="20">
        <v>0.86357705493875014</v>
      </c>
      <c r="F100" s="20">
        <v>0.52312191588266499</v>
      </c>
      <c r="G100" s="20">
        <v>0.33713083039888886</v>
      </c>
      <c r="H100" s="20">
        <v>0</v>
      </c>
      <c r="I100" s="20">
        <v>3.3243086571962586E-3</v>
      </c>
      <c r="J100" s="20">
        <v>2.1789514805214232E-2</v>
      </c>
      <c r="K100" s="20">
        <v>0.11463338077614846</v>
      </c>
      <c r="L100" s="20">
        <v>0</v>
      </c>
    </row>
    <row r="101" spans="1:12">
      <c r="A101" s="2" t="s">
        <v>447</v>
      </c>
      <c r="B101" s="3" t="s">
        <v>448</v>
      </c>
      <c r="D101" s="20">
        <v>4.4167619950257636E-9</v>
      </c>
      <c r="E101" s="20">
        <v>0.68299147027445828</v>
      </c>
      <c r="F101" s="20">
        <v>0.41588974536944007</v>
      </c>
      <c r="G101" s="20">
        <v>9.0881140272361549E-2</v>
      </c>
      <c r="H101" s="20">
        <v>0</v>
      </c>
      <c r="I101" s="20">
        <v>0.17622058463265666</v>
      </c>
      <c r="J101" s="20">
        <v>5.7033089346752641E-3</v>
      </c>
      <c r="K101" s="20">
        <v>0.31130521637410447</v>
      </c>
      <c r="L101" s="20">
        <v>0</v>
      </c>
    </row>
    <row r="102" spans="1:12">
      <c r="A102" s="2" t="s">
        <v>449</v>
      </c>
      <c r="B102" s="3" t="s">
        <v>450</v>
      </c>
      <c r="D102" s="20">
        <v>1.9576364121684126E-4</v>
      </c>
      <c r="E102" s="20">
        <v>0.80307025907014129</v>
      </c>
      <c r="F102" s="20">
        <v>0.64269696524334441</v>
      </c>
      <c r="G102" s="20">
        <v>0.12164711247547456</v>
      </c>
      <c r="H102" s="20">
        <v>0</v>
      </c>
      <c r="I102" s="20">
        <v>3.8726181351322282E-2</v>
      </c>
      <c r="J102" s="20">
        <v>7.667542361288345E-3</v>
      </c>
      <c r="K102" s="20">
        <v>0.18906643492735326</v>
      </c>
      <c r="L102" s="20">
        <v>0</v>
      </c>
    </row>
    <row r="103" spans="1:12">
      <c r="A103" s="2" t="s">
        <v>451</v>
      </c>
      <c r="B103" s="3" t="s">
        <v>452</v>
      </c>
      <c r="D103" s="20">
        <v>4.3991591467896756E-19</v>
      </c>
      <c r="E103" s="20">
        <v>0.99944366122932893</v>
      </c>
      <c r="F103" s="20">
        <v>0.10501737963696102</v>
      </c>
      <c r="G103" s="20">
        <v>1.0191459567956604E-5</v>
      </c>
      <c r="H103" s="20">
        <v>0</v>
      </c>
      <c r="I103" s="20">
        <v>0.89441609013279999</v>
      </c>
      <c r="J103" s="20">
        <v>4.3859199689998276E-4</v>
      </c>
      <c r="K103" s="20">
        <v>1.1774677377088969E-4</v>
      </c>
      <c r="L103" s="20">
        <v>0</v>
      </c>
    </row>
    <row r="104" spans="1:12">
      <c r="A104" s="2" t="s">
        <v>453</v>
      </c>
      <c r="B104" s="3" t="s">
        <v>454</v>
      </c>
      <c r="D104" s="20">
        <v>1.1277629129877893E-20</v>
      </c>
      <c r="E104" s="20">
        <v>0.99823269872004361</v>
      </c>
      <c r="F104" s="20">
        <v>0.98609225651045507</v>
      </c>
      <c r="G104" s="20">
        <v>1.0441988215888418E-3</v>
      </c>
      <c r="H104" s="20">
        <v>0</v>
      </c>
      <c r="I104" s="20">
        <v>1.1096243387999657E-2</v>
      </c>
      <c r="J104" s="20">
        <v>1.0743609647034802E-3</v>
      </c>
      <c r="K104" s="20">
        <v>6.9294031525279985E-4</v>
      </c>
      <c r="L104" s="20">
        <v>0</v>
      </c>
    </row>
    <row r="105" spans="1:12">
      <c r="A105" s="2" t="s">
        <v>455</v>
      </c>
      <c r="B105" s="163">
        <v>354656</v>
      </c>
      <c r="D105" s="20">
        <v>3.6846624288508957E-10</v>
      </c>
      <c r="E105" s="20">
        <v>0.96952950696055284</v>
      </c>
      <c r="F105" s="20">
        <v>9.8236282856742287E-4</v>
      </c>
      <c r="G105" s="20">
        <v>3.7998589526610832E-4</v>
      </c>
      <c r="H105" s="20">
        <v>0</v>
      </c>
      <c r="I105" s="20">
        <v>0.96816715823671928</v>
      </c>
      <c r="J105" s="20">
        <v>3.7647949038125631E-4</v>
      </c>
      <c r="K105" s="20">
        <v>3.009401318059968E-2</v>
      </c>
      <c r="L105" s="20">
        <v>0</v>
      </c>
    </row>
    <row r="106" spans="1:12">
      <c r="A106" s="2" t="s">
        <v>457</v>
      </c>
      <c r="B106" s="3" t="s">
        <v>458</v>
      </c>
      <c r="D106" s="20">
        <v>5.4599420714704459E-10</v>
      </c>
      <c r="E106" s="20">
        <v>0.93897042955454413</v>
      </c>
      <c r="F106" s="20">
        <v>4.0493729264365784E-3</v>
      </c>
      <c r="G106" s="20">
        <v>1.3981806023463084E-3</v>
      </c>
      <c r="H106" s="20">
        <v>0</v>
      </c>
      <c r="I106" s="20">
        <v>0.93352287602576123</v>
      </c>
      <c r="J106" s="20">
        <v>4.2911235177851142E-4</v>
      </c>
      <c r="K106" s="20">
        <v>6.0600457547683277E-2</v>
      </c>
      <c r="L106" s="20">
        <v>0</v>
      </c>
    </row>
    <row r="107" spans="1:12">
      <c r="A107" s="2" t="s">
        <v>459</v>
      </c>
      <c r="B107" s="3" t="s">
        <v>460</v>
      </c>
      <c r="D107" s="20">
        <v>4.5738822538365765E-20</v>
      </c>
      <c r="E107" s="20">
        <v>0.85379483765864694</v>
      </c>
      <c r="F107" s="20">
        <v>0.70890546359142748</v>
      </c>
      <c r="G107" s="20">
        <v>0.12407278087940109</v>
      </c>
      <c r="H107" s="20">
        <v>0</v>
      </c>
      <c r="I107" s="20">
        <v>2.0816593187818411E-2</v>
      </c>
      <c r="J107" s="20">
        <v>9.5616090710507039E-3</v>
      </c>
      <c r="K107" s="20">
        <v>0.13664355327030228</v>
      </c>
      <c r="L107" s="20">
        <v>0</v>
      </c>
    </row>
    <row r="108" spans="1:12">
      <c r="A108" s="2" t="s">
        <v>461</v>
      </c>
      <c r="B108" s="3" t="s">
        <v>462</v>
      </c>
      <c r="D108" s="20">
        <v>1.1003429808319623E-9</v>
      </c>
      <c r="E108" s="20">
        <v>0.99957699395808486</v>
      </c>
      <c r="F108" s="20">
        <v>8.7897124551688491E-6</v>
      </c>
      <c r="G108" s="20">
        <v>2.5476293854181575E-7</v>
      </c>
      <c r="H108" s="20">
        <v>0</v>
      </c>
      <c r="I108" s="20">
        <v>0.99956794948269112</v>
      </c>
      <c r="J108" s="20">
        <v>3.6743385607842361E-4</v>
      </c>
      <c r="K108" s="20">
        <v>5.5571085493777605E-5</v>
      </c>
      <c r="L108" s="20">
        <v>0</v>
      </c>
    </row>
    <row r="109" spans="1:12">
      <c r="A109" s="2" t="s">
        <v>463</v>
      </c>
      <c r="B109" s="3" t="s">
        <v>464</v>
      </c>
      <c r="D109" s="20">
        <v>2.7941769024385946E-12</v>
      </c>
      <c r="E109" s="20">
        <v>0.97567984156312915</v>
      </c>
      <c r="F109" s="20">
        <v>5.7365516332542041E-2</v>
      </c>
      <c r="G109" s="20">
        <v>2.8513923677000656E-3</v>
      </c>
      <c r="H109" s="20">
        <v>0</v>
      </c>
      <c r="I109" s="20">
        <v>0.91546293286288705</v>
      </c>
      <c r="J109" s="20">
        <v>6.1996819526482652E-3</v>
      </c>
      <c r="K109" s="20">
        <v>1.8120476481428484E-2</v>
      </c>
      <c r="L109" s="20">
        <v>0</v>
      </c>
    </row>
    <row r="110" spans="1:12">
      <c r="A110" s="2" t="s">
        <v>465</v>
      </c>
      <c r="B110" s="3" t="s">
        <v>466</v>
      </c>
      <c r="D110" s="20">
        <v>2.089024595822317E-11</v>
      </c>
      <c r="E110" s="20">
        <v>0.99337943125434991</v>
      </c>
      <c r="F110" s="20">
        <v>2.247603290617851E-4</v>
      </c>
      <c r="G110" s="20">
        <v>4.3001755438699609E-5</v>
      </c>
      <c r="H110" s="20">
        <v>0</v>
      </c>
      <c r="I110" s="20">
        <v>0.99311166916984939</v>
      </c>
      <c r="J110" s="20">
        <v>3.659791665547439E-4</v>
      </c>
      <c r="K110" s="20">
        <v>6.2545895582052438E-3</v>
      </c>
      <c r="L110" s="20">
        <v>0</v>
      </c>
    </row>
    <row r="111" spans="1:12">
      <c r="A111" s="2" t="s">
        <v>467</v>
      </c>
      <c r="B111" s="3" t="s">
        <v>468</v>
      </c>
      <c r="D111" s="20">
        <v>3.7134084935244005E-30</v>
      </c>
      <c r="E111" s="20">
        <v>0.99962869176930103</v>
      </c>
      <c r="F111" s="20">
        <v>1.5973251944764077E-5</v>
      </c>
      <c r="G111" s="20">
        <v>1.3196698370694125E-8</v>
      </c>
      <c r="H111" s="20">
        <v>0</v>
      </c>
      <c r="I111" s="20">
        <v>0.99961270532065793</v>
      </c>
      <c r="J111" s="20">
        <v>3.656902800353397E-4</v>
      </c>
      <c r="K111" s="20">
        <v>5.617950663623604E-6</v>
      </c>
      <c r="L111" s="20">
        <v>0</v>
      </c>
    </row>
    <row r="112" spans="1:12">
      <c r="A112" s="2" t="s">
        <v>469</v>
      </c>
      <c r="B112" s="3" t="s">
        <v>470</v>
      </c>
      <c r="D112" s="20">
        <v>2.347223554098826E-13</v>
      </c>
      <c r="E112" s="20">
        <v>0.99153241536688019</v>
      </c>
      <c r="F112" s="20">
        <v>7.7522660616692217E-5</v>
      </c>
      <c r="G112" s="20">
        <v>3.6217980025224543E-5</v>
      </c>
      <c r="H112" s="20">
        <v>0</v>
      </c>
      <c r="I112" s="20">
        <v>0.99141867472623824</v>
      </c>
      <c r="J112" s="20">
        <v>3.6475224355105685E-4</v>
      </c>
      <c r="K112" s="20">
        <v>8.1028323893340571E-3</v>
      </c>
      <c r="L112" s="20">
        <v>0</v>
      </c>
    </row>
    <row r="113" spans="1:12">
      <c r="A113" s="2" t="s">
        <v>471</v>
      </c>
      <c r="B113" s="3" t="s">
        <v>472</v>
      </c>
      <c r="D113" s="20">
        <v>2.8885198107241152E-9</v>
      </c>
      <c r="E113" s="20">
        <v>0.95415219545439256</v>
      </c>
      <c r="F113" s="20">
        <v>2.2026706519404525E-3</v>
      </c>
      <c r="G113" s="20">
        <v>8.0176135751204624E-4</v>
      </c>
      <c r="H113" s="20">
        <v>0</v>
      </c>
      <c r="I113" s="20">
        <v>0.95114776344494001</v>
      </c>
      <c r="J113" s="20">
        <v>3.9530419025355452E-4</v>
      </c>
      <c r="K113" s="20">
        <v>4.5452497466833996E-2</v>
      </c>
      <c r="L113" s="20">
        <v>0</v>
      </c>
    </row>
    <row r="114" spans="1:12">
      <c r="A114" s="2" t="s">
        <v>473</v>
      </c>
      <c r="B114" s="3" t="s">
        <v>474</v>
      </c>
      <c r="D114" s="20">
        <v>2.3040710868207268E-16</v>
      </c>
      <c r="E114" s="20">
        <v>0.99543396141984331</v>
      </c>
      <c r="F114" s="20">
        <v>2.2573516428463397E-5</v>
      </c>
      <c r="G114" s="20">
        <v>1.1372810977854939E-5</v>
      </c>
      <c r="H114" s="20">
        <v>0</v>
      </c>
      <c r="I114" s="20">
        <v>0.99540001509243703</v>
      </c>
      <c r="J114" s="20">
        <v>3.6476994776228296E-4</v>
      </c>
      <c r="K114" s="20">
        <v>4.20126863239408E-3</v>
      </c>
      <c r="L114" s="20">
        <v>0</v>
      </c>
    </row>
    <row r="115" spans="1:12">
      <c r="A115" s="2" t="s">
        <v>475</v>
      </c>
      <c r="B115" s="3" t="s">
        <v>476</v>
      </c>
      <c r="D115" s="20">
        <v>1.1915264583454703E-12</v>
      </c>
      <c r="E115" s="20">
        <v>0.99954481460593436</v>
      </c>
      <c r="F115" s="20">
        <v>2.7441787769083598E-2</v>
      </c>
      <c r="G115" s="20">
        <v>3.2869738912445226E-6</v>
      </c>
      <c r="H115" s="20">
        <v>0</v>
      </c>
      <c r="I115" s="20">
        <v>0.9720997398629595</v>
      </c>
      <c r="J115" s="20">
        <v>3.8752899291064703E-4</v>
      </c>
      <c r="K115" s="20">
        <v>6.7656399963468585E-5</v>
      </c>
      <c r="L115" s="20">
        <v>0</v>
      </c>
    </row>
    <row r="116" spans="1:12">
      <c r="A116" s="2" t="s">
        <v>477</v>
      </c>
      <c r="B116" s="3" t="s">
        <v>478</v>
      </c>
      <c r="D116" s="20">
        <v>3.1714207743291287E-17</v>
      </c>
      <c r="E116" s="20">
        <v>0.91959488563093428</v>
      </c>
      <c r="F116" s="20">
        <v>0.77449767030644923</v>
      </c>
      <c r="G116" s="20">
        <v>1.8758738797648444E-2</v>
      </c>
      <c r="H116" s="20">
        <v>0</v>
      </c>
      <c r="I116" s="20">
        <v>0.12633847652683663</v>
      </c>
      <c r="J116" s="20">
        <v>6.2295205423185306E-2</v>
      </c>
      <c r="K116" s="20">
        <v>1.8109908945880257E-2</v>
      </c>
      <c r="L116" s="20">
        <v>0</v>
      </c>
    </row>
    <row r="117" spans="1:12">
      <c r="A117" s="2" t="s">
        <v>291</v>
      </c>
      <c r="B117" s="3" t="s">
        <v>479</v>
      </c>
      <c r="D117" s="20">
        <v>2.9347134073833562E-10</v>
      </c>
      <c r="E117" s="20">
        <v>0.68413550349152441</v>
      </c>
      <c r="F117" s="20">
        <v>0.17038835538014757</v>
      </c>
      <c r="G117" s="20">
        <v>4.2749935756527108E-2</v>
      </c>
      <c r="H117" s="20">
        <v>0</v>
      </c>
      <c r="I117" s="20">
        <v>0.4709972123548497</v>
      </c>
      <c r="J117" s="20">
        <v>2.7897069164960105E-3</v>
      </c>
      <c r="K117" s="20">
        <v>0.31307478929850835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X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1" style="14" customWidth="1"/>
    <col min="13" max="13" width="10.5703125" style="2" bestFit="1" customWidth="1"/>
    <col min="14" max="17" width="9.140625" style="2"/>
    <col min="18" max="18" width="12.42578125" style="2" bestFit="1" customWidth="1"/>
    <col min="19" max="24" width="9.28515625" style="2" bestFit="1" customWidth="1"/>
    <col min="25" max="16384" width="9.140625" style="2"/>
  </cols>
  <sheetData>
    <row r="1" spans="1:24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N1" s="6" t="s">
        <v>17</v>
      </c>
      <c r="O1" s="102" t="s">
        <v>216</v>
      </c>
    </row>
    <row r="2" spans="1:24">
      <c r="A2" s="2" t="s">
        <v>283</v>
      </c>
      <c r="B2" s="3" t="s">
        <v>284</v>
      </c>
      <c r="D2" s="14">
        <v>1.0483379953434164E-12</v>
      </c>
      <c r="E2" s="14">
        <v>3.901700838461605E-5</v>
      </c>
      <c r="F2" s="14">
        <v>2.4009081247661634E-8</v>
      </c>
      <c r="G2" s="14">
        <v>9.6354299109883811E-9</v>
      </c>
      <c r="H2" s="14">
        <v>0</v>
      </c>
      <c r="I2" s="14">
        <v>1.483654181937237E-8</v>
      </c>
      <c r="J2" s="14">
        <v>9.3450951406794041E-7</v>
      </c>
      <c r="K2" s="14">
        <v>0</v>
      </c>
      <c r="M2" s="21"/>
      <c r="N2" s="102"/>
    </row>
    <row r="3" spans="1:24">
      <c r="A3" s="2" t="s">
        <v>361</v>
      </c>
      <c r="B3" s="3" t="s">
        <v>362</v>
      </c>
      <c r="D3" s="14">
        <v>7.9710026832716052E-13</v>
      </c>
      <c r="E3" s="14">
        <v>1.8634495098060373E-5</v>
      </c>
      <c r="F3" s="14">
        <v>7.4031457305182825E-6</v>
      </c>
      <c r="G3" s="14">
        <v>1.798475356609416E-6</v>
      </c>
      <c r="H3" s="14">
        <v>0</v>
      </c>
      <c r="I3" s="14">
        <v>1.407646744231476E-7</v>
      </c>
      <c r="J3" s="14">
        <v>1.2023118343288519E-5</v>
      </c>
      <c r="K3" s="14">
        <v>0</v>
      </c>
      <c r="M3" s="21"/>
      <c r="N3" s="102"/>
    </row>
    <row r="4" spans="1:24">
      <c r="A4" s="2" t="s">
        <v>364</v>
      </c>
      <c r="B4" s="3" t="s">
        <v>365</v>
      </c>
      <c r="D4" s="14">
        <v>5.4393344543517881E-22</v>
      </c>
      <c r="E4" s="14">
        <v>3.9964869959553762E-5</v>
      </c>
      <c r="F4" s="14">
        <v>1.6866306132660671E-8</v>
      </c>
      <c r="G4" s="14">
        <v>1.8574435354863563E-11</v>
      </c>
      <c r="H4" s="14">
        <v>0</v>
      </c>
      <c r="I4" s="14">
        <v>1.7419448534465871E-8</v>
      </c>
      <c r="J4" s="14">
        <v>8.2571134376030589E-10</v>
      </c>
      <c r="K4" s="14">
        <v>0</v>
      </c>
      <c r="M4" s="21"/>
    </row>
    <row r="5" spans="1:24">
      <c r="A5" s="2" t="s">
        <v>285</v>
      </c>
      <c r="B5" s="3" t="s">
        <v>286</v>
      </c>
      <c r="D5" s="14">
        <v>9.0529633896616557E-15</v>
      </c>
      <c r="E5" s="14">
        <v>2.1891326073042154E-5</v>
      </c>
      <c r="F5" s="14">
        <v>1.8074805981856095E-5</v>
      </c>
      <c r="G5" s="14">
        <v>1.434606882215242E-9</v>
      </c>
      <c r="H5" s="14">
        <v>0</v>
      </c>
      <c r="I5" s="14">
        <v>2.4912849515355966E-8</v>
      </c>
      <c r="J5" s="14">
        <v>7.5204796512236702E-9</v>
      </c>
      <c r="K5" s="14">
        <v>0</v>
      </c>
      <c r="M5" s="21"/>
    </row>
    <row r="6" spans="1:24">
      <c r="A6" s="2" t="s">
        <v>287</v>
      </c>
      <c r="B6" s="3" t="s">
        <v>288</v>
      </c>
      <c r="D6" s="14">
        <v>7.4257550604579482E-16</v>
      </c>
      <c r="E6" s="14">
        <v>1.2954699334645582E-5</v>
      </c>
      <c r="F6" s="14">
        <v>2.6980432813274935E-5</v>
      </c>
      <c r="G6" s="14">
        <v>7.8242269330237721E-9</v>
      </c>
      <c r="H6" s="14">
        <v>0</v>
      </c>
      <c r="I6" s="14">
        <v>2.8849794923898895E-8</v>
      </c>
      <c r="J6" s="14">
        <v>2.8193829479993708E-8</v>
      </c>
      <c r="K6" s="14">
        <v>0</v>
      </c>
      <c r="M6" s="21"/>
      <c r="N6" s="12"/>
    </row>
    <row r="7" spans="1:24">
      <c r="A7" s="2" t="s">
        <v>366</v>
      </c>
      <c r="B7" s="3" t="s">
        <v>305</v>
      </c>
      <c r="D7" s="14">
        <v>6.476466682596035E-12</v>
      </c>
      <c r="E7" s="14">
        <v>4.3014229708862439E-6</v>
      </c>
      <c r="F7" s="14">
        <v>3.5443265204944471E-5</v>
      </c>
      <c r="G7" s="14">
        <v>7.2148752800446473E-8</v>
      </c>
      <c r="H7" s="14">
        <v>0</v>
      </c>
      <c r="I7" s="14">
        <v>3.4240561847416069E-8</v>
      </c>
      <c r="J7" s="14">
        <v>1.4891603305474604E-7</v>
      </c>
      <c r="K7" s="14">
        <v>0</v>
      </c>
      <c r="M7" s="21"/>
      <c r="N7" s="12"/>
    </row>
    <row r="8" spans="1:24">
      <c r="A8" s="2" t="s">
        <v>289</v>
      </c>
      <c r="B8" s="3" t="s">
        <v>290</v>
      </c>
      <c r="D8" s="14">
        <v>4.6006981080311388E-22</v>
      </c>
      <c r="E8" s="14">
        <v>9.1856361407493938E-6</v>
      </c>
      <c r="F8" s="14">
        <v>3.076598419337298E-5</v>
      </c>
      <c r="G8" s="14">
        <v>4.6783789584141877E-9</v>
      </c>
      <c r="H8" s="14">
        <v>0</v>
      </c>
      <c r="I8" s="14">
        <v>2.9795101102383551E-8</v>
      </c>
      <c r="J8" s="14">
        <v>1.3906185816828406E-8</v>
      </c>
      <c r="K8" s="14">
        <v>0</v>
      </c>
      <c r="M8" s="21"/>
      <c r="N8" s="12"/>
    </row>
    <row r="9" spans="1:24">
      <c r="A9" s="2" t="s">
        <v>291</v>
      </c>
      <c r="B9" s="3" t="s">
        <v>292</v>
      </c>
      <c r="D9" s="14">
        <v>1.9287251090157315E-17</v>
      </c>
      <c r="E9" s="14">
        <v>2.4544227932988711E-5</v>
      </c>
      <c r="F9" s="14">
        <v>1.5391854515551328E-5</v>
      </c>
      <c r="G9" s="14">
        <v>5.8339526283300667E-9</v>
      </c>
      <c r="H9" s="14">
        <v>0</v>
      </c>
      <c r="I9" s="14">
        <v>2.3895454469950313E-8</v>
      </c>
      <c r="J9" s="14">
        <v>3.4188144342394223E-8</v>
      </c>
      <c r="K9" s="14">
        <v>0</v>
      </c>
      <c r="M9" s="21"/>
      <c r="N9" s="12"/>
    </row>
    <row r="10" spans="1:24">
      <c r="A10" s="2" t="s">
        <v>367</v>
      </c>
      <c r="B10" s="3" t="s">
        <v>368</v>
      </c>
      <c r="D10" s="14">
        <v>5.7725978934198002E-10</v>
      </c>
      <c r="E10" s="14">
        <v>4.1119132825558157E-7</v>
      </c>
      <c r="F10" s="14">
        <v>2.9685578824327191E-5</v>
      </c>
      <c r="G10" s="14">
        <v>5.1849082632638051E-6</v>
      </c>
      <c r="H10" s="14">
        <v>0</v>
      </c>
      <c r="I10" s="14">
        <v>3.2987477733871841E-7</v>
      </c>
      <c r="J10" s="14">
        <v>4.3878695470253624E-6</v>
      </c>
      <c r="K10" s="14">
        <v>0</v>
      </c>
      <c r="M10" s="21"/>
      <c r="N10" s="12"/>
    </row>
    <row r="11" spans="1:24">
      <c r="A11" s="2" t="s">
        <v>369</v>
      </c>
      <c r="B11" s="3" t="s">
        <v>370</v>
      </c>
      <c r="D11" s="14">
        <v>2.2907425375112897E-16</v>
      </c>
      <c r="E11" s="14">
        <v>2.3531049456000931E-8</v>
      </c>
      <c r="F11" s="14">
        <v>2.1469546499084607E-5</v>
      </c>
      <c r="G11" s="14">
        <v>1.5686181755899074E-5</v>
      </c>
      <c r="H11" s="14">
        <v>0</v>
      </c>
      <c r="I11" s="14">
        <v>2.1386692419985689E-6</v>
      </c>
      <c r="J11" s="14">
        <v>6.8207145333268182E-7</v>
      </c>
      <c r="K11" s="14">
        <v>0</v>
      </c>
      <c r="M11" s="21"/>
      <c r="N11" s="12"/>
    </row>
    <row r="12" spans="1:24">
      <c r="A12" s="2" t="s">
        <v>371</v>
      </c>
      <c r="B12" s="3" t="s">
        <v>372</v>
      </c>
      <c r="D12" s="14">
        <v>2.9973401496410891E-6</v>
      </c>
      <c r="E12" s="14">
        <v>3.6819794211026624E-5</v>
      </c>
      <c r="F12" s="14">
        <v>1.0349791951442257E-9</v>
      </c>
      <c r="G12" s="14">
        <v>5.130025628823606E-10</v>
      </c>
      <c r="H12" s="14">
        <v>0</v>
      </c>
      <c r="I12" s="14">
        <v>1.3502121211483773E-8</v>
      </c>
      <c r="J12" s="14">
        <v>1.6781553636278607E-7</v>
      </c>
      <c r="K12" s="14">
        <v>0</v>
      </c>
      <c r="M12" s="21"/>
      <c r="N12" s="12"/>
    </row>
    <row r="13" spans="1:24">
      <c r="A13" s="2" t="s">
        <v>293</v>
      </c>
      <c r="B13" s="3" t="s">
        <v>294</v>
      </c>
      <c r="D13" s="14">
        <v>6.996961586661734E-13</v>
      </c>
      <c r="E13" s="14">
        <v>2.0945085146439253E-5</v>
      </c>
      <c r="F13" s="14">
        <v>5.6128534689827118E-6</v>
      </c>
      <c r="G13" s="14">
        <v>1.4397240515877511E-6</v>
      </c>
      <c r="H13" s="14">
        <v>0</v>
      </c>
      <c r="I13" s="14">
        <v>9.5623497370586402E-8</v>
      </c>
      <c r="J13" s="14">
        <v>1.1906713135923543E-5</v>
      </c>
      <c r="K13" s="14">
        <v>0</v>
      </c>
      <c r="M13" s="21"/>
      <c r="N13" s="12"/>
    </row>
    <row r="14" spans="1:24">
      <c r="A14" s="2" t="s">
        <v>373</v>
      </c>
      <c r="B14" s="3" t="s">
        <v>374</v>
      </c>
      <c r="D14" s="14">
        <v>3.4268943143677942E-12</v>
      </c>
      <c r="E14" s="14">
        <v>3.5175386377530524E-7</v>
      </c>
      <c r="F14" s="14">
        <v>3.9491210934913056E-5</v>
      </c>
      <c r="G14" s="14">
        <v>6.1868003470393361E-8</v>
      </c>
      <c r="H14" s="14">
        <v>0</v>
      </c>
      <c r="I14" s="14">
        <v>6.3933285729355132E-8</v>
      </c>
      <c r="J14" s="14">
        <v>3.1230485217584177E-8</v>
      </c>
      <c r="K14" s="14">
        <v>0</v>
      </c>
      <c r="M14" s="21"/>
      <c r="N14" s="12"/>
    </row>
    <row r="15" spans="1:24">
      <c r="A15" s="2" t="s">
        <v>375</v>
      </c>
      <c r="B15" s="3" t="s">
        <v>376</v>
      </c>
      <c r="D15" s="14">
        <v>3.4042484543659167E-6</v>
      </c>
      <c r="E15" s="14">
        <v>3.0467294429217804E-5</v>
      </c>
      <c r="F15" s="14">
        <v>7.7820759286874815E-7</v>
      </c>
      <c r="G15" s="14">
        <v>2.3735097453161585E-7</v>
      </c>
      <c r="H15" s="14">
        <v>0</v>
      </c>
      <c r="I15" s="14">
        <v>2.5407598002900753E-8</v>
      </c>
      <c r="J15" s="14">
        <v>5.0874909510130154E-6</v>
      </c>
      <c r="K15" s="14">
        <v>0</v>
      </c>
      <c r="M15" s="21"/>
      <c r="N15" s="12"/>
    </row>
    <row r="16" spans="1:24">
      <c r="A16" s="2" t="s">
        <v>377</v>
      </c>
      <c r="B16" s="3" t="s">
        <v>378</v>
      </c>
      <c r="D16" s="14">
        <v>2.6612244831791491E-8</v>
      </c>
      <c r="E16" s="14">
        <v>1.9533233913955209E-5</v>
      </c>
      <c r="F16" s="14">
        <v>6.3937510912383917E-6</v>
      </c>
      <c r="G16" s="14">
        <v>1.6160369278161712E-6</v>
      </c>
      <c r="H16" s="14">
        <v>0</v>
      </c>
      <c r="I16" s="14">
        <v>1.0601900827779939E-7</v>
      </c>
      <c r="J16" s="14">
        <v>1.2324346813880634E-5</v>
      </c>
      <c r="K16" s="14">
        <v>0</v>
      </c>
      <c r="M16" s="21"/>
      <c r="N16" s="12"/>
      <c r="V16" s="22"/>
      <c r="X16" s="22"/>
    </row>
    <row r="17" spans="1:14">
      <c r="A17" s="2" t="s">
        <v>379</v>
      </c>
      <c r="B17" s="3" t="s">
        <v>380</v>
      </c>
      <c r="D17" s="14">
        <v>8.0031853234194744E-8</v>
      </c>
      <c r="E17" s="14">
        <v>2.0382409101045069E-5</v>
      </c>
      <c r="F17" s="14">
        <v>5.8875836220155035E-6</v>
      </c>
      <c r="G17" s="14">
        <v>1.5018710429228407E-6</v>
      </c>
      <c r="H17" s="14">
        <v>0</v>
      </c>
      <c r="I17" s="14">
        <v>9.9263350364252006E-8</v>
      </c>
      <c r="J17" s="14">
        <v>1.2048841030418152E-5</v>
      </c>
      <c r="K17" s="14">
        <v>0</v>
      </c>
      <c r="M17" s="21"/>
      <c r="N17" s="12"/>
    </row>
    <row r="18" spans="1:14">
      <c r="A18" s="2" t="s">
        <v>381</v>
      </c>
      <c r="B18" s="3" t="s">
        <v>382</v>
      </c>
      <c r="D18" s="14">
        <v>1.6421298477939738E-12</v>
      </c>
      <c r="E18" s="14">
        <v>2.5511743253673124E-8</v>
      </c>
      <c r="F18" s="14">
        <v>9.4597946700919683E-6</v>
      </c>
      <c r="G18" s="14">
        <v>2.5631691379742071E-5</v>
      </c>
      <c r="H18" s="14">
        <v>0</v>
      </c>
      <c r="I18" s="14">
        <v>1.686388782802863E-6</v>
      </c>
      <c r="J18" s="14">
        <v>3.1966117819795799E-6</v>
      </c>
      <c r="K18" s="14">
        <v>0</v>
      </c>
      <c r="M18" s="21"/>
      <c r="N18" s="12"/>
    </row>
    <row r="19" spans="1:14">
      <c r="A19" s="2" t="s">
        <v>383</v>
      </c>
      <c r="B19" s="3" t="s">
        <v>384</v>
      </c>
      <c r="D19" s="14">
        <v>4.706898968723229E-7</v>
      </c>
      <c r="E19" s="14">
        <v>3.6113328387421081E-5</v>
      </c>
      <c r="F19" s="14">
        <v>2.513096072142096E-7</v>
      </c>
      <c r="G19" s="14">
        <v>8.4353799054596357E-8</v>
      </c>
      <c r="H19" s="14">
        <v>0</v>
      </c>
      <c r="I19" s="14">
        <v>1.8233060885530966E-8</v>
      </c>
      <c r="J19" s="14">
        <v>3.0620852485522627E-6</v>
      </c>
      <c r="K19" s="14">
        <v>0</v>
      </c>
      <c r="M19" s="21"/>
      <c r="N19" s="12"/>
    </row>
    <row r="20" spans="1:14">
      <c r="A20" s="2" t="s">
        <v>385</v>
      </c>
      <c r="B20" s="3" t="s">
        <v>386</v>
      </c>
      <c r="D20" s="14">
        <v>8.7880716380846701E-7</v>
      </c>
      <c r="E20" s="14">
        <v>3.4460869335295203E-5</v>
      </c>
      <c r="F20" s="14">
        <v>4.4809263257242529E-7</v>
      </c>
      <c r="G20" s="14">
        <v>1.4363601867525828E-7</v>
      </c>
      <c r="H20" s="14">
        <v>0</v>
      </c>
      <c r="I20" s="14">
        <v>2.1196135882015739E-8</v>
      </c>
      <c r="J20" s="14">
        <v>4.047398713766632E-6</v>
      </c>
      <c r="K20" s="14">
        <v>0</v>
      </c>
      <c r="M20" s="21"/>
      <c r="N20" s="12"/>
    </row>
    <row r="21" spans="1:14">
      <c r="A21" s="2" t="s">
        <v>387</v>
      </c>
      <c r="B21" s="3" t="s">
        <v>388</v>
      </c>
      <c r="D21" s="14">
        <v>7.4362592089952905E-8</v>
      </c>
      <c r="E21" s="14">
        <v>4.2351612858318988E-6</v>
      </c>
      <c r="F21" s="14">
        <v>3.1575593935163138E-5</v>
      </c>
      <c r="G21" s="14">
        <v>1.2742970875550833E-6</v>
      </c>
      <c r="H21" s="14">
        <v>0</v>
      </c>
      <c r="I21" s="14">
        <v>1.0164003835492672E-7</v>
      </c>
      <c r="J21" s="14">
        <v>2.7389450610049988E-6</v>
      </c>
      <c r="K21" s="14">
        <v>0</v>
      </c>
      <c r="M21" s="21"/>
      <c r="N21" s="12"/>
    </row>
    <row r="22" spans="1:14">
      <c r="A22" s="2" t="s">
        <v>295</v>
      </c>
      <c r="B22" s="3" t="s">
        <v>296</v>
      </c>
      <c r="D22" s="14">
        <v>2.6212130673748511E-6</v>
      </c>
      <c r="E22" s="14">
        <v>3.6125591350304604E-5</v>
      </c>
      <c r="F22" s="14">
        <v>4.0511333525744498E-8</v>
      </c>
      <c r="G22" s="14">
        <v>1.555507446916918E-8</v>
      </c>
      <c r="H22" s="14">
        <v>0</v>
      </c>
      <c r="I22" s="14">
        <v>1.4129227339770865E-8</v>
      </c>
      <c r="J22" s="14">
        <v>1.1829999469858656E-6</v>
      </c>
      <c r="K22" s="14">
        <v>0</v>
      </c>
      <c r="M22" s="21"/>
      <c r="N22" s="12"/>
    </row>
    <row r="23" spans="1:14">
      <c r="A23" s="2" t="s">
        <v>389</v>
      </c>
      <c r="B23" s="3" t="s">
        <v>390</v>
      </c>
      <c r="D23" s="14">
        <v>2.7556642560287009E-6</v>
      </c>
      <c r="E23" s="14">
        <v>2.8880116682534597E-5</v>
      </c>
      <c r="F23" s="14">
        <v>1.3443133697171363E-6</v>
      </c>
      <c r="G23" s="14">
        <v>3.9227991565762794E-7</v>
      </c>
      <c r="H23" s="14">
        <v>0</v>
      </c>
      <c r="I23" s="14">
        <v>3.4236706440009088E-8</v>
      </c>
      <c r="J23" s="14">
        <v>6.5933890696219376E-6</v>
      </c>
      <c r="K23" s="14">
        <v>0</v>
      </c>
      <c r="M23" s="21"/>
    </row>
    <row r="24" spans="1:14">
      <c r="A24" s="2" t="s">
        <v>391</v>
      </c>
      <c r="B24" s="3" t="s">
        <v>392</v>
      </c>
      <c r="D24" s="14">
        <v>7.8519061671315234E-8</v>
      </c>
      <c r="E24" s="14">
        <v>1.5106635189922225E-5</v>
      </c>
      <c r="F24" s="14">
        <v>9.2395180002930407E-6</v>
      </c>
      <c r="G24" s="14">
        <v>2.2302054422126628E-6</v>
      </c>
      <c r="H24" s="14">
        <v>0</v>
      </c>
      <c r="I24" s="14">
        <v>1.4258200622614008E-7</v>
      </c>
      <c r="J24" s="14">
        <v>1.3202540299674621E-5</v>
      </c>
      <c r="K24" s="14">
        <v>0</v>
      </c>
      <c r="M24" s="21"/>
    </row>
    <row r="25" spans="1:14">
      <c r="A25" s="2" t="s">
        <v>393</v>
      </c>
      <c r="B25" s="3" t="s">
        <v>394</v>
      </c>
      <c r="D25" s="14">
        <v>7.5717780119619501E-9</v>
      </c>
      <c r="E25" s="14">
        <v>3.56131602132323E-8</v>
      </c>
      <c r="F25" s="14">
        <v>1.1299834631365929E-5</v>
      </c>
      <c r="G25" s="14">
        <v>2.3581294558323726E-5</v>
      </c>
      <c r="H25" s="14">
        <v>0</v>
      </c>
      <c r="I25" s="14">
        <v>1.5464533410435159E-6</v>
      </c>
      <c r="J25" s="14">
        <v>3.5292325310416287E-6</v>
      </c>
      <c r="K25" s="14">
        <v>0</v>
      </c>
      <c r="M25" s="21"/>
    </row>
    <row r="26" spans="1:14">
      <c r="A26" s="2" t="s">
        <v>395</v>
      </c>
      <c r="B26" s="3" t="s">
        <v>396</v>
      </c>
      <c r="D26" s="14">
        <v>5.2992184333937469E-6</v>
      </c>
      <c r="E26" s="14">
        <v>5.4293077815330599E-6</v>
      </c>
      <c r="F26" s="14">
        <v>1.5264621370453702E-5</v>
      </c>
      <c r="G26" s="14">
        <v>3.2929231229670267E-6</v>
      </c>
      <c r="H26" s="14">
        <v>0</v>
      </c>
      <c r="I26" s="14">
        <v>2.0655453070369195E-7</v>
      </c>
      <c r="J26" s="14">
        <v>1.0507374760948771E-5</v>
      </c>
      <c r="K26" s="14">
        <v>0</v>
      </c>
    </row>
    <row r="27" spans="1:14">
      <c r="A27" s="2" t="s">
        <v>397</v>
      </c>
      <c r="B27" s="3" t="s">
        <v>398</v>
      </c>
      <c r="D27" s="14">
        <v>2.4094448497734824E-5</v>
      </c>
      <c r="E27" s="14">
        <v>6.431460855208355E-7</v>
      </c>
      <c r="F27" s="14">
        <v>1.0152925629979425E-5</v>
      </c>
      <c r="G27" s="14">
        <v>1.9287980591735688E-6</v>
      </c>
      <c r="H27" s="14">
        <v>0</v>
      </c>
      <c r="I27" s="14">
        <v>1.2154145843268209E-7</v>
      </c>
      <c r="J27" s="14">
        <v>3.0591402691586661E-6</v>
      </c>
      <c r="K27" s="14">
        <v>0</v>
      </c>
    </row>
    <row r="28" spans="1:14">
      <c r="A28" s="2" t="s">
        <v>399</v>
      </c>
      <c r="B28" s="3" t="s">
        <v>400</v>
      </c>
      <c r="D28" s="14">
        <v>3.0626112825557417E-5</v>
      </c>
      <c r="E28" s="14">
        <v>1.1637093364399713E-6</v>
      </c>
      <c r="F28" s="14">
        <v>4.5286222187572484E-6</v>
      </c>
      <c r="G28" s="14">
        <v>9.5380951022994113E-7</v>
      </c>
      <c r="H28" s="14">
        <v>0</v>
      </c>
      <c r="I28" s="14">
        <v>5.98170405202227E-8</v>
      </c>
      <c r="J28" s="14">
        <v>2.667929068495191E-6</v>
      </c>
      <c r="K28" s="14">
        <v>0</v>
      </c>
    </row>
    <row r="29" spans="1:14">
      <c r="A29" s="2" t="s">
        <v>297</v>
      </c>
      <c r="B29" s="3" t="s">
        <v>298</v>
      </c>
      <c r="D29" s="14">
        <v>3.7263263373072319E-5</v>
      </c>
      <c r="E29" s="14">
        <v>2.3665382409038239E-6</v>
      </c>
      <c r="F29" s="14">
        <v>3.9514373532695522E-8</v>
      </c>
      <c r="G29" s="14">
        <v>1.2435139347843341E-8</v>
      </c>
      <c r="H29" s="14">
        <v>0</v>
      </c>
      <c r="I29" s="14">
        <v>1.6106885622244201E-9</v>
      </c>
      <c r="J29" s="14">
        <v>3.1663818458110133E-7</v>
      </c>
      <c r="K29" s="14">
        <v>0</v>
      </c>
    </row>
    <row r="30" spans="1:14">
      <c r="A30" s="2" t="s">
        <v>401</v>
      </c>
      <c r="B30" s="3" t="s">
        <v>402</v>
      </c>
      <c r="D30" s="14">
        <v>3.6345959062585477E-5</v>
      </c>
      <c r="E30" s="14">
        <v>4.7905874636217854E-7</v>
      </c>
      <c r="F30" s="14">
        <v>1.7295389540460737E-6</v>
      </c>
      <c r="G30" s="14">
        <v>3.662907093999632E-7</v>
      </c>
      <c r="H30" s="14">
        <v>0</v>
      </c>
      <c r="I30" s="14">
        <v>2.2971081691945814E-8</v>
      </c>
      <c r="J30" s="14">
        <v>1.0561814459143743E-6</v>
      </c>
      <c r="K30" s="14">
        <v>0</v>
      </c>
    </row>
    <row r="31" spans="1:14">
      <c r="A31" s="2" t="s">
        <v>299</v>
      </c>
      <c r="B31" s="3" t="s">
        <v>300</v>
      </c>
      <c r="D31" s="14">
        <v>3.9921294119543763E-5</v>
      </c>
      <c r="E31" s="14">
        <v>1.7910893512287816E-8</v>
      </c>
      <c r="F31" s="14">
        <v>2.8332103924684492E-8</v>
      </c>
      <c r="G31" s="14">
        <v>6.3763827986754786E-9</v>
      </c>
      <c r="H31" s="14">
        <v>0</v>
      </c>
      <c r="I31" s="14">
        <v>4.0106008143246517E-10</v>
      </c>
      <c r="J31" s="14">
        <v>2.5685440139150853E-8</v>
      </c>
      <c r="K31" s="14">
        <v>0</v>
      </c>
    </row>
    <row r="32" spans="1:14">
      <c r="A32" s="2" t="s">
        <v>343</v>
      </c>
      <c r="B32" s="3" t="s">
        <v>344</v>
      </c>
      <c r="D32" s="14">
        <v>7.8396039092492112E-8</v>
      </c>
      <c r="E32" s="14">
        <v>2.243916858190807E-5</v>
      </c>
      <c r="F32" s="14">
        <v>4.8014049480669766E-6</v>
      </c>
      <c r="G32" s="14">
        <v>1.2521717198264253E-6</v>
      </c>
      <c r="H32" s="14">
        <v>0</v>
      </c>
      <c r="I32" s="14">
        <v>8.4589567886944898E-8</v>
      </c>
      <c r="J32" s="14">
        <v>1.134426914321909E-5</v>
      </c>
      <c r="K32" s="14">
        <v>0</v>
      </c>
    </row>
    <row r="33" spans="1:11">
      <c r="A33" s="2" t="s">
        <v>345</v>
      </c>
      <c r="B33" s="3" t="s">
        <v>346</v>
      </c>
      <c r="D33" s="14">
        <v>3.3420660922090317E-9</v>
      </c>
      <c r="E33" s="14">
        <v>2.8383612869408085E-5</v>
      </c>
      <c r="F33" s="14">
        <v>2.2902835252470776E-6</v>
      </c>
      <c r="G33" s="14">
        <v>6.4177796888924606E-7</v>
      </c>
      <c r="H33" s="14">
        <v>0</v>
      </c>
      <c r="I33" s="14">
        <v>4.9261762582286094E-8</v>
      </c>
      <c r="J33" s="14">
        <v>8.6317218077811066E-6</v>
      </c>
      <c r="K33" s="14">
        <v>0</v>
      </c>
    </row>
    <row r="34" spans="1:11">
      <c r="A34" s="2" t="s">
        <v>347</v>
      </c>
      <c r="B34" s="3" t="s">
        <v>348</v>
      </c>
      <c r="D34" s="14">
        <v>2.8835271997612883E-9</v>
      </c>
      <c r="E34" s="14">
        <v>6.9313318655038303E-6</v>
      </c>
      <c r="F34" s="14">
        <v>1.6772518025021443E-5</v>
      </c>
      <c r="G34" s="14">
        <v>3.6584221905931177E-6</v>
      </c>
      <c r="H34" s="14">
        <v>0</v>
      </c>
      <c r="I34" s="14">
        <v>2.2956776217537716E-7</v>
      </c>
      <c r="J34" s="14">
        <v>1.2405276629506481E-5</v>
      </c>
      <c r="K34" s="14">
        <v>0</v>
      </c>
    </row>
    <row r="35" spans="1:11">
      <c r="A35" s="2" t="s">
        <v>349</v>
      </c>
      <c r="B35" s="3" t="s">
        <v>350</v>
      </c>
      <c r="D35" s="14">
        <v>5.270515320105167E-7</v>
      </c>
      <c r="E35" s="14">
        <v>8.2498437010735718E-7</v>
      </c>
      <c r="F35" s="14">
        <v>2.7575747575587181E-5</v>
      </c>
      <c r="G35" s="14">
        <v>4.9570448730391462E-6</v>
      </c>
      <c r="H35" s="14">
        <v>0</v>
      </c>
      <c r="I35" s="14">
        <v>3.1373597927509965E-7</v>
      </c>
      <c r="J35" s="14">
        <v>5.8014356699806979E-6</v>
      </c>
      <c r="K35" s="14">
        <v>0</v>
      </c>
    </row>
    <row r="36" spans="1:11">
      <c r="A36" s="2" t="s">
        <v>351</v>
      </c>
      <c r="B36" s="3" t="s">
        <v>352</v>
      </c>
      <c r="D36" s="14">
        <v>1.4226025882689391E-8</v>
      </c>
      <c r="E36" s="14">
        <v>1.8269902726941308E-7</v>
      </c>
      <c r="F36" s="14">
        <v>2.3559051926665827E-5</v>
      </c>
      <c r="G36" s="14">
        <v>1.0875603474204881E-5</v>
      </c>
      <c r="H36" s="14">
        <v>0</v>
      </c>
      <c r="I36" s="14">
        <v>7.000417440525209E-7</v>
      </c>
      <c r="J36" s="14">
        <v>4.668377801924674E-6</v>
      </c>
      <c r="K36" s="14">
        <v>0</v>
      </c>
    </row>
    <row r="37" spans="1:11">
      <c r="A37" s="2" t="s">
        <v>353</v>
      </c>
      <c r="B37" s="3" t="s">
        <v>354</v>
      </c>
      <c r="D37" s="14">
        <v>9.6585889987885391E-8</v>
      </c>
      <c r="E37" s="14">
        <v>2.7960589694193832E-8</v>
      </c>
      <c r="F37" s="14">
        <v>9.9285974054243431E-6</v>
      </c>
      <c r="G37" s="14">
        <v>2.5019778249694075E-5</v>
      </c>
      <c r="H37" s="14">
        <v>0</v>
      </c>
      <c r="I37" s="14">
        <v>1.6446432280722788E-6</v>
      </c>
      <c r="J37" s="14">
        <v>3.2824346371272297E-6</v>
      </c>
      <c r="K37" s="14">
        <v>0</v>
      </c>
    </row>
    <row r="38" spans="1:11">
      <c r="A38" s="2" t="s">
        <v>355</v>
      </c>
      <c r="B38" s="3" t="s">
        <v>356</v>
      </c>
      <c r="D38" s="14">
        <v>5.3159926796120721E-9</v>
      </c>
      <c r="E38" s="14">
        <v>1.0039613983374957E-7</v>
      </c>
      <c r="F38" s="14">
        <v>1.8623383611303602E-5</v>
      </c>
      <c r="G38" s="14">
        <v>1.5810810900834598E-5</v>
      </c>
      <c r="H38" s="14">
        <v>0</v>
      </c>
      <c r="I38" s="14">
        <v>1.0253675292216491E-6</v>
      </c>
      <c r="J38" s="14">
        <v>4.4347258261267919E-6</v>
      </c>
      <c r="K38" s="14">
        <v>0</v>
      </c>
    </row>
    <row r="39" spans="1:11">
      <c r="A39" s="2" t="s">
        <v>357</v>
      </c>
      <c r="B39" s="3" t="s">
        <v>358</v>
      </c>
      <c r="D39" s="14">
        <v>1.0747842908033583E-6</v>
      </c>
      <c r="E39" s="14">
        <v>1.5109634211968543E-7</v>
      </c>
      <c r="F39" s="14">
        <v>2.1617005098604539E-5</v>
      </c>
      <c r="G39" s="14">
        <v>1.1876571300545397E-5</v>
      </c>
      <c r="H39" s="14">
        <v>0</v>
      </c>
      <c r="I39" s="14">
        <v>7.6610478093150758E-7</v>
      </c>
      <c r="J39" s="14">
        <v>4.5144381869955142E-6</v>
      </c>
      <c r="K39" s="14">
        <v>0</v>
      </c>
    </row>
    <row r="40" spans="1:11">
      <c r="A40" s="2" t="s">
        <v>359</v>
      </c>
      <c r="B40" s="3" t="s">
        <v>360</v>
      </c>
      <c r="D40" s="14">
        <v>5.3159926796120721E-9</v>
      </c>
      <c r="E40" s="14">
        <v>1.0039613983374957E-7</v>
      </c>
      <c r="F40" s="14">
        <v>1.8623383611303602E-5</v>
      </c>
      <c r="G40" s="14">
        <v>1.5810810900834598E-5</v>
      </c>
      <c r="H40" s="14">
        <v>0</v>
      </c>
      <c r="I40" s="14">
        <v>1.0253675292216491E-6</v>
      </c>
      <c r="J40" s="14">
        <v>4.4347258261267919E-6</v>
      </c>
      <c r="K40" s="14">
        <v>0</v>
      </c>
    </row>
    <row r="41" spans="1:11">
      <c r="A41" s="2" t="s">
        <v>313</v>
      </c>
      <c r="B41" s="3" t="s">
        <v>314</v>
      </c>
      <c r="D41" s="14">
        <v>2.2440096258193757E-12</v>
      </c>
      <c r="E41" s="14">
        <v>3.8155308066862259E-5</v>
      </c>
      <c r="F41" s="14">
        <v>1.8210276444589484E-6</v>
      </c>
      <c r="G41" s="14">
        <v>4.3334829140521762E-10</v>
      </c>
      <c r="H41" s="14">
        <v>0</v>
      </c>
      <c r="I41" s="14">
        <v>1.601845640687467E-8</v>
      </c>
      <c r="J41" s="14">
        <v>7.2102399708930595E-9</v>
      </c>
      <c r="K41" s="14">
        <v>0</v>
      </c>
    </row>
    <row r="42" spans="1:11">
      <c r="A42" s="2" t="s">
        <v>315</v>
      </c>
      <c r="B42" s="3" t="s">
        <v>316</v>
      </c>
      <c r="D42" s="14">
        <v>1.3928124718306104E-7</v>
      </c>
      <c r="E42" s="14">
        <v>2.5422911611911524E-8</v>
      </c>
      <c r="F42" s="14">
        <v>9.4268557571013448E-6</v>
      </c>
      <c r="G42" s="14">
        <v>2.5542442079772688E-5</v>
      </c>
      <c r="H42" s="14">
        <v>0</v>
      </c>
      <c r="I42" s="14">
        <v>1.6805167934709248E-6</v>
      </c>
      <c r="J42" s="14">
        <v>3.1854812108600693E-6</v>
      </c>
      <c r="K42" s="14">
        <v>0</v>
      </c>
    </row>
    <row r="43" spans="1:11">
      <c r="A43" s="2" t="s">
        <v>317</v>
      </c>
      <c r="B43" s="3" t="s">
        <v>318</v>
      </c>
      <c r="D43" s="14">
        <v>1.7599650436803516E-16</v>
      </c>
      <c r="E43" s="14">
        <v>1.4103817593243115E-5</v>
      </c>
      <c r="F43" s="14">
        <v>1.0022550584908916E-5</v>
      </c>
      <c r="G43" s="14">
        <v>2.3926204602017157E-6</v>
      </c>
      <c r="H43" s="14">
        <v>0</v>
      </c>
      <c r="I43" s="14">
        <v>1.5235280165627171E-7</v>
      </c>
      <c r="J43" s="14">
        <v>1.3328658559813992E-5</v>
      </c>
      <c r="K43" s="14">
        <v>0</v>
      </c>
    </row>
    <row r="44" spans="1:11">
      <c r="A44" s="2" t="s">
        <v>307</v>
      </c>
      <c r="B44" s="3" t="s">
        <v>308</v>
      </c>
      <c r="D44" s="14">
        <v>4.7618625224446748E-9</v>
      </c>
      <c r="E44" s="14">
        <v>2.7437813102207606E-7</v>
      </c>
      <c r="F44" s="14">
        <v>2.6819524136636201E-5</v>
      </c>
      <c r="G44" s="14">
        <v>7.7829927015927837E-6</v>
      </c>
      <c r="H44" s="14">
        <v>0</v>
      </c>
      <c r="I44" s="14">
        <v>4.981593601610988E-7</v>
      </c>
      <c r="J44" s="14">
        <v>4.6201838080653977E-6</v>
      </c>
      <c r="K44" s="14">
        <v>0</v>
      </c>
    </row>
    <row r="45" spans="1:11">
      <c r="A45" s="2" t="s">
        <v>319</v>
      </c>
      <c r="B45" s="3" t="s">
        <v>320</v>
      </c>
      <c r="D45" s="14">
        <v>4.5448059141767451E-10</v>
      </c>
      <c r="E45" s="14">
        <v>1.1386440523786159E-8</v>
      </c>
      <c r="F45" s="14">
        <v>6.0212901652424184E-6</v>
      </c>
      <c r="G45" s="14">
        <v>2.9572300570414712E-5</v>
      </c>
      <c r="H45" s="14">
        <v>0</v>
      </c>
      <c r="I45" s="14">
        <v>1.9601358154529726E-6</v>
      </c>
      <c r="J45" s="14">
        <v>2.4344325277746992E-6</v>
      </c>
      <c r="K45" s="14">
        <v>0</v>
      </c>
    </row>
    <row r="46" spans="1:11">
      <c r="A46" s="2" t="s">
        <v>321</v>
      </c>
      <c r="B46" s="3" t="s">
        <v>322</v>
      </c>
      <c r="D46" s="14">
        <v>6.7012662058550871E-10</v>
      </c>
      <c r="E46" s="14">
        <v>2.2757759893104807E-8</v>
      </c>
      <c r="F46" s="14">
        <v>8.8885533899281915E-6</v>
      </c>
      <c r="G46" s="14">
        <v>2.6274026933001212E-5</v>
      </c>
      <c r="H46" s="14">
        <v>0</v>
      </c>
      <c r="I46" s="14">
        <v>1.7305250287519314E-6</v>
      </c>
      <c r="J46" s="14">
        <v>3.0834667618049848E-6</v>
      </c>
      <c r="K46" s="14">
        <v>0</v>
      </c>
    </row>
    <row r="47" spans="1:11">
      <c r="A47" s="2" t="s">
        <v>323</v>
      </c>
      <c r="B47" s="3" t="s">
        <v>324</v>
      </c>
      <c r="D47" s="14">
        <v>6.335994902849478E-9</v>
      </c>
      <c r="E47" s="14">
        <v>5.0748996586949342E-8</v>
      </c>
      <c r="F47" s="14">
        <v>1.354219409541871E-5</v>
      </c>
      <c r="G47" s="14">
        <v>2.1143875332479301E-5</v>
      </c>
      <c r="H47" s="14">
        <v>0</v>
      </c>
      <c r="I47" s="14">
        <v>1.3816179321872509E-6</v>
      </c>
      <c r="J47" s="14">
        <v>3.8752276484249455E-6</v>
      </c>
      <c r="K47" s="14">
        <v>0</v>
      </c>
    </row>
    <row r="48" spans="1:11">
      <c r="A48" s="2" t="s">
        <v>325</v>
      </c>
      <c r="B48" s="3" t="s">
        <v>326</v>
      </c>
      <c r="D48" s="14">
        <v>4.0360163162271064E-9</v>
      </c>
      <c r="E48" s="14">
        <v>2.362792337816215E-6</v>
      </c>
      <c r="F48" s="14">
        <v>2.3780836562265999E-5</v>
      </c>
      <c r="G48" s="14">
        <v>4.670062400149378E-6</v>
      </c>
      <c r="H48" s="14">
        <v>0</v>
      </c>
      <c r="I48" s="14">
        <v>2.9363274589305751E-7</v>
      </c>
      <c r="J48" s="14">
        <v>8.8886399375591259E-6</v>
      </c>
      <c r="K48" s="14">
        <v>0</v>
      </c>
    </row>
    <row r="49" spans="1:11">
      <c r="A49" s="2" t="s">
        <v>275</v>
      </c>
      <c r="B49" s="3" t="s">
        <v>276</v>
      </c>
      <c r="D49" s="14">
        <v>6.1144926121856262E-11</v>
      </c>
      <c r="E49" s="14">
        <v>2.5501930930197831E-7</v>
      </c>
      <c r="F49" s="14">
        <v>2.6256367324055671E-5</v>
      </c>
      <c r="G49" s="14">
        <v>8.3124719892587757E-6</v>
      </c>
      <c r="H49" s="14">
        <v>0</v>
      </c>
      <c r="I49" s="14">
        <v>5.3260829335856663E-7</v>
      </c>
      <c r="J49" s="14">
        <v>4.6434719390988933E-6</v>
      </c>
      <c r="K49" s="14">
        <v>0</v>
      </c>
    </row>
    <row r="50" spans="1:11">
      <c r="A50" s="2" t="s">
        <v>327</v>
      </c>
      <c r="B50" s="3" t="s">
        <v>328</v>
      </c>
      <c r="D50" s="14">
        <v>3.1814348644907809E-9</v>
      </c>
      <c r="E50" s="14">
        <v>2.2502754214572895E-7</v>
      </c>
      <c r="F50" s="14">
        <v>2.5263717184692082E-5</v>
      </c>
      <c r="G50" s="14">
        <v>9.2468285735630773E-6</v>
      </c>
      <c r="H50" s="14">
        <v>0</v>
      </c>
      <c r="I50" s="14">
        <v>5.9351838044309382E-7</v>
      </c>
      <c r="J50" s="14">
        <v>4.6677268842915292E-6</v>
      </c>
      <c r="K50" s="14">
        <v>0</v>
      </c>
    </row>
    <row r="51" spans="1:11">
      <c r="A51" s="2" t="s">
        <v>329</v>
      </c>
      <c r="B51" s="3" t="s">
        <v>330</v>
      </c>
      <c r="D51" s="14">
        <v>2.1113126186582956E-9</v>
      </c>
      <c r="E51" s="14">
        <v>1.5162303442869499E-6</v>
      </c>
      <c r="F51" s="14">
        <v>2.5800418956102707E-5</v>
      </c>
      <c r="G51" s="14">
        <v>4.8744128904483492E-6</v>
      </c>
      <c r="H51" s="14">
        <v>0</v>
      </c>
      <c r="I51" s="14">
        <v>3.0728099967087504E-7</v>
      </c>
      <c r="J51" s="14">
        <v>7.4995454968724717E-6</v>
      </c>
      <c r="K51" s="14">
        <v>0</v>
      </c>
    </row>
    <row r="52" spans="1:11">
      <c r="A52" s="2" t="s">
        <v>277</v>
      </c>
      <c r="B52" s="3" t="s">
        <v>278</v>
      </c>
      <c r="D52" s="14">
        <v>6.2817052160714798E-9</v>
      </c>
      <c r="E52" s="14">
        <v>2.2668886749600992E-6</v>
      </c>
      <c r="F52" s="14">
        <v>2.3985665187507837E-5</v>
      </c>
      <c r="G52" s="14">
        <v>4.6929650781774521E-6</v>
      </c>
      <c r="H52" s="14">
        <v>0</v>
      </c>
      <c r="I52" s="14">
        <v>2.9513839478535193E-7</v>
      </c>
      <c r="J52" s="14">
        <v>8.7530609593532022E-6</v>
      </c>
      <c r="K52" s="14">
        <v>0</v>
      </c>
    </row>
    <row r="53" spans="1:11">
      <c r="A53" s="2" t="s">
        <v>331</v>
      </c>
      <c r="B53" s="3" t="s">
        <v>332</v>
      </c>
      <c r="D53" s="14">
        <v>2.1143674127730869E-9</v>
      </c>
      <c r="E53" s="14">
        <v>1.4891316604570494E-7</v>
      </c>
      <c r="F53" s="14">
        <v>2.1865261293200237E-5</v>
      </c>
      <c r="G53" s="14">
        <v>1.2547298413176463E-5</v>
      </c>
      <c r="H53" s="14">
        <v>0</v>
      </c>
      <c r="I53" s="14">
        <v>8.0980312958898307E-7</v>
      </c>
      <c r="J53" s="14">
        <v>4.6266096305758497E-6</v>
      </c>
      <c r="K53" s="14">
        <v>0</v>
      </c>
    </row>
    <row r="54" spans="1:11">
      <c r="A54" s="2" t="s">
        <v>333</v>
      </c>
      <c r="B54" s="3" t="s">
        <v>334</v>
      </c>
      <c r="D54" s="14">
        <v>3.4650582232055528E-12</v>
      </c>
      <c r="E54" s="14">
        <v>2.3967524335300955E-7</v>
      </c>
      <c r="F54" s="14">
        <v>2.5768239677858084E-5</v>
      </c>
      <c r="G54" s="14">
        <v>8.7716300500077728E-6</v>
      </c>
      <c r="H54" s="14">
        <v>0</v>
      </c>
      <c r="I54" s="14">
        <v>5.6252178208020146E-7</v>
      </c>
      <c r="J54" s="14">
        <v>4.6579297816427111E-6</v>
      </c>
      <c r="K54" s="14">
        <v>0</v>
      </c>
    </row>
    <row r="55" spans="1:11">
      <c r="A55" s="2" t="s">
        <v>335</v>
      </c>
      <c r="B55" s="3" t="s">
        <v>336</v>
      </c>
      <c r="D55" s="14">
        <v>1.6463598760747261E-8</v>
      </c>
      <c r="E55" s="14">
        <v>5.2511861484086469E-8</v>
      </c>
      <c r="F55" s="14">
        <v>1.3772062600775932E-5</v>
      </c>
      <c r="G55" s="14">
        <v>2.0887888641496131E-5</v>
      </c>
      <c r="H55" s="14">
        <v>0</v>
      </c>
      <c r="I55" s="14">
        <v>1.364399280826547E-6</v>
      </c>
      <c r="J55" s="14">
        <v>3.9066740166565649E-6</v>
      </c>
      <c r="K55" s="14">
        <v>0</v>
      </c>
    </row>
    <row r="56" spans="1:11">
      <c r="A56" s="2" t="s">
        <v>337</v>
      </c>
      <c r="B56" s="3" t="s">
        <v>338</v>
      </c>
      <c r="D56" s="14">
        <v>1.222889107801426E-9</v>
      </c>
      <c r="E56" s="14">
        <v>2.6781797214628198E-7</v>
      </c>
      <c r="F56" s="14">
        <v>2.6635526858092498E-5</v>
      </c>
      <c r="G56" s="14">
        <v>7.9571372118188335E-6</v>
      </c>
      <c r="H56" s="14">
        <v>0</v>
      </c>
      <c r="I56" s="14">
        <v>5.0948375736963195E-7</v>
      </c>
      <c r="J56" s="14">
        <v>4.6288113114649589E-6</v>
      </c>
      <c r="K56" s="14">
        <v>0</v>
      </c>
    </row>
    <row r="57" spans="1:11">
      <c r="A57" s="2" t="s">
        <v>279</v>
      </c>
      <c r="B57" s="3" t="s">
        <v>280</v>
      </c>
      <c r="D57" s="14">
        <v>1.213108434525709E-7</v>
      </c>
      <c r="E57" s="14">
        <v>2.8308200495408016E-6</v>
      </c>
      <c r="F57" s="14">
        <v>2.2749603783208969E-5</v>
      </c>
      <c r="G57" s="14">
        <v>4.5422328367699847E-6</v>
      </c>
      <c r="H57" s="14">
        <v>0</v>
      </c>
      <c r="I57" s="14">
        <v>2.8533372377355753E-7</v>
      </c>
      <c r="J57" s="14">
        <v>9.4706987632541231E-6</v>
      </c>
      <c r="K57" s="14">
        <v>0</v>
      </c>
    </row>
    <row r="58" spans="1:11">
      <c r="A58" s="2" t="s">
        <v>339</v>
      </c>
      <c r="B58" s="3" t="s">
        <v>340</v>
      </c>
      <c r="D58" s="14">
        <v>1.2143180485168781E-11</v>
      </c>
      <c r="E58" s="14">
        <v>2.3669282361861644E-7</v>
      </c>
      <c r="F58" s="14">
        <v>2.566886494164819E-5</v>
      </c>
      <c r="G58" s="14">
        <v>8.8654793035951898E-6</v>
      </c>
      <c r="H58" s="14">
        <v>0</v>
      </c>
      <c r="I58" s="14">
        <v>5.6864031287707907E-7</v>
      </c>
      <c r="J58" s="14">
        <v>4.6603104750804428E-6</v>
      </c>
      <c r="K58" s="14">
        <v>0</v>
      </c>
    </row>
    <row r="59" spans="1:11">
      <c r="A59" s="2" t="s">
        <v>281</v>
      </c>
      <c r="B59" s="3" t="s">
        <v>282</v>
      </c>
      <c r="D59" s="14">
        <v>9.5090128863532616E-10</v>
      </c>
      <c r="E59" s="14">
        <v>2.267190830887749E-6</v>
      </c>
      <c r="F59" s="14">
        <v>2.3988862261539342E-5</v>
      </c>
      <c r="G59" s="14">
        <v>4.6935906083291037E-6</v>
      </c>
      <c r="H59" s="14">
        <v>0</v>
      </c>
      <c r="I59" s="14">
        <v>2.9517773408615062E-7</v>
      </c>
      <c r="J59" s="14">
        <v>8.7542276638690271E-6</v>
      </c>
      <c r="K59" s="14">
        <v>0</v>
      </c>
    </row>
    <row r="60" spans="1:11">
      <c r="A60" s="2" t="s">
        <v>341</v>
      </c>
      <c r="B60" s="3" t="s">
        <v>342</v>
      </c>
      <c r="D60" s="14">
        <v>1.7714845548488893E-8</v>
      </c>
      <c r="E60" s="14">
        <v>1.6851168091751215E-7</v>
      </c>
      <c r="F60" s="14">
        <v>2.2888197118909342E-5</v>
      </c>
      <c r="G60" s="14">
        <v>1.1526757071941568E-5</v>
      </c>
      <c r="H60" s="14">
        <v>0</v>
      </c>
      <c r="I60" s="14">
        <v>7.4274638741434864E-7</v>
      </c>
      <c r="J60" s="14">
        <v>4.6560728952687532E-6</v>
      </c>
      <c r="K60" s="14">
        <v>0</v>
      </c>
    </row>
    <row r="61" spans="1:11">
      <c r="A61" s="2" t="s">
        <v>483</v>
      </c>
      <c r="B61" s="3" t="s">
        <v>484</v>
      </c>
      <c r="D61" s="14">
        <v>3.0232456948942465E-18</v>
      </c>
      <c r="E61" s="14">
        <v>1.0975050993409371E-5</v>
      </c>
      <c r="F61" s="14">
        <v>1.7679519266930098E-5</v>
      </c>
      <c r="G61" s="14">
        <v>2.9456968396255547E-6</v>
      </c>
      <c r="H61" s="14">
        <v>0</v>
      </c>
      <c r="I61" s="14">
        <v>6.4618133778386347E-7</v>
      </c>
      <c r="J61" s="14">
        <v>7.7535515622480892E-6</v>
      </c>
      <c r="K61" s="14">
        <v>0</v>
      </c>
    </row>
    <row r="62" spans="1:11">
      <c r="A62" s="2" t="s">
        <v>485</v>
      </c>
      <c r="B62" s="3" t="s">
        <v>486</v>
      </c>
      <c r="D62" s="14">
        <v>8.1764442385865703E-12</v>
      </c>
      <c r="E62" s="14">
        <v>7.407934263869554E-6</v>
      </c>
      <c r="F62" s="14">
        <v>1.6219546017002355E-5</v>
      </c>
      <c r="G62" s="14">
        <v>3.5639717224961968E-6</v>
      </c>
      <c r="H62" s="14">
        <v>0</v>
      </c>
      <c r="I62" s="14">
        <v>2.2372353268622069E-7</v>
      </c>
      <c r="J62" s="14">
        <v>1.2584816287501447E-5</v>
      </c>
      <c r="K62" s="14">
        <v>0</v>
      </c>
    </row>
    <row r="63" spans="1:11">
      <c r="A63" s="2" t="s">
        <v>487</v>
      </c>
      <c r="B63" s="3" t="s">
        <v>488</v>
      </c>
      <c r="D63" s="14">
        <v>2.8576937442169831E-17</v>
      </c>
      <c r="E63" s="14">
        <v>3.68470742781464E-5</v>
      </c>
      <c r="F63" s="14">
        <v>1.2745588552282368E-6</v>
      </c>
      <c r="G63" s="14">
        <v>1.6817314547056789E-7</v>
      </c>
      <c r="H63" s="14">
        <v>0</v>
      </c>
      <c r="I63" s="14">
        <v>1.1229489482239935E-7</v>
      </c>
      <c r="J63" s="14">
        <v>1.5978988263038298E-6</v>
      </c>
      <c r="K63" s="14">
        <v>0</v>
      </c>
    </row>
    <row r="64" spans="1:11">
      <c r="A64" s="2" t="s">
        <v>489</v>
      </c>
      <c r="B64" s="3" t="s">
        <v>490</v>
      </c>
      <c r="D64" s="14">
        <v>5.2734189170536221E-19</v>
      </c>
      <c r="E64" s="14">
        <v>3.9318704741186156E-5</v>
      </c>
      <c r="F64" s="14">
        <v>4.8631848444518033E-7</v>
      </c>
      <c r="G64" s="14">
        <v>6.0380699201205306E-9</v>
      </c>
      <c r="H64" s="14">
        <v>0</v>
      </c>
      <c r="I64" s="14">
        <v>1.5314300288423712E-8</v>
      </c>
      <c r="J64" s="14">
        <v>1.736244041596043E-7</v>
      </c>
      <c r="K64" s="14">
        <v>0</v>
      </c>
    </row>
    <row r="65" spans="1:11">
      <c r="A65" s="2" t="s">
        <v>491</v>
      </c>
      <c r="B65" s="3" t="s">
        <v>492</v>
      </c>
      <c r="D65" s="14">
        <v>8.7934746464510178E-17</v>
      </c>
      <c r="E65" s="14">
        <v>3.9832657738502566E-5</v>
      </c>
      <c r="F65" s="14">
        <v>6.3748029477963601E-8</v>
      </c>
      <c r="G65" s="14">
        <v>2.8353735601566097E-9</v>
      </c>
      <c r="H65" s="14">
        <v>0</v>
      </c>
      <c r="I65" s="14">
        <v>2.3294323810135068E-8</v>
      </c>
      <c r="J65" s="14">
        <v>7.7464534561245767E-8</v>
      </c>
      <c r="K65" s="14">
        <v>0</v>
      </c>
    </row>
    <row r="66" spans="1:11">
      <c r="A66" s="2" t="s">
        <v>493</v>
      </c>
      <c r="B66" s="3" t="s">
        <v>494</v>
      </c>
      <c r="D66" s="14">
        <v>1.1334698451828239E-15</v>
      </c>
      <c r="E66" s="14">
        <v>3.039582429898034E-5</v>
      </c>
      <c r="F66" s="14">
        <v>7.9166442147662322E-6</v>
      </c>
      <c r="G66" s="14">
        <v>1.9840561848778457E-7</v>
      </c>
      <c r="H66" s="14">
        <v>0</v>
      </c>
      <c r="I66" s="14">
        <v>8.0743637867890689E-7</v>
      </c>
      <c r="J66" s="14">
        <v>6.8168948795326989E-7</v>
      </c>
      <c r="K66" s="14">
        <v>0</v>
      </c>
    </row>
    <row r="67" spans="1:11">
      <c r="A67" s="2" t="s">
        <v>495</v>
      </c>
      <c r="B67" s="3" t="s">
        <v>496</v>
      </c>
      <c r="D67" s="14">
        <v>6.8698195587844187E-17</v>
      </c>
      <c r="E67" s="14">
        <v>3.983437155379855E-5</v>
      </c>
      <c r="F67" s="14">
        <v>5.3756290804325521E-8</v>
      </c>
      <c r="G67" s="14">
        <v>2.9386254040444628E-9</v>
      </c>
      <c r="H67" s="14">
        <v>0</v>
      </c>
      <c r="I67" s="14">
        <v>2.1825767242944678E-8</v>
      </c>
      <c r="J67" s="14">
        <v>8.7107762681441194E-8</v>
      </c>
      <c r="K67" s="14">
        <v>0</v>
      </c>
    </row>
    <row r="68" spans="1:11">
      <c r="A68" s="2" t="s">
        <v>497</v>
      </c>
      <c r="B68" s="3" t="s">
        <v>498</v>
      </c>
      <c r="D68" s="14">
        <v>6.2190527292174175E-16</v>
      </c>
      <c r="E68" s="14">
        <v>3.9942303299684391E-5</v>
      </c>
      <c r="F68" s="14">
        <v>6.3997240446837391E-9</v>
      </c>
      <c r="G68" s="14">
        <v>4.9377298289516252E-10</v>
      </c>
      <c r="H68" s="14">
        <v>0</v>
      </c>
      <c r="I68" s="14">
        <v>1.5572609599065062E-8</v>
      </c>
      <c r="J68" s="14">
        <v>3.5230593067056646E-8</v>
      </c>
      <c r="K68" s="14">
        <v>0</v>
      </c>
    </row>
    <row r="69" spans="1:11">
      <c r="A69" s="2" t="s">
        <v>499</v>
      </c>
      <c r="B69" s="3" t="s">
        <v>500</v>
      </c>
      <c r="D69" s="14">
        <v>3.0442165323745816E-16</v>
      </c>
      <c r="E69" s="14">
        <v>3.0307225527600251E-7</v>
      </c>
      <c r="F69" s="14">
        <v>2.7570189746421373E-5</v>
      </c>
      <c r="G69" s="14">
        <v>7.0932507138142822E-6</v>
      </c>
      <c r="H69" s="14">
        <v>0</v>
      </c>
      <c r="I69" s="14">
        <v>4.5335584968563501E-7</v>
      </c>
      <c r="J69" s="14">
        <v>4.5801314344982916E-6</v>
      </c>
      <c r="K69" s="14">
        <v>0</v>
      </c>
    </row>
    <row r="70" spans="1:11">
      <c r="A70" s="2" t="s">
        <v>501</v>
      </c>
      <c r="B70" s="3" t="s">
        <v>411</v>
      </c>
      <c r="D70" s="14">
        <v>1.114781413726119E-17</v>
      </c>
      <c r="E70" s="14">
        <v>3.8772371015677891E-5</v>
      </c>
      <c r="F70" s="14">
        <v>1.2096617107605994E-6</v>
      </c>
      <c r="G70" s="14">
        <v>1.1496338913985942E-10</v>
      </c>
      <c r="H70" s="14">
        <v>0</v>
      </c>
      <c r="I70" s="14">
        <v>1.5579976044825043E-8</v>
      </c>
      <c r="J70" s="14">
        <v>2.2723341164006914E-9</v>
      </c>
      <c r="K70" s="14">
        <v>0</v>
      </c>
    </row>
    <row r="71" spans="1:11">
      <c r="A71" s="2" t="s">
        <v>502</v>
      </c>
      <c r="B71" s="3" t="s">
        <v>412</v>
      </c>
      <c r="D71" s="14">
        <v>5.0916816184501885E-13</v>
      </c>
      <c r="E71" s="14">
        <v>3.7725440053669131E-5</v>
      </c>
      <c r="F71" s="14">
        <v>2.2549446633187111E-6</v>
      </c>
      <c r="G71" s="14">
        <v>2.0492842516671497E-10</v>
      </c>
      <c r="H71" s="14">
        <v>0</v>
      </c>
      <c r="I71" s="14">
        <v>1.6297306194353935E-8</v>
      </c>
      <c r="J71" s="14">
        <v>3.1125392244867475E-9</v>
      </c>
      <c r="K71" s="14">
        <v>0</v>
      </c>
    </row>
    <row r="72" spans="1:11">
      <c r="A72" s="2" t="s">
        <v>503</v>
      </c>
      <c r="B72" s="3" t="s">
        <v>413</v>
      </c>
      <c r="D72" s="14">
        <v>6.8561496596215093E-15</v>
      </c>
      <c r="E72" s="14">
        <v>1.548791481663637E-7</v>
      </c>
      <c r="F72" s="14">
        <v>3.9578062107690884E-5</v>
      </c>
      <c r="G72" s="14">
        <v>1.8176860946788758E-8</v>
      </c>
      <c r="H72" s="14">
        <v>0</v>
      </c>
      <c r="I72" s="14">
        <v>2.4537733235236227E-7</v>
      </c>
      <c r="J72" s="14">
        <v>3.5045439874609031E-9</v>
      </c>
      <c r="K72" s="14">
        <v>0</v>
      </c>
    </row>
    <row r="73" spans="1:11">
      <c r="A73" s="2" t="s">
        <v>504</v>
      </c>
      <c r="B73" s="3" t="s">
        <v>414</v>
      </c>
      <c r="D73" s="14">
        <v>8.9998960155841705E-15</v>
      </c>
      <c r="E73" s="14">
        <v>1.4433450062996409E-6</v>
      </c>
      <c r="F73" s="14">
        <v>3.8522257355554979E-5</v>
      </c>
      <c r="G73" s="14">
        <v>2.2267737215221085E-9</v>
      </c>
      <c r="H73" s="14">
        <v>0</v>
      </c>
      <c r="I73" s="14">
        <v>2.9315969771275683E-8</v>
      </c>
      <c r="J73" s="14">
        <v>2.8548856526874375E-9</v>
      </c>
      <c r="K73" s="14">
        <v>0</v>
      </c>
    </row>
    <row r="74" spans="1:11">
      <c r="A74" s="2" t="s">
        <v>505</v>
      </c>
      <c r="B74" s="3" t="s">
        <v>415</v>
      </c>
      <c r="D74" s="14">
        <v>6.2945222586686156E-14</v>
      </c>
      <c r="E74" s="14">
        <v>3.7929353122807276E-5</v>
      </c>
      <c r="F74" s="14">
        <v>2.0513369849711272E-6</v>
      </c>
      <c r="G74" s="14">
        <v>1.8724118003325398E-10</v>
      </c>
      <c r="H74" s="14">
        <v>0</v>
      </c>
      <c r="I74" s="14">
        <v>1.6161072664299282E-8</v>
      </c>
      <c r="J74" s="14">
        <v>2.9615154320467902E-9</v>
      </c>
      <c r="K74" s="14">
        <v>0</v>
      </c>
    </row>
    <row r="75" spans="1:11">
      <c r="A75" s="2" t="s">
        <v>506</v>
      </c>
      <c r="B75" s="3" t="s">
        <v>416</v>
      </c>
      <c r="D75" s="14">
        <v>3.8622677511488848E-14</v>
      </c>
      <c r="E75" s="14">
        <v>1.7076349709679162E-6</v>
      </c>
      <c r="F75" s="14">
        <v>3.825750243333552E-5</v>
      </c>
      <c r="G75" s="14">
        <v>2.2401699834992979E-9</v>
      </c>
      <c r="H75" s="14">
        <v>0</v>
      </c>
      <c r="I75" s="14">
        <v>2.9539244544920812E-8</v>
      </c>
      <c r="J75" s="14">
        <v>3.0831425454732811E-9</v>
      </c>
      <c r="K75" s="14">
        <v>0</v>
      </c>
    </row>
    <row r="76" spans="1:11">
      <c r="A76" s="2" t="s">
        <v>507</v>
      </c>
      <c r="B76" s="3" t="s">
        <v>417</v>
      </c>
      <c r="D76" s="14">
        <v>8.9226789000070713E-13</v>
      </c>
      <c r="E76" s="14">
        <v>1.7906402370398926E-5</v>
      </c>
      <c r="F76" s="14">
        <v>2.2058192046162181E-5</v>
      </c>
      <c r="G76" s="14">
        <v>1.6041176871905378E-9</v>
      </c>
      <c r="H76" s="14">
        <v>0</v>
      </c>
      <c r="I76" s="14">
        <v>2.6649868545604277E-8</v>
      </c>
      <c r="J76" s="14">
        <v>7.1507049382112147E-9</v>
      </c>
      <c r="K76" s="14">
        <v>0</v>
      </c>
    </row>
    <row r="77" spans="1:11">
      <c r="A77" s="2" t="s">
        <v>508</v>
      </c>
      <c r="B77" s="3" t="s">
        <v>418</v>
      </c>
      <c r="D77" s="14">
        <v>2.7863254484308752E-13</v>
      </c>
      <c r="E77" s="14">
        <v>1.5145545373139367E-6</v>
      </c>
      <c r="F77" s="14">
        <v>3.8450898330908297E-5</v>
      </c>
      <c r="G77" s="14">
        <v>2.2375502876575E-9</v>
      </c>
      <c r="H77" s="14">
        <v>0</v>
      </c>
      <c r="I77" s="14">
        <v>2.938188016413274E-8</v>
      </c>
      <c r="J77" s="14">
        <v>2.9274226934416752E-9</v>
      </c>
      <c r="K77" s="14">
        <v>0</v>
      </c>
    </row>
    <row r="78" spans="1:11">
      <c r="A78" s="2" t="s">
        <v>509</v>
      </c>
      <c r="B78" s="3" t="s">
        <v>419</v>
      </c>
      <c r="D78" s="14">
        <v>2.7590616189097834E-14</v>
      </c>
      <c r="E78" s="14">
        <v>1.7194678586723094E-7</v>
      </c>
      <c r="F78" s="14">
        <v>3.9603688548013433E-5</v>
      </c>
      <c r="G78" s="14">
        <v>1.5282696751197189E-8</v>
      </c>
      <c r="H78" s="14">
        <v>0</v>
      </c>
      <c r="I78" s="14">
        <v>2.0575448344195626E-7</v>
      </c>
      <c r="J78" s="14">
        <v>3.3274583355731118E-9</v>
      </c>
      <c r="K78" s="14">
        <v>0</v>
      </c>
    </row>
    <row r="79" spans="1:11">
      <c r="A79" s="2" t="s">
        <v>510</v>
      </c>
      <c r="B79" s="3" t="s">
        <v>420</v>
      </c>
      <c r="D79" s="14">
        <v>6.9304503318211595E-19</v>
      </c>
      <c r="E79" s="14">
        <v>1.7194679927932329E-7</v>
      </c>
      <c r="F79" s="14">
        <v>3.9603691637157126E-5</v>
      </c>
      <c r="G79" s="14">
        <v>1.5280279369521847E-8</v>
      </c>
      <c r="H79" s="14">
        <v>0</v>
      </c>
      <c r="I79" s="14">
        <v>2.0575435218743694E-7</v>
      </c>
      <c r="J79" s="14">
        <v>3.326932005898656E-9</v>
      </c>
      <c r="K79" s="14">
        <v>0</v>
      </c>
    </row>
    <row r="80" spans="1:11">
      <c r="A80" s="2" t="s">
        <v>511</v>
      </c>
      <c r="B80" s="3" t="s">
        <v>421</v>
      </c>
      <c r="D80" s="14">
        <v>7.8442609642046995E-14</v>
      </c>
      <c r="E80" s="14">
        <v>6.6635351928530295E-6</v>
      </c>
      <c r="F80" s="14">
        <v>3.3298622662979878E-5</v>
      </c>
      <c r="G80" s="14">
        <v>2.1776627845948829E-9</v>
      </c>
      <c r="H80" s="14">
        <v>0</v>
      </c>
      <c r="I80" s="14">
        <v>3.0160088191521913E-8</v>
      </c>
      <c r="J80" s="14">
        <v>5.5043147483744109E-9</v>
      </c>
      <c r="K80" s="14">
        <v>0</v>
      </c>
    </row>
    <row r="81" spans="1:11">
      <c r="A81" s="2" t="s">
        <v>512</v>
      </c>
      <c r="B81" s="3" t="s">
        <v>422</v>
      </c>
      <c r="D81" s="14">
        <v>1.0258423169468199E-13</v>
      </c>
      <c r="E81" s="14">
        <v>3.2173126939213052E-5</v>
      </c>
      <c r="F81" s="14">
        <v>7.8010820692359629E-6</v>
      </c>
      <c r="G81" s="14">
        <v>6.3755727538498121E-10</v>
      </c>
      <c r="H81" s="14">
        <v>0</v>
      </c>
      <c r="I81" s="14">
        <v>1.9662579588839474E-8</v>
      </c>
      <c r="J81" s="14">
        <v>5.490752102534989E-9</v>
      </c>
      <c r="K81" s="14">
        <v>0</v>
      </c>
    </row>
    <row r="82" spans="1:11">
      <c r="A82" s="2" t="s">
        <v>513</v>
      </c>
      <c r="B82" s="3" t="s">
        <v>423</v>
      </c>
      <c r="D82" s="14">
        <v>2.5823048078338085E-17</v>
      </c>
      <c r="E82" s="14">
        <v>2.4326528877933642E-5</v>
      </c>
      <c r="F82" s="14">
        <v>1.5641619563465264E-5</v>
      </c>
      <c r="G82" s="14">
        <v>1.1895353232010538E-9</v>
      </c>
      <c r="H82" s="14">
        <v>0</v>
      </c>
      <c r="I82" s="14">
        <v>2.3761373683245098E-8</v>
      </c>
      <c r="J82" s="14">
        <v>6.9006495688237381E-9</v>
      </c>
      <c r="K82" s="14">
        <v>0</v>
      </c>
    </row>
    <row r="83" spans="1:11">
      <c r="A83" s="2" t="s">
        <v>514</v>
      </c>
      <c r="B83" s="3" t="s">
        <v>424</v>
      </c>
      <c r="D83" s="14">
        <v>9.8311722714364159E-15</v>
      </c>
      <c r="E83" s="14">
        <v>1.1602136445606288E-7</v>
      </c>
      <c r="F83" s="14">
        <v>3.9452955529518913E-5</v>
      </c>
      <c r="G83" s="14">
        <v>2.9244479907571557E-8</v>
      </c>
      <c r="H83" s="14">
        <v>0</v>
      </c>
      <c r="I83" s="14">
        <v>3.9774256633357995E-7</v>
      </c>
      <c r="J83" s="14">
        <v>4.0360499526893808E-9</v>
      </c>
      <c r="K83" s="14">
        <v>0</v>
      </c>
    </row>
    <row r="84" spans="1:11">
      <c r="A84" s="2" t="s">
        <v>403</v>
      </c>
      <c r="B84" s="3" t="s">
        <v>404</v>
      </c>
      <c r="D84" s="14">
        <v>1.7823503428188426E-48</v>
      </c>
      <c r="E84" s="14">
        <v>1.1318938873184434E-5</v>
      </c>
      <c r="F84" s="14">
        <v>1.2304594014469274E-5</v>
      </c>
      <c r="G84" s="14">
        <v>2.846838590234925E-6</v>
      </c>
      <c r="H84" s="14">
        <v>0</v>
      </c>
      <c r="I84" s="14">
        <v>1.7980652998518958E-7</v>
      </c>
      <c r="J84" s="14">
        <v>1.3349821992126182E-5</v>
      </c>
      <c r="K84" s="14">
        <v>0</v>
      </c>
    </row>
    <row r="85" spans="1:11">
      <c r="A85" s="2" t="s">
        <v>405</v>
      </c>
      <c r="B85" s="3" t="s">
        <v>406</v>
      </c>
      <c r="D85" s="14">
        <v>4.9455399181275606E-13</v>
      </c>
      <c r="E85" s="14">
        <v>1.8047112516120394E-6</v>
      </c>
      <c r="F85" s="14">
        <v>2.8364857865734661E-5</v>
      </c>
      <c r="G85" s="14">
        <v>1.4828745240225918E-6</v>
      </c>
      <c r="H85" s="14">
        <v>0</v>
      </c>
      <c r="I85" s="14">
        <v>7.7895779171611863E-6</v>
      </c>
      <c r="J85" s="14">
        <v>5.579779469155283E-7</v>
      </c>
      <c r="K85" s="14">
        <v>0</v>
      </c>
    </row>
    <row r="86" spans="1:11">
      <c r="A86" s="2" t="s">
        <v>407</v>
      </c>
      <c r="B86" s="3" t="s">
        <v>408</v>
      </c>
      <c r="D86" s="14">
        <v>1.0108404162912404E-9</v>
      </c>
      <c r="E86" s="14">
        <v>1.3936548756390968E-8</v>
      </c>
      <c r="F86" s="14">
        <v>6.7586010712889112E-6</v>
      </c>
      <c r="G86" s="14">
        <v>2.8711267679919453E-5</v>
      </c>
      <c r="H86" s="14">
        <v>0</v>
      </c>
      <c r="I86" s="14">
        <v>1.8996219823358095E-6</v>
      </c>
      <c r="J86" s="14">
        <v>2.6155618772831471E-6</v>
      </c>
      <c r="K86" s="14">
        <v>0</v>
      </c>
    </row>
    <row r="87" spans="1:11">
      <c r="A87" s="2" t="s">
        <v>409</v>
      </c>
      <c r="B87" s="3" t="s">
        <v>410</v>
      </c>
      <c r="D87" s="14">
        <v>1.2517434484438625E-10</v>
      </c>
      <c r="E87" s="14">
        <v>4.8297868816185901E-9</v>
      </c>
      <c r="F87" s="14">
        <v>3.6424159737450979E-6</v>
      </c>
      <c r="G87" s="14">
        <v>3.2425381708964962E-5</v>
      </c>
      <c r="H87" s="14">
        <v>0</v>
      </c>
      <c r="I87" s="14">
        <v>2.1652805280975972E-6</v>
      </c>
      <c r="J87" s="14">
        <v>1.7619668279658881E-6</v>
      </c>
      <c r="K87" s="14">
        <v>0</v>
      </c>
    </row>
    <row r="88" spans="1:11">
      <c r="A88" s="2" t="s">
        <v>301</v>
      </c>
      <c r="B88" s="3" t="s">
        <v>302</v>
      </c>
      <c r="D88" s="14">
        <v>1.5468565710277776E-11</v>
      </c>
      <c r="E88" s="14">
        <v>1.3563840903642964E-9</v>
      </c>
      <c r="F88" s="14">
        <v>1.6901461537376977E-6</v>
      </c>
      <c r="G88" s="14">
        <v>3.4899549169278648E-5</v>
      </c>
      <c r="H88" s="14">
        <v>0</v>
      </c>
      <c r="I88" s="14">
        <v>2.3551952963690194E-6</v>
      </c>
      <c r="J88" s="14">
        <v>1.0537375279585572E-6</v>
      </c>
      <c r="K88" s="14">
        <v>0</v>
      </c>
    </row>
    <row r="89" spans="1:11">
      <c r="A89" s="2" t="s">
        <v>303</v>
      </c>
      <c r="B89" s="3" t="s">
        <v>304</v>
      </c>
      <c r="D89" s="14">
        <v>4.6896876492719541E-18</v>
      </c>
      <c r="E89" s="14">
        <v>3.6043817670160199E-8</v>
      </c>
      <c r="F89" s="14">
        <v>4.1194660368186177E-6</v>
      </c>
      <c r="G89" s="14">
        <v>1.0713885544321949E-5</v>
      </c>
      <c r="H89" s="14">
        <v>0</v>
      </c>
      <c r="I89" s="14">
        <v>2.46786866081046E-5</v>
      </c>
      <c r="J89" s="14">
        <v>4.5191799307999206E-7</v>
      </c>
      <c r="K89" s="14">
        <v>0</v>
      </c>
    </row>
    <row r="90" spans="1:11">
      <c r="A90" s="2" t="s">
        <v>425</v>
      </c>
      <c r="B90" s="3" t="s">
        <v>426</v>
      </c>
      <c r="D90" s="14">
        <v>6.4073216935894691E-18</v>
      </c>
      <c r="E90" s="14">
        <v>3.8931505995840683E-5</v>
      </c>
      <c r="F90" s="14">
        <v>3.6647367075503827E-8</v>
      </c>
      <c r="G90" s="14">
        <v>1.2304616010476805E-8</v>
      </c>
      <c r="H90" s="14">
        <v>0</v>
      </c>
      <c r="I90" s="14">
        <v>1.4970884536651873E-8</v>
      </c>
      <c r="J90" s="14">
        <v>1.0045711365302845E-6</v>
      </c>
      <c r="K90" s="14">
        <v>0</v>
      </c>
    </row>
    <row r="91" spans="1:11">
      <c r="A91" s="2" t="s">
        <v>427</v>
      </c>
      <c r="B91" s="3" t="s">
        <v>428</v>
      </c>
      <c r="D91" s="14">
        <v>3.2951333134268054E-9</v>
      </c>
      <c r="E91" s="14">
        <v>2.8644789187779954E-5</v>
      </c>
      <c r="F91" s="14">
        <v>2.1986049667232654E-6</v>
      </c>
      <c r="G91" s="14">
        <v>6.1836195289947882E-7</v>
      </c>
      <c r="H91" s="14">
        <v>0</v>
      </c>
      <c r="I91" s="14">
        <v>4.792553417665635E-8</v>
      </c>
      <c r="J91" s="14">
        <v>8.4870232251072251E-6</v>
      </c>
      <c r="K91" s="14">
        <v>0</v>
      </c>
    </row>
    <row r="92" spans="1:11">
      <c r="A92" s="2" t="s">
        <v>429</v>
      </c>
      <c r="B92" s="3" t="s">
        <v>430</v>
      </c>
      <c r="D92" s="14">
        <v>2.0131808230099243E-8</v>
      </c>
      <c r="E92" s="14">
        <v>5.0547004694375907E-6</v>
      </c>
      <c r="F92" s="14">
        <v>1.9184787789987478E-5</v>
      </c>
      <c r="G92" s="14">
        <v>4.0481123292440458E-6</v>
      </c>
      <c r="H92" s="14">
        <v>0</v>
      </c>
      <c r="I92" s="14">
        <v>2.5387008226350524E-7</v>
      </c>
      <c r="J92" s="14">
        <v>1.143839752083729E-5</v>
      </c>
      <c r="K92" s="14">
        <v>0</v>
      </c>
    </row>
    <row r="93" spans="1:11">
      <c r="A93" s="2" t="s">
        <v>431</v>
      </c>
      <c r="B93" s="3" t="s">
        <v>432</v>
      </c>
      <c r="D93" s="14">
        <v>4.8197475911931872E-22</v>
      </c>
      <c r="E93" s="14">
        <v>3.9804539471180049E-5</v>
      </c>
      <c r="F93" s="14">
        <v>1.7440710687780869E-7</v>
      </c>
      <c r="G93" s="14">
        <v>1.3972885470847972E-10</v>
      </c>
      <c r="H93" s="14">
        <v>0</v>
      </c>
      <c r="I93" s="14">
        <v>1.4795844420794722E-8</v>
      </c>
      <c r="J93" s="14">
        <v>6.1178486666504959E-9</v>
      </c>
      <c r="K93" s="14">
        <v>0</v>
      </c>
    </row>
    <row r="94" spans="1:11">
      <c r="A94" s="2" t="s">
        <v>433</v>
      </c>
      <c r="B94" s="3" t="s">
        <v>434</v>
      </c>
      <c r="D94" s="14">
        <v>1.0187038524525987E-22</v>
      </c>
      <c r="E94" s="14">
        <v>3.9984400523817354E-5</v>
      </c>
      <c r="F94" s="14">
        <v>6.7876925668423766E-10</v>
      </c>
      <c r="G94" s="14">
        <v>9.4714791039287862E-13</v>
      </c>
      <c r="H94" s="14">
        <v>0</v>
      </c>
      <c r="I94" s="14">
        <v>1.4764974220463648E-8</v>
      </c>
      <c r="J94" s="14">
        <v>1.5478555759751712E-10</v>
      </c>
      <c r="K94" s="14">
        <v>0</v>
      </c>
    </row>
    <row r="95" spans="1:11">
      <c r="A95" s="2" t="s">
        <v>435</v>
      </c>
      <c r="B95" s="3" t="s">
        <v>436</v>
      </c>
      <c r="D95" s="14">
        <v>5.4479617945363925E-13</v>
      </c>
      <c r="E95" s="14">
        <v>3.7465807361612855E-5</v>
      </c>
      <c r="F95" s="14">
        <v>1.4944433620554888E-7</v>
      </c>
      <c r="G95" s="14">
        <v>5.1833520471131357E-8</v>
      </c>
      <c r="H95" s="14">
        <v>0</v>
      </c>
      <c r="I95" s="14">
        <v>1.6995389295324912E-8</v>
      </c>
      <c r="J95" s="14">
        <v>2.3159188476189685E-6</v>
      </c>
      <c r="K95" s="14">
        <v>0</v>
      </c>
    </row>
    <row r="96" spans="1:11">
      <c r="A96" s="2" t="s">
        <v>437</v>
      </c>
      <c r="B96" s="163" t="s">
        <v>438</v>
      </c>
      <c r="D96" s="14">
        <v>1.8893508290587219E-12</v>
      </c>
      <c r="E96" s="14">
        <v>2.0273337440994331E-8</v>
      </c>
      <c r="F96" s="14">
        <v>8.3403989207031671E-6</v>
      </c>
      <c r="G96" s="14">
        <v>2.6895670698974497E-5</v>
      </c>
      <c r="H96" s="14">
        <v>0</v>
      </c>
      <c r="I96" s="14">
        <v>1.7733914423027718E-6</v>
      </c>
      <c r="J96" s="14">
        <v>2.97026371122774E-6</v>
      </c>
      <c r="K96" s="14">
        <v>0</v>
      </c>
    </row>
    <row r="97" spans="1:11">
      <c r="A97" s="2" t="s">
        <v>439</v>
      </c>
      <c r="B97" s="3" t="s">
        <v>440</v>
      </c>
      <c r="D97" s="14">
        <v>1.5935444271687731E-9</v>
      </c>
      <c r="E97" s="14">
        <v>2.3967173315899128E-5</v>
      </c>
      <c r="F97" s="14">
        <v>4.0948537072470815E-6</v>
      </c>
      <c r="G97" s="14">
        <v>1.0857602704413539E-6</v>
      </c>
      <c r="H97" s="14">
        <v>0</v>
      </c>
      <c r="I97" s="14">
        <v>7.4892247212634217E-8</v>
      </c>
      <c r="J97" s="14">
        <v>1.0775726914772637E-5</v>
      </c>
      <c r="K97" s="14">
        <v>0</v>
      </c>
    </row>
    <row r="98" spans="1:11">
      <c r="A98" s="2" t="s">
        <v>441</v>
      </c>
      <c r="B98" s="3" t="s">
        <v>442</v>
      </c>
      <c r="D98" s="14">
        <v>1.0864782700593922E-21</v>
      </c>
      <c r="E98" s="14">
        <v>2.7850544171471809E-5</v>
      </c>
      <c r="F98" s="14">
        <v>2.4836778236992953E-6</v>
      </c>
      <c r="G98" s="14">
        <v>6.9086121964847027E-7</v>
      </c>
      <c r="H98" s="14">
        <v>0</v>
      </c>
      <c r="I98" s="14">
        <v>5.2069799297388359E-8</v>
      </c>
      <c r="J98" s="14">
        <v>8.9228469858830412E-6</v>
      </c>
      <c r="K98" s="14">
        <v>0</v>
      </c>
    </row>
    <row r="99" spans="1:11">
      <c r="A99" s="2" t="s">
        <v>443</v>
      </c>
      <c r="B99" s="3" t="s">
        <v>444</v>
      </c>
      <c r="D99" s="14">
        <v>1.679970976709717E-33</v>
      </c>
      <c r="E99" s="14">
        <v>3.4520288724262605E-5</v>
      </c>
      <c r="F99" s="14">
        <v>5.909843682417273E-7</v>
      </c>
      <c r="G99" s="14">
        <v>1.8563999547133555E-7</v>
      </c>
      <c r="H99" s="14">
        <v>0</v>
      </c>
      <c r="I99" s="14">
        <v>2.3751463125875615E-8</v>
      </c>
      <c r="J99" s="14">
        <v>4.6793354488984581E-6</v>
      </c>
      <c r="K99" s="14">
        <v>0</v>
      </c>
    </row>
    <row r="100" spans="1:11">
      <c r="A100" s="2" t="s">
        <v>445</v>
      </c>
      <c r="B100" s="3" t="s">
        <v>446</v>
      </c>
      <c r="D100" s="14">
        <v>1.9791954840659255E-12</v>
      </c>
      <c r="E100" s="14">
        <v>1.3297234628785035E-7</v>
      </c>
      <c r="F100" s="14">
        <v>2.0924876635306604E-5</v>
      </c>
      <c r="G100" s="14">
        <v>1.3485233215955556E-5</v>
      </c>
      <c r="H100" s="14">
        <v>0</v>
      </c>
      <c r="I100" s="14">
        <v>8.7158059220856943E-7</v>
      </c>
      <c r="J100" s="14">
        <v>4.5853352310459392E-6</v>
      </c>
      <c r="K100" s="14">
        <v>0</v>
      </c>
    </row>
    <row r="101" spans="1:11">
      <c r="A101" s="2" t="s">
        <v>447</v>
      </c>
      <c r="B101" s="3" t="s">
        <v>448</v>
      </c>
      <c r="D101" s="14">
        <v>1.7667047980103058E-13</v>
      </c>
      <c r="E101" s="14">
        <v>7.0488233853062666E-6</v>
      </c>
      <c r="F101" s="14">
        <v>1.6635589814777604E-5</v>
      </c>
      <c r="G101" s="14">
        <v>3.6352456108944626E-6</v>
      </c>
      <c r="H101" s="14">
        <v>0</v>
      </c>
      <c r="I101" s="14">
        <v>2.2813235738701059E-7</v>
      </c>
      <c r="J101" s="14">
        <v>1.2452208654964179E-5</v>
      </c>
      <c r="K101" s="14">
        <v>0</v>
      </c>
    </row>
    <row r="102" spans="1:11">
      <c r="A102" s="2" t="s">
        <v>449</v>
      </c>
      <c r="B102" s="3" t="s">
        <v>450</v>
      </c>
      <c r="D102" s="14">
        <v>7.8305456486736513E-9</v>
      </c>
      <c r="E102" s="14">
        <v>1.5490472540528915E-6</v>
      </c>
      <c r="F102" s="14">
        <v>2.5707878609733782E-5</v>
      </c>
      <c r="G102" s="14">
        <v>4.8658844990189829E-6</v>
      </c>
      <c r="H102" s="14">
        <v>0</v>
      </c>
      <c r="I102" s="14">
        <v>3.0670169445153385E-7</v>
      </c>
      <c r="J102" s="14">
        <v>7.5626573970941307E-6</v>
      </c>
      <c r="K102" s="14">
        <v>0</v>
      </c>
    </row>
    <row r="103" spans="1:11">
      <c r="A103" s="2" t="s">
        <v>451</v>
      </c>
      <c r="B103" s="3" t="s">
        <v>452</v>
      </c>
      <c r="D103" s="14">
        <v>1.7596636587158703E-23</v>
      </c>
      <c r="E103" s="14">
        <v>3.5776643605312007E-5</v>
      </c>
      <c r="F103" s="14">
        <v>4.2006951854784407E-6</v>
      </c>
      <c r="G103" s="14">
        <v>4.0765838271826422E-10</v>
      </c>
      <c r="H103" s="14">
        <v>0</v>
      </c>
      <c r="I103" s="14">
        <v>1.7543679875999312E-8</v>
      </c>
      <c r="J103" s="14">
        <v>4.709870950835588E-9</v>
      </c>
      <c r="K103" s="14">
        <v>0</v>
      </c>
    </row>
    <row r="104" spans="1:11">
      <c r="A104" s="2" t="s">
        <v>453</v>
      </c>
      <c r="B104" s="3" t="s">
        <v>454</v>
      </c>
      <c r="D104" s="14">
        <v>4.5110516519511575E-25</v>
      </c>
      <c r="E104" s="14">
        <v>4.4384973551998637E-7</v>
      </c>
      <c r="F104" s="14">
        <v>3.9443690260418209E-5</v>
      </c>
      <c r="G104" s="14">
        <v>4.1767952863553675E-8</v>
      </c>
      <c r="H104" s="14">
        <v>0</v>
      </c>
      <c r="I104" s="14">
        <v>4.2974438588139212E-8</v>
      </c>
      <c r="J104" s="14">
        <v>2.7717612610111995E-8</v>
      </c>
      <c r="K104" s="14">
        <v>0</v>
      </c>
    </row>
    <row r="105" spans="1:11">
      <c r="A105" s="2" t="s">
        <v>455</v>
      </c>
      <c r="B105" s="163">
        <v>354656</v>
      </c>
      <c r="D105" s="14">
        <v>1.4738649715403584E-14</v>
      </c>
      <c r="E105" s="14">
        <v>3.8726686329468777E-5</v>
      </c>
      <c r="F105" s="14">
        <v>3.9294513142696923E-8</v>
      </c>
      <c r="G105" s="14">
        <v>1.5199435810644335E-8</v>
      </c>
      <c r="H105" s="14">
        <v>0</v>
      </c>
      <c r="I105" s="14">
        <v>1.5059179615250253E-8</v>
      </c>
      <c r="J105" s="14">
        <v>1.2037605272239874E-6</v>
      </c>
      <c r="K105" s="14">
        <v>0</v>
      </c>
    </row>
    <row r="106" spans="1:11">
      <c r="A106" s="2" t="s">
        <v>457</v>
      </c>
      <c r="B106" s="3" t="s">
        <v>458</v>
      </c>
      <c r="D106" s="14">
        <v>2.1839768285881784E-14</v>
      </c>
      <c r="E106" s="14">
        <v>3.7340915041030453E-5</v>
      </c>
      <c r="F106" s="14">
        <v>1.6197491705746315E-7</v>
      </c>
      <c r="G106" s="14">
        <v>5.5927224093852343E-8</v>
      </c>
      <c r="H106" s="14">
        <v>0</v>
      </c>
      <c r="I106" s="14">
        <v>1.716449407114046E-8</v>
      </c>
      <c r="J106" s="14">
        <v>2.4240183019073313E-6</v>
      </c>
      <c r="K106" s="14">
        <v>0</v>
      </c>
    </row>
    <row r="107" spans="1:11">
      <c r="A107" s="2" t="s">
        <v>459</v>
      </c>
      <c r="B107" s="3" t="s">
        <v>460</v>
      </c>
      <c r="D107" s="14">
        <v>1.8295529015346309E-24</v>
      </c>
      <c r="E107" s="14">
        <v>8.3266372751273658E-7</v>
      </c>
      <c r="F107" s="14">
        <v>2.83562185436571E-5</v>
      </c>
      <c r="G107" s="14">
        <v>4.9629112351760437E-6</v>
      </c>
      <c r="H107" s="14">
        <v>0</v>
      </c>
      <c r="I107" s="14">
        <v>3.8246436284202819E-7</v>
      </c>
      <c r="J107" s="14">
        <v>5.4657421308120922E-6</v>
      </c>
      <c r="K107" s="14">
        <v>0</v>
      </c>
    </row>
    <row r="108" spans="1:11">
      <c r="A108" s="2" t="s">
        <v>461</v>
      </c>
      <c r="B108" s="3" t="s">
        <v>462</v>
      </c>
      <c r="D108" s="14">
        <v>4.4013719233278494E-14</v>
      </c>
      <c r="E108" s="14">
        <v>3.9982717979307651E-5</v>
      </c>
      <c r="F108" s="14">
        <v>3.5158849820675397E-10</v>
      </c>
      <c r="G108" s="14">
        <v>1.0190517541672631E-11</v>
      </c>
      <c r="H108" s="14">
        <v>0</v>
      </c>
      <c r="I108" s="14">
        <v>1.4697354243136946E-8</v>
      </c>
      <c r="J108" s="14">
        <v>2.2228434197511043E-9</v>
      </c>
      <c r="K108" s="14">
        <v>0</v>
      </c>
    </row>
    <row r="109" spans="1:11">
      <c r="A109" s="2" t="s">
        <v>463</v>
      </c>
      <c r="B109" s="3" t="s">
        <v>464</v>
      </c>
      <c r="D109" s="14">
        <v>1.117670760975438E-16</v>
      </c>
      <c r="E109" s="14">
        <v>3.6618517314515485E-5</v>
      </c>
      <c r="F109" s="14">
        <v>2.2946206533016817E-6</v>
      </c>
      <c r="G109" s="14">
        <v>1.1405569470800264E-7</v>
      </c>
      <c r="H109" s="14">
        <v>0</v>
      </c>
      <c r="I109" s="14">
        <v>2.4798727810593064E-7</v>
      </c>
      <c r="J109" s="14">
        <v>7.2481905925713943E-7</v>
      </c>
      <c r="K109" s="14">
        <v>0</v>
      </c>
    </row>
    <row r="110" spans="1:11">
      <c r="A110" s="2" t="s">
        <v>465</v>
      </c>
      <c r="B110" s="3" t="s">
        <v>466</v>
      </c>
      <c r="D110" s="14">
        <v>8.3560983832892697E-16</v>
      </c>
      <c r="E110" s="14">
        <v>3.972446676679398E-5</v>
      </c>
      <c r="F110" s="14">
        <v>8.9904131624714037E-9</v>
      </c>
      <c r="G110" s="14">
        <v>1.7200702175479846E-9</v>
      </c>
      <c r="H110" s="14">
        <v>0</v>
      </c>
      <c r="I110" s="14">
        <v>1.4639166662189758E-8</v>
      </c>
      <c r="J110" s="14">
        <v>2.5018358232820976E-7</v>
      </c>
      <c r="K110" s="14">
        <v>0</v>
      </c>
    </row>
    <row r="111" spans="1:11">
      <c r="A111" s="2" t="s">
        <v>467</v>
      </c>
      <c r="B111" s="3" t="s">
        <v>468</v>
      </c>
      <c r="D111" s="14">
        <v>1.4853633974097604E-34</v>
      </c>
      <c r="E111" s="14">
        <v>3.9984508212826317E-5</v>
      </c>
      <c r="F111" s="14">
        <v>6.3893007779056318E-10</v>
      </c>
      <c r="G111" s="14">
        <v>5.2786793482776503E-13</v>
      </c>
      <c r="H111" s="14">
        <v>0</v>
      </c>
      <c r="I111" s="14">
        <v>1.4627611201413589E-8</v>
      </c>
      <c r="J111" s="14">
        <v>2.2471802654494419E-10</v>
      </c>
      <c r="K111" s="14">
        <v>0</v>
      </c>
    </row>
    <row r="112" spans="1:11">
      <c r="A112" s="2" t="s">
        <v>469</v>
      </c>
      <c r="B112" s="3" t="s">
        <v>470</v>
      </c>
      <c r="D112" s="14">
        <v>9.3888942163953046E-18</v>
      </c>
      <c r="E112" s="14">
        <v>3.9656746989049536E-5</v>
      </c>
      <c r="F112" s="14">
        <v>3.1009064246676892E-9</v>
      </c>
      <c r="G112" s="14">
        <v>1.4487192010089818E-9</v>
      </c>
      <c r="H112" s="14">
        <v>0</v>
      </c>
      <c r="I112" s="14">
        <v>1.4590089742042276E-8</v>
      </c>
      <c r="J112" s="14">
        <v>3.2411329557336232E-7</v>
      </c>
      <c r="K112" s="14">
        <v>0</v>
      </c>
    </row>
    <row r="113" spans="1:11">
      <c r="A113" s="2" t="s">
        <v>471</v>
      </c>
      <c r="B113" s="3" t="s">
        <v>472</v>
      </c>
      <c r="D113" s="14">
        <v>1.1554079242896463E-13</v>
      </c>
      <c r="E113" s="14">
        <v>3.8045910537797605E-5</v>
      </c>
      <c r="F113" s="14">
        <v>8.8106826077618116E-8</v>
      </c>
      <c r="G113" s="14">
        <v>3.2070454300481855E-8</v>
      </c>
      <c r="H113" s="14">
        <v>0</v>
      </c>
      <c r="I113" s="14">
        <v>1.5812167610142181E-8</v>
      </c>
      <c r="J113" s="14">
        <v>1.8180998986733601E-6</v>
      </c>
      <c r="K113" s="14">
        <v>0</v>
      </c>
    </row>
    <row r="114" spans="1:11">
      <c r="A114" s="2" t="s">
        <v>473</v>
      </c>
      <c r="B114" s="3" t="s">
        <v>474</v>
      </c>
      <c r="D114" s="14">
        <v>9.216284347282907E-21</v>
      </c>
      <c r="E114" s="14">
        <v>3.9816000603697484E-5</v>
      </c>
      <c r="F114" s="14">
        <v>9.02940657138536E-10</v>
      </c>
      <c r="G114" s="14">
        <v>4.5491243911419766E-10</v>
      </c>
      <c r="H114" s="14">
        <v>0</v>
      </c>
      <c r="I114" s="14">
        <v>1.4590797910491319E-8</v>
      </c>
      <c r="J114" s="14">
        <v>1.6805074529576323E-7</v>
      </c>
      <c r="K114" s="14">
        <v>0</v>
      </c>
    </row>
    <row r="115" spans="1:11">
      <c r="A115" s="2" t="s">
        <v>475</v>
      </c>
      <c r="B115" s="3" t="s">
        <v>476</v>
      </c>
      <c r="D115" s="14">
        <v>4.7661058333818817E-17</v>
      </c>
      <c r="E115" s="14">
        <v>3.8883989594518384E-5</v>
      </c>
      <c r="F115" s="14">
        <v>1.0976715107633441E-6</v>
      </c>
      <c r="G115" s="14">
        <v>1.3147895564978092E-10</v>
      </c>
      <c r="H115" s="14">
        <v>0</v>
      </c>
      <c r="I115" s="14">
        <v>1.5501159716425882E-8</v>
      </c>
      <c r="J115" s="14">
        <v>2.7062559985387434E-9</v>
      </c>
      <c r="K115" s="14">
        <v>0</v>
      </c>
    </row>
    <row r="116" spans="1:11">
      <c r="A116" s="2" t="s">
        <v>477</v>
      </c>
      <c r="B116" s="3" t="s">
        <v>478</v>
      </c>
      <c r="D116" s="14">
        <v>1.2685683097316515E-21</v>
      </c>
      <c r="E116" s="14">
        <v>5.0535390610734658E-6</v>
      </c>
      <c r="F116" s="14">
        <v>3.0979906812257977E-5</v>
      </c>
      <c r="G116" s="14">
        <v>7.5034955190593785E-7</v>
      </c>
      <c r="H116" s="14">
        <v>0</v>
      </c>
      <c r="I116" s="14">
        <v>2.4918082169274127E-6</v>
      </c>
      <c r="J116" s="14">
        <v>7.2439635783521029E-7</v>
      </c>
      <c r="K116" s="14">
        <v>0</v>
      </c>
    </row>
    <row r="117" spans="1:11">
      <c r="A117" s="2" t="s">
        <v>291</v>
      </c>
      <c r="B117" s="3" t="s">
        <v>479</v>
      </c>
      <c r="D117" s="14">
        <v>1.1738853629533425E-14</v>
      </c>
      <c r="E117" s="14">
        <v>1.883988849419399E-5</v>
      </c>
      <c r="F117" s="14">
        <v>6.8155342152059039E-6</v>
      </c>
      <c r="G117" s="14">
        <v>1.7099974302610845E-6</v>
      </c>
      <c r="H117" s="14">
        <v>0</v>
      </c>
      <c r="I117" s="14">
        <v>1.1158827665984043E-7</v>
      </c>
      <c r="J117" s="14">
        <v>1.2522991571940335E-5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B96E-DA5F-41D6-BAAC-E1DFCAA9211A}">
  <dimension ref="A1:D117"/>
  <sheetViews>
    <sheetView tabSelected="1" topLeftCell="A91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1.483654181937237E-8</v>
      </c>
      <c r="B2">
        <f>'Mass Balance'!E2</f>
        <v>3.901700838461605E-5</v>
      </c>
      <c r="C2">
        <f>SUM('Mass Balance'!E2:H2)</f>
        <v>3.9050652895774697E-5</v>
      </c>
      <c r="D2">
        <f>Concentrations!F2/Concentrations!E2</f>
        <v>1.0030487243621815</v>
      </c>
    </row>
    <row r="3" spans="1:4">
      <c r="A3">
        <f>'Mass Balance'!I3</f>
        <v>1.407646744231476E-7</v>
      </c>
      <c r="B3">
        <f>'Mass Balance'!E3</f>
        <v>1.8634495098060373E-5</v>
      </c>
      <c r="C3">
        <f>SUM('Mass Balance'!E3:H3)</f>
        <v>2.7836116185188073E-5</v>
      </c>
      <c r="D3">
        <f>Concentrations!F3/Concentrations!E3</f>
        <v>0.67205582832727218</v>
      </c>
    </row>
    <row r="4" spans="1:4">
      <c r="A4">
        <f>'Mass Balance'!I4</f>
        <v>1.7419448534465871E-8</v>
      </c>
      <c r="B4">
        <f>'Mass Balance'!E4</f>
        <v>3.9964869959553762E-5</v>
      </c>
      <c r="C4">
        <f>SUM('Mass Balance'!E4:H4)</f>
        <v>3.9981754840121773E-5</v>
      </c>
      <c r="D4">
        <f>Concentrations!F4/Concentrations!E4</f>
        <v>1.0034896895616316</v>
      </c>
    </row>
    <row r="5" spans="1:4">
      <c r="A5">
        <f>'Mass Balance'!I5</f>
        <v>2.4912849515355966E-8</v>
      </c>
      <c r="B5">
        <f>'Mass Balance'!E5</f>
        <v>2.1891326073042154E-5</v>
      </c>
      <c r="C5">
        <f>SUM('Mass Balance'!E5:H5)</f>
        <v>3.9967566661780466E-5</v>
      </c>
      <c r="D5">
        <f>Concentrations!F5/Concentrations!E5</f>
        <v>0.54987088407343221</v>
      </c>
    </row>
    <row r="6" spans="1:4">
      <c r="A6">
        <f>'Mass Balance'!I6</f>
        <v>2.8849794923898895E-8</v>
      </c>
      <c r="B6">
        <f>'Mass Balance'!E6</f>
        <v>1.2954699334645582E-5</v>
      </c>
      <c r="C6">
        <f>SUM('Mass Balance'!E6:H6)</f>
        <v>3.9942956374853543E-5</v>
      </c>
      <c r="D6">
        <f>Concentrations!F6/Concentrations!E6</f>
        <v>0.32559932375393774</v>
      </c>
    </row>
    <row r="7" spans="1:4">
      <c r="A7">
        <f>'Mass Balance'!I7</f>
        <v>3.4240561847416069E-8</v>
      </c>
      <c r="B7">
        <f>'Mass Balance'!E7</f>
        <v>4.3014229708862439E-6</v>
      </c>
      <c r="C7">
        <f>SUM('Mass Balance'!E7:H7)</f>
        <v>3.9816836928631161E-5</v>
      </c>
      <c r="D7">
        <f>Concentrations!F7/Concentrations!E7</f>
        <v>0.10845304645239197</v>
      </c>
    </row>
    <row r="8" spans="1:4">
      <c r="A8">
        <f>'Mass Balance'!I8</f>
        <v>2.9795101102383551E-8</v>
      </c>
      <c r="B8">
        <f>'Mass Balance'!E8</f>
        <v>9.1856361407493938E-6</v>
      </c>
      <c r="C8">
        <f>SUM('Mass Balance'!E8:H8)</f>
        <v>3.9956298713080789E-5</v>
      </c>
      <c r="D8">
        <f>Concentrations!F8/Concentrations!E8</f>
        <v>0.23079178670061079</v>
      </c>
    </row>
    <row r="9" spans="1:4">
      <c r="A9">
        <f>'Mass Balance'!I9</f>
        <v>2.3895454469950313E-8</v>
      </c>
      <c r="B9">
        <f>'Mass Balance'!E9</f>
        <v>2.4544227932988711E-5</v>
      </c>
      <c r="C9">
        <f>SUM('Mass Balance'!E9:H9)</f>
        <v>3.9941916401168372E-5</v>
      </c>
      <c r="D9">
        <f>Concentrations!F9/Concentrations!E9</f>
        <v>0.61690293913234806</v>
      </c>
    </row>
    <row r="10" spans="1:4">
      <c r="A10">
        <f>'Mass Balance'!I10</f>
        <v>3.2987477733871841E-7</v>
      </c>
      <c r="B10">
        <f>'Mass Balance'!E10</f>
        <v>4.1119132825558157E-7</v>
      </c>
      <c r="C10">
        <f>SUM('Mass Balance'!E10:H10)</f>
        <v>3.5281678415846581E-5</v>
      </c>
      <c r="D10">
        <f>Concentrations!F10/Concentrations!E10</f>
        <v>1.1700140373438878E-2</v>
      </c>
    </row>
    <row r="11" spans="1:4">
      <c r="A11">
        <f>'Mass Balance'!I11</f>
        <v>2.1386692419985689E-6</v>
      </c>
      <c r="B11">
        <f>'Mass Balance'!E11</f>
        <v>2.3531049456000931E-8</v>
      </c>
      <c r="C11">
        <f>SUM('Mass Balance'!E11:H11)</f>
        <v>3.717925930443968E-5</v>
      </c>
      <c r="D11">
        <f>Concentrations!F11/Concentrations!E11</f>
        <v>6.3538495264243869E-4</v>
      </c>
    </row>
    <row r="12" spans="1:4">
      <c r="A12">
        <f>'Mass Balance'!I12</f>
        <v>1.3502121211483773E-8</v>
      </c>
      <c r="B12">
        <f>'Mass Balance'!E12</f>
        <v>3.6819794211026624E-5</v>
      </c>
      <c r="C12">
        <f>SUM('Mass Balance'!E12:H12)</f>
        <v>3.6821342192784652E-5</v>
      </c>
      <c r="D12">
        <f>Concentrations!F12/Concentrations!E12</f>
        <v>1.0038714521286254</v>
      </c>
    </row>
    <row r="13" spans="1:4">
      <c r="A13">
        <f>'Mass Balance'!I13</f>
        <v>9.5623497370586402E-8</v>
      </c>
      <c r="B13">
        <f>'Mass Balance'!E13</f>
        <v>2.0945085146439253E-5</v>
      </c>
      <c r="C13">
        <f>SUM('Mass Balance'!E13:H13)</f>
        <v>2.7997662667009715E-5</v>
      </c>
      <c r="D13">
        <f>Concentrations!F13/Concentrations!E13</f>
        <v>0.75102901537292632</v>
      </c>
    </row>
    <row r="14" spans="1:4">
      <c r="A14">
        <f>'Mass Balance'!I14</f>
        <v>6.3933285729355132E-8</v>
      </c>
      <c r="B14">
        <f>'Mass Balance'!E14</f>
        <v>3.5175386377530524E-7</v>
      </c>
      <c r="C14">
        <f>SUM('Mass Balance'!E14:H14)</f>
        <v>3.9904832802158753E-5</v>
      </c>
      <c r="D14">
        <f>Concentrations!F14/Concentrations!E14</f>
        <v>8.8493168107598615E-3</v>
      </c>
    </row>
    <row r="15" spans="1:4">
      <c r="A15">
        <f>'Mass Balance'!I15</f>
        <v>2.5407598002900753E-8</v>
      </c>
      <c r="B15">
        <f>'Mass Balance'!E15</f>
        <v>3.0467294429217804E-5</v>
      </c>
      <c r="C15">
        <f>SUM('Mass Balance'!E15:H15)</f>
        <v>3.1482852996618165E-5</v>
      </c>
      <c r="D15">
        <f>Concentrations!F15/Concentrations!E15</f>
        <v>0.97152989827926495</v>
      </c>
    </row>
    <row r="16" spans="1:4">
      <c r="A16">
        <f>'Mass Balance'!I16</f>
        <v>1.0601900827779939E-7</v>
      </c>
      <c r="B16">
        <f>'Mass Balance'!E16</f>
        <v>1.9533233913955209E-5</v>
      </c>
      <c r="C16">
        <f>SUM('Mass Balance'!E16:H16)</f>
        <v>2.7543021933009774E-5</v>
      </c>
      <c r="D16">
        <f>Concentrations!F16/Concentrations!E16</f>
        <v>0.71196546040949049</v>
      </c>
    </row>
    <row r="17" spans="1:4">
      <c r="A17">
        <f>'Mass Balance'!I17</f>
        <v>9.9263350364252006E-8</v>
      </c>
      <c r="B17">
        <f>'Mass Balance'!E17</f>
        <v>2.0382409101045069E-5</v>
      </c>
      <c r="C17">
        <f>SUM('Mass Balance'!E17:H17)</f>
        <v>2.777186376598341E-5</v>
      </c>
      <c r="D17">
        <f>Concentrations!F17/Concentrations!E17</f>
        <v>0.73679530590858944</v>
      </c>
    </row>
    <row r="18" spans="1:4">
      <c r="A18">
        <f>'Mass Balance'!I18</f>
        <v>1.686388782802863E-6</v>
      </c>
      <c r="B18">
        <f>'Mass Balance'!E18</f>
        <v>2.5511743253673124E-8</v>
      </c>
      <c r="C18">
        <f>SUM('Mass Balance'!E18:H18)</f>
        <v>3.511699779308771E-5</v>
      </c>
      <c r="D18">
        <f>Concentrations!F18/Concentrations!E18</f>
        <v>7.2932166972692735E-4</v>
      </c>
    </row>
    <row r="19" spans="1:4">
      <c r="A19">
        <f>'Mass Balance'!I19</f>
        <v>1.8233060885530966E-8</v>
      </c>
      <c r="B19">
        <f>'Mass Balance'!E19</f>
        <v>3.6113328387421081E-5</v>
      </c>
      <c r="C19">
        <f>SUM('Mass Balance'!E19:H19)</f>
        <v>3.6448991793689887E-5</v>
      </c>
      <c r="D19">
        <f>Concentrations!F19/Concentrations!E19</f>
        <v>0.99466848831057531</v>
      </c>
    </row>
    <row r="20" spans="1:4">
      <c r="A20">
        <f>'Mass Balance'!I20</f>
        <v>2.1196135882015739E-8</v>
      </c>
      <c r="B20">
        <f>'Mass Balance'!E20</f>
        <v>3.4460869335295203E-5</v>
      </c>
      <c r="C20">
        <f>SUM('Mass Balance'!E20:H20)</f>
        <v>3.5052597986542881E-5</v>
      </c>
      <c r="D20">
        <f>Concentrations!F20/Concentrations!E20</f>
        <v>0.98696642602903828</v>
      </c>
    </row>
    <row r="21" spans="1:4">
      <c r="A21">
        <f>'Mass Balance'!I21</f>
        <v>1.0164003835492672E-7</v>
      </c>
      <c r="B21">
        <f>'Mass Balance'!E21</f>
        <v>4.2351612858318988E-6</v>
      </c>
      <c r="C21">
        <f>SUM('Mass Balance'!E21:H21)</f>
        <v>3.7085052308550125E-5</v>
      </c>
      <c r="D21">
        <f>Concentrations!F21/Concentrations!E21</f>
        <v>0.11464824746831959</v>
      </c>
    </row>
    <row r="22" spans="1:4">
      <c r="A22">
        <f>'Mass Balance'!I22</f>
        <v>1.4129227339770865E-8</v>
      </c>
      <c r="B22">
        <f>'Mass Balance'!E22</f>
        <v>3.6125591350304604E-5</v>
      </c>
      <c r="C22">
        <f>SUM('Mass Balance'!E22:H22)</f>
        <v>3.6181657758299519E-5</v>
      </c>
      <c r="D22">
        <f>Concentrations!F22/Concentrations!E22</f>
        <v>1.002358011511207</v>
      </c>
    </row>
    <row r="23" spans="1:4">
      <c r="A23">
        <f>'Mass Balance'!I23</f>
        <v>3.4236706440009088E-8</v>
      </c>
      <c r="B23">
        <f>'Mass Balance'!E23</f>
        <v>2.8880116682534597E-5</v>
      </c>
      <c r="C23">
        <f>SUM('Mass Balance'!E23:H23)</f>
        <v>3.0616709967909366E-5</v>
      </c>
      <c r="D23">
        <f>Concentrations!F23/Concentrations!E23</f>
        <v>0.94697123184535303</v>
      </c>
    </row>
    <row r="24" spans="1:4">
      <c r="A24">
        <f>'Mass Balance'!I24</f>
        <v>1.4258200622614008E-7</v>
      </c>
      <c r="B24">
        <f>'Mass Balance'!E24</f>
        <v>1.5106635189922225E-5</v>
      </c>
      <c r="C24">
        <f>SUM('Mass Balance'!E24:H24)</f>
        <v>2.6576358632427931E-5</v>
      </c>
      <c r="D24">
        <f>Concentrations!F24/Concentrations!E24</f>
        <v>0.57064843187288905</v>
      </c>
    </row>
    <row r="25" spans="1:4">
      <c r="A25">
        <f>'Mass Balance'!I25</f>
        <v>1.5464533410435159E-6</v>
      </c>
      <c r="B25">
        <f>'Mass Balance'!E25</f>
        <v>3.56131602132323E-8</v>
      </c>
      <c r="C25">
        <f>SUM('Mass Balance'!E25:H25)</f>
        <v>3.4916742349902885E-5</v>
      </c>
      <c r="D25">
        <f>Concentrations!F25/Concentrations!E25</f>
        <v>1.0239368137133337E-3</v>
      </c>
    </row>
    <row r="26" spans="1:4">
      <c r="A26">
        <f>'Mass Balance'!I26</f>
        <v>2.0655453070369195E-7</v>
      </c>
      <c r="B26">
        <f>'Mass Balance'!E26</f>
        <v>5.4293077815330599E-6</v>
      </c>
      <c r="C26">
        <f>SUM('Mass Balance'!E26:H26)</f>
        <v>2.3986852274953787E-5</v>
      </c>
      <c r="D26">
        <f>Concentrations!F26/Concentrations!E26</f>
        <v>0.22723099168919017</v>
      </c>
    </row>
    <row r="27" spans="1:4">
      <c r="A27">
        <f>'Mass Balance'!I27</f>
        <v>1.2154145843268209E-7</v>
      </c>
      <c r="B27">
        <f>'Mass Balance'!E27</f>
        <v>6.431460855208355E-7</v>
      </c>
      <c r="C27">
        <f>SUM('Mass Balance'!E27:H27)</f>
        <v>1.2724869774673829E-5</v>
      </c>
      <c r="D27">
        <f>Concentrations!F27/Concentrations!E27</f>
        <v>5.0740255117251019E-2</v>
      </c>
    </row>
    <row r="28" spans="1:4">
      <c r="A28">
        <f>'Mass Balance'!I28</f>
        <v>5.98170405202227E-8</v>
      </c>
      <c r="B28">
        <f>'Mass Balance'!E28</f>
        <v>1.1637093364399713E-6</v>
      </c>
      <c r="C28">
        <f>SUM('Mass Balance'!E28:H28)</f>
        <v>6.6461410654271604E-6</v>
      </c>
      <c r="D28">
        <f>Concentrations!F28/Concentrations!E28</f>
        <v>0.17578075519766789</v>
      </c>
    </row>
    <row r="29" spans="1:4">
      <c r="A29">
        <f>'Mass Balance'!I29</f>
        <v>1.6106885622244201E-9</v>
      </c>
      <c r="B29">
        <f>'Mass Balance'!E29</f>
        <v>2.3665382409038239E-6</v>
      </c>
      <c r="C29">
        <f>SUM('Mass Balance'!E29:H29)</f>
        <v>2.4184877537843624E-6</v>
      </c>
      <c r="D29">
        <f>Concentrations!F29/Concentrations!E29</f>
        <v>0.98234942729794872</v>
      </c>
    </row>
    <row r="30" spans="1:4">
      <c r="A30">
        <f>'Mass Balance'!I30</f>
        <v>2.2971081691945814E-8</v>
      </c>
      <c r="B30">
        <f>'Mass Balance'!E30</f>
        <v>4.7905874636217854E-7</v>
      </c>
      <c r="C30">
        <f>SUM('Mass Balance'!E30:H30)</f>
        <v>2.5748884098082154E-6</v>
      </c>
      <c r="D30">
        <f>Concentrations!F30/Concentrations!E30</f>
        <v>0.18677843130853475</v>
      </c>
    </row>
    <row r="31" spans="1:4">
      <c r="A31">
        <f>'Mass Balance'!I31</f>
        <v>4.0106008143246517E-10</v>
      </c>
      <c r="B31">
        <f>'Mass Balance'!E31</f>
        <v>1.7910893512287816E-8</v>
      </c>
      <c r="C31">
        <f>SUM('Mass Balance'!E31:H31)</f>
        <v>5.2619380235647787E-8</v>
      </c>
      <c r="D31">
        <f>Concentrations!F31/Concentrations!E31</f>
        <v>0.34171802338874779</v>
      </c>
    </row>
    <row r="32" spans="1:4">
      <c r="A32">
        <f>'Mass Balance'!I32</f>
        <v>8.4589567886944898E-8</v>
      </c>
      <c r="B32">
        <f>'Mass Balance'!E32</f>
        <v>2.243916858190807E-5</v>
      </c>
      <c r="C32">
        <f>SUM('Mass Balance'!E32:H32)</f>
        <v>2.8492745249801474E-5</v>
      </c>
      <c r="D32">
        <f>Concentrations!F32/Concentrations!E32</f>
        <v>0.79062187913500215</v>
      </c>
    </row>
    <row r="33" spans="1:4">
      <c r="A33">
        <f>'Mass Balance'!I33</f>
        <v>4.9261762582286094E-8</v>
      </c>
      <c r="B33">
        <f>'Mass Balance'!E33</f>
        <v>2.8383612869408085E-5</v>
      </c>
      <c r="C33">
        <f>SUM('Mass Balance'!E33:H33)</f>
        <v>3.1315674363544404E-5</v>
      </c>
      <c r="D33">
        <f>Concentrations!F33/Concentrations!E33</f>
        <v>0.90991802583642012</v>
      </c>
    </row>
    <row r="34" spans="1:4">
      <c r="A34">
        <f>'Mass Balance'!I34</f>
        <v>2.2956776217537716E-7</v>
      </c>
      <c r="B34">
        <f>'Mass Balance'!E34</f>
        <v>6.9313318655038303E-6</v>
      </c>
      <c r="C34">
        <f>SUM('Mass Balance'!E34:H34)</f>
        <v>2.7362272081118391E-5</v>
      </c>
      <c r="D34">
        <f>Concentrations!F34/Concentrations!E34</f>
        <v>0.25430851284398492</v>
      </c>
    </row>
    <row r="35" spans="1:4">
      <c r="A35">
        <f>'Mass Balance'!I35</f>
        <v>3.1373597927509965E-7</v>
      </c>
      <c r="B35">
        <f>'Mass Balance'!E35</f>
        <v>8.2498437010735718E-7</v>
      </c>
      <c r="C35">
        <f>SUM('Mass Balance'!E35:H35)</f>
        <v>3.3357776818733687E-5</v>
      </c>
      <c r="D35">
        <f>Concentrations!F35/Concentrations!E35</f>
        <v>2.4828185657071931E-2</v>
      </c>
    </row>
    <row r="36" spans="1:4">
      <c r="A36">
        <f>'Mass Balance'!I36</f>
        <v>7.000417440525209E-7</v>
      </c>
      <c r="B36">
        <f>'Mass Balance'!E36</f>
        <v>1.8269902726941308E-7</v>
      </c>
      <c r="C36">
        <f>SUM('Mass Balance'!E36:H36)</f>
        <v>3.4617354428140121E-5</v>
      </c>
      <c r="D36">
        <f>Concentrations!F36/Concentrations!E36</f>
        <v>5.2983265655727266E-3</v>
      </c>
    </row>
    <row r="37" spans="1:4">
      <c r="A37">
        <f>'Mass Balance'!I37</f>
        <v>1.6446432280722788E-6</v>
      </c>
      <c r="B37">
        <f>'Mass Balance'!E37</f>
        <v>2.7960589694193832E-8</v>
      </c>
      <c r="C37">
        <f>SUM('Mass Balance'!E37:H37)</f>
        <v>3.4976336244812611E-5</v>
      </c>
      <c r="D37">
        <f>Concentrations!F37/Concentrations!E37</f>
        <v>8.0254311530271688E-4</v>
      </c>
    </row>
    <row r="38" spans="1:4">
      <c r="A38">
        <f>'Mass Balance'!I38</f>
        <v>1.0253675292216491E-6</v>
      </c>
      <c r="B38">
        <f>'Mass Balance'!E38</f>
        <v>1.0039613983374957E-7</v>
      </c>
      <c r="C38">
        <f>SUM('Mass Balance'!E38:H38)</f>
        <v>3.4534590651971951E-5</v>
      </c>
      <c r="D38">
        <f>Concentrations!F38/Concentrations!E38</f>
        <v>2.9184957454671035E-3</v>
      </c>
    </row>
    <row r="39" spans="1:4">
      <c r="A39">
        <f>'Mass Balance'!I39</f>
        <v>7.6610478093150758E-7</v>
      </c>
      <c r="B39">
        <f>'Mass Balance'!E39</f>
        <v>1.5109634211968543E-7</v>
      </c>
      <c r="C39">
        <f>SUM('Mass Balance'!E39:H39)</f>
        <v>3.3644672741269625E-5</v>
      </c>
      <c r="D39">
        <f>Concentrations!F39/Concentrations!E39</f>
        <v>4.5085200424820797E-3</v>
      </c>
    </row>
    <row r="40" spans="1:4">
      <c r="A40">
        <f>'Mass Balance'!I40</f>
        <v>1.0253675292216491E-6</v>
      </c>
      <c r="B40">
        <f>'Mass Balance'!E40</f>
        <v>1.0039613983374957E-7</v>
      </c>
      <c r="C40">
        <f>SUM('Mass Balance'!E40:H40)</f>
        <v>3.4534590651971951E-5</v>
      </c>
      <c r="D40">
        <f>Concentrations!F40/Concentrations!E40</f>
        <v>2.9184957454671035E-3</v>
      </c>
    </row>
    <row r="41" spans="1:4">
      <c r="A41">
        <f>'Mass Balance'!I41</f>
        <v>1.601845640687467E-8</v>
      </c>
      <c r="B41">
        <f>'Mass Balance'!E41</f>
        <v>3.8155308066862259E-5</v>
      </c>
      <c r="C41">
        <f>SUM('Mass Balance'!E41:H41)</f>
        <v>3.9976769059612615E-5</v>
      </c>
      <c r="D41">
        <f>Concentrations!F41/Concentrations!E41</f>
        <v>0.95817235250460886</v>
      </c>
    </row>
    <row r="42" spans="1:4">
      <c r="A42">
        <f>'Mass Balance'!I42</f>
        <v>1.6805167934709248E-6</v>
      </c>
      <c r="B42">
        <f>'Mass Balance'!E42</f>
        <v>2.5422911611911524E-8</v>
      </c>
      <c r="C42">
        <f>SUM('Mass Balance'!E42:H42)</f>
        <v>3.4994720748485943E-5</v>
      </c>
      <c r="D42">
        <f>Concentrations!F42/Concentrations!E42</f>
        <v>7.2932166972692746E-4</v>
      </c>
    </row>
    <row r="43" spans="1:4">
      <c r="A43">
        <f>'Mass Balance'!I43</f>
        <v>1.5235280165627171E-7</v>
      </c>
      <c r="B43">
        <f>'Mass Balance'!E43</f>
        <v>1.4103817593243115E-5</v>
      </c>
      <c r="C43">
        <f>SUM('Mass Balance'!E43:H43)</f>
        <v>2.6518988638353745E-5</v>
      </c>
      <c r="D43">
        <f>Concentrations!F43/Concentrations!E43</f>
        <v>0.53391987495413606</v>
      </c>
    </row>
    <row r="44" spans="1:4">
      <c r="A44">
        <f>'Mass Balance'!I44</f>
        <v>4.981593601610988E-7</v>
      </c>
      <c r="B44">
        <f>'Mass Balance'!E44</f>
        <v>2.7437813102207606E-7</v>
      </c>
      <c r="C44">
        <f>SUM('Mass Balance'!E44:H44)</f>
        <v>3.4876894969251062E-5</v>
      </c>
      <c r="D44">
        <f>Concentrations!F44/Concentrations!E44</f>
        <v>7.8978347458445244E-3</v>
      </c>
    </row>
    <row r="45" spans="1:4">
      <c r="A45">
        <f>'Mass Balance'!I45</f>
        <v>1.9601358154529726E-6</v>
      </c>
      <c r="B45">
        <f>'Mass Balance'!E45</f>
        <v>1.1386440523786159E-8</v>
      </c>
      <c r="C45">
        <f>SUM('Mass Balance'!E45:H45)</f>
        <v>3.5604977176180914E-5</v>
      </c>
      <c r="D45">
        <f>Concentrations!F45/Concentrations!E45</f>
        <v>3.2105070844138674E-4</v>
      </c>
    </row>
    <row r="46" spans="1:4">
      <c r="A46">
        <f>'Mass Balance'!I46</f>
        <v>1.7305250287519314E-6</v>
      </c>
      <c r="B46">
        <f>'Mass Balance'!E46</f>
        <v>2.2757759893104807E-8</v>
      </c>
      <c r="C46">
        <f>SUM('Mass Balance'!E46:H46)</f>
        <v>3.518533808282251E-5</v>
      </c>
      <c r="D46">
        <f>Concentrations!F46/Concentrations!E46</f>
        <v>6.4932802139476553E-4</v>
      </c>
    </row>
    <row r="47" spans="1:4">
      <c r="A47">
        <f>'Mass Balance'!I47</f>
        <v>1.3816179321872509E-6</v>
      </c>
      <c r="B47">
        <f>'Mass Balance'!E47</f>
        <v>5.0748996586949342E-8</v>
      </c>
      <c r="C47">
        <f>SUM('Mass Balance'!E47:H47)</f>
        <v>3.4736818424484963E-5</v>
      </c>
      <c r="D47">
        <f>Concentrations!F47/Concentrations!E47</f>
        <v>1.4666746427414959E-3</v>
      </c>
    </row>
    <row r="48" spans="1:4">
      <c r="A48">
        <f>'Mass Balance'!I48</f>
        <v>2.9363274589305751E-7</v>
      </c>
      <c r="B48">
        <f>'Mass Balance'!E48</f>
        <v>2.362792337816215E-6</v>
      </c>
      <c r="C48">
        <f>SUM('Mass Balance'!E48:H48)</f>
        <v>3.0813691300231595E-5</v>
      </c>
      <c r="D48">
        <f>Concentrations!F48/Concentrations!E48</f>
        <v>7.6980049987451268E-2</v>
      </c>
    </row>
    <row r="49" spans="1:4">
      <c r="A49">
        <f>'Mass Balance'!I49</f>
        <v>5.3260829335856663E-7</v>
      </c>
      <c r="B49">
        <f>'Mass Balance'!E49</f>
        <v>2.5501930930197831E-7</v>
      </c>
      <c r="C49">
        <f>SUM('Mass Balance'!E49:H49)</f>
        <v>3.4823858622616422E-5</v>
      </c>
      <c r="D49">
        <f>Concentrations!F49/Concentrations!E49</f>
        <v>7.3517805761136147E-3</v>
      </c>
    </row>
    <row r="50" spans="1:4">
      <c r="A50">
        <f>'Mass Balance'!I50</f>
        <v>5.9351838044309382E-7</v>
      </c>
      <c r="B50">
        <f>'Mass Balance'!E50</f>
        <v>2.2502754214572895E-7</v>
      </c>
      <c r="C50">
        <f>SUM('Mass Balance'!E50:H50)</f>
        <v>3.4735573300400885E-5</v>
      </c>
      <c r="D50">
        <f>Concentrations!F50/Concentrations!E50</f>
        <v>6.5036560878853986E-3</v>
      </c>
    </row>
    <row r="51" spans="1:4">
      <c r="A51">
        <f>'Mass Balance'!I51</f>
        <v>3.0728099967087504E-7</v>
      </c>
      <c r="B51">
        <f>'Mass Balance'!E51</f>
        <v>1.5162303442869499E-6</v>
      </c>
      <c r="C51">
        <f>SUM('Mass Balance'!E51:H51)</f>
        <v>3.2191062190838007E-5</v>
      </c>
      <c r="D51">
        <f>Concentrations!F51/Concentrations!E51</f>
        <v>4.7285309840487087E-2</v>
      </c>
    </row>
    <row r="52" spans="1:4">
      <c r="A52">
        <f>'Mass Balance'!I52</f>
        <v>2.9513839478535193E-7</v>
      </c>
      <c r="B52">
        <f>'Mass Balance'!E52</f>
        <v>2.2668886749600992E-6</v>
      </c>
      <c r="C52">
        <f>SUM('Mass Balance'!E52:H52)</f>
        <v>3.0945518940645388E-5</v>
      </c>
      <c r="D52">
        <f>Concentrations!F52/Concentrations!E52</f>
        <v>7.3540873690213088E-2</v>
      </c>
    </row>
    <row r="53" spans="1:4">
      <c r="A53">
        <f>'Mass Balance'!I53</f>
        <v>8.0980312958898307E-7</v>
      </c>
      <c r="B53">
        <f>'Mass Balance'!E53</f>
        <v>1.4891316604570494E-7</v>
      </c>
      <c r="C53">
        <f>SUM('Mass Balance'!E53:H53)</f>
        <v>3.4561472872422409E-5</v>
      </c>
      <c r="D53">
        <f>Concentrations!F53/Concentrations!E53</f>
        <v>4.3255089750456237E-3</v>
      </c>
    </row>
    <row r="54" spans="1:4">
      <c r="A54">
        <f>'Mass Balance'!I54</f>
        <v>5.6252178208020146E-7</v>
      </c>
      <c r="B54">
        <f>'Mass Balance'!E54</f>
        <v>2.3967524335300955E-7</v>
      </c>
      <c r="C54">
        <f>SUM('Mass Balance'!E54:H54)</f>
        <v>3.4779544971218868E-5</v>
      </c>
      <c r="D54">
        <f>Concentrations!F54/Concentrations!E54</f>
        <v>6.9182403118300574E-3</v>
      </c>
    </row>
    <row r="55" spans="1:4">
      <c r="A55">
        <f>'Mass Balance'!I55</f>
        <v>1.364399280826547E-6</v>
      </c>
      <c r="B55">
        <f>'Mass Balance'!E55</f>
        <v>5.2511861484086469E-8</v>
      </c>
      <c r="C55">
        <f>SUM('Mass Balance'!E55:H55)</f>
        <v>3.4712463103756151E-5</v>
      </c>
      <c r="D55">
        <f>Concentrations!F55/Concentrations!E55</f>
        <v>1.5186872432767799E-3</v>
      </c>
    </row>
    <row r="56" spans="1:4">
      <c r="A56">
        <f>'Mass Balance'!I56</f>
        <v>5.0948375736963195E-7</v>
      </c>
      <c r="B56">
        <f>'Mass Balance'!E56</f>
        <v>2.6781797214628198E-7</v>
      </c>
      <c r="C56">
        <f>SUM('Mass Balance'!E56:H56)</f>
        <v>3.4860482042057612E-5</v>
      </c>
      <c r="D56">
        <f>Concentrations!F56/Concentrations!E56</f>
        <v>7.7126334484831222E-3</v>
      </c>
    </row>
    <row r="57" spans="1:4">
      <c r="A57">
        <f>'Mass Balance'!I57</f>
        <v>2.8533372377355753E-7</v>
      </c>
      <c r="B57">
        <f>'Mass Balance'!E57</f>
        <v>2.8308200495408016E-6</v>
      </c>
      <c r="C57">
        <f>SUM('Mass Balance'!E57:H57)</f>
        <v>3.0122656669519753E-5</v>
      </c>
      <c r="D57">
        <f>Concentrations!F57/Concentrations!E57</f>
        <v>9.4344231965447389E-2</v>
      </c>
    </row>
    <row r="58" spans="1:4">
      <c r="A58">
        <f>'Mass Balance'!I58</f>
        <v>5.6864031287707907E-7</v>
      </c>
      <c r="B58">
        <f>'Mass Balance'!E58</f>
        <v>2.3669282361861644E-7</v>
      </c>
      <c r="C58">
        <f>SUM('Mass Balance'!E58:H58)</f>
        <v>3.4771037068862001E-5</v>
      </c>
      <c r="D58">
        <f>Concentrations!F58/Concentrations!E58</f>
        <v>6.8338243025118017E-3</v>
      </c>
    </row>
    <row r="59" spans="1:4">
      <c r="A59">
        <f>'Mass Balance'!I59</f>
        <v>2.9517773408615062E-7</v>
      </c>
      <c r="B59">
        <f>'Mass Balance'!E59</f>
        <v>2.267190830887749E-6</v>
      </c>
      <c r="C59">
        <f>SUM('Mass Balance'!E59:H59)</f>
        <v>3.0949643700756195E-5</v>
      </c>
      <c r="D59">
        <f>Concentrations!F59/Concentrations!E59</f>
        <v>7.3540873690213074E-2</v>
      </c>
    </row>
    <row r="60" spans="1:4">
      <c r="A60">
        <f>'Mass Balance'!I60</f>
        <v>7.4274638741434864E-7</v>
      </c>
      <c r="B60">
        <f>'Mass Balance'!E60</f>
        <v>1.6851168091751215E-7</v>
      </c>
      <c r="C60">
        <f>SUM('Mass Balance'!E60:H60)</f>
        <v>3.458346587176842E-5</v>
      </c>
      <c r="D60">
        <f>Concentrations!F60/Concentrations!E60</f>
        <v>4.8916779614992965E-3</v>
      </c>
    </row>
    <row r="61" spans="1:4">
      <c r="A61">
        <f>'Mass Balance'!I61</f>
        <v>6.4618133778386347E-7</v>
      </c>
      <c r="B61">
        <f>'Mass Balance'!E61</f>
        <v>1.0975050993409371E-5</v>
      </c>
      <c r="C61">
        <f>SUM('Mass Balance'!E61:H61)</f>
        <v>3.1600267099965025E-5</v>
      </c>
      <c r="D61">
        <f>Concentrations!F61/Concentrations!E61</f>
        <v>0.34866805219416086</v>
      </c>
    </row>
    <row r="62" spans="1:4">
      <c r="A62">
        <f>'Mass Balance'!I62</f>
        <v>2.2372353268622069E-7</v>
      </c>
      <c r="B62">
        <f>'Mass Balance'!E62</f>
        <v>7.407934263869554E-6</v>
      </c>
      <c r="C62">
        <f>SUM('Mass Balance'!E62:H62)</f>
        <v>2.7191452003368105E-5</v>
      </c>
      <c r="D62">
        <f>Concentrations!F62/Concentrations!E62</f>
        <v>0.27350236304920533</v>
      </c>
    </row>
    <row r="63" spans="1:4">
      <c r="A63">
        <f>'Mass Balance'!I63</f>
        <v>1.1229489482239935E-7</v>
      </c>
      <c r="B63">
        <f>'Mass Balance'!E63</f>
        <v>3.68470742781464E-5</v>
      </c>
      <c r="C63">
        <f>SUM('Mass Balance'!E63:H63)</f>
        <v>3.8289806278845202E-5</v>
      </c>
      <c r="D63">
        <f>Concentrations!F63/Concentrations!E63</f>
        <v>0.96608692190690348</v>
      </c>
    </row>
    <row r="64" spans="1:4">
      <c r="A64">
        <f>'Mass Balance'!I64</f>
        <v>1.5314300288423712E-8</v>
      </c>
      <c r="B64">
        <f>'Mass Balance'!E64</f>
        <v>3.9318704741186156E-5</v>
      </c>
      <c r="C64">
        <f>SUM('Mass Balance'!E64:H64)</f>
        <v>3.9811061295551455E-5</v>
      </c>
      <c r="D64">
        <f>Concentrations!F64/Concentrations!E64</f>
        <v>0.99149792496629241</v>
      </c>
    </row>
    <row r="65" spans="1:4">
      <c r="A65">
        <f>'Mass Balance'!I65</f>
        <v>2.3294323810135068E-8</v>
      </c>
      <c r="B65">
        <f>'Mass Balance'!E65</f>
        <v>3.9832657738502566E-5</v>
      </c>
      <c r="C65">
        <f>SUM('Mass Balance'!E65:H65)</f>
        <v>3.9899241141540687E-5</v>
      </c>
      <c r="D65">
        <f>Concentrations!F65/Concentrations!E65</f>
        <v>1.0022383372267634</v>
      </c>
    </row>
    <row r="66" spans="1:4">
      <c r="A66">
        <f>'Mass Balance'!I66</f>
        <v>8.0743637867890689E-7</v>
      </c>
      <c r="B66">
        <f>'Mass Balance'!E66</f>
        <v>3.039582429898034E-5</v>
      </c>
      <c r="C66">
        <f>SUM('Mass Balance'!E66:H66)</f>
        <v>3.8510874132234359E-5</v>
      </c>
      <c r="D66">
        <f>Concentrations!F66/Concentrations!E66</f>
        <v>0.7923679692326443</v>
      </c>
    </row>
    <row r="67" spans="1:4">
      <c r="A67">
        <f>'Mass Balance'!I67</f>
        <v>2.1825767242944678E-8</v>
      </c>
      <c r="B67">
        <f>'Mass Balance'!E67</f>
        <v>3.983437155379855E-5</v>
      </c>
      <c r="C67">
        <f>SUM('Mass Balance'!E67:H67)</f>
        <v>3.9891066470006916E-5</v>
      </c>
      <c r="D67">
        <f>Concentrations!F67/Concentrations!E67</f>
        <v>1.0024868513093348</v>
      </c>
    </row>
    <row r="68" spans="1:4">
      <c r="A68">
        <f>'Mass Balance'!I68</f>
        <v>1.5572609599065062E-8</v>
      </c>
      <c r="B68">
        <f>'Mass Balance'!E68</f>
        <v>3.9942303299684391E-5</v>
      </c>
      <c r="C68">
        <f>SUM('Mass Balance'!E68:H68)</f>
        <v>3.9949196796711969E-5</v>
      </c>
      <c r="D68">
        <f>Concentrations!F68/Concentrations!E68</f>
        <v>1.0037404250867854</v>
      </c>
    </row>
    <row r="69" spans="1:4">
      <c r="A69">
        <f>'Mass Balance'!I69</f>
        <v>4.5335584968563501E-7</v>
      </c>
      <c r="B69">
        <f>'Mass Balance'!E69</f>
        <v>3.0307225527600251E-7</v>
      </c>
      <c r="C69">
        <f>SUM('Mass Balance'!E69:H69)</f>
        <v>3.4966512715511659E-5</v>
      </c>
      <c r="D69">
        <f>Concentrations!F69/Concentrations!E69</f>
        <v>8.701421803339637E-3</v>
      </c>
    </row>
    <row r="70" spans="1:4">
      <c r="A70">
        <f>'Mass Balance'!I70</f>
        <v>1.5579976044825043E-8</v>
      </c>
      <c r="B70">
        <f>'Mass Balance'!E70</f>
        <v>3.8772371015677891E-5</v>
      </c>
      <c r="C70">
        <f>SUM('Mass Balance'!E70:H70)</f>
        <v>3.998214768982763E-5</v>
      </c>
      <c r="D70">
        <f>Concentrations!F70/Concentrations!E70</f>
        <v>0.97353731667672883</v>
      </c>
    </row>
    <row r="71" spans="1:4">
      <c r="A71">
        <f>'Mass Balance'!I71</f>
        <v>1.6297306194353935E-8</v>
      </c>
      <c r="B71">
        <f>'Mass Balance'!E71</f>
        <v>3.7725440053669131E-5</v>
      </c>
      <c r="C71">
        <f>SUM('Mass Balance'!E71:H71)</f>
        <v>3.9980589645413008E-5</v>
      </c>
      <c r="D71">
        <f>Concentrations!F71/Concentrations!E71</f>
        <v>0.94728679146870576</v>
      </c>
    </row>
    <row r="72" spans="1:4">
      <c r="A72">
        <f>'Mass Balance'!I72</f>
        <v>2.4537733235236227E-7</v>
      </c>
      <c r="B72">
        <f>'Mass Balance'!E72</f>
        <v>1.548791481663637E-7</v>
      </c>
      <c r="C72">
        <f>SUM('Mass Balance'!E72:H72)</f>
        <v>3.9751118116804036E-5</v>
      </c>
      <c r="D72">
        <f>Concentrations!F72/Concentrations!E72</f>
        <v>3.911469649028069E-3</v>
      </c>
    </row>
    <row r="73" spans="1:4">
      <c r="A73">
        <f>'Mass Balance'!I73</f>
        <v>2.9315969771275683E-8</v>
      </c>
      <c r="B73">
        <f>'Mass Balance'!E73</f>
        <v>1.4433450062996409E-6</v>
      </c>
      <c r="C73">
        <f>SUM('Mass Balance'!E73:H73)</f>
        <v>3.9967829135576141E-5</v>
      </c>
      <c r="D73">
        <f>Concentrations!F73/Concentrations!E73</f>
        <v>3.6254002154393547E-2</v>
      </c>
    </row>
    <row r="74" spans="1:4">
      <c r="A74">
        <f>'Mass Balance'!I74</f>
        <v>1.6161072664299282E-8</v>
      </c>
      <c r="B74">
        <f>'Mass Balance'!E74</f>
        <v>3.7929353122807276E-5</v>
      </c>
      <c r="C74">
        <f>SUM('Mass Balance'!E74:H74)</f>
        <v>3.9980877348958437E-5</v>
      </c>
      <c r="D74">
        <f>Concentrations!F74/Concentrations!E74</f>
        <v>0.95240020044659923</v>
      </c>
    </row>
    <row r="75" spans="1:4">
      <c r="A75">
        <f>'Mass Balance'!I75</f>
        <v>2.9539244544920812E-8</v>
      </c>
      <c r="B75">
        <f>'Mass Balance'!E75</f>
        <v>1.7076349709679162E-6</v>
      </c>
      <c r="C75">
        <f>SUM('Mass Balance'!E75:H75)</f>
        <v>3.9967377574286939E-5</v>
      </c>
      <c r="D75">
        <f>Concentrations!F75/Concentrations!E75</f>
        <v>4.289293350157574E-2</v>
      </c>
    </row>
    <row r="76" spans="1:4">
      <c r="A76">
        <f>'Mass Balance'!I76</f>
        <v>2.6649868545604277E-8</v>
      </c>
      <c r="B76">
        <f>'Mass Balance'!E76</f>
        <v>1.7906402370398926E-5</v>
      </c>
      <c r="C76">
        <f>SUM('Mass Balance'!E76:H76)</f>
        <v>3.9966198534248303E-5</v>
      </c>
      <c r="D76">
        <f>Concentrations!F76/Concentrations!E76</f>
        <v>0.4497921380234377</v>
      </c>
    </row>
    <row r="77" spans="1:4">
      <c r="A77">
        <f>'Mass Balance'!I77</f>
        <v>2.938188016413274E-8</v>
      </c>
      <c r="B77">
        <f>'Mass Balance'!E77</f>
        <v>1.5145545373139367E-6</v>
      </c>
      <c r="C77">
        <f>SUM('Mass Balance'!E77:H77)</f>
        <v>3.9967690418509892E-5</v>
      </c>
      <c r="D77">
        <f>Concentrations!F77/Concentrations!E77</f>
        <v>3.8042778263146566E-2</v>
      </c>
    </row>
    <row r="78" spans="1:4">
      <c r="A78">
        <f>'Mass Balance'!I78</f>
        <v>2.0575448344195626E-7</v>
      </c>
      <c r="B78">
        <f>'Mass Balance'!E78</f>
        <v>1.7194678586723094E-7</v>
      </c>
      <c r="C78">
        <f>SUM('Mass Balance'!E78:H78)</f>
        <v>3.9790918030631864E-5</v>
      </c>
      <c r="D78">
        <f>Concentrations!F78/Concentrations!E78</f>
        <v>4.3381689881233452E-3</v>
      </c>
    </row>
    <row r="79" spans="1:4">
      <c r="A79">
        <f>'Mass Balance'!I79</f>
        <v>2.0575435218743694E-7</v>
      </c>
      <c r="B79">
        <f>'Mass Balance'!E79</f>
        <v>1.7194679927932329E-7</v>
      </c>
      <c r="C79">
        <f>SUM('Mass Balance'!E79:H79)</f>
        <v>3.979091871580597E-5</v>
      </c>
      <c r="D79">
        <f>Concentrations!F79/Concentrations!E79</f>
        <v>4.3381692518061638E-3</v>
      </c>
    </row>
    <row r="80" spans="1:4">
      <c r="A80">
        <f>'Mass Balance'!I80</f>
        <v>3.0160088191521913E-8</v>
      </c>
      <c r="B80">
        <f>'Mass Balance'!E80</f>
        <v>6.6635351928530295E-6</v>
      </c>
      <c r="C80">
        <f>SUM('Mass Balance'!E80:H80)</f>
        <v>3.99643355186175E-5</v>
      </c>
      <c r="D80">
        <f>Concentrations!F80/Concentrations!E80</f>
        <v>0.16738959617862059</v>
      </c>
    </row>
    <row r="81" spans="1:4">
      <c r="A81">
        <f>'Mass Balance'!I81</f>
        <v>1.9662579588839474E-8</v>
      </c>
      <c r="B81">
        <f>'Mass Balance'!E81</f>
        <v>3.2173126939213052E-5</v>
      </c>
      <c r="C81">
        <f>SUM('Mass Balance'!E81:H81)</f>
        <v>3.9974846565724403E-5</v>
      </c>
      <c r="D81">
        <f>Concentrations!F81/Concentrations!E81</f>
        <v>0.80798412745827097</v>
      </c>
    </row>
    <row r="82" spans="1:4">
      <c r="A82">
        <f>'Mass Balance'!I82</f>
        <v>2.3761373683245098E-8</v>
      </c>
      <c r="B82">
        <f>'Mass Balance'!E82</f>
        <v>2.4326528877933642E-5</v>
      </c>
      <c r="C82">
        <f>SUM('Mass Balance'!E82:H82)</f>
        <v>3.9969337976722113E-5</v>
      </c>
      <c r="D82">
        <f>Concentrations!F82/Concentrations!E82</f>
        <v>0.61101173560083721</v>
      </c>
    </row>
    <row r="83" spans="1:4">
      <c r="A83">
        <f>'Mass Balance'!I83</f>
        <v>3.9774256633357995E-7</v>
      </c>
      <c r="B83">
        <f>'Mass Balance'!E83</f>
        <v>1.1602136445606288E-7</v>
      </c>
      <c r="C83">
        <f>SUM('Mass Balance'!E83:H83)</f>
        <v>3.9598221373882553E-5</v>
      </c>
      <c r="D83">
        <f>Concentrations!F83/Concentrations!E83</f>
        <v>2.9414309087652823E-3</v>
      </c>
    </row>
    <row r="84" spans="1:4">
      <c r="A84">
        <f>'Mass Balance'!I84</f>
        <v>1.7980652998518958E-7</v>
      </c>
      <c r="B84">
        <f>'Mass Balance'!E84</f>
        <v>1.1318938873184434E-5</v>
      </c>
      <c r="C84">
        <f>SUM('Mass Balance'!E84:H84)</f>
        <v>2.6470371477888634E-5</v>
      </c>
      <c r="D84">
        <f>Concentrations!F84/Concentrations!E84</f>
        <v>0.4292813694373403</v>
      </c>
    </row>
    <row r="85" spans="1:4">
      <c r="A85">
        <f>'Mass Balance'!I85</f>
        <v>7.7895779171611863E-6</v>
      </c>
      <c r="B85">
        <f>'Mass Balance'!E85</f>
        <v>1.8047112516120394E-6</v>
      </c>
      <c r="C85">
        <f>SUM('Mass Balance'!E85:H85)</f>
        <v>3.1652443641369288E-5</v>
      </c>
      <c r="D85">
        <f>Concentrations!F85/Concentrations!E85</f>
        <v>5.7239633469175176E-2</v>
      </c>
    </row>
    <row r="86" spans="1:4">
      <c r="A86">
        <f>'Mass Balance'!I86</f>
        <v>1.8996219823358095E-6</v>
      </c>
      <c r="B86">
        <f>'Mass Balance'!E86</f>
        <v>1.3936548756390968E-8</v>
      </c>
      <c r="C86">
        <f>SUM('Mass Balance'!E86:H86)</f>
        <v>3.5483805299964752E-5</v>
      </c>
      <c r="D86">
        <f>Concentrations!F86/Concentrations!E86</f>
        <v>3.942951301225698E-4</v>
      </c>
    </row>
    <row r="87" spans="1:4">
      <c r="A87">
        <f>'Mass Balance'!I87</f>
        <v>2.1652805280975972E-6</v>
      </c>
      <c r="B87">
        <f>'Mass Balance'!E87</f>
        <v>4.8297868816185901E-9</v>
      </c>
      <c r="C87">
        <f>SUM('Mass Balance'!E87:H87)</f>
        <v>3.6072627469591676E-5</v>
      </c>
      <c r="D87">
        <f>Concentrations!F87/Concentrations!E87</f>
        <v>1.3441463378141346E-4</v>
      </c>
    </row>
    <row r="88" spans="1:4">
      <c r="A88">
        <f>'Mass Balance'!I88</f>
        <v>2.3551952963690194E-6</v>
      </c>
      <c r="B88">
        <f>'Mass Balance'!E88</f>
        <v>1.3563840903642964E-9</v>
      </c>
      <c r="C88">
        <f>SUM('Mass Balance'!E88:H88)</f>
        <v>3.6591051707106711E-5</v>
      </c>
      <c r="D88">
        <f>Concentrations!F88/Concentrations!E88</f>
        <v>3.721381181810586E-5</v>
      </c>
    </row>
    <row r="89" spans="1:4">
      <c r="A89">
        <f>'Mass Balance'!I89</f>
        <v>2.46786866081046E-5</v>
      </c>
      <c r="B89">
        <f>'Mass Balance'!E89</f>
        <v>3.6043817670160199E-8</v>
      </c>
      <c r="C89">
        <f>SUM('Mass Balance'!E89:H89)</f>
        <v>1.4869395398810726E-5</v>
      </c>
      <c r="D89">
        <f>Concentrations!F89/Concentrations!E89</f>
        <v>2.4335139283741215E-3</v>
      </c>
    </row>
    <row r="90" spans="1:4">
      <c r="A90">
        <f>'Mass Balance'!I90</f>
        <v>1.4970884536651873E-8</v>
      </c>
      <c r="B90">
        <f>'Mass Balance'!E90</f>
        <v>3.8931505995840683E-5</v>
      </c>
      <c r="C90">
        <f>SUM('Mass Balance'!E90:H90)</f>
        <v>3.8980457978926663E-5</v>
      </c>
      <c r="D90">
        <f>Concentrations!F90/Concentrations!E90</f>
        <v>1.0026529338867345</v>
      </c>
    </row>
    <row r="91" spans="1:4">
      <c r="A91">
        <f>'Mass Balance'!I91</f>
        <v>4.792553417665635E-8</v>
      </c>
      <c r="B91">
        <f>'Mass Balance'!E91</f>
        <v>2.8644789187779954E-5</v>
      </c>
      <c r="C91">
        <f>SUM('Mass Balance'!E91:H91)</f>
        <v>3.1461756107402697E-5</v>
      </c>
      <c r="D91">
        <f>Concentrations!F91/Concentrations!E91</f>
        <v>0.91402701646221429</v>
      </c>
    </row>
    <row r="92" spans="1:4">
      <c r="A92">
        <f>'Mass Balance'!I92</f>
        <v>2.5387008226350524E-7</v>
      </c>
      <c r="B92">
        <f>'Mass Balance'!E92</f>
        <v>5.0547004694375907E-6</v>
      </c>
      <c r="C92">
        <f>SUM('Mass Balance'!E92:H92)</f>
        <v>2.8287600588669115E-5</v>
      </c>
      <c r="D92">
        <f>Concentrations!F92/Concentrations!E92</f>
        <v>0.17938894525213359</v>
      </c>
    </row>
    <row r="93" spans="1:4">
      <c r="A93">
        <f>'Mass Balance'!I93</f>
        <v>1.4795844420794722E-8</v>
      </c>
      <c r="B93">
        <f>'Mass Balance'!E93</f>
        <v>3.9804539471180049E-5</v>
      </c>
      <c r="C93">
        <f>SUM('Mass Balance'!E93:H93)</f>
        <v>3.9979086306912563E-5</v>
      </c>
      <c r="D93">
        <f>Concentrations!F93/Concentrations!E93</f>
        <v>0.99953061655693254</v>
      </c>
    </row>
    <row r="94" spans="1:4">
      <c r="A94">
        <f>'Mass Balance'!I94</f>
        <v>1.4764974220463648E-8</v>
      </c>
      <c r="B94">
        <f>'Mass Balance'!E94</f>
        <v>3.9984400523817354E-5</v>
      </c>
      <c r="C94">
        <f>SUM('Mass Balance'!E94:H94)</f>
        <v>3.9985080240221949E-5</v>
      </c>
      <c r="D94">
        <f>Concentrations!F94/Concentrations!E94</f>
        <v>1.0038965912204807</v>
      </c>
    </row>
    <row r="95" spans="1:4">
      <c r="A95">
        <f>'Mass Balance'!I95</f>
        <v>1.6995389295324912E-8</v>
      </c>
      <c r="B95">
        <f>'Mass Balance'!E95</f>
        <v>3.7465807361612855E-5</v>
      </c>
      <c r="C95">
        <f>SUM('Mass Balance'!E95:H95)</f>
        <v>3.7667085218289535E-5</v>
      </c>
      <c r="D95">
        <f>Concentrations!F95/Concentrations!E95</f>
        <v>0.99854914344707957</v>
      </c>
    </row>
    <row r="96" spans="1:4">
      <c r="A96">
        <f>'Mass Balance'!I96</f>
        <v>1.7733914423027718E-6</v>
      </c>
      <c r="B96">
        <f>'Mass Balance'!E96</f>
        <v>2.0273337440994331E-8</v>
      </c>
      <c r="C96">
        <f>SUM('Mass Balance'!E96:H96)</f>
        <v>3.525634295711866E-5</v>
      </c>
      <c r="D96">
        <f>Concentrations!F96/Concentrations!E96</f>
        <v>5.7727712584221193E-4</v>
      </c>
    </row>
    <row r="97" spans="1:4">
      <c r="A97">
        <f>'Mass Balance'!I97</f>
        <v>7.4892247212634217E-8</v>
      </c>
      <c r="B97">
        <f>'Mass Balance'!E97</f>
        <v>2.3967173315899128E-5</v>
      </c>
      <c r="C97">
        <f>SUM('Mass Balance'!E97:H97)</f>
        <v>2.9147787293587562E-5</v>
      </c>
      <c r="D97">
        <f>Concentrations!F97/Concentrations!E97</f>
        <v>0.82548196091787929</v>
      </c>
    </row>
    <row r="98" spans="1:4">
      <c r="A98">
        <f>'Mass Balance'!I98</f>
        <v>5.2069799297388359E-8</v>
      </c>
      <c r="B98">
        <f>'Mass Balance'!E98</f>
        <v>2.7850544171471809E-5</v>
      </c>
      <c r="C98">
        <f>SUM('Mass Balance'!E98:H98)</f>
        <v>3.1025083214819572E-5</v>
      </c>
      <c r="D98">
        <f>Concentrations!F98/Concentrations!E98</f>
        <v>0.90119151188221702</v>
      </c>
    </row>
    <row r="99" spans="1:4">
      <c r="A99">
        <f>'Mass Balance'!I99</f>
        <v>2.3751463125875615E-8</v>
      </c>
      <c r="B99">
        <f>'Mass Balance'!E99</f>
        <v>3.4520288724262605E-5</v>
      </c>
      <c r="C99">
        <f>SUM('Mass Balance'!E99:H99)</f>
        <v>3.5296913087975674E-5</v>
      </c>
      <c r="D99">
        <f>Concentrations!F99/Concentrations!E99</f>
        <v>0.98182493204176757</v>
      </c>
    </row>
    <row r="100" spans="1:4">
      <c r="A100">
        <f>'Mass Balance'!I100</f>
        <v>8.7158059220856943E-7</v>
      </c>
      <c r="B100">
        <f>'Mass Balance'!E100</f>
        <v>1.3297234628785035E-7</v>
      </c>
      <c r="C100">
        <f>SUM('Mass Balance'!E100:H100)</f>
        <v>3.4543082197550013E-5</v>
      </c>
      <c r="D100">
        <f>Concentrations!F100/Concentrations!E100</f>
        <v>3.8645293340741379E-3</v>
      </c>
    </row>
    <row r="101" spans="1:4">
      <c r="A101">
        <f>'Mass Balance'!I101</f>
        <v>2.2813235738701059E-7</v>
      </c>
      <c r="B101">
        <f>'Mass Balance'!E101</f>
        <v>7.0488233853062666E-6</v>
      </c>
      <c r="C101">
        <f>SUM('Mass Balance'!E101:H101)</f>
        <v>2.7319658810978333E-5</v>
      </c>
      <c r="D101">
        <f>Concentrations!F101/Concentrations!E101</f>
        <v>0.25902263682185789</v>
      </c>
    </row>
    <row r="102" spans="1:4">
      <c r="A102">
        <f>'Mass Balance'!I102</f>
        <v>3.0670169445153385E-7</v>
      </c>
      <c r="B102">
        <f>'Mass Balance'!E102</f>
        <v>1.5490472540528915E-6</v>
      </c>
      <c r="C102">
        <f>SUM('Mass Balance'!E102:H102)</f>
        <v>3.2122810362805656E-5</v>
      </c>
      <c r="D102">
        <f>Concentrations!F102/Concentrations!E102</f>
        <v>4.8411383565722318E-2</v>
      </c>
    </row>
    <row r="103" spans="1:4">
      <c r="A103">
        <f>'Mass Balance'!I103</f>
        <v>1.7543679875999312E-8</v>
      </c>
      <c r="B103">
        <f>'Mass Balance'!E103</f>
        <v>3.5776643605312007E-5</v>
      </c>
      <c r="C103">
        <f>SUM('Mass Balance'!E103:H103)</f>
        <v>3.9977746449173164E-5</v>
      </c>
      <c r="D103">
        <f>Concentrations!F103/Concentrations!E103</f>
        <v>0.89841635177396062</v>
      </c>
    </row>
    <row r="104" spans="1:4">
      <c r="A104">
        <f>'Mass Balance'!I104</f>
        <v>4.2974438588139212E-8</v>
      </c>
      <c r="B104">
        <f>'Mass Balance'!E104</f>
        <v>4.4384973551998637E-7</v>
      </c>
      <c r="C104">
        <f>SUM('Mass Balance'!E104:H104)</f>
        <v>3.992930794880175E-5</v>
      </c>
      <c r="D104">
        <f>Concentrations!F104/Concentrations!E104</f>
        <v>1.1159392286885955E-2</v>
      </c>
    </row>
    <row r="105" spans="1:4">
      <c r="A105">
        <f>'Mass Balance'!I105</f>
        <v>1.5059179615250253E-8</v>
      </c>
      <c r="B105">
        <f>'Mass Balance'!E105</f>
        <v>3.8726686329468777E-5</v>
      </c>
      <c r="C105">
        <f>SUM('Mass Balance'!E105:H105)</f>
        <v>3.8781180278422121E-5</v>
      </c>
      <c r="D105">
        <f>Concentrations!F105/Concentrations!E105</f>
        <v>1.0025029928797253</v>
      </c>
    </row>
    <row r="106" spans="1:4">
      <c r="A106">
        <f>'Mass Balance'!I106</f>
        <v>1.716449407114046E-8</v>
      </c>
      <c r="B106">
        <f>'Mass Balance'!E106</f>
        <v>3.7340915041030453E-5</v>
      </c>
      <c r="C106">
        <f>SUM('Mass Balance'!E106:H106)</f>
        <v>3.7558817182181767E-5</v>
      </c>
      <c r="D106">
        <f>Concentrations!F106/Concentrations!E106</f>
        <v>0.99808932727434763</v>
      </c>
    </row>
    <row r="107" spans="1:4">
      <c r="A107">
        <f>'Mass Balance'!I107</f>
        <v>3.8246436284202819E-7</v>
      </c>
      <c r="B107">
        <f>'Mass Balance'!E107</f>
        <v>8.3266372751273658E-7</v>
      </c>
      <c r="C107">
        <f>SUM('Mass Balance'!E107:H107)</f>
        <v>3.4151793506345882E-5</v>
      </c>
      <c r="D107">
        <f>Concentrations!F107/Concentrations!E107</f>
        <v>2.447667902371253E-2</v>
      </c>
    </row>
    <row r="108" spans="1:4">
      <c r="A108">
        <f>'Mass Balance'!I108</f>
        <v>1.4697354243136946E-8</v>
      </c>
      <c r="B108">
        <f>'Mass Balance'!E108</f>
        <v>3.9982717979307651E-5</v>
      </c>
      <c r="C108">
        <f>SUM('Mass Balance'!E108:H108)</f>
        <v>3.9983079758323399E-5</v>
      </c>
      <c r="D108">
        <f>Concentrations!F108/Concentrations!E108</f>
        <v>1.003904573285616</v>
      </c>
    </row>
    <row r="109" spans="1:4">
      <c r="A109">
        <f>'Mass Balance'!I109</f>
        <v>2.4798727810593064E-7</v>
      </c>
      <c r="B109">
        <f>'Mass Balance'!E109</f>
        <v>3.6618517314515485E-5</v>
      </c>
      <c r="C109">
        <f>SUM('Mass Balance'!E109:H109)</f>
        <v>3.9027193662525169E-5</v>
      </c>
      <c r="D109">
        <f>Concentrations!F109/Concentrations!E109</f>
        <v>0.94195421656590006</v>
      </c>
    </row>
    <row r="110" spans="1:4">
      <c r="A110">
        <f>'Mass Balance'!I110</f>
        <v>1.4639166662189758E-8</v>
      </c>
      <c r="B110">
        <f>'Mass Balance'!E110</f>
        <v>3.972446676679398E-5</v>
      </c>
      <c r="C110">
        <f>SUM('Mass Balance'!E110:H110)</f>
        <v>3.9735177250173996E-5</v>
      </c>
      <c r="D110">
        <f>Concentrations!F110/Concentrations!E110</f>
        <v>1.0036430554508318</v>
      </c>
    </row>
    <row r="111" spans="1:4">
      <c r="A111">
        <f>'Mass Balance'!I111</f>
        <v>1.4627611201413589E-8</v>
      </c>
      <c r="B111">
        <f>'Mass Balance'!E111</f>
        <v>3.9984508212826317E-5</v>
      </c>
      <c r="C111">
        <f>SUM('Mass Balance'!E111:H111)</f>
        <v>3.9985147670772045E-5</v>
      </c>
      <c r="D111">
        <f>Concentrations!F111/Concentrations!E111</f>
        <v>1.0038976020249863</v>
      </c>
    </row>
    <row r="112" spans="1:4">
      <c r="A112">
        <f>'Mass Balance'!I112</f>
        <v>1.4590089742042276E-8</v>
      </c>
      <c r="B112">
        <f>'Mass Balance'!E112</f>
        <v>3.9656746989049536E-5</v>
      </c>
      <c r="C112">
        <f>SUM('Mass Balance'!E112:H112)</f>
        <v>3.966129661467521E-5</v>
      </c>
      <c r="D112">
        <f>Concentrations!F112/Concentrations!E112</f>
        <v>1.0037984960831403</v>
      </c>
    </row>
    <row r="113" spans="1:4">
      <c r="A113">
        <f>'Mass Balance'!I113</f>
        <v>1.5812167610142181E-8</v>
      </c>
      <c r="B113">
        <f>'Mass Balance'!E113</f>
        <v>3.8045910537797605E-5</v>
      </c>
      <c r="C113">
        <f>SUM('Mass Balance'!E113:H113)</f>
        <v>3.8166087818175705E-5</v>
      </c>
      <c r="D113">
        <f>Concentrations!F113/Concentrations!E113</f>
        <v>1.0007525362272784</v>
      </c>
    </row>
    <row r="114" spans="1:4">
      <c r="A114">
        <f>'Mass Balance'!I114</f>
        <v>1.4590797910491319E-8</v>
      </c>
      <c r="B114">
        <f>'Mass Balance'!E114</f>
        <v>3.9816000603697484E-5</v>
      </c>
      <c r="C114">
        <f>SUM('Mass Balance'!E114:H114)</f>
        <v>3.9817358456793736E-5</v>
      </c>
      <c r="D114">
        <f>Concentrations!F114/Concentrations!E114</f>
        <v>1.0038794214981379</v>
      </c>
    </row>
    <row r="115" spans="1:4">
      <c r="A115">
        <f>'Mass Balance'!I115</f>
        <v>1.5501159716425882E-8</v>
      </c>
      <c r="B115">
        <f>'Mass Balance'!E115</f>
        <v>3.8883989594518384E-5</v>
      </c>
      <c r="C115">
        <f>SUM('Mass Balance'!E115:H115)</f>
        <v>3.9981792584237379E-5</v>
      </c>
      <c r="D115">
        <f>Concentrations!F115/Concentrations!E115</f>
        <v>0.97634862444837534</v>
      </c>
    </row>
    <row r="116" spans="1:4">
      <c r="A116">
        <f>'Mass Balance'!I116</f>
        <v>2.4918082169274127E-6</v>
      </c>
      <c r="B116">
        <f>'Mass Balance'!E116</f>
        <v>5.0535390610734658E-6</v>
      </c>
      <c r="C116">
        <f>SUM('Mass Balance'!E116:H116)</f>
        <v>3.6783795425237385E-5</v>
      </c>
      <c r="D116">
        <f>Concentrations!F116/Concentrations!E116</f>
        <v>0.13792260480320315</v>
      </c>
    </row>
    <row r="117" spans="1:4">
      <c r="A117">
        <f>'Mass Balance'!I117</f>
        <v>1.1158827665984043E-7</v>
      </c>
      <c r="B117">
        <f>'Mass Balance'!E117</f>
        <v>1.883988849419399E-5</v>
      </c>
      <c r="C117">
        <f>SUM('Mass Balance'!E117:H117)</f>
        <v>2.736542013966098E-5</v>
      </c>
      <c r="D117">
        <f>Concentrations!F117/Concentrations!E117</f>
        <v>0.69115041023160828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0.97278712429973857</v>
      </c>
      <c r="M2" s="115">
        <v>0.88312748924835538</v>
      </c>
      <c r="N2" s="115">
        <v>1.139909407765072</v>
      </c>
      <c r="O2" s="115">
        <v>0.81338180386161019</v>
      </c>
      <c r="P2" s="115">
        <v>0.94139494090125808</v>
      </c>
      <c r="Q2" s="111">
        <v>0.8133818038616103</v>
      </c>
      <c r="R2" s="68">
        <v>0.94139494090125819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0.53480562278304022</v>
      </c>
      <c r="M3" s="115">
        <v>8.3788496680445004</v>
      </c>
      <c r="N3" s="115">
        <v>241.58804871660845</v>
      </c>
      <c r="O3" s="115">
        <v>2.3934193891033617</v>
      </c>
      <c r="P3" s="115">
        <v>2.2175581986290411</v>
      </c>
      <c r="Q3" s="111">
        <v>2.3934193891033617</v>
      </c>
      <c r="R3" s="68">
        <v>2.2175581986290411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1.1011574650019995</v>
      </c>
      <c r="M4" s="115">
        <v>1.0368719365753496</v>
      </c>
      <c r="N4" s="115">
        <v>3.0591508073974771</v>
      </c>
      <c r="O4" s="115">
        <v>0.82783765841956147</v>
      </c>
      <c r="P4" s="115">
        <v>0.96221372661208027</v>
      </c>
      <c r="Q4" s="111">
        <v>0.82783765841956147</v>
      </c>
      <c r="R4" s="68">
        <v>0.96221372661208027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0.54838239743322603</v>
      </c>
      <c r="M5" s="115">
        <v>1.482907709247379</v>
      </c>
      <c r="N5" s="115">
        <v>44.988295793423063</v>
      </c>
      <c r="O5" s="115">
        <v>2.6256984003355663</v>
      </c>
      <c r="P5" s="115">
        <v>4.2925796137019514</v>
      </c>
      <c r="Q5" s="111">
        <v>2.6256984003355663</v>
      </c>
      <c r="R5" s="68">
        <v>4.2925796137019514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0.32488272582117961</v>
      </c>
      <c r="M6" s="115">
        <v>1.7172496978511249</v>
      </c>
      <c r="N6" s="115">
        <v>63.947477421286074</v>
      </c>
      <c r="O6" s="115">
        <v>3.505872048424798</v>
      </c>
      <c r="P6" s="115">
        <v>5.9316957316867844</v>
      </c>
      <c r="Q6" s="111">
        <v>3.505872048424798</v>
      </c>
      <c r="R6" s="68">
        <v>5.9316957316867844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0.10794534947756618</v>
      </c>
      <c r="M7" s="115">
        <v>2.0381286813938138</v>
      </c>
      <c r="N7" s="115">
        <v>84.321390968026719</v>
      </c>
      <c r="O7" s="115">
        <v>4.3633252467202848</v>
      </c>
      <c r="P7" s="115">
        <v>7.4885202266602588</v>
      </c>
      <c r="Q7" s="111">
        <v>4.3633252467202848</v>
      </c>
      <c r="R7" s="68">
        <v>7.4885202266602588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0.23044998743545256</v>
      </c>
      <c r="M8" s="115">
        <v>1.7735179227609257</v>
      </c>
      <c r="N8" s="115">
        <v>70.25825705573773</v>
      </c>
      <c r="O8" s="115">
        <v>3.8741750270151334</v>
      </c>
      <c r="P8" s="115">
        <v>6.6273905539953377</v>
      </c>
      <c r="Q8" s="111">
        <v>3.8741750270151334</v>
      </c>
      <c r="R8" s="68">
        <v>6.6273905539953377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0.61458332140612937</v>
      </c>
      <c r="M9" s="115">
        <v>1.4223484803541853</v>
      </c>
      <c r="N9" s="115">
        <v>39.5260877340028</v>
      </c>
      <c r="O9" s="115">
        <v>2.3623554962763551</v>
      </c>
      <c r="P9" s="115">
        <v>3.7981553567187647</v>
      </c>
      <c r="Q9" s="111">
        <v>2.3623554962763551</v>
      </c>
      <c r="R9" s="68">
        <v>3.7981553567187647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1.0307903325665911E-2</v>
      </c>
      <c r="M10" s="115">
        <v>19.635403413018953</v>
      </c>
      <c r="N10" s="115">
        <v>683.18813937839627</v>
      </c>
      <c r="O10" s="115">
        <v>7.4024820018271127</v>
      </c>
      <c r="P10" s="115">
        <v>7.5515619599406341</v>
      </c>
      <c r="Q10" s="111">
        <v>7.4024820018271127</v>
      </c>
      <c r="R10" s="68">
        <v>7.5515619599406349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5.9039745548663842E-4</v>
      </c>
      <c r="M11" s="115">
        <v>127.30174059515294</v>
      </c>
      <c r="N11" s="115">
        <v>5107.3562415245324</v>
      </c>
      <c r="O11" s="115">
        <v>20.732546847572486</v>
      </c>
      <c r="P11" s="115">
        <v>9.5166766012612829</v>
      </c>
      <c r="Q11" s="111">
        <v>20.73254684757249</v>
      </c>
      <c r="R11" s="68">
        <v>9.5166766012612829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0.9180304369052813</v>
      </c>
      <c r="M12" s="115">
        <v>0.80369769115974843</v>
      </c>
      <c r="N12" s="115">
        <v>6.1587622069242016E-2</v>
      </c>
      <c r="O12" s="115">
        <v>0.75877136163300896</v>
      </c>
      <c r="P12" s="115">
        <v>0.8817191508713621</v>
      </c>
      <c r="Q12" s="111">
        <v>0.75877136163300896</v>
      </c>
      <c r="R12" s="68">
        <v>0.88171915087136221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0.52479057550525154</v>
      </c>
      <c r="M13" s="115">
        <v>5.6918748434872866</v>
      </c>
      <c r="N13" s="115">
        <v>180.12686945345473</v>
      </c>
      <c r="O13" s="115">
        <v>2.1643727113825566</v>
      </c>
      <c r="P13" s="115">
        <v>2.0458683666941564</v>
      </c>
      <c r="Q13" s="111">
        <v>2.1643727113825566</v>
      </c>
      <c r="R13" s="68">
        <v>2.0458683666941564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8.8312256733413287E-3</v>
      </c>
      <c r="M14" s="115">
        <v>3.8055527219854248</v>
      </c>
      <c r="N14" s="115">
        <v>167.67287793656001</v>
      </c>
      <c r="O14" s="115">
        <v>4.9588133839667847</v>
      </c>
      <c r="P14" s="115">
        <v>8.3077821865444097</v>
      </c>
      <c r="Q14" s="111">
        <v>4.9588133839667856</v>
      </c>
      <c r="R14" s="68">
        <v>8.3077821865444097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0.76183355277681286</v>
      </c>
      <c r="M15" s="115">
        <v>1.5123570239821877</v>
      </c>
      <c r="N15" s="115">
        <v>29.059642052838974</v>
      </c>
      <c r="O15" s="115">
        <v>0.89499080946844789</v>
      </c>
      <c r="P15" s="115">
        <v>0.95306455175945304</v>
      </c>
      <c r="Q15" s="111">
        <v>0.89499080946844789</v>
      </c>
      <c r="R15" s="68">
        <v>0.95306455175945315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0.48945183500094214</v>
      </c>
      <c r="M16" s="115">
        <v>6.3106552546309169</v>
      </c>
      <c r="N16" s="115">
        <v>202.55852311130005</v>
      </c>
      <c r="O16" s="115">
        <v>2.3589873226480353</v>
      </c>
      <c r="P16" s="115">
        <v>2.220793551206635</v>
      </c>
      <c r="Q16" s="111">
        <v>2.3589873226480353</v>
      </c>
      <c r="R16" s="68">
        <v>2.220793551206635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0.51070717073857796</v>
      </c>
      <c r="M17" s="115">
        <v>5.9085327597769055</v>
      </c>
      <c r="N17" s="115">
        <v>188.03205183894443</v>
      </c>
      <c r="O17" s="115">
        <v>2.2315689498167686</v>
      </c>
      <c r="P17" s="115">
        <v>2.1058610625454599</v>
      </c>
      <c r="Q17" s="111">
        <v>2.231568949816769</v>
      </c>
      <c r="R17" s="68">
        <v>2.1058610625454603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6.3957453545188711E-4</v>
      </c>
      <c r="M18" s="115">
        <v>100.3802846906466</v>
      </c>
      <c r="N18" s="115">
        <v>3527.5770345151977</v>
      </c>
      <c r="O18" s="115">
        <v>21.275073906968231</v>
      </c>
      <c r="P18" s="115">
        <v>9.113211154836705</v>
      </c>
      <c r="Q18" s="111">
        <v>21.275073906968231</v>
      </c>
      <c r="R18" s="68">
        <v>9.113211154836705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0.90157574778997918</v>
      </c>
      <c r="M19" s="115">
        <v>1.0853012431863671</v>
      </c>
      <c r="N19" s="115">
        <v>10.204785677674433</v>
      </c>
      <c r="O19" s="115">
        <v>0.83562998342363271</v>
      </c>
      <c r="P19" s="115">
        <v>0.9386374573027445</v>
      </c>
      <c r="Q19" s="111">
        <v>0.83562998342363271</v>
      </c>
      <c r="R19" s="68">
        <v>0.93863745730274462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0.86094292936986538</v>
      </c>
      <c r="M20" s="115">
        <v>1.2616747548818892</v>
      </c>
      <c r="N20" s="115">
        <v>17.47682751559573</v>
      </c>
      <c r="O20" s="115">
        <v>0.86873979450628058</v>
      </c>
      <c r="P20" s="115">
        <v>0.95549184002239507</v>
      </c>
      <c r="Q20" s="111">
        <v>0.86873979450628069</v>
      </c>
      <c r="R20" s="68">
        <v>0.95549184002239507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0.1061920234326776</v>
      </c>
      <c r="M21" s="115">
        <v>6.0500022830313522</v>
      </c>
      <c r="N21" s="115">
        <v>218.67658143119854</v>
      </c>
      <c r="O21" s="115">
        <v>4.6516214452579376</v>
      </c>
      <c r="P21" s="115">
        <v>6.8356670814999747</v>
      </c>
      <c r="Q21" s="111">
        <v>4.6516214452579376</v>
      </c>
      <c r="R21" s="68">
        <v>6.8356670814999747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0.90082986000810383</v>
      </c>
      <c r="M22" s="115">
        <v>0.84102543689112308</v>
      </c>
      <c r="N22" s="115">
        <v>1.8504243549168777</v>
      </c>
      <c r="O22" s="115">
        <v>0.76015138804691396</v>
      </c>
      <c r="P22" s="115">
        <v>0.87715800156415347</v>
      </c>
      <c r="Q22" s="111">
        <v>0.76015138804691407</v>
      </c>
      <c r="R22" s="68">
        <v>0.87715800156415347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0.7226724057370697</v>
      </c>
      <c r="M23" s="115">
        <v>2.0378991928576839</v>
      </c>
      <c r="N23" s="115">
        <v>48.294237610649915</v>
      </c>
      <c r="O23" s="115">
        <v>1.0441650843189441</v>
      </c>
      <c r="P23" s="115">
        <v>1.0733537794101884</v>
      </c>
      <c r="Q23" s="111">
        <v>1.0441650843189441</v>
      </c>
      <c r="R23" s="68">
        <v>1.0733537794101884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0.3785962705610762</v>
      </c>
      <c r="M24" s="115">
        <v>8.4870241801273867</v>
      </c>
      <c r="N24" s="115">
        <v>281.1539002462676</v>
      </c>
      <c r="O24" s="115">
        <v>3.0623113404410001</v>
      </c>
      <c r="P24" s="115">
        <v>2.8681352878827568</v>
      </c>
      <c r="Q24" s="111">
        <v>3.0623113404410001</v>
      </c>
      <c r="R24" s="68">
        <v>2.8681352878827568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8.9281056043963617E-4</v>
      </c>
      <c r="M25" s="115">
        <v>92.05079410973309</v>
      </c>
      <c r="N25" s="115">
        <v>3231.9667521491247</v>
      </c>
      <c r="O25" s="115">
        <v>19.839123959295769</v>
      </c>
      <c r="P25" s="115">
        <v>8.9088454074328496</v>
      </c>
      <c r="Q25" s="111">
        <v>19.839123959295772</v>
      </c>
      <c r="R25" s="68">
        <v>8.9088454074328496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0.13609175756795674</v>
      </c>
      <c r="M26" s="115">
        <v>12.294912541886427</v>
      </c>
      <c r="N26" s="115">
        <v>420.99877583917942</v>
      </c>
      <c r="O26" s="115">
        <v>4.3713792917346321</v>
      </c>
      <c r="P26" s="115">
        <v>4.1698999726031127</v>
      </c>
      <c r="Q26" s="111">
        <v>4.3713792917346321</v>
      </c>
      <c r="R26" s="68">
        <v>4.1698999726031136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1.6122209099324228E-2</v>
      </c>
      <c r="M27" s="115">
        <v>7.2346106209929824</v>
      </c>
      <c r="N27" s="115">
        <v>250.54515084901604</v>
      </c>
      <c r="O27" s="115">
        <v>2.6547067784187615</v>
      </c>
      <c r="P27" s="115">
        <v>2.6346197462444643</v>
      </c>
      <c r="Q27" s="111">
        <v>2.6547067784187615</v>
      </c>
      <c r="R27" s="68">
        <v>2.6346197462444647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2.9170215652536618E-2</v>
      </c>
      <c r="M28" s="115">
        <v>3.5605381262037326</v>
      </c>
      <c r="N28" s="115">
        <v>122.30969682339799</v>
      </c>
      <c r="O28" s="115">
        <v>1.2707552324056659</v>
      </c>
      <c r="P28" s="115">
        <v>1.2204154322782119</v>
      </c>
      <c r="Q28" s="111">
        <v>1.2707552324056659</v>
      </c>
      <c r="R28" s="68">
        <v>1.2204154322782119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5.9142572357364843E-2</v>
      </c>
      <c r="M29" s="115">
        <v>9.5874319180025022E-2</v>
      </c>
      <c r="N29" s="115">
        <v>1.5165261297617203</v>
      </c>
      <c r="O29" s="115">
        <v>6.2596727483146528E-2</v>
      </c>
      <c r="P29" s="115">
        <v>6.8106697066987756E-2</v>
      </c>
      <c r="Q29" s="111">
        <v>6.2596727483146528E-2</v>
      </c>
      <c r="R29" s="68">
        <v>6.810669706698777E-2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1.2008320229139472E-2</v>
      </c>
      <c r="M30" s="115">
        <v>1.367326291187251</v>
      </c>
      <c r="N30" s="115">
        <v>46.938060957579026</v>
      </c>
      <c r="O30" s="115">
        <v>0.48750842451549831</v>
      </c>
      <c r="P30" s="115">
        <v>0.46744408175503993</v>
      </c>
      <c r="Q30" s="111">
        <v>0.48750842451549831</v>
      </c>
      <c r="R30" s="68">
        <v>0.46744408175503993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4.4893687636181074E-4</v>
      </c>
      <c r="M31" s="115">
        <v>2.3872623894789599E-2</v>
      </c>
      <c r="N31" s="115">
        <v>0.81091180505243865</v>
      </c>
      <c r="O31" s="115">
        <v>8.4681602060831581E-3</v>
      </c>
      <c r="P31" s="115">
        <v>7.995514885624732E-3</v>
      </c>
      <c r="Q31" s="111">
        <v>8.4681602060831581E-3</v>
      </c>
      <c r="R31" s="68">
        <v>7.9955148856247337E-3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0.56217106197149969</v>
      </c>
      <c r="M32" s="115">
        <v>5.0350933266038638</v>
      </c>
      <c r="N32" s="115">
        <v>156.33748901782528</v>
      </c>
      <c r="O32" s="115">
        <v>1.9595369946076111</v>
      </c>
      <c r="P32" s="115">
        <v>1.8636263556336063</v>
      </c>
      <c r="Q32" s="111">
        <v>1.9595369946076111</v>
      </c>
      <c r="R32" s="68">
        <v>1.8636263556336063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0.71063914586601362</v>
      </c>
      <c r="M33" s="115">
        <v>2.932247772755125</v>
      </c>
      <c r="N33" s="115">
        <v>79.411618171025808</v>
      </c>
      <c r="O33" s="115">
        <v>1.3310195356873158</v>
      </c>
      <c r="P33" s="115">
        <v>1.32354732927104</v>
      </c>
      <c r="Q33" s="111">
        <v>1.3310195356873158</v>
      </c>
      <c r="R33" s="68">
        <v>1.32354732927104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0.17373999267443305</v>
      </c>
      <c r="M34" s="115">
        <v>13.664747748534356</v>
      </c>
      <c r="N34" s="115">
        <v>467.0819277075064</v>
      </c>
      <c r="O34" s="115">
        <v>4.8524903728569821</v>
      </c>
      <c r="P34" s="115">
        <v>4.6153400340317576</v>
      </c>
      <c r="Q34" s="111">
        <v>4.8524903728569821</v>
      </c>
      <c r="R34" s="68">
        <v>4.6153400340317576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2.0680775879384751E-2</v>
      </c>
      <c r="M35" s="115">
        <v>18.674760671136887</v>
      </c>
      <c r="N35" s="115">
        <v>648.36877537577413</v>
      </c>
      <c r="O35" s="115">
        <v>6.983961612189356</v>
      </c>
      <c r="P35" s="115">
        <v>7.0602666326760541</v>
      </c>
      <c r="Q35" s="111">
        <v>6.983961612189356</v>
      </c>
      <c r="R35" s="68">
        <v>7.0602666326760541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4.5800679207166246E-3</v>
      </c>
      <c r="M36" s="115">
        <v>41.669151431697678</v>
      </c>
      <c r="N36" s="115">
        <v>1455.3002570651067</v>
      </c>
      <c r="O36" s="115">
        <v>11.161461436916762</v>
      </c>
      <c r="P36" s="115">
        <v>7.8651900511269037</v>
      </c>
      <c r="Q36" s="111">
        <v>11.161461436916763</v>
      </c>
      <c r="R36" s="68">
        <v>7.8651900511269046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7.0096565293771616E-4</v>
      </c>
      <c r="M37" s="115">
        <v>97.895430242397566</v>
      </c>
      <c r="N37" s="115">
        <v>3439.4000837816379</v>
      </c>
      <c r="O37" s="115">
        <v>20.837486294588349</v>
      </c>
      <c r="P37" s="115">
        <v>9.0356893424422626</v>
      </c>
      <c r="Q37" s="111">
        <v>20.837486294588349</v>
      </c>
      <c r="R37" s="68">
        <v>9.0356893424422644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2.5168543207773736E-3</v>
      </c>
      <c r="M38" s="115">
        <v>61.033781501288637</v>
      </c>
      <c r="N38" s="115">
        <v>2136.2564439780963</v>
      </c>
      <c r="O38" s="115">
        <v>14.491675475605154</v>
      </c>
      <c r="P38" s="115">
        <v>8.2268228717580758</v>
      </c>
      <c r="Q38" s="111">
        <v>14.491675475605156</v>
      </c>
      <c r="R38" s="68">
        <v>8.2268228717580758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3.7878361952188148E-3</v>
      </c>
      <c r="M39" s="115">
        <v>45.601475055446883</v>
      </c>
      <c r="N39" s="115">
        <v>1593.6403659820601</v>
      </c>
      <c r="O39" s="115">
        <v>11.730115840000474</v>
      </c>
      <c r="P39" s="115">
        <v>7.7444629894586381</v>
      </c>
      <c r="Q39" s="111">
        <v>11.730115840000474</v>
      </c>
      <c r="R39" s="68">
        <v>7.744462989458639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2.5168543207773736E-3</v>
      </c>
      <c r="M40" s="115">
        <v>61.033781501288637</v>
      </c>
      <c r="N40" s="115">
        <v>2136.2564439780963</v>
      </c>
      <c r="O40" s="115">
        <v>14.491675475605154</v>
      </c>
      <c r="P40" s="115">
        <v>8.2268228717580758</v>
      </c>
      <c r="Q40" s="111">
        <v>14.491675475605156</v>
      </c>
      <c r="R40" s="68">
        <v>8.2268228717580758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0.95198918726347592</v>
      </c>
      <c r="M41" s="115">
        <v>0.9534795480282543</v>
      </c>
      <c r="N41" s="115">
        <v>5.4756087339864372</v>
      </c>
      <c r="O41" s="115">
        <v>1.0086710351325294</v>
      </c>
      <c r="P41" s="115">
        <v>1.2953103684748934</v>
      </c>
      <c r="Q41" s="111">
        <v>1.0086710351325294</v>
      </c>
      <c r="R41" s="68">
        <v>1.2953103684748934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6.3734754314296606E-4</v>
      </c>
      <c r="M42" s="115">
        <v>100.03076151612649</v>
      </c>
      <c r="N42" s="115">
        <v>3515.2940456068895</v>
      </c>
      <c r="O42" s="115">
        <v>21.20099430664601</v>
      </c>
      <c r="P42" s="115">
        <v>9.0814790422736937</v>
      </c>
      <c r="Q42" s="111">
        <v>21.20099430664601</v>
      </c>
      <c r="R42" s="68">
        <v>9.0814790422736937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0.35347438043374524</v>
      </c>
      <c r="M43" s="115">
        <v>9.0686191462066503</v>
      </c>
      <c r="N43" s="115">
        <v>302.04597550520498</v>
      </c>
      <c r="O43" s="115">
        <v>3.2554604579475503</v>
      </c>
      <c r="P43" s="115">
        <v>3.0497054010101041</v>
      </c>
      <c r="Q43" s="111">
        <v>3.2554604579475503</v>
      </c>
      <c r="R43" s="68">
        <v>3.0497054010101046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6.8782967640463573E-3</v>
      </c>
      <c r="M44" s="115">
        <v>29.652342866732074</v>
      </c>
      <c r="N44" s="115">
        <v>1033.8222253097667</v>
      </c>
      <c r="O44" s="115">
        <v>9.1060083576811248</v>
      </c>
      <c r="P44" s="115">
        <v>7.6782558827338425</v>
      </c>
      <c r="Q44" s="111">
        <v>9.1060083576811266</v>
      </c>
      <c r="R44" s="68">
        <v>7.6782558827338434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2.8545920202765898E-4</v>
      </c>
      <c r="M45" s="115">
        <v>116.67475091981979</v>
      </c>
      <c r="N45" s="115">
        <v>4108.5100434547094</v>
      </c>
      <c r="O45" s="115">
        <v>24.074197092778054</v>
      </c>
      <c r="P45" s="115">
        <v>9.5365064493774412</v>
      </c>
      <c r="Q45" s="111">
        <v>24.074197092778054</v>
      </c>
      <c r="R45" s="68">
        <v>9.5365064493774412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5.7053366939741165E-4</v>
      </c>
      <c r="M46" s="115">
        <v>103.00744218761497</v>
      </c>
      <c r="N46" s="115">
        <v>3620.97796554772</v>
      </c>
      <c r="O46" s="115">
        <v>21.727265189928822</v>
      </c>
      <c r="P46" s="115">
        <v>9.1789490722759908</v>
      </c>
      <c r="Q46" s="111">
        <v>21.727265189928822</v>
      </c>
      <c r="R46" s="68">
        <v>9.1789490722759908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1.2722538796993267E-3</v>
      </c>
      <c r="M47" s="115">
        <v>82.239162630193519</v>
      </c>
      <c r="N47" s="115">
        <v>2884.588254054217</v>
      </c>
      <c r="O47" s="115">
        <v>18.147314310813627</v>
      </c>
      <c r="P47" s="115">
        <v>8.6805371176706547</v>
      </c>
      <c r="Q47" s="111">
        <v>18.147314310813627</v>
      </c>
      <c r="R47" s="68">
        <v>8.6805371176706547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5.9229179695858412E-2</v>
      </c>
      <c r="M48" s="115">
        <v>17.47813963649152</v>
      </c>
      <c r="N48" s="115">
        <v>604.11820708722462</v>
      </c>
      <c r="O48" s="115">
        <v>6.3475767480393088</v>
      </c>
      <c r="P48" s="115">
        <v>6.2310906945436964</v>
      </c>
      <c r="Q48" s="111">
        <v>6.3475767480393088</v>
      </c>
      <c r="R48" s="68">
        <v>6.2310906945436972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6.3930087437484382E-3</v>
      </c>
      <c r="M49" s="115">
        <v>31.702874604676587</v>
      </c>
      <c r="N49" s="115">
        <v>1105.6799546332486</v>
      </c>
      <c r="O49" s="115">
        <v>9.4566154642161191</v>
      </c>
      <c r="P49" s="115">
        <v>7.7089131252046617</v>
      </c>
      <c r="Q49" s="111">
        <v>9.4566154642161209</v>
      </c>
      <c r="R49" s="68">
        <v>7.7089131252046617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5.6411708417821622E-3</v>
      </c>
      <c r="M50" s="115">
        <v>35.32847502637464</v>
      </c>
      <c r="N50" s="115">
        <v>1232.7983590364506</v>
      </c>
      <c r="O50" s="115">
        <v>10.076225583137182</v>
      </c>
      <c r="P50" s="115">
        <v>7.7635975413733807</v>
      </c>
      <c r="Q50" s="111">
        <v>10.076225583137182</v>
      </c>
      <c r="R50" s="68">
        <v>7.7635975413733815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3.8008506394658741E-2</v>
      </c>
      <c r="M51" s="115">
        <v>18.290535694694942</v>
      </c>
      <c r="N51" s="115">
        <v>633.6093171822132</v>
      </c>
      <c r="O51" s="115">
        <v>6.7237926308322891</v>
      </c>
      <c r="P51" s="115">
        <v>6.685185705791489</v>
      </c>
      <c r="Q51" s="111">
        <v>6.7237926308322891</v>
      </c>
      <c r="R51" s="68">
        <v>6.685185705791489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5.6825195539928208E-2</v>
      </c>
      <c r="M52" s="115">
        <v>17.567761594366189</v>
      </c>
      <c r="N52" s="115">
        <v>607.36052776010888</v>
      </c>
      <c r="O52" s="115">
        <v>6.3871355877262834</v>
      </c>
      <c r="P52" s="115">
        <v>6.2774749607802258</v>
      </c>
      <c r="Q52" s="111">
        <v>6.3871355877262834</v>
      </c>
      <c r="R52" s="68">
        <v>6.2774749607802258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3.7331094451439431E-3</v>
      </c>
      <c r="M53" s="115">
        <v>48.202567237439474</v>
      </c>
      <c r="N53" s="115">
        <v>1684.8043232462323</v>
      </c>
      <c r="O53" s="115">
        <v>12.284342304792816</v>
      </c>
      <c r="P53" s="115">
        <v>7.9820989883838411</v>
      </c>
      <c r="Q53" s="111">
        <v>12.284342304792817</v>
      </c>
      <c r="R53" s="68">
        <v>7.9820989883838411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6.0083619113646073E-3</v>
      </c>
      <c r="M54" s="115">
        <v>33.483439409535805</v>
      </c>
      <c r="N54" s="115">
        <v>1168.0987198699711</v>
      </c>
      <c r="O54" s="115">
        <v>9.760944325239743</v>
      </c>
      <c r="P54" s="115">
        <v>7.7356654150223161</v>
      </c>
      <c r="Q54" s="111">
        <v>9.760944325239743</v>
      </c>
      <c r="R54" s="68">
        <v>7.7356654150223161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1.3164473334078631E-3</v>
      </c>
      <c r="M55" s="115">
        <v>81.214242906342093</v>
      </c>
      <c r="N55" s="115">
        <v>2848.3528282147672</v>
      </c>
      <c r="O55" s="115">
        <v>17.969542089312192</v>
      </c>
      <c r="P55" s="115">
        <v>8.6556009322544512</v>
      </c>
      <c r="Q55" s="111">
        <v>17.969542089312192</v>
      </c>
      <c r="R55" s="68">
        <v>8.6556009322544512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6.713846487516213E-3</v>
      </c>
      <c r="M56" s="115">
        <v>30.326414129144766</v>
      </c>
      <c r="N56" s="115">
        <v>1057.440861448277</v>
      </c>
      <c r="O56" s="115">
        <v>9.2214239153139026</v>
      </c>
      <c r="P56" s="115">
        <v>7.688574346808231</v>
      </c>
      <c r="Q56" s="111">
        <v>9.2214239153139026</v>
      </c>
      <c r="R56" s="68">
        <v>7.688574346808231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7.0960979911485922E-2</v>
      </c>
      <c r="M57" s="115">
        <v>16.984150224616521</v>
      </c>
      <c r="N57" s="115">
        <v>586.36580252418867</v>
      </c>
      <c r="O57" s="115">
        <v>6.138888151669371</v>
      </c>
      <c r="P57" s="115">
        <v>5.9939454250234716</v>
      </c>
      <c r="Q57" s="111">
        <v>6.138888151669371</v>
      </c>
      <c r="R57" s="68">
        <v>5.9939454250234716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5.9335981698650127E-3</v>
      </c>
      <c r="M58" s="115">
        <v>33.847637671254709</v>
      </c>
      <c r="N58" s="115">
        <v>1180.8682926402942</v>
      </c>
      <c r="O58" s="115">
        <v>9.8232209265218877</v>
      </c>
      <c r="P58" s="115">
        <v>7.741227885173636</v>
      </c>
      <c r="Q58" s="111">
        <v>9.8232209265218877</v>
      </c>
      <c r="R58" s="68">
        <v>7.741227885173636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5.6832769828803489E-2</v>
      </c>
      <c r="M59" s="115">
        <v>17.570103219413728</v>
      </c>
      <c r="N59" s="115">
        <v>607.44148347077532</v>
      </c>
      <c r="O59" s="115">
        <v>6.3879869356110959</v>
      </c>
      <c r="P59" s="115">
        <v>6.278311691887061</v>
      </c>
      <c r="Q59" s="111">
        <v>6.3879869356110959</v>
      </c>
      <c r="R59" s="68">
        <v>6.278311691887061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4.2244140098883047E-3</v>
      </c>
      <c r="M60" s="115">
        <v>44.211094488949328</v>
      </c>
      <c r="N60" s="115">
        <v>1544.5656837898869</v>
      </c>
      <c r="O60" s="115">
        <v>11.597273473622916</v>
      </c>
      <c r="P60" s="115">
        <v>7.9083130957949663</v>
      </c>
      <c r="Q60" s="111">
        <v>11.597273473622918</v>
      </c>
      <c r="R60" s="68">
        <v>7.9083130957949672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0.520736646125182</v>
      </c>
      <c r="M61" s="115">
        <v>38.463174868087115</v>
      </c>
      <c r="N61" s="115">
        <v>788.56615011202291</v>
      </c>
      <c r="O61" s="115">
        <v>4.3619720143299805</v>
      </c>
      <c r="P61" s="115">
        <v>4.3862382842394512</v>
      </c>
      <c r="Q61" s="111">
        <v>4.3619720143299805</v>
      </c>
      <c r="R61" s="68">
        <v>4.3862382842394512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0.18568512300115925</v>
      </c>
      <c r="M62" s="115">
        <v>13.316876945608376</v>
      </c>
      <c r="N62" s="115">
        <v>454.60424928607961</v>
      </c>
      <c r="O62" s="115">
        <v>4.7261533136335876</v>
      </c>
      <c r="P62" s="115">
        <v>4.4868234384433592</v>
      </c>
      <c r="Q62" s="111">
        <v>4.7261533136335876</v>
      </c>
      <c r="R62" s="68">
        <v>4.4868234384433592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1.7987946052845369</v>
      </c>
      <c r="M63" s="115">
        <v>6.6842199299047245</v>
      </c>
      <c r="N63" s="115">
        <v>111.33566507317143</v>
      </c>
      <c r="O63" s="115">
        <v>1.0588184115393526</v>
      </c>
      <c r="P63" s="115">
        <v>1.1852210222707662</v>
      </c>
      <c r="Q63" s="111">
        <v>1.0588184115393526</v>
      </c>
      <c r="R63" s="68">
        <v>1.1852210222707662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0.9804968508759756</v>
      </c>
      <c r="M64" s="115">
        <v>0.9115654933585543</v>
      </c>
      <c r="N64" s="115">
        <v>2.2543515399690732</v>
      </c>
      <c r="O64" s="115">
        <v>0.87412715409984798</v>
      </c>
      <c r="P64" s="115">
        <v>1.0450953793231275</v>
      </c>
      <c r="Q64" s="111">
        <v>0.87412715409984798</v>
      </c>
      <c r="R64" s="68">
        <v>1.0450953793231275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1.2723361604559709</v>
      </c>
      <c r="M65" s="115">
        <v>1.3865668934604209</v>
      </c>
      <c r="N65" s="115">
        <v>9.5752620167531397</v>
      </c>
      <c r="O65" s="115">
        <v>0.83535296354189448</v>
      </c>
      <c r="P65" s="115">
        <v>0.97020095173206944</v>
      </c>
      <c r="Q65" s="111">
        <v>0.83535296354189459</v>
      </c>
      <c r="R65" s="68">
        <v>0.97020095173206944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1.8028833889451845</v>
      </c>
      <c r="M66" s="115">
        <v>48.061689207077798</v>
      </c>
      <c r="N66" s="115">
        <v>873.36561880710576</v>
      </c>
      <c r="O66" s="115">
        <v>2.0861675772383839</v>
      </c>
      <c r="P66" s="115">
        <v>2.5436796009609757</v>
      </c>
      <c r="Q66" s="111">
        <v>2.0861675772383839</v>
      </c>
      <c r="R66" s="68">
        <v>2.5436796009609761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1.2325258673529127</v>
      </c>
      <c r="M67" s="115">
        <v>1.2991528120800404</v>
      </c>
      <c r="N67" s="115">
        <v>7.9723701078032798</v>
      </c>
      <c r="O67" s="115">
        <v>0.83349027437733925</v>
      </c>
      <c r="P67" s="115">
        <v>0.9678902732079776</v>
      </c>
      <c r="Q67" s="111">
        <v>0.83349027437733925</v>
      </c>
      <c r="R67" s="68">
        <v>0.96789027320797771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1.0328124589633922</v>
      </c>
      <c r="M68" s="115">
        <v>0.92694104756339668</v>
      </c>
      <c r="N68" s="115">
        <v>1.0583447738597751</v>
      </c>
      <c r="O68" s="115">
        <v>0.8253957193509055</v>
      </c>
      <c r="P68" s="115">
        <v>0.95914940958036876</v>
      </c>
      <c r="Q68" s="111">
        <v>0.8253957193509055</v>
      </c>
      <c r="R68" s="68">
        <v>0.95914940958036876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7.5976004197468982E-3</v>
      </c>
      <c r="M69" s="115">
        <v>26.985467243192563</v>
      </c>
      <c r="N69" s="115">
        <v>940.40418187602234</v>
      </c>
      <c r="O69" s="115">
        <v>8.6517068600064135</v>
      </c>
      <c r="P69" s="115">
        <v>7.6420680131248968</v>
      </c>
      <c r="Q69" s="111">
        <v>8.6517068600064153</v>
      </c>
      <c r="R69" s="68">
        <v>7.6420680131248968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0.96711342534420641</v>
      </c>
      <c r="M70" s="115">
        <v>0.92737952647768107</v>
      </c>
      <c r="N70" s="115">
        <v>3.7178732357674305</v>
      </c>
      <c r="O70" s="115">
        <v>0.94715095736571853</v>
      </c>
      <c r="P70" s="115">
        <v>1.1824319445910227</v>
      </c>
      <c r="Q70" s="111">
        <v>0.94715095736571864</v>
      </c>
      <c r="R70" s="68">
        <v>1.1824319445910227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0.94143291573060051</v>
      </c>
      <c r="M71" s="115">
        <v>0.9700777496639249</v>
      </c>
      <c r="N71" s="115">
        <v>6.646167874804652</v>
      </c>
      <c r="O71" s="115">
        <v>1.052156282332712</v>
      </c>
      <c r="P71" s="115">
        <v>1.3755397845122899</v>
      </c>
      <c r="Q71" s="111">
        <v>1.0521562823327122</v>
      </c>
      <c r="R71" s="68">
        <v>1.3755397845122901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3.8888461572148328E-3</v>
      </c>
      <c r="M72" s="115">
        <v>14.605793592402518</v>
      </c>
      <c r="N72" s="115">
        <v>652.95824261428061</v>
      </c>
      <c r="O72" s="115">
        <v>6.232392269322542</v>
      </c>
      <c r="P72" s="115">
        <v>8.7863067193654647</v>
      </c>
      <c r="Q72" s="111">
        <v>6.232392269322542</v>
      </c>
      <c r="R72" s="68">
        <v>8.7863067193654665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3.6236105930023743E-2</v>
      </c>
      <c r="M73" s="115">
        <v>1.7449982006711715</v>
      </c>
      <c r="N73" s="115">
        <v>76.620081779104865</v>
      </c>
      <c r="O73" s="115">
        <v>4.6122906283242386</v>
      </c>
      <c r="P73" s="115">
        <v>8.0460828369995685</v>
      </c>
      <c r="Q73" s="111">
        <v>4.6122906283242386</v>
      </c>
      <c r="R73" s="68">
        <v>8.0460828369995685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0.94644092785788625</v>
      </c>
      <c r="M74" s="115">
        <v>0.96196861097019548</v>
      </c>
      <c r="N74" s="115">
        <v>6.0851024314130813</v>
      </c>
      <c r="O74" s="115">
        <v>1.0317270688674323</v>
      </c>
      <c r="P74" s="115">
        <v>1.3379336878316033</v>
      </c>
      <c r="Q74" s="111">
        <v>1.0317270688674323</v>
      </c>
      <c r="R74" s="68">
        <v>1.3379336878316033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4.2870294740561254E-2</v>
      </c>
      <c r="M75" s="115">
        <v>1.7582883657690964</v>
      </c>
      <c r="N75" s="115">
        <v>76.956888024395894</v>
      </c>
      <c r="O75" s="115">
        <v>4.5885367302544315</v>
      </c>
      <c r="P75" s="115">
        <v>7.9981880797365843</v>
      </c>
      <c r="Q75" s="111">
        <v>4.5885367302544315</v>
      </c>
      <c r="R75" s="68">
        <v>7.9981880797365843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0.44880634774171524</v>
      </c>
      <c r="M76" s="115">
        <v>1.5863016991431118</v>
      </c>
      <c r="N76" s="115">
        <v>53.494031820405894</v>
      </c>
      <c r="O76" s="115">
        <v>3.0188727328992444</v>
      </c>
      <c r="P76" s="115">
        <v>5.0260203621779782</v>
      </c>
      <c r="Q76" s="111">
        <v>3.0188727328992444</v>
      </c>
      <c r="R76" s="68">
        <v>5.0260203621779782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3.8023631464383742E-2</v>
      </c>
      <c r="M77" s="115">
        <v>1.7489214383412348</v>
      </c>
      <c r="N77" s="115">
        <v>76.725885416653597</v>
      </c>
      <c r="O77" s="115">
        <v>4.6059296778367864</v>
      </c>
      <c r="P77" s="115">
        <v>8.0331877762035351</v>
      </c>
      <c r="Q77" s="111">
        <v>4.6059296778367864</v>
      </c>
      <c r="R77" s="68">
        <v>8.0331877762035351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4.3173934418300804E-3</v>
      </c>
      <c r="M78" s="115">
        <v>12.247290681068826</v>
      </c>
      <c r="N78" s="115">
        <v>547.47780748717014</v>
      </c>
      <c r="O78" s="115">
        <v>5.9562623512105199</v>
      </c>
      <c r="P78" s="115">
        <v>8.6906859699126624</v>
      </c>
      <c r="Q78" s="111">
        <v>5.9562623512105199</v>
      </c>
      <c r="R78" s="68">
        <v>8.6906859699126642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4.3173937838006373E-3</v>
      </c>
      <c r="M79" s="115">
        <v>12.24728286829982</v>
      </c>
      <c r="N79" s="115">
        <v>547.47754882980848</v>
      </c>
      <c r="O79" s="115">
        <v>5.9562612736946106</v>
      </c>
      <c r="P79" s="115">
        <v>8.6906863274429575</v>
      </c>
      <c r="Q79" s="111">
        <v>5.9562612736946106</v>
      </c>
      <c r="R79" s="68">
        <v>8.6906863274429575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0.16721574882506848</v>
      </c>
      <c r="M80" s="115">
        <v>1.7952433447334475</v>
      </c>
      <c r="N80" s="115">
        <v>73.783143284967011</v>
      </c>
      <c r="O80" s="115">
        <v>4.1186057290217315</v>
      </c>
      <c r="P80" s="115">
        <v>7.0921426767571516</v>
      </c>
      <c r="Q80" s="111">
        <v>4.1186057290217315</v>
      </c>
      <c r="R80" s="68">
        <v>7.0921426767571525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0.80432256277419745</v>
      </c>
      <c r="M81" s="115">
        <v>1.170391642192826</v>
      </c>
      <c r="N81" s="115">
        <v>21.008049385667491</v>
      </c>
      <c r="O81" s="115">
        <v>1.6062196760973708</v>
      </c>
      <c r="P81" s="115">
        <v>2.399058092369565</v>
      </c>
      <c r="Q81" s="111">
        <v>1.6062196760973708</v>
      </c>
      <c r="R81" s="68">
        <v>2.399058092369565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0.60914980340265923</v>
      </c>
      <c r="M82" s="115">
        <v>1.4143674811455418</v>
      </c>
      <c r="N82" s="115">
        <v>39.555999484509776</v>
      </c>
      <c r="O82" s="115">
        <v>2.3848868789183495</v>
      </c>
      <c r="P82" s="115">
        <v>3.844365450503394</v>
      </c>
      <c r="Q82" s="111">
        <v>2.3848868789183499</v>
      </c>
      <c r="R82" s="68">
        <v>3.8443654505033944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2.9131724789306659E-3</v>
      </c>
      <c r="M83" s="115">
        <v>23.675152757951189</v>
      </c>
      <c r="N83" s="115">
        <v>1058.5476828821468</v>
      </c>
      <c r="O83" s="115">
        <v>7.2916659921199081</v>
      </c>
      <c r="P83" s="115">
        <v>9.1491490945522287</v>
      </c>
      <c r="Q83" s="111">
        <v>7.2916659921199081</v>
      </c>
      <c r="R83" s="68">
        <v>9.1491490945522287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0.28369750927132287</v>
      </c>
      <c r="M84" s="115">
        <v>10.702769641975571</v>
      </c>
      <c r="N84" s="115">
        <v>360.7963086255624</v>
      </c>
      <c r="O84" s="115">
        <v>3.8072244498523222</v>
      </c>
      <c r="P84" s="115">
        <v>3.577215474245782</v>
      </c>
      <c r="Q84" s="111">
        <v>3.8072244498523227</v>
      </c>
      <c r="R84" s="68">
        <v>3.577215474245782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0.10942610770058489</v>
      </c>
      <c r="M85" s="115">
        <v>463.66535221197546</v>
      </c>
      <c r="N85" s="115">
        <v>8536.817520460394</v>
      </c>
      <c r="O85" s="115">
        <v>8.4770725742748887</v>
      </c>
      <c r="P85" s="115">
        <v>7.6371194913124478</v>
      </c>
      <c r="Q85" s="111">
        <v>8.4770725742748887</v>
      </c>
      <c r="R85" s="68">
        <v>7.6371194913124487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3.4938968450684218E-4</v>
      </c>
      <c r="M86" s="115">
        <v>113.0727370437982</v>
      </c>
      <c r="N86" s="115">
        <v>3979.7116781240729</v>
      </c>
      <c r="O86" s="115">
        <v>23.456879082674746</v>
      </c>
      <c r="P86" s="115">
        <v>9.4396250185338868</v>
      </c>
      <c r="Q86" s="111">
        <v>23.45687908267475</v>
      </c>
      <c r="R86" s="68">
        <v>9.4396250185338868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1.2108463520390284E-4</v>
      </c>
      <c r="M87" s="115">
        <v>128.88574572009509</v>
      </c>
      <c r="N87" s="115">
        <v>4547.6217879526657</v>
      </c>
      <c r="O87" s="115">
        <v>26.154186706649131</v>
      </c>
      <c r="P87" s="115">
        <v>9.880677470738501</v>
      </c>
      <c r="Q87" s="111">
        <v>26.154186706649131</v>
      </c>
      <c r="R87" s="68">
        <v>9.8806774707385028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3.400562706492048E-5</v>
      </c>
      <c r="M88" s="115">
        <v>140.19019621244166</v>
      </c>
      <c r="N88" s="115">
        <v>4960.4269469050905</v>
      </c>
      <c r="O88" s="115">
        <v>28.04098788562613</v>
      </c>
      <c r="P88" s="115">
        <v>10.227606061421453</v>
      </c>
      <c r="Q88" s="111">
        <v>28.04098788562613</v>
      </c>
      <c r="R88" s="68">
        <v>10.227606061421453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2.1563913197776979E-3</v>
      </c>
      <c r="M89" s="115">
        <v>1468.9694409586073</v>
      </c>
      <c r="N89" s="115">
        <v>27190.478384910071</v>
      </c>
      <c r="O89" s="115">
        <v>20.771985395595546</v>
      </c>
      <c r="P89" s="115">
        <v>7.1676030820881822</v>
      </c>
      <c r="Q89" s="111">
        <v>20.771985395595546</v>
      </c>
      <c r="R89" s="68">
        <v>7.1676030820881822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0.97071362635806657</v>
      </c>
      <c r="M90" s="115">
        <v>0.89112407956261164</v>
      </c>
      <c r="N90" s="115">
        <v>1.4806306759336265</v>
      </c>
      <c r="O90" s="115">
        <v>0.81385485907011856</v>
      </c>
      <c r="P90" s="115">
        <v>0.94123068010226618</v>
      </c>
      <c r="Q90" s="111">
        <v>0.81385485907011856</v>
      </c>
      <c r="R90" s="68">
        <v>0.94123068010226629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0.71714637606883991</v>
      </c>
      <c r="M91" s="115">
        <v>2.8527103676581165</v>
      </c>
      <c r="N91" s="115">
        <v>76.47896490015512</v>
      </c>
      <c r="O91" s="115">
        <v>1.3081600868796499</v>
      </c>
      <c r="P91" s="115">
        <v>1.3045954420302401</v>
      </c>
      <c r="Q91" s="111">
        <v>1.3081600868796499</v>
      </c>
      <c r="R91" s="68">
        <v>1.3045954420302401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0.12670390832032566</v>
      </c>
      <c r="M92" s="115">
        <v>15.111314420446741</v>
      </c>
      <c r="N92" s="115">
        <v>518.98140366406426</v>
      </c>
      <c r="O92" s="115">
        <v>5.3913771849198966</v>
      </c>
      <c r="P92" s="115">
        <v>5.1750142897775806</v>
      </c>
      <c r="Q92" s="111">
        <v>5.3913771849198966</v>
      </c>
      <c r="R92" s="68">
        <v>5.1750142897775806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0.99232816586119577</v>
      </c>
      <c r="M93" s="115">
        <v>0.88070502504730486</v>
      </c>
      <c r="N93" s="115">
        <v>0.62165570328452269</v>
      </c>
      <c r="O93" s="115">
        <v>0.84256110255770689</v>
      </c>
      <c r="P93" s="115">
        <v>0.99086223736262924</v>
      </c>
      <c r="Q93" s="111">
        <v>0.84256110255770689</v>
      </c>
      <c r="R93" s="68">
        <v>0.99086223736262935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1.0022772231285606</v>
      </c>
      <c r="M94" s="115">
        <v>0.87886751312283629</v>
      </c>
      <c r="N94" s="115">
        <v>0.15144434874227677</v>
      </c>
      <c r="O94" s="115">
        <v>0.82489051844900962</v>
      </c>
      <c r="P94" s="115">
        <v>0.95878011247479311</v>
      </c>
      <c r="Q94" s="111">
        <v>0.82489051844900974</v>
      </c>
      <c r="R94" s="68">
        <v>0.95878011247479311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0.94400734076186832</v>
      </c>
      <c r="M95" s="115">
        <v>1.0116303151979116</v>
      </c>
      <c r="N95" s="115">
        <v>6.3762656764061489</v>
      </c>
      <c r="O95" s="115">
        <v>0.82147384438363458</v>
      </c>
      <c r="P95" s="115">
        <v>0.93444995256142394</v>
      </c>
      <c r="Q95" s="111">
        <v>0.82147384438363458</v>
      </c>
      <c r="R95" s="68">
        <v>0.93444995256142394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5.0825043086058193E-4</v>
      </c>
      <c r="M96" s="115">
        <v>105.55901442278405</v>
      </c>
      <c r="N96" s="115">
        <v>3711.774809741999</v>
      </c>
      <c r="O96" s="115">
        <v>22.166316524484834</v>
      </c>
      <c r="P96" s="115">
        <v>9.2438628481985088</v>
      </c>
      <c r="Q96" s="111">
        <v>22.166316524484834</v>
      </c>
      <c r="R96" s="68">
        <v>9.2438628481985106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0.6003836348028383</v>
      </c>
      <c r="M97" s="115">
        <v>4.4578718578948946</v>
      </c>
      <c r="N97" s="115">
        <v>135.27987317027649</v>
      </c>
      <c r="O97" s="115">
        <v>1.7835943970824641</v>
      </c>
      <c r="P97" s="115">
        <v>1.7095774248931455</v>
      </c>
      <c r="Q97" s="111">
        <v>1.7835943970824641</v>
      </c>
      <c r="R97" s="68">
        <v>1.7095774248931455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0.69735220365439754</v>
      </c>
      <c r="M98" s="115">
        <v>3.0993928153207362</v>
      </c>
      <c r="N98" s="115">
        <v>85.563798490363226</v>
      </c>
      <c r="O98" s="115">
        <v>1.3793824493282145</v>
      </c>
      <c r="P98" s="115">
        <v>1.3638736529767004</v>
      </c>
      <c r="Q98" s="111">
        <v>1.3793824493282147</v>
      </c>
      <c r="R98" s="68">
        <v>1.3638736529767004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0.86273052246646909</v>
      </c>
      <c r="M99" s="115">
        <v>1.4137775670164057</v>
      </c>
      <c r="N99" s="115">
        <v>22.644919983881703</v>
      </c>
      <c r="O99" s="115">
        <v>0.91796176050424205</v>
      </c>
      <c r="P99" s="115">
        <v>0.99760701841231003</v>
      </c>
      <c r="Q99" s="111">
        <v>0.91796176050424216</v>
      </c>
      <c r="R99" s="68">
        <v>0.99760701841231003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3.3334963390574089E-3</v>
      </c>
      <c r="M100" s="115">
        <v>51.879797155271987</v>
      </c>
      <c r="N100" s="115">
        <v>1814.085294828323</v>
      </c>
      <c r="O100" s="115">
        <v>12.91667779891522</v>
      </c>
      <c r="P100" s="115">
        <v>8.0502256272774488</v>
      </c>
      <c r="Q100" s="111">
        <v>12.91667779891522</v>
      </c>
      <c r="R100" s="68">
        <v>8.0502256272774488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0.17668471406751343</v>
      </c>
      <c r="M101" s="115">
        <v>13.579306987322061</v>
      </c>
      <c r="N101" s="115">
        <v>464.01604709023206</v>
      </c>
      <c r="O101" s="115">
        <v>4.8213508027800058</v>
      </c>
      <c r="P101" s="115">
        <v>4.5835587822816795</v>
      </c>
      <c r="Q101" s="111">
        <v>4.8213508027800058</v>
      </c>
      <c r="R101" s="68">
        <v>4.5835587822816795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3.8831132318592837E-2</v>
      </c>
      <c r="M102" s="115">
        <v>18.256053241162729</v>
      </c>
      <c r="N102" s="115">
        <v>632.355116988443</v>
      </c>
      <c r="O102" s="115">
        <v>6.7070498378424723</v>
      </c>
      <c r="P102" s="115">
        <v>6.6644545611153188</v>
      </c>
      <c r="Q102" s="111">
        <v>6.7070498378424723</v>
      </c>
      <c r="R102" s="68">
        <v>6.6644545611153188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0.89345333962507112</v>
      </c>
      <c r="M103" s="115">
        <v>1.0442666592856735</v>
      </c>
      <c r="N103" s="115">
        <v>11.858830047267313</v>
      </c>
      <c r="O103" s="115">
        <v>1.2469973415479594</v>
      </c>
      <c r="P103" s="115">
        <v>1.7347691681335735</v>
      </c>
      <c r="Q103" s="111">
        <v>1.2469973415479594</v>
      </c>
      <c r="R103" s="68">
        <v>1.7347691681335737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1.1143260563312812E-2</v>
      </c>
      <c r="M104" s="115">
        <v>2.5580022969130489</v>
      </c>
      <c r="N104" s="115">
        <v>112.49673226055215</v>
      </c>
      <c r="O104" s="115">
        <v>4.8034155238630349</v>
      </c>
      <c r="P104" s="115">
        <v>8.2469617243509123</v>
      </c>
      <c r="Q104" s="111">
        <v>4.8034155238630358</v>
      </c>
      <c r="R104" s="68">
        <v>8.2469617243509141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0.96566199562935184</v>
      </c>
      <c r="M105" s="115">
        <v>0.89637973900299128</v>
      </c>
      <c r="N105" s="115">
        <v>1.8064531757828004</v>
      </c>
      <c r="O105" s="115">
        <v>0.81330750483017211</v>
      </c>
      <c r="P105" s="115">
        <v>0.93907117113158989</v>
      </c>
      <c r="Q105" s="111">
        <v>0.81330750483017222</v>
      </c>
      <c r="R105" s="68">
        <v>0.93907117113158989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0.93958120062876638</v>
      </c>
      <c r="M106" s="115">
        <v>1.0216960756631228</v>
      </c>
      <c r="N106" s="115">
        <v>6.8545844609846656</v>
      </c>
      <c r="O106" s="115">
        <v>0.82290750706095894</v>
      </c>
      <c r="P106" s="115">
        <v>0.9345645177259212</v>
      </c>
      <c r="Q106" s="111">
        <v>0.82290750706095894</v>
      </c>
      <c r="R106" s="68">
        <v>0.93456451772592131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2.4109320049832881E-2</v>
      </c>
      <c r="M107" s="115">
        <v>22.76573588345406</v>
      </c>
      <c r="N107" s="115">
        <v>694.55631187476411</v>
      </c>
      <c r="O107" s="115">
        <v>6.5222043059910186</v>
      </c>
      <c r="P107" s="115">
        <v>6.56287563428811</v>
      </c>
      <c r="Q107" s="111">
        <v>6.5222043059910195</v>
      </c>
      <c r="R107" s="68">
        <v>6.56287563428811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0.99953115335855003</v>
      </c>
      <c r="M108" s="115">
        <v>0.87484251447243744</v>
      </c>
      <c r="N108" s="115">
        <v>7.8385038180711131E-2</v>
      </c>
      <c r="O108" s="115">
        <v>0.82477307044308956</v>
      </c>
      <c r="P108" s="115">
        <v>0.95864405179948287</v>
      </c>
      <c r="Q108" s="111">
        <v>0.82477307044308956</v>
      </c>
      <c r="R108" s="68">
        <v>0.95864405179948287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2.0348905644880513</v>
      </c>
      <c r="M109" s="115">
        <v>14.761147506305399</v>
      </c>
      <c r="N109" s="115">
        <v>258.27764639630004</v>
      </c>
      <c r="O109" s="115">
        <v>1.2135857335717737</v>
      </c>
      <c r="P109" s="115">
        <v>1.4112101904219314</v>
      </c>
      <c r="Q109" s="111">
        <v>1.2135857335717737</v>
      </c>
      <c r="R109" s="68">
        <v>1.4112101904219314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0.99025975224532448</v>
      </c>
      <c r="M110" s="115">
        <v>0.8713789679874856</v>
      </c>
      <c r="N110" s="115">
        <v>0.22270001953042887</v>
      </c>
      <c r="O110" s="115">
        <v>0.82093873302308495</v>
      </c>
      <c r="P110" s="115">
        <v>0.95379224071861879</v>
      </c>
      <c r="Q110" s="111">
        <v>0.82093873302308507</v>
      </c>
      <c r="R110" s="68">
        <v>0.9537922407186189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0.99670147892187089</v>
      </c>
      <c r="M111" s="115">
        <v>0.87069114294128513</v>
      </c>
      <c r="N111" s="115">
        <v>3.2444883096947462E-3</v>
      </c>
      <c r="O111" s="115">
        <v>0.82480043086321442</v>
      </c>
      <c r="P111" s="115">
        <v>0.95872749029087778</v>
      </c>
      <c r="Q111" s="111">
        <v>0.82480043086321453</v>
      </c>
      <c r="R111" s="68">
        <v>0.95872749029087778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0.98856170646240327</v>
      </c>
      <c r="M112" s="115">
        <v>0.86845772274061173</v>
      </c>
      <c r="N112" s="115">
        <v>0.16816416588911559</v>
      </c>
      <c r="O112" s="115">
        <v>0.81806814625072755</v>
      </c>
      <c r="P112" s="115">
        <v>0.9502352887373855</v>
      </c>
      <c r="Q112" s="111">
        <v>0.81806814625072766</v>
      </c>
      <c r="R112" s="68">
        <v>0.9502352887373855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0.94900405990176173</v>
      </c>
      <c r="M113" s="115">
        <v>0.94120045298465382</v>
      </c>
      <c r="N113" s="115">
        <v>3.8406466554789485</v>
      </c>
      <c r="O113" s="115">
        <v>0.81750012121412841</v>
      </c>
      <c r="P113" s="115">
        <v>0.93731930561452492</v>
      </c>
      <c r="Q113" s="111">
        <v>0.81750012121412841</v>
      </c>
      <c r="R113" s="68">
        <v>0.93731930561452492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0.99251013052092985</v>
      </c>
      <c r="M114" s="115">
        <v>0.86849987562448339</v>
      </c>
      <c r="N114" s="115">
        <v>5.2275521849363842E-2</v>
      </c>
      <c r="O114" s="115">
        <v>0.8203280836217961</v>
      </c>
      <c r="P114" s="115">
        <v>0.95329576517084513</v>
      </c>
      <c r="Q114" s="111">
        <v>0.82032808362179621</v>
      </c>
      <c r="R114" s="68">
        <v>0.95329576517084513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0.96984638034715887</v>
      </c>
      <c r="M115" s="115">
        <v>0.92268807835868361</v>
      </c>
      <c r="N115" s="115">
        <v>3.3984595355199136</v>
      </c>
      <c r="O115" s="115">
        <v>0.93588239975960108</v>
      </c>
      <c r="P115" s="115">
        <v>1.1617240248820204</v>
      </c>
      <c r="Q115" s="111">
        <v>0.93588239975960108</v>
      </c>
      <c r="R115" s="68">
        <v>1.1617240248820204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0.30441796953833555</v>
      </c>
      <c r="M116" s="115">
        <v>148.32191767425078</v>
      </c>
      <c r="N116" s="115">
        <v>2734.0031403761191</v>
      </c>
      <c r="O116" s="115">
        <v>5.4569293094981202</v>
      </c>
      <c r="P116" s="115">
        <v>7.0959737064147186</v>
      </c>
      <c r="Q116" s="111">
        <v>5.4569293094981202</v>
      </c>
      <c r="R116" s="68">
        <v>7.0959737064147195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0.47209384206320826</v>
      </c>
      <c r="M117" s="115">
        <v>6.6421593249905015</v>
      </c>
      <c r="N117" s="115">
        <v>214.53329298649209</v>
      </c>
      <c r="O117" s="115">
        <v>2.4646022668772356</v>
      </c>
      <c r="P117" s="115">
        <v>2.3166041886861963</v>
      </c>
      <c r="Q117" s="111">
        <v>2.464602266877236</v>
      </c>
      <c r="R117" s="68">
        <v>2.3166041886861963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Input System Parameters</vt:lpstr>
      <vt:lpstr>Options for Generic Calcs</vt:lpstr>
      <vt:lpstr>Well Plate Characteristics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2025-02-02T14:08:51Z</dcterms:modified>
</cp:coreProperties>
</file>