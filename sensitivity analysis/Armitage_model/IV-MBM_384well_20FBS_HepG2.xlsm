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E86C2C35-128B-4372-9D81-90505709ABB8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<sst xmlns="http://schemas.openxmlformats.org/spreadsheetml/2006/main" count="2915" uniqueCount="495">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</sst>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1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1.6799999999999999E-2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1.6799999999999999E-2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4.1999999999999996E-4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1.3397999999999999E-5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1.367030949478146E-5</v>
      </c>
      <c r="J2" s="67" t="s">
        <v>231</v>
      </c>
      <c r="K2" s="68">
        <v>2.2164626579579952E-3</v>
      </c>
      <c r="L2" s="67" t="s">
        <v>231</v>
      </c>
      <c r="M2" s="68">
        <v>5.2905294170656564E-2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9.8189994569166544E-4</v>
      </c>
      <c r="J3" s="67" t="s">
        <v>231</v>
      </c>
      <c r="K3" s="68">
        <v>0.10003076151612648</v>
      </c>
      <c r="L3" s="67" t="s">
        <v>231</v>
      </c>
      <c r="M3" s="68">
        <v>3.5152940456068893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1.7448113611430655E-3</v>
      </c>
      <c r="J4" s="67" t="s">
        <v>231</v>
      </c>
      <c r="K4" s="68">
        <v>9.0686191462066509E-3</v>
      </c>
      <c r="L4" s="67" t="s">
        <v>231</v>
      </c>
      <c r="M4" s="68">
        <v>0.30204597550520501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1.5340948682322031E-3</v>
      </c>
      <c r="J5" s="67" t="s">
        <v>231</v>
      </c>
      <c r="K5" s="68">
        <v>2.9652342866732073E-2</v>
      </c>
      <c r="L5" s="67" t="s">
        <v>231</v>
      </c>
      <c r="M5" s="68">
        <v>1.0338222253097669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2.6729244484659615E-3</v>
      </c>
      <c r="J6" s="67" t="s">
        <v>231</v>
      </c>
      <c r="K6" s="68">
        <v>0.11667475091981978</v>
      </c>
      <c r="L6" s="67" t="s">
        <v>231</v>
      </c>
      <c r="M6" s="68">
        <v>4.1085100434547099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3.9040296421635377E-4</v>
      </c>
      <c r="J7" s="67" t="s">
        <v>231</v>
      </c>
      <c r="K7" s="68">
        <v>0.10300744218761497</v>
      </c>
      <c r="L7" s="67" t="s">
        <v>231</v>
      </c>
      <c r="M7" s="68">
        <v>3.6209779655477199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7.5590647812884043E-4</v>
      </c>
      <c r="J8" s="67" t="s">
        <v>231</v>
      </c>
      <c r="K8" s="68">
        <v>8.2239162630193513E-2</v>
      </c>
      <c r="L8" s="67" t="s">
        <v>231</v>
      </c>
      <c r="M8" s="68">
        <v>2.8845882540542171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2.1672765761289551E-4</v>
      </c>
      <c r="J9" s="67" t="s">
        <v>231</v>
      </c>
      <c r="K9" s="68">
        <v>1.7478139636491519E-2</v>
      </c>
      <c r="L9" s="67" t="s">
        <v>231</v>
      </c>
      <c r="M9" s="68">
        <v>0.60411820708722463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9.2290541345360427E-4</v>
      </c>
      <c r="J10" s="67" t="s">
        <v>231</v>
      </c>
      <c r="K10" s="68">
        <v>3.1702874604676586E-2</v>
      </c>
      <c r="L10" s="67" t="s">
        <v>231</v>
      </c>
      <c r="M10" s="68">
        <v>1.1056799546332485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2.2705012093469934E-4</v>
      </c>
      <c r="J11" s="67" t="s">
        <v>231</v>
      </c>
      <c r="K11" s="68">
        <v>3.5328475026374637E-2</v>
      </c>
      <c r="L11" s="67" t="s">
        <v>231</v>
      </c>
      <c r="M11" s="68">
        <v>1.2327983590364506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4.6542834862276866E-4</v>
      </c>
      <c r="J12" s="67" t="s">
        <v>231</v>
      </c>
      <c r="K12" s="68">
        <v>1.8290535694694941E-2</v>
      </c>
      <c r="L12" s="67" t="s">
        <v>231</v>
      </c>
      <c r="M12" s="68">
        <v>0.63360931718221325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1.0100580396934851E-2</v>
      </c>
      <c r="J13" s="67" t="s">
        <v>232</v>
      </c>
      <c r="K13" s="68">
        <v>1.7567761594366189E-2</v>
      </c>
      <c r="L13" s="67" t="s">
        <v>231</v>
      </c>
      <c r="M13" s="68">
        <v>0.60736052776010885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2.162820508060089E-3</v>
      </c>
      <c r="J14" s="67" t="s">
        <v>231</v>
      </c>
      <c r="K14" s="68">
        <v>4.820256723743948E-2</v>
      </c>
      <c r="L14" s="67" t="s">
        <v>231</v>
      </c>
      <c r="M14" s="68">
        <v>1.6848043232462322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1.0890809885343417E-3</v>
      </c>
      <c r="J15" s="67" t="s">
        <v>231</v>
      </c>
      <c r="K15" s="68">
        <v>3.3483439409535805E-2</v>
      </c>
      <c r="L15" s="67" t="s">
        <v>231</v>
      </c>
      <c r="M15" s="68">
        <v>1.1680987198699713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7.9519818408454513E-4</v>
      </c>
      <c r="J16" s="67" t="s">
        <v>231</v>
      </c>
      <c r="K16" s="68">
        <v>8.1214242906342091E-2</v>
      </c>
      <c r="L16" s="67" t="s">
        <v>231</v>
      </c>
      <c r="M16" s="68">
        <v>2.8483528282147672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6.4619719335996958E-4</v>
      </c>
      <c r="J17" s="67" t="s">
        <v>231</v>
      </c>
      <c r="K17" s="68">
        <v>3.0326414129144764E-2</v>
      </c>
      <c r="L17" s="67" t="s">
        <v>231</v>
      </c>
      <c r="M17" s="68">
        <v>1.0574408614482771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1.6115592956426727E-3</v>
      </c>
      <c r="J18" s="67" t="s">
        <v>231</v>
      </c>
      <c r="K18" s="68">
        <v>1.698415022461652E-2</v>
      </c>
      <c r="L18" s="67" t="s">
        <v>231</v>
      </c>
      <c r="M18" s="68">
        <v>0.58636580252418868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6.6209880522349381E-3</v>
      </c>
      <c r="J19" s="67" t="s">
        <v>231</v>
      </c>
      <c r="K19" s="68">
        <v>3.3847637671254711E-2</v>
      </c>
      <c r="L19" s="67" t="s">
        <v>231</v>
      </c>
      <c r="M19" s="68">
        <v>1.1808682926402942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1.0451537455448464E-3</v>
      </c>
      <c r="J20" s="67" t="s">
        <v>231</v>
      </c>
      <c r="K20" s="68">
        <v>1.757010321941373E-2</v>
      </c>
      <c r="L20" s="67" t="s">
        <v>231</v>
      </c>
      <c r="M20" s="68">
        <v>0.60744148347077531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3.1204766939567771E-3</v>
      </c>
      <c r="J21" s="67" t="s">
        <v>231</v>
      </c>
      <c r="K21" s="68">
        <v>4.4211094488949325E-2</v>
      </c>
      <c r="L21" s="67" t="s">
        <v>231</v>
      </c>
      <c r="M21" s="68">
        <v>1.5445656837898867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8.6407281566408035E-5</v>
      </c>
      <c r="J22" s="67" t="s">
        <v>231</v>
      </c>
      <c r="K22" s="68">
        <v>5.0350933266038638E-3</v>
      </c>
      <c r="L22" s="67" t="s">
        <v>231</v>
      </c>
      <c r="M22" s="68">
        <v>0.15633748901782529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2.9294602913618158E-5</v>
      </c>
      <c r="J23" s="67" t="s">
        <v>231</v>
      </c>
      <c r="K23" s="68">
        <v>2.9322477727551249E-3</v>
      </c>
      <c r="L23" s="67" t="s">
        <v>231</v>
      </c>
      <c r="M23" s="68">
        <v>7.9411618171025808E-2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8.1239499716176668E-5</v>
      </c>
      <c r="J24" s="67" t="s">
        <v>231</v>
      </c>
      <c r="K24" s="68">
        <v>1.3664747748534357E-2</v>
      </c>
      <c r="L24" s="67" t="s">
        <v>231</v>
      </c>
      <c r="M24" s="68">
        <v>0.46708192770750639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4.030242381252619E-4</v>
      </c>
      <c r="J25" s="67" t="s">
        <v>231</v>
      </c>
      <c r="K25" s="68">
        <v>1.8674760671136888E-2</v>
      </c>
      <c r="L25" s="67" t="s">
        <v>231</v>
      </c>
      <c r="M25" s="68">
        <v>0.6483687753757742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8.2593331317834442E-4</v>
      </c>
      <c r="J26" s="67" t="s">
        <v>231</v>
      </c>
      <c r="K26" s="68">
        <v>4.1669151431697679E-2</v>
      </c>
      <c r="L26" s="67" t="s">
        <v>231</v>
      </c>
      <c r="M26" s="68">
        <v>1.4553002570651068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5.3955925005298581E-4</v>
      </c>
      <c r="J27" s="67" t="s">
        <v>231</v>
      </c>
      <c r="K27" s="68">
        <v>9.7895430242397566E-2</v>
      </c>
      <c r="L27" s="67" t="s">
        <v>231</v>
      </c>
      <c r="M27" s="68">
        <v>3.4394000837816376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2.9224412183523151E-4</v>
      </c>
      <c r="J28" s="67" t="s">
        <v>231</v>
      </c>
      <c r="K28" s="68">
        <v>6.1033781501288638E-2</v>
      </c>
      <c r="L28" s="67" t="s">
        <v>231</v>
      </c>
      <c r="M28" s="68">
        <v>2.1362564439780964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1.7967820866275272E-4</v>
      </c>
      <c r="J29" s="67" t="s">
        <v>231</v>
      </c>
      <c r="K29" s="68">
        <v>4.5601475055446886E-2</v>
      </c>
      <c r="L29" s="67" t="s">
        <v>231</v>
      </c>
      <c r="M29" s="68">
        <v>1.5936403659820602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2.9224412183523151E-4</v>
      </c>
      <c r="J30" s="67" t="s">
        <v>231</v>
      </c>
      <c r="K30" s="68">
        <v>6.1033781501288638E-2</v>
      </c>
      <c r="L30" s="67" t="s">
        <v>231</v>
      </c>
      <c r="M30" s="68">
        <v>2.1362564439780964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8.1323322946806794E-8</v>
      </c>
      <c r="J31" s="67" t="s">
        <v>231</v>
      </c>
      <c r="K31" s="68">
        <v>8.8312748924835541E-4</v>
      </c>
      <c r="L31" s="67" t="s">
        <v>231</v>
      </c>
      <c r="M31" s="68">
        <v>1.1399094077650721E-3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8.4040766809267665E-6</v>
      </c>
      <c r="J32" s="67" t="s">
        <v>231</v>
      </c>
      <c r="K32" s="68">
        <v>7.4748858069992206E-3</v>
      </c>
      <c r="L32" s="67" t="s">
        <v>231</v>
      </c>
      <c r="M32" s="68">
        <v>0.24234421665965256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8.1309926070244615E-8</v>
      </c>
      <c r="J33" s="67" t="s">
        <v>231</v>
      </c>
      <c r="K33" s="68">
        <v>8.8017345718918846E-4</v>
      </c>
      <c r="L33" s="67" t="s">
        <v>231</v>
      </c>
      <c r="M33" s="68">
        <v>5.9114290949344541E-4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1.9348614206600754E-10</v>
      </c>
      <c r="J34" s="67" t="s">
        <v>231</v>
      </c>
      <c r="K34" s="68">
        <v>1.483066895718769E-3</v>
      </c>
      <c r="L34" s="67" t="s">
        <v>231</v>
      </c>
      <c r="M34" s="68">
        <v>4.4993713516594383E-2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1.9741243352535723E-7</v>
      </c>
      <c r="J35" s="67" t="s">
        <v>231</v>
      </c>
      <c r="K35" s="68">
        <v>1.7087909720374861E-3</v>
      </c>
      <c r="L35" s="67" t="s">
        <v>231</v>
      </c>
      <c r="M35" s="68">
        <v>6.366288851381359E-2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1.7989027621847058E-7</v>
      </c>
      <c r="J36" s="67" t="s">
        <v>231</v>
      </c>
      <c r="K36" s="68">
        <v>1.8308185525543229E-3</v>
      </c>
      <c r="L36" s="67" t="s">
        <v>231</v>
      </c>
      <c r="M36" s="68">
        <v>7.7355300724626472E-2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1.9322114652800743E-6</v>
      </c>
      <c r="J37" s="67" t="s">
        <v>231</v>
      </c>
      <c r="K37" s="68">
        <v>4.8821391284989369E-3</v>
      </c>
      <c r="L37" s="67" t="s">
        <v>231</v>
      </c>
      <c r="M37" s="68">
        <v>0.17463739736672107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1.0517418402097054E-6</v>
      </c>
      <c r="J38" s="67" t="s">
        <v>231</v>
      </c>
      <c r="K38" s="68">
        <v>1.4446513810515082E-3</v>
      </c>
      <c r="L38" s="67" t="s">
        <v>231</v>
      </c>
      <c r="M38" s="68">
        <v>4.0289368571455528E-2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2.0829144640027895E-4</v>
      </c>
      <c r="J39" s="67" t="s">
        <v>231</v>
      </c>
      <c r="K39" s="68">
        <v>1.9635403413018955E-2</v>
      </c>
      <c r="L39" s="67" t="s">
        <v>231</v>
      </c>
      <c r="M39" s="68">
        <v>0.68318813937839629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7.8403068029260838E-10</v>
      </c>
      <c r="J40" s="67" t="s">
        <v>231</v>
      </c>
      <c r="K40" s="68">
        <v>0.12245764151641626</v>
      </c>
      <c r="L40" s="67" t="s">
        <v>231</v>
      </c>
      <c r="M40" s="68">
        <v>5.3854275573711128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2.6234813538059412E-8</v>
      </c>
      <c r="J41" s="67" t="s">
        <v>231</v>
      </c>
      <c r="K41" s="68">
        <v>7.9732388545192788E-4</v>
      </c>
      <c r="L41" s="67" t="s">
        <v>231</v>
      </c>
      <c r="M41" s="68">
        <v>6.4427793352663348E-5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9.4397732302182568E-4</v>
      </c>
      <c r="J42" s="67" t="s">
        <v>231</v>
      </c>
      <c r="K42" s="68">
        <v>5.6918748434872865E-3</v>
      </c>
      <c r="L42" s="67" t="s">
        <v>231</v>
      </c>
      <c r="M42" s="68">
        <v>0.18012686945345474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4.7023934358177297E-9</v>
      </c>
      <c r="J43" s="67" t="s">
        <v>231</v>
      </c>
      <c r="K43" s="68">
        <v>3.7077862582067323E-3</v>
      </c>
      <c r="L43" s="67" t="s">
        <v>231</v>
      </c>
      <c r="M43" s="68">
        <v>0.16436944680532395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1.0658405428903895E-6</v>
      </c>
      <c r="J44" s="67" t="s">
        <v>231</v>
      </c>
      <c r="K44" s="68">
        <v>1.5123570239821877E-3</v>
      </c>
      <c r="L44" s="67" t="s">
        <v>231</v>
      </c>
      <c r="M44" s="68">
        <v>2.9059642052838976E-2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8.2659126590238098E-5</v>
      </c>
      <c r="J45" s="67" t="s">
        <v>231</v>
      </c>
      <c r="K45" s="68">
        <v>6.3106552546309171E-3</v>
      </c>
      <c r="L45" s="67" t="s">
        <v>231</v>
      </c>
      <c r="M45" s="68">
        <v>0.20255852311130004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1.8600213871104094E-6</v>
      </c>
      <c r="J46" s="67" t="s">
        <v>231</v>
      </c>
      <c r="K46" s="68">
        <v>5.9085327597769056E-3</v>
      </c>
      <c r="L46" s="67" t="s">
        <v>231</v>
      </c>
      <c r="M46" s="68">
        <v>0.18803205183894442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2.4918385711537368E-3</v>
      </c>
      <c r="J47" s="142" t="s">
        <v>231</v>
      </c>
      <c r="K47" s="143">
        <v>0.10038028469064661</v>
      </c>
      <c r="L47" s="142" t="s">
        <v>231</v>
      </c>
      <c r="M47" s="143">
        <v>3.5275770345151978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1.8053029581669068E-6</v>
      </c>
      <c r="J48" s="142" t="s">
        <v>231</v>
      </c>
      <c r="K48" s="143">
        <v>1.0853012431863672E-3</v>
      </c>
      <c r="L48" s="142" t="s">
        <v>231</v>
      </c>
      <c r="M48" s="143">
        <v>1.0204785677674433E-2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5.0300016772294419E-6</v>
      </c>
      <c r="J49" s="142" t="s">
        <v>231</v>
      </c>
      <c r="K49" s="143">
        <v>1.2616747548818892E-3</v>
      </c>
      <c r="L49" s="142" t="s">
        <v>231</v>
      </c>
      <c r="M49" s="143">
        <v>1.747682751559573E-2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7.0805804545157931E-6</v>
      </c>
      <c r="J50" s="142" t="s">
        <v>231</v>
      </c>
      <c r="K50" s="143">
        <v>1.6763861776179754E-2</v>
      </c>
      <c r="L50" s="142" t="s">
        <v>231</v>
      </c>
      <c r="M50" s="143">
        <v>0.57851786944708916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4.0225371135096997E-8</v>
      </c>
      <c r="J51" s="142" t="s">
        <v>231</v>
      </c>
      <c r="K51" s="143">
        <v>8.4102543689112302E-4</v>
      </c>
      <c r="L51" s="142" t="s">
        <v>231</v>
      </c>
      <c r="M51" s="143">
        <v>1.8504243549168776E-3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1.0754573249648192E-5</v>
      </c>
      <c r="J52" s="142" t="s">
        <v>231</v>
      </c>
      <c r="K52" s="143">
        <v>2.0378991928576839E-3</v>
      </c>
      <c r="L52" s="142" t="s">
        <v>231</v>
      </c>
      <c r="M52" s="143">
        <v>4.8294237610649916E-2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1.5477569788526827E-4</v>
      </c>
      <c r="J53" s="142" t="s">
        <v>231</v>
      </c>
      <c r="K53" s="143">
        <v>8.4870241801273862E-3</v>
      </c>
      <c r="L53" s="142" t="s">
        <v>231</v>
      </c>
      <c r="M53" s="143">
        <v>0.28115390024626757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8.5056951163093013E-4</v>
      </c>
      <c r="J54" s="67" t="s">
        <v>231</v>
      </c>
      <c r="K54" s="68">
        <v>9.2050794109733089E-2</v>
      </c>
      <c r="L54" s="67" t="s">
        <v>231</v>
      </c>
      <c r="M54" s="68">
        <v>3.2319667521491247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1.7059880781653328E-4</v>
      </c>
      <c r="J55" s="67" t="s">
        <v>231</v>
      </c>
      <c r="K55" s="68">
        <v>1.2294912541886426E-2</v>
      </c>
      <c r="L55" s="67" t="s">
        <v>231</v>
      </c>
      <c r="M55" s="68">
        <v>0.42099877583917944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5.0722798557695081E-5</v>
      </c>
      <c r="J56" s="67" t="s">
        <v>231</v>
      </c>
      <c r="K56" s="68">
        <v>7.2346106209929826E-3</v>
      </c>
      <c r="L56" s="67" t="s">
        <v>231</v>
      </c>
      <c r="M56" s="68">
        <v>0.25054515084901602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2.3911864702992096E-5</v>
      </c>
      <c r="J57" s="67" t="s">
        <v>231</v>
      </c>
      <c r="K57" s="68">
        <v>3.5605381262037326E-3</v>
      </c>
      <c r="L57" s="67" t="s">
        <v>231</v>
      </c>
      <c r="M57" s="68">
        <v>0.12230969682339798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2.5845626625491108E-7</v>
      </c>
      <c r="J58" s="67" t="s">
        <v>231</v>
      </c>
      <c r="K58" s="68">
        <v>9.5874319180025018E-5</v>
      </c>
      <c r="L58" s="67" t="s">
        <v>231</v>
      </c>
      <c r="M58" s="68">
        <v>1.5165261297617203E-3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5.7446800314864683E-6</v>
      </c>
      <c r="J59" s="67" t="s">
        <v>231</v>
      </c>
      <c r="K59" s="68">
        <v>1.367326291187251E-3</v>
      </c>
      <c r="L59" s="67" t="s">
        <v>231</v>
      </c>
      <c r="M59" s="68">
        <v>4.6938060957579027E-2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8.9711418045689377E-8</v>
      </c>
      <c r="J60" s="67" t="s">
        <v>231</v>
      </c>
      <c r="K60" s="68">
        <v>2.3872623894789599E-5</v>
      </c>
      <c r="L60" s="67" t="s">
        <v>231</v>
      </c>
      <c r="M60" s="68">
        <v>8.1091180505243866E-4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3.3633436254646806E-2</v>
      </c>
      <c r="J61" s="67" t="s">
        <v>232</v>
      </c>
      <c r="K61" s="68">
        <v>1.0702769641975571E-2</v>
      </c>
      <c r="L61" s="67" t="s">
        <v>231</v>
      </c>
      <c r="M61" s="68">
        <v>0.36079630862556239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3.7376519925217784E-5</v>
      </c>
      <c r="J62" s="67" t="s">
        <v>231</v>
      </c>
      <c r="K62" s="68">
        <v>4.7306640096704239E-2</v>
      </c>
      <c r="L62" s="67" t="s">
        <v>231</v>
      </c>
      <c r="M62" s="68">
        <v>1.6533171772736834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2.5875990153620973E-4</v>
      </c>
      <c r="J63" s="67" t="s">
        <v>231</v>
      </c>
      <c r="K63" s="68">
        <v>0.11307273704379821</v>
      </c>
      <c r="L63" s="67" t="s">
        <v>231</v>
      </c>
      <c r="M63" s="68">
        <v>3.9797116781240729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1.8709083362500136E-4</v>
      </c>
      <c r="J64" s="67" t="s">
        <v>231</v>
      </c>
      <c r="K64" s="68">
        <v>0.12888574572009509</v>
      </c>
      <c r="L64" s="67" t="s">
        <v>231</v>
      </c>
      <c r="M64" s="68">
        <v>4.5476217879526653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2.8646424298949338E-4</v>
      </c>
      <c r="J65" s="67" t="s">
        <v>231</v>
      </c>
      <c r="K65" s="68">
        <v>0.14019019621244166</v>
      </c>
      <c r="L65" s="67" t="s">
        <v>231</v>
      </c>
      <c r="M65" s="68">
        <v>4.9604269469050903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1.1293430180298674E-6</v>
      </c>
      <c r="J66" s="67" t="s">
        <v>231</v>
      </c>
      <c r="K66" s="68">
        <v>0.13449762142756236</v>
      </c>
      <c r="L66" s="67" t="s">
        <v>231</v>
      </c>
      <c r="M66" s="68">
        <v>4.7514086680329957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3.7238450859152379E-4</v>
      </c>
      <c r="J67" s="67" t="s">
        <v>231</v>
      </c>
      <c r="K67" s="68">
        <v>1.7965362771060682E-3</v>
      </c>
      <c r="L67" s="67" t="s">
        <v>231</v>
      </c>
      <c r="M67" s="68">
        <v>3.7323585388444325E-2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1.4814945791246644E-4</v>
      </c>
      <c r="J68" s="67" t="s">
        <v>231</v>
      </c>
      <c r="K68" s="68">
        <v>2.46740464453307E-3</v>
      </c>
      <c r="L68" s="67" t="s">
        <v>231</v>
      </c>
      <c r="M68" s="68">
        <v>6.2520098465307969E-2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2.0508396978764999E-7</v>
      </c>
      <c r="J69" s="67" t="s">
        <v>231</v>
      </c>
      <c r="K69" s="68">
        <v>7.9638463709983093E-2</v>
      </c>
      <c r="L69" s="67" t="s">
        <v>231</v>
      </c>
      <c r="M69" s="68">
        <v>2.7926663630294222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2.2091308711827965E-4</v>
      </c>
      <c r="J70" s="67" t="s">
        <v>231</v>
      </c>
      <c r="K70" s="68">
        <v>1.870006783333698E-2</v>
      </c>
      <c r="L70" s="67" t="s">
        <v>231</v>
      </c>
      <c r="M70" s="68">
        <v>0.6488004615320655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2.771898514641332E-4</v>
      </c>
      <c r="J71" s="67" t="s">
        <v>231</v>
      </c>
      <c r="K71" s="68">
        <v>2.3064193417374852E-3</v>
      </c>
      <c r="L71" s="67" t="s">
        <v>231</v>
      </c>
      <c r="M71" s="68">
        <v>5.6972652700104841E-2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1.3363461192667086E-6</v>
      </c>
      <c r="J72" s="67" t="s">
        <v>231</v>
      </c>
      <c r="K72" s="68">
        <v>1.8353475980817848E-2</v>
      </c>
      <c r="L72" s="67" t="s">
        <v>231</v>
      </c>
      <c r="M72" s="68">
        <v>0.63641139637458555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4.8668749669697484E-3</v>
      </c>
      <c r="J73" s="67" t="s">
        <v>231</v>
      </c>
      <c r="K73" s="68">
        <v>1.1038731298902623E-2</v>
      </c>
      <c r="L73" s="67" t="s">
        <v>231</v>
      </c>
      <c r="M73" s="68">
        <v>0.37316647267339742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4.6292314174749896E-2</v>
      </c>
      <c r="J74" s="67" t="s">
        <v>232</v>
      </c>
      <c r="K74" s="68">
        <v>1.8625422703704861E-2</v>
      </c>
      <c r="L74" s="67" t="s">
        <v>231</v>
      </c>
      <c r="M74" s="68">
        <v>0.64610733885401073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2.2641396192192531E-13</v>
      </c>
      <c r="J75" s="67" t="s">
        <v>231</v>
      </c>
      <c r="K75" s="68">
        <v>1.2247289072592829E-2</v>
      </c>
      <c r="L75" s="67" t="s">
        <v>231</v>
      </c>
      <c r="M75" s="68">
        <v>0.54747775423533196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1.2456118823472105E-13</v>
      </c>
      <c r="J76" s="67" t="s">
        <v>231</v>
      </c>
      <c r="K76" s="68">
        <v>1.2247289079134563E-2</v>
      </c>
      <c r="L76" s="67" t="s">
        <v>231</v>
      </c>
      <c r="M76" s="68">
        <v>0.54747775452776026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2.491270904107297E-7</v>
      </c>
      <c r="J77" s="67" t="s">
        <v>231</v>
      </c>
      <c r="K77" s="68">
        <v>1.5523611910570643E-2</v>
      </c>
      <c r="L77" s="67" t="s">
        <v>231</v>
      </c>
      <c r="M77" s="68">
        <v>0.53432906116912116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9.0888381232613602E-4</v>
      </c>
      <c r="J78" s="67" t="s">
        <v>231</v>
      </c>
      <c r="K78" s="68">
        <v>5.2175729795218223E-3</v>
      </c>
      <c r="L78" s="67" t="s">
        <v>231</v>
      </c>
      <c r="M78" s="68">
        <v>0.16379741763970321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1.6760064153882936E-5</v>
      </c>
      <c r="J79" s="67" t="s">
        <v>231</v>
      </c>
      <c r="K79" s="68">
        <v>8.6233187920279064E-3</v>
      </c>
      <c r="L79" s="67" t="s">
        <v>231</v>
      </c>
      <c r="M79" s="68">
        <v>0.2862051875340384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1.3416309208744496E-14</v>
      </c>
      <c r="J80" s="67" t="s">
        <v>231</v>
      </c>
      <c r="K80" s="68">
        <v>2.3675149953655016E-2</v>
      </c>
      <c r="L80" s="67" t="s">
        <v>231</v>
      </c>
      <c r="M80" s="68">
        <v>1.0585475932177006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2.2037076718603078E-5</v>
      </c>
      <c r="J81" s="67" t="s">
        <v>231</v>
      </c>
      <c r="K81" s="68">
        <v>8.9390481070409917E-4</v>
      </c>
      <c r="L81" s="67" t="s">
        <v>231</v>
      </c>
      <c r="M81" s="68">
        <v>1.6861288294156265E-3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3.3324303094913562E-5</v>
      </c>
      <c r="J82" s="67" t="s">
        <v>231</v>
      </c>
      <c r="K82" s="68">
        <v>2.8527103676581167E-3</v>
      </c>
      <c r="L82" s="67" t="s">
        <v>231</v>
      </c>
      <c r="M82" s="68">
        <v>7.6478964900155127E-2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2.7610633653835581E-5</v>
      </c>
      <c r="J83" s="67" t="s">
        <v>231</v>
      </c>
      <c r="K83" s="68">
        <v>1.5111314420446741E-2</v>
      </c>
      <c r="L83" s="67" t="s">
        <v>231</v>
      </c>
      <c r="M83" s="68">
        <v>0.51898140366406431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6.0643101407088425E-6</v>
      </c>
      <c r="J84" s="67" t="s">
        <v>231</v>
      </c>
      <c r="K84" s="68">
        <v>1.0121193812461242E-3</v>
      </c>
      <c r="L84" s="67" t="s">
        <v>231</v>
      </c>
      <c r="M84" s="68">
        <v>6.8334936957745052E-3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3.3090105432699632E-8</v>
      </c>
      <c r="J85" s="67" t="s">
        <v>231</v>
      </c>
      <c r="K85" s="68">
        <v>8.7011644657250206E-4</v>
      </c>
      <c r="L85" s="67" t="s">
        <v>231</v>
      </c>
      <c r="M85" s="68">
        <v>3.4585052833592094E-4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2.3797983464652585E-6</v>
      </c>
      <c r="J86" s="67" t="s">
        <v>231</v>
      </c>
      <c r="K86" s="68">
        <v>1.0048534771167168E-3</v>
      </c>
      <c r="L86" s="67" t="s">
        <v>231</v>
      </c>
      <c r="M86" s="68">
        <v>6.5333124505393076E-3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2.8781257884759161E-3</v>
      </c>
      <c r="J87" s="67" t="s">
        <v>231</v>
      </c>
      <c r="K87" s="68">
        <v>0.10555901442278405</v>
      </c>
      <c r="L87" s="67" t="s">
        <v>231</v>
      </c>
      <c r="M87" s="68">
        <v>3.7117748097419989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9.8526905942692702E-5</v>
      </c>
      <c r="J88" s="67" t="s">
        <v>231</v>
      </c>
      <c r="K88" s="68">
        <v>4.4578718578948944E-3</v>
      </c>
      <c r="L88" s="67" t="s">
        <v>231</v>
      </c>
      <c r="M88" s="68">
        <v>0.13527987317027648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2.6839159580246934E-5</v>
      </c>
      <c r="J89" s="67" t="s">
        <v>231</v>
      </c>
      <c r="K89" s="68">
        <v>3.0993928153207361E-3</v>
      </c>
      <c r="L89" s="67" t="s">
        <v>231</v>
      </c>
      <c r="M89" s="68">
        <v>8.5563798490363219E-2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1.7606383156190103E-6</v>
      </c>
      <c r="J90" s="67" t="s">
        <v>231</v>
      </c>
      <c r="K90" s="68">
        <v>1.4137775670164058E-3</v>
      </c>
      <c r="L90" s="67" t="s">
        <v>231</v>
      </c>
      <c r="M90" s="68">
        <v>2.2644919983881701E-2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2.2631126090377693E-3</v>
      </c>
      <c r="J91" s="67" t="s">
        <v>231</v>
      </c>
      <c r="K91" s="68">
        <v>5.1879797155271988E-2</v>
      </c>
      <c r="L91" s="67" t="s">
        <v>231</v>
      </c>
      <c r="M91" s="68">
        <v>1.814085294828323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1.8450682814114147E-2</v>
      </c>
      <c r="J92" s="67" t="s">
        <v>232</v>
      </c>
      <c r="K92" s="68">
        <v>1.3579306987322062E-2</v>
      </c>
      <c r="L92" s="67" t="s">
        <v>231</v>
      </c>
      <c r="M92" s="68">
        <v>0.46401604709023209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5.6358431564294776E-3</v>
      </c>
      <c r="J93" s="67" t="s">
        <v>231</v>
      </c>
      <c r="K93" s="68">
        <v>1.825605324116273E-2</v>
      </c>
      <c r="L93" s="67" t="s">
        <v>231</v>
      </c>
      <c r="M93" s="68">
        <v>0.63235511698844293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6.4800925510324485E-9</v>
      </c>
      <c r="J94" s="67" t="s">
        <v>231</v>
      </c>
      <c r="K94" s="68">
        <v>1.0447078047755502E-3</v>
      </c>
      <c r="L94" s="67" t="s">
        <v>231</v>
      </c>
      <c r="M94" s="68">
        <v>1.1874725683464378E-2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4.3712909268853147E-5</v>
      </c>
      <c r="J95" s="67" t="s">
        <v>231</v>
      </c>
      <c r="K95" s="68">
        <v>2.6156978840417039E-2</v>
      </c>
      <c r="L95" s="67" t="s">
        <v>231</v>
      </c>
      <c r="M95" s="68">
        <v>0.91139264301908895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9.717288521890456E-8</v>
      </c>
      <c r="J96" s="67" t="s">
        <v>231</v>
      </c>
      <c r="K96" s="68">
        <v>8.9637973900299128E-4</v>
      </c>
      <c r="L96" s="67" t="s">
        <v>231</v>
      </c>
      <c r="M96" s="68">
        <v>1.8064531757828004E-3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3.444153727415971E-8</v>
      </c>
      <c r="J97" s="67" t="s">
        <v>231</v>
      </c>
      <c r="K97" s="68">
        <v>1.0158834614171618E-3</v>
      </c>
      <c r="L97" s="67" t="s">
        <v>231</v>
      </c>
      <c r="M97" s="68">
        <v>6.9885816321042134E-3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8.607450331951177E-6</v>
      </c>
      <c r="J98" s="67" t="s">
        <v>231</v>
      </c>
      <c r="K98" s="68">
        <v>1.9010639730195057E-2</v>
      </c>
      <c r="L98" s="67" t="s">
        <v>231</v>
      </c>
      <c r="M98" s="68">
        <v>0.66031700695765527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4.2002186635365046E-8</v>
      </c>
      <c r="J99" s="67" t="s">
        <v>231</v>
      </c>
      <c r="K99" s="68">
        <v>8.6851714420664485E-4</v>
      </c>
      <c r="L99" s="67" t="s">
        <v>231</v>
      </c>
      <c r="M99" s="68">
        <v>1.7824349565712897E-4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4.9931463426754775E-5</v>
      </c>
      <c r="J100" s="67" t="s">
        <v>231</v>
      </c>
      <c r="K100" s="68">
        <v>7.8601157239856449E-3</v>
      </c>
      <c r="L100" s="67" t="s">
        <v>231</v>
      </c>
      <c r="M100" s="68">
        <v>0.25851105209883313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1.3096118170009954E-5</v>
      </c>
      <c r="J101" s="67" t="s">
        <v>231</v>
      </c>
      <c r="K101" s="68">
        <v>8.714890365834287E-4</v>
      </c>
      <c r="L101" s="67" t="s">
        <v>231</v>
      </c>
      <c r="M101" s="68">
        <v>4.5169576783275436E-4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6.4553120110028338E-11</v>
      </c>
      <c r="J102" s="67" t="s">
        <v>231</v>
      </c>
      <c r="K102" s="68">
        <v>8.6865330169527515E-4</v>
      </c>
      <c r="L102" s="67" t="s">
        <v>231</v>
      </c>
      <c r="M102" s="68">
        <v>3.8247107625670943E-5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9.1887184077063306E-9</v>
      </c>
      <c r="J103" s="67" t="s">
        <v>231</v>
      </c>
      <c r="K103" s="68">
        <v>8.6845772274061171E-4</v>
      </c>
      <c r="L103" s="67" t="s">
        <v>231</v>
      </c>
      <c r="M103" s="68">
        <v>1.6816416588911559E-4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4.2181729486103528E-7</v>
      </c>
      <c r="J104" s="67" t="s">
        <v>231</v>
      </c>
      <c r="K104" s="68">
        <v>9.412004529846538E-4</v>
      </c>
      <c r="L104" s="67" t="s">
        <v>231</v>
      </c>
      <c r="M104" s="68">
        <v>3.8406466554789485E-3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5.8067355118800438E-8</v>
      </c>
      <c r="J105" s="67" t="s">
        <v>231</v>
      </c>
      <c r="K105" s="68">
        <v>8.6846491185295371E-4</v>
      </c>
      <c r="L105" s="67" t="s">
        <v>231</v>
      </c>
      <c r="M105" s="68">
        <v>5.3030413724129377E-5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5.0665134017902702E-7</v>
      </c>
      <c r="J106" s="67" t="s">
        <v>231</v>
      </c>
      <c r="K106" s="68">
        <v>1.725992738429296E-3</v>
      </c>
      <c r="L106" s="67" t="s">
        <v>231</v>
      </c>
      <c r="M106" s="68">
        <v>3.4521546007870205E-2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6.143911485769461E-5</v>
      </c>
      <c r="J107" s="67" t="s">
        <v>231</v>
      </c>
      <c r="K107" s="68">
        <v>1.9140251038482568E-2</v>
      </c>
      <c r="L107" s="67" t="s">
        <v>231</v>
      </c>
      <c r="M107" s="68">
        <v>0.66540877284068767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6.7340307769469472E-5</v>
      </c>
      <c r="J108" s="67" t="s">
        <v>231</v>
      </c>
      <c r="K108" s="68">
        <v>6.6421593249905014E-3</v>
      </c>
      <c r="L108" s="67" t="s">
        <v>231</v>
      </c>
      <c r="M108" s="68">
        <v>0.2145332929864921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0.82026685962042822</v>
      </c>
      <c r="F2" s="14">
        <v>0.77567381975081773</v>
      </c>
      <c r="G2" s="14">
        <v>1.0079236165647033E-6</v>
      </c>
      <c r="H2" s="14">
        <v>10.480913423366529</v>
      </c>
      <c r="I2" s="14">
        <v>28.265476051985061</v>
      </c>
      <c r="J2" s="14">
        <v>0</v>
      </c>
      <c r="K2" s="14">
        <v>1.2892016908876027</v>
      </c>
      <c r="L2" s="14">
        <v>0.77567381975081784</v>
      </c>
      <c r="M2" s="14">
        <v>0.63644036910554602</v>
      </c>
      <c r="N2" s="14">
        <v>2.2164626579579951</v>
      </c>
      <c r="O2" s="14">
        <v>408.07293995664645</v>
      </c>
      <c r="P2" s="8">
        <v>2.2164626579579951</v>
      </c>
      <c r="Q2" s="54">
        <v>0.12063027123297351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0.87486801871214859</v>
      </c>
      <c r="F3" s="14">
        <v>6.3806020419783299E-4</v>
      </c>
      <c r="G3" s="14">
        <v>3.8689235328628066E-5</v>
      </c>
      <c r="H3" s="14">
        <v>66.982547159940196</v>
      </c>
      <c r="I3" s="14">
        <v>1680.4238210376768</v>
      </c>
      <c r="J3" s="14">
        <v>0</v>
      </c>
      <c r="K3" s="14">
        <v>1567.2502272057484</v>
      </c>
      <c r="L3" s="14">
        <v>6.3806020419783299E-4</v>
      </c>
      <c r="M3" s="14">
        <v>5.23528397544322E-4</v>
      </c>
      <c r="N3" s="14">
        <v>100.03076151612649</v>
      </c>
      <c r="O3" s="14">
        <v>36502.225184849718</v>
      </c>
      <c r="P3" s="8">
        <v>100.03076151612649</v>
      </c>
      <c r="Q3" s="54">
        <v>5.3754995433263661E-2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0.66297471595884361</v>
      </c>
      <c r="F4" s="14">
        <v>0.35397537744249968</v>
      </c>
      <c r="G4" s="14">
        <v>4.8887917880009766E-14</v>
      </c>
      <c r="H4" s="14">
        <v>71.215258248841209</v>
      </c>
      <c r="I4" s="14">
        <v>157.40924080274445</v>
      </c>
      <c r="J4" s="14">
        <v>0</v>
      </c>
      <c r="K4" s="14">
        <v>2.825055254478658</v>
      </c>
      <c r="L4" s="14">
        <v>0.35397537744249968</v>
      </c>
      <c r="M4" s="14">
        <v>0.29043679719157101</v>
      </c>
      <c r="N4" s="14">
        <v>9.0686191462066503</v>
      </c>
      <c r="O4" s="14">
        <v>2877.6542274742942</v>
      </c>
      <c r="P4" s="8">
        <v>9.0686191462066503</v>
      </c>
      <c r="Q4" s="54">
        <v>0.22492111319686109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0.8719223742312765</v>
      </c>
      <c r="F5" s="14">
        <v>6.8862988228830281E-3</v>
      </c>
      <c r="G5" s="14">
        <v>1.322739589567965E-6</v>
      </c>
      <c r="H5" s="14">
        <v>190.56619583216946</v>
      </c>
      <c r="I5" s="14">
        <v>512.03899352584097</v>
      </c>
      <c r="J5" s="14">
        <v>0</v>
      </c>
      <c r="K5" s="14">
        <v>145.21588820354714</v>
      </c>
      <c r="L5" s="14">
        <v>6.8862988228830281E-3</v>
      </c>
      <c r="M5" s="14">
        <v>5.650208184175525E-3</v>
      </c>
      <c r="N5" s="14">
        <v>29.652342866732074</v>
      </c>
      <c r="O5" s="14">
        <v>10395.814885647596</v>
      </c>
      <c r="P5" s="8">
        <v>29.652342866732074</v>
      </c>
      <c r="Q5" s="54">
        <v>7.7965601761103578E-2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0.89012442940452285</v>
      </c>
      <c r="F6" s="14">
        <v>2.8577507866130723E-4</v>
      </c>
      <c r="G6" s="14">
        <v>1.2624460872713179E-7</v>
      </c>
      <c r="H6" s="14">
        <v>42.784292329200902</v>
      </c>
      <c r="I6" s="14">
        <v>1945.5460901588626</v>
      </c>
      <c r="J6" s="14">
        <v>0</v>
      </c>
      <c r="K6" s="14">
        <v>3499.2554448219489</v>
      </c>
      <c r="L6" s="14">
        <v>2.8577507866130723E-4</v>
      </c>
      <c r="M6" s="14">
        <v>2.3447845204160257E-4</v>
      </c>
      <c r="N6" s="14">
        <v>116.67475091981979</v>
      </c>
      <c r="O6" s="14">
        <v>41360.032453566921</v>
      </c>
      <c r="P6" s="8">
        <v>116.6747509198198</v>
      </c>
      <c r="Q6" s="54">
        <v>4.1081048906198035E-2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0.87963345207056265</v>
      </c>
      <c r="F7" s="14">
        <v>5.7117064898562573E-4</v>
      </c>
      <c r="G7" s="14">
        <v>1.8614628349597466E-7</v>
      </c>
      <c r="H7" s="14">
        <v>63.157638343623461</v>
      </c>
      <c r="I7" s="14">
        <v>1728.5544034869217</v>
      </c>
      <c r="J7" s="14">
        <v>0</v>
      </c>
      <c r="K7" s="14">
        <v>1750.790244169508</v>
      </c>
      <c r="L7" s="14">
        <v>5.7117064898562573E-4</v>
      </c>
      <c r="M7" s="14">
        <v>4.6864551749270592E-4</v>
      </c>
      <c r="N7" s="14">
        <v>103.00744218761497</v>
      </c>
      <c r="O7" s="14">
        <v>36515.108181087635</v>
      </c>
      <c r="P7" s="8">
        <v>103.00744218761498</v>
      </c>
      <c r="Q7" s="54">
        <v>5.2033501605459109E-2</v>
      </c>
    </row>
    <row r="8" spans="1:20">
      <c r="A8" s="2" t="s">
        <v>323</v>
      </c>
      <c r="B8" s="16" t="s">
        <v>324</v>
      </c>
      <c r="D8" s="14">
        <v>1</v>
      </c>
      <c r="E8" s="14">
        <v>0.86842046061212397</v>
      </c>
      <c r="F8" s="14">
        <v>1.2736902688176923E-3</v>
      </c>
      <c r="G8" s="14">
        <v>1.759998584124855E-6</v>
      </c>
      <c r="H8" s="14">
        <v>96.224094015878734</v>
      </c>
      <c r="I8" s="14">
        <v>1391.0444297683748</v>
      </c>
      <c r="J8" s="14">
        <v>0</v>
      </c>
      <c r="K8" s="14">
        <v>785.12023251010123</v>
      </c>
      <c r="L8" s="14">
        <v>1.2736902688176923E-3</v>
      </c>
      <c r="M8" s="14">
        <v>1.0450628655649166E-3</v>
      </c>
      <c r="N8" s="14">
        <v>82.239162630193519</v>
      </c>
      <c r="O8" s="14">
        <v>26319.821608167134</v>
      </c>
      <c r="P8" s="8">
        <v>82.239162630193519</v>
      </c>
      <c r="Q8" s="54">
        <v>6.5394466567170947E-2</v>
      </c>
    </row>
    <row r="9" spans="1:20">
      <c r="A9" s="2" t="s">
        <v>325</v>
      </c>
      <c r="B9" s="16" t="s">
        <v>326</v>
      </c>
      <c r="D9" s="14">
        <v>1</v>
      </c>
      <c r="E9" s="14">
        <v>0.77034228250578973</v>
      </c>
      <c r="F9" s="14">
        <v>5.9300987414743003E-2</v>
      </c>
      <c r="G9" s="14">
        <v>1.1211156433964185E-6</v>
      </c>
      <c r="H9" s="14">
        <v>168.97479367230844</v>
      </c>
      <c r="I9" s="14">
        <v>307.24094737824851</v>
      </c>
      <c r="J9" s="14">
        <v>0</v>
      </c>
      <c r="K9" s="14">
        <v>16.86312561722011</v>
      </c>
      <c r="L9" s="14">
        <v>5.9300987414743003E-2</v>
      </c>
      <c r="M9" s="14">
        <v>4.8656460173796635E-2</v>
      </c>
      <c r="N9" s="14">
        <v>17.47813963649152</v>
      </c>
      <c r="O9" s="14">
        <v>5319.471798366194</v>
      </c>
      <c r="P9" s="8">
        <v>17.47813963649152</v>
      </c>
      <c r="Q9" s="54">
        <v>0.14999579894631024</v>
      </c>
    </row>
    <row r="10" spans="1:20">
      <c r="A10" s="2" t="s">
        <v>275</v>
      </c>
      <c r="B10" s="16" t="s">
        <v>276</v>
      </c>
      <c r="D10" s="14">
        <v>1</v>
      </c>
      <c r="E10" s="14">
        <v>0.87059646556541059</v>
      </c>
      <c r="F10" s="14">
        <v>6.400434185176951E-3</v>
      </c>
      <c r="G10" s="14">
        <v>1.6984701700515627E-8</v>
      </c>
      <c r="H10" s="14">
        <v>186.56468369184623</v>
      </c>
      <c r="I10" s="14">
        <v>546.87315718807736</v>
      </c>
      <c r="J10" s="14">
        <v>0</v>
      </c>
      <c r="K10" s="14">
        <v>156.23940049503895</v>
      </c>
      <c r="L10" s="14">
        <v>6.4004341851769519E-3</v>
      </c>
      <c r="M10" s="14">
        <v>5.2515562489376891E-3</v>
      </c>
      <c r="N10" s="14">
        <v>31.702874604676587</v>
      </c>
      <c r="O10" s="14">
        <v>11745.598012286629</v>
      </c>
      <c r="P10" s="8">
        <v>31.702874604676587</v>
      </c>
      <c r="Q10" s="54">
        <v>7.8358588972293822E-2</v>
      </c>
    </row>
    <row r="11" spans="1:20">
      <c r="A11" s="2" t="s">
        <v>327</v>
      </c>
      <c r="B11" s="16" t="s">
        <v>328</v>
      </c>
      <c r="D11" s="14">
        <v>1</v>
      </c>
      <c r="E11" s="14">
        <v>0.86838933251002215</v>
      </c>
      <c r="F11" s="14">
        <v>5.6477055690335436E-3</v>
      </c>
      <c r="G11" s="14">
        <v>8.8373190680299466E-7</v>
      </c>
      <c r="H11" s="14">
        <v>179.51140564384437</v>
      </c>
      <c r="I11" s="14">
        <v>608.34398510283393</v>
      </c>
      <c r="J11" s="14">
        <v>0</v>
      </c>
      <c r="K11" s="14">
        <v>177.06305468242101</v>
      </c>
      <c r="L11" s="14">
        <v>5.6477055690335436E-3</v>
      </c>
      <c r="M11" s="14">
        <v>4.6339424193920222E-3</v>
      </c>
      <c r="N11" s="14">
        <v>35.32847502637464</v>
      </c>
      <c r="O11" s="14">
        <v>13456.969422296364</v>
      </c>
      <c r="P11" s="8">
        <v>35.32847502637464</v>
      </c>
      <c r="Q11" s="54">
        <v>7.876789117241953E-2</v>
      </c>
    </row>
    <row r="12" spans="1:20">
      <c r="A12" s="2" t="s">
        <v>329</v>
      </c>
      <c r="B12" s="16" t="s">
        <v>330</v>
      </c>
      <c r="D12" s="14">
        <v>1</v>
      </c>
      <c r="E12" s="14">
        <v>0.80477655477095011</v>
      </c>
      <c r="F12" s="14">
        <v>3.80541087447041E-2</v>
      </c>
      <c r="G12" s="14">
        <v>5.8647572740508202E-7</v>
      </c>
      <c r="H12" s="14">
        <v>183.32494142296719</v>
      </c>
      <c r="I12" s="14">
        <v>320.68505858212819</v>
      </c>
      <c r="J12" s="14">
        <v>0</v>
      </c>
      <c r="K12" s="14">
        <v>26.278371324073319</v>
      </c>
      <c r="L12" s="14">
        <v>3.80541087447041E-2</v>
      </c>
      <c r="M12" s="14">
        <v>3.1223396225029718E-2</v>
      </c>
      <c r="N12" s="14">
        <v>18.290535694694942</v>
      </c>
      <c r="O12" s="14">
        <v>5018.9229946242913</v>
      </c>
      <c r="P12" s="8">
        <v>18.290535694694942</v>
      </c>
      <c r="Q12" s="54">
        <v>0.12655483025972294</v>
      </c>
    </row>
    <row r="13" spans="1:20">
      <c r="A13" s="2" t="s">
        <v>277</v>
      </c>
      <c r="B13" s="16" t="s">
        <v>278</v>
      </c>
      <c r="D13" s="14">
        <v>1</v>
      </c>
      <c r="E13" s="14">
        <v>0.77363797351613461</v>
      </c>
      <c r="F13" s="14">
        <v>5.689401249230247E-2</v>
      </c>
      <c r="G13" s="14">
        <v>1.7449181155754113E-6</v>
      </c>
      <c r="H13" s="14">
        <v>170.43020398126873</v>
      </c>
      <c r="I13" s="14">
        <v>308.7477025116745</v>
      </c>
      <c r="J13" s="14">
        <v>0</v>
      </c>
      <c r="K13" s="14">
        <v>17.576541997899973</v>
      </c>
      <c r="L13" s="14">
        <v>5.689401249230247E-2</v>
      </c>
      <c r="M13" s="14">
        <v>4.668153724993418E-2</v>
      </c>
      <c r="N13" s="14">
        <v>17.567761594366189</v>
      </c>
      <c r="O13" s="14">
        <v>7148.8492255954334</v>
      </c>
      <c r="P13" s="8">
        <v>17.567761594366189</v>
      </c>
      <c r="Q13" s="54">
        <v>0.14770790368908526</v>
      </c>
    </row>
    <row r="14" spans="1:20">
      <c r="A14" s="2" t="s">
        <v>331</v>
      </c>
      <c r="B14" s="16" t="s">
        <v>332</v>
      </c>
      <c r="D14" s="14">
        <v>1</v>
      </c>
      <c r="E14" s="14">
        <v>0.86403682181056007</v>
      </c>
      <c r="F14" s="14">
        <v>3.7373990275114742E-3</v>
      </c>
      <c r="G14" s="14">
        <v>5.8732428132585745E-7</v>
      </c>
      <c r="H14" s="14">
        <v>155.36366880684571</v>
      </c>
      <c r="I14" s="14">
        <v>825.48015876160935</v>
      </c>
      <c r="J14" s="14">
        <v>0</v>
      </c>
      <c r="K14" s="14">
        <v>267.56575699808116</v>
      </c>
      <c r="L14" s="14">
        <v>3.7373990275114742E-3</v>
      </c>
      <c r="M14" s="14">
        <v>3.0665359020731649E-3</v>
      </c>
      <c r="N14" s="14">
        <v>48.202567237439474</v>
      </c>
      <c r="O14" s="14">
        <v>18360.839886413072</v>
      </c>
      <c r="P14" s="8">
        <v>48.202567237439482</v>
      </c>
      <c r="Q14" s="54">
        <v>7.8074037515967448E-2</v>
      </c>
    </row>
    <row r="15" spans="1:20">
      <c r="A15" s="2" t="s">
        <v>333</v>
      </c>
      <c r="B15" s="16" t="s">
        <v>334</v>
      </c>
      <c r="D15" s="14">
        <v>1</v>
      </c>
      <c r="E15" s="14">
        <v>0.86948862428047158</v>
      </c>
      <c r="F15" s="14">
        <v>6.0153312511748176E-3</v>
      </c>
      <c r="G15" s="14">
        <v>9.6251617311265356E-10</v>
      </c>
      <c r="H15" s="14">
        <v>183.09629148091523</v>
      </c>
      <c r="I15" s="14">
        <v>577.08092434261653</v>
      </c>
      <c r="J15" s="14">
        <v>0</v>
      </c>
      <c r="K15" s="14">
        <v>166.24188398680391</v>
      </c>
      <c r="L15" s="14">
        <v>6.0153312511748176E-3</v>
      </c>
      <c r="M15" s="14">
        <v>4.9355792915889377E-3</v>
      </c>
      <c r="N15" s="14">
        <v>33.483439409535805</v>
      </c>
      <c r="O15" s="14">
        <v>12873.712784178328</v>
      </c>
      <c r="P15" s="8">
        <v>33.483439409535812</v>
      </c>
      <c r="Q15" s="54">
        <v>7.8602565065220731E-2</v>
      </c>
    </row>
    <row r="16" spans="1:20">
      <c r="A16" s="2" t="s">
        <v>335</v>
      </c>
      <c r="B16" s="16" t="s">
        <v>336</v>
      </c>
      <c r="D16" s="14">
        <v>1</v>
      </c>
      <c r="E16" s="14">
        <v>0.8678115775939037</v>
      </c>
      <c r="F16" s="14">
        <v>1.317934372459759E-3</v>
      </c>
      <c r="G16" s="14">
        <v>4.573221877985351E-6</v>
      </c>
      <c r="H16" s="14">
        <v>97.857425255627078</v>
      </c>
      <c r="I16" s="14">
        <v>1374.2032000984295</v>
      </c>
      <c r="J16" s="14">
        <v>0</v>
      </c>
      <c r="K16" s="14">
        <v>758.76312272941607</v>
      </c>
      <c r="L16" s="14">
        <v>1.317934372459759E-3</v>
      </c>
      <c r="M16" s="14">
        <v>1.0813651526032323E-3</v>
      </c>
      <c r="N16" s="14">
        <v>81.214242906342093</v>
      </c>
      <c r="O16" s="14">
        <v>30318.901161795631</v>
      </c>
      <c r="P16" s="8">
        <v>81.214242906342093</v>
      </c>
      <c r="Q16" s="54">
        <v>6.5925124031079516E-2</v>
      </c>
    </row>
    <row r="17" spans="1:21">
      <c r="A17" s="2" t="s">
        <v>337</v>
      </c>
      <c r="B17" s="16" t="s">
        <v>338</v>
      </c>
      <c r="D17" s="14">
        <v>1</v>
      </c>
      <c r="E17" s="14">
        <v>0.87151205105144025</v>
      </c>
      <c r="F17" s="14">
        <v>6.7216529956954686E-3</v>
      </c>
      <c r="G17" s="14">
        <v>3.396914188337294E-7</v>
      </c>
      <c r="H17" s="14">
        <v>189.25880270927479</v>
      </c>
      <c r="I17" s="14">
        <v>523.49586919860747</v>
      </c>
      <c r="J17" s="14">
        <v>0</v>
      </c>
      <c r="K17" s="14">
        <v>148.77292842108895</v>
      </c>
      <c r="L17" s="14">
        <v>6.7216529956954686E-3</v>
      </c>
      <c r="M17" s="14">
        <v>5.515116282968132E-3</v>
      </c>
      <c r="N17" s="14">
        <v>30.326414129144766</v>
      </c>
      <c r="O17" s="14">
        <v>11806.679548758641</v>
      </c>
      <c r="P17" s="8">
        <v>30.326414129144766</v>
      </c>
      <c r="Q17" s="54">
        <v>7.8111190880971182E-2</v>
      </c>
    </row>
    <row r="18" spans="1:21">
      <c r="A18" s="2" t="s">
        <v>279</v>
      </c>
      <c r="B18" s="16" t="s">
        <v>280</v>
      </c>
      <c r="D18" s="14">
        <v>1</v>
      </c>
      <c r="E18" s="14">
        <v>0.7530664167379939</v>
      </c>
      <c r="F18" s="14">
        <v>7.1047472706117568E-2</v>
      </c>
      <c r="G18" s="14">
        <v>3.3697456514603036E-5</v>
      </c>
      <c r="H18" s="14">
        <v>161.64736658146438</v>
      </c>
      <c r="I18" s="14">
        <v>298.83110768223577</v>
      </c>
      <c r="J18" s="14">
        <v>0</v>
      </c>
      <c r="K18" s="14">
        <v>14.075096015539124</v>
      </c>
      <c r="L18" s="14">
        <v>7.1047472706117568E-2</v>
      </c>
      <c r="M18" s="14">
        <v>5.829445135536946E-2</v>
      </c>
      <c r="N18" s="14">
        <v>16.984150224616521</v>
      </c>
      <c r="O18" s="14">
        <v>4939.500409825223</v>
      </c>
      <c r="P18" s="8">
        <v>16.984150224616521</v>
      </c>
      <c r="Q18" s="54">
        <v>0.15981804162991331</v>
      </c>
    </row>
    <row r="19" spans="1:21">
      <c r="A19" s="2" t="s">
        <v>339</v>
      </c>
      <c r="B19" s="16" t="s">
        <v>340</v>
      </c>
      <c r="D19" s="14">
        <v>1</v>
      </c>
      <c r="E19" s="14">
        <v>0.86927592672154985</v>
      </c>
      <c r="F19" s="14">
        <v>5.9404789536181956E-3</v>
      </c>
      <c r="G19" s="14">
        <v>3.3731056903246615E-9</v>
      </c>
      <c r="H19" s="14">
        <v>182.390184044226</v>
      </c>
      <c r="I19" s="14">
        <v>583.25521734178869</v>
      </c>
      <c r="J19" s="14">
        <v>0</v>
      </c>
      <c r="K19" s="14">
        <v>168.33659504692383</v>
      </c>
      <c r="L19" s="14">
        <v>5.9404789536181956E-3</v>
      </c>
      <c r="M19" s="14">
        <v>4.8741629814437297E-3</v>
      </c>
      <c r="N19" s="14">
        <v>33.847637671254709</v>
      </c>
      <c r="O19" s="14">
        <v>11699.43596106919</v>
      </c>
      <c r="P19" s="8">
        <v>33.847637671254709</v>
      </c>
      <c r="Q19" s="54">
        <v>7.8642739266982467E-2</v>
      </c>
    </row>
    <row r="20" spans="1:21">
      <c r="A20" s="2" t="s">
        <v>281</v>
      </c>
      <c r="B20" s="16" t="s">
        <v>282</v>
      </c>
      <c r="D20" s="14">
        <v>1</v>
      </c>
      <c r="E20" s="14">
        <v>0.77374109251890477</v>
      </c>
      <c r="F20" s="14">
        <v>5.6901595953860247E-2</v>
      </c>
      <c r="G20" s="14">
        <v>2.6413924684314618E-7</v>
      </c>
      <c r="H20" s="14">
        <v>170.4529207987959</v>
      </c>
      <c r="I20" s="14">
        <v>308.78885581112525</v>
      </c>
      <c r="J20" s="14">
        <v>0</v>
      </c>
      <c r="K20" s="14">
        <v>17.574199514735387</v>
      </c>
      <c r="L20" s="14">
        <v>5.6901595953860254E-2</v>
      </c>
      <c r="M20" s="14">
        <v>4.6687759480142338E-2</v>
      </c>
      <c r="N20" s="14">
        <v>17.570103219413728</v>
      </c>
      <c r="O20" s="14">
        <v>5117.4682636864427</v>
      </c>
      <c r="P20" s="8">
        <v>17.570103219413731</v>
      </c>
      <c r="Q20" s="54">
        <v>0.1477275918277898</v>
      </c>
    </row>
    <row r="21" spans="1:21">
      <c r="A21" s="2" t="s">
        <v>341</v>
      </c>
      <c r="B21" s="16" t="s">
        <v>342</v>
      </c>
      <c r="D21" s="14">
        <v>1</v>
      </c>
      <c r="E21" s="14">
        <v>0.8645866467942106</v>
      </c>
      <c r="F21" s="14">
        <v>4.2292794459298164E-3</v>
      </c>
      <c r="G21" s="14">
        <v>4.9207904301358037E-6</v>
      </c>
      <c r="H21" s="14">
        <v>162.63214187492429</v>
      </c>
      <c r="I21" s="14">
        <v>758.33928104878737</v>
      </c>
      <c r="J21" s="14">
        <v>0</v>
      </c>
      <c r="K21" s="14">
        <v>236.44689663682126</v>
      </c>
      <c r="L21" s="14">
        <v>4.2292794459298164E-3</v>
      </c>
      <c r="M21" s="14">
        <v>3.4701237853854146E-3</v>
      </c>
      <c r="N21" s="14">
        <v>44.211094488949328</v>
      </c>
      <c r="O21" s="14">
        <v>14823.09576025493</v>
      </c>
      <c r="P21" s="8">
        <v>44.211094488949328</v>
      </c>
      <c r="Q21" s="54">
        <v>7.8571230107660206E-2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0.7123186312450368</v>
      </c>
      <c r="F22" s="14">
        <v>0.56317469477782367</v>
      </c>
      <c r="G22" s="14">
        <v>2.177667752569225E-5</v>
      </c>
      <c r="H22" s="14">
        <v>34.116394867460897</v>
      </c>
      <c r="I22" s="14">
        <v>82.379718409633242</v>
      </c>
      <c r="J22" s="14">
        <v>0</v>
      </c>
      <c r="K22" s="14">
        <v>1.7756479637184461</v>
      </c>
      <c r="L22" s="14">
        <v>0.56317469477782367</v>
      </c>
      <c r="M22" s="14">
        <v>0.46208483706520431</v>
      </c>
      <c r="N22" s="14">
        <v>5.0350933266038638</v>
      </c>
      <c r="O22" s="14">
        <v>826.76232422835426</v>
      </c>
      <c r="P22" s="8">
        <v>5.0350933266038638</v>
      </c>
      <c r="Q22" s="54">
        <v>0.19143454179182212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0.78289185908861014</v>
      </c>
      <c r="F23" s="14">
        <v>0.71236741486531296</v>
      </c>
      <c r="G23" s="14">
        <v>9.2835169228028656E-7</v>
      </c>
      <c r="H23" s="14">
        <v>16.273615316955702</v>
      </c>
      <c r="I23" s="14">
        <v>42.222234795345138</v>
      </c>
      <c r="J23" s="14">
        <v>0</v>
      </c>
      <c r="K23" s="14">
        <v>1.4037699916258377</v>
      </c>
      <c r="L23" s="14">
        <v>0.71236741486531296</v>
      </c>
      <c r="M23" s="14">
        <v>0.58449746389698931</v>
      </c>
      <c r="N23" s="14">
        <v>2.932247772755125</v>
      </c>
      <c r="O23" s="14">
        <v>443.23857332966469</v>
      </c>
      <c r="P23" s="8">
        <v>2.932247772755125</v>
      </c>
      <c r="Q23" s="54">
        <v>0.14566030550630615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0.68405680202795971</v>
      </c>
      <c r="F24" s="14">
        <v>0.17396146802454263</v>
      </c>
      <c r="G24" s="14">
        <v>8.0097977771146887E-7</v>
      </c>
      <c r="H24" s="14">
        <v>119.17716877715327</v>
      </c>
      <c r="I24" s="14">
        <v>240.68567043375774</v>
      </c>
      <c r="J24" s="14">
        <v>0</v>
      </c>
      <c r="K24" s="14">
        <v>5.7483994091089139</v>
      </c>
      <c r="L24" s="14">
        <v>0.17396146802454263</v>
      </c>
      <c r="M24" s="14">
        <v>0.14273538451413723</v>
      </c>
      <c r="N24" s="14">
        <v>13.664747748534356</v>
      </c>
      <c r="O24" s="14">
        <v>2408.4117906791803</v>
      </c>
      <c r="P24" s="8">
        <v>13.664747748534358</v>
      </c>
      <c r="Q24" s="54">
        <v>0.20933904312292184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0.83394442046834205</v>
      </c>
      <c r="F25" s="14">
        <v>2.0705326899067254E-2</v>
      </c>
      <c r="G25" s="14">
        <v>1.4640320333625463E-4</v>
      </c>
      <c r="H25" s="14">
        <v>195.93954336905398</v>
      </c>
      <c r="I25" s="14">
        <v>326.12137322625966</v>
      </c>
      <c r="J25" s="14">
        <v>0</v>
      </c>
      <c r="K25" s="14">
        <v>48.296750149114942</v>
      </c>
      <c r="L25" s="14">
        <v>2.0705326899067254E-2</v>
      </c>
      <c r="M25" s="14">
        <v>1.6988720720684681E-2</v>
      </c>
      <c r="N25" s="14">
        <v>18.674760671136887</v>
      </c>
      <c r="O25" s="14">
        <v>3591.1564770596233</v>
      </c>
      <c r="P25" s="8">
        <v>18.674760671136887</v>
      </c>
      <c r="Q25" s="54">
        <v>9.7899226930924274E-2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0.86543386070350303</v>
      </c>
      <c r="F26" s="14">
        <v>4.585351214911537E-3</v>
      </c>
      <c r="G26" s="14">
        <v>3.9516738563026083E-6</v>
      </c>
      <c r="H26" s="14">
        <v>167.39890238933768</v>
      </c>
      <c r="I26" s="14">
        <v>715.50022856611065</v>
      </c>
      <c r="J26" s="14">
        <v>0</v>
      </c>
      <c r="K26" s="14">
        <v>218.0858026203108</v>
      </c>
      <c r="L26" s="14">
        <v>4.5853512149115379E-3</v>
      </c>
      <c r="M26" s="14">
        <v>3.7622806718349165E-3</v>
      </c>
      <c r="N26" s="14">
        <v>41.669151431697678</v>
      </c>
      <c r="O26" s="14">
        <v>9265.9692038666126</v>
      </c>
      <c r="P26" s="8">
        <v>41.669151431697678</v>
      </c>
      <c r="Q26" s="54">
        <v>7.8778875407478854E-2</v>
      </c>
    </row>
    <row r="27" spans="1:21">
      <c r="A27" s="2" t="s">
        <v>353</v>
      </c>
      <c r="B27" s="16" t="s">
        <v>354</v>
      </c>
      <c r="D27" s="14">
        <v>1</v>
      </c>
      <c r="E27" s="14">
        <v>0.87440840612031523</v>
      </c>
      <c r="F27" s="14">
        <v>7.0175044629468102E-4</v>
      </c>
      <c r="G27" s="14">
        <v>2.682941388552372E-5</v>
      </c>
      <c r="H27" s="14">
        <v>70.547673697023811</v>
      </c>
      <c r="I27" s="14">
        <v>1646.0380427430312</v>
      </c>
      <c r="J27" s="14">
        <v>0</v>
      </c>
      <c r="K27" s="14">
        <v>1425.0080000377759</v>
      </c>
      <c r="L27" s="14">
        <v>7.0175044629468102E-4</v>
      </c>
      <c r="M27" s="14">
        <v>5.757862411847858E-4</v>
      </c>
      <c r="N27" s="14">
        <v>97.895430242397566</v>
      </c>
      <c r="O27" s="14">
        <v>23141.500755000357</v>
      </c>
      <c r="P27" s="8">
        <v>97.895430242397566</v>
      </c>
      <c r="Q27" s="54">
        <v>5.5391084501521991E-2</v>
      </c>
    </row>
    <row r="28" spans="1:21">
      <c r="A28" s="2" t="s">
        <v>355</v>
      </c>
      <c r="B28" s="16" t="s">
        <v>356</v>
      </c>
      <c r="D28" s="14">
        <v>1</v>
      </c>
      <c r="E28" s="14">
        <v>0.8633647662992987</v>
      </c>
      <c r="F28" s="14">
        <v>2.5197263972307035E-3</v>
      </c>
      <c r="G28" s="14">
        <v>1.4766646332255756E-6</v>
      </c>
      <c r="H28" s="14">
        <v>132.32849882974935</v>
      </c>
      <c r="I28" s="14">
        <v>1040.1849276864866</v>
      </c>
      <c r="J28" s="14">
        <v>0</v>
      </c>
      <c r="K28" s="14">
        <v>396.86848583998903</v>
      </c>
      <c r="L28" s="14">
        <v>2.5197263972307035E-3</v>
      </c>
      <c r="M28" s="14">
        <v>2.0674355089277925E-3</v>
      </c>
      <c r="N28" s="14">
        <v>61.033781501288637</v>
      </c>
      <c r="O28" s="14">
        <v>15771.129139932984</v>
      </c>
      <c r="P28" s="8">
        <v>61.033781501288644</v>
      </c>
      <c r="Q28" s="54">
        <v>7.4835998315889593E-2</v>
      </c>
    </row>
    <row r="29" spans="1:21">
      <c r="A29" s="2" t="s">
        <v>357</v>
      </c>
      <c r="B29" s="16" t="s">
        <v>358</v>
      </c>
      <c r="D29" s="14">
        <v>1</v>
      </c>
      <c r="E29" s="14">
        <v>0.84111681853174047</v>
      </c>
      <c r="F29" s="14">
        <v>3.7921920344191145E-3</v>
      </c>
      <c r="G29" s="14">
        <v>2.9855119188982172E-4</v>
      </c>
      <c r="H29" s="14">
        <v>153.59968379522326</v>
      </c>
      <c r="I29" s="14">
        <v>781.35337503588141</v>
      </c>
      <c r="J29" s="14">
        <v>0</v>
      </c>
      <c r="K29" s="14">
        <v>263.69972589037923</v>
      </c>
      <c r="L29" s="14">
        <v>3.7921920344191145E-3</v>
      </c>
      <c r="M29" s="14">
        <v>3.1114935642408835E-3</v>
      </c>
      <c r="N29" s="14">
        <v>45.601475055446883</v>
      </c>
      <c r="O29" s="14">
        <v>10779.732688357088</v>
      </c>
      <c r="P29" s="8">
        <v>45.601475055446883</v>
      </c>
      <c r="Q29" s="54">
        <v>7.6181144405549295E-2</v>
      </c>
    </row>
    <row r="30" spans="1:21">
      <c r="A30" s="2" t="s">
        <v>359</v>
      </c>
      <c r="B30" s="16" t="s">
        <v>360</v>
      </c>
      <c r="D30" s="14">
        <v>1</v>
      </c>
      <c r="E30" s="14">
        <v>0.8633647662992987</v>
      </c>
      <c r="F30" s="14">
        <v>2.5197263972307035E-3</v>
      </c>
      <c r="G30" s="14">
        <v>1.4766646332255756E-6</v>
      </c>
      <c r="H30" s="14">
        <v>132.32849882974935</v>
      </c>
      <c r="I30" s="14">
        <v>1040.1849276864866</v>
      </c>
      <c r="J30" s="14">
        <v>0</v>
      </c>
      <c r="K30" s="14">
        <v>396.86848583998903</v>
      </c>
      <c r="L30" s="14">
        <v>2.5197263972307035E-3</v>
      </c>
      <c r="M30" s="14">
        <v>2.0674355089277925E-3</v>
      </c>
      <c r="N30" s="14">
        <v>61.033781501288637</v>
      </c>
      <c r="O30" s="14">
        <v>15771.129139932984</v>
      </c>
      <c r="P30" s="8">
        <v>61.033781501288644</v>
      </c>
      <c r="Q30" s="54">
        <v>7.4835998315889593E-2</v>
      </c>
    </row>
    <row r="31" spans="1:21">
      <c r="A31" s="2" t="s">
        <v>283</v>
      </c>
      <c r="B31" s="16" t="s">
        <v>284</v>
      </c>
      <c r="D31" s="14">
        <v>1</v>
      </c>
      <c r="E31" s="14">
        <v>0.97626632239436739</v>
      </c>
      <c r="F31" s="14">
        <v>0.97924268931542835</v>
      </c>
      <c r="G31" s="14">
        <v>2.9120499870650457E-10</v>
      </c>
      <c r="H31" s="14">
        <v>0.1705965868552583</v>
      </c>
      <c r="I31" s="14">
        <v>0.63390986256502502</v>
      </c>
      <c r="J31" s="14">
        <v>0</v>
      </c>
      <c r="K31" s="14">
        <v>1.0211973098303984</v>
      </c>
      <c r="L31" s="14">
        <v>0.97924268931542835</v>
      </c>
      <c r="M31" s="14">
        <v>0.80346862658330898</v>
      </c>
      <c r="N31" s="14">
        <v>0.88312748924835538</v>
      </c>
      <c r="O31" s="14">
        <v>171.49452713713814</v>
      </c>
      <c r="P31" s="8">
        <v>0.88312748924835549</v>
      </c>
      <c r="Q31" s="54">
        <v>1.5769848049896493E-2</v>
      </c>
    </row>
    <row r="32" spans="1:21">
      <c r="A32" s="2" t="s">
        <v>361</v>
      </c>
      <c r="B32" s="16" t="s">
        <v>362</v>
      </c>
      <c r="D32" s="14">
        <v>1</v>
      </c>
      <c r="E32" s="14">
        <v>0.67589796598583096</v>
      </c>
      <c r="F32" s="14">
        <v>0.43485648560191043</v>
      </c>
      <c r="G32" s="14">
        <v>2.3644398475211566E-10</v>
      </c>
      <c r="H32" s="14">
        <v>55.344933786278773</v>
      </c>
      <c r="I32" s="14">
        <v>126.345025983547</v>
      </c>
      <c r="J32" s="14">
        <v>0</v>
      </c>
      <c r="K32" s="14">
        <v>2.2996092575596321</v>
      </c>
      <c r="L32" s="14">
        <v>0.43485648560191043</v>
      </c>
      <c r="M32" s="14">
        <v>0.35679974643636753</v>
      </c>
      <c r="N32" s="14">
        <v>7.4748858069992208</v>
      </c>
      <c r="O32" s="14">
        <v>1914.2435063144303</v>
      </c>
      <c r="P32" s="8">
        <v>7.4748858069992208</v>
      </c>
      <c r="Q32" s="54">
        <v>0.21664972846930775</v>
      </c>
    </row>
    <row r="33" spans="1:17">
      <c r="A33" s="2" t="s">
        <v>364</v>
      </c>
      <c r="B33" s="16" t="s">
        <v>365</v>
      </c>
      <c r="D33" s="14">
        <v>1</v>
      </c>
      <c r="E33" s="14">
        <v>0.99957322301896701</v>
      </c>
      <c r="F33" s="14">
        <v>0.99926673177549008</v>
      </c>
      <c r="G33" s="14">
        <v>1.3408054403109255E-12</v>
      </c>
      <c r="H33" s="14">
        <v>1.1939370486314853</v>
      </c>
      <c r="I33" s="14">
        <v>3.3804176988780133E-3</v>
      </c>
      <c r="J33" s="14">
        <v>0</v>
      </c>
      <c r="K33" s="14">
        <v>1.0007338063013536</v>
      </c>
      <c r="L33" s="14">
        <v>0.99926673177549008</v>
      </c>
      <c r="M33" s="14">
        <v>0.81989835342178963</v>
      </c>
      <c r="N33" s="14">
        <v>0.88017345718918838</v>
      </c>
      <c r="O33" s="14">
        <v>260.66336934657812</v>
      </c>
      <c r="P33" s="8">
        <v>0.88017345718918849</v>
      </c>
      <c r="Q33" s="54">
        <v>3.8545205630136716E-5</v>
      </c>
    </row>
    <row r="34" spans="1:17">
      <c r="A34" s="2" t="s">
        <v>285</v>
      </c>
      <c r="B34" s="16" t="s">
        <v>286</v>
      </c>
      <c r="D34" s="14">
        <v>1</v>
      </c>
      <c r="E34" s="14">
        <v>0.99918257670813315</v>
      </c>
      <c r="F34" s="14">
        <v>0.54942072244728835</v>
      </c>
      <c r="G34" s="14">
        <v>3.9854722533593372E-12</v>
      </c>
      <c r="H34" s="14">
        <v>128.42957211657978</v>
      </c>
      <c r="I34" s="14">
        <v>9.7656500681821065E-2</v>
      </c>
      <c r="J34" s="14">
        <v>0</v>
      </c>
      <c r="K34" s="14">
        <v>1.8200988043292095</v>
      </c>
      <c r="L34" s="14">
        <v>0.54942072244728835</v>
      </c>
      <c r="M34" s="14">
        <v>0.45079970276800008</v>
      </c>
      <c r="N34" s="14">
        <v>1.4830668957187689</v>
      </c>
      <c r="O34" s="14">
        <v>327.81710662967669</v>
      </c>
      <c r="P34" s="8">
        <v>1.4830668957187692</v>
      </c>
      <c r="Q34" s="54">
        <v>1.3131101495635411E-4</v>
      </c>
    </row>
    <row r="35" spans="1:17">
      <c r="A35" s="2" t="s">
        <v>287</v>
      </c>
      <c r="B35" s="16" t="s">
        <v>288</v>
      </c>
      <c r="D35" s="14">
        <v>1</v>
      </c>
      <c r="E35" s="14">
        <v>0.99881148176900914</v>
      </c>
      <c r="F35" s="14">
        <v>0.32523350808136559</v>
      </c>
      <c r="G35" s="14">
        <v>1.1608059304648217E-13</v>
      </c>
      <c r="H35" s="14">
        <v>191.76762234020995</v>
      </c>
      <c r="I35" s="14">
        <v>0.34384619408763384</v>
      </c>
      <c r="J35" s="14">
        <v>0</v>
      </c>
      <c r="K35" s="14">
        <v>3.074713936762703</v>
      </c>
      <c r="L35" s="14">
        <v>0.32523350808136559</v>
      </c>
      <c r="M35" s="14">
        <v>0.26685409338076049</v>
      </c>
      <c r="N35" s="14">
        <v>1.7087909720374861</v>
      </c>
      <c r="O35" s="14">
        <v>393.46620922135151</v>
      </c>
      <c r="P35" s="8">
        <v>1.7087909720374861</v>
      </c>
      <c r="Q35" s="54">
        <v>3.1780755829436926E-4</v>
      </c>
    </row>
    <row r="36" spans="1:17">
      <c r="A36" s="2" t="s">
        <v>366</v>
      </c>
      <c r="B36" s="16" t="s">
        <v>305</v>
      </c>
      <c r="D36" s="14">
        <v>1</v>
      </c>
      <c r="E36" s="14">
        <v>0.99870485658326824</v>
      </c>
      <c r="F36" s="14">
        <v>0.108481506401244</v>
      </c>
      <c r="G36" s="14">
        <v>2.0463371172252569E-10</v>
      </c>
      <c r="H36" s="14">
        <v>253.06711103209508</v>
      </c>
      <c r="I36" s="14">
        <v>0.67087113488339478</v>
      </c>
      <c r="J36" s="14">
        <v>0</v>
      </c>
      <c r="K36" s="14">
        <v>9.2181610780852186</v>
      </c>
      <c r="L36" s="14">
        <v>0.10848150640124402</v>
      </c>
      <c r="M36" s="14">
        <v>8.9009076002220716E-2</v>
      </c>
      <c r="N36" s="14">
        <v>1.830818552554323</v>
      </c>
      <c r="O36" s="14">
        <v>377.66125102090575</v>
      </c>
      <c r="P36" s="8">
        <v>1.830818552554323</v>
      </c>
      <c r="Q36" s="54">
        <v>3.5517231514665336E-4</v>
      </c>
    </row>
    <row r="37" spans="1:17">
      <c r="A37" s="2" t="s">
        <v>289</v>
      </c>
      <c r="B37" s="16" t="s">
        <v>290</v>
      </c>
      <c r="D37" s="14">
        <v>1</v>
      </c>
      <c r="E37" s="14">
        <v>0.92733638853835976</v>
      </c>
      <c r="F37" s="14">
        <v>0.20856335987566568</v>
      </c>
      <c r="G37" s="14">
        <v>4.6498644823620681E-17</v>
      </c>
      <c r="H37" s="14">
        <v>197.76890753951443</v>
      </c>
      <c r="I37" s="14">
        <v>62.51570467843662</v>
      </c>
      <c r="J37" s="14">
        <v>0</v>
      </c>
      <c r="K37" s="14">
        <v>4.7947060336779508</v>
      </c>
      <c r="L37" s="14">
        <v>0.20856335987566568</v>
      </c>
      <c r="M37" s="14">
        <v>0.17112623677798369</v>
      </c>
      <c r="N37" s="14">
        <v>4.8821391284989373</v>
      </c>
      <c r="O37" s="14">
        <v>1701.0349151515998</v>
      </c>
      <c r="P37" s="8">
        <v>4.8821391284989373</v>
      </c>
      <c r="Q37" s="54">
        <v>4.7663851293674855E-2</v>
      </c>
    </row>
    <row r="38" spans="1:17">
      <c r="A38" s="2" t="s">
        <v>291</v>
      </c>
      <c r="B38" s="16" t="s">
        <v>292</v>
      </c>
      <c r="D38" s="14">
        <v>1</v>
      </c>
      <c r="E38" s="14">
        <v>0.99751162037588803</v>
      </c>
      <c r="F38" s="14">
        <v>0.61525963722596111</v>
      </c>
      <c r="G38" s="14">
        <v>1.3415773577570289E-14</v>
      </c>
      <c r="H38" s="14">
        <v>109.23414785873715</v>
      </c>
      <c r="I38" s="14">
        <v>0.84496182502062755</v>
      </c>
      <c r="J38" s="14">
        <v>0</v>
      </c>
      <c r="K38" s="14">
        <v>1.6253300874875016</v>
      </c>
      <c r="L38" s="14">
        <v>0.61525963722596122</v>
      </c>
      <c r="M38" s="14">
        <v>0.50482053234390112</v>
      </c>
      <c r="N38" s="14">
        <v>1.444651381051508</v>
      </c>
      <c r="O38" s="14">
        <v>445.42936031961148</v>
      </c>
      <c r="P38" s="8">
        <v>1.4446513810515083</v>
      </c>
      <c r="Q38" s="54">
        <v>1.270097578932521E-3</v>
      </c>
    </row>
    <row r="39" spans="1:17">
      <c r="A39" s="2" t="s">
        <v>367</v>
      </c>
      <c r="B39" s="16" t="s">
        <v>368</v>
      </c>
      <c r="D39" s="14">
        <v>1</v>
      </c>
      <c r="E39" s="14">
        <v>0.88204196039616445</v>
      </c>
      <c r="F39" s="14">
        <v>1.0320014751898339E-2</v>
      </c>
      <c r="G39" s="14">
        <v>1.6034994148388335E-7</v>
      </c>
      <c r="H39" s="14">
        <v>210.93095458395288</v>
      </c>
      <c r="I39" s="14">
        <v>341.11238574103982</v>
      </c>
      <c r="J39" s="14">
        <v>0</v>
      </c>
      <c r="K39" s="14">
        <v>96.899086294043585</v>
      </c>
      <c r="L39" s="14">
        <v>1.0320014751898339E-2</v>
      </c>
      <c r="M39" s="14">
        <v>8.4675721039325878E-3</v>
      </c>
      <c r="N39" s="14">
        <v>19.635403413018953</v>
      </c>
      <c r="O39" s="14">
        <v>5465.318185979695</v>
      </c>
      <c r="P39" s="8">
        <v>19.635403413018956</v>
      </c>
      <c r="Q39" s="54">
        <v>7.4045298606052981E-2</v>
      </c>
    </row>
    <row r="40" spans="1:17">
      <c r="A40" s="2" t="s">
        <v>369</v>
      </c>
      <c r="B40" s="16" t="s">
        <v>370</v>
      </c>
      <c r="D40" s="14">
        <v>1</v>
      </c>
      <c r="E40" s="14">
        <v>0.94579605674687939</v>
      </c>
      <c r="F40" s="14">
        <v>9.6946760319341417E-4</v>
      </c>
      <c r="G40" s="14">
        <v>9.8416159220773468E-15</v>
      </c>
      <c r="H40" s="14">
        <v>250.42247344102708</v>
      </c>
      <c r="I40" s="14">
        <v>167.74720516126484</v>
      </c>
      <c r="J40" s="14">
        <v>0</v>
      </c>
      <c r="K40" s="14">
        <v>1031.4939836112239</v>
      </c>
      <c r="L40" s="14">
        <v>9.6946760319341417E-4</v>
      </c>
      <c r="M40" s="14">
        <v>7.9544816842019633E-4</v>
      </c>
      <c r="N40" s="14">
        <v>122.45764151641626</v>
      </c>
      <c r="O40" s="14">
        <v>49828.014333029772</v>
      </c>
      <c r="P40" s="8">
        <v>122.45764151641627</v>
      </c>
      <c r="Q40" s="54">
        <v>1.8709203253546778E-3</v>
      </c>
    </row>
    <row r="41" spans="1:17">
      <c r="A41" s="2" t="s">
        <v>371</v>
      </c>
      <c r="B41" s="16" t="s">
        <v>372</v>
      </c>
      <c r="D41" s="14">
        <v>1</v>
      </c>
      <c r="E41" s="14">
        <v>0.91330712479346077</v>
      </c>
      <c r="F41" s="14">
        <v>0.91683937629657852</v>
      </c>
      <c r="G41" s="14">
        <v>9.0866069939982391E-4</v>
      </c>
      <c r="H41" s="14">
        <v>7.9464518652647472E-3</v>
      </c>
      <c r="I41" s="14">
        <v>3.6832434721303618E-2</v>
      </c>
      <c r="J41" s="14">
        <v>0</v>
      </c>
      <c r="K41" s="14">
        <v>1.0907035908943343</v>
      </c>
      <c r="L41" s="14">
        <v>0.91683937629657852</v>
      </c>
      <c r="M41" s="14">
        <v>0.75226670825134268</v>
      </c>
      <c r="N41" s="14">
        <v>0.79732388545192789</v>
      </c>
      <c r="O41" s="14">
        <v>111.77683550150577</v>
      </c>
      <c r="P41" s="8">
        <v>0.79732388545192789</v>
      </c>
      <c r="Q41" s="54">
        <v>3.0905119543491503E-3</v>
      </c>
    </row>
    <row r="42" spans="1:17">
      <c r="A42" s="2" t="s">
        <v>293</v>
      </c>
      <c r="B42" s="16" t="s">
        <v>294</v>
      </c>
      <c r="D42" s="14">
        <v>1</v>
      </c>
      <c r="E42" s="14">
        <v>0.69994156667524288</v>
      </c>
      <c r="F42" s="14">
        <v>0.5256764256386911</v>
      </c>
      <c r="G42" s="14">
        <v>1.9436004407393706E-10</v>
      </c>
      <c r="H42" s="14">
        <v>39.88214436237147</v>
      </c>
      <c r="I42" s="14">
        <v>94.718687604457315</v>
      </c>
      <c r="J42" s="14">
        <v>0</v>
      </c>
      <c r="K42" s="14">
        <v>1.9023109107185294</v>
      </c>
      <c r="L42" s="14">
        <v>0.52567642563869121</v>
      </c>
      <c r="M42" s="14">
        <v>0.4313175072365461</v>
      </c>
      <c r="N42" s="14">
        <v>5.6918748434872866</v>
      </c>
      <c r="O42" s="14">
        <v>1880.36777329446</v>
      </c>
      <c r="P42" s="8">
        <v>5.6918748434872866</v>
      </c>
      <c r="Q42" s="54">
        <v>0.20092578416870976</v>
      </c>
    </row>
    <row r="43" spans="1:17">
      <c r="A43" s="2" t="s">
        <v>373</v>
      </c>
      <c r="B43" s="16" t="s">
        <v>374</v>
      </c>
      <c r="D43" s="14">
        <v>1</v>
      </c>
      <c r="E43" s="14">
        <v>0.99802141730480154</v>
      </c>
      <c r="F43" s="14">
        <v>8.8381251244141062E-3</v>
      </c>
      <c r="G43" s="14">
        <v>4.7856723931103335E-10</v>
      </c>
      <c r="H43" s="14">
        <v>280.91837383287111</v>
      </c>
      <c r="I43" s="14">
        <v>2.1961585099966321</v>
      </c>
      <c r="J43" s="14">
        <v>0</v>
      </c>
      <c r="K43" s="14">
        <v>113.14616911652872</v>
      </c>
      <c r="L43" s="14">
        <v>8.8381251244141062E-3</v>
      </c>
      <c r="M43" s="14">
        <v>7.2516816645817744E-3</v>
      </c>
      <c r="N43" s="14">
        <v>3.707786258206732</v>
      </c>
      <c r="O43" s="14">
        <v>987.53179201078092</v>
      </c>
      <c r="P43" s="8">
        <v>3.7077862582067325</v>
      </c>
      <c r="Q43" s="54">
        <v>2.8435684209741333E-4</v>
      </c>
    </row>
    <row r="44" spans="1:17">
      <c r="A44" s="2" t="s">
        <v>375</v>
      </c>
      <c r="B44" s="16" t="s">
        <v>376</v>
      </c>
      <c r="D44" s="14">
        <v>1</v>
      </c>
      <c r="E44" s="14">
        <v>0.78707132491545417</v>
      </c>
      <c r="F44" s="14">
        <v>0.76466332423363748</v>
      </c>
      <c r="G44" s="14">
        <v>9.4562457065719906E-4</v>
      </c>
      <c r="H44" s="14">
        <v>5.5295559975326007</v>
      </c>
      <c r="I44" s="14">
        <v>15.615195692869463</v>
      </c>
      <c r="J44" s="14">
        <v>0</v>
      </c>
      <c r="K44" s="14">
        <v>1.3077650886450216</v>
      </c>
      <c r="L44" s="14">
        <v>0.76466332423363759</v>
      </c>
      <c r="M44" s="14">
        <v>0.62740625753369961</v>
      </c>
      <c r="N44" s="14">
        <v>1.5123570239821877</v>
      </c>
      <c r="O44" s="14">
        <v>225.94613938293887</v>
      </c>
      <c r="P44" s="8">
        <v>1.512357023982188</v>
      </c>
      <c r="Q44" s="54">
        <v>8.585140979834463E-2</v>
      </c>
    </row>
    <row r="45" spans="1:17">
      <c r="A45" s="2" t="s">
        <v>377</v>
      </c>
      <c r="B45" s="16" t="s">
        <v>378</v>
      </c>
      <c r="D45" s="14">
        <v>1</v>
      </c>
      <c r="E45" s="14">
        <v>0.68857554832524437</v>
      </c>
      <c r="F45" s="14">
        <v>0.49024200729009998</v>
      </c>
      <c r="G45" s="14">
        <v>7.3922902310531922E-6</v>
      </c>
      <c r="H45" s="14">
        <v>45.430814370441055</v>
      </c>
      <c r="I45" s="14">
        <v>106.31821893527442</v>
      </c>
      <c r="J45" s="14">
        <v>0</v>
      </c>
      <c r="K45" s="14">
        <v>2.0398088803684491</v>
      </c>
      <c r="L45" s="14">
        <v>0.49024200729010003</v>
      </c>
      <c r="M45" s="14">
        <v>0.40224356698152708</v>
      </c>
      <c r="N45" s="14">
        <v>6.3106552546309169</v>
      </c>
      <c r="O45" s="14">
        <v>1402.480023789175</v>
      </c>
      <c r="P45" s="8">
        <v>6.3106552546309169</v>
      </c>
      <c r="Q45" s="54">
        <v>0.20797335248423568</v>
      </c>
    </row>
    <row r="46" spans="1:17">
      <c r="A46" s="2" t="s">
        <v>379</v>
      </c>
      <c r="B46" s="16" t="s">
        <v>380</v>
      </c>
      <c r="D46" s="14">
        <v>1</v>
      </c>
      <c r="E46" s="14">
        <v>0.69429659414958533</v>
      </c>
      <c r="F46" s="14">
        <v>0.51155447147773547</v>
      </c>
      <c r="G46" s="14">
        <v>2.2231070342831875E-5</v>
      </c>
      <c r="H46" s="14">
        <v>41.834240151883698</v>
      </c>
      <c r="I46" s="14">
        <v>98.807305455450035</v>
      </c>
      <c r="J46" s="14">
        <v>0</v>
      </c>
      <c r="K46" s="14">
        <v>1.9548260366316108</v>
      </c>
      <c r="L46" s="14">
        <v>0.51155447147773547</v>
      </c>
      <c r="M46" s="14">
        <v>0.41973044384748198</v>
      </c>
      <c r="N46" s="14">
        <v>5.9085327597769055</v>
      </c>
      <c r="O46" s="14">
        <v>759.60097159691895</v>
      </c>
      <c r="P46" s="8">
        <v>5.9085327597769055</v>
      </c>
      <c r="Q46" s="54">
        <v>0.20332419238830626</v>
      </c>
    </row>
    <row r="47" spans="1:17">
      <c r="A47" s="2" t="s">
        <v>381</v>
      </c>
      <c r="B47" s="16" t="s">
        <v>382</v>
      </c>
      <c r="D47" s="14">
        <v>1</v>
      </c>
      <c r="E47" s="14">
        <v>0.87792494482719285</v>
      </c>
      <c r="F47" s="14">
        <v>6.4028968665628884E-4</v>
      </c>
      <c r="G47" s="14">
        <v>4.5614717994277055E-10</v>
      </c>
      <c r="H47" s="14">
        <v>67.216594688579804</v>
      </c>
      <c r="I47" s="14">
        <v>1686.2954855093469</v>
      </c>
      <c r="J47" s="14">
        <v>0</v>
      </c>
      <c r="K47" s="14">
        <v>1561.7930771650949</v>
      </c>
      <c r="L47" s="14">
        <v>6.4028968665628895E-4</v>
      </c>
      <c r="M47" s="14">
        <v>5.2535768790148507E-4</v>
      </c>
      <c r="N47" s="14">
        <v>100.3802846906466</v>
      </c>
      <c r="O47" s="14">
        <v>39277.801596603116</v>
      </c>
      <c r="P47" s="8">
        <v>100.38028469064662</v>
      </c>
      <c r="Q47" s="54">
        <v>5.3942823820905407E-2</v>
      </c>
    </row>
    <row r="48" spans="1:17">
      <c r="A48" s="2" t="s">
        <v>383</v>
      </c>
      <c r="B48" s="16" t="s">
        <v>384</v>
      </c>
      <c r="D48" s="14">
        <v>1</v>
      </c>
      <c r="E48" s="14">
        <v>0.91122479484224705</v>
      </c>
      <c r="F48" s="14">
        <v>0.90636658919685198</v>
      </c>
      <c r="G48" s="14">
        <v>1.3074719357564525E-4</v>
      </c>
      <c r="H48" s="14">
        <v>1.7856810426202934</v>
      </c>
      <c r="I48" s="14">
        <v>5.5495920430655499</v>
      </c>
      <c r="J48" s="14">
        <v>0</v>
      </c>
      <c r="K48" s="14">
        <v>1.103306335338462</v>
      </c>
      <c r="L48" s="14">
        <v>0.90636658919685198</v>
      </c>
      <c r="M48" s="14">
        <v>0.74367378643601711</v>
      </c>
      <c r="N48" s="14">
        <v>1.0853012431863671</v>
      </c>
      <c r="O48" s="14">
        <v>101.07410477794636</v>
      </c>
      <c r="P48" s="8">
        <v>1.0853012431863671</v>
      </c>
      <c r="Q48" s="54">
        <v>5.1672688569319426E-2</v>
      </c>
    </row>
    <row r="49" spans="1:17">
      <c r="A49" s="2" t="s">
        <v>385</v>
      </c>
      <c r="B49" s="16" t="s">
        <v>386</v>
      </c>
      <c r="D49" s="14">
        <v>1</v>
      </c>
      <c r="E49" s="14">
        <v>0.87631494966357215</v>
      </c>
      <c r="F49" s="14">
        <v>0.86489343394527241</v>
      </c>
      <c r="G49" s="14">
        <v>2.441131010579075E-4</v>
      </c>
      <c r="H49" s="14">
        <v>3.183923321484377</v>
      </c>
      <c r="I49" s="14">
        <v>9.4497380707406755</v>
      </c>
      <c r="J49" s="14">
        <v>0</v>
      </c>
      <c r="K49" s="14">
        <v>1.1562118068562843</v>
      </c>
      <c r="L49" s="14">
        <v>0.86489343394527252</v>
      </c>
      <c r="M49" s="14">
        <v>0.70964506255209603</v>
      </c>
      <c r="N49" s="14">
        <v>1.2616747548818892</v>
      </c>
      <c r="O49" s="14">
        <v>140.19729876247553</v>
      </c>
      <c r="P49" s="8">
        <v>1.2616747548818892</v>
      </c>
      <c r="Q49" s="54">
        <v>6.8299853294811905E-2</v>
      </c>
    </row>
    <row r="50" spans="1:17">
      <c r="A50" s="2" t="s">
        <v>387</v>
      </c>
      <c r="B50" s="16" t="s">
        <v>388</v>
      </c>
      <c r="D50" s="14">
        <v>1</v>
      </c>
      <c r="E50" s="14">
        <v>0.74543448298200432</v>
      </c>
      <c r="F50" s="14">
        <v>7.5192890189109976E-2</v>
      </c>
      <c r="G50" s="14">
        <v>7.2785566379951391E-5</v>
      </c>
      <c r="H50" s="14">
        <v>158.71456316538226</v>
      </c>
      <c r="I50" s="14">
        <v>295.03527819717556</v>
      </c>
      <c r="J50" s="14">
        <v>0</v>
      </c>
      <c r="K50" s="14">
        <v>13.299129711399598</v>
      </c>
      <c r="L50" s="14">
        <v>7.519289018910999E-2</v>
      </c>
      <c r="M50" s="14">
        <v>6.1695766400164741E-2</v>
      </c>
      <c r="N50" s="14">
        <v>16.763861776179752</v>
      </c>
      <c r="O50" s="14">
        <v>3310.024507706692</v>
      </c>
      <c r="P50" s="8">
        <v>16.763861776179755</v>
      </c>
      <c r="Q50" s="54">
        <v>0.16265744601601803</v>
      </c>
    </row>
    <row r="51" spans="1:17">
      <c r="A51" s="2" t="s">
        <v>295</v>
      </c>
      <c r="B51" s="16" t="s">
        <v>296</v>
      </c>
      <c r="D51" s="14">
        <v>1</v>
      </c>
      <c r="E51" s="14">
        <v>0.90454144395748781</v>
      </c>
      <c r="F51" s="14">
        <v>0.90667436309470339</v>
      </c>
      <c r="G51" s="14">
        <v>7.2811474093745871E-4</v>
      </c>
      <c r="H51" s="14">
        <v>0.28785338169156788</v>
      </c>
      <c r="I51" s="14">
        <v>1.0233601624453408</v>
      </c>
      <c r="J51" s="14">
        <v>0</v>
      </c>
      <c r="K51" s="14">
        <v>1.1029318140051443</v>
      </c>
      <c r="L51" s="14">
        <v>0.90667436309470339</v>
      </c>
      <c r="M51" s="14">
        <v>0.74392631491920413</v>
      </c>
      <c r="N51" s="14">
        <v>0.84102543689112308</v>
      </c>
      <c r="O51" s="14">
        <v>48.846757374636425</v>
      </c>
      <c r="P51" s="8">
        <v>0.84102543689112308</v>
      </c>
      <c r="Q51" s="54">
        <v>1.996312410538648E-2</v>
      </c>
    </row>
    <row r="52" spans="1:17">
      <c r="A52" s="2" t="s">
        <v>389</v>
      </c>
      <c r="B52" s="16" t="s">
        <v>390</v>
      </c>
      <c r="D52" s="14">
        <v>1</v>
      </c>
      <c r="E52" s="14">
        <v>0.76541774919773398</v>
      </c>
      <c r="F52" s="14">
        <v>0.72482858883407564</v>
      </c>
      <c r="G52" s="14">
        <v>7.6546229334130574E-4</v>
      </c>
      <c r="H52" s="14">
        <v>9.5520220108368612</v>
      </c>
      <c r="I52" s="14">
        <v>25.807889188001838</v>
      </c>
      <c r="J52" s="14">
        <v>0</v>
      </c>
      <c r="K52" s="14">
        <v>1.3796365311811885</v>
      </c>
      <c r="L52" s="14">
        <v>0.72482858883407564</v>
      </c>
      <c r="M52" s="14">
        <v>0.59472185713835912</v>
      </c>
      <c r="N52" s="14">
        <v>2.0378991928576839</v>
      </c>
      <c r="O52" s="14">
        <v>218.36089851470086</v>
      </c>
      <c r="P52" s="8">
        <v>2.0378991928576839</v>
      </c>
      <c r="Q52" s="54">
        <v>0.11126344054987018</v>
      </c>
    </row>
    <row r="53" spans="1:17">
      <c r="A53" s="2" t="s">
        <v>391</v>
      </c>
      <c r="B53" s="16" t="s">
        <v>392</v>
      </c>
      <c r="D53" s="14">
        <v>1</v>
      </c>
      <c r="E53" s="14">
        <v>0.66440896581069819</v>
      </c>
      <c r="F53" s="14">
        <v>0.37914393446216288</v>
      </c>
      <c r="G53" s="14">
        <v>2.181085046425423E-5</v>
      </c>
      <c r="H53" s="14">
        <v>65.651418260381419</v>
      </c>
      <c r="I53" s="14">
        <v>146.72404225083307</v>
      </c>
      <c r="J53" s="14">
        <v>0</v>
      </c>
      <c r="K53" s="14">
        <v>2.6375207648212977</v>
      </c>
      <c r="L53" s="14">
        <v>0.37914393446216293</v>
      </c>
      <c r="M53" s="14">
        <v>0.31108759822620469</v>
      </c>
      <c r="N53" s="14">
        <v>8.4870241801273867</v>
      </c>
      <c r="O53" s="14">
        <v>1375.0676576642393</v>
      </c>
      <c r="P53" s="8">
        <v>8.4870241801273867</v>
      </c>
      <c r="Q53" s="54">
        <v>0.22279286755700919</v>
      </c>
    </row>
    <row r="54" spans="1:17">
      <c r="A54" s="2" t="s">
        <v>393</v>
      </c>
      <c r="B54" s="16" t="s">
        <v>394</v>
      </c>
      <c r="D54" s="14">
        <v>1</v>
      </c>
      <c r="E54" s="14">
        <v>0.87291855874757218</v>
      </c>
      <c r="F54" s="14">
        <v>8.9381344767522461E-4</v>
      </c>
      <c r="G54" s="14">
        <v>2.1032716699894309E-6</v>
      </c>
      <c r="H54" s="14">
        <v>80.291003235603739</v>
      </c>
      <c r="I54" s="14">
        <v>1551.4009577844558</v>
      </c>
      <c r="J54" s="14">
        <v>0</v>
      </c>
      <c r="K54" s="14">
        <v>1118.8016946947516</v>
      </c>
      <c r="L54" s="14">
        <v>8.9381344767522461E-4</v>
      </c>
      <c r="M54" s="14">
        <v>7.3337393381752184E-4</v>
      </c>
      <c r="N54" s="14">
        <v>92.05079410973309</v>
      </c>
      <c r="O54" s="14">
        <v>21483.734837270604</v>
      </c>
      <c r="P54" s="8">
        <v>92.05079410973309</v>
      </c>
      <c r="Q54" s="54">
        <v>5.9555798961327476E-2</v>
      </c>
    </row>
    <row r="55" spans="1:17">
      <c r="A55" s="2" t="s">
        <v>395</v>
      </c>
      <c r="B55" s="16" t="s">
        <v>396</v>
      </c>
      <c r="D55" s="14">
        <v>1</v>
      </c>
      <c r="E55" s="14">
        <v>0.59967130687384473</v>
      </c>
      <c r="F55" s="14">
        <v>0.13626390574849642</v>
      </c>
      <c r="G55" s="14">
        <v>1.4720051203871518E-3</v>
      </c>
      <c r="H55" s="14">
        <v>108.46280532666627</v>
      </c>
      <c r="I55" s="14">
        <v>216.63967914256753</v>
      </c>
      <c r="J55" s="14">
        <v>0</v>
      </c>
      <c r="K55" s="14">
        <v>7.3387005495476512</v>
      </c>
      <c r="L55" s="14">
        <v>0.13626390574849642</v>
      </c>
      <c r="M55" s="14">
        <v>0.11180453466664132</v>
      </c>
      <c r="N55" s="14">
        <v>12.294912541886427</v>
      </c>
      <c r="O55" s="14">
        <v>1575.8389404935831</v>
      </c>
      <c r="P55" s="8">
        <v>12.294912541886427</v>
      </c>
      <c r="Q55" s="54">
        <v>0.1773119490910105</v>
      </c>
    </row>
    <row r="56" spans="1:17">
      <c r="A56" s="2" t="s">
        <v>397</v>
      </c>
      <c r="B56" s="16" t="s">
        <v>398</v>
      </c>
      <c r="D56" s="14">
        <v>1</v>
      </c>
      <c r="E56" s="14">
        <v>0.3181217443668457</v>
      </c>
      <c r="F56" s="14">
        <v>1.6141578467518663E-2</v>
      </c>
      <c r="G56" s="14">
        <v>6.6929023604818958E-3</v>
      </c>
      <c r="H56" s="14">
        <v>72.141638457675555</v>
      </c>
      <c r="I56" s="14">
        <v>126.89460915615584</v>
      </c>
      <c r="J56" s="14">
        <v>0</v>
      </c>
      <c r="K56" s="14">
        <v>61.951809856283738</v>
      </c>
      <c r="L56" s="14">
        <v>1.6141578467518663E-2</v>
      </c>
      <c r="M56" s="14">
        <v>1.3244165132599062E-2</v>
      </c>
      <c r="N56" s="14">
        <v>7.2346106209929824</v>
      </c>
      <c r="O56" s="14">
        <v>1312.7200971791767</v>
      </c>
      <c r="P56" s="8">
        <v>7.2346106209929832</v>
      </c>
      <c r="Q56" s="54">
        <v>5.1622992042052486E-2</v>
      </c>
    </row>
    <row r="57" spans="1:17">
      <c r="A57" s="2" t="s">
        <v>399</v>
      </c>
      <c r="B57" s="16" t="s">
        <v>400</v>
      </c>
      <c r="D57" s="14">
        <v>1</v>
      </c>
      <c r="E57" s="14">
        <v>0.16615352663567901</v>
      </c>
      <c r="F57" s="14">
        <v>2.9206592390775485E-2</v>
      </c>
      <c r="G57" s="14">
        <v>8.5072535626548387E-3</v>
      </c>
      <c r="H57" s="14">
        <v>32.178136502083682</v>
      </c>
      <c r="I57" s="14">
        <v>62.750625673022448</v>
      </c>
      <c r="J57" s="14">
        <v>0</v>
      </c>
      <c r="K57" s="14">
        <v>34.238845347663244</v>
      </c>
      <c r="L57" s="14">
        <v>2.9206592390775485E-2</v>
      </c>
      <c r="M57" s="14">
        <v>2.3964009056631284E-2</v>
      </c>
      <c r="N57" s="14">
        <v>3.5605381262037326</v>
      </c>
      <c r="O57" s="14">
        <v>523.39910455194865</v>
      </c>
      <c r="P57" s="8">
        <v>3.560538126203733</v>
      </c>
      <c r="Q57" s="54">
        <v>4.5021303030856351E-2</v>
      </c>
    </row>
    <row r="58" spans="1:17">
      <c r="A58" s="2" t="s">
        <v>297</v>
      </c>
      <c r="B58" s="16" t="s">
        <v>298</v>
      </c>
      <c r="D58" s="14">
        <v>1</v>
      </c>
      <c r="E58" s="14">
        <v>6.0462193844609068E-2</v>
      </c>
      <c r="F58" s="14">
        <v>5.9395001496429276E-2</v>
      </c>
      <c r="G58" s="14">
        <v>1.0350906492520089E-2</v>
      </c>
      <c r="H58" s="14">
        <v>0.28076947996742496</v>
      </c>
      <c r="I58" s="14">
        <v>0.81810127288443035</v>
      </c>
      <c r="J58" s="14">
        <v>0</v>
      </c>
      <c r="K58" s="14">
        <v>16.836433619083557</v>
      </c>
      <c r="L58" s="14">
        <v>5.9395001496429276E-2</v>
      </c>
      <c r="M58" s="14">
        <v>4.8733598727820224E-2</v>
      </c>
      <c r="N58" s="14">
        <v>9.5874319180025022E-2</v>
      </c>
      <c r="O58" s="14">
        <v>8.1426059279595258</v>
      </c>
      <c r="P58" s="8">
        <v>9.5874319180025022E-2</v>
      </c>
      <c r="Q58" s="54">
        <v>5.3432693648060841E-3</v>
      </c>
    </row>
    <row r="59" spans="1:17">
      <c r="A59" s="2" t="s">
        <v>401</v>
      </c>
      <c r="B59" s="16" t="s">
        <v>402</v>
      </c>
      <c r="D59" s="14">
        <v>1</v>
      </c>
      <c r="E59" s="14">
        <v>6.4372210245205383E-2</v>
      </c>
      <c r="F59" s="14">
        <v>1.202334044946265E-2</v>
      </c>
      <c r="G59" s="14">
        <v>1.0096099739607078E-2</v>
      </c>
      <c r="H59" s="14">
        <v>12.28924336378804</v>
      </c>
      <c r="I59" s="14">
        <v>24.098072986839686</v>
      </c>
      <c r="J59" s="14">
        <v>0</v>
      </c>
      <c r="K59" s="14">
        <v>83.171561530946434</v>
      </c>
      <c r="L59" s="14">
        <v>1.202334044946265E-2</v>
      </c>
      <c r="M59" s="14">
        <v>9.8651508387841043E-3</v>
      </c>
      <c r="N59" s="14">
        <v>1.367326291187251</v>
      </c>
      <c r="O59" s="14">
        <v>226.74371886758186</v>
      </c>
      <c r="P59" s="8">
        <v>1.367326291187251</v>
      </c>
      <c r="Q59" s="54">
        <v>1.7823061899805065E-2</v>
      </c>
    </row>
    <row r="60" spans="1:17">
      <c r="A60" s="2" t="s">
        <v>299</v>
      </c>
      <c r="B60" s="16" t="s">
        <v>300</v>
      </c>
      <c r="D60" s="14">
        <v>1</v>
      </c>
      <c r="E60" s="14">
        <v>1.3154845058911946E-3</v>
      </c>
      <c r="F60" s="14">
        <v>4.495247651516626E-4</v>
      </c>
      <c r="G60" s="14">
        <v>1.1089248366539935E-2</v>
      </c>
      <c r="H60" s="14">
        <v>0.20131383529931571</v>
      </c>
      <c r="I60" s="14">
        <v>0.41949886833391309</v>
      </c>
      <c r="J60" s="14">
        <v>0</v>
      </c>
      <c r="K60" s="14">
        <v>2224.5715420431079</v>
      </c>
      <c r="L60" s="14">
        <v>4.495247651516626E-4</v>
      </c>
      <c r="M60" s="14">
        <v>3.6883506980693917E-4</v>
      </c>
      <c r="N60" s="14">
        <v>2.3872623894789599E-2</v>
      </c>
      <c r="O60" s="14">
        <v>1.9608973267180176</v>
      </c>
      <c r="P60" s="8">
        <v>2.3872623894789599E-2</v>
      </c>
      <c r="Q60" s="54">
        <v>4.3344180234817061E-4</v>
      </c>
    </row>
    <row r="61" spans="1:17">
      <c r="A61" s="2" t="s">
        <v>403</v>
      </c>
      <c r="B61" s="16" t="s">
        <v>404</v>
      </c>
      <c r="D61" s="14">
        <v>1</v>
      </c>
      <c r="E61" s="14">
        <v>0.66175928694721575</v>
      </c>
      <c r="F61" s="14">
        <v>0.28408093293857861</v>
      </c>
      <c r="G61" s="14">
        <v>4.9509731744967853E-46</v>
      </c>
      <c r="H61" s="14">
        <v>87.430323545285319</v>
      </c>
      <c r="I61" s="14">
        <v>187.29201251545558</v>
      </c>
      <c r="J61" s="14">
        <v>0</v>
      </c>
      <c r="K61" s="14">
        <v>3.5201236128586317</v>
      </c>
      <c r="L61" s="14">
        <v>0.28408093293857861</v>
      </c>
      <c r="M61" s="14">
        <v>0.23308840547610377</v>
      </c>
      <c r="N61" s="14">
        <v>10.702769641975571</v>
      </c>
      <c r="O61" s="14">
        <v>12871.257799136241</v>
      </c>
      <c r="P61" s="8">
        <v>10.702769641975571</v>
      </c>
      <c r="Q61" s="54">
        <v>0.22527824611712932</v>
      </c>
    </row>
    <row r="62" spans="1:17">
      <c r="A62" s="2" t="s">
        <v>405</v>
      </c>
      <c r="B62" s="16" t="s">
        <v>406</v>
      </c>
      <c r="D62" s="14">
        <v>1</v>
      </c>
      <c r="E62" s="14">
        <v>0.86425081454773722</v>
      </c>
      <c r="F62" s="14">
        <v>3.8432282486792393E-3</v>
      </c>
      <c r="G62" s="14">
        <v>1.1772932814205139E-9</v>
      </c>
      <c r="H62" s="14">
        <v>157.02043562835425</v>
      </c>
      <c r="I62" s="14">
        <v>810.42596848752908</v>
      </c>
      <c r="J62" s="14">
        <v>0</v>
      </c>
      <c r="K62" s="14">
        <v>260.19792093890317</v>
      </c>
      <c r="L62" s="14">
        <v>3.8432282486792393E-3</v>
      </c>
      <c r="M62" s="14">
        <v>3.153368778041316E-3</v>
      </c>
      <c r="N62" s="14">
        <v>47.306640096704243</v>
      </c>
      <c r="O62" s="14">
        <v>15084.195261235116</v>
      </c>
      <c r="P62" s="8">
        <v>47.306640096704243</v>
      </c>
      <c r="Q62" s="54">
        <v>7.8219196192294935E-2</v>
      </c>
    </row>
    <row r="63" spans="1:17">
      <c r="A63" s="2" t="s">
        <v>407</v>
      </c>
      <c r="B63" s="16" t="s">
        <v>408</v>
      </c>
      <c r="D63" s="14">
        <v>1</v>
      </c>
      <c r="E63" s="14">
        <v>0.88709513249911887</v>
      </c>
      <c r="F63" s="14">
        <v>3.497772906998384E-4</v>
      </c>
      <c r="G63" s="14">
        <v>2.8078900452534455E-7</v>
      </c>
      <c r="H63" s="14">
        <v>48.023256816229761</v>
      </c>
      <c r="I63" s="14">
        <v>1888.899189468385</v>
      </c>
      <c r="J63" s="14">
        <v>0</v>
      </c>
      <c r="K63" s="14">
        <v>2858.9620498208687</v>
      </c>
      <c r="L63" s="14">
        <v>3.4977729069983845E-4</v>
      </c>
      <c r="M63" s="14">
        <v>2.8699226701921741E-4</v>
      </c>
      <c r="N63" s="14">
        <v>113.0727370437982</v>
      </c>
      <c r="O63" s="14">
        <v>54929.604928506735</v>
      </c>
      <c r="P63" s="8">
        <v>113.07273704379821</v>
      </c>
      <c r="Q63" s="54">
        <v>4.4137606679153105E-2</v>
      </c>
    </row>
    <row r="64" spans="1:17">
      <c r="A64" s="2" t="s">
        <v>409</v>
      </c>
      <c r="B64" s="16" t="s">
        <v>410</v>
      </c>
      <c r="D64" s="14">
        <v>1</v>
      </c>
      <c r="E64" s="14">
        <v>0.90181568673979196</v>
      </c>
      <c r="F64" s="14">
        <v>1.2121722527146301E-4</v>
      </c>
      <c r="G64" s="14">
        <v>3.4770651345662849E-8</v>
      </c>
      <c r="H64" s="14">
        <v>25.881195811626718</v>
      </c>
      <c r="I64" s="14">
        <v>2133.2487966424314</v>
      </c>
      <c r="J64" s="14">
        <v>0</v>
      </c>
      <c r="K64" s="14">
        <v>8249.6526195887127</v>
      </c>
      <c r="L64" s="14">
        <v>1.2121722527146301E-4</v>
      </c>
      <c r="M64" s="14">
        <v>9.94587333352354E-5</v>
      </c>
      <c r="N64" s="14">
        <v>128.88574572009509</v>
      </c>
      <c r="O64" s="14">
        <v>72780.491750680507</v>
      </c>
      <c r="P64" s="8">
        <v>128.88574572009512</v>
      </c>
      <c r="Q64" s="54">
        <v>2.9733190221924357E-2</v>
      </c>
    </row>
    <row r="65" spans="1:17">
      <c r="A65" s="2" t="s">
        <v>301</v>
      </c>
      <c r="B65" s="16" t="s">
        <v>302</v>
      </c>
      <c r="D65" s="14">
        <v>1</v>
      </c>
      <c r="E65" s="14">
        <v>0.9147762926776678</v>
      </c>
      <c r="F65" s="14">
        <v>3.4042312811371258E-5</v>
      </c>
      <c r="G65" s="14">
        <v>4.2968238084104933E-9</v>
      </c>
      <c r="H65" s="14">
        <v>12.009337722670089</v>
      </c>
      <c r="I65" s="14">
        <v>2296.0229716630688</v>
      </c>
      <c r="J65" s="14">
        <v>0</v>
      </c>
      <c r="K65" s="14">
        <v>29375.207423214997</v>
      </c>
      <c r="L65" s="14">
        <v>3.4042312811371258E-5</v>
      </c>
      <c r="M65" s="14">
        <v>2.7931717661730116E-5</v>
      </c>
      <c r="N65" s="14">
        <v>140.19019621244166</v>
      </c>
      <c r="O65" s="14">
        <v>90223.606478403206</v>
      </c>
      <c r="P65" s="8">
        <v>140.19019621244166</v>
      </c>
      <c r="Q65" s="54">
        <v>1.7781820784300649E-2</v>
      </c>
    </row>
    <row r="66" spans="1:17">
      <c r="A66" s="2" t="s">
        <v>303</v>
      </c>
      <c r="B66" s="16" t="s">
        <v>304</v>
      </c>
      <c r="D66" s="14">
        <v>1</v>
      </c>
      <c r="E66" s="14">
        <v>0.90799076782844101</v>
      </c>
      <c r="F66" s="14">
        <v>7.0567118758251528E-5</v>
      </c>
      <c r="G66" s="14">
        <v>4.1471607857660581E-15</v>
      </c>
      <c r="H66" s="14">
        <v>18.707785668505828</v>
      </c>
      <c r="I66" s="14">
        <v>2216.0500071380729</v>
      </c>
      <c r="J66" s="14">
        <v>0</v>
      </c>
      <c r="K66" s="14">
        <v>14170.905906273358</v>
      </c>
      <c r="L66" s="14">
        <v>7.0567118758251528E-5</v>
      </c>
      <c r="M66" s="14">
        <v>5.7900320941145375E-5</v>
      </c>
      <c r="N66" s="14">
        <v>134.49762142756234</v>
      </c>
      <c r="O66" s="14">
        <v>86792.660083420255</v>
      </c>
      <c r="P66" s="8">
        <v>134.49762142756236</v>
      </c>
      <c r="Q66" s="54">
        <v>2.3976156040836426E-2</v>
      </c>
    </row>
    <row r="67" spans="1:17">
      <c r="A67" s="2" t="s">
        <v>411</v>
      </c>
      <c r="B67" s="16" t="s">
        <v>412</v>
      </c>
      <c r="D67" s="14">
        <v>1</v>
      </c>
      <c r="E67" s="14">
        <v>0.84422961869967195</v>
      </c>
      <c r="F67" s="14">
        <v>0.81448549863582342</v>
      </c>
      <c r="G67" s="14">
        <v>5.1714442128834412E-5</v>
      </c>
      <c r="H67" s="14">
        <v>7.1942140685835652</v>
      </c>
      <c r="I67" s="14">
        <v>20.018914612699856</v>
      </c>
      <c r="J67" s="14">
        <v>0</v>
      </c>
      <c r="K67" s="14">
        <v>1.2277689433082524</v>
      </c>
      <c r="L67" s="14">
        <v>0.81448549863582342</v>
      </c>
      <c r="M67" s="14">
        <v>0.66828535163069314</v>
      </c>
      <c r="N67" s="14">
        <v>1.796536277106068</v>
      </c>
      <c r="O67" s="14">
        <v>539.14053675953107</v>
      </c>
      <c r="P67" s="8">
        <v>1.7965362771060682</v>
      </c>
      <c r="Q67" s="54">
        <v>0.10149403698383531</v>
      </c>
    </row>
    <row r="68" spans="1:17">
      <c r="A68" s="2" t="s">
        <v>413</v>
      </c>
      <c r="B68" s="16" t="s">
        <v>414</v>
      </c>
      <c r="D68" s="14">
        <v>1</v>
      </c>
      <c r="E68" s="14">
        <v>0.79659419340483772</v>
      </c>
      <c r="F68" s="14">
        <v>0.7426080510116615</v>
      </c>
      <c r="G68" s="14">
        <v>1.1092977727721963E-4</v>
      </c>
      <c r="H68" s="14">
        <v>12.566653872661389</v>
      </c>
      <c r="I68" s="14">
        <v>33.333185878074246</v>
      </c>
      <c r="J68" s="14">
        <v>0</v>
      </c>
      <c r="K68" s="14">
        <v>1.3466053844119938</v>
      </c>
      <c r="L68" s="14">
        <v>0.7426080510116615</v>
      </c>
      <c r="M68" s="14">
        <v>0.60930990585506828</v>
      </c>
      <c r="N68" s="14">
        <v>2.4674046445330697</v>
      </c>
      <c r="O68" s="14">
        <v>809.67883410352681</v>
      </c>
      <c r="P68" s="8">
        <v>2.4674046445330697</v>
      </c>
      <c r="Q68" s="54">
        <v>0.12986042626541833</v>
      </c>
    </row>
    <row r="69" spans="1:17">
      <c r="A69" s="2" t="s">
        <v>415</v>
      </c>
      <c r="B69" s="16" t="s">
        <v>416</v>
      </c>
      <c r="D69" s="14">
        <v>1</v>
      </c>
      <c r="E69" s="14">
        <v>0.86655154188518657</v>
      </c>
      <c r="F69" s="14">
        <v>1.3861143322126403E-3</v>
      </c>
      <c r="G69" s="14">
        <v>1.3550257295416619E-5</v>
      </c>
      <c r="H69" s="14">
        <v>100.28109190114874</v>
      </c>
      <c r="I69" s="14">
        <v>1348.2679932528549</v>
      </c>
      <c r="J69" s="14">
        <v>0</v>
      </c>
      <c r="K69" s="14">
        <v>721.44120925703874</v>
      </c>
      <c r="L69" s="14">
        <v>1.3861143322126403E-3</v>
      </c>
      <c r="M69" s="14">
        <v>1.1373068095804713E-3</v>
      </c>
      <c r="N69" s="14">
        <v>79.638463709983085</v>
      </c>
      <c r="O69" s="14">
        <v>36958.61823852895</v>
      </c>
      <c r="P69" s="8">
        <v>79.6384637099831</v>
      </c>
      <c r="Q69" s="54">
        <v>6.6677026635022368E-2</v>
      </c>
    </row>
    <row r="70" spans="1:17">
      <c r="A70" s="2" t="s">
        <v>417</v>
      </c>
      <c r="B70" s="16" t="s">
        <v>418</v>
      </c>
      <c r="D70" s="14">
        <v>1</v>
      </c>
      <c r="E70" s="14">
        <v>0.82965864357108532</v>
      </c>
      <c r="F70" s="14">
        <v>2.5574735459561362E-2</v>
      </c>
      <c r="G70" s="14">
        <v>3.5215968588298008E-5</v>
      </c>
      <c r="H70" s="14">
        <v>193.24628340945009</v>
      </c>
      <c r="I70" s="14">
        <v>327.01548713797479</v>
      </c>
      <c r="J70" s="14">
        <v>0</v>
      </c>
      <c r="K70" s="14">
        <v>39.101088712381589</v>
      </c>
      <c r="L70" s="14">
        <v>2.5574735459561362E-2</v>
      </c>
      <c r="M70" s="14">
        <v>2.09840704445701E-2</v>
      </c>
      <c r="N70" s="14">
        <v>18.700067833336981</v>
      </c>
      <c r="O70" s="14">
        <v>5872.7563030594793</v>
      </c>
      <c r="P70" s="8">
        <v>18.700067833336981</v>
      </c>
      <c r="Q70" s="54">
        <v>0.10753957626702726</v>
      </c>
    </row>
    <row r="71" spans="1:17">
      <c r="A71" s="2" t="s">
        <v>419</v>
      </c>
      <c r="B71" s="16" t="s">
        <v>420</v>
      </c>
      <c r="D71" s="14">
        <v>1</v>
      </c>
      <c r="E71" s="14">
        <v>0.79178743415872088</v>
      </c>
      <c r="F71" s="14">
        <v>0.743098596563181</v>
      </c>
      <c r="G71" s="14">
        <v>2.7232965054666957E-4</v>
      </c>
      <c r="H71" s="14">
        <v>11.378013404730245</v>
      </c>
      <c r="I71" s="14">
        <v>30.403502108365824</v>
      </c>
      <c r="J71" s="14">
        <v>0</v>
      </c>
      <c r="K71" s="14">
        <v>1.3457164427775585</v>
      </c>
      <c r="L71" s="14">
        <v>0.743098596563181</v>
      </c>
      <c r="M71" s="14">
        <v>0.60971239848009007</v>
      </c>
      <c r="N71" s="14">
        <v>2.306419341737485</v>
      </c>
      <c r="O71" s="14">
        <v>493.66599590549129</v>
      </c>
      <c r="P71" s="8">
        <v>2.3064193417374854</v>
      </c>
      <c r="Q71" s="54">
        <v>0.12334558578877061</v>
      </c>
    </row>
    <row r="72" spans="1:17">
      <c r="A72" s="2" t="s">
        <v>421</v>
      </c>
      <c r="B72" s="16" t="s">
        <v>422</v>
      </c>
      <c r="D72" s="14">
        <v>1</v>
      </c>
      <c r="E72" s="14">
        <v>0.81097640115518843</v>
      </c>
      <c r="F72" s="14">
        <v>2.9550031492596253E-2</v>
      </c>
      <c r="G72" s="14">
        <v>1.4759322952207871E-4</v>
      </c>
      <c r="H72" s="14">
        <v>187.42950061727265</v>
      </c>
      <c r="I72" s="14">
        <v>321.2884540356601</v>
      </c>
      <c r="J72" s="14">
        <v>0</v>
      </c>
      <c r="K72" s="14">
        <v>33.840911480942061</v>
      </c>
      <c r="L72" s="14">
        <v>2.9550031492596253E-2</v>
      </c>
      <c r="M72" s="14">
        <v>2.4245800839675227E-2</v>
      </c>
      <c r="N72" s="14">
        <v>18.353475980817848</v>
      </c>
      <c r="O72" s="14">
        <v>7599.6237993772465</v>
      </c>
      <c r="P72" s="8">
        <v>18.353475980817848</v>
      </c>
      <c r="Q72" s="54">
        <v>0.11342143008621977</v>
      </c>
    </row>
    <row r="73" spans="1:17">
      <c r="A73" s="2" t="s">
        <v>423</v>
      </c>
      <c r="B73" s="16" t="s">
        <v>424</v>
      </c>
      <c r="D73" s="14">
        <v>1</v>
      </c>
      <c r="E73" s="14">
        <v>0.65462969257353532</v>
      </c>
      <c r="F73" s="14">
        <v>0.26138617733606928</v>
      </c>
      <c r="G73" s="14">
        <v>1.4415546293238758E-4</v>
      </c>
      <c r="H73" s="14">
        <v>91.159643356753179</v>
      </c>
      <c r="I73" s="14">
        <v>193.49056295998065</v>
      </c>
      <c r="J73" s="14">
        <v>0</v>
      </c>
      <c r="K73" s="14">
        <v>3.8257570090031217</v>
      </c>
      <c r="L73" s="14">
        <v>0.26138617733606928</v>
      </c>
      <c r="M73" s="14">
        <v>0.21446735850424484</v>
      </c>
      <c r="N73" s="14">
        <v>11.038731298902622</v>
      </c>
      <c r="O73" s="14">
        <v>4726.4535802511364</v>
      </c>
      <c r="P73" s="8">
        <v>11.038731298902624</v>
      </c>
      <c r="Q73" s="54">
        <v>0.22123803281648222</v>
      </c>
    </row>
    <row r="74" spans="1:17">
      <c r="A74" s="2" t="s">
        <v>425</v>
      </c>
      <c r="B74" s="16" t="s">
        <v>426</v>
      </c>
      <c r="D74" s="14">
        <v>1</v>
      </c>
      <c r="E74" s="14">
        <v>0.82530780938328285</v>
      </c>
      <c r="F74" s="14">
        <v>2.6688531257100967E-2</v>
      </c>
      <c r="G74" s="14">
        <v>5.4341692637665031E-5</v>
      </c>
      <c r="H74" s="14">
        <v>191.82476464767979</v>
      </c>
      <c r="I74" s="14">
        <v>325.80807568431084</v>
      </c>
      <c r="J74" s="14">
        <v>0</v>
      </c>
      <c r="K74" s="14">
        <v>37.469278109260202</v>
      </c>
      <c r="L74" s="14">
        <v>2.6688531257100967E-2</v>
      </c>
      <c r="M74" s="14">
        <v>2.1897939896451345E-2</v>
      </c>
      <c r="N74" s="14">
        <v>18.625422703704864</v>
      </c>
      <c r="O74" s="14">
        <v>9837.5757636428334</v>
      </c>
      <c r="P74" s="8">
        <v>18.625422703704864</v>
      </c>
      <c r="Q74" s="54">
        <v>0.10933566350204547</v>
      </c>
    </row>
    <row r="75" spans="1:17">
      <c r="A75" s="2" t="s">
        <v>427</v>
      </c>
      <c r="B75" s="16" t="s">
        <v>428</v>
      </c>
      <c r="D75" s="14">
        <v>1</v>
      </c>
      <c r="E75" s="14">
        <v>0.99477295429220913</v>
      </c>
      <c r="F75" s="14">
        <v>4.3154932345369386E-3</v>
      </c>
      <c r="G75" s="14">
        <v>6.0877794528589238E-12</v>
      </c>
      <c r="H75" s="14">
        <v>281.40411255111349</v>
      </c>
      <c r="I75" s="14">
        <v>1.0054078333160748</v>
      </c>
      <c r="J75" s="14">
        <v>0</v>
      </c>
      <c r="K75" s="14">
        <v>231.72322273546604</v>
      </c>
      <c r="L75" s="14">
        <v>4.3154932345369395E-3</v>
      </c>
      <c r="M75" s="14">
        <v>3.5408621989375584E-3</v>
      </c>
      <c r="N75" s="14">
        <v>12.24728907259283</v>
      </c>
      <c r="O75" s="14">
        <v>6908.5732929588894</v>
      </c>
      <c r="P75" s="8">
        <v>12.24728907259283</v>
      </c>
      <c r="Q75" s="54">
        <v>5.614903084619638E-5</v>
      </c>
    </row>
    <row r="76" spans="1:17">
      <c r="A76" s="2" t="s">
        <v>429</v>
      </c>
      <c r="B76" s="16" t="s">
        <v>430</v>
      </c>
      <c r="D76" s="14">
        <v>1</v>
      </c>
      <c r="E76" s="14">
        <v>0.99477295482355466</v>
      </c>
      <c r="F76" s="14">
        <v>4.3154932368420053E-3</v>
      </c>
      <c r="G76" s="14">
        <v>1.5291810613827075E-13</v>
      </c>
      <c r="H76" s="14">
        <v>281.40411270142192</v>
      </c>
      <c r="I76" s="14">
        <v>1.0054078338531005</v>
      </c>
      <c r="J76" s="14">
        <v>0</v>
      </c>
      <c r="K76" s="14">
        <v>231.72322261169401</v>
      </c>
      <c r="L76" s="14">
        <v>4.3154932368420053E-3</v>
      </c>
      <c r="M76" s="14">
        <v>3.5408622008288653E-3</v>
      </c>
      <c r="N76" s="14">
        <v>12.247289079134564</v>
      </c>
      <c r="O76" s="14">
        <v>6125.2366871475688</v>
      </c>
      <c r="P76" s="8">
        <v>12.247289079134564</v>
      </c>
      <c r="Q76" s="54">
        <v>5.6149030876187682E-5</v>
      </c>
    </row>
    <row r="77" spans="1:17">
      <c r="A77" s="2" t="s">
        <v>431</v>
      </c>
      <c r="B77" s="16" t="s">
        <v>432</v>
      </c>
      <c r="D77" s="14">
        <v>1</v>
      </c>
      <c r="E77" s="14">
        <v>0.70715336650983329</v>
      </c>
      <c r="F77" s="14">
        <v>0.10097847214108065</v>
      </c>
      <c r="G77" s="14">
        <v>2.6250482050926718E-4</v>
      </c>
      <c r="H77" s="14">
        <v>142.85939128764954</v>
      </c>
      <c r="I77" s="14">
        <v>273.50543825810882</v>
      </c>
      <c r="J77" s="14">
        <v>0</v>
      </c>
      <c r="K77" s="14">
        <v>9.9031009164296346</v>
      </c>
      <c r="L77" s="14">
        <v>0.10097847214108065</v>
      </c>
      <c r="M77" s="14">
        <v>8.2852836391756668E-2</v>
      </c>
      <c r="N77" s="14">
        <v>15.523611910570642</v>
      </c>
      <c r="O77" s="14">
        <v>5651.5261521623479</v>
      </c>
      <c r="P77" s="8">
        <v>15.523611910570642</v>
      </c>
      <c r="Q77" s="54">
        <v>0.17732336578327773</v>
      </c>
    </row>
    <row r="78" spans="1:17">
      <c r="A78" s="2" t="s">
        <v>433</v>
      </c>
      <c r="B78" s="16" t="s">
        <v>434</v>
      </c>
      <c r="D78" s="14">
        <v>1</v>
      </c>
      <c r="E78" s="14">
        <v>0.68240708275853523</v>
      </c>
      <c r="F78" s="14">
        <v>0.52491266391409563</v>
      </c>
      <c r="G78" s="14">
        <v>3.6960304307281954E-4</v>
      </c>
      <c r="H78" s="14">
        <v>36.033549996630384</v>
      </c>
      <c r="I78" s="14">
        <v>86.211305434994514</v>
      </c>
      <c r="J78" s="14">
        <v>0</v>
      </c>
      <c r="K78" s="14">
        <v>1.9050788231004741</v>
      </c>
      <c r="L78" s="14">
        <v>0.52491266391409563</v>
      </c>
      <c r="M78" s="14">
        <v>0.43069084074151548</v>
      </c>
      <c r="N78" s="14">
        <v>5.2175729795218224</v>
      </c>
      <c r="O78" s="14">
        <v>1377.7001452427373</v>
      </c>
      <c r="P78" s="8">
        <v>5.2175729795218224</v>
      </c>
      <c r="Q78" s="54">
        <v>0.19044265233162058</v>
      </c>
    </row>
    <row r="79" spans="1:17">
      <c r="A79" s="2" t="s">
        <v>435</v>
      </c>
      <c r="B79" s="16" t="s">
        <v>436</v>
      </c>
      <c r="D79" s="14">
        <v>1</v>
      </c>
      <c r="E79" s="14">
        <v>0.65950542835220771</v>
      </c>
      <c r="F79" s="14">
        <v>0.36831338432018812</v>
      </c>
      <c r="G79" s="14">
        <v>8.6338796152970413E-5</v>
      </c>
      <c r="H79" s="14">
        <v>67.046714541450186</v>
      </c>
      <c r="I79" s="14">
        <v>149.29135917582909</v>
      </c>
      <c r="J79" s="14">
        <v>0</v>
      </c>
      <c r="K79" s="14">
        <v>2.715079175973317</v>
      </c>
      <c r="L79" s="14">
        <v>0.36831338432018812</v>
      </c>
      <c r="M79" s="14">
        <v>0.30220113183471436</v>
      </c>
      <c r="N79" s="14">
        <v>8.6233187920279075</v>
      </c>
      <c r="O79" s="14">
        <v>3450.2760818782858</v>
      </c>
      <c r="P79" s="8">
        <v>8.6233187920279075</v>
      </c>
      <c r="Q79" s="54">
        <v>0.22214404311842698</v>
      </c>
    </row>
    <row r="80" spans="1:17">
      <c r="A80" s="2" t="s">
        <v>437</v>
      </c>
      <c r="B80" s="16" t="s">
        <v>438</v>
      </c>
      <c r="D80" s="14">
        <v>1</v>
      </c>
      <c r="E80" s="14">
        <v>0.98995553886002463</v>
      </c>
      <c r="F80" s="14">
        <v>2.9118858903728678E-3</v>
      </c>
      <c r="G80" s="14">
        <v>2.1692161165678171E-12</v>
      </c>
      <c r="H80" s="14">
        <v>280.33308221565943</v>
      </c>
      <c r="I80" s="14">
        <v>1.9239163106074115</v>
      </c>
      <c r="J80" s="14">
        <v>0</v>
      </c>
      <c r="K80" s="14">
        <v>343.42005066412469</v>
      </c>
      <c r="L80" s="14">
        <v>2.9118858903728678E-3</v>
      </c>
      <c r="M80" s="14">
        <v>2.3892023730509382E-3</v>
      </c>
      <c r="N80" s="14">
        <v>23.675149953655016</v>
      </c>
      <c r="O80" s="14">
        <v>12170.921088174971</v>
      </c>
      <c r="P80" s="8">
        <v>23.675149953655016</v>
      </c>
      <c r="Q80" s="54">
        <v>6.8106125842207519E-5</v>
      </c>
    </row>
    <row r="81" spans="1:17">
      <c r="A81" s="2" t="s">
        <v>440</v>
      </c>
      <c r="B81" s="16" t="s">
        <v>441</v>
      </c>
      <c r="D81" s="14">
        <v>1</v>
      </c>
      <c r="E81" s="14">
        <v>0.97064817840763074</v>
      </c>
      <c r="F81" s="14">
        <v>0.97317457481461478</v>
      </c>
      <c r="G81" s="14">
        <v>2.0536160112564183E-15</v>
      </c>
      <c r="H81" s="14">
        <v>0.25935268831143704</v>
      </c>
      <c r="I81" s="14">
        <v>0.93400225504807588</v>
      </c>
      <c r="J81" s="14">
        <v>0</v>
      </c>
      <c r="K81" s="14">
        <v>1.0275648643929023</v>
      </c>
      <c r="L81" s="14">
        <v>0.97317457481461489</v>
      </c>
      <c r="M81" s="14">
        <v>0.79848973863539152</v>
      </c>
      <c r="N81" s="14">
        <v>0.89390481070409922</v>
      </c>
      <c r="O81" s="14">
        <v>247.84404781581853</v>
      </c>
      <c r="P81" s="8">
        <v>0.89390481070409922</v>
      </c>
      <c r="Q81" s="54">
        <v>1.9559057560889975E-2</v>
      </c>
    </row>
    <row r="82" spans="1:17">
      <c r="A82" s="2" t="s">
        <v>442</v>
      </c>
      <c r="B82" s="16" t="s">
        <v>443</v>
      </c>
      <c r="D82" s="14">
        <v>1</v>
      </c>
      <c r="E82" s="14">
        <v>0.78654390268506746</v>
      </c>
      <c r="F82" s="14">
        <v>0.71892237668777847</v>
      </c>
      <c r="G82" s="14">
        <v>9.1531480928522372E-7</v>
      </c>
      <c r="H82" s="14">
        <v>15.622193090064131</v>
      </c>
      <c r="I82" s="14">
        <v>40.681707427597289</v>
      </c>
      <c r="J82" s="14">
        <v>0</v>
      </c>
      <c r="K82" s="14">
        <v>1.3909707534869109</v>
      </c>
      <c r="L82" s="14">
        <v>0.71892237668777847</v>
      </c>
      <c r="M82" s="14">
        <v>0.58987581007232226</v>
      </c>
      <c r="N82" s="14">
        <v>2.8527103676581165</v>
      </c>
      <c r="O82" s="14">
        <v>471.23922563344428</v>
      </c>
      <c r="P82" s="8">
        <v>2.8527103676581165</v>
      </c>
      <c r="Q82" s="54">
        <v>0.14321851692368442</v>
      </c>
    </row>
    <row r="83" spans="1:17">
      <c r="A83" s="2" t="s">
        <v>444</v>
      </c>
      <c r="B83" s="16" t="s">
        <v>445</v>
      </c>
      <c r="D83" s="14">
        <v>1</v>
      </c>
      <c r="E83" s="14">
        <v>0.70719001471672782</v>
      </c>
      <c r="F83" s="14">
        <v>0.12686207083287462</v>
      </c>
      <c r="G83" s="14">
        <v>5.592168952805345E-6</v>
      </c>
      <c r="H83" s="14">
        <v>136.31755762553632</v>
      </c>
      <c r="I83" s="14">
        <v>266.32317955552929</v>
      </c>
      <c r="J83" s="14">
        <v>0</v>
      </c>
      <c r="K83" s="14">
        <v>7.8825766711421448</v>
      </c>
      <c r="L83" s="14">
        <v>0.12686207083287465</v>
      </c>
      <c r="M83" s="14">
        <v>0.10409032911837364</v>
      </c>
      <c r="N83" s="14">
        <v>15.111314420446741</v>
      </c>
      <c r="O83" s="14">
        <v>2723.6633111413207</v>
      </c>
      <c r="P83" s="8">
        <v>15.111314420446741</v>
      </c>
      <c r="Q83" s="54">
        <v>0.19302295816412926</v>
      </c>
    </row>
    <row r="84" spans="1:17">
      <c r="A84" s="2" t="s">
        <v>446</v>
      </c>
      <c r="B84" s="16" t="s">
        <v>447</v>
      </c>
      <c r="D84" s="14">
        <v>1</v>
      </c>
      <c r="E84" s="14">
        <v>0.93748140188252516</v>
      </c>
      <c r="F84" s="14">
        <v>0.93562711215652461</v>
      </c>
      <c r="G84" s="14">
        <v>6.2968201012784898E-17</v>
      </c>
      <c r="H84" s="14">
        <v>1.1606273437680397</v>
      </c>
      <c r="I84" s="14">
        <v>3.7320716150477669</v>
      </c>
      <c r="J84" s="14">
        <v>0</v>
      </c>
      <c r="K84" s="14">
        <v>1.0688018624162168</v>
      </c>
      <c r="L84" s="14">
        <v>0.93562711215652461</v>
      </c>
      <c r="M84" s="14">
        <v>0.76768204552442842</v>
      </c>
      <c r="N84" s="14">
        <v>1.0121193812461242</v>
      </c>
      <c r="O84" s="14">
        <v>393.60310617280521</v>
      </c>
      <c r="P84" s="8">
        <v>1.0121193812461242</v>
      </c>
      <c r="Q84" s="54">
        <v>4.191311788470839E-2</v>
      </c>
    </row>
    <row r="85" spans="1:17">
      <c r="A85" s="2" t="s">
        <v>448</v>
      </c>
      <c r="B85" s="16" t="s">
        <v>449</v>
      </c>
      <c r="D85" s="14">
        <v>1</v>
      </c>
      <c r="E85" s="14">
        <v>0.98754825376297051</v>
      </c>
      <c r="F85" s="14">
        <v>0.99117067280594517</v>
      </c>
      <c r="G85" s="14">
        <v>4.4296246895074319E-10</v>
      </c>
      <c r="H85" s="14">
        <v>4.7636346265968597E-2</v>
      </c>
      <c r="I85" s="14">
        <v>0.19462365049947508</v>
      </c>
      <c r="J85" s="14">
        <v>0</v>
      </c>
      <c r="K85" s="14">
        <v>1.0089079786522128</v>
      </c>
      <c r="L85" s="14">
        <v>0.99117067280594517</v>
      </c>
      <c r="M85" s="14">
        <v>0.81325553703727804</v>
      </c>
      <c r="N85" s="14">
        <v>0.87011644657250209</v>
      </c>
      <c r="O85" s="14">
        <v>155.95967188365526</v>
      </c>
      <c r="P85" s="8">
        <v>0.87011644657250209</v>
      </c>
      <c r="Q85" s="54">
        <v>8.1582237874215837E-3</v>
      </c>
    </row>
    <row r="86" spans="1:17">
      <c r="A86" s="2" t="s">
        <v>450</v>
      </c>
      <c r="B86" s="16" t="s">
        <v>451</v>
      </c>
      <c r="D86" s="14">
        <v>1</v>
      </c>
      <c r="E86" s="14">
        <v>0.93896898805180629</v>
      </c>
      <c r="F86" s="14">
        <v>0.93737513354161439</v>
      </c>
      <c r="G86" s="14">
        <v>1.5842069570575443E-10</v>
      </c>
      <c r="H86" s="14">
        <v>1.1060720766480296</v>
      </c>
      <c r="I86" s="14">
        <v>3.5697729902949424</v>
      </c>
      <c r="J86" s="14">
        <v>0</v>
      </c>
      <c r="K86" s="14">
        <v>1.0668087558731953</v>
      </c>
      <c r="L86" s="14">
        <v>0.93737513354161439</v>
      </c>
      <c r="M86" s="14">
        <v>0.76911629707089468</v>
      </c>
      <c r="N86" s="14">
        <v>1.0048534771167168</v>
      </c>
      <c r="O86" s="14">
        <v>262.35719434040357</v>
      </c>
      <c r="P86" s="8">
        <v>1.0048534771167168</v>
      </c>
      <c r="Q86" s="54">
        <v>4.0911047480210905E-2</v>
      </c>
    </row>
    <row r="87" spans="1:17">
      <c r="A87" s="2" t="s">
        <v>452</v>
      </c>
      <c r="B87" s="16" t="s">
        <v>453</v>
      </c>
      <c r="D87" s="14">
        <v>1</v>
      </c>
      <c r="E87" s="14">
        <v>0.88140857392796645</v>
      </c>
      <c r="F87" s="14">
        <v>5.0881700824981929E-4</v>
      </c>
      <c r="G87" s="14">
        <v>5.2481967473853395E-10</v>
      </c>
      <c r="H87" s="14">
        <v>59.262725391535696</v>
      </c>
      <c r="I87" s="14">
        <v>1769.4520196693747</v>
      </c>
      <c r="J87" s="14">
        <v>0</v>
      </c>
      <c r="K87" s="14">
        <v>1965.3431072198341</v>
      </c>
      <c r="L87" s="14">
        <v>5.088170082498194E-4</v>
      </c>
      <c r="M87" s="14">
        <v>4.1748435526897681E-4</v>
      </c>
      <c r="N87" s="14">
        <v>105.55901442278405</v>
      </c>
      <c r="O87" s="14">
        <v>43944.217704205003</v>
      </c>
      <c r="P87" s="8">
        <v>105.55901442278406</v>
      </c>
      <c r="Q87" s="54">
        <v>5.0123200126968109E-2</v>
      </c>
    </row>
    <row r="88" spans="1:17">
      <c r="A88" s="2" t="s">
        <v>454</v>
      </c>
      <c r="B88" s="16" t="s">
        <v>455</v>
      </c>
      <c r="D88" s="14">
        <v>1</v>
      </c>
      <c r="E88" s="14">
        <v>0.72869468233968904</v>
      </c>
      <c r="F88" s="14">
        <v>0.60152431528819761</v>
      </c>
      <c r="G88" s="14">
        <v>4.4265122976910366E-7</v>
      </c>
      <c r="H88" s="14">
        <v>29.095993258633762</v>
      </c>
      <c r="I88" s="14">
        <v>71.43159673956275</v>
      </c>
      <c r="J88" s="14">
        <v>0</v>
      </c>
      <c r="K88" s="14">
        <v>1.6624431873895034</v>
      </c>
      <c r="L88" s="14">
        <v>0.60152431528819772</v>
      </c>
      <c r="M88" s="14">
        <v>0.49355070069396623</v>
      </c>
      <c r="N88" s="14">
        <v>4.4578718578948946</v>
      </c>
      <c r="O88" s="14">
        <v>852.65715025955649</v>
      </c>
      <c r="P88" s="8">
        <v>4.4578718578948946</v>
      </c>
      <c r="Q88" s="54">
        <v>0.18184039168678823</v>
      </c>
    </row>
    <row r="89" spans="1:17">
      <c r="A89" s="2" t="s">
        <v>456</v>
      </c>
      <c r="B89" s="16" t="s">
        <v>457</v>
      </c>
      <c r="D89" s="14">
        <v>1</v>
      </c>
      <c r="E89" s="14">
        <v>0.77562708037048933</v>
      </c>
      <c r="F89" s="14">
        <v>0.69898854121587117</v>
      </c>
      <c r="G89" s="14">
        <v>3.0179951946094225E-19</v>
      </c>
      <c r="H89" s="14">
        <v>17.647778988313547</v>
      </c>
      <c r="I89" s="14">
        <v>45.451396029504622</v>
      </c>
      <c r="J89" s="14">
        <v>0</v>
      </c>
      <c r="K89" s="14">
        <v>1.4306386171374537</v>
      </c>
      <c r="L89" s="14">
        <v>0.69898854121587117</v>
      </c>
      <c r="M89" s="14">
        <v>0.57352009806762227</v>
      </c>
      <c r="N89" s="14">
        <v>3.0993928153207362</v>
      </c>
      <c r="O89" s="14">
        <v>1216.387704300776</v>
      </c>
      <c r="P89" s="8">
        <v>3.0993928153207362</v>
      </c>
      <c r="Q89" s="54">
        <v>0.15057304288677628</v>
      </c>
    </row>
    <row r="90" spans="1:17">
      <c r="A90" s="2" t="s">
        <v>458</v>
      </c>
      <c r="B90" s="16" t="s">
        <v>459</v>
      </c>
      <c r="D90" s="14">
        <v>1</v>
      </c>
      <c r="E90" s="14">
        <v>0.88242282719939169</v>
      </c>
      <c r="F90" s="14">
        <v>0.86638473234714719</v>
      </c>
      <c r="G90" s="14">
        <v>4.6665860464158803E-31</v>
      </c>
      <c r="H90" s="14">
        <v>4.199240906674393</v>
      </c>
      <c r="I90" s="14">
        <v>12.213157596798393</v>
      </c>
      <c r="J90" s="14">
        <v>0</v>
      </c>
      <c r="K90" s="14">
        <v>1.1542216323351773</v>
      </c>
      <c r="L90" s="14">
        <v>0.8663847323471473</v>
      </c>
      <c r="M90" s="14">
        <v>0.71086867289083433</v>
      </c>
      <c r="N90" s="14">
        <v>1.4137775670164057</v>
      </c>
      <c r="O90" s="14">
        <v>1104.075453185792</v>
      </c>
      <c r="P90" s="8">
        <v>1.4137775670164059</v>
      </c>
      <c r="Q90" s="54">
        <v>7.8963785700161479E-2</v>
      </c>
    </row>
    <row r="91" spans="1:17">
      <c r="A91" s="2" t="s">
        <v>460</v>
      </c>
      <c r="B91" s="16" t="s">
        <v>461</v>
      </c>
      <c r="D91" s="14">
        <v>1</v>
      </c>
      <c r="E91" s="14">
        <v>0.86357705493875014</v>
      </c>
      <c r="F91" s="14">
        <v>3.3373188610441532E-3</v>
      </c>
      <c r="G91" s="14">
        <v>5.4977652335164593E-10</v>
      </c>
      <c r="H91" s="14">
        <v>148.68176326815174</v>
      </c>
      <c r="I91" s="14">
        <v>887.18639578654972</v>
      </c>
      <c r="J91" s="14">
        <v>0</v>
      </c>
      <c r="K91" s="14">
        <v>299.6417308734857</v>
      </c>
      <c r="L91" s="14">
        <v>3.3373188610441532E-3</v>
      </c>
      <c r="M91" s="14">
        <v>2.7382701254867279E-3</v>
      </c>
      <c r="N91" s="14">
        <v>51.879797155271987</v>
      </c>
      <c r="O91" s="14">
        <v>15895.969848375336</v>
      </c>
      <c r="P91" s="8">
        <v>51.879797155271994</v>
      </c>
      <c r="Q91" s="54">
        <v>7.7377532023900214E-2</v>
      </c>
    </row>
    <row r="92" spans="1:17">
      <c r="A92" s="2" t="s">
        <v>462</v>
      </c>
      <c r="B92" s="16" t="s">
        <v>463</v>
      </c>
      <c r="D92" s="14">
        <v>1</v>
      </c>
      <c r="E92" s="14">
        <v>0.68299147027445828</v>
      </c>
      <c r="F92" s="14">
        <v>0.17691025155732776</v>
      </c>
      <c r="G92" s="14">
        <v>4.9075133278064054E-11</v>
      </c>
      <c r="H92" s="14">
        <v>118.20422503678948</v>
      </c>
      <c r="I92" s="14">
        <v>239.16089545358304</v>
      </c>
      <c r="J92" s="14">
        <v>0</v>
      </c>
      <c r="K92" s="14">
        <v>5.6525836756042942</v>
      </c>
      <c r="L92" s="14">
        <v>0.17691025155732776</v>
      </c>
      <c r="M92" s="14">
        <v>0.14515486140278741</v>
      </c>
      <c r="N92" s="14">
        <v>13.579306987322061</v>
      </c>
      <c r="O92" s="14">
        <v>4573.7821794698166</v>
      </c>
      <c r="P92" s="8">
        <v>13.579306987322061</v>
      </c>
      <c r="Q92" s="54">
        <v>0.21013102105252052</v>
      </c>
    </row>
    <row r="93" spans="1:17">
      <c r="A93" s="2" t="s">
        <v>464</v>
      </c>
      <c r="B93" s="16" t="s">
        <v>465</v>
      </c>
      <c r="D93" s="14">
        <v>1</v>
      </c>
      <c r="E93" s="14">
        <v>0.8030702590701414</v>
      </c>
      <c r="F93" s="14">
        <v>3.8877742342068609E-2</v>
      </c>
      <c r="G93" s="14">
        <v>2.1751515690760143E-6</v>
      </c>
      <c r="H93" s="14">
        <v>182.66739576038668</v>
      </c>
      <c r="I93" s="14">
        <v>320.12398019861735</v>
      </c>
      <c r="J93" s="14">
        <v>0</v>
      </c>
      <c r="K93" s="14">
        <v>25.721658197161453</v>
      </c>
      <c r="L93" s="14">
        <v>3.8877742342068609E-2</v>
      </c>
      <c r="M93" s="14">
        <v>3.1899187591667294E-2</v>
      </c>
      <c r="N93" s="14">
        <v>18.256053241162729</v>
      </c>
      <c r="O93" s="14">
        <v>8490.7078019323726</v>
      </c>
      <c r="P93" s="8">
        <v>18.256053241162729</v>
      </c>
      <c r="Q93" s="54">
        <v>0.12761984357596343</v>
      </c>
    </row>
    <row r="94" spans="1:17">
      <c r="A94" s="2" t="s">
        <v>466</v>
      </c>
      <c r="B94" s="16" t="s">
        <v>467</v>
      </c>
      <c r="D94" s="14">
        <v>1</v>
      </c>
      <c r="E94" s="14">
        <v>0.99940178446530659</v>
      </c>
      <c r="F94" s="14">
        <v>0.89787566274385544</v>
      </c>
      <c r="G94" s="14">
        <v>2.0372888988388584E-20</v>
      </c>
      <c r="H94" s="14">
        <v>29.846691728919669</v>
      </c>
      <c r="I94" s="14">
        <v>3.6315858054851866E-2</v>
      </c>
      <c r="J94" s="14">
        <v>0</v>
      </c>
      <c r="K94" s="14">
        <v>1.1137399547550475</v>
      </c>
      <c r="L94" s="14">
        <v>0.89787566274385555</v>
      </c>
      <c r="M94" s="14">
        <v>0.7367069812813335</v>
      </c>
      <c r="N94" s="14">
        <v>1.0447078047755503</v>
      </c>
      <c r="O94" s="14">
        <v>345.52665935146547</v>
      </c>
      <c r="P94" s="8">
        <v>1.0447078047755503</v>
      </c>
      <c r="Q94" s="54">
        <v>1.0762082326422168E-4</v>
      </c>
    </row>
    <row r="95" spans="1:17">
      <c r="A95" s="2" t="s">
        <v>468</v>
      </c>
      <c r="B95" s="16" t="s">
        <v>469</v>
      </c>
      <c r="D95" s="14">
        <v>1</v>
      </c>
      <c r="E95" s="14">
        <v>0.8748948168659294</v>
      </c>
      <c r="F95" s="14">
        <v>7.852456125739829E-3</v>
      </c>
      <c r="G95" s="14">
        <v>2.2275835711081769E-20</v>
      </c>
      <c r="H95" s="14">
        <v>197.56295733749511</v>
      </c>
      <c r="I95" s="14">
        <v>452.54595699712479</v>
      </c>
      <c r="J95" s="14">
        <v>0</v>
      </c>
      <c r="K95" s="14">
        <v>127.34868988596656</v>
      </c>
      <c r="L95" s="14">
        <v>7.852456125739829E-3</v>
      </c>
      <c r="M95" s="14">
        <v>6.4429402511695299E-3</v>
      </c>
      <c r="N95" s="14">
        <v>26.156978840417036</v>
      </c>
      <c r="O95" s="14">
        <v>12921.547547166016</v>
      </c>
      <c r="P95" s="8">
        <v>26.15697884041704</v>
      </c>
      <c r="Q95" s="54">
        <v>7.7030495114239275E-2</v>
      </c>
    </row>
    <row r="96" spans="1:17">
      <c r="A96" s="2" t="s">
        <v>470</v>
      </c>
      <c r="B96" s="164">
        <v>354656</v>
      </c>
      <c r="D96" s="14">
        <v>1</v>
      </c>
      <c r="E96" s="14">
        <v>0.96952950696055284</v>
      </c>
      <c r="F96" s="14">
        <v>0.97195623241315876</v>
      </c>
      <c r="G96" s="14">
        <v>4.0940693653898849E-12</v>
      </c>
      <c r="H96" s="14">
        <v>0.27920726141638902</v>
      </c>
      <c r="I96" s="14">
        <v>0.99996288227923247</v>
      </c>
      <c r="J96" s="14">
        <v>0</v>
      </c>
      <c r="K96" s="14">
        <v>1.028852911943591</v>
      </c>
      <c r="L96" s="14">
        <v>0.97195623241315876</v>
      </c>
      <c r="M96" s="14">
        <v>0.79749008869499682</v>
      </c>
      <c r="N96" s="14">
        <v>0.89637973900299128</v>
      </c>
      <c r="O96" s="14">
        <v>176.75712073399984</v>
      </c>
      <c r="P96" s="8">
        <v>0.89637973900299128</v>
      </c>
      <c r="Q96" s="54">
        <v>2.0313458896904783E-2</v>
      </c>
    </row>
    <row r="97" spans="1:17">
      <c r="A97" s="2" t="s">
        <v>472</v>
      </c>
      <c r="B97" s="16" t="s">
        <v>473</v>
      </c>
      <c r="D97" s="14">
        <v>1</v>
      </c>
      <c r="E97" s="14">
        <v>0.93672518676344141</v>
      </c>
      <c r="F97" s="14">
        <v>0.93473615754853534</v>
      </c>
      <c r="G97" s="14">
        <v>6.2916930989831099E-12</v>
      </c>
      <c r="H97" s="14">
        <v>1.1888827957021759</v>
      </c>
      <c r="I97" s="14">
        <v>3.8158932186703547</v>
      </c>
      <c r="J97" s="14">
        <v>0</v>
      </c>
      <c r="K97" s="14">
        <v>1.0698206033054583</v>
      </c>
      <c r="L97" s="14">
        <v>0.93473615754853545</v>
      </c>
      <c r="M97" s="14">
        <v>0.76695101726857329</v>
      </c>
      <c r="N97" s="14">
        <v>1.0158834614171617</v>
      </c>
      <c r="O97" s="14">
        <v>162.72421284980098</v>
      </c>
      <c r="P97" s="8">
        <v>1.0158834614171617</v>
      </c>
      <c r="Q97" s="54">
        <v>4.2422495591144999E-2</v>
      </c>
    </row>
    <row r="98" spans="1:17">
      <c r="A98" s="2" t="s">
        <v>474</v>
      </c>
      <c r="B98" s="16" t="s">
        <v>475</v>
      </c>
      <c r="D98" s="14">
        <v>1</v>
      </c>
      <c r="E98" s="14">
        <v>0.85321028505815455</v>
      </c>
      <c r="F98" s="14">
        <v>1.8325358646528195E-2</v>
      </c>
      <c r="G98" s="14">
        <v>5.162748517813249E-22</v>
      </c>
      <c r="H98" s="14">
        <v>201.48952961749569</v>
      </c>
      <c r="I98" s="14">
        <v>331.67264469362425</v>
      </c>
      <c r="J98" s="14">
        <v>0</v>
      </c>
      <c r="K98" s="14">
        <v>54.569191211406569</v>
      </c>
      <c r="L98" s="14">
        <v>1.8325358646528199E-2</v>
      </c>
      <c r="M98" s="14">
        <v>1.5035956769476387E-2</v>
      </c>
      <c r="N98" s="14">
        <v>19.010639730195056</v>
      </c>
      <c r="O98" s="14">
        <v>10102.824271817557</v>
      </c>
      <c r="P98" s="8">
        <v>19.010639730195056</v>
      </c>
      <c r="Q98" s="54">
        <v>9.3693541222235346E-2</v>
      </c>
    </row>
    <row r="99" spans="1:17">
      <c r="A99" s="2" t="s">
        <v>476</v>
      </c>
      <c r="B99" s="16" t="s">
        <v>477</v>
      </c>
      <c r="D99" s="14">
        <v>1</v>
      </c>
      <c r="E99" s="14">
        <v>0.99126617363853897</v>
      </c>
      <c r="F99" s="14">
        <v>0.99502430876161696</v>
      </c>
      <c r="G99" s="14">
        <v>1.9334911052984161E-9</v>
      </c>
      <c r="H99" s="14">
        <v>2.3448425744499783E-2</v>
      </c>
      <c r="I99" s="14">
        <v>0.10096500278672968</v>
      </c>
      <c r="J99" s="14">
        <v>0</v>
      </c>
      <c r="K99" s="14">
        <v>1.0050005725433739</v>
      </c>
      <c r="L99" s="14">
        <v>0.99502430876161696</v>
      </c>
      <c r="M99" s="14">
        <v>0.81641744533890681</v>
      </c>
      <c r="N99" s="14">
        <v>0.86851714420664483</v>
      </c>
      <c r="O99" s="14">
        <v>112.17767434573025</v>
      </c>
      <c r="P99" s="8">
        <v>0.86851714420664494</v>
      </c>
      <c r="Q99" s="54">
        <v>5.6489907240189511E-3</v>
      </c>
    </row>
    <row r="100" spans="1:17">
      <c r="A100" s="2" t="s">
        <v>478</v>
      </c>
      <c r="B100" s="16" t="s">
        <v>479</v>
      </c>
      <c r="D100" s="14">
        <v>1</v>
      </c>
      <c r="E100" s="14">
        <v>0.67038715105231261</v>
      </c>
      <c r="F100" s="14">
        <v>0.41063798027491355</v>
      </c>
      <c r="G100" s="14">
        <v>5.661188331603871E-13</v>
      </c>
      <c r="H100" s="14">
        <v>59.686912637776004</v>
      </c>
      <c r="I100" s="14">
        <v>135.12518014460986</v>
      </c>
      <c r="J100" s="14">
        <v>0</v>
      </c>
      <c r="K100" s="14">
        <v>2.4352350440904682</v>
      </c>
      <c r="L100" s="14">
        <v>0.41063798027491355</v>
      </c>
      <c r="M100" s="14">
        <v>0.3369284628155666</v>
      </c>
      <c r="N100" s="14">
        <v>7.8601157239856452</v>
      </c>
      <c r="O100" s="14">
        <v>2356.4626940508965</v>
      </c>
      <c r="P100" s="8">
        <v>7.8601157239856461</v>
      </c>
      <c r="Q100" s="54">
        <v>0.22026033019754718</v>
      </c>
    </row>
    <row r="101" spans="1:17">
      <c r="A101" s="2" t="s">
        <v>480</v>
      </c>
      <c r="B101" s="16" t="s">
        <v>481</v>
      </c>
      <c r="D101" s="14">
        <v>1</v>
      </c>
      <c r="E101" s="14">
        <v>0.98562199744094037</v>
      </c>
      <c r="F101" s="14">
        <v>0.98915880553071989</v>
      </c>
      <c r="G101" s="14">
        <v>5.202049844265551E-13</v>
      </c>
      <c r="H101" s="14">
        <v>6.3379093236353254E-2</v>
      </c>
      <c r="I101" s="14">
        <v>0.25351472647040724</v>
      </c>
      <c r="J101" s="14">
        <v>0</v>
      </c>
      <c r="K101" s="14">
        <v>1.0109600141136725</v>
      </c>
      <c r="L101" s="14">
        <v>0.98915880553071989</v>
      </c>
      <c r="M101" s="14">
        <v>0.81160479993795576</v>
      </c>
      <c r="N101" s="14">
        <v>0.8714890365834288</v>
      </c>
      <c r="O101" s="14">
        <v>207.55382895270938</v>
      </c>
      <c r="P101" s="8">
        <v>0.8714890365834288</v>
      </c>
      <c r="Q101" s="54">
        <v>9.4580845538914382E-3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0.99607678830678104</v>
      </c>
      <c r="F102" s="14">
        <v>0.99995072112387706</v>
      </c>
      <c r="G102" s="14">
        <v>3.2698443921528353E-29</v>
      </c>
      <c r="H102" s="14">
        <v>4.5237500188788507E-3</v>
      </c>
      <c r="I102" s="14">
        <v>2.1996610702281712E-2</v>
      </c>
      <c r="J102" s="14">
        <v>0</v>
      </c>
      <c r="K102" s="14">
        <v>1.0000492813046502</v>
      </c>
      <c r="L102" s="14">
        <v>0.99995072112387717</v>
      </c>
      <c r="M102" s="14">
        <v>0.82045956668214126</v>
      </c>
      <c r="N102" s="14">
        <v>0.86865330169527522</v>
      </c>
      <c r="O102" s="14">
        <v>399.95403969955555</v>
      </c>
      <c r="P102" s="8">
        <v>0.86865330169527522</v>
      </c>
      <c r="Q102" s="54">
        <v>2.4019046818921468E-3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0.9915324153668803</v>
      </c>
      <c r="F103" s="14">
        <v>0.99529874736295809</v>
      </c>
      <c r="G103" s="14">
        <v>2.6080261712209179E-15</v>
      </c>
      <c r="H103" s="14">
        <v>2.2033498356267688E-2</v>
      </c>
      <c r="I103" s="14">
        <v>9.5310473750590902E-2</v>
      </c>
      <c r="J103" s="14">
        <v>0</v>
      </c>
      <c r="K103" s="14">
        <v>1.0047234588102294</v>
      </c>
      <c r="L103" s="14">
        <v>0.99529874736295809</v>
      </c>
      <c r="M103" s="14">
        <v>0.81664262221130712</v>
      </c>
      <c r="N103" s="14">
        <v>0.86845772274061173</v>
      </c>
      <c r="O103" s="14">
        <v>178.25094759251056</v>
      </c>
      <c r="P103" s="8">
        <v>0.86845772274061173</v>
      </c>
      <c r="Q103" s="54">
        <v>5.4694118628004886E-3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0.95415219545439256</v>
      </c>
      <c r="F104" s="14">
        <v>0.95487022954780931</v>
      </c>
      <c r="G104" s="14">
        <v>3.2094664563601281E-11</v>
      </c>
      <c r="H104" s="14">
        <v>0.62604327306174756</v>
      </c>
      <c r="I104" s="14">
        <v>2.1098983092422272</v>
      </c>
      <c r="J104" s="14">
        <v>0</v>
      </c>
      <c r="K104" s="14">
        <v>1.047262726447721</v>
      </c>
      <c r="L104" s="14">
        <v>0.95487022954780931</v>
      </c>
      <c r="M104" s="14">
        <v>0.78347102334397756</v>
      </c>
      <c r="N104" s="14">
        <v>0.94120045298465382</v>
      </c>
      <c r="O104" s="14">
        <v>142.27186047316027</v>
      </c>
      <c r="P104" s="8">
        <v>0.94120045298465382</v>
      </c>
      <c r="Q104" s="54">
        <v>3.0680435790112946E-2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0.99536769675016523</v>
      </c>
      <c r="F105" s="14">
        <v>0.99922896671553019</v>
      </c>
      <c r="G105" s="14">
        <v>2.6004799102629431E-18</v>
      </c>
      <c r="H105" s="14">
        <v>6.4154188422687634E-3</v>
      </c>
      <c r="I105" s="14">
        <v>3.0400602169005059E-2</v>
      </c>
      <c r="J105" s="14">
        <v>0</v>
      </c>
      <c r="K105" s="14">
        <v>1.0007716282355226</v>
      </c>
      <c r="L105" s="14">
        <v>0.99922896671553019</v>
      </c>
      <c r="M105" s="14">
        <v>0.81986736719009257</v>
      </c>
      <c r="N105" s="14">
        <v>0.86846491185295371</v>
      </c>
      <c r="O105" s="14">
        <v>294.72225248641837</v>
      </c>
      <c r="P105" s="8">
        <v>0.86846491185295371</v>
      </c>
      <c r="Q105" s="54">
        <v>2.8805948911280149E-3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0.85431658754614981</v>
      </c>
      <c r="F106" s="14">
        <v>0.82723754457036003</v>
      </c>
      <c r="G106" s="14">
        <v>1.4129237475571099E-10</v>
      </c>
      <c r="H106" s="14">
        <v>6.6113513375055932</v>
      </c>
      <c r="I106" s="14">
        <v>18.533071772797815</v>
      </c>
      <c r="J106" s="14">
        <v>0</v>
      </c>
      <c r="K106" s="14">
        <v>1.2088426191044885</v>
      </c>
      <c r="L106" s="14">
        <v>0.82723754457036003</v>
      </c>
      <c r="M106" s="14">
        <v>0.67874840531998049</v>
      </c>
      <c r="N106" s="14">
        <v>1.7259927384292959</v>
      </c>
      <c r="O106" s="14">
        <v>331.61498483442062</v>
      </c>
      <c r="P106" s="8">
        <v>1.7259927384292961</v>
      </c>
      <c r="Q106" s="54">
        <v>9.7846975881492437E-2</v>
      </c>
    </row>
    <row r="107" spans="1:17">
      <c r="A107" s="2" t="s">
        <v>492</v>
      </c>
      <c r="B107" s="16" t="s">
        <v>493</v>
      </c>
      <c r="D107" s="14">
        <v>1</v>
      </c>
      <c r="E107" s="14">
        <v>0.8697130502034095</v>
      </c>
      <c r="F107" s="14">
        <v>1.3624121950356926E-2</v>
      </c>
      <c r="G107" s="14">
        <v>2.4261464350405702E-18</v>
      </c>
      <c r="H107" s="14">
        <v>207.34259152185314</v>
      </c>
      <c r="I107" s="14">
        <v>333.23122768309469</v>
      </c>
      <c r="J107" s="14">
        <v>0</v>
      </c>
      <c r="K107" s="14">
        <v>73.399225553306337</v>
      </c>
      <c r="L107" s="14">
        <v>1.3624121950356928E-2</v>
      </c>
      <c r="M107" s="14">
        <v>1.1178592060267859E-2</v>
      </c>
      <c r="N107" s="14">
        <v>19.140251038482571</v>
      </c>
      <c r="O107" s="14">
        <v>8701.1581220941771</v>
      </c>
      <c r="P107" s="8">
        <v>19.140251038482571</v>
      </c>
      <c r="Q107" s="54">
        <v>8.2517429943288603E-2</v>
      </c>
    </row>
    <row r="108" spans="1:17">
      <c r="A108" s="2" t="s">
        <v>291</v>
      </c>
      <c r="B108" s="16" t="s">
        <v>494</v>
      </c>
      <c r="D108" s="14">
        <v>1</v>
      </c>
      <c r="E108" s="14">
        <v>0.68413550349152441</v>
      </c>
      <c r="F108" s="14">
        <v>0.47284053389217501</v>
      </c>
      <c r="G108" s="14">
        <v>3.2607926748703958E-12</v>
      </c>
      <c r="H108" s="14">
        <v>48.42779541272953</v>
      </c>
      <c r="I108" s="14">
        <v>112.49983093822924</v>
      </c>
      <c r="J108" s="14">
        <v>0</v>
      </c>
      <c r="K108" s="14">
        <v>2.114877909828341</v>
      </c>
      <c r="L108" s="14">
        <v>0.47284053389217501</v>
      </c>
      <c r="M108" s="14">
        <v>0.38796565805852962</v>
      </c>
      <c r="N108" s="14">
        <v>6.6421593249905015</v>
      </c>
      <c r="O108" s="14">
        <v>2047.9769846743213</v>
      </c>
      <c r="P108" s="8">
        <v>6.6421593249905015</v>
      </c>
      <c r="Q108" s="54">
        <v>0.21132548277649313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9.0713125490823283E-5</v>
      </c>
      <c r="E2" s="20">
        <v>0.82026685962042822</v>
      </c>
      <c r="F2" s="20">
        <v>3.6876045788772793E-2</v>
      </c>
      <c r="G2" s="20">
        <v>1.0740880899754323E-2</v>
      </c>
      <c r="H2" s="20">
        <v>0</v>
      </c>
      <c r="I2" s="20">
        <v>0.7726499329319011</v>
      </c>
      <c r="J2" s="20">
        <v>9.3091431634235761E-4</v>
      </c>
      <c r="K2" s="20">
        <v>0.17871151293773854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3.4820311795765255E-3</v>
      </c>
      <c r="E3" s="20">
        <v>0.87486801871214848</v>
      </c>
      <c r="F3" s="20">
        <v>0.23567139392753358</v>
      </c>
      <c r="G3" s="20">
        <v>0.63856105199431712</v>
      </c>
      <c r="H3" s="20">
        <v>0</v>
      </c>
      <c r="I3" s="20">
        <v>6.3557279029778809E-4</v>
      </c>
      <c r="J3" s="20">
        <v>4.2012919836773119E-2</v>
      </c>
      <c r="K3" s="20">
        <v>7.9637030271501721E-2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4.3999126092008789E-12</v>
      </c>
      <c r="E4" s="20">
        <v>0.6629747159588435</v>
      </c>
      <c r="F4" s="20">
        <v>0.25056376462272284</v>
      </c>
      <c r="G4" s="20">
        <v>5.9815511505042884E-2</v>
      </c>
      <c r="H4" s="20">
        <v>0</v>
      </c>
      <c r="I4" s="20">
        <v>0.35259543983107783</v>
      </c>
      <c r="J4" s="20">
        <v>3.8088200414067926E-3</v>
      </c>
      <c r="K4" s="20">
        <v>0.33321646399534977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1.1904656306111685E-4</v>
      </c>
      <c r="E5" s="20">
        <v>0.87192237423127639</v>
      </c>
      <c r="F5" s="20">
        <v>0.67048810341590492</v>
      </c>
      <c r="G5" s="20">
        <v>0.19457481753981956</v>
      </c>
      <c r="H5" s="20">
        <v>0</v>
      </c>
      <c r="I5" s="20">
        <v>6.8594532755519013E-3</v>
      </c>
      <c r="J5" s="20">
        <v>1.2453984004027467E-2</v>
      </c>
      <c r="K5" s="20">
        <v>0.11550459520163492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1.1362014785441862E-5</v>
      </c>
      <c r="E6" s="20">
        <v>0.89012442940452285</v>
      </c>
      <c r="F6" s="20">
        <v>0.15053225413106044</v>
      </c>
      <c r="G6" s="20">
        <v>0.73930751426036778</v>
      </c>
      <c r="H6" s="20">
        <v>0</v>
      </c>
      <c r="I6" s="20">
        <v>2.8466101309465396E-4</v>
      </c>
      <c r="J6" s="20">
        <v>4.9003395386324304E-2</v>
      </c>
      <c r="K6" s="20">
        <v>6.0860813194367466E-2</v>
      </c>
      <c r="L6" s="20">
        <v>0</v>
      </c>
    </row>
    <row r="7" spans="1:14">
      <c r="A7" s="2" t="s">
        <v>321</v>
      </c>
      <c r="B7" s="3" t="s">
        <v>322</v>
      </c>
      <c r="D7" s="20">
        <v>1.6753165514637718E-5</v>
      </c>
      <c r="E7" s="20">
        <v>0.87963345207056265</v>
      </c>
      <c r="F7" s="20">
        <v>0.22221383474820477</v>
      </c>
      <c r="G7" s="20">
        <v>0.65685067332503022</v>
      </c>
      <c r="H7" s="20">
        <v>0</v>
      </c>
      <c r="I7" s="20">
        <v>5.6894399732762015E-4</v>
      </c>
      <c r="J7" s="20">
        <v>4.3263125718798277E-2</v>
      </c>
      <c r="K7" s="20">
        <v>7.7086669045124609E-2</v>
      </c>
      <c r="L7" s="20">
        <v>0</v>
      </c>
    </row>
    <row r="8" spans="1:14">
      <c r="A8" s="2" t="s">
        <v>323</v>
      </c>
      <c r="B8" s="3" t="s">
        <v>324</v>
      </c>
      <c r="D8" s="20">
        <v>1.5839987257123693E-4</v>
      </c>
      <c r="E8" s="20">
        <v>0.86842046061212386</v>
      </c>
      <c r="F8" s="20">
        <v>0.33855485238546768</v>
      </c>
      <c r="G8" s="20">
        <v>0.5285968833119824</v>
      </c>
      <c r="H8" s="20">
        <v>0</v>
      </c>
      <c r="I8" s="20">
        <v>1.2687249146737334E-3</v>
      </c>
      <c r="J8" s="20">
        <v>3.4540448304681268E-2</v>
      </c>
      <c r="K8" s="20">
        <v>9.6880691210623635E-2</v>
      </c>
      <c r="L8" s="20">
        <v>0</v>
      </c>
    </row>
    <row r="9" spans="1:14">
      <c r="A9" s="2" t="s">
        <v>325</v>
      </c>
      <c r="B9" s="3" t="s">
        <v>326</v>
      </c>
      <c r="D9" s="20">
        <v>1.0090040790567766E-4</v>
      </c>
      <c r="E9" s="20">
        <v>0.77034228250578973</v>
      </c>
      <c r="F9" s="20">
        <v>0.59452091405664997</v>
      </c>
      <c r="G9" s="20">
        <v>0.11675156000373443</v>
      </c>
      <c r="H9" s="20">
        <v>0</v>
      </c>
      <c r="I9" s="20">
        <v>5.9069808445405367E-2</v>
      </c>
      <c r="J9" s="20">
        <v>7.3408186473264371E-3</v>
      </c>
      <c r="K9" s="20">
        <v>0.22221599843897813</v>
      </c>
      <c r="L9" s="20">
        <v>0</v>
      </c>
    </row>
    <row r="10" spans="1:14">
      <c r="A10" s="2" t="s">
        <v>275</v>
      </c>
      <c r="B10" s="3" t="s">
        <v>276</v>
      </c>
      <c r="D10" s="20">
        <v>1.5286231530464063E-6</v>
      </c>
      <c r="E10" s="20">
        <v>0.87059646556541059</v>
      </c>
      <c r="F10" s="20">
        <v>0.65640918310139174</v>
      </c>
      <c r="G10" s="20">
        <v>0.20781179973146938</v>
      </c>
      <c r="H10" s="20">
        <v>0</v>
      </c>
      <c r="I10" s="20">
        <v>6.3754827325494569E-3</v>
      </c>
      <c r="J10" s="20">
        <v>1.3315207333964163E-2</v>
      </c>
      <c r="K10" s="20">
        <v>0.11608679847747232</v>
      </c>
      <c r="L10" s="20">
        <v>0</v>
      </c>
    </row>
    <row r="11" spans="1:14">
      <c r="A11" s="2" t="s">
        <v>327</v>
      </c>
      <c r="B11" s="3" t="s">
        <v>328</v>
      </c>
      <c r="D11" s="20">
        <v>7.9535871612269518E-5</v>
      </c>
      <c r="E11" s="20">
        <v>0.86838933251002204</v>
      </c>
      <c r="F11" s="20">
        <v>0.63159292961730196</v>
      </c>
      <c r="G11" s="20">
        <v>0.2311707143390769</v>
      </c>
      <c r="H11" s="20">
        <v>0</v>
      </c>
      <c r="I11" s="20">
        <v>5.6256885536432226E-3</v>
      </c>
      <c r="J11" s="20">
        <v>1.4837959511077345E-2</v>
      </c>
      <c r="K11" s="20">
        <v>0.11669317210728822</v>
      </c>
      <c r="L11" s="20">
        <v>0</v>
      </c>
    </row>
    <row r="12" spans="1:14">
      <c r="A12" s="2" t="s">
        <v>329</v>
      </c>
      <c r="B12" s="3" t="s">
        <v>330</v>
      </c>
      <c r="D12" s="20">
        <v>5.2782815466457378E-5</v>
      </c>
      <c r="E12" s="20">
        <v>0.80477655477095011</v>
      </c>
      <c r="F12" s="20">
        <v>0.6450104739025676</v>
      </c>
      <c r="G12" s="20">
        <v>0.12186032226120871</v>
      </c>
      <c r="H12" s="20">
        <v>0</v>
      </c>
      <c r="I12" s="20">
        <v>3.7905758607173747E-2</v>
      </c>
      <c r="J12" s="20">
        <v>7.6820249917718747E-3</v>
      </c>
      <c r="K12" s="20">
        <v>0.18748863742181177</v>
      </c>
      <c r="L12" s="20">
        <v>0</v>
      </c>
    </row>
    <row r="13" spans="1:14">
      <c r="A13" s="2" t="s">
        <v>277</v>
      </c>
      <c r="B13" s="3" t="s">
        <v>278</v>
      </c>
      <c r="D13" s="20">
        <v>1.5704263040178698E-4</v>
      </c>
      <c r="E13" s="20">
        <v>0.77363797351613461</v>
      </c>
      <c r="F13" s="20">
        <v>0.59964162968769585</v>
      </c>
      <c r="G13" s="20">
        <v>0.11732412695443629</v>
      </c>
      <c r="H13" s="20">
        <v>0</v>
      </c>
      <c r="I13" s="20">
        <v>5.6672216874002479E-2</v>
      </c>
      <c r="J13" s="20">
        <v>7.3784598696337968E-3</v>
      </c>
      <c r="K13" s="20">
        <v>0.21882652398383004</v>
      </c>
      <c r="L13" s="20">
        <v>0</v>
      </c>
    </row>
    <row r="14" spans="1:14">
      <c r="A14" s="2" t="s">
        <v>331</v>
      </c>
      <c r="B14" s="3" t="s">
        <v>332</v>
      </c>
      <c r="D14" s="20">
        <v>5.2859185319327168E-5</v>
      </c>
      <c r="E14" s="20">
        <v>0.86403682181055996</v>
      </c>
      <c r="F14" s="20">
        <v>0.54663153233000583</v>
      </c>
      <c r="G14" s="20">
        <v>0.31368246032941155</v>
      </c>
      <c r="H14" s="20">
        <v>0</v>
      </c>
      <c r="I14" s="20">
        <v>3.7228291511426236E-3</v>
      </c>
      <c r="J14" s="20">
        <v>2.0245078239724577E-2</v>
      </c>
      <c r="K14" s="20">
        <v>0.11566524076439623</v>
      </c>
      <c r="L14" s="20">
        <v>0</v>
      </c>
    </row>
    <row r="15" spans="1:14">
      <c r="A15" s="2" t="s">
        <v>333</v>
      </c>
      <c r="B15" s="3" t="s">
        <v>334</v>
      </c>
      <c r="D15" s="20">
        <v>8.6626455580138815E-8</v>
      </c>
      <c r="E15" s="20">
        <v>0.86948862428047158</v>
      </c>
      <c r="F15" s="20">
        <v>0.64420599194645201</v>
      </c>
      <c r="G15" s="20">
        <v>0.21929075125019429</v>
      </c>
      <c r="H15" s="20">
        <v>0</v>
      </c>
      <c r="I15" s="20">
        <v>5.9918810838252377E-3</v>
      </c>
      <c r="J15" s="20">
        <v>1.4063044552005036E-2</v>
      </c>
      <c r="K15" s="20">
        <v>0.11644824454106775</v>
      </c>
      <c r="L15" s="20">
        <v>0</v>
      </c>
    </row>
    <row r="16" spans="1:14">
      <c r="A16" s="2" t="s">
        <v>335</v>
      </c>
      <c r="B16" s="3" t="s">
        <v>336</v>
      </c>
      <c r="D16" s="20">
        <v>4.115899690186815E-4</v>
      </c>
      <c r="E16" s="20">
        <v>0.8678115775939037</v>
      </c>
      <c r="F16" s="20">
        <v>0.34430156501939829</v>
      </c>
      <c r="G16" s="20">
        <v>0.52219721603740321</v>
      </c>
      <c r="H16" s="20">
        <v>0</v>
      </c>
      <c r="I16" s="20">
        <v>1.3127965371021615E-3</v>
      </c>
      <c r="J16" s="20">
        <v>3.4109982020663676E-2</v>
      </c>
      <c r="K16" s="20">
        <v>9.7666850416414111E-2</v>
      </c>
      <c r="L16" s="20">
        <v>0</v>
      </c>
    </row>
    <row r="17" spans="1:12">
      <c r="A17" s="2" t="s">
        <v>337</v>
      </c>
      <c r="B17" s="3" t="s">
        <v>338</v>
      </c>
      <c r="D17" s="20">
        <v>3.0572227695035642E-5</v>
      </c>
      <c r="E17" s="20">
        <v>0.87151205105144025</v>
      </c>
      <c r="F17" s="20">
        <v>0.66588817145231238</v>
      </c>
      <c r="G17" s="20">
        <v>0.1989284302954708</v>
      </c>
      <c r="H17" s="20">
        <v>0</v>
      </c>
      <c r="I17" s="20">
        <v>6.6954493036570483E-3</v>
      </c>
      <c r="J17" s="20">
        <v>1.2737093934240799E-2</v>
      </c>
      <c r="K17" s="20">
        <v>0.11572028278662397</v>
      </c>
      <c r="L17" s="20">
        <v>0</v>
      </c>
    </row>
    <row r="18" spans="1:12">
      <c r="A18" s="2" t="s">
        <v>279</v>
      </c>
      <c r="B18" s="3" t="s">
        <v>280</v>
      </c>
      <c r="D18" s="20">
        <v>3.0327710863142726E-3</v>
      </c>
      <c r="E18" s="20">
        <v>0.7530664167379939</v>
      </c>
      <c r="F18" s="20">
        <v>0.56874009458022423</v>
      </c>
      <c r="G18" s="20">
        <v>0.11355582091924961</v>
      </c>
      <c r="H18" s="20">
        <v>0</v>
      </c>
      <c r="I18" s="20">
        <v>7.0770501238520037E-2</v>
      </c>
      <c r="J18" s="20">
        <v>7.1333430943389372E-3</v>
      </c>
      <c r="K18" s="20">
        <v>0.23676746908135307</v>
      </c>
      <c r="L18" s="20">
        <v>0</v>
      </c>
    </row>
    <row r="19" spans="1:12">
      <c r="A19" s="2" t="s">
        <v>339</v>
      </c>
      <c r="B19" s="3" t="s">
        <v>340</v>
      </c>
      <c r="D19" s="20">
        <v>3.0357951212921948E-7</v>
      </c>
      <c r="E19" s="20">
        <v>0.86927592672154974</v>
      </c>
      <c r="F19" s="20">
        <v>0.64172162354120466</v>
      </c>
      <c r="G19" s="20">
        <v>0.22163698258987971</v>
      </c>
      <c r="H19" s="20">
        <v>0</v>
      </c>
      <c r="I19" s="20">
        <v>5.9173205904654103E-3</v>
      </c>
      <c r="J19" s="20">
        <v>1.4216007821926977E-2</v>
      </c>
      <c r="K19" s="20">
        <v>0.11650776187701106</v>
      </c>
      <c r="L19" s="20">
        <v>0</v>
      </c>
    </row>
    <row r="20" spans="1:12">
      <c r="A20" s="2" t="s">
        <v>281</v>
      </c>
      <c r="B20" s="3" t="s">
        <v>282</v>
      </c>
      <c r="D20" s="20">
        <v>2.3772532215883152E-5</v>
      </c>
      <c r="E20" s="20">
        <v>0.77374109251890477</v>
      </c>
      <c r="F20" s="20">
        <v>0.59972155653848347</v>
      </c>
      <c r="G20" s="20">
        <v>0.11733976520822759</v>
      </c>
      <c r="H20" s="20">
        <v>0</v>
      </c>
      <c r="I20" s="20">
        <v>5.6679770772193723E-2</v>
      </c>
      <c r="J20" s="20">
        <v>7.3794433521537648E-3</v>
      </c>
      <c r="K20" s="20">
        <v>0.21885569159672566</v>
      </c>
      <c r="L20" s="20">
        <v>0</v>
      </c>
    </row>
    <row r="21" spans="1:12">
      <c r="A21" s="2" t="s">
        <v>341</v>
      </c>
      <c r="B21" s="3" t="s">
        <v>342</v>
      </c>
      <c r="D21" s="20">
        <v>4.4287113871222233E-4</v>
      </c>
      <c r="E21" s="20">
        <v>0.86458664679421049</v>
      </c>
      <c r="F21" s="20">
        <v>0.57220492797273348</v>
      </c>
      <c r="G21" s="20">
        <v>0.28816892679853917</v>
      </c>
      <c r="H21" s="20">
        <v>0</v>
      </c>
      <c r="I21" s="20">
        <v>4.2127920229378035E-3</v>
      </c>
      <c r="J21" s="20">
        <v>1.8568659685358712E-2</v>
      </c>
      <c r="K21" s="20">
        <v>0.11640182238171883</v>
      </c>
      <c r="L21" s="20">
        <v>0</v>
      </c>
    </row>
    <row r="22" spans="1:12">
      <c r="A22" s="2" t="s">
        <v>343</v>
      </c>
      <c r="B22" s="3" t="s">
        <v>344</v>
      </c>
      <c r="D22" s="20">
        <v>1.9599009773123024E-3</v>
      </c>
      <c r="E22" s="20">
        <v>0.71231863124503669</v>
      </c>
      <c r="F22" s="20">
        <v>0.12003512370167439</v>
      </c>
      <c r="G22" s="20">
        <v>3.1304292995660635E-2</v>
      </c>
      <c r="H22" s="20">
        <v>0</v>
      </c>
      <c r="I22" s="20">
        <v>0.56097921454770172</v>
      </c>
      <c r="J22" s="20">
        <v>2.1147391971736221E-3</v>
      </c>
      <c r="K22" s="20">
        <v>0.28360672858047725</v>
      </c>
      <c r="L22" s="20">
        <v>0</v>
      </c>
    </row>
    <row r="23" spans="1:12">
      <c r="A23" s="2" t="s">
        <v>345</v>
      </c>
      <c r="B23" s="3" t="s">
        <v>346</v>
      </c>
      <c r="D23" s="20">
        <v>8.3551652305225785E-5</v>
      </c>
      <c r="E23" s="20">
        <v>0.78289185908861003</v>
      </c>
      <c r="F23" s="20">
        <v>5.7257088131176935E-2</v>
      </c>
      <c r="G23" s="20">
        <v>1.6044449222231152E-2</v>
      </c>
      <c r="H23" s="20">
        <v>0</v>
      </c>
      <c r="I23" s="20">
        <v>0.70959032173520198</v>
      </c>
      <c r="J23" s="20">
        <v>1.2315440645571522E-3</v>
      </c>
      <c r="K23" s="20">
        <v>0.21579304519452763</v>
      </c>
      <c r="L23" s="20">
        <v>0</v>
      </c>
    </row>
    <row r="24" spans="1:12">
      <c r="A24" s="2" t="s">
        <v>347</v>
      </c>
      <c r="B24" s="3" t="s">
        <v>348</v>
      </c>
      <c r="D24" s="20">
        <v>7.2088179994032203E-5</v>
      </c>
      <c r="E24" s="20">
        <v>0.68405680202795971</v>
      </c>
      <c r="F24" s="20">
        <v>0.41931295062553597</v>
      </c>
      <c r="G24" s="20">
        <v>9.1460554764827937E-2</v>
      </c>
      <c r="H24" s="20">
        <v>0</v>
      </c>
      <c r="I24" s="20">
        <v>0.17328329663759576</v>
      </c>
      <c r="J24" s="20">
        <v>5.7391940543844288E-3</v>
      </c>
      <c r="K24" s="20">
        <v>0.31013191573766197</v>
      </c>
      <c r="L24" s="20">
        <v>0</v>
      </c>
    </row>
    <row r="25" spans="1:12">
      <c r="A25" s="2" t="s">
        <v>349</v>
      </c>
      <c r="B25" s="3" t="s">
        <v>350</v>
      </c>
      <c r="D25" s="20">
        <v>1.3176288300262915E-2</v>
      </c>
      <c r="E25" s="20">
        <v>0.83394442046834205</v>
      </c>
      <c r="F25" s="20">
        <v>0.68939368938967949</v>
      </c>
      <c r="G25" s="20">
        <v>0.12392612182597865</v>
      </c>
      <c r="H25" s="20">
        <v>0</v>
      </c>
      <c r="I25" s="20">
        <v>2.0624609252683928E-2</v>
      </c>
      <c r="J25" s="20">
        <v>7.8433994818774902E-3</v>
      </c>
      <c r="K25" s="20">
        <v>0.14503589174951745</v>
      </c>
      <c r="L25" s="20">
        <v>0</v>
      </c>
    </row>
    <row r="26" spans="1:12">
      <c r="A26" s="2" t="s">
        <v>351</v>
      </c>
      <c r="B26" s="3" t="s">
        <v>352</v>
      </c>
      <c r="D26" s="20">
        <v>3.556506470672347E-4</v>
      </c>
      <c r="E26" s="20">
        <v>0.86543386070350303</v>
      </c>
      <c r="F26" s="20">
        <v>0.58897629816664565</v>
      </c>
      <c r="G26" s="20">
        <v>0.271890086855122</v>
      </c>
      <c r="H26" s="20">
        <v>0</v>
      </c>
      <c r="I26" s="20">
        <v>4.5674756817353258E-3</v>
      </c>
      <c r="J26" s="20">
        <v>1.7501043601313021E-2</v>
      </c>
      <c r="K26" s="20">
        <v>0.11670944504811684</v>
      </c>
      <c r="L26" s="20">
        <v>0</v>
      </c>
    </row>
    <row r="27" spans="1:12">
      <c r="A27" s="2" t="s">
        <v>353</v>
      </c>
      <c r="B27" s="3" t="s">
        <v>354</v>
      </c>
      <c r="D27" s="20">
        <v>2.4146472496971343E-3</v>
      </c>
      <c r="E27" s="20">
        <v>0.87440840612031523</v>
      </c>
      <c r="F27" s="20">
        <v>0.24821493513560855</v>
      </c>
      <c r="G27" s="20">
        <v>0.62549445624235178</v>
      </c>
      <c r="H27" s="20">
        <v>0</v>
      </c>
      <c r="I27" s="20">
        <v>6.9901474235484575E-4</v>
      </c>
      <c r="J27" s="20">
        <v>4.1116080701806966E-2</v>
      </c>
      <c r="K27" s="20">
        <v>8.2060865928180737E-2</v>
      </c>
      <c r="L27" s="20">
        <v>0</v>
      </c>
    </row>
    <row r="28" spans="1:12">
      <c r="A28" s="2" t="s">
        <v>355</v>
      </c>
      <c r="B28" s="3" t="s">
        <v>356</v>
      </c>
      <c r="D28" s="20">
        <v>1.3289981699030179E-4</v>
      </c>
      <c r="E28" s="20">
        <v>0.86336476629929859</v>
      </c>
      <c r="F28" s="20">
        <v>0.46558459028258997</v>
      </c>
      <c r="G28" s="20">
        <v>0.39527027252086488</v>
      </c>
      <c r="H28" s="20">
        <v>0</v>
      </c>
      <c r="I28" s="20">
        <v>2.5099034958437393E-3</v>
      </c>
      <c r="J28" s="20">
        <v>2.5634188230541224E-2</v>
      </c>
      <c r="K28" s="20">
        <v>0.11086814565316978</v>
      </c>
      <c r="L28" s="20">
        <v>0</v>
      </c>
    </row>
    <row r="29" spans="1:12">
      <c r="A29" s="2" t="s">
        <v>357</v>
      </c>
      <c r="B29" s="3" t="s">
        <v>358</v>
      </c>
      <c r="D29" s="20">
        <v>2.6869607270083955E-2</v>
      </c>
      <c r="E29" s="20">
        <v>0.84111681853174047</v>
      </c>
      <c r="F29" s="20">
        <v>0.5404251274651134</v>
      </c>
      <c r="G29" s="20">
        <v>0.29691428251363494</v>
      </c>
      <c r="H29" s="20">
        <v>0</v>
      </c>
      <c r="I29" s="20">
        <v>3.7774085529921351E-3</v>
      </c>
      <c r="J29" s="20">
        <v>1.9152619523287687E-2</v>
      </c>
      <c r="K29" s="20">
        <v>0.11286095467488785</v>
      </c>
      <c r="L29" s="20">
        <v>0</v>
      </c>
    </row>
    <row r="30" spans="1:12">
      <c r="A30" s="2" t="s">
        <v>359</v>
      </c>
      <c r="B30" s="3" t="s">
        <v>360</v>
      </c>
      <c r="D30" s="20">
        <v>1.3289981699030179E-4</v>
      </c>
      <c r="E30" s="20">
        <v>0.86336476629929859</v>
      </c>
      <c r="F30" s="20">
        <v>0.46558459028258997</v>
      </c>
      <c r="G30" s="20">
        <v>0.39527027252086488</v>
      </c>
      <c r="H30" s="20">
        <v>0</v>
      </c>
      <c r="I30" s="20">
        <v>2.5099034958437393E-3</v>
      </c>
      <c r="J30" s="20">
        <v>2.5634188230541224E-2</v>
      </c>
      <c r="K30" s="20">
        <v>0.11086814565316978</v>
      </c>
      <c r="L30" s="20">
        <v>0</v>
      </c>
    </row>
    <row r="31" spans="1:12">
      <c r="A31" s="2" t="s">
        <v>283</v>
      </c>
      <c r="B31" s="3" t="s">
        <v>284</v>
      </c>
      <c r="D31" s="20">
        <v>2.620844988358541E-8</v>
      </c>
      <c r="E31" s="20">
        <v>0.97626632239436728</v>
      </c>
      <c r="F31" s="20">
        <v>6.0022703119154072E-4</v>
      </c>
      <c r="G31" s="20">
        <v>2.4088574777470948E-4</v>
      </c>
      <c r="H31" s="20">
        <v>0</v>
      </c>
      <c r="I31" s="20">
        <v>0.97542520961540102</v>
      </c>
      <c r="J31" s="20">
        <v>3.709135454843092E-4</v>
      </c>
      <c r="K31" s="20">
        <v>2.3362737851698508E-2</v>
      </c>
      <c r="L31" s="20">
        <v>0</v>
      </c>
    </row>
    <row r="32" spans="1:12">
      <c r="A32" s="2" t="s">
        <v>361</v>
      </c>
      <c r="B32" s="3" t="s">
        <v>362</v>
      </c>
      <c r="D32" s="20">
        <v>2.1279958627690406E-8</v>
      </c>
      <c r="E32" s="20">
        <v>0.67589796598583096</v>
      </c>
      <c r="F32" s="20">
        <v>0.19472561503364322</v>
      </c>
      <c r="G32" s="20">
        <v>4.8011109873747855E-2</v>
      </c>
      <c r="H32" s="20">
        <v>0</v>
      </c>
      <c r="I32" s="20">
        <v>0.4331612410784399</v>
      </c>
      <c r="J32" s="20">
        <v>3.1394520389396723E-3</v>
      </c>
      <c r="K32" s="20">
        <v>0.32096256069527074</v>
      </c>
      <c r="L32" s="20">
        <v>0</v>
      </c>
    </row>
    <row r="33" spans="1:12">
      <c r="A33" s="2" t="s">
        <v>364</v>
      </c>
      <c r="B33" s="3" t="s">
        <v>365</v>
      </c>
      <c r="D33" s="20">
        <v>1.2067248962798329E-10</v>
      </c>
      <c r="E33" s="20">
        <v>0.99957322301896701</v>
      </c>
      <c r="F33" s="20">
        <v>4.200748111905018E-3</v>
      </c>
      <c r="G33" s="20">
        <v>1.2845587255736451E-6</v>
      </c>
      <c r="H33" s="20">
        <v>0</v>
      </c>
      <c r="I33" s="20">
        <v>0.99537119034833643</v>
      </c>
      <c r="J33" s="20">
        <v>3.6967285201945909E-4</v>
      </c>
      <c r="K33" s="20">
        <v>5.710400834094328E-5</v>
      </c>
      <c r="L33" s="20">
        <v>0</v>
      </c>
    </row>
    <row r="34" spans="1:12">
      <c r="A34" s="2" t="s">
        <v>285</v>
      </c>
      <c r="B34" s="3" t="s">
        <v>286</v>
      </c>
      <c r="D34" s="20">
        <v>3.5869250280234032E-10</v>
      </c>
      <c r="E34" s="20">
        <v>0.99918257670813315</v>
      </c>
      <c r="F34" s="20">
        <v>0.45186660653497424</v>
      </c>
      <c r="G34" s="20">
        <v>3.7109470259092002E-5</v>
      </c>
      <c r="H34" s="20">
        <v>0</v>
      </c>
      <c r="I34" s="20">
        <v>0.54727886070289977</v>
      </c>
      <c r="J34" s="20">
        <v>6.2288809620188288E-4</v>
      </c>
      <c r="K34" s="20">
        <v>1.9453483697237647E-4</v>
      </c>
      <c r="L34" s="20">
        <v>0</v>
      </c>
    </row>
    <row r="35" spans="1:12">
      <c r="A35" s="2" t="s">
        <v>287</v>
      </c>
      <c r="B35" s="3" t="s">
        <v>288</v>
      </c>
      <c r="D35" s="20">
        <v>1.0447253374183394E-11</v>
      </c>
      <c r="E35" s="20">
        <v>0.99881148176900914</v>
      </c>
      <c r="F35" s="20">
        <v>0.67471520244179461</v>
      </c>
      <c r="G35" s="20">
        <v>1.3066155375330085E-4</v>
      </c>
      <c r="H35" s="20">
        <v>0</v>
      </c>
      <c r="I35" s="20">
        <v>0.32396561777346117</v>
      </c>
      <c r="J35" s="20">
        <v>7.1769220825574406E-4</v>
      </c>
      <c r="K35" s="20">
        <v>4.7082601228795443E-4</v>
      </c>
      <c r="L35" s="20">
        <v>0</v>
      </c>
    </row>
    <row r="36" spans="1:12">
      <c r="A36" s="2" t="s">
        <v>366</v>
      </c>
      <c r="B36" s="3" t="s">
        <v>305</v>
      </c>
      <c r="D36" s="20">
        <v>1.841703405502731E-8</v>
      </c>
      <c r="E36" s="20">
        <v>0.99870485658326824</v>
      </c>
      <c r="F36" s="20">
        <v>0.89039132345532312</v>
      </c>
      <c r="G36" s="20">
        <v>2.5493103125569E-4</v>
      </c>
      <c r="H36" s="20">
        <v>0</v>
      </c>
      <c r="I36" s="20">
        <v>0.10805860209668938</v>
      </c>
      <c r="J36" s="20">
        <v>7.6894379207281544E-4</v>
      </c>
      <c r="K36" s="20">
        <v>5.261812076246716E-4</v>
      </c>
      <c r="L36" s="20">
        <v>0</v>
      </c>
    </row>
    <row r="37" spans="1:12">
      <c r="A37" s="2" t="s">
        <v>289</v>
      </c>
      <c r="B37" s="3" t="s">
        <v>290</v>
      </c>
      <c r="D37" s="20">
        <v>4.1848780341258607E-15</v>
      </c>
      <c r="E37" s="20">
        <v>0.92733638853835976</v>
      </c>
      <c r="F37" s="20">
        <v>0.69583012428702751</v>
      </c>
      <c r="G37" s="20">
        <v>2.3755967777805916E-2</v>
      </c>
      <c r="H37" s="20">
        <v>0</v>
      </c>
      <c r="I37" s="20">
        <v>0.20775029647352636</v>
      </c>
      <c r="J37" s="20">
        <v>2.050498433969553E-3</v>
      </c>
      <c r="K37" s="20">
        <v>7.0613113027666458E-2</v>
      </c>
      <c r="L37" s="20">
        <v>0</v>
      </c>
    </row>
    <row r="38" spans="1:12">
      <c r="A38" s="2" t="s">
        <v>291</v>
      </c>
      <c r="B38" s="3" t="s">
        <v>292</v>
      </c>
      <c r="D38" s="20">
        <v>1.2074196219813258E-12</v>
      </c>
      <c r="E38" s="20">
        <v>0.99751162037588792</v>
      </c>
      <c r="F38" s="20">
        <v>0.38432942582618068</v>
      </c>
      <c r="G38" s="20">
        <v>3.2108549350783847E-4</v>
      </c>
      <c r="H38" s="20">
        <v>0</v>
      </c>
      <c r="I38" s="20">
        <v>0.61286110905619939</v>
      </c>
      <c r="J38" s="20">
        <v>6.0675358004163324E-4</v>
      </c>
      <c r="K38" s="20">
        <v>1.8816260428629944E-3</v>
      </c>
      <c r="L38" s="20">
        <v>0</v>
      </c>
    </row>
    <row r="39" spans="1:12">
      <c r="A39" s="2" t="s">
        <v>367</v>
      </c>
      <c r="B39" s="3" t="s">
        <v>368</v>
      </c>
      <c r="D39" s="20">
        <v>1.44314947335495E-5</v>
      </c>
      <c r="E39" s="20">
        <v>0.88204196039616445</v>
      </c>
      <c r="F39" s="20">
        <v>0.74213947060817975</v>
      </c>
      <c r="G39" s="20">
        <v>0.12962270658159511</v>
      </c>
      <c r="H39" s="20">
        <v>0</v>
      </c>
      <c r="I39" s="20">
        <v>1.0279783206389538E-2</v>
      </c>
      <c r="J39" s="20">
        <v>8.2468694334679599E-3</v>
      </c>
      <c r="K39" s="20">
        <v>0.10969673867563405</v>
      </c>
      <c r="L39" s="20">
        <v>0</v>
      </c>
    </row>
    <row r="40" spans="1:12">
      <c r="A40" s="2" t="s">
        <v>369</v>
      </c>
      <c r="B40" s="3" t="s">
        <v>370</v>
      </c>
      <c r="D40" s="20">
        <v>8.8574543298696117E-13</v>
      </c>
      <c r="E40" s="20">
        <v>0.94579605674687939</v>
      </c>
      <c r="F40" s="20">
        <v>0.88108643055490965</v>
      </c>
      <c r="G40" s="20">
        <v>6.3743937961280639E-2</v>
      </c>
      <c r="H40" s="20">
        <v>0</v>
      </c>
      <c r="I40" s="20">
        <v>9.6568823068912495E-4</v>
      </c>
      <c r="J40" s="20">
        <v>5.1432209436894818E-2</v>
      </c>
      <c r="K40" s="20">
        <v>2.7717338153402634E-3</v>
      </c>
      <c r="L40" s="20">
        <v>0</v>
      </c>
    </row>
    <row r="41" spans="1:12">
      <c r="A41" s="2" t="s">
        <v>371</v>
      </c>
      <c r="B41" s="3" t="s">
        <v>372</v>
      </c>
      <c r="D41" s="20">
        <v>8.1779462945984135E-2</v>
      </c>
      <c r="E41" s="20">
        <v>0.91330712479346066</v>
      </c>
      <c r="F41" s="20">
        <v>2.7958796242747486E-5</v>
      </c>
      <c r="G41" s="20">
        <v>1.3996325194095376E-5</v>
      </c>
      <c r="H41" s="20">
        <v>0</v>
      </c>
      <c r="I41" s="20">
        <v>0.91326516967202387</v>
      </c>
      <c r="J41" s="20">
        <v>3.348760318898096E-4</v>
      </c>
      <c r="K41" s="20">
        <v>4.578536228665408E-3</v>
      </c>
      <c r="L41" s="20">
        <v>0</v>
      </c>
    </row>
    <row r="42" spans="1:12">
      <c r="A42" s="2" t="s">
        <v>293</v>
      </c>
      <c r="B42" s="3" t="s">
        <v>294</v>
      </c>
      <c r="D42" s="20">
        <v>1.7492403966654333E-8</v>
      </c>
      <c r="E42" s="20">
        <v>0.69994156667524288</v>
      </c>
      <c r="F42" s="20">
        <v>0.14032133672456779</v>
      </c>
      <c r="G42" s="20">
        <v>3.5993101289693775E-2</v>
      </c>
      <c r="H42" s="20">
        <v>0</v>
      </c>
      <c r="I42" s="20">
        <v>0.52362712866098127</v>
      </c>
      <c r="J42" s="20">
        <v>2.3905874342646598E-3</v>
      </c>
      <c r="K42" s="20">
        <v>0.29766782839808853</v>
      </c>
      <c r="L42" s="20">
        <v>0</v>
      </c>
    </row>
    <row r="43" spans="1:12">
      <c r="A43" s="2" t="s">
        <v>373</v>
      </c>
      <c r="B43" s="3" t="s">
        <v>374</v>
      </c>
      <c r="D43" s="20">
        <v>4.3071051537992992E-8</v>
      </c>
      <c r="E43" s="20">
        <v>0.99802141730480143</v>
      </c>
      <c r="F43" s="20">
        <v>0.98838320649357359</v>
      </c>
      <c r="G43" s="20">
        <v>8.3454023379872012E-4</v>
      </c>
      <c r="H43" s="20">
        <v>0</v>
      </c>
      <c r="I43" s="20">
        <v>8.8036705774290902E-3</v>
      </c>
      <c r="J43" s="20">
        <v>1.5572702284468273E-3</v>
      </c>
      <c r="K43" s="20">
        <v>4.2126939569987163E-4</v>
      </c>
      <c r="L43" s="20">
        <v>0</v>
      </c>
    </row>
    <row r="44" spans="1:12">
      <c r="A44" s="2" t="s">
        <v>375</v>
      </c>
      <c r="B44" s="3" t="s">
        <v>376</v>
      </c>
      <c r="D44" s="20">
        <v>8.5106211359147907E-2</v>
      </c>
      <c r="E44" s="20">
        <v>0.78707132491545417</v>
      </c>
      <c r="F44" s="20">
        <v>1.9455189821718701E-2</v>
      </c>
      <c r="G44" s="20">
        <v>5.9337743632903953E-3</v>
      </c>
      <c r="H44" s="20">
        <v>0</v>
      </c>
      <c r="I44" s="20">
        <v>0.76168236073044504</v>
      </c>
      <c r="J44" s="20">
        <v>6.3518995007251868E-4</v>
      </c>
      <c r="K44" s="20">
        <v>0.12718727377532538</v>
      </c>
      <c r="L44" s="20">
        <v>0</v>
      </c>
    </row>
    <row r="45" spans="1:12">
      <c r="A45" s="2" t="s">
        <v>377</v>
      </c>
      <c r="B45" s="3" t="s">
        <v>378</v>
      </c>
      <c r="D45" s="20">
        <v>6.6530612079478721E-4</v>
      </c>
      <c r="E45" s="20">
        <v>0.68857554832524426</v>
      </c>
      <c r="F45" s="20">
        <v>0.15984377728095978</v>
      </c>
      <c r="G45" s="20">
        <v>4.0400923195404274E-2</v>
      </c>
      <c r="H45" s="20">
        <v>0</v>
      </c>
      <c r="I45" s="20">
        <v>0.4883308478488802</v>
      </c>
      <c r="J45" s="20">
        <v>2.6504752069449844E-3</v>
      </c>
      <c r="K45" s="20">
        <v>0.30810867034701583</v>
      </c>
      <c r="L45" s="20">
        <v>0</v>
      </c>
    </row>
    <row r="46" spans="1:12">
      <c r="A46" s="2" t="s">
        <v>379</v>
      </c>
      <c r="B46" s="3" t="s">
        <v>380</v>
      </c>
      <c r="D46" s="20">
        <v>2.0007963308548682E-3</v>
      </c>
      <c r="E46" s="20">
        <v>0.69429659414958522</v>
      </c>
      <c r="F46" s="20">
        <v>0.14718959055038758</v>
      </c>
      <c r="G46" s="20">
        <v>3.7546776073071012E-2</v>
      </c>
      <c r="H46" s="20">
        <v>0</v>
      </c>
      <c r="I46" s="20">
        <v>0.50956022752612662</v>
      </c>
      <c r="J46" s="20">
        <v>2.4815837591062998E-3</v>
      </c>
      <c r="K46" s="20">
        <v>0.30122102576045373</v>
      </c>
      <c r="L46" s="20">
        <v>0</v>
      </c>
    </row>
    <row r="47" spans="1:12">
      <c r="A47" s="2" t="s">
        <v>381</v>
      </c>
      <c r="B47" s="3" t="s">
        <v>382</v>
      </c>
      <c r="D47" s="20">
        <v>4.1053246194849344E-8</v>
      </c>
      <c r="E47" s="20">
        <v>0.87792494482719274</v>
      </c>
      <c r="F47" s="20">
        <v>0.23649486675229919</v>
      </c>
      <c r="G47" s="20">
        <v>0.64079228449355174</v>
      </c>
      <c r="H47" s="20">
        <v>0</v>
      </c>
      <c r="I47" s="20">
        <v>6.3779358134182797E-4</v>
      </c>
      <c r="J47" s="20">
        <v>4.2159719570071572E-2</v>
      </c>
      <c r="K47" s="20">
        <v>7.9915294549489493E-2</v>
      </c>
      <c r="L47" s="20">
        <v>0</v>
      </c>
    </row>
    <row r="48" spans="1:12">
      <c r="A48" s="2" t="s">
        <v>383</v>
      </c>
      <c r="B48" s="3" t="s">
        <v>384</v>
      </c>
      <c r="D48" s="20">
        <v>1.1767247421808071E-2</v>
      </c>
      <c r="E48" s="20">
        <v>0.91122479484224694</v>
      </c>
      <c r="F48" s="20">
        <v>6.2827401803552396E-3</v>
      </c>
      <c r="G48" s="20">
        <v>2.108844976364909E-3</v>
      </c>
      <c r="H48" s="20">
        <v>0</v>
      </c>
      <c r="I48" s="20">
        <v>0.90283320968552683</v>
      </c>
      <c r="J48" s="20">
        <v>4.5582652213827407E-4</v>
      </c>
      <c r="K48" s="20">
        <v>7.6552131213806565E-2</v>
      </c>
      <c r="L48" s="20">
        <v>0</v>
      </c>
    </row>
    <row r="49" spans="1:12">
      <c r="A49" s="2" t="s">
        <v>385</v>
      </c>
      <c r="B49" s="3" t="s">
        <v>386</v>
      </c>
      <c r="D49" s="20">
        <v>2.1970179095211671E-2</v>
      </c>
      <c r="E49" s="20">
        <v>0.87631494966357215</v>
      </c>
      <c r="F49" s="20">
        <v>1.120231581431063E-2</v>
      </c>
      <c r="G49" s="20">
        <v>3.5909004668814564E-3</v>
      </c>
      <c r="H49" s="20">
        <v>0</v>
      </c>
      <c r="I49" s="20">
        <v>0.86152173338238003</v>
      </c>
      <c r="J49" s="20">
        <v>5.299033970503934E-4</v>
      </c>
      <c r="K49" s="20">
        <v>0.10118496784416579</v>
      </c>
      <c r="L49" s="20">
        <v>0</v>
      </c>
    </row>
    <row r="50" spans="1:12">
      <c r="A50" s="2" t="s">
        <v>387</v>
      </c>
      <c r="B50" s="3" t="s">
        <v>388</v>
      </c>
      <c r="D50" s="20">
        <v>6.5507009741956248E-3</v>
      </c>
      <c r="E50" s="20">
        <v>0.74543448298200432</v>
      </c>
      <c r="F50" s="20">
        <v>0.55842131904108083</v>
      </c>
      <c r="G50" s="20">
        <v>0.1121134057149267</v>
      </c>
      <c r="H50" s="20">
        <v>0</v>
      </c>
      <c r="I50" s="20">
        <v>7.4899758225996746E-2</v>
      </c>
      <c r="J50" s="20">
        <v>7.0408219459954947E-3</v>
      </c>
      <c r="K50" s="20">
        <v>0.24097399409780448</v>
      </c>
      <c r="L50" s="20">
        <v>0</v>
      </c>
    </row>
    <row r="51" spans="1:12">
      <c r="A51" s="2" t="s">
        <v>295</v>
      </c>
      <c r="B51" s="3" t="s">
        <v>296</v>
      </c>
      <c r="D51" s="20">
        <v>6.5530326684371282E-2</v>
      </c>
      <c r="E51" s="20">
        <v>0.90454144395748781</v>
      </c>
      <c r="F51" s="20">
        <v>1.0127833381436125E-3</v>
      </c>
      <c r="G51" s="20">
        <v>3.888768617292295E-4</v>
      </c>
      <c r="H51" s="20">
        <v>0</v>
      </c>
      <c r="I51" s="20">
        <v>0.90313978375761494</v>
      </c>
      <c r="J51" s="20">
        <v>3.532306834942716E-4</v>
      </c>
      <c r="K51" s="20">
        <v>2.9574998674646639E-2</v>
      </c>
      <c r="L51" s="20">
        <v>0</v>
      </c>
    </row>
    <row r="52" spans="1:12">
      <c r="A52" s="2" t="s">
        <v>389</v>
      </c>
      <c r="B52" s="3" t="s">
        <v>390</v>
      </c>
      <c r="D52" s="20">
        <v>6.8891606400717509E-2</v>
      </c>
      <c r="E52" s="20">
        <v>0.76541774919773398</v>
      </c>
      <c r="F52" s="20">
        <v>3.3607834242928403E-2</v>
      </c>
      <c r="G52" s="20">
        <v>9.8069978914406969E-3</v>
      </c>
      <c r="H52" s="20">
        <v>0</v>
      </c>
      <c r="I52" s="20">
        <v>0.72200291706336484</v>
      </c>
      <c r="J52" s="20">
        <v>8.5591766100022709E-4</v>
      </c>
      <c r="K52" s="20">
        <v>0.16483472674054842</v>
      </c>
      <c r="L52" s="20">
        <v>0</v>
      </c>
    </row>
    <row r="53" spans="1:12">
      <c r="A53" s="2" t="s">
        <v>391</v>
      </c>
      <c r="B53" s="3" t="s">
        <v>392</v>
      </c>
      <c r="D53" s="20">
        <v>1.9629765417828807E-3</v>
      </c>
      <c r="E53" s="20">
        <v>0.66440896581069808</v>
      </c>
      <c r="F53" s="20">
        <v>0.23098795000732597</v>
      </c>
      <c r="G53" s="20">
        <v>5.5755136055316561E-2</v>
      </c>
      <c r="H53" s="20">
        <v>0</v>
      </c>
      <c r="I53" s="20">
        <v>0.3776658797480556</v>
      </c>
      <c r="J53" s="20">
        <v>3.5645501556535015E-3</v>
      </c>
      <c r="K53" s="20">
        <v>0.33006350749186547</v>
      </c>
      <c r="L53" s="20">
        <v>0</v>
      </c>
    </row>
    <row r="54" spans="1:12">
      <c r="A54" s="2" t="s">
        <v>393</v>
      </c>
      <c r="B54" s="3" t="s">
        <v>394</v>
      </c>
      <c r="D54" s="20">
        <v>1.8929445029904873E-4</v>
      </c>
      <c r="E54" s="20">
        <v>0.87291855874757218</v>
      </c>
      <c r="F54" s="20">
        <v>0.2824958657841482</v>
      </c>
      <c r="G54" s="20">
        <v>0.58953236395809316</v>
      </c>
      <c r="H54" s="20">
        <v>0</v>
      </c>
      <c r="I54" s="20">
        <v>8.9032900533080744E-4</v>
      </c>
      <c r="J54" s="20">
        <v>3.8661333526087888E-2</v>
      </c>
      <c r="K54" s="20">
        <v>8.8230813276040709E-2</v>
      </c>
      <c r="L54" s="20">
        <v>0</v>
      </c>
    </row>
    <row r="55" spans="1:12">
      <c r="A55" s="2" t="s">
        <v>395</v>
      </c>
      <c r="B55" s="3" t="s">
        <v>396</v>
      </c>
      <c r="D55" s="20">
        <v>0.13248046083484366</v>
      </c>
      <c r="E55" s="20">
        <v>0.59967130687384462</v>
      </c>
      <c r="F55" s="20">
        <v>0.38161553426134254</v>
      </c>
      <c r="G55" s="20">
        <v>8.232307807417566E-2</v>
      </c>
      <c r="H55" s="20">
        <v>0</v>
      </c>
      <c r="I55" s="20">
        <v>0.13573269453832648</v>
      </c>
      <c r="J55" s="20">
        <v>5.1638632675922976E-3</v>
      </c>
      <c r="K55" s="20">
        <v>0.26268436902371928</v>
      </c>
      <c r="L55" s="20">
        <v>0</v>
      </c>
    </row>
    <row r="56" spans="1:12">
      <c r="A56" s="2" t="s">
        <v>397</v>
      </c>
      <c r="B56" s="3" t="s">
        <v>398</v>
      </c>
      <c r="D56" s="20">
        <v>0.6023612124433706</v>
      </c>
      <c r="E56" s="20">
        <v>0.3181217443668457</v>
      </c>
      <c r="F56" s="20">
        <v>0.25382314074948559</v>
      </c>
      <c r="G56" s="20">
        <v>4.8219951479339218E-2</v>
      </c>
      <c r="H56" s="20">
        <v>0</v>
      </c>
      <c r="I56" s="20">
        <v>1.6078652138020885E-2</v>
      </c>
      <c r="J56" s="20">
        <v>3.0385364608170517E-3</v>
      </c>
      <c r="K56" s="20">
        <v>7.6478506728966653E-2</v>
      </c>
      <c r="L56" s="20">
        <v>0</v>
      </c>
    </row>
    <row r="57" spans="1:12">
      <c r="A57" s="2" t="s">
        <v>399</v>
      </c>
      <c r="B57" s="3" t="s">
        <v>400</v>
      </c>
      <c r="D57" s="20">
        <v>0.76565282063893536</v>
      </c>
      <c r="E57" s="20">
        <v>0.16615352663567901</v>
      </c>
      <c r="F57" s="20">
        <v>0.11321555546893119</v>
      </c>
      <c r="G57" s="20">
        <v>2.3845237755748528E-2</v>
      </c>
      <c r="H57" s="20">
        <v>0</v>
      </c>
      <c r="I57" s="20">
        <v>2.9092733410999282E-2</v>
      </c>
      <c r="J57" s="20">
        <v>1.4954260130055673E-3</v>
      </c>
      <c r="K57" s="20">
        <v>6.669822671237978E-2</v>
      </c>
      <c r="L57" s="20">
        <v>0</v>
      </c>
    </row>
    <row r="58" spans="1:12">
      <c r="A58" s="2" t="s">
        <v>297</v>
      </c>
      <c r="B58" s="3" t="s">
        <v>298</v>
      </c>
      <c r="D58" s="20">
        <v>0.93158158432680782</v>
      </c>
      <c r="E58" s="20">
        <v>6.0462193844609068E-2</v>
      </c>
      <c r="F58" s="20">
        <v>9.8785933831738778E-4</v>
      </c>
      <c r="G58" s="20">
        <v>3.1087848369608351E-4</v>
      </c>
      <c r="H58" s="20">
        <v>0</v>
      </c>
      <c r="I58" s="20">
        <v>5.9163456022595595E-2</v>
      </c>
      <c r="J58" s="20">
        <v>4.0267214055610496E-5</v>
      </c>
      <c r="K58" s="20">
        <v>7.9159546145275324E-3</v>
      </c>
      <c r="L58" s="20">
        <v>0</v>
      </c>
    </row>
    <row r="59" spans="1:12">
      <c r="A59" s="2" t="s">
        <v>401</v>
      </c>
      <c r="B59" s="3" t="s">
        <v>402</v>
      </c>
      <c r="D59" s="20">
        <v>0.90864897656463683</v>
      </c>
      <c r="E59" s="20">
        <v>6.4372210245205383E-2</v>
      </c>
      <c r="F59" s="20">
        <v>4.3238473851151836E-2</v>
      </c>
      <c r="G59" s="20">
        <v>9.1572677349990791E-3</v>
      </c>
      <c r="H59" s="20">
        <v>0</v>
      </c>
      <c r="I59" s="20">
        <v>1.1976468659054463E-2</v>
      </c>
      <c r="J59" s="20">
        <v>5.7427704229864537E-4</v>
      </c>
      <c r="K59" s="20">
        <v>2.6404536147859356E-2</v>
      </c>
      <c r="L59" s="20">
        <v>0</v>
      </c>
    </row>
    <row r="60" spans="1:12">
      <c r="A60" s="2" t="s">
        <v>299</v>
      </c>
      <c r="B60" s="3" t="s">
        <v>300</v>
      </c>
      <c r="D60" s="20">
        <v>0.99803235298859394</v>
      </c>
      <c r="E60" s="20">
        <v>1.3154845058911944E-3</v>
      </c>
      <c r="F60" s="20">
        <v>7.0830259811711222E-4</v>
      </c>
      <c r="G60" s="20">
        <v>1.5940956996688695E-4</v>
      </c>
      <c r="H60" s="20">
        <v>0</v>
      </c>
      <c r="I60" s="20">
        <v>4.4777233780719534E-4</v>
      </c>
      <c r="J60" s="20">
        <v>1.0026502035811628E-5</v>
      </c>
      <c r="K60" s="20">
        <v>6.4213600347877127E-4</v>
      </c>
      <c r="L60" s="20">
        <v>0</v>
      </c>
    </row>
    <row r="61" spans="1:12">
      <c r="A61" s="2" t="s">
        <v>403</v>
      </c>
      <c r="B61" s="3" t="s">
        <v>404</v>
      </c>
      <c r="D61" s="20">
        <v>4.4558758570471061E-44</v>
      </c>
      <c r="E61" s="20">
        <v>0.66175928694721575</v>
      </c>
      <c r="F61" s="20">
        <v>0.30761485036173181</v>
      </c>
      <c r="G61" s="20">
        <v>7.1170964755873117E-2</v>
      </c>
      <c r="H61" s="20">
        <v>0</v>
      </c>
      <c r="I61" s="20">
        <v>0.2829734718296108</v>
      </c>
      <c r="J61" s="20">
        <v>4.4951632496297396E-3</v>
      </c>
      <c r="K61" s="20">
        <v>0.33374554980315452</v>
      </c>
      <c r="L61" s="20">
        <v>0</v>
      </c>
    </row>
    <row r="62" spans="1:12">
      <c r="A62" s="2" t="s">
        <v>405</v>
      </c>
      <c r="B62" s="3" t="s">
        <v>406</v>
      </c>
      <c r="D62" s="20">
        <v>1.0595639532784625E-7</v>
      </c>
      <c r="E62" s="20">
        <v>0.86425081454773711</v>
      </c>
      <c r="F62" s="20">
        <v>0.55246070071480158</v>
      </c>
      <c r="G62" s="20">
        <v>0.30796186802526099</v>
      </c>
      <c r="H62" s="20">
        <v>0</v>
      </c>
      <c r="I62" s="20">
        <v>3.8282458076745875E-3</v>
      </c>
      <c r="J62" s="20">
        <v>1.9868788840615777E-2</v>
      </c>
      <c r="K62" s="20">
        <v>0.11588029065525175</v>
      </c>
      <c r="L62" s="20">
        <v>0</v>
      </c>
    </row>
    <row r="63" spans="1:12">
      <c r="A63" s="2" t="s">
        <v>407</v>
      </c>
      <c r="B63" s="3" t="s">
        <v>408</v>
      </c>
      <c r="D63" s="20">
        <v>2.527101040728101E-5</v>
      </c>
      <c r="E63" s="20">
        <v>0.88709513249911875</v>
      </c>
      <c r="F63" s="20">
        <v>0.16896502678222278</v>
      </c>
      <c r="G63" s="20">
        <v>0.71778169199798625</v>
      </c>
      <c r="H63" s="20">
        <v>0</v>
      </c>
      <c r="I63" s="20">
        <v>3.4841371890977416E-4</v>
      </c>
      <c r="J63" s="20">
        <v>4.7490549558395233E-2</v>
      </c>
      <c r="K63" s="20">
        <v>6.538904693207867E-2</v>
      </c>
      <c r="L63" s="20">
        <v>0</v>
      </c>
    </row>
    <row r="64" spans="1:12">
      <c r="A64" s="2" t="s">
        <v>409</v>
      </c>
      <c r="B64" s="3" t="s">
        <v>410</v>
      </c>
      <c r="D64" s="20">
        <v>3.1293586211096558E-6</v>
      </c>
      <c r="E64" s="20">
        <v>0.90181568673979184</v>
      </c>
      <c r="F64" s="20">
        <v>9.1060399343627432E-2</v>
      </c>
      <c r="G64" s="20">
        <v>0.81063454272412394</v>
      </c>
      <c r="H64" s="20">
        <v>0</v>
      </c>
      <c r="I64" s="20">
        <v>1.2074467204046474E-4</v>
      </c>
      <c r="J64" s="20">
        <v>5.4132013202439926E-2</v>
      </c>
      <c r="K64" s="20">
        <v>4.4049170699147197E-2</v>
      </c>
      <c r="L64" s="20">
        <v>0</v>
      </c>
    </row>
    <row r="65" spans="1:12">
      <c r="A65" s="2" t="s">
        <v>301</v>
      </c>
      <c r="B65" s="3" t="s">
        <v>302</v>
      </c>
      <c r="D65" s="20">
        <v>3.8671414275694437E-7</v>
      </c>
      <c r="E65" s="20">
        <v>0.91477629267766769</v>
      </c>
      <c r="F65" s="20">
        <v>4.2253653843442436E-2</v>
      </c>
      <c r="G65" s="20">
        <v>0.87248872923196619</v>
      </c>
      <c r="H65" s="20">
        <v>0</v>
      </c>
      <c r="I65" s="20">
        <v>3.3909602259107409E-5</v>
      </c>
      <c r="J65" s="20">
        <v>5.8879882409225481E-2</v>
      </c>
      <c r="K65" s="20">
        <v>2.6343438198963925E-2</v>
      </c>
      <c r="L65" s="20">
        <v>0</v>
      </c>
    </row>
    <row r="66" spans="1:12">
      <c r="A66" s="2" t="s">
        <v>303</v>
      </c>
      <c r="B66" s="3" t="s">
        <v>304</v>
      </c>
      <c r="D66" s="20">
        <v>3.7324447071894516E-13</v>
      </c>
      <c r="E66" s="20">
        <v>0.90799076782844101</v>
      </c>
      <c r="F66" s="20">
        <v>6.5821473096070893E-2</v>
      </c>
      <c r="G66" s="20">
        <v>0.84209900271246763</v>
      </c>
      <c r="H66" s="20">
        <v>0</v>
      </c>
      <c r="I66" s="20">
        <v>7.0292019902484348E-5</v>
      </c>
      <c r="J66" s="20">
        <v>5.6489000999576176E-2</v>
      </c>
      <c r="K66" s="20">
        <v>3.5520231171609525E-2</v>
      </c>
      <c r="L66" s="20">
        <v>0</v>
      </c>
    </row>
    <row r="67" spans="1:12">
      <c r="A67" s="2" t="s">
        <v>411</v>
      </c>
      <c r="B67" s="3" t="s">
        <v>412</v>
      </c>
      <c r="D67" s="20">
        <v>4.6542997915950965E-3</v>
      </c>
      <c r="E67" s="20">
        <v>0.84422961869967184</v>
      </c>
      <c r="F67" s="20">
        <v>2.5312122778904413E-2</v>
      </c>
      <c r="G67" s="20">
        <v>7.6071875528259452E-3</v>
      </c>
      <c r="H67" s="20">
        <v>0</v>
      </c>
      <c r="I67" s="20">
        <v>0.81131030836794149</v>
      </c>
      <c r="J67" s="20">
        <v>7.5454523638454846E-4</v>
      </c>
      <c r="K67" s="20">
        <v>0.15036153627234861</v>
      </c>
      <c r="L67" s="20">
        <v>0</v>
      </c>
    </row>
    <row r="68" spans="1:12">
      <c r="A68" s="2" t="s">
        <v>413</v>
      </c>
      <c r="B68" s="3" t="s">
        <v>414</v>
      </c>
      <c r="D68" s="20">
        <v>9.9836799549497656E-3</v>
      </c>
      <c r="E68" s="20">
        <v>0.79659419340483772</v>
      </c>
      <c r="F68" s="20">
        <v>4.4214514985571822E-2</v>
      </c>
      <c r="G68" s="20">
        <v>1.2666610633668212E-2</v>
      </c>
      <c r="H68" s="20">
        <v>0</v>
      </c>
      <c r="I68" s="20">
        <v>0.73971306778559764</v>
      </c>
      <c r="J68" s="20">
        <v>1.0363099507038891E-3</v>
      </c>
      <c r="K68" s="20">
        <v>0.19238581668950866</v>
      </c>
      <c r="L68" s="20">
        <v>0</v>
      </c>
    </row>
    <row r="69" spans="1:12">
      <c r="A69" s="2" t="s">
        <v>415</v>
      </c>
      <c r="B69" s="3" t="s">
        <v>416</v>
      </c>
      <c r="D69" s="20">
        <v>1.2195231565874955E-3</v>
      </c>
      <c r="E69" s="20">
        <v>0.86655154188518646</v>
      </c>
      <c r="F69" s="20">
        <v>0.35282899374500171</v>
      </c>
      <c r="G69" s="20">
        <v>0.51234183743608486</v>
      </c>
      <c r="H69" s="20">
        <v>0</v>
      </c>
      <c r="I69" s="20">
        <v>1.3807107040999425E-3</v>
      </c>
      <c r="J69" s="20">
        <v>3.3448154758192891E-2</v>
      </c>
      <c r="K69" s="20">
        <v>9.8780780200033141E-2</v>
      </c>
      <c r="L69" s="20">
        <v>0</v>
      </c>
    </row>
    <row r="70" spans="1:12">
      <c r="A70" s="2" t="s">
        <v>417</v>
      </c>
      <c r="B70" s="3" t="s">
        <v>418</v>
      </c>
      <c r="D70" s="20">
        <v>3.1694371729468198E-3</v>
      </c>
      <c r="E70" s="20">
        <v>0.82965864357108532</v>
      </c>
      <c r="F70" s="20">
        <v>0.67991772354780911</v>
      </c>
      <c r="G70" s="20">
        <v>0.12426588511243042</v>
      </c>
      <c r="H70" s="20">
        <v>0</v>
      </c>
      <c r="I70" s="20">
        <v>2.5475034910845806E-2</v>
      </c>
      <c r="J70" s="20">
        <v>7.8540284900015297E-3</v>
      </c>
      <c r="K70" s="20">
        <v>0.15931789076596631</v>
      </c>
      <c r="L70" s="20">
        <v>0</v>
      </c>
    </row>
    <row r="71" spans="1:12">
      <c r="A71" s="2" t="s">
        <v>419</v>
      </c>
      <c r="B71" s="3" t="s">
        <v>420</v>
      </c>
      <c r="D71" s="20">
        <v>2.4509668549200257E-2</v>
      </c>
      <c r="E71" s="20">
        <v>0.79178743415872088</v>
      </c>
      <c r="F71" s="20">
        <v>4.0032402363202893E-2</v>
      </c>
      <c r="G71" s="20">
        <v>1.1553330801179011E-2</v>
      </c>
      <c r="H71" s="20">
        <v>0</v>
      </c>
      <c r="I71" s="20">
        <v>0.74020170099433902</v>
      </c>
      <c r="J71" s="20">
        <v>9.6869612352974352E-4</v>
      </c>
      <c r="K71" s="20">
        <v>0.18273420116854905</v>
      </c>
      <c r="L71" s="20">
        <v>0</v>
      </c>
    </row>
    <row r="72" spans="1:12">
      <c r="A72" s="2" t="s">
        <v>421</v>
      </c>
      <c r="B72" s="3" t="s">
        <v>422</v>
      </c>
      <c r="D72" s="20">
        <v>1.3283390656987082E-2</v>
      </c>
      <c r="E72" s="20">
        <v>0.81097640115518843</v>
      </c>
      <c r="F72" s="20">
        <v>0.65945195497181208</v>
      </c>
      <c r="G72" s="20">
        <v>0.12208961253355084</v>
      </c>
      <c r="H72" s="20">
        <v>0</v>
      </c>
      <c r="I72" s="20">
        <v>2.9434833649825513E-2</v>
      </c>
      <c r="J72" s="20">
        <v>7.7084599119434946E-3</v>
      </c>
      <c r="K72" s="20">
        <v>0.16803174827588113</v>
      </c>
      <c r="L72" s="20">
        <v>0</v>
      </c>
    </row>
    <row r="73" spans="1:12">
      <c r="A73" s="2" t="s">
        <v>423</v>
      </c>
      <c r="B73" s="3" t="s">
        <v>424</v>
      </c>
      <c r="D73" s="20">
        <v>1.297399166391488E-2</v>
      </c>
      <c r="E73" s="20">
        <v>0.65462969257353532</v>
      </c>
      <c r="F73" s="20">
        <v>0.32073608918640034</v>
      </c>
      <c r="G73" s="20">
        <v>7.3526413924792644E-2</v>
      </c>
      <c r="H73" s="20">
        <v>0</v>
      </c>
      <c r="I73" s="20">
        <v>0.26036718946234227</v>
      </c>
      <c r="J73" s="20">
        <v>4.6362671455391002E-3</v>
      </c>
      <c r="K73" s="20">
        <v>0.32776004861701069</v>
      </c>
      <c r="L73" s="20">
        <v>0</v>
      </c>
    </row>
    <row r="74" spans="1:12">
      <c r="A74" s="2" t="s">
        <v>425</v>
      </c>
      <c r="B74" s="3" t="s">
        <v>426</v>
      </c>
      <c r="D74" s="20">
        <v>4.890752337389853E-3</v>
      </c>
      <c r="E74" s="20">
        <v>0.82530780938328285</v>
      </c>
      <c r="F74" s="20">
        <v>0.67491625193639648</v>
      </c>
      <c r="G74" s="20">
        <v>0.12380706876003811</v>
      </c>
      <c r="H74" s="20">
        <v>0</v>
      </c>
      <c r="I74" s="20">
        <v>2.6584488686848283E-2</v>
      </c>
      <c r="J74" s="20">
        <v>7.8226775355560406E-3</v>
      </c>
      <c r="K74" s="20">
        <v>0.16197876074377107</v>
      </c>
      <c r="L74" s="20">
        <v>0</v>
      </c>
    </row>
    <row r="75" spans="1:12">
      <c r="A75" s="2" t="s">
        <v>427</v>
      </c>
      <c r="B75" s="3" t="s">
        <v>428</v>
      </c>
      <c r="D75" s="20">
        <v>5.4790015075730307E-10</v>
      </c>
      <c r="E75" s="20">
        <v>0.99477295429220913</v>
      </c>
      <c r="F75" s="20">
        <v>0.99009222959983756</v>
      </c>
      <c r="G75" s="20">
        <v>3.8205497666010836E-4</v>
      </c>
      <c r="H75" s="20">
        <v>0</v>
      </c>
      <c r="I75" s="20">
        <v>4.2986697157114204E-3</v>
      </c>
      <c r="J75" s="20">
        <v>5.143861410488987E-3</v>
      </c>
      <c r="K75" s="20">
        <v>8.3183749401772415E-5</v>
      </c>
      <c r="L75" s="20">
        <v>0</v>
      </c>
    </row>
    <row r="76" spans="1:12">
      <c r="A76" s="2" t="s">
        <v>429</v>
      </c>
      <c r="B76" s="3" t="s">
        <v>430</v>
      </c>
      <c r="D76" s="20">
        <v>1.3762629552444366E-11</v>
      </c>
      <c r="E76" s="20">
        <v>0.99477295482355454</v>
      </c>
      <c r="F76" s="20">
        <v>0.99009223012868286</v>
      </c>
      <c r="G76" s="20">
        <v>3.8205497686417814E-4</v>
      </c>
      <c r="H76" s="20">
        <v>0</v>
      </c>
      <c r="I76" s="20">
        <v>4.2986697180075004E-3</v>
      </c>
      <c r="J76" s="20">
        <v>5.1438614132365149E-3</v>
      </c>
      <c r="K76" s="20">
        <v>8.3183749446203982E-5</v>
      </c>
      <c r="L76" s="20">
        <v>0</v>
      </c>
    </row>
    <row r="77" spans="1:12">
      <c r="A77" s="2" t="s">
        <v>431</v>
      </c>
      <c r="B77" s="3" t="s">
        <v>432</v>
      </c>
      <c r="D77" s="20">
        <v>2.3625433845834043E-2</v>
      </c>
      <c r="E77" s="20">
        <v>0.70715336650983329</v>
      </c>
      <c r="F77" s="20">
        <v>0.50263648230646607</v>
      </c>
      <c r="G77" s="20">
        <v>0.10393206653808135</v>
      </c>
      <c r="H77" s="20">
        <v>0</v>
      </c>
      <c r="I77" s="20">
        <v>0.10058481766528583</v>
      </c>
      <c r="J77" s="20">
        <v>6.5199170024396683E-3</v>
      </c>
      <c r="K77" s="20">
        <v>0.26270128264189296</v>
      </c>
      <c r="L77" s="20">
        <v>0</v>
      </c>
    </row>
    <row r="78" spans="1:12">
      <c r="A78" s="2" t="s">
        <v>433</v>
      </c>
      <c r="B78" s="3" t="s">
        <v>434</v>
      </c>
      <c r="D78" s="20">
        <v>3.326427387655375E-2</v>
      </c>
      <c r="E78" s="20">
        <v>0.68240708275853523</v>
      </c>
      <c r="F78" s="20">
        <v>0.12678044230814434</v>
      </c>
      <c r="G78" s="20">
        <v>3.2760296065297907E-2</v>
      </c>
      <c r="H78" s="20">
        <v>0</v>
      </c>
      <c r="I78" s="20">
        <v>0.52286634438509294</v>
      </c>
      <c r="J78" s="20">
        <v>2.1913806513991648E-3</v>
      </c>
      <c r="K78" s="20">
        <v>0.28213726271351197</v>
      </c>
      <c r="L78" s="20">
        <v>0</v>
      </c>
    </row>
    <row r="79" spans="1:12">
      <c r="A79" s="2" t="s">
        <v>435</v>
      </c>
      <c r="B79" s="3" t="s">
        <v>436</v>
      </c>
      <c r="D79" s="20">
        <v>7.7704916537673372E-3</v>
      </c>
      <c r="E79" s="20">
        <v>0.65950542835220771</v>
      </c>
      <c r="F79" s="20">
        <v>0.23589716044263831</v>
      </c>
      <c r="G79" s="20">
        <v>5.6730716486815047E-2</v>
      </c>
      <c r="H79" s="20">
        <v>0</v>
      </c>
      <c r="I79" s="20">
        <v>0.3668775514227543</v>
      </c>
      <c r="J79" s="20">
        <v>3.6217938926517202E-3</v>
      </c>
      <c r="K79" s="20">
        <v>0.32910228610137332</v>
      </c>
      <c r="L79" s="20">
        <v>0</v>
      </c>
    </row>
    <row r="80" spans="1:12">
      <c r="A80" s="2" t="s">
        <v>437</v>
      </c>
      <c r="B80" s="3" t="s">
        <v>438</v>
      </c>
      <c r="D80" s="20">
        <v>1.952294504911035E-10</v>
      </c>
      <c r="E80" s="20">
        <v>0.98995553886002452</v>
      </c>
      <c r="F80" s="20">
        <v>0.98632391646757589</v>
      </c>
      <c r="G80" s="20">
        <v>7.3108819803081632E-4</v>
      </c>
      <c r="H80" s="20">
        <v>0</v>
      </c>
      <c r="I80" s="20">
        <v>2.9005341944178384E-3</v>
      </c>
      <c r="J80" s="20">
        <v>9.943562980535104E-3</v>
      </c>
      <c r="K80" s="20">
        <v>1.0089796421067781E-4</v>
      </c>
      <c r="L80" s="20">
        <v>0</v>
      </c>
    </row>
    <row r="81" spans="1:12">
      <c r="A81" s="2" t="s">
        <v>440</v>
      </c>
      <c r="B81" s="3" t="s">
        <v>441</v>
      </c>
      <c r="D81" s="20">
        <v>1.8482544101307761E-13</v>
      </c>
      <c r="E81" s="20">
        <v>0.97064817840763074</v>
      </c>
      <c r="F81" s="20">
        <v>9.125064985549599E-4</v>
      </c>
      <c r="G81" s="20">
        <v>3.5492085691826882E-4</v>
      </c>
      <c r="H81" s="20">
        <v>0</v>
      </c>
      <c r="I81" s="20">
        <v>0.96938075105215749</v>
      </c>
      <c r="J81" s="20">
        <v>3.754400204957216E-4</v>
      </c>
      <c r="K81" s="20">
        <v>2.8976381571688855E-2</v>
      </c>
      <c r="L81" s="20">
        <v>0</v>
      </c>
    </row>
    <row r="82" spans="1:12">
      <c r="A82" s="2" t="s">
        <v>442</v>
      </c>
      <c r="B82" s="3" t="s">
        <v>443</v>
      </c>
      <c r="D82" s="20">
        <v>8.2378332835670134E-5</v>
      </c>
      <c r="E82" s="20">
        <v>0.78654390268506735</v>
      </c>
      <c r="F82" s="20">
        <v>5.4965124168081629E-2</v>
      </c>
      <c r="G82" s="20">
        <v>1.5459048822486969E-2</v>
      </c>
      <c r="H82" s="20">
        <v>0</v>
      </c>
      <c r="I82" s="20">
        <v>0.71611972969449877</v>
      </c>
      <c r="J82" s="20">
        <v>1.1981383544164086E-3</v>
      </c>
      <c r="K82" s="20">
        <v>0.21217558062768063</v>
      </c>
      <c r="L82" s="20">
        <v>0</v>
      </c>
    </row>
    <row r="83" spans="1:12">
      <c r="A83" s="2" t="s">
        <v>444</v>
      </c>
      <c r="B83" s="3" t="s">
        <v>445</v>
      </c>
      <c r="D83" s="20">
        <v>5.0329520575248098E-4</v>
      </c>
      <c r="E83" s="20">
        <v>0.70719001471672782</v>
      </c>
      <c r="F83" s="20">
        <v>0.47961969474968691</v>
      </c>
      <c r="G83" s="20">
        <v>0.10120280823110113</v>
      </c>
      <c r="H83" s="20">
        <v>0</v>
      </c>
      <c r="I83" s="20">
        <v>0.12636751173593974</v>
      </c>
      <c r="J83" s="20">
        <v>6.3467520565876302E-3</v>
      </c>
      <c r="K83" s="20">
        <v>0.28595993802093223</v>
      </c>
      <c r="L83" s="20">
        <v>0</v>
      </c>
    </row>
    <row r="84" spans="1:12">
      <c r="A84" s="2" t="s">
        <v>446</v>
      </c>
      <c r="B84" s="3" t="s">
        <v>447</v>
      </c>
      <c r="D84" s="20">
        <v>5.6671380911506408E-15</v>
      </c>
      <c r="E84" s="20">
        <v>0.93748140188252516</v>
      </c>
      <c r="F84" s="20">
        <v>4.0835512463134709E-3</v>
      </c>
      <c r="G84" s="20">
        <v>1.4181872137181513E-3</v>
      </c>
      <c r="H84" s="20">
        <v>0</v>
      </c>
      <c r="I84" s="20">
        <v>0.9319796634224935</v>
      </c>
      <c r="J84" s="20">
        <v>4.2509014012337209E-4</v>
      </c>
      <c r="K84" s="20">
        <v>6.2093507977345766E-2</v>
      </c>
      <c r="L84" s="20">
        <v>0</v>
      </c>
    </row>
    <row r="85" spans="1:12">
      <c r="A85" s="2" t="s">
        <v>448</v>
      </c>
      <c r="B85" s="3" t="s">
        <v>449</v>
      </c>
      <c r="D85" s="20">
        <v>3.9866622205566883E-8</v>
      </c>
      <c r="E85" s="20">
        <v>0.9875482537629704</v>
      </c>
      <c r="F85" s="20">
        <v>1.6760372070218389E-4</v>
      </c>
      <c r="G85" s="20">
        <v>7.3956987189800535E-5</v>
      </c>
      <c r="H85" s="20">
        <v>0</v>
      </c>
      <c r="I85" s="20">
        <v>0.98730669305507845</v>
      </c>
      <c r="J85" s="20">
        <v>3.6544890756045077E-4</v>
      </c>
      <c r="K85" s="20">
        <v>1.208625746284679E-2</v>
      </c>
      <c r="L85" s="20">
        <v>0</v>
      </c>
    </row>
    <row r="86" spans="1:12">
      <c r="A86" s="2" t="s">
        <v>450</v>
      </c>
      <c r="B86" s="3" t="s">
        <v>451</v>
      </c>
      <c r="D86" s="20">
        <v>1.4257862613517897E-8</v>
      </c>
      <c r="E86" s="20">
        <v>0.93896898805180617</v>
      </c>
      <c r="F86" s="20">
        <v>3.8916039944784271E-3</v>
      </c>
      <c r="G86" s="20">
        <v>1.3565137363120781E-3</v>
      </c>
      <c r="H86" s="20">
        <v>0</v>
      </c>
      <c r="I86" s="20">
        <v>0.93372087032101569</v>
      </c>
      <c r="J86" s="20">
        <v>4.2203846038902097E-4</v>
      </c>
      <c r="K86" s="20">
        <v>6.0608959229942076E-2</v>
      </c>
      <c r="L86" s="20">
        <v>0</v>
      </c>
    </row>
    <row r="87" spans="1:12">
      <c r="A87" s="2" t="s">
        <v>452</v>
      </c>
      <c r="B87" s="3" t="s">
        <v>453</v>
      </c>
      <c r="D87" s="20">
        <v>4.7233770726468042E-8</v>
      </c>
      <c r="E87" s="20">
        <v>0.88140857392796634</v>
      </c>
      <c r="F87" s="20">
        <v>0.20850997301757915</v>
      </c>
      <c r="G87" s="20">
        <v>0.67239176747436236</v>
      </c>
      <c r="H87" s="20">
        <v>0</v>
      </c>
      <c r="I87" s="20">
        <v>5.0683343602485819E-4</v>
      </c>
      <c r="J87" s="20">
        <v>4.4334786057569291E-2</v>
      </c>
      <c r="K87" s="20">
        <v>7.4256592780693492E-2</v>
      </c>
      <c r="L87" s="20">
        <v>0</v>
      </c>
    </row>
    <row r="88" spans="1:12">
      <c r="A88" s="2" t="s">
        <v>454</v>
      </c>
      <c r="B88" s="3" t="s">
        <v>455</v>
      </c>
      <c r="D88" s="20">
        <v>3.9838610679219324E-5</v>
      </c>
      <c r="E88" s="20">
        <v>0.72869468233968904</v>
      </c>
      <c r="F88" s="20">
        <v>0.10237134268117702</v>
      </c>
      <c r="G88" s="20">
        <v>2.7144006761033845E-2</v>
      </c>
      <c r="H88" s="20">
        <v>0</v>
      </c>
      <c r="I88" s="20">
        <v>0.59917933289747816</v>
      </c>
      <c r="J88" s="20">
        <v>1.8723061803158551E-3</v>
      </c>
      <c r="K88" s="20">
        <v>0.26939317286931591</v>
      </c>
      <c r="L88" s="20">
        <v>0</v>
      </c>
    </row>
    <row r="89" spans="1:12">
      <c r="A89" s="2" t="s">
        <v>456</v>
      </c>
      <c r="B89" s="3" t="s">
        <v>457</v>
      </c>
      <c r="D89" s="20">
        <v>2.7161956751484803E-17</v>
      </c>
      <c r="E89" s="20">
        <v>0.77562708037048933</v>
      </c>
      <c r="F89" s="20">
        <v>6.2091945592482378E-2</v>
      </c>
      <c r="G89" s="20">
        <v>1.7271530491211756E-2</v>
      </c>
      <c r="H89" s="20">
        <v>0</v>
      </c>
      <c r="I89" s="20">
        <v>0.69626360428679523</v>
      </c>
      <c r="J89" s="20">
        <v>1.301744982434709E-3</v>
      </c>
      <c r="K89" s="20">
        <v>0.22307117464707599</v>
      </c>
      <c r="L89" s="20">
        <v>0</v>
      </c>
    </row>
    <row r="90" spans="1:12">
      <c r="A90" s="2" t="s">
        <v>458</v>
      </c>
      <c r="B90" s="3" t="s">
        <v>459</v>
      </c>
      <c r="D90" s="20">
        <v>4.1999274417742916E-29</v>
      </c>
      <c r="E90" s="20">
        <v>0.88242282719939169</v>
      </c>
      <c r="F90" s="20">
        <v>1.477460920604318E-2</v>
      </c>
      <c r="G90" s="20">
        <v>4.6409998867833887E-3</v>
      </c>
      <c r="H90" s="20">
        <v>0</v>
      </c>
      <c r="I90" s="20">
        <v>0.86300721810656511</v>
      </c>
      <c r="J90" s="20">
        <v>5.9378657814689029E-4</v>
      </c>
      <c r="K90" s="20">
        <v>0.11698338622246145</v>
      </c>
      <c r="L90" s="20">
        <v>0</v>
      </c>
    </row>
    <row r="91" spans="1:12">
      <c r="A91" s="2" t="s">
        <v>460</v>
      </c>
      <c r="B91" s="3" t="s">
        <v>461</v>
      </c>
      <c r="D91" s="20">
        <v>4.9479887101648133E-8</v>
      </c>
      <c r="E91" s="20">
        <v>0.86357705493875014</v>
      </c>
      <c r="F91" s="20">
        <v>0.52312191588266499</v>
      </c>
      <c r="G91" s="20">
        <v>0.33713083039888886</v>
      </c>
      <c r="H91" s="20">
        <v>0</v>
      </c>
      <c r="I91" s="20">
        <v>3.3243086571962586E-3</v>
      </c>
      <c r="J91" s="20">
        <v>2.1789514805214232E-2</v>
      </c>
      <c r="K91" s="20">
        <v>0.11463338077614846</v>
      </c>
      <c r="L91" s="20">
        <v>0</v>
      </c>
    </row>
    <row r="92" spans="1:12">
      <c r="A92" s="2" t="s">
        <v>462</v>
      </c>
      <c r="B92" s="3" t="s">
        <v>463</v>
      </c>
      <c r="D92" s="20">
        <v>4.4167619950257636E-9</v>
      </c>
      <c r="E92" s="20">
        <v>0.68299147027445828</v>
      </c>
      <c r="F92" s="20">
        <v>0.41588974536944007</v>
      </c>
      <c r="G92" s="20">
        <v>9.0881140272361549E-2</v>
      </c>
      <c r="H92" s="20">
        <v>0</v>
      </c>
      <c r="I92" s="20">
        <v>0.17622058463265666</v>
      </c>
      <c r="J92" s="20">
        <v>5.7033089346752641E-3</v>
      </c>
      <c r="K92" s="20">
        <v>0.31130521637410447</v>
      </c>
      <c r="L92" s="20">
        <v>0</v>
      </c>
    </row>
    <row r="93" spans="1:12">
      <c r="A93" s="2" t="s">
        <v>464</v>
      </c>
      <c r="B93" s="3" t="s">
        <v>465</v>
      </c>
      <c r="D93" s="20">
        <v>1.9576364121684126E-4</v>
      </c>
      <c r="E93" s="20">
        <v>0.80307025907014129</v>
      </c>
      <c r="F93" s="20">
        <v>0.64269696524334441</v>
      </c>
      <c r="G93" s="20">
        <v>0.12164711247547456</v>
      </c>
      <c r="H93" s="20">
        <v>0</v>
      </c>
      <c r="I93" s="20">
        <v>3.8726181351322282E-2</v>
      </c>
      <c r="J93" s="20">
        <v>7.667542361288345E-3</v>
      </c>
      <c r="K93" s="20">
        <v>0.18906643492735326</v>
      </c>
      <c r="L93" s="20">
        <v>0</v>
      </c>
    </row>
    <row r="94" spans="1:12">
      <c r="A94" s="2" t="s">
        <v>466</v>
      </c>
      <c r="B94" s="3" t="s">
        <v>467</v>
      </c>
      <c r="D94" s="20">
        <v>1.8335600089549725E-18</v>
      </c>
      <c r="E94" s="20">
        <v>0.99940178446530648</v>
      </c>
      <c r="F94" s="20">
        <v>0.10501260017903095</v>
      </c>
      <c r="G94" s="20">
        <v>1.3800026060843709E-5</v>
      </c>
      <c r="H94" s="20">
        <v>0</v>
      </c>
      <c r="I94" s="20">
        <v>0.89437538426021468</v>
      </c>
      <c r="J94" s="20">
        <v>4.3877727800573096E-4</v>
      </c>
      <c r="K94" s="20">
        <v>1.5943825668773582E-4</v>
      </c>
      <c r="L94" s="20">
        <v>0</v>
      </c>
    </row>
    <row r="95" spans="1:12">
      <c r="A95" s="2" t="s">
        <v>468</v>
      </c>
      <c r="B95" s="3" t="s">
        <v>469</v>
      </c>
      <c r="D95" s="20">
        <v>2.0048252139973589E-18</v>
      </c>
      <c r="E95" s="20">
        <v>0.8748948168659294</v>
      </c>
      <c r="F95" s="20">
        <v>0.6951055090962428</v>
      </c>
      <c r="G95" s="20">
        <v>0.17196746365890739</v>
      </c>
      <c r="H95" s="20">
        <v>0</v>
      </c>
      <c r="I95" s="20">
        <v>7.8218441107792431E-3</v>
      </c>
      <c r="J95" s="20">
        <v>1.0985931112975153E-2</v>
      </c>
      <c r="K95" s="20">
        <v>0.11411925202109523</v>
      </c>
      <c r="L95" s="20">
        <v>0</v>
      </c>
    </row>
    <row r="96" spans="1:12">
      <c r="A96" s="2" t="s">
        <v>470</v>
      </c>
      <c r="B96" s="163">
        <v>354656</v>
      </c>
      <c r="D96" s="20">
        <v>3.6846624288508957E-10</v>
      </c>
      <c r="E96" s="20">
        <v>0.96952950696055284</v>
      </c>
      <c r="F96" s="20">
        <v>9.8236282856742287E-4</v>
      </c>
      <c r="G96" s="20">
        <v>3.7998589526610832E-4</v>
      </c>
      <c r="H96" s="20">
        <v>0</v>
      </c>
      <c r="I96" s="20">
        <v>0.96816715823671928</v>
      </c>
      <c r="J96" s="20">
        <v>3.7647949038125631E-4</v>
      </c>
      <c r="K96" s="20">
        <v>3.009401318059968E-2</v>
      </c>
      <c r="L96" s="20">
        <v>0</v>
      </c>
    </row>
    <row r="97" spans="1:12">
      <c r="A97" s="2" t="s">
        <v>472</v>
      </c>
      <c r="B97" s="3" t="s">
        <v>473</v>
      </c>
      <c r="D97" s="20">
        <v>5.662523789084798E-10</v>
      </c>
      <c r="E97" s="20">
        <v>0.93672518676344141</v>
      </c>
      <c r="F97" s="20">
        <v>4.1829652283985348E-3</v>
      </c>
      <c r="G97" s="20">
        <v>1.4500394230947346E-3</v>
      </c>
      <c r="H97" s="20">
        <v>0</v>
      </c>
      <c r="I97" s="20">
        <v>0.93109218211194811</v>
      </c>
      <c r="J97" s="20">
        <v>4.2667105379520781E-4</v>
      </c>
      <c r="K97" s="20">
        <v>6.2848141616511102E-2</v>
      </c>
      <c r="L97" s="20">
        <v>0</v>
      </c>
    </row>
    <row r="98" spans="1:12">
      <c r="A98" s="2" t="s">
        <v>474</v>
      </c>
      <c r="B98" s="3" t="s">
        <v>475</v>
      </c>
      <c r="D98" s="20">
        <v>4.6464736660319233E-20</v>
      </c>
      <c r="E98" s="20">
        <v>0.85321028505815455</v>
      </c>
      <c r="F98" s="20">
        <v>0.70892076100619672</v>
      </c>
      <c r="G98" s="20">
        <v>0.12603560498357722</v>
      </c>
      <c r="H98" s="20">
        <v>0</v>
      </c>
      <c r="I98" s="20">
        <v>1.8253919068380569E-2</v>
      </c>
      <c r="J98" s="20">
        <v>7.9844686866819212E-3</v>
      </c>
      <c r="K98" s="20">
        <v>0.13880524625516347</v>
      </c>
      <c r="L98" s="20">
        <v>0</v>
      </c>
    </row>
    <row r="99" spans="1:12">
      <c r="A99" s="2" t="s">
        <v>476</v>
      </c>
      <c r="B99" s="3" t="s">
        <v>477</v>
      </c>
      <c r="D99" s="20">
        <v>1.7401419947685744E-7</v>
      </c>
      <c r="E99" s="20">
        <v>0.99126617363853897</v>
      </c>
      <c r="F99" s="20">
        <v>8.2500941139448031E-5</v>
      </c>
      <c r="G99" s="20">
        <v>3.8366701058957277E-5</v>
      </c>
      <c r="H99" s="20">
        <v>0</v>
      </c>
      <c r="I99" s="20">
        <v>0.99114530599634054</v>
      </c>
      <c r="J99" s="20">
        <v>3.6477720056679076E-4</v>
      </c>
      <c r="K99" s="20">
        <v>8.3688751466947427E-3</v>
      </c>
      <c r="L99" s="20">
        <v>0</v>
      </c>
    </row>
    <row r="100" spans="1:12">
      <c r="A100" s="2" t="s">
        <v>478</v>
      </c>
      <c r="B100" s="3" t="s">
        <v>479</v>
      </c>
      <c r="D100" s="20">
        <v>5.0950694984434836E-11</v>
      </c>
      <c r="E100" s="20">
        <v>0.67038715105231261</v>
      </c>
      <c r="F100" s="20">
        <v>0.21000243342475106</v>
      </c>
      <c r="G100" s="20">
        <v>5.1347568454951746E-2</v>
      </c>
      <c r="H100" s="20">
        <v>0</v>
      </c>
      <c r="I100" s="20">
        <v>0.4090371491726098</v>
      </c>
      <c r="J100" s="20">
        <v>3.3012486040739706E-3</v>
      </c>
      <c r="K100" s="20">
        <v>0.32631160029266248</v>
      </c>
      <c r="L100" s="20">
        <v>0</v>
      </c>
    </row>
    <row r="101" spans="1:12">
      <c r="A101" s="2" t="s">
        <v>480</v>
      </c>
      <c r="B101" s="3" t="s">
        <v>481</v>
      </c>
      <c r="D101" s="20">
        <v>4.6818448598389953E-11</v>
      </c>
      <c r="E101" s="20">
        <v>0.98562199744094037</v>
      </c>
      <c r="F101" s="20">
        <v>2.2299300164278524E-4</v>
      </c>
      <c r="G101" s="20">
        <v>9.6335596058754754E-5</v>
      </c>
      <c r="H101" s="20">
        <v>0</v>
      </c>
      <c r="I101" s="20">
        <v>0.9853026688432388</v>
      </c>
      <c r="J101" s="20">
        <v>3.6602539536504004E-4</v>
      </c>
      <c r="K101" s="20">
        <v>1.4011977116876205E-2</v>
      </c>
      <c r="L101" s="20">
        <v>0</v>
      </c>
    </row>
    <row r="102" spans="1:12">
      <c r="A102" s="2" t="s">
        <v>482</v>
      </c>
      <c r="B102" s="3" t="s">
        <v>483</v>
      </c>
      <c r="D102" s="20">
        <v>2.9428599529375516E-27</v>
      </c>
      <c r="E102" s="20">
        <v>0.99607678830678104</v>
      </c>
      <c r="F102" s="20">
        <v>1.5916362066423346E-5</v>
      </c>
      <c r="G102" s="20">
        <v>8.3587120668670505E-6</v>
      </c>
      <c r="H102" s="20">
        <v>0</v>
      </c>
      <c r="I102" s="20">
        <v>0.99605251323264776</v>
      </c>
      <c r="J102" s="20">
        <v>3.6483438671201552E-4</v>
      </c>
      <c r="K102" s="20">
        <v>3.5583773065068843E-3</v>
      </c>
      <c r="L102" s="20">
        <v>0</v>
      </c>
    </row>
    <row r="103" spans="1:12">
      <c r="A103" s="2" t="s">
        <v>484</v>
      </c>
      <c r="B103" s="3" t="s">
        <v>485</v>
      </c>
      <c r="D103" s="20">
        <v>2.347223554098826E-13</v>
      </c>
      <c r="E103" s="20">
        <v>0.99153241536688019</v>
      </c>
      <c r="F103" s="20">
        <v>7.7522660616692217E-5</v>
      </c>
      <c r="G103" s="20">
        <v>3.6217980025224543E-5</v>
      </c>
      <c r="H103" s="20">
        <v>0</v>
      </c>
      <c r="I103" s="20">
        <v>0.99141867472623824</v>
      </c>
      <c r="J103" s="20">
        <v>3.6475224355105685E-4</v>
      </c>
      <c r="K103" s="20">
        <v>8.1028323893340571E-3</v>
      </c>
      <c r="L103" s="20">
        <v>0</v>
      </c>
    </row>
    <row r="104" spans="1:12">
      <c r="A104" s="2" t="s">
        <v>486</v>
      </c>
      <c r="B104" s="3" t="s">
        <v>487</v>
      </c>
      <c r="D104" s="20">
        <v>2.8885198107241152E-9</v>
      </c>
      <c r="E104" s="20">
        <v>0.95415219545439256</v>
      </c>
      <c r="F104" s="20">
        <v>2.2026706519404525E-3</v>
      </c>
      <c r="G104" s="20">
        <v>8.0176135751204624E-4</v>
      </c>
      <c r="H104" s="20">
        <v>0</v>
      </c>
      <c r="I104" s="20">
        <v>0.95114776344494001</v>
      </c>
      <c r="J104" s="20">
        <v>3.9530419025355452E-4</v>
      </c>
      <c r="K104" s="20">
        <v>4.5452497466833996E-2</v>
      </c>
      <c r="L104" s="20">
        <v>0</v>
      </c>
    </row>
    <row r="105" spans="1:12">
      <c r="A105" s="2" t="s">
        <v>488</v>
      </c>
      <c r="B105" s="3" t="s">
        <v>489</v>
      </c>
      <c r="D105" s="20">
        <v>2.340431919236649E-16</v>
      </c>
      <c r="E105" s="20">
        <v>0.99536769675016512</v>
      </c>
      <c r="F105" s="20">
        <v>2.2572009654638414E-5</v>
      </c>
      <c r="G105" s="20">
        <v>1.1552228824221921E-5</v>
      </c>
      <c r="H105" s="20">
        <v>0</v>
      </c>
      <c r="I105" s="20">
        <v>0.9953335725116863</v>
      </c>
      <c r="J105" s="20">
        <v>3.647552629782405E-4</v>
      </c>
      <c r="K105" s="20">
        <v>4.2675479868563189E-3</v>
      </c>
      <c r="L105" s="20">
        <v>0</v>
      </c>
    </row>
    <row r="106" spans="1:12">
      <c r="A106" s="2" t="s">
        <v>490</v>
      </c>
      <c r="B106" s="3" t="s">
        <v>491</v>
      </c>
      <c r="D106" s="20">
        <v>1.2716313728013987E-8</v>
      </c>
      <c r="E106" s="20">
        <v>0.8543165875461497</v>
      </c>
      <c r="F106" s="20">
        <v>2.3261378545879674E-2</v>
      </c>
      <c r="G106" s="20">
        <v>7.0425672736631698E-3</v>
      </c>
      <c r="H106" s="20">
        <v>0</v>
      </c>
      <c r="I106" s="20">
        <v>0.82401264172660682</v>
      </c>
      <c r="J106" s="20">
        <v>7.2491695014030425E-4</v>
      </c>
      <c r="K106" s="20">
        <v>0.1449584827873962</v>
      </c>
      <c r="L106" s="20">
        <v>0</v>
      </c>
    </row>
    <row r="107" spans="1:12">
      <c r="A107" s="2" t="s">
        <v>492</v>
      </c>
      <c r="B107" s="3" t="s">
        <v>493</v>
      </c>
      <c r="D107" s="20">
        <v>2.1835317915365128E-16</v>
      </c>
      <c r="E107" s="20">
        <v>0.8697130502034095</v>
      </c>
      <c r="F107" s="20">
        <v>0.7295141740104879</v>
      </c>
      <c r="G107" s="20">
        <v>0.12662786651957597</v>
      </c>
      <c r="H107" s="20">
        <v>0</v>
      </c>
      <c r="I107" s="20">
        <v>1.3571009673345654E-2</v>
      </c>
      <c r="J107" s="20">
        <v>8.0389054361626779E-3</v>
      </c>
      <c r="K107" s="20">
        <v>0.12224804436042756</v>
      </c>
      <c r="L107" s="20">
        <v>0</v>
      </c>
    </row>
    <row r="108" spans="1:12">
      <c r="A108" s="2" t="s">
        <v>291</v>
      </c>
      <c r="B108" s="3" t="s">
        <v>494</v>
      </c>
      <c r="D108" s="20">
        <v>2.9347134073833562E-10</v>
      </c>
      <c r="E108" s="20">
        <v>0.68413550349152441</v>
      </c>
      <c r="F108" s="20">
        <v>0.17038835538014757</v>
      </c>
      <c r="G108" s="20">
        <v>4.2749935756527108E-2</v>
      </c>
      <c r="H108" s="20">
        <v>0</v>
      </c>
      <c r="I108" s="20">
        <v>0.4709972123548497</v>
      </c>
      <c r="J108" s="20">
        <v>2.7897069164960105E-3</v>
      </c>
      <c r="K108" s="20">
        <v>0.31307478929850835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3.6285250196329318E-9</v>
      </c>
      <c r="E2" s="14">
        <v>3.0905997317276049E-5</v>
      </c>
      <c r="F2" s="14">
        <v>1.4750418315509118E-6</v>
      </c>
      <c r="G2" s="14">
        <v>4.2963523599017294E-7</v>
      </c>
      <c r="H2" s="14">
        <v>0</v>
      </c>
      <c r="I2" s="14">
        <v>3.7236572653694309E-8</v>
      </c>
      <c r="J2" s="14">
        <v>7.1484605175095429E-6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1.3928124718306104E-7</v>
      </c>
      <c r="E3" s="14">
        <v>2.5422911611911524E-8</v>
      </c>
      <c r="F3" s="14">
        <v>9.4268557571013448E-6</v>
      </c>
      <c r="G3" s="14">
        <v>2.5542442079772688E-5</v>
      </c>
      <c r="H3" s="14">
        <v>0</v>
      </c>
      <c r="I3" s="14">
        <v>1.6805167934709248E-6</v>
      </c>
      <c r="J3" s="14">
        <v>3.1854812108600693E-6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1.7599650436803516E-16</v>
      </c>
      <c r="E4" s="14">
        <v>1.4103817593243115E-5</v>
      </c>
      <c r="F4" s="14">
        <v>1.0022550584908916E-5</v>
      </c>
      <c r="G4" s="14">
        <v>2.3926204602017157E-6</v>
      </c>
      <c r="H4" s="14">
        <v>0</v>
      </c>
      <c r="I4" s="14">
        <v>1.5235280165627171E-7</v>
      </c>
      <c r="J4" s="14">
        <v>1.3328658559813992E-5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4.7618625224446748E-9</v>
      </c>
      <c r="E5" s="14">
        <v>2.7437813102207606E-7</v>
      </c>
      <c r="F5" s="14">
        <v>2.6819524136636201E-5</v>
      </c>
      <c r="G5" s="14">
        <v>7.7829927015927837E-6</v>
      </c>
      <c r="H5" s="14">
        <v>0</v>
      </c>
      <c r="I5" s="14">
        <v>4.981593601610988E-7</v>
      </c>
      <c r="J5" s="14">
        <v>4.6201838080653977E-6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4.5448059141767451E-10</v>
      </c>
      <c r="E6" s="14">
        <v>1.1386440523786159E-8</v>
      </c>
      <c r="F6" s="14">
        <v>6.0212901652424184E-6</v>
      </c>
      <c r="G6" s="14">
        <v>2.9572300570414712E-5</v>
      </c>
      <c r="H6" s="14">
        <v>0</v>
      </c>
      <c r="I6" s="14">
        <v>1.9601358154529726E-6</v>
      </c>
      <c r="J6" s="14">
        <v>2.4344325277746992E-6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6.7012662058550871E-10</v>
      </c>
      <c r="E7" s="14">
        <v>2.2757759893104807E-8</v>
      </c>
      <c r="F7" s="14">
        <v>8.8885533899281915E-6</v>
      </c>
      <c r="G7" s="14">
        <v>2.6274026933001212E-5</v>
      </c>
      <c r="H7" s="14">
        <v>0</v>
      </c>
      <c r="I7" s="14">
        <v>1.7305250287519314E-6</v>
      </c>
      <c r="J7" s="14">
        <v>3.0834667618049848E-6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6.335994902849478E-9</v>
      </c>
      <c r="E8" s="14">
        <v>5.0748996586949342E-8</v>
      </c>
      <c r="F8" s="14">
        <v>1.354219409541871E-5</v>
      </c>
      <c r="G8" s="14">
        <v>2.1143875332479301E-5</v>
      </c>
      <c r="H8" s="14">
        <v>0</v>
      </c>
      <c r="I8" s="14">
        <v>1.3816179321872509E-6</v>
      </c>
      <c r="J8" s="14">
        <v>3.8752276484249455E-6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4.0360163162271064E-9</v>
      </c>
      <c r="E9" s="14">
        <v>2.362792337816215E-6</v>
      </c>
      <c r="F9" s="14">
        <v>2.3780836562265999E-5</v>
      </c>
      <c r="G9" s="14">
        <v>4.670062400149378E-6</v>
      </c>
      <c r="H9" s="14">
        <v>0</v>
      </c>
      <c r="I9" s="14">
        <v>2.9363274589305751E-7</v>
      </c>
      <c r="J9" s="14">
        <v>8.8886399375591259E-6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6.1144926121856262E-11</v>
      </c>
      <c r="E10" s="14">
        <v>2.5501930930197831E-7</v>
      </c>
      <c r="F10" s="14">
        <v>2.6256367324055671E-5</v>
      </c>
      <c r="G10" s="14">
        <v>8.3124719892587757E-6</v>
      </c>
      <c r="H10" s="14">
        <v>0</v>
      </c>
      <c r="I10" s="14">
        <v>5.3260829335856663E-7</v>
      </c>
      <c r="J10" s="14">
        <v>4.6434719390988933E-6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3.1814348644907809E-9</v>
      </c>
      <c r="E11" s="14">
        <v>2.2502754214572895E-7</v>
      </c>
      <c r="F11" s="14">
        <v>2.5263717184692082E-5</v>
      </c>
      <c r="G11" s="14">
        <v>9.2468285735630773E-6</v>
      </c>
      <c r="H11" s="14">
        <v>0</v>
      </c>
      <c r="I11" s="14">
        <v>5.9351838044309382E-7</v>
      </c>
      <c r="J11" s="14">
        <v>4.6677268842915292E-6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2.1113126186582956E-9</v>
      </c>
      <c r="E12" s="14">
        <v>1.5162303442869499E-6</v>
      </c>
      <c r="F12" s="14">
        <v>2.5800418956102707E-5</v>
      </c>
      <c r="G12" s="14">
        <v>4.8744128904483492E-6</v>
      </c>
      <c r="H12" s="14">
        <v>0</v>
      </c>
      <c r="I12" s="14">
        <v>3.0728099967087504E-7</v>
      </c>
      <c r="J12" s="14">
        <v>7.4995454968724717E-6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6.2817052160714798E-9</v>
      </c>
      <c r="E13" s="14">
        <v>2.2668886749600992E-6</v>
      </c>
      <c r="F13" s="14">
        <v>2.3985665187507837E-5</v>
      </c>
      <c r="G13" s="14">
        <v>4.6929650781774521E-6</v>
      </c>
      <c r="H13" s="14">
        <v>0</v>
      </c>
      <c r="I13" s="14">
        <v>2.9513839478535193E-7</v>
      </c>
      <c r="J13" s="14">
        <v>8.7530609593532022E-6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2.1143674127730869E-9</v>
      </c>
      <c r="E14" s="14">
        <v>1.4891316604570494E-7</v>
      </c>
      <c r="F14" s="14">
        <v>2.1865261293200237E-5</v>
      </c>
      <c r="G14" s="14">
        <v>1.2547298413176463E-5</v>
      </c>
      <c r="H14" s="14">
        <v>0</v>
      </c>
      <c r="I14" s="14">
        <v>8.0980312958898307E-7</v>
      </c>
      <c r="J14" s="14">
        <v>4.6266096305758497E-6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3.4650582232055528E-12</v>
      </c>
      <c r="E15" s="14">
        <v>2.3967524335300955E-7</v>
      </c>
      <c r="F15" s="14">
        <v>2.5768239677858084E-5</v>
      </c>
      <c r="G15" s="14">
        <v>8.7716300500077728E-6</v>
      </c>
      <c r="H15" s="14">
        <v>0</v>
      </c>
      <c r="I15" s="14">
        <v>5.6252178208020146E-7</v>
      </c>
      <c r="J15" s="14">
        <v>4.6579297816427111E-6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1.6463598760747261E-8</v>
      </c>
      <c r="E16" s="14">
        <v>5.2511861484086469E-8</v>
      </c>
      <c r="F16" s="14">
        <v>1.3772062600775932E-5</v>
      </c>
      <c r="G16" s="14">
        <v>2.0887888641496131E-5</v>
      </c>
      <c r="H16" s="14">
        <v>0</v>
      </c>
      <c r="I16" s="14">
        <v>1.364399280826547E-6</v>
      </c>
      <c r="J16" s="14">
        <v>3.9066740166565649E-6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1.222889107801426E-9</v>
      </c>
      <c r="E17" s="14">
        <v>2.6781797214628198E-7</v>
      </c>
      <c r="F17" s="14">
        <v>2.6635526858092498E-5</v>
      </c>
      <c r="G17" s="14">
        <v>7.9571372118188335E-6</v>
      </c>
      <c r="H17" s="14">
        <v>0</v>
      </c>
      <c r="I17" s="14">
        <v>5.0948375736963195E-7</v>
      </c>
      <c r="J17" s="14">
        <v>4.6288113114649589E-6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1.213108434525709E-7</v>
      </c>
      <c r="E18" s="14">
        <v>2.8308200495408016E-6</v>
      </c>
      <c r="F18" s="14">
        <v>2.2749603783208969E-5</v>
      </c>
      <c r="G18" s="14">
        <v>4.5422328367699847E-6</v>
      </c>
      <c r="H18" s="14">
        <v>0</v>
      </c>
      <c r="I18" s="14">
        <v>2.8533372377355753E-7</v>
      </c>
      <c r="J18" s="14">
        <v>9.4706987632541231E-6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1.2143180485168781E-11</v>
      </c>
      <c r="E19" s="14">
        <v>2.3669282361861644E-7</v>
      </c>
      <c r="F19" s="14">
        <v>2.566886494164819E-5</v>
      </c>
      <c r="G19" s="14">
        <v>8.8654793035951898E-6</v>
      </c>
      <c r="H19" s="14">
        <v>0</v>
      </c>
      <c r="I19" s="14">
        <v>5.6864031287707907E-7</v>
      </c>
      <c r="J19" s="14">
        <v>4.6603104750804428E-6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9.5090128863532616E-10</v>
      </c>
      <c r="E20" s="14">
        <v>2.267190830887749E-6</v>
      </c>
      <c r="F20" s="14">
        <v>2.3988862261539342E-5</v>
      </c>
      <c r="G20" s="14">
        <v>4.6935906083291037E-6</v>
      </c>
      <c r="H20" s="14">
        <v>0</v>
      </c>
      <c r="I20" s="14">
        <v>2.9517773408615062E-7</v>
      </c>
      <c r="J20" s="14">
        <v>8.7542276638690271E-6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1.7714845548488893E-8</v>
      </c>
      <c r="E21" s="14">
        <v>1.6851168091751215E-7</v>
      </c>
      <c r="F21" s="14">
        <v>2.2888197118909342E-5</v>
      </c>
      <c r="G21" s="14">
        <v>1.1526757071941568E-5</v>
      </c>
      <c r="H21" s="14">
        <v>0</v>
      </c>
      <c r="I21" s="14">
        <v>7.4274638741434864E-7</v>
      </c>
      <c r="J21" s="14">
        <v>4.6560728952687532E-6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7.8396039092492112E-8</v>
      </c>
      <c r="E22" s="14">
        <v>2.243916858190807E-5</v>
      </c>
      <c r="F22" s="14">
        <v>4.8014049480669766E-6</v>
      </c>
      <c r="G22" s="14">
        <v>1.2521717198264253E-6</v>
      </c>
      <c r="H22" s="14">
        <v>0</v>
      </c>
      <c r="I22" s="14">
        <v>8.4589567886944898E-8</v>
      </c>
      <c r="J22" s="14">
        <v>1.134426914321909E-5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3.3420660922090317E-9</v>
      </c>
      <c r="E23" s="14">
        <v>2.8383612869408085E-5</v>
      </c>
      <c r="F23" s="14">
        <v>2.2902835252470776E-6</v>
      </c>
      <c r="G23" s="14">
        <v>6.4177796888924606E-7</v>
      </c>
      <c r="H23" s="14">
        <v>0</v>
      </c>
      <c r="I23" s="14">
        <v>4.9261762582286094E-8</v>
      </c>
      <c r="J23" s="14">
        <v>8.6317218077811066E-6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2.8835271997612883E-9</v>
      </c>
      <c r="E24" s="14">
        <v>6.9313318655038303E-6</v>
      </c>
      <c r="F24" s="14">
        <v>1.6772518025021443E-5</v>
      </c>
      <c r="G24" s="14">
        <v>3.6584221905931177E-6</v>
      </c>
      <c r="H24" s="14">
        <v>0</v>
      </c>
      <c r="I24" s="14">
        <v>2.2956776217537716E-7</v>
      </c>
      <c r="J24" s="14">
        <v>1.2405276629506481E-5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5.270515320105167E-7</v>
      </c>
      <c r="E25" s="14">
        <v>8.2498437010735718E-7</v>
      </c>
      <c r="F25" s="14">
        <v>2.7575747575587181E-5</v>
      </c>
      <c r="G25" s="14">
        <v>4.9570448730391462E-6</v>
      </c>
      <c r="H25" s="14">
        <v>0</v>
      </c>
      <c r="I25" s="14">
        <v>3.1373597927509965E-7</v>
      </c>
      <c r="J25" s="14">
        <v>5.8014356699806979E-6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1.4226025882689391E-8</v>
      </c>
      <c r="E26" s="14">
        <v>1.8269902726941308E-7</v>
      </c>
      <c r="F26" s="14">
        <v>2.3559051926665827E-5</v>
      </c>
      <c r="G26" s="14">
        <v>1.0875603474204881E-5</v>
      </c>
      <c r="H26" s="14">
        <v>0</v>
      </c>
      <c r="I26" s="14">
        <v>7.000417440525209E-7</v>
      </c>
      <c r="J26" s="14">
        <v>4.668377801924674E-6</v>
      </c>
      <c r="K26" s="14">
        <v>0</v>
      </c>
    </row>
    <row r="27" spans="1:14">
      <c r="A27" s="2" t="s">
        <v>353</v>
      </c>
      <c r="B27" s="3" t="s">
        <v>354</v>
      </c>
      <c r="D27" s="14">
        <v>9.6585889987885391E-8</v>
      </c>
      <c r="E27" s="14">
        <v>2.7960589694193832E-8</v>
      </c>
      <c r="F27" s="14">
        <v>9.9285974054243431E-6</v>
      </c>
      <c r="G27" s="14">
        <v>2.5019778249694075E-5</v>
      </c>
      <c r="H27" s="14">
        <v>0</v>
      </c>
      <c r="I27" s="14">
        <v>1.6446432280722788E-6</v>
      </c>
      <c r="J27" s="14">
        <v>3.2824346371272297E-6</v>
      </c>
      <c r="K27" s="14">
        <v>0</v>
      </c>
    </row>
    <row r="28" spans="1:14">
      <c r="A28" s="2" t="s">
        <v>355</v>
      </c>
      <c r="B28" s="3" t="s">
        <v>356</v>
      </c>
      <c r="D28" s="14">
        <v>5.3159926796120721E-9</v>
      </c>
      <c r="E28" s="14">
        <v>1.0039613983374957E-7</v>
      </c>
      <c r="F28" s="14">
        <v>1.8623383611303602E-5</v>
      </c>
      <c r="G28" s="14">
        <v>1.5810810900834598E-5</v>
      </c>
      <c r="H28" s="14">
        <v>0</v>
      </c>
      <c r="I28" s="14">
        <v>1.0253675292216491E-6</v>
      </c>
      <c r="J28" s="14">
        <v>4.4347258261267919E-6</v>
      </c>
      <c r="K28" s="14">
        <v>0</v>
      </c>
    </row>
    <row r="29" spans="1:14">
      <c r="A29" s="2" t="s">
        <v>357</v>
      </c>
      <c r="B29" s="3" t="s">
        <v>358</v>
      </c>
      <c r="D29" s="14">
        <v>1.0747842908033583E-6</v>
      </c>
      <c r="E29" s="14">
        <v>1.5109634211968543E-7</v>
      </c>
      <c r="F29" s="14">
        <v>2.1617005098604539E-5</v>
      </c>
      <c r="G29" s="14">
        <v>1.1876571300545397E-5</v>
      </c>
      <c r="H29" s="14">
        <v>0</v>
      </c>
      <c r="I29" s="14">
        <v>7.6610478093150758E-7</v>
      </c>
      <c r="J29" s="14">
        <v>4.5144381869955142E-6</v>
      </c>
      <c r="K29" s="14">
        <v>0</v>
      </c>
    </row>
    <row r="30" spans="1:14">
      <c r="A30" s="2" t="s">
        <v>359</v>
      </c>
      <c r="B30" s="3" t="s">
        <v>360</v>
      </c>
      <c r="D30" s="14">
        <v>5.3159926796120721E-9</v>
      </c>
      <c r="E30" s="14">
        <v>1.0039613983374957E-7</v>
      </c>
      <c r="F30" s="14">
        <v>1.8623383611303602E-5</v>
      </c>
      <c r="G30" s="14">
        <v>1.5810810900834598E-5</v>
      </c>
      <c r="H30" s="14">
        <v>0</v>
      </c>
      <c r="I30" s="14">
        <v>1.0253675292216491E-6</v>
      </c>
      <c r="J30" s="14">
        <v>4.4347258261267919E-6</v>
      </c>
      <c r="K30" s="14">
        <v>0</v>
      </c>
    </row>
    <row r="31" spans="1:14">
      <c r="A31" s="2" t="s">
        <v>283</v>
      </c>
      <c r="B31" s="3" t="s">
        <v>284</v>
      </c>
      <c r="D31" s="14">
        <v>1.0483379953434164E-12</v>
      </c>
      <c r="E31" s="14">
        <v>3.901700838461605E-5</v>
      </c>
      <c r="F31" s="14">
        <v>2.4009081247661634E-8</v>
      </c>
      <c r="G31" s="14">
        <v>9.6354299109883811E-9</v>
      </c>
      <c r="H31" s="14">
        <v>0</v>
      </c>
      <c r="I31" s="14">
        <v>1.483654181937237E-8</v>
      </c>
      <c r="J31" s="14">
        <v>9.3450951406794041E-7</v>
      </c>
      <c r="K31" s="14">
        <v>0</v>
      </c>
    </row>
    <row r="32" spans="1:14">
      <c r="A32" s="2" t="s">
        <v>361</v>
      </c>
      <c r="B32" s="3" t="s">
        <v>362</v>
      </c>
      <c r="D32" s="14">
        <v>8.5119834510761634E-13</v>
      </c>
      <c r="E32" s="14">
        <v>1.7326449643137597E-5</v>
      </c>
      <c r="F32" s="14">
        <v>7.7890246013457301E-6</v>
      </c>
      <c r="G32" s="14">
        <v>1.9204443949499146E-6</v>
      </c>
      <c r="H32" s="14">
        <v>0</v>
      </c>
      <c r="I32" s="14">
        <v>1.255780815575869E-7</v>
      </c>
      <c r="J32" s="14">
        <v>1.283850242781083E-5</v>
      </c>
      <c r="K32" s="14">
        <v>0</v>
      </c>
    </row>
    <row r="33" spans="1:11">
      <c r="A33" s="2" t="s">
        <v>364</v>
      </c>
      <c r="B33" s="3" t="s">
        <v>365</v>
      </c>
      <c r="D33" s="14">
        <v>4.8268995851193315E-15</v>
      </c>
      <c r="E33" s="14">
        <v>3.9814847613933457E-5</v>
      </c>
      <c r="F33" s="14">
        <v>1.6802992447620072E-7</v>
      </c>
      <c r="G33" s="14">
        <v>5.1382349022945803E-11</v>
      </c>
      <c r="H33" s="14">
        <v>0</v>
      </c>
      <c r="I33" s="14">
        <v>1.4786914080778365E-8</v>
      </c>
      <c r="J33" s="14">
        <v>2.2841603336377316E-9</v>
      </c>
      <c r="K33" s="14">
        <v>0</v>
      </c>
    </row>
    <row r="34" spans="1:11">
      <c r="A34" s="2" t="s">
        <v>285</v>
      </c>
      <c r="B34" s="3" t="s">
        <v>286</v>
      </c>
      <c r="D34" s="14">
        <v>1.4347700112093614E-14</v>
      </c>
      <c r="E34" s="14">
        <v>2.1891154428115994E-5</v>
      </c>
      <c r="F34" s="14">
        <v>1.8074664261398972E-5</v>
      </c>
      <c r="G34" s="14">
        <v>1.4843788103636802E-9</v>
      </c>
      <c r="H34" s="14">
        <v>0</v>
      </c>
      <c r="I34" s="14">
        <v>2.4915523848075317E-8</v>
      </c>
      <c r="J34" s="14">
        <v>7.7813934788950591E-9</v>
      </c>
      <c r="K34" s="14">
        <v>0</v>
      </c>
    </row>
    <row r="35" spans="1:11">
      <c r="A35" s="2" t="s">
        <v>287</v>
      </c>
      <c r="B35" s="3" t="s">
        <v>288</v>
      </c>
      <c r="D35" s="14">
        <v>4.1789013496733578E-16</v>
      </c>
      <c r="E35" s="14">
        <v>1.2958624710938448E-5</v>
      </c>
      <c r="F35" s="14">
        <v>2.6988608097671786E-5</v>
      </c>
      <c r="G35" s="14">
        <v>5.2264621501320346E-9</v>
      </c>
      <c r="H35" s="14">
        <v>0</v>
      </c>
      <c r="I35" s="14">
        <v>2.8707688330229762E-8</v>
      </c>
      <c r="J35" s="14">
        <v>1.8833040491518178E-8</v>
      </c>
      <c r="K35" s="14">
        <v>0</v>
      </c>
    </row>
    <row r="36" spans="1:11">
      <c r="A36" s="2" t="s">
        <v>366</v>
      </c>
      <c r="B36" s="3" t="s">
        <v>305</v>
      </c>
      <c r="D36" s="14">
        <v>7.3668136220109248E-13</v>
      </c>
      <c r="E36" s="14">
        <v>4.3223440838675761E-6</v>
      </c>
      <c r="F36" s="14">
        <v>3.5615652938212928E-5</v>
      </c>
      <c r="G36" s="14">
        <v>1.0197241250227602E-8</v>
      </c>
      <c r="H36" s="14">
        <v>0</v>
      </c>
      <c r="I36" s="14">
        <v>3.0757751682912618E-8</v>
      </c>
      <c r="J36" s="14">
        <v>2.1047248304986865E-8</v>
      </c>
      <c r="K36" s="14">
        <v>0</v>
      </c>
    </row>
    <row r="37" spans="1:11">
      <c r="A37" s="2" t="s">
        <v>289</v>
      </c>
      <c r="B37" s="3" t="s">
        <v>290</v>
      </c>
      <c r="D37" s="14">
        <v>1.6739512136503443E-19</v>
      </c>
      <c r="E37" s="14">
        <v>8.310011858941055E-6</v>
      </c>
      <c r="F37" s="14">
        <v>2.7833204971481102E-5</v>
      </c>
      <c r="G37" s="14">
        <v>9.5023871111223679E-7</v>
      </c>
      <c r="H37" s="14">
        <v>0</v>
      </c>
      <c r="I37" s="14">
        <v>8.2019937358782138E-8</v>
      </c>
      <c r="J37" s="14">
        <v>2.8245245211066585E-6</v>
      </c>
      <c r="K37" s="14">
        <v>0</v>
      </c>
    </row>
    <row r="38" spans="1:11">
      <c r="A38" s="2" t="s">
        <v>291</v>
      </c>
      <c r="B38" s="3" t="s">
        <v>292</v>
      </c>
      <c r="D38" s="14">
        <v>4.8296784879253039E-17</v>
      </c>
      <c r="E38" s="14">
        <v>2.4514444362247979E-5</v>
      </c>
      <c r="F38" s="14">
        <v>1.5373177033047228E-5</v>
      </c>
      <c r="G38" s="14">
        <v>1.284341974031354E-8</v>
      </c>
      <c r="H38" s="14">
        <v>0</v>
      </c>
      <c r="I38" s="14">
        <v>2.4270143201665334E-8</v>
      </c>
      <c r="J38" s="14">
        <v>7.5265041714519787E-8</v>
      </c>
      <c r="K38" s="14">
        <v>0</v>
      </c>
    </row>
    <row r="39" spans="1:11">
      <c r="A39" s="2" t="s">
        <v>367</v>
      </c>
      <c r="B39" s="3" t="s">
        <v>368</v>
      </c>
      <c r="D39" s="14">
        <v>5.7725978934198002E-10</v>
      </c>
      <c r="E39" s="14">
        <v>4.1119132825558157E-7</v>
      </c>
      <c r="F39" s="14">
        <v>2.9685578824327191E-5</v>
      </c>
      <c r="G39" s="14">
        <v>5.1849082632638051E-6</v>
      </c>
      <c r="H39" s="14">
        <v>0</v>
      </c>
      <c r="I39" s="14">
        <v>3.2987477733871841E-7</v>
      </c>
      <c r="J39" s="14">
        <v>4.3878695470253624E-6</v>
      </c>
      <c r="K39" s="14">
        <v>0</v>
      </c>
    </row>
    <row r="40" spans="1:11">
      <c r="A40" s="2" t="s">
        <v>369</v>
      </c>
      <c r="B40" s="3" t="s">
        <v>370</v>
      </c>
      <c r="D40" s="14">
        <v>3.542981731947845E-17</v>
      </c>
      <c r="E40" s="14">
        <v>3.8627529227565002E-8</v>
      </c>
      <c r="F40" s="14">
        <v>3.5243457222196391E-5</v>
      </c>
      <c r="G40" s="14">
        <v>2.5497575184512254E-6</v>
      </c>
      <c r="H40" s="14">
        <v>0</v>
      </c>
      <c r="I40" s="14">
        <v>2.0572883774757931E-6</v>
      </c>
      <c r="J40" s="14">
        <v>1.1086935261361055E-7</v>
      </c>
      <c r="K40" s="14">
        <v>0</v>
      </c>
    </row>
    <row r="41" spans="1:11">
      <c r="A41" s="2" t="s">
        <v>371</v>
      </c>
      <c r="B41" s="3" t="s">
        <v>372</v>
      </c>
      <c r="D41" s="14">
        <v>3.2711785178393656E-6</v>
      </c>
      <c r="E41" s="14">
        <v>3.6530606786880959E-5</v>
      </c>
      <c r="F41" s="14">
        <v>1.1183518497098996E-9</v>
      </c>
      <c r="G41" s="14">
        <v>5.5985300776381508E-10</v>
      </c>
      <c r="H41" s="14">
        <v>0</v>
      </c>
      <c r="I41" s="14">
        <v>1.3395041275592387E-8</v>
      </c>
      <c r="J41" s="14">
        <v>1.8314144914661635E-7</v>
      </c>
      <c r="K41" s="14">
        <v>0</v>
      </c>
    </row>
    <row r="42" spans="1:11">
      <c r="A42" s="2" t="s">
        <v>293</v>
      </c>
      <c r="B42" s="3" t="s">
        <v>294</v>
      </c>
      <c r="D42" s="14">
        <v>6.996961586661734E-13</v>
      </c>
      <c r="E42" s="14">
        <v>2.0945085146439253E-5</v>
      </c>
      <c r="F42" s="14">
        <v>5.6128534689827118E-6</v>
      </c>
      <c r="G42" s="14">
        <v>1.4397240515877511E-6</v>
      </c>
      <c r="H42" s="14">
        <v>0</v>
      </c>
      <c r="I42" s="14">
        <v>9.5623497370586402E-8</v>
      </c>
      <c r="J42" s="14">
        <v>1.1906713135923543E-5</v>
      </c>
      <c r="K42" s="14">
        <v>0</v>
      </c>
    </row>
    <row r="43" spans="1:11">
      <c r="A43" s="2" t="s">
        <v>373</v>
      </c>
      <c r="B43" s="3" t="s">
        <v>374</v>
      </c>
      <c r="D43" s="14">
        <v>1.7228420615197198E-12</v>
      </c>
      <c r="E43" s="14">
        <v>3.5214682309716363E-7</v>
      </c>
      <c r="F43" s="14">
        <v>3.9535328259742949E-5</v>
      </c>
      <c r="G43" s="14">
        <v>3.3381609351948812E-8</v>
      </c>
      <c r="H43" s="14">
        <v>0</v>
      </c>
      <c r="I43" s="14">
        <v>6.2290809137873095E-8</v>
      </c>
      <c r="J43" s="14">
        <v>1.6850775827994867E-8</v>
      </c>
      <c r="K43" s="14">
        <v>0</v>
      </c>
    </row>
    <row r="44" spans="1:11">
      <c r="A44" s="2" t="s">
        <v>375</v>
      </c>
      <c r="B44" s="3" t="s">
        <v>376</v>
      </c>
      <c r="D44" s="14">
        <v>3.4042484543659167E-6</v>
      </c>
      <c r="E44" s="14">
        <v>3.0467294429217804E-5</v>
      </c>
      <c r="F44" s="14">
        <v>7.7820759286874815E-7</v>
      </c>
      <c r="G44" s="14">
        <v>2.3735097453161585E-7</v>
      </c>
      <c r="H44" s="14">
        <v>0</v>
      </c>
      <c r="I44" s="14">
        <v>2.5407598002900753E-8</v>
      </c>
      <c r="J44" s="14">
        <v>5.0874909510130154E-6</v>
      </c>
      <c r="K44" s="14">
        <v>0</v>
      </c>
    </row>
    <row r="45" spans="1:11">
      <c r="A45" s="2" t="s">
        <v>377</v>
      </c>
      <c r="B45" s="3" t="s">
        <v>378</v>
      </c>
      <c r="D45" s="14">
        <v>2.6612244831791491E-8</v>
      </c>
      <c r="E45" s="14">
        <v>1.9533233913955209E-5</v>
      </c>
      <c r="F45" s="14">
        <v>6.3937510912383917E-6</v>
      </c>
      <c r="G45" s="14">
        <v>1.6160369278161712E-6</v>
      </c>
      <c r="H45" s="14">
        <v>0</v>
      </c>
      <c r="I45" s="14">
        <v>1.0601900827779939E-7</v>
      </c>
      <c r="J45" s="14">
        <v>1.2324346813880634E-5</v>
      </c>
      <c r="K45" s="14">
        <v>0</v>
      </c>
    </row>
    <row r="46" spans="1:11">
      <c r="A46" s="2" t="s">
        <v>379</v>
      </c>
      <c r="B46" s="3" t="s">
        <v>380</v>
      </c>
      <c r="D46" s="14">
        <v>8.0031853234194744E-8</v>
      </c>
      <c r="E46" s="14">
        <v>2.0382409101045069E-5</v>
      </c>
      <c r="F46" s="14">
        <v>5.8875836220155035E-6</v>
      </c>
      <c r="G46" s="14">
        <v>1.5018710429228407E-6</v>
      </c>
      <c r="H46" s="14">
        <v>0</v>
      </c>
      <c r="I46" s="14">
        <v>9.9263350364252006E-8</v>
      </c>
      <c r="J46" s="14">
        <v>1.2048841030418152E-5</v>
      </c>
      <c r="K46" s="14">
        <v>0</v>
      </c>
    </row>
    <row r="47" spans="1:11">
      <c r="A47" s="2" t="s">
        <v>381</v>
      </c>
      <c r="B47" s="3" t="s">
        <v>382</v>
      </c>
      <c r="D47" s="14">
        <v>1.6421298477939738E-12</v>
      </c>
      <c r="E47" s="14">
        <v>2.5511743253673124E-8</v>
      </c>
      <c r="F47" s="14">
        <v>9.4597946700919683E-6</v>
      </c>
      <c r="G47" s="14">
        <v>2.5631691379742071E-5</v>
      </c>
      <c r="H47" s="14">
        <v>0</v>
      </c>
      <c r="I47" s="14">
        <v>1.686388782802863E-6</v>
      </c>
      <c r="J47" s="14">
        <v>3.1966117819795799E-6</v>
      </c>
      <c r="K47" s="14">
        <v>0</v>
      </c>
    </row>
    <row r="48" spans="1:11">
      <c r="A48" s="2" t="s">
        <v>383</v>
      </c>
      <c r="B48" s="3" t="s">
        <v>384</v>
      </c>
      <c r="D48" s="14">
        <v>4.706898968723229E-7</v>
      </c>
      <c r="E48" s="14">
        <v>3.6113328387421081E-5</v>
      </c>
      <c r="F48" s="14">
        <v>2.513096072142096E-7</v>
      </c>
      <c r="G48" s="14">
        <v>8.4353799054596357E-8</v>
      </c>
      <c r="H48" s="14">
        <v>0</v>
      </c>
      <c r="I48" s="14">
        <v>1.8233060885530966E-8</v>
      </c>
      <c r="J48" s="14">
        <v>3.0620852485522627E-6</v>
      </c>
      <c r="K48" s="14">
        <v>0</v>
      </c>
    </row>
    <row r="49" spans="1:11">
      <c r="A49" s="2" t="s">
        <v>385</v>
      </c>
      <c r="B49" s="3" t="s">
        <v>386</v>
      </c>
      <c r="D49" s="14">
        <v>8.7880716380846701E-7</v>
      </c>
      <c r="E49" s="14">
        <v>3.4460869335295203E-5</v>
      </c>
      <c r="F49" s="14">
        <v>4.4809263257242529E-7</v>
      </c>
      <c r="G49" s="14">
        <v>1.4363601867525828E-7</v>
      </c>
      <c r="H49" s="14">
        <v>0</v>
      </c>
      <c r="I49" s="14">
        <v>2.1196135882015739E-8</v>
      </c>
      <c r="J49" s="14">
        <v>4.047398713766632E-6</v>
      </c>
      <c r="K49" s="14">
        <v>0</v>
      </c>
    </row>
    <row r="50" spans="1:11">
      <c r="A50" s="2" t="s">
        <v>387</v>
      </c>
      <c r="B50" s="3" t="s">
        <v>388</v>
      </c>
      <c r="D50" s="14">
        <v>2.6202803896782498E-7</v>
      </c>
      <c r="E50" s="14">
        <v>2.9959903290398704E-6</v>
      </c>
      <c r="F50" s="14">
        <v>2.2336852761643236E-5</v>
      </c>
      <c r="G50" s="14">
        <v>4.4845362285970682E-6</v>
      </c>
      <c r="H50" s="14">
        <v>0</v>
      </c>
      <c r="I50" s="14">
        <v>2.816328778398198E-7</v>
      </c>
      <c r="J50" s="14">
        <v>9.6389597639121793E-6</v>
      </c>
      <c r="K50" s="14">
        <v>0</v>
      </c>
    </row>
    <row r="51" spans="1:11">
      <c r="A51" s="2" t="s">
        <v>295</v>
      </c>
      <c r="B51" s="3" t="s">
        <v>296</v>
      </c>
      <c r="D51" s="14">
        <v>2.6212130673748511E-6</v>
      </c>
      <c r="E51" s="14">
        <v>3.6125591350304604E-5</v>
      </c>
      <c r="F51" s="14">
        <v>4.0511333525744498E-8</v>
      </c>
      <c r="G51" s="14">
        <v>1.555507446916918E-8</v>
      </c>
      <c r="H51" s="14">
        <v>0</v>
      </c>
      <c r="I51" s="14">
        <v>1.4129227339770865E-8</v>
      </c>
      <c r="J51" s="14">
        <v>1.1829999469858656E-6</v>
      </c>
      <c r="K51" s="14">
        <v>0</v>
      </c>
    </row>
    <row r="52" spans="1:11">
      <c r="A52" s="2" t="s">
        <v>389</v>
      </c>
      <c r="B52" s="3" t="s">
        <v>390</v>
      </c>
      <c r="D52" s="14">
        <v>2.7556642560287009E-6</v>
      </c>
      <c r="E52" s="14">
        <v>2.8880116682534597E-5</v>
      </c>
      <c r="F52" s="14">
        <v>1.3443133697171363E-6</v>
      </c>
      <c r="G52" s="14">
        <v>3.9227991565762794E-7</v>
      </c>
      <c r="H52" s="14">
        <v>0</v>
      </c>
      <c r="I52" s="14">
        <v>3.4236706440009088E-8</v>
      </c>
      <c r="J52" s="14">
        <v>6.5933890696219376E-6</v>
      </c>
      <c r="K52" s="14">
        <v>0</v>
      </c>
    </row>
    <row r="53" spans="1:11">
      <c r="A53" s="2" t="s">
        <v>391</v>
      </c>
      <c r="B53" s="3" t="s">
        <v>392</v>
      </c>
      <c r="D53" s="14">
        <v>7.8519061671315234E-8</v>
      </c>
      <c r="E53" s="14">
        <v>1.5106635189922225E-5</v>
      </c>
      <c r="F53" s="14">
        <v>9.2395180002930407E-6</v>
      </c>
      <c r="G53" s="14">
        <v>2.2302054422126628E-6</v>
      </c>
      <c r="H53" s="14">
        <v>0</v>
      </c>
      <c r="I53" s="14">
        <v>1.4258200622614008E-7</v>
      </c>
      <c r="J53" s="14">
        <v>1.3202540299674621E-5</v>
      </c>
      <c r="K53" s="14">
        <v>0</v>
      </c>
    </row>
    <row r="54" spans="1:11">
      <c r="A54" s="2" t="s">
        <v>393</v>
      </c>
      <c r="B54" s="3" t="s">
        <v>394</v>
      </c>
      <c r="D54" s="14">
        <v>7.5717780119619501E-9</v>
      </c>
      <c r="E54" s="14">
        <v>3.56131602132323E-8</v>
      </c>
      <c r="F54" s="14">
        <v>1.1299834631365929E-5</v>
      </c>
      <c r="G54" s="14">
        <v>2.3581294558323726E-5</v>
      </c>
      <c r="H54" s="14">
        <v>0</v>
      </c>
      <c r="I54" s="14">
        <v>1.5464533410435159E-6</v>
      </c>
      <c r="J54" s="14">
        <v>3.5292325310416287E-6</v>
      </c>
      <c r="K54" s="14">
        <v>0</v>
      </c>
    </row>
    <row r="55" spans="1:11">
      <c r="A55" s="2" t="s">
        <v>395</v>
      </c>
      <c r="B55" s="3" t="s">
        <v>396</v>
      </c>
      <c r="D55" s="14">
        <v>5.2992184333937469E-6</v>
      </c>
      <c r="E55" s="14">
        <v>5.4293077815330599E-6</v>
      </c>
      <c r="F55" s="14">
        <v>1.5264621370453702E-5</v>
      </c>
      <c r="G55" s="14">
        <v>3.2929231229670267E-6</v>
      </c>
      <c r="H55" s="14">
        <v>0</v>
      </c>
      <c r="I55" s="14">
        <v>2.0655453070369195E-7</v>
      </c>
      <c r="J55" s="14">
        <v>1.0507374760948771E-5</v>
      </c>
      <c r="K55" s="14">
        <v>0</v>
      </c>
    </row>
    <row r="56" spans="1:11">
      <c r="A56" s="2" t="s">
        <v>397</v>
      </c>
      <c r="B56" s="3" t="s">
        <v>398</v>
      </c>
      <c r="D56" s="14">
        <v>2.4094448497734824E-5</v>
      </c>
      <c r="E56" s="14">
        <v>6.431460855208355E-7</v>
      </c>
      <c r="F56" s="14">
        <v>1.0152925629979425E-5</v>
      </c>
      <c r="G56" s="14">
        <v>1.9287980591735688E-6</v>
      </c>
      <c r="H56" s="14">
        <v>0</v>
      </c>
      <c r="I56" s="14">
        <v>1.2154145843268209E-7</v>
      </c>
      <c r="J56" s="14">
        <v>3.0591402691586661E-6</v>
      </c>
      <c r="K56" s="14">
        <v>0</v>
      </c>
    </row>
    <row r="57" spans="1:11">
      <c r="A57" s="2" t="s">
        <v>399</v>
      </c>
      <c r="B57" s="3" t="s">
        <v>400</v>
      </c>
      <c r="D57" s="14">
        <v>3.0626112825557417E-5</v>
      </c>
      <c r="E57" s="14">
        <v>1.1637093364399713E-6</v>
      </c>
      <c r="F57" s="14">
        <v>4.5286222187572484E-6</v>
      </c>
      <c r="G57" s="14">
        <v>9.5380951022994113E-7</v>
      </c>
      <c r="H57" s="14">
        <v>0</v>
      </c>
      <c r="I57" s="14">
        <v>5.98170405202227E-8</v>
      </c>
      <c r="J57" s="14">
        <v>2.667929068495191E-6</v>
      </c>
      <c r="K57" s="14">
        <v>0</v>
      </c>
    </row>
    <row r="58" spans="1:11">
      <c r="A58" s="2" t="s">
        <v>297</v>
      </c>
      <c r="B58" s="3" t="s">
        <v>298</v>
      </c>
      <c r="D58" s="14">
        <v>3.7263263373072319E-5</v>
      </c>
      <c r="E58" s="14">
        <v>2.3665382409038239E-6</v>
      </c>
      <c r="F58" s="14">
        <v>3.9514373532695522E-8</v>
      </c>
      <c r="G58" s="14">
        <v>1.2435139347843341E-8</v>
      </c>
      <c r="H58" s="14">
        <v>0</v>
      </c>
      <c r="I58" s="14">
        <v>1.6106885622244201E-9</v>
      </c>
      <c r="J58" s="14">
        <v>3.1663818458110133E-7</v>
      </c>
      <c r="K58" s="14">
        <v>0</v>
      </c>
    </row>
    <row r="59" spans="1:11">
      <c r="A59" s="2" t="s">
        <v>401</v>
      </c>
      <c r="B59" s="3" t="s">
        <v>402</v>
      </c>
      <c r="D59" s="14">
        <v>3.6345959062585477E-5</v>
      </c>
      <c r="E59" s="14">
        <v>4.7905874636217854E-7</v>
      </c>
      <c r="F59" s="14">
        <v>1.7295389540460737E-6</v>
      </c>
      <c r="G59" s="14">
        <v>3.662907093999632E-7</v>
      </c>
      <c r="H59" s="14">
        <v>0</v>
      </c>
      <c r="I59" s="14">
        <v>2.2971081691945814E-8</v>
      </c>
      <c r="J59" s="14">
        <v>1.0561814459143743E-6</v>
      </c>
      <c r="K59" s="14">
        <v>0</v>
      </c>
    </row>
    <row r="60" spans="1:11">
      <c r="A60" s="2" t="s">
        <v>299</v>
      </c>
      <c r="B60" s="3" t="s">
        <v>300</v>
      </c>
      <c r="D60" s="14">
        <v>3.9921294119543763E-5</v>
      </c>
      <c r="E60" s="14">
        <v>1.7910893512287816E-8</v>
      </c>
      <c r="F60" s="14">
        <v>2.8332103924684492E-8</v>
      </c>
      <c r="G60" s="14">
        <v>6.3763827986754786E-9</v>
      </c>
      <c r="H60" s="14">
        <v>0</v>
      </c>
      <c r="I60" s="14">
        <v>4.0106008143246517E-10</v>
      </c>
      <c r="J60" s="14">
        <v>2.5685440139150853E-8</v>
      </c>
      <c r="K60" s="14">
        <v>0</v>
      </c>
    </row>
    <row r="61" spans="1:11">
      <c r="A61" s="2" t="s">
        <v>403</v>
      </c>
      <c r="B61" s="3" t="s">
        <v>404</v>
      </c>
      <c r="D61" s="14">
        <v>1.7823503428188426E-48</v>
      </c>
      <c r="E61" s="14">
        <v>1.1318938873184434E-5</v>
      </c>
      <c r="F61" s="14">
        <v>1.2304594014469274E-5</v>
      </c>
      <c r="G61" s="14">
        <v>2.846838590234925E-6</v>
      </c>
      <c r="H61" s="14">
        <v>0</v>
      </c>
      <c r="I61" s="14">
        <v>1.7980652998518958E-7</v>
      </c>
      <c r="J61" s="14">
        <v>1.3349821992126182E-5</v>
      </c>
      <c r="K61" s="14">
        <v>0</v>
      </c>
    </row>
    <row r="62" spans="1:11">
      <c r="A62" s="2" t="s">
        <v>405</v>
      </c>
      <c r="B62" s="3" t="s">
        <v>406</v>
      </c>
      <c r="D62" s="14">
        <v>4.2382558131138502E-12</v>
      </c>
      <c r="E62" s="14">
        <v>1.5312983230698353E-7</v>
      </c>
      <c r="F62" s="14">
        <v>2.2098428028592063E-5</v>
      </c>
      <c r="G62" s="14">
        <v>1.2318474721010441E-5</v>
      </c>
      <c r="H62" s="14">
        <v>0</v>
      </c>
      <c r="I62" s="14">
        <v>7.9475155362463112E-7</v>
      </c>
      <c r="J62" s="14">
        <v>4.6352116262100707E-6</v>
      </c>
      <c r="K62" s="14">
        <v>0</v>
      </c>
    </row>
    <row r="63" spans="1:11">
      <c r="A63" s="2" t="s">
        <v>407</v>
      </c>
      <c r="B63" s="3" t="s">
        <v>408</v>
      </c>
      <c r="D63" s="14">
        <v>1.0108404162912404E-9</v>
      </c>
      <c r="E63" s="14">
        <v>1.3936548756390968E-8</v>
      </c>
      <c r="F63" s="14">
        <v>6.7586010712889112E-6</v>
      </c>
      <c r="G63" s="14">
        <v>2.8711267679919453E-5</v>
      </c>
      <c r="H63" s="14">
        <v>0</v>
      </c>
      <c r="I63" s="14">
        <v>1.8996219823358095E-6</v>
      </c>
      <c r="J63" s="14">
        <v>2.6155618772831471E-6</v>
      </c>
      <c r="K63" s="14">
        <v>0</v>
      </c>
    </row>
    <row r="64" spans="1:11">
      <c r="A64" s="2" t="s">
        <v>409</v>
      </c>
      <c r="B64" s="3" t="s">
        <v>410</v>
      </c>
      <c r="D64" s="14">
        <v>1.2517434484438625E-10</v>
      </c>
      <c r="E64" s="14">
        <v>4.8297868816185901E-9</v>
      </c>
      <c r="F64" s="14">
        <v>3.6424159737450979E-6</v>
      </c>
      <c r="G64" s="14">
        <v>3.2425381708964962E-5</v>
      </c>
      <c r="H64" s="14">
        <v>0</v>
      </c>
      <c r="I64" s="14">
        <v>2.1652805280975972E-6</v>
      </c>
      <c r="J64" s="14">
        <v>1.7619668279658881E-6</v>
      </c>
      <c r="K64" s="14">
        <v>0</v>
      </c>
    </row>
    <row r="65" spans="1:11">
      <c r="A65" s="2" t="s">
        <v>301</v>
      </c>
      <c r="B65" s="3" t="s">
        <v>302</v>
      </c>
      <c r="D65" s="14">
        <v>1.5468565710277776E-11</v>
      </c>
      <c r="E65" s="14">
        <v>1.3563840903642964E-9</v>
      </c>
      <c r="F65" s="14">
        <v>1.6901461537376977E-6</v>
      </c>
      <c r="G65" s="14">
        <v>3.4899549169278648E-5</v>
      </c>
      <c r="H65" s="14">
        <v>0</v>
      </c>
      <c r="I65" s="14">
        <v>2.3551952963690194E-6</v>
      </c>
      <c r="J65" s="14">
        <v>1.0537375279585572E-6</v>
      </c>
      <c r="K65" s="14">
        <v>0</v>
      </c>
    </row>
    <row r="66" spans="1:11">
      <c r="A66" s="2" t="s">
        <v>303</v>
      </c>
      <c r="B66" s="3" t="s">
        <v>304</v>
      </c>
      <c r="D66" s="14">
        <v>1.4929778828757808E-17</v>
      </c>
      <c r="E66" s="14">
        <v>2.8116807960993742E-9</v>
      </c>
      <c r="F66" s="14">
        <v>2.6328589238428359E-6</v>
      </c>
      <c r="G66" s="14">
        <v>3.3683960108498709E-5</v>
      </c>
      <c r="H66" s="14">
        <v>0</v>
      </c>
      <c r="I66" s="14">
        <v>2.2595600399830473E-6</v>
      </c>
      <c r="J66" s="14">
        <v>1.4208092468643811E-6</v>
      </c>
      <c r="K66" s="14">
        <v>0</v>
      </c>
    </row>
    <row r="67" spans="1:11">
      <c r="A67" s="2" t="s">
        <v>411</v>
      </c>
      <c r="B67" s="3" t="s">
        <v>412</v>
      </c>
      <c r="D67" s="14">
        <v>1.8617199166380387E-7</v>
      </c>
      <c r="E67" s="14">
        <v>3.2452412334717667E-5</v>
      </c>
      <c r="F67" s="14">
        <v>1.0124849111561766E-6</v>
      </c>
      <c r="G67" s="14">
        <v>3.0428750211303784E-7</v>
      </c>
      <c r="H67" s="14">
        <v>0</v>
      </c>
      <c r="I67" s="14">
        <v>3.018180945538194E-8</v>
      </c>
      <c r="J67" s="14">
        <v>6.0144614508939453E-6</v>
      </c>
      <c r="K67" s="14">
        <v>0</v>
      </c>
    </row>
    <row r="68" spans="1:11">
      <c r="A68" s="2" t="s">
        <v>413</v>
      </c>
      <c r="B68" s="3" t="s">
        <v>414</v>
      </c>
      <c r="D68" s="14">
        <v>3.9934719819799066E-7</v>
      </c>
      <c r="E68" s="14">
        <v>2.9588522711423907E-5</v>
      </c>
      <c r="F68" s="14">
        <v>1.7685805994228731E-6</v>
      </c>
      <c r="G68" s="14">
        <v>5.0666442534672857E-7</v>
      </c>
      <c r="H68" s="14">
        <v>0</v>
      </c>
      <c r="I68" s="14">
        <v>4.1452398028155568E-8</v>
      </c>
      <c r="J68" s="14">
        <v>7.6954326675803472E-6</v>
      </c>
      <c r="K68" s="14">
        <v>0</v>
      </c>
    </row>
    <row r="69" spans="1:11">
      <c r="A69" s="2" t="s">
        <v>415</v>
      </c>
      <c r="B69" s="3" t="s">
        <v>416</v>
      </c>
      <c r="D69" s="14">
        <v>4.8780926263499822E-8</v>
      </c>
      <c r="E69" s="14">
        <v>5.5228428163997702E-8</v>
      </c>
      <c r="F69" s="14">
        <v>1.411315974980007E-5</v>
      </c>
      <c r="G69" s="14">
        <v>2.0493673497443398E-5</v>
      </c>
      <c r="H69" s="14">
        <v>0</v>
      </c>
      <c r="I69" s="14">
        <v>1.3379261903277156E-6</v>
      </c>
      <c r="J69" s="14">
        <v>3.9512312080013257E-6</v>
      </c>
      <c r="K69" s="14">
        <v>0</v>
      </c>
    </row>
    <row r="70" spans="1:11">
      <c r="A70" s="2" t="s">
        <v>417</v>
      </c>
      <c r="B70" s="3" t="s">
        <v>418</v>
      </c>
      <c r="D70" s="14">
        <v>1.2677748691787281E-7</v>
      </c>
      <c r="E70" s="14">
        <v>1.0190013964338324E-6</v>
      </c>
      <c r="F70" s="14">
        <v>2.7196708941912366E-5</v>
      </c>
      <c r="G70" s="14">
        <v>4.9706354044972172E-6</v>
      </c>
      <c r="H70" s="14">
        <v>0</v>
      </c>
      <c r="I70" s="14">
        <v>3.1416113960006123E-7</v>
      </c>
      <c r="J70" s="14">
        <v>6.3727156306386528E-6</v>
      </c>
      <c r="K70" s="14">
        <v>0</v>
      </c>
    </row>
    <row r="71" spans="1:11">
      <c r="A71" s="2" t="s">
        <v>419</v>
      </c>
      <c r="B71" s="3" t="s">
        <v>420</v>
      </c>
      <c r="D71" s="14">
        <v>9.8038674196801047E-7</v>
      </c>
      <c r="E71" s="14">
        <v>2.9608068039773561E-5</v>
      </c>
      <c r="F71" s="14">
        <v>1.6012960945281158E-6</v>
      </c>
      <c r="G71" s="14">
        <v>4.6213323204716051E-7</v>
      </c>
      <c r="H71" s="14">
        <v>0</v>
      </c>
      <c r="I71" s="14">
        <v>3.8747844941189746E-8</v>
      </c>
      <c r="J71" s="14">
        <v>7.3093680467419621E-6</v>
      </c>
      <c r="K71" s="14">
        <v>0</v>
      </c>
    </row>
    <row r="72" spans="1:11">
      <c r="A72" s="2" t="s">
        <v>421</v>
      </c>
      <c r="B72" s="3" t="s">
        <v>422</v>
      </c>
      <c r="D72" s="14">
        <v>5.3133562627948335E-7</v>
      </c>
      <c r="E72" s="14">
        <v>1.1773933459930206E-6</v>
      </c>
      <c r="F72" s="14">
        <v>2.6378078198872484E-5</v>
      </c>
      <c r="G72" s="14">
        <v>4.8835845013420342E-6</v>
      </c>
      <c r="H72" s="14">
        <v>0</v>
      </c>
      <c r="I72" s="14">
        <v>3.0833839647773979E-7</v>
      </c>
      <c r="J72" s="14">
        <v>6.7212699310352465E-6</v>
      </c>
      <c r="K72" s="14">
        <v>0</v>
      </c>
    </row>
    <row r="73" spans="1:11">
      <c r="A73" s="2" t="s">
        <v>423</v>
      </c>
      <c r="B73" s="3" t="s">
        <v>424</v>
      </c>
      <c r="D73" s="14">
        <v>5.1895966655659524E-7</v>
      </c>
      <c r="E73" s="14">
        <v>1.0414687578493692E-5</v>
      </c>
      <c r="F73" s="14">
        <v>1.2829443567456015E-5</v>
      </c>
      <c r="G73" s="14">
        <v>2.9410565569917062E-6</v>
      </c>
      <c r="H73" s="14">
        <v>0</v>
      </c>
      <c r="I73" s="14">
        <v>1.8545068582156402E-7</v>
      </c>
      <c r="J73" s="14">
        <v>1.3110401944680428E-5</v>
      </c>
      <c r="K73" s="14">
        <v>0</v>
      </c>
    </row>
    <row r="74" spans="1:11">
      <c r="A74" s="2" t="s">
        <v>425</v>
      </c>
      <c r="B74" s="3" t="s">
        <v>426</v>
      </c>
      <c r="D74" s="14">
        <v>1.9563009349559411E-7</v>
      </c>
      <c r="E74" s="14">
        <v>1.0633795474739313E-6</v>
      </c>
      <c r="F74" s="14">
        <v>2.6996650077455859E-5</v>
      </c>
      <c r="G74" s="14">
        <v>4.9522827504015253E-6</v>
      </c>
      <c r="H74" s="14">
        <v>0</v>
      </c>
      <c r="I74" s="14">
        <v>3.1290710142224167E-7</v>
      </c>
      <c r="J74" s="14">
        <v>6.4791504297508441E-6</v>
      </c>
      <c r="K74" s="14">
        <v>0</v>
      </c>
    </row>
    <row r="75" spans="1:11">
      <c r="A75" s="2" t="s">
        <v>427</v>
      </c>
      <c r="B75" s="3" t="s">
        <v>428</v>
      </c>
      <c r="D75" s="14">
        <v>2.1916006030292125E-14</v>
      </c>
      <c r="E75" s="14">
        <v>1.7194678862845681E-7</v>
      </c>
      <c r="F75" s="14">
        <v>3.9603689183993505E-5</v>
      </c>
      <c r="G75" s="14">
        <v>1.5282199066404337E-8</v>
      </c>
      <c r="H75" s="14">
        <v>0</v>
      </c>
      <c r="I75" s="14">
        <v>2.057544564195595E-7</v>
      </c>
      <c r="J75" s="14">
        <v>3.3273499760708971E-9</v>
      </c>
      <c r="K75" s="14">
        <v>0</v>
      </c>
    </row>
    <row r="76" spans="1:11">
      <c r="A76" s="2" t="s">
        <v>429</v>
      </c>
      <c r="B76" s="3" t="s">
        <v>430</v>
      </c>
      <c r="D76" s="14">
        <v>5.5050518209777474E-16</v>
      </c>
      <c r="E76" s="14">
        <v>1.7194678872030001E-7</v>
      </c>
      <c r="F76" s="14">
        <v>3.9603689205147319E-5</v>
      </c>
      <c r="G76" s="14">
        <v>1.5282199074567127E-8</v>
      </c>
      <c r="H76" s="14">
        <v>0</v>
      </c>
      <c r="I76" s="14">
        <v>2.0575445652946062E-7</v>
      </c>
      <c r="J76" s="14">
        <v>3.3273499778481595E-9</v>
      </c>
      <c r="K76" s="14">
        <v>0</v>
      </c>
    </row>
    <row r="77" spans="1:11">
      <c r="A77" s="2" t="s">
        <v>431</v>
      </c>
      <c r="B77" s="3" t="s">
        <v>432</v>
      </c>
      <c r="D77" s="14">
        <v>9.4501735383336174E-7</v>
      </c>
      <c r="E77" s="14">
        <v>4.023392706611434E-6</v>
      </c>
      <c r="F77" s="14">
        <v>2.0105459292258646E-5</v>
      </c>
      <c r="G77" s="14">
        <v>4.1572826615232543E-6</v>
      </c>
      <c r="H77" s="14">
        <v>0</v>
      </c>
      <c r="I77" s="14">
        <v>2.6079668009758675E-7</v>
      </c>
      <c r="J77" s="14">
        <v>1.050805130567572E-5</v>
      </c>
      <c r="K77" s="14">
        <v>0</v>
      </c>
    </row>
    <row r="78" spans="1:11">
      <c r="A78" s="2" t="s">
        <v>433</v>
      </c>
      <c r="B78" s="3" t="s">
        <v>434</v>
      </c>
      <c r="D78" s="14">
        <v>1.3305709550621502E-6</v>
      </c>
      <c r="E78" s="14">
        <v>2.0914653775403721E-5</v>
      </c>
      <c r="F78" s="14">
        <v>5.071217692325774E-6</v>
      </c>
      <c r="G78" s="14">
        <v>1.3104118426119165E-6</v>
      </c>
      <c r="H78" s="14">
        <v>0</v>
      </c>
      <c r="I78" s="14">
        <v>8.7655226055966602E-8</v>
      </c>
      <c r="J78" s="14">
        <v>1.128549050854048E-5</v>
      </c>
      <c r="K78" s="14">
        <v>0</v>
      </c>
    </row>
    <row r="79" spans="1:11">
      <c r="A79" s="2" t="s">
        <v>435</v>
      </c>
      <c r="B79" s="3" t="s">
        <v>436</v>
      </c>
      <c r="D79" s="14">
        <v>3.1081966615069349E-7</v>
      </c>
      <c r="E79" s="14">
        <v>1.4675102056910173E-5</v>
      </c>
      <c r="F79" s="14">
        <v>9.4358864177055335E-6</v>
      </c>
      <c r="G79" s="14">
        <v>2.2692286594726021E-6</v>
      </c>
      <c r="H79" s="14">
        <v>0</v>
      </c>
      <c r="I79" s="14">
        <v>1.4487175570606881E-7</v>
      </c>
      <c r="J79" s="14">
        <v>1.3164091444054934E-5</v>
      </c>
      <c r="K79" s="14">
        <v>0</v>
      </c>
    </row>
    <row r="80" spans="1:11">
      <c r="A80" s="2" t="s">
        <v>437</v>
      </c>
      <c r="B80" s="3" t="s">
        <v>438</v>
      </c>
      <c r="D80" s="14">
        <v>7.8091780196441417E-15</v>
      </c>
      <c r="E80" s="14">
        <v>1.1602136777671354E-7</v>
      </c>
      <c r="F80" s="14">
        <v>3.9452956658703042E-5</v>
      </c>
      <c r="G80" s="14">
        <v>2.9243527921232655E-8</v>
      </c>
      <c r="H80" s="14">
        <v>0</v>
      </c>
      <c r="I80" s="14">
        <v>3.9774251922140419E-7</v>
      </c>
      <c r="J80" s="14">
        <v>4.0359185684271126E-9</v>
      </c>
      <c r="K80" s="14">
        <v>0</v>
      </c>
    </row>
    <row r="81" spans="1:11">
      <c r="A81" s="2" t="s">
        <v>440</v>
      </c>
      <c r="B81" s="3" t="s">
        <v>441</v>
      </c>
      <c r="D81" s="14">
        <v>7.3930176405231047E-18</v>
      </c>
      <c r="E81" s="14">
        <v>3.8775230042086306E-5</v>
      </c>
      <c r="F81" s="14">
        <v>3.6500259942198398E-8</v>
      </c>
      <c r="G81" s="14">
        <v>1.4196834276730754E-8</v>
      </c>
      <c r="H81" s="14">
        <v>0</v>
      </c>
      <c r="I81" s="14">
        <v>1.5017600819828867E-8</v>
      </c>
      <c r="J81" s="14">
        <v>1.1590552628675544E-6</v>
      </c>
      <c r="K81" s="14">
        <v>0</v>
      </c>
    </row>
    <row r="82" spans="1:11">
      <c r="A82" s="2" t="s">
        <v>442</v>
      </c>
      <c r="B82" s="3" t="s">
        <v>443</v>
      </c>
      <c r="D82" s="14">
        <v>3.2951333134268054E-9</v>
      </c>
      <c r="E82" s="14">
        <v>2.8644789187779954E-5</v>
      </c>
      <c r="F82" s="14">
        <v>2.1986049667232654E-6</v>
      </c>
      <c r="G82" s="14">
        <v>6.1836195289947882E-7</v>
      </c>
      <c r="H82" s="14">
        <v>0</v>
      </c>
      <c r="I82" s="14">
        <v>4.792553417665635E-8</v>
      </c>
      <c r="J82" s="14">
        <v>8.4870232251072251E-6</v>
      </c>
      <c r="K82" s="14">
        <v>0</v>
      </c>
    </row>
    <row r="83" spans="1:11">
      <c r="A83" s="2" t="s">
        <v>444</v>
      </c>
      <c r="B83" s="3" t="s">
        <v>445</v>
      </c>
      <c r="D83" s="14">
        <v>2.0131808230099243E-8</v>
      </c>
      <c r="E83" s="14">
        <v>5.0547004694375907E-6</v>
      </c>
      <c r="F83" s="14">
        <v>1.9184787789987478E-5</v>
      </c>
      <c r="G83" s="14">
        <v>4.0481123292440458E-6</v>
      </c>
      <c r="H83" s="14">
        <v>0</v>
      </c>
      <c r="I83" s="14">
        <v>2.5387008226350524E-7</v>
      </c>
      <c r="J83" s="14">
        <v>1.143839752083729E-5</v>
      </c>
      <c r="K83" s="14">
        <v>0</v>
      </c>
    </row>
    <row r="84" spans="1:11">
      <c r="A84" s="2" t="s">
        <v>446</v>
      </c>
      <c r="B84" s="3" t="s">
        <v>447</v>
      </c>
      <c r="D84" s="14">
        <v>2.2668552364602563E-19</v>
      </c>
      <c r="E84" s="14">
        <v>3.7279186536899744E-5</v>
      </c>
      <c r="F84" s="14">
        <v>1.6334204985253885E-7</v>
      </c>
      <c r="G84" s="14">
        <v>5.6727488548726061E-8</v>
      </c>
      <c r="H84" s="14">
        <v>0</v>
      </c>
      <c r="I84" s="14">
        <v>1.7003605604934885E-8</v>
      </c>
      <c r="J84" s="14">
        <v>2.4837403190938308E-6</v>
      </c>
      <c r="K84" s="14">
        <v>0</v>
      </c>
    </row>
    <row r="85" spans="1:11">
      <c r="A85" s="2" t="s">
        <v>448</v>
      </c>
      <c r="B85" s="3" t="s">
        <v>449</v>
      </c>
      <c r="D85" s="14">
        <v>1.5946648882226755E-12</v>
      </c>
      <c r="E85" s="14">
        <v>3.9492267722203138E-5</v>
      </c>
      <c r="F85" s="14">
        <v>6.7041488280873564E-9</v>
      </c>
      <c r="G85" s="14">
        <v>2.9582794875920217E-9</v>
      </c>
      <c r="H85" s="14">
        <v>0</v>
      </c>
      <c r="I85" s="14">
        <v>1.4617956302418032E-8</v>
      </c>
      <c r="J85" s="14">
        <v>4.8345029851387173E-7</v>
      </c>
      <c r="K85" s="14">
        <v>0</v>
      </c>
    </row>
    <row r="86" spans="1:11">
      <c r="A86" s="2" t="s">
        <v>450</v>
      </c>
      <c r="B86" s="3" t="s">
        <v>451</v>
      </c>
      <c r="D86" s="14">
        <v>5.7031450454071598E-13</v>
      </c>
      <c r="E86" s="14">
        <v>3.7348834812840636E-5</v>
      </c>
      <c r="F86" s="14">
        <v>1.5566415977913709E-7</v>
      </c>
      <c r="G86" s="14">
        <v>5.4260549452483125E-8</v>
      </c>
      <c r="H86" s="14">
        <v>0</v>
      </c>
      <c r="I86" s="14">
        <v>1.6881538415560839E-8</v>
      </c>
      <c r="J86" s="14">
        <v>2.4243583691976832E-6</v>
      </c>
      <c r="K86" s="14">
        <v>0</v>
      </c>
    </row>
    <row r="87" spans="1:11">
      <c r="A87" s="2" t="s">
        <v>452</v>
      </c>
      <c r="B87" s="3" t="s">
        <v>453</v>
      </c>
      <c r="D87" s="14">
        <v>1.8893508290587219E-12</v>
      </c>
      <c r="E87" s="14">
        <v>2.0273337440994331E-8</v>
      </c>
      <c r="F87" s="14">
        <v>8.3403989207031671E-6</v>
      </c>
      <c r="G87" s="14">
        <v>2.6895670698974497E-5</v>
      </c>
      <c r="H87" s="14">
        <v>0</v>
      </c>
      <c r="I87" s="14">
        <v>1.7733914423027718E-6</v>
      </c>
      <c r="J87" s="14">
        <v>2.97026371122774E-6</v>
      </c>
      <c r="K87" s="14">
        <v>0</v>
      </c>
    </row>
    <row r="88" spans="1:11">
      <c r="A88" s="2" t="s">
        <v>454</v>
      </c>
      <c r="B88" s="3" t="s">
        <v>455</v>
      </c>
      <c r="D88" s="14">
        <v>1.5935444271687731E-9</v>
      </c>
      <c r="E88" s="14">
        <v>2.3967173315899128E-5</v>
      </c>
      <c r="F88" s="14">
        <v>4.0948537072470815E-6</v>
      </c>
      <c r="G88" s="14">
        <v>1.0857602704413539E-6</v>
      </c>
      <c r="H88" s="14">
        <v>0</v>
      </c>
      <c r="I88" s="14">
        <v>7.4892247212634217E-8</v>
      </c>
      <c r="J88" s="14">
        <v>1.0775726914772637E-5</v>
      </c>
      <c r="K88" s="14">
        <v>0</v>
      </c>
    </row>
    <row r="89" spans="1:11">
      <c r="A89" s="2" t="s">
        <v>456</v>
      </c>
      <c r="B89" s="3" t="s">
        <v>457</v>
      </c>
      <c r="D89" s="14">
        <v>1.0864782700593922E-21</v>
      </c>
      <c r="E89" s="14">
        <v>2.7850544171471809E-5</v>
      </c>
      <c r="F89" s="14">
        <v>2.4836778236992953E-6</v>
      </c>
      <c r="G89" s="14">
        <v>6.9086121964847027E-7</v>
      </c>
      <c r="H89" s="14">
        <v>0</v>
      </c>
      <c r="I89" s="14">
        <v>5.2069799297388359E-8</v>
      </c>
      <c r="J89" s="14">
        <v>8.9228469858830412E-6</v>
      </c>
      <c r="K89" s="14">
        <v>0</v>
      </c>
    </row>
    <row r="90" spans="1:11">
      <c r="A90" s="2" t="s">
        <v>458</v>
      </c>
      <c r="B90" s="3" t="s">
        <v>459</v>
      </c>
      <c r="D90" s="14">
        <v>1.679970976709717E-33</v>
      </c>
      <c r="E90" s="14">
        <v>3.4520288724262605E-5</v>
      </c>
      <c r="F90" s="14">
        <v>5.909843682417273E-7</v>
      </c>
      <c r="G90" s="14">
        <v>1.8563999547133555E-7</v>
      </c>
      <c r="H90" s="14">
        <v>0</v>
      </c>
      <c r="I90" s="14">
        <v>2.3751463125875615E-8</v>
      </c>
      <c r="J90" s="14">
        <v>4.6793354488984581E-6</v>
      </c>
      <c r="K90" s="14">
        <v>0</v>
      </c>
    </row>
    <row r="91" spans="1:11">
      <c r="A91" s="2" t="s">
        <v>460</v>
      </c>
      <c r="B91" s="3" t="s">
        <v>461</v>
      </c>
      <c r="D91" s="14">
        <v>1.9791954840659255E-12</v>
      </c>
      <c r="E91" s="14">
        <v>1.3297234628785035E-7</v>
      </c>
      <c r="F91" s="14">
        <v>2.0924876635306604E-5</v>
      </c>
      <c r="G91" s="14">
        <v>1.3485233215955556E-5</v>
      </c>
      <c r="H91" s="14">
        <v>0</v>
      </c>
      <c r="I91" s="14">
        <v>8.7158059220856943E-7</v>
      </c>
      <c r="J91" s="14">
        <v>4.5853352310459392E-6</v>
      </c>
      <c r="K91" s="14">
        <v>0</v>
      </c>
    </row>
    <row r="92" spans="1:11">
      <c r="A92" s="2" t="s">
        <v>462</v>
      </c>
      <c r="B92" s="3" t="s">
        <v>463</v>
      </c>
      <c r="D92" s="14">
        <v>1.7667047980103058E-13</v>
      </c>
      <c r="E92" s="14">
        <v>7.0488233853062666E-6</v>
      </c>
      <c r="F92" s="14">
        <v>1.6635589814777604E-5</v>
      </c>
      <c r="G92" s="14">
        <v>3.6352456108944626E-6</v>
      </c>
      <c r="H92" s="14">
        <v>0</v>
      </c>
      <c r="I92" s="14">
        <v>2.2813235738701059E-7</v>
      </c>
      <c r="J92" s="14">
        <v>1.2452208654964179E-5</v>
      </c>
      <c r="K92" s="14">
        <v>0</v>
      </c>
    </row>
    <row r="93" spans="1:11">
      <c r="A93" s="2" t="s">
        <v>464</v>
      </c>
      <c r="B93" s="3" t="s">
        <v>465</v>
      </c>
      <c r="D93" s="14">
        <v>7.8305456486736513E-9</v>
      </c>
      <c r="E93" s="14">
        <v>1.5490472540528915E-6</v>
      </c>
      <c r="F93" s="14">
        <v>2.5707878609733782E-5</v>
      </c>
      <c r="G93" s="14">
        <v>4.8658844990189829E-6</v>
      </c>
      <c r="H93" s="14">
        <v>0</v>
      </c>
      <c r="I93" s="14">
        <v>3.0670169445153385E-7</v>
      </c>
      <c r="J93" s="14">
        <v>7.5626573970941307E-6</v>
      </c>
      <c r="K93" s="14">
        <v>0</v>
      </c>
    </row>
    <row r="94" spans="1:11">
      <c r="A94" s="2" t="s">
        <v>466</v>
      </c>
      <c r="B94" s="3" t="s">
        <v>467</v>
      </c>
      <c r="D94" s="14">
        <v>7.3342400358198904E-23</v>
      </c>
      <c r="E94" s="14">
        <v>3.5775015370408595E-5</v>
      </c>
      <c r="F94" s="14">
        <v>4.2005040071612383E-6</v>
      </c>
      <c r="G94" s="14">
        <v>5.5200104243374841E-10</v>
      </c>
      <c r="H94" s="14">
        <v>0</v>
      </c>
      <c r="I94" s="14">
        <v>1.7551091120229242E-8</v>
      </c>
      <c r="J94" s="14">
        <v>6.3775302675094334E-9</v>
      </c>
      <c r="K94" s="14">
        <v>0</v>
      </c>
    </row>
    <row r="95" spans="1:11">
      <c r="A95" s="2" t="s">
        <v>468</v>
      </c>
      <c r="B95" s="3" t="s">
        <v>469</v>
      </c>
      <c r="D95" s="14">
        <v>8.0193008559894373E-23</v>
      </c>
      <c r="E95" s="14">
        <v>3.1287376443116975E-7</v>
      </c>
      <c r="F95" s="14">
        <v>2.7804220363849713E-5</v>
      </c>
      <c r="G95" s="14">
        <v>6.8786985463562963E-6</v>
      </c>
      <c r="H95" s="14">
        <v>0</v>
      </c>
      <c r="I95" s="14">
        <v>4.3943724451900618E-7</v>
      </c>
      <c r="J95" s="14">
        <v>4.5647700808438098E-6</v>
      </c>
      <c r="K95" s="14">
        <v>0</v>
      </c>
    </row>
    <row r="96" spans="1:11">
      <c r="A96" s="2" t="s">
        <v>470</v>
      </c>
      <c r="B96" s="163">
        <v>354656</v>
      </c>
      <c r="D96" s="14">
        <v>1.4738649715403584E-14</v>
      </c>
      <c r="E96" s="14">
        <v>3.8726686329468777E-5</v>
      </c>
      <c r="F96" s="14">
        <v>3.9294513142696923E-8</v>
      </c>
      <c r="G96" s="14">
        <v>1.5199435810644335E-8</v>
      </c>
      <c r="H96" s="14">
        <v>0</v>
      </c>
      <c r="I96" s="14">
        <v>1.5059179615250253E-8</v>
      </c>
      <c r="J96" s="14">
        <v>1.2037605272239874E-6</v>
      </c>
      <c r="K96" s="14">
        <v>0</v>
      </c>
    </row>
    <row r="97" spans="1:11">
      <c r="A97" s="2" t="s">
        <v>472</v>
      </c>
      <c r="B97" s="3" t="s">
        <v>473</v>
      </c>
      <c r="D97" s="14">
        <v>2.2650095156339195E-14</v>
      </c>
      <c r="E97" s="14">
        <v>3.7243687284477928E-5</v>
      </c>
      <c r="F97" s="14">
        <v>1.673186091359414E-7</v>
      </c>
      <c r="G97" s="14">
        <v>5.8001576923789388E-8</v>
      </c>
      <c r="H97" s="14">
        <v>0</v>
      </c>
      <c r="I97" s="14">
        <v>1.7066842151808314E-8</v>
      </c>
      <c r="J97" s="14">
        <v>2.5139256646604444E-6</v>
      </c>
      <c r="K97" s="14">
        <v>0</v>
      </c>
    </row>
    <row r="98" spans="1:11">
      <c r="A98" s="2" t="s">
        <v>474</v>
      </c>
      <c r="B98" s="3" t="s">
        <v>475</v>
      </c>
      <c r="D98" s="14">
        <v>1.8585894664127695E-24</v>
      </c>
      <c r="E98" s="14">
        <v>7.3015676273522288E-7</v>
      </c>
      <c r="F98" s="14">
        <v>2.8356830440247873E-5</v>
      </c>
      <c r="G98" s="14">
        <v>5.0414241993430889E-6</v>
      </c>
      <c r="H98" s="14">
        <v>0</v>
      </c>
      <c r="I98" s="14">
        <v>3.193787474672769E-7</v>
      </c>
      <c r="J98" s="14">
        <v>5.5522098502065396E-6</v>
      </c>
      <c r="K98" s="14">
        <v>0</v>
      </c>
    </row>
    <row r="99" spans="1:11">
      <c r="A99" s="2" t="s">
        <v>476</v>
      </c>
      <c r="B99" s="3" t="s">
        <v>477</v>
      </c>
      <c r="D99" s="14">
        <v>6.9605679790742984E-12</v>
      </c>
      <c r="E99" s="14">
        <v>3.9645812239853627E-5</v>
      </c>
      <c r="F99" s="14">
        <v>3.3000376455779212E-9</v>
      </c>
      <c r="G99" s="14">
        <v>1.5346680423582911E-9</v>
      </c>
      <c r="H99" s="14">
        <v>0</v>
      </c>
      <c r="I99" s="14">
        <v>1.4591088022671632E-8</v>
      </c>
      <c r="J99" s="14">
        <v>3.347550058677897E-7</v>
      </c>
      <c r="K99" s="14">
        <v>0</v>
      </c>
    </row>
    <row r="100" spans="1:11">
      <c r="A100" s="2" t="s">
        <v>478</v>
      </c>
      <c r="B100" s="3" t="s">
        <v>479</v>
      </c>
      <c r="D100" s="14">
        <v>2.0380277993773936E-15</v>
      </c>
      <c r="E100" s="14">
        <v>1.6361485966904394E-5</v>
      </c>
      <c r="F100" s="14">
        <v>8.4000973369900434E-6</v>
      </c>
      <c r="G100" s="14">
        <v>2.0539027381980701E-6</v>
      </c>
      <c r="H100" s="14">
        <v>0</v>
      </c>
      <c r="I100" s="14">
        <v>1.3204994416295885E-7</v>
      </c>
      <c r="J100" s="14">
        <v>1.3052464011706501E-5</v>
      </c>
      <c r="K100" s="14">
        <v>0</v>
      </c>
    </row>
    <row r="101" spans="1:11">
      <c r="A101" s="2" t="s">
        <v>480</v>
      </c>
      <c r="B101" s="3" t="s">
        <v>481</v>
      </c>
      <c r="D101" s="14">
        <v>1.8727379439355984E-15</v>
      </c>
      <c r="E101" s="14">
        <v>3.9412106753729556E-5</v>
      </c>
      <c r="F101" s="14">
        <v>8.9197200657114114E-9</v>
      </c>
      <c r="G101" s="14">
        <v>3.8534238423501908E-9</v>
      </c>
      <c r="H101" s="14">
        <v>0</v>
      </c>
      <c r="I101" s="14">
        <v>1.4641015814601603E-8</v>
      </c>
      <c r="J101" s="14">
        <v>5.6047908467504832E-7</v>
      </c>
      <c r="K101" s="14">
        <v>0</v>
      </c>
    </row>
    <row r="102" spans="1:11">
      <c r="A102" s="2" t="s">
        <v>482</v>
      </c>
      <c r="B102" s="3" t="s">
        <v>483</v>
      </c>
      <c r="D102" s="14">
        <v>1.1771439811750208E-31</v>
      </c>
      <c r="E102" s="14">
        <v>3.9842100529305911E-5</v>
      </c>
      <c r="F102" s="14">
        <v>6.3665448265693387E-10</v>
      </c>
      <c r="G102" s="14">
        <v>3.3434848267468204E-10</v>
      </c>
      <c r="H102" s="14">
        <v>0</v>
      </c>
      <c r="I102" s="14">
        <v>1.4593375468480623E-8</v>
      </c>
      <c r="J102" s="14">
        <v>1.4233509226027538E-7</v>
      </c>
      <c r="K102" s="14">
        <v>0</v>
      </c>
    </row>
    <row r="103" spans="1:11">
      <c r="A103" s="2" t="s">
        <v>484</v>
      </c>
      <c r="B103" s="3" t="s">
        <v>485</v>
      </c>
      <c r="D103" s="14">
        <v>9.3888942163953046E-18</v>
      </c>
      <c r="E103" s="14">
        <v>3.9656746989049536E-5</v>
      </c>
      <c r="F103" s="14">
        <v>3.1009064246676892E-9</v>
      </c>
      <c r="G103" s="14">
        <v>1.4487192010089818E-9</v>
      </c>
      <c r="H103" s="14">
        <v>0</v>
      </c>
      <c r="I103" s="14">
        <v>1.4590089742042276E-8</v>
      </c>
      <c r="J103" s="14">
        <v>3.2411329557336232E-7</v>
      </c>
      <c r="K103" s="14">
        <v>0</v>
      </c>
    </row>
    <row r="104" spans="1:11">
      <c r="A104" s="2" t="s">
        <v>486</v>
      </c>
      <c r="B104" s="3" t="s">
        <v>487</v>
      </c>
      <c r="D104" s="14">
        <v>1.1554079242896463E-13</v>
      </c>
      <c r="E104" s="14">
        <v>3.8045910537797605E-5</v>
      </c>
      <c r="F104" s="14">
        <v>8.8106826077618116E-8</v>
      </c>
      <c r="G104" s="14">
        <v>3.2070454300481855E-8</v>
      </c>
      <c r="H104" s="14">
        <v>0</v>
      </c>
      <c r="I104" s="14">
        <v>1.5812167610142181E-8</v>
      </c>
      <c r="J104" s="14">
        <v>1.8180998986733601E-6</v>
      </c>
      <c r="K104" s="14">
        <v>0</v>
      </c>
    </row>
    <row r="105" spans="1:11">
      <c r="A105" s="2" t="s">
        <v>488</v>
      </c>
      <c r="B105" s="3" t="s">
        <v>489</v>
      </c>
      <c r="D105" s="14">
        <v>9.3617276769465959E-21</v>
      </c>
      <c r="E105" s="14">
        <v>3.981334290046746E-5</v>
      </c>
      <c r="F105" s="14">
        <v>9.028803861855366E-10</v>
      </c>
      <c r="G105" s="14">
        <v>4.6208915296887689E-10</v>
      </c>
      <c r="H105" s="14">
        <v>0</v>
      </c>
      <c r="I105" s="14">
        <v>1.4590210519129622E-8</v>
      </c>
      <c r="J105" s="14">
        <v>1.7070191947425275E-7</v>
      </c>
      <c r="K105" s="14">
        <v>0</v>
      </c>
    </row>
    <row r="106" spans="1:11">
      <c r="A106" s="2" t="s">
        <v>490</v>
      </c>
      <c r="B106" s="3" t="s">
        <v>491</v>
      </c>
      <c r="D106" s="14">
        <v>5.086525491205596E-13</v>
      </c>
      <c r="E106" s="14">
        <v>3.2960505669064275E-5</v>
      </c>
      <c r="F106" s="14">
        <v>9.3045514183518702E-7</v>
      </c>
      <c r="G106" s="14">
        <v>2.8170269094652682E-7</v>
      </c>
      <c r="H106" s="14">
        <v>0</v>
      </c>
      <c r="I106" s="14">
        <v>2.8996678005612174E-8</v>
      </c>
      <c r="J106" s="14">
        <v>5.7983393114958489E-6</v>
      </c>
      <c r="K106" s="14">
        <v>0</v>
      </c>
    </row>
    <row r="107" spans="1:11">
      <c r="A107" s="2" t="s">
        <v>492</v>
      </c>
      <c r="B107" s="3" t="s">
        <v>493</v>
      </c>
      <c r="D107" s="14">
        <v>8.7341271661460523E-21</v>
      </c>
      <c r="E107" s="14">
        <v>5.4284038693382628E-7</v>
      </c>
      <c r="F107" s="14">
        <v>2.9180566960419519E-5</v>
      </c>
      <c r="G107" s="14">
        <v>5.065114660783039E-6</v>
      </c>
      <c r="H107" s="14">
        <v>0</v>
      </c>
      <c r="I107" s="14">
        <v>3.2155621744650714E-7</v>
      </c>
      <c r="J107" s="14">
        <v>4.8899217744171027E-6</v>
      </c>
      <c r="K107" s="14">
        <v>0</v>
      </c>
    </row>
    <row r="108" spans="1:11">
      <c r="A108" s="2" t="s">
        <v>291</v>
      </c>
      <c r="B108" s="3" t="s">
        <v>494</v>
      </c>
      <c r="D108" s="14">
        <v>1.1738853629533425E-14</v>
      </c>
      <c r="E108" s="14">
        <v>1.883988849419399E-5</v>
      </c>
      <c r="F108" s="14">
        <v>6.8155342152059039E-6</v>
      </c>
      <c r="G108" s="14">
        <v>1.7099974302610845E-6</v>
      </c>
      <c r="H108" s="14">
        <v>0</v>
      </c>
      <c r="I108" s="14">
        <v>1.1158827665984043E-7</v>
      </c>
      <c r="J108" s="14">
        <v>1.2522991571940335E-5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08"/>
  <sheetViews>
    <sheetView tabSelected="1" topLeftCell="A75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3.7236572653694309E-8</v>
      </c>
      <c r="B2">
        <f>'Mass Balance'!E2</f>
        <v>3.0905997317276049E-5</v>
      </c>
      <c r="C2">
        <f>SUM('Mass Balance'!E2:H2)</f>
        <v>3.2810674384817134E-5</v>
      </c>
      <c r="D2">
        <f>Concentrations!F2/Concentrations!E2</f>
        <v>0.94563593622416298</v>
      </c>
    </row>
    <row r="3" spans="1:4">
      <c r="A3">
        <f>'Mass Balance'!I3</f>
        <v>1.6805167934709248E-6</v>
      </c>
      <c r="B3">
        <f>'Mass Balance'!E3</f>
        <v>2.5422911611911524E-8</v>
      </c>
      <c r="C3">
        <f>SUM('Mass Balance'!E3:H3)</f>
        <v>3.4994720748485943E-5</v>
      </c>
      <c r="D3">
        <f>Concentrations!F3/Concentrations!E3</f>
        <v>7.2932166972692746E-4</v>
      </c>
    </row>
    <row r="4" spans="1:4">
      <c r="A4">
        <f>'Mass Balance'!I4</f>
        <v>1.5235280165627171E-7</v>
      </c>
      <c r="B4">
        <f>'Mass Balance'!E4</f>
        <v>1.4103817593243115E-5</v>
      </c>
      <c r="C4">
        <f>SUM('Mass Balance'!E4:H4)</f>
        <v>2.6518988638353745E-5</v>
      </c>
      <c r="D4">
        <f>Concentrations!F4/Concentrations!E4</f>
        <v>0.53391987495413606</v>
      </c>
    </row>
    <row r="5" spans="1:4">
      <c r="A5">
        <f>'Mass Balance'!I5</f>
        <v>4.981593601610988E-7</v>
      </c>
      <c r="B5">
        <f>'Mass Balance'!E5</f>
        <v>2.7437813102207606E-7</v>
      </c>
      <c r="C5">
        <f>SUM('Mass Balance'!E5:H5)</f>
        <v>3.4876894969251062E-5</v>
      </c>
      <c r="D5">
        <f>Concentrations!F5/Concentrations!E5</f>
        <v>7.8978347458445244E-3</v>
      </c>
    </row>
    <row r="6" spans="1:4">
      <c r="A6">
        <f>'Mass Balance'!I6</f>
        <v>1.9601358154529726E-6</v>
      </c>
      <c r="B6">
        <f>'Mass Balance'!E6</f>
        <v>1.1386440523786159E-8</v>
      </c>
      <c r="C6">
        <f>SUM('Mass Balance'!E6:H6)</f>
        <v>3.5604977176180914E-5</v>
      </c>
      <c r="D6">
        <f>Concentrations!F6/Concentrations!E6</f>
        <v>3.2105070844138674E-4</v>
      </c>
    </row>
    <row r="7" spans="1:4">
      <c r="A7">
        <f>'Mass Balance'!I7</f>
        <v>1.7305250287519314E-6</v>
      </c>
      <c r="B7">
        <f>'Mass Balance'!E7</f>
        <v>2.2757759893104807E-8</v>
      </c>
      <c r="C7">
        <f>SUM('Mass Balance'!E7:H7)</f>
        <v>3.518533808282251E-5</v>
      </c>
      <c r="D7">
        <f>Concentrations!F7/Concentrations!E7</f>
        <v>6.4932802139476553E-4</v>
      </c>
    </row>
    <row r="8" spans="1:4">
      <c r="A8">
        <f>'Mass Balance'!I8</f>
        <v>1.3816179321872509E-6</v>
      </c>
      <c r="B8">
        <f>'Mass Balance'!E8</f>
        <v>5.0748996586949342E-8</v>
      </c>
      <c r="C8">
        <f>SUM('Mass Balance'!E8:H8)</f>
        <v>3.4736818424484963E-5</v>
      </c>
      <c r="D8">
        <f>Concentrations!F8/Concentrations!E8</f>
        <v>1.4666746427414959E-3</v>
      </c>
    </row>
    <row r="9" spans="1:4">
      <c r="A9">
        <f>'Mass Balance'!I9</f>
        <v>2.9363274589305751E-7</v>
      </c>
      <c r="B9">
        <f>'Mass Balance'!E9</f>
        <v>2.362792337816215E-6</v>
      </c>
      <c r="C9">
        <f>SUM('Mass Balance'!E9:H9)</f>
        <v>3.0813691300231595E-5</v>
      </c>
      <c r="D9">
        <f>Concentrations!F9/Concentrations!E9</f>
        <v>7.6980049987451268E-2</v>
      </c>
    </row>
    <row r="10" spans="1:4">
      <c r="A10">
        <f>'Mass Balance'!I10</f>
        <v>5.3260829335856663E-7</v>
      </c>
      <c r="B10">
        <f>'Mass Balance'!E10</f>
        <v>2.5501930930197831E-7</v>
      </c>
      <c r="C10">
        <f>SUM('Mass Balance'!E10:H10)</f>
        <v>3.4823858622616422E-5</v>
      </c>
      <c r="D10">
        <f>Concentrations!F10/Concentrations!E10</f>
        <v>7.3517805761136147E-3</v>
      </c>
    </row>
    <row r="11" spans="1:4">
      <c r="A11">
        <f>'Mass Balance'!I11</f>
        <v>5.9351838044309382E-7</v>
      </c>
      <c r="B11">
        <f>'Mass Balance'!E11</f>
        <v>2.2502754214572895E-7</v>
      </c>
      <c r="C11">
        <f>SUM('Mass Balance'!E11:H11)</f>
        <v>3.4735573300400885E-5</v>
      </c>
      <c r="D11">
        <f>Concentrations!F11/Concentrations!E11</f>
        <v>6.5036560878853986E-3</v>
      </c>
    </row>
    <row r="12" spans="1:4">
      <c r="A12">
        <f>'Mass Balance'!I12</f>
        <v>3.0728099967087504E-7</v>
      </c>
      <c r="B12">
        <f>'Mass Balance'!E12</f>
        <v>1.5162303442869499E-6</v>
      </c>
      <c r="C12">
        <f>SUM('Mass Balance'!E12:H12)</f>
        <v>3.2191062190838007E-5</v>
      </c>
      <c r="D12">
        <f>Concentrations!F12/Concentrations!E12</f>
        <v>4.7285309840487087E-2</v>
      </c>
    </row>
    <row r="13" spans="1:4">
      <c r="A13">
        <f>'Mass Balance'!I13</f>
        <v>2.9513839478535193E-7</v>
      </c>
      <c r="B13">
        <f>'Mass Balance'!E13</f>
        <v>2.2668886749600992E-6</v>
      </c>
      <c r="C13">
        <f>SUM('Mass Balance'!E13:H13)</f>
        <v>3.0945518940645388E-5</v>
      </c>
      <c r="D13">
        <f>Concentrations!F13/Concentrations!E13</f>
        <v>7.3540873690213088E-2</v>
      </c>
    </row>
    <row r="14" spans="1:4">
      <c r="A14">
        <f>'Mass Balance'!I14</f>
        <v>8.0980312958898307E-7</v>
      </c>
      <c r="B14">
        <f>'Mass Balance'!E14</f>
        <v>1.4891316604570494E-7</v>
      </c>
      <c r="C14">
        <f>SUM('Mass Balance'!E14:H14)</f>
        <v>3.4561472872422409E-5</v>
      </c>
      <c r="D14">
        <f>Concentrations!F14/Concentrations!E14</f>
        <v>4.3255089750456237E-3</v>
      </c>
    </row>
    <row r="15" spans="1:4">
      <c r="A15">
        <f>'Mass Balance'!I15</f>
        <v>5.6252178208020146E-7</v>
      </c>
      <c r="B15">
        <f>'Mass Balance'!E15</f>
        <v>2.3967524335300955E-7</v>
      </c>
      <c r="C15">
        <f>SUM('Mass Balance'!E15:H15)</f>
        <v>3.4779544971218868E-5</v>
      </c>
      <c r="D15">
        <f>Concentrations!F15/Concentrations!E15</f>
        <v>6.9182403118300574E-3</v>
      </c>
    </row>
    <row r="16" spans="1:4">
      <c r="A16">
        <f>'Mass Balance'!I16</f>
        <v>1.364399280826547E-6</v>
      </c>
      <c r="B16">
        <f>'Mass Balance'!E16</f>
        <v>5.2511861484086469E-8</v>
      </c>
      <c r="C16">
        <f>SUM('Mass Balance'!E16:H16)</f>
        <v>3.4712463103756151E-5</v>
      </c>
      <c r="D16">
        <f>Concentrations!F16/Concentrations!E16</f>
        <v>1.5186872432767799E-3</v>
      </c>
    </row>
    <row r="17" spans="1:4">
      <c r="A17">
        <f>'Mass Balance'!I17</f>
        <v>5.0948375736963195E-7</v>
      </c>
      <c r="B17">
        <f>'Mass Balance'!E17</f>
        <v>2.6781797214628198E-7</v>
      </c>
      <c r="C17">
        <f>SUM('Mass Balance'!E17:H17)</f>
        <v>3.4860482042057612E-5</v>
      </c>
      <c r="D17">
        <f>Concentrations!F17/Concentrations!E17</f>
        <v>7.7126334484831222E-3</v>
      </c>
    </row>
    <row r="18" spans="1:4">
      <c r="A18">
        <f>'Mass Balance'!I18</f>
        <v>2.8533372377355753E-7</v>
      </c>
      <c r="B18">
        <f>'Mass Balance'!E18</f>
        <v>2.8308200495408016E-6</v>
      </c>
      <c r="C18">
        <f>SUM('Mass Balance'!E18:H18)</f>
        <v>3.0122656669519753E-5</v>
      </c>
      <c r="D18">
        <f>Concentrations!F18/Concentrations!E18</f>
        <v>9.4344231965447389E-2</v>
      </c>
    </row>
    <row r="19" spans="1:4">
      <c r="A19">
        <f>'Mass Balance'!I19</f>
        <v>5.6864031287707907E-7</v>
      </c>
      <c r="B19">
        <f>'Mass Balance'!E19</f>
        <v>2.3669282361861644E-7</v>
      </c>
      <c r="C19">
        <f>SUM('Mass Balance'!E19:H19)</f>
        <v>3.4771037068862001E-5</v>
      </c>
      <c r="D19">
        <f>Concentrations!F19/Concentrations!E19</f>
        <v>6.8338243025118017E-3</v>
      </c>
    </row>
    <row r="20" spans="1:4">
      <c r="A20">
        <f>'Mass Balance'!I20</f>
        <v>2.9517773408615062E-7</v>
      </c>
      <c r="B20">
        <f>'Mass Balance'!E20</f>
        <v>2.267190830887749E-6</v>
      </c>
      <c r="C20">
        <f>SUM('Mass Balance'!E20:H20)</f>
        <v>3.0949643700756195E-5</v>
      </c>
      <c r="D20">
        <f>Concentrations!F20/Concentrations!E20</f>
        <v>7.3540873690213074E-2</v>
      </c>
    </row>
    <row r="21" spans="1:4">
      <c r="A21">
        <f>'Mass Balance'!I21</f>
        <v>7.4274638741434864E-7</v>
      </c>
      <c r="B21">
        <f>'Mass Balance'!E21</f>
        <v>1.6851168091751215E-7</v>
      </c>
      <c r="C21">
        <f>SUM('Mass Balance'!E21:H21)</f>
        <v>3.458346587176842E-5</v>
      </c>
      <c r="D21">
        <f>Concentrations!F21/Concentrations!E21</f>
        <v>4.8916779614992965E-3</v>
      </c>
    </row>
    <row r="22" spans="1:4">
      <c r="A22">
        <f>'Mass Balance'!I22</f>
        <v>8.4589567886944898E-8</v>
      </c>
      <c r="B22">
        <f>'Mass Balance'!E22</f>
        <v>2.243916858190807E-5</v>
      </c>
      <c r="C22">
        <f>SUM('Mass Balance'!E22:H22)</f>
        <v>2.8492745249801474E-5</v>
      </c>
      <c r="D22">
        <f>Concentrations!F22/Concentrations!E22</f>
        <v>0.79062187913500215</v>
      </c>
    </row>
    <row r="23" spans="1:4">
      <c r="A23">
        <f>'Mass Balance'!I23</f>
        <v>4.9261762582286094E-8</v>
      </c>
      <c r="B23">
        <f>'Mass Balance'!E23</f>
        <v>2.8383612869408085E-5</v>
      </c>
      <c r="C23">
        <f>SUM('Mass Balance'!E23:H23)</f>
        <v>3.1315674363544404E-5</v>
      </c>
      <c r="D23">
        <f>Concentrations!F23/Concentrations!E23</f>
        <v>0.90991802583642012</v>
      </c>
    </row>
    <row r="24" spans="1:4">
      <c r="A24">
        <f>'Mass Balance'!I24</f>
        <v>2.2956776217537716E-7</v>
      </c>
      <c r="B24">
        <f>'Mass Balance'!E24</f>
        <v>6.9313318655038303E-6</v>
      </c>
      <c r="C24">
        <f>SUM('Mass Balance'!E24:H24)</f>
        <v>2.7362272081118391E-5</v>
      </c>
      <c r="D24">
        <f>Concentrations!F24/Concentrations!E24</f>
        <v>0.25430851284398492</v>
      </c>
    </row>
    <row r="25" spans="1:4">
      <c r="A25">
        <f>'Mass Balance'!I25</f>
        <v>3.1373597927509965E-7</v>
      </c>
      <c r="B25">
        <f>'Mass Balance'!E25</f>
        <v>8.2498437010735718E-7</v>
      </c>
      <c r="C25">
        <f>SUM('Mass Balance'!E25:H25)</f>
        <v>3.3357776818733687E-5</v>
      </c>
      <c r="D25">
        <f>Concentrations!F25/Concentrations!E25</f>
        <v>2.4828185657071931E-2</v>
      </c>
    </row>
    <row r="26" spans="1:4">
      <c r="A26">
        <f>'Mass Balance'!I26</f>
        <v>7.000417440525209E-7</v>
      </c>
      <c r="B26">
        <f>'Mass Balance'!E26</f>
        <v>1.8269902726941308E-7</v>
      </c>
      <c r="C26">
        <f>SUM('Mass Balance'!E26:H26)</f>
        <v>3.4617354428140121E-5</v>
      </c>
      <c r="D26">
        <f>Concentrations!F26/Concentrations!E26</f>
        <v>5.2983265655727266E-3</v>
      </c>
    </row>
    <row r="27" spans="1:4">
      <c r="A27">
        <f>'Mass Balance'!I27</f>
        <v>1.6446432280722788E-6</v>
      </c>
      <c r="B27">
        <f>'Mass Balance'!E27</f>
        <v>2.7960589694193832E-8</v>
      </c>
      <c r="C27">
        <f>SUM('Mass Balance'!E27:H27)</f>
        <v>3.4976336244812611E-5</v>
      </c>
      <c r="D27">
        <f>Concentrations!F27/Concentrations!E27</f>
        <v>8.0254311530271688E-4</v>
      </c>
    </row>
    <row r="28" spans="1:4">
      <c r="A28">
        <f>'Mass Balance'!I28</f>
        <v>1.0253675292216491E-6</v>
      </c>
      <c r="B28">
        <f>'Mass Balance'!E28</f>
        <v>1.0039613983374957E-7</v>
      </c>
      <c r="C28">
        <f>SUM('Mass Balance'!E28:H28)</f>
        <v>3.4534590651971951E-5</v>
      </c>
      <c r="D28">
        <f>Concentrations!F28/Concentrations!E28</f>
        <v>2.9184957454671035E-3</v>
      </c>
    </row>
    <row r="29" spans="1:4">
      <c r="A29">
        <f>'Mass Balance'!I29</f>
        <v>7.6610478093150758E-7</v>
      </c>
      <c r="B29">
        <f>'Mass Balance'!E29</f>
        <v>1.5109634211968543E-7</v>
      </c>
      <c r="C29">
        <f>SUM('Mass Balance'!E29:H29)</f>
        <v>3.3644672741269625E-5</v>
      </c>
      <c r="D29">
        <f>Concentrations!F29/Concentrations!E29</f>
        <v>4.5085200424820797E-3</v>
      </c>
    </row>
    <row r="30" spans="1:4">
      <c r="A30">
        <f>'Mass Balance'!I30</f>
        <v>1.0253675292216491E-6</v>
      </c>
      <c r="B30">
        <f>'Mass Balance'!E30</f>
        <v>1.0039613983374957E-7</v>
      </c>
      <c r="C30">
        <f>SUM('Mass Balance'!E30:H30)</f>
        <v>3.4534590651971951E-5</v>
      </c>
      <c r="D30">
        <f>Concentrations!F30/Concentrations!E30</f>
        <v>2.9184957454671035E-3</v>
      </c>
    </row>
    <row r="31" spans="1:4">
      <c r="A31">
        <f>'Mass Balance'!I31</f>
        <v>1.483654181937237E-8</v>
      </c>
      <c r="B31">
        <f>'Mass Balance'!E31</f>
        <v>3.901700838461605E-5</v>
      </c>
      <c r="C31">
        <f>SUM('Mass Balance'!E31:H31)</f>
        <v>3.9050652895774697E-5</v>
      </c>
      <c r="D31">
        <f>Concentrations!F31/Concentrations!E31</f>
        <v>1.0030487243621815</v>
      </c>
    </row>
    <row r="32" spans="1:4">
      <c r="A32">
        <f>'Mass Balance'!I32</f>
        <v>1.255780815575869E-7</v>
      </c>
      <c r="B32">
        <f>'Mass Balance'!E32</f>
        <v>1.7326449643137597E-5</v>
      </c>
      <c r="C32">
        <f>SUM('Mass Balance'!E32:H32)</f>
        <v>2.7035918639433241E-5</v>
      </c>
      <c r="D32">
        <f>Concentrations!F32/Concentrations!E32</f>
        <v>0.64337593466145515</v>
      </c>
    </row>
    <row r="33" spans="1:4">
      <c r="A33">
        <f>'Mass Balance'!I33</f>
        <v>1.4786914080778365E-8</v>
      </c>
      <c r="B33">
        <f>'Mass Balance'!E33</f>
        <v>3.9814847613933457E-5</v>
      </c>
      <c r="C33">
        <f>SUM('Mass Balance'!E33:H33)</f>
        <v>3.9982928920758684E-5</v>
      </c>
      <c r="D33">
        <f>Concentrations!F33/Concentrations!E33</f>
        <v>0.99969337789726775</v>
      </c>
    </row>
    <row r="34" spans="1:4">
      <c r="A34">
        <f>'Mass Balance'!I34</f>
        <v>2.4915523848075317E-8</v>
      </c>
      <c r="B34">
        <f>'Mass Balance'!E34</f>
        <v>2.1891154428115994E-5</v>
      </c>
      <c r="C34">
        <f>SUM('Mass Balance'!E34:H34)</f>
        <v>3.9967303068325331E-5</v>
      </c>
      <c r="D34">
        <f>Concentrations!F34/Concentrations!E34</f>
        <v>0.54987019915558155</v>
      </c>
    </row>
    <row r="35" spans="1:4">
      <c r="A35">
        <f>'Mass Balance'!I35</f>
        <v>2.8707688330229762E-8</v>
      </c>
      <c r="B35">
        <f>'Mass Balance'!E35</f>
        <v>1.2958624710938448E-5</v>
      </c>
      <c r="C35">
        <f>SUM('Mass Balance'!E35:H35)</f>
        <v>3.9952459270760365E-5</v>
      </c>
      <c r="D35">
        <f>Concentrations!F35/Concentrations!E35</f>
        <v>0.32562051399863756</v>
      </c>
    </row>
    <row r="36" spans="1:4">
      <c r="A36">
        <f>'Mass Balance'!I36</f>
        <v>3.0757751682912618E-8</v>
      </c>
      <c r="B36">
        <f>'Mass Balance'!E36</f>
        <v>4.3223440838675761E-6</v>
      </c>
      <c r="C36">
        <f>SUM('Mass Balance'!E36:H36)</f>
        <v>3.9948194263330734E-5</v>
      </c>
      <c r="D36">
        <f>Concentrations!F36/Concentrations!E36</f>
        <v>0.10862218771257094</v>
      </c>
    </row>
    <row r="37" spans="1:4">
      <c r="A37">
        <f>'Mass Balance'!I37</f>
        <v>8.2019937358782138E-8</v>
      </c>
      <c r="B37">
        <f>'Mass Balance'!E37</f>
        <v>8.310011858941055E-6</v>
      </c>
      <c r="C37">
        <f>SUM('Mass Balance'!E37:H37)</f>
        <v>3.7093455541534391E-5</v>
      </c>
      <c r="D37">
        <f>Concentrations!F37/Concentrations!E37</f>
        <v>0.22490582970047912</v>
      </c>
    </row>
    <row r="38" spans="1:4">
      <c r="A38">
        <f>'Mass Balance'!I38</f>
        <v>2.4270143201665334E-8</v>
      </c>
      <c r="B38">
        <f>'Mass Balance'!E38</f>
        <v>2.4514444362247979E-5</v>
      </c>
      <c r="C38">
        <f>SUM('Mass Balance'!E38:H38)</f>
        <v>3.9900464815035522E-5</v>
      </c>
      <c r="D38">
        <f>Concentrations!F38/Concentrations!E38</f>
        <v>0.61679445598249316</v>
      </c>
    </row>
    <row r="39" spans="1:4">
      <c r="A39">
        <f>'Mass Balance'!I39</f>
        <v>3.2987477733871841E-7</v>
      </c>
      <c r="B39">
        <f>'Mass Balance'!E39</f>
        <v>4.1119132825558157E-7</v>
      </c>
      <c r="C39">
        <f>SUM('Mass Balance'!E39:H39)</f>
        <v>3.5281678415846581E-5</v>
      </c>
      <c r="D39">
        <f>Concentrations!F39/Concentrations!E39</f>
        <v>1.1700140373438878E-2</v>
      </c>
    </row>
    <row r="40" spans="1:4">
      <c r="A40">
        <f>'Mass Balance'!I40</f>
        <v>2.0572883774757931E-6</v>
      </c>
      <c r="B40">
        <f>'Mass Balance'!E40</f>
        <v>3.8627529227565002E-8</v>
      </c>
      <c r="C40">
        <f>SUM('Mass Balance'!E40:H40)</f>
        <v>3.7831842269875181E-5</v>
      </c>
      <c r="D40">
        <f>Concentrations!F40/Concentrations!E40</f>
        <v>1.0250281720648683E-3</v>
      </c>
    </row>
    <row r="41" spans="1:4">
      <c r="A41">
        <f>'Mass Balance'!I41</f>
        <v>1.3395041275592387E-8</v>
      </c>
      <c r="B41">
        <f>'Mass Balance'!E41</f>
        <v>3.6530606786880959E-5</v>
      </c>
      <c r="C41">
        <f>SUM('Mass Balance'!E41:H41)</f>
        <v>3.6532284991738435E-5</v>
      </c>
      <c r="D41">
        <f>Concentrations!F41/Concentrations!E41</f>
        <v>1.0038675396339611</v>
      </c>
    </row>
    <row r="42" spans="1:4">
      <c r="A42">
        <f>'Mass Balance'!I42</f>
        <v>9.5623497370586402E-8</v>
      </c>
      <c r="B42">
        <f>'Mass Balance'!E42</f>
        <v>2.0945085146439253E-5</v>
      </c>
      <c r="C42">
        <f>SUM('Mass Balance'!E42:H42)</f>
        <v>2.7997662667009715E-5</v>
      </c>
      <c r="D42">
        <f>Concentrations!F42/Concentrations!E42</f>
        <v>0.75102901537292632</v>
      </c>
    </row>
    <row r="43" spans="1:4">
      <c r="A43">
        <f>'Mass Balance'!I43</f>
        <v>6.2290809137873095E-8</v>
      </c>
      <c r="B43">
        <f>'Mass Balance'!E43</f>
        <v>3.5214682309716363E-7</v>
      </c>
      <c r="C43">
        <f>SUM('Mass Balance'!E43:H43)</f>
        <v>3.9920856692192064E-5</v>
      </c>
      <c r="D43">
        <f>Concentrations!F43/Concentrations!E43</f>
        <v>8.855646753836037E-3</v>
      </c>
    </row>
    <row r="44" spans="1:4">
      <c r="A44">
        <f>'Mass Balance'!I44</f>
        <v>2.5407598002900753E-8</v>
      </c>
      <c r="B44">
        <f>'Mass Balance'!E44</f>
        <v>3.0467294429217804E-5</v>
      </c>
      <c r="C44">
        <f>SUM('Mass Balance'!E44:H44)</f>
        <v>3.1482852996618165E-5</v>
      </c>
      <c r="D44">
        <f>Concentrations!F44/Concentrations!E44</f>
        <v>0.97152989827926495</v>
      </c>
    </row>
    <row r="45" spans="1:4">
      <c r="A45">
        <f>'Mass Balance'!I45</f>
        <v>1.0601900827779939E-7</v>
      </c>
      <c r="B45">
        <f>'Mass Balance'!E45</f>
        <v>1.9533233913955209E-5</v>
      </c>
      <c r="C45">
        <f>SUM('Mass Balance'!E45:H45)</f>
        <v>2.7543021933009774E-5</v>
      </c>
      <c r="D45">
        <f>Concentrations!F45/Concentrations!E45</f>
        <v>0.71196546040949049</v>
      </c>
    </row>
    <row r="46" spans="1:4">
      <c r="A46">
        <f>'Mass Balance'!I46</f>
        <v>9.9263350364252006E-8</v>
      </c>
      <c r="B46">
        <f>'Mass Balance'!E46</f>
        <v>2.0382409101045069E-5</v>
      </c>
      <c r="C46">
        <f>SUM('Mass Balance'!E46:H46)</f>
        <v>2.777186376598341E-5</v>
      </c>
      <c r="D46">
        <f>Concentrations!F46/Concentrations!E46</f>
        <v>0.73679530590858944</v>
      </c>
    </row>
    <row r="47" spans="1:4">
      <c r="A47">
        <f>'Mass Balance'!I47</f>
        <v>1.686388782802863E-6</v>
      </c>
      <c r="B47">
        <f>'Mass Balance'!E47</f>
        <v>2.5511743253673124E-8</v>
      </c>
      <c r="C47">
        <f>SUM('Mass Balance'!E47:H47)</f>
        <v>3.511699779308771E-5</v>
      </c>
      <c r="D47">
        <f>Concentrations!F47/Concentrations!E47</f>
        <v>7.2932166972692735E-4</v>
      </c>
    </row>
    <row r="48" spans="1:4">
      <c r="A48">
        <f>'Mass Balance'!I48</f>
        <v>1.8233060885530966E-8</v>
      </c>
      <c r="B48">
        <f>'Mass Balance'!E48</f>
        <v>3.6113328387421081E-5</v>
      </c>
      <c r="C48">
        <f>SUM('Mass Balance'!E48:H48)</f>
        <v>3.6448991793689887E-5</v>
      </c>
      <c r="D48">
        <f>Concentrations!F48/Concentrations!E48</f>
        <v>0.99466848831057531</v>
      </c>
    </row>
    <row r="49" spans="1:4">
      <c r="A49">
        <f>'Mass Balance'!I49</f>
        <v>2.1196135882015739E-8</v>
      </c>
      <c r="B49">
        <f>'Mass Balance'!E49</f>
        <v>3.4460869335295203E-5</v>
      </c>
      <c r="C49">
        <f>SUM('Mass Balance'!E49:H49)</f>
        <v>3.5052597986542881E-5</v>
      </c>
      <c r="D49">
        <f>Concentrations!F49/Concentrations!E49</f>
        <v>0.98696642602903828</v>
      </c>
    </row>
    <row r="50" spans="1:4">
      <c r="A50">
        <f>'Mass Balance'!I50</f>
        <v>2.816328778398198E-7</v>
      </c>
      <c r="B50">
        <f>'Mass Balance'!E50</f>
        <v>2.9959903290398704E-6</v>
      </c>
      <c r="C50">
        <f>SUM('Mass Balance'!E50:H50)</f>
        <v>2.9817379319280175E-5</v>
      </c>
      <c r="D50">
        <f>Concentrations!F50/Concentrations!E50</f>
        <v>0.10087122598395441</v>
      </c>
    </row>
    <row r="51" spans="1:4">
      <c r="A51">
        <f>'Mass Balance'!I51</f>
        <v>1.4129227339770865E-8</v>
      </c>
      <c r="B51">
        <f>'Mass Balance'!E51</f>
        <v>3.6125591350304604E-5</v>
      </c>
      <c r="C51">
        <f>SUM('Mass Balance'!E51:H51)</f>
        <v>3.6181657758299519E-5</v>
      </c>
      <c r="D51">
        <f>Concentrations!F51/Concentrations!E51</f>
        <v>1.002358011511207</v>
      </c>
    </row>
    <row r="52" spans="1:4">
      <c r="A52">
        <f>'Mass Balance'!I52</f>
        <v>3.4236706440009088E-8</v>
      </c>
      <c r="B52">
        <f>'Mass Balance'!E52</f>
        <v>2.8880116682534597E-5</v>
      </c>
      <c r="C52">
        <f>SUM('Mass Balance'!E52:H52)</f>
        <v>3.0616709967909366E-5</v>
      </c>
      <c r="D52">
        <f>Concentrations!F52/Concentrations!E52</f>
        <v>0.94697123184535303</v>
      </c>
    </row>
    <row r="53" spans="1:4">
      <c r="A53">
        <f>'Mass Balance'!I53</f>
        <v>1.4258200622614008E-7</v>
      </c>
      <c r="B53">
        <f>'Mass Balance'!E53</f>
        <v>1.5106635189922225E-5</v>
      </c>
      <c r="C53">
        <f>SUM('Mass Balance'!E53:H53)</f>
        <v>2.6576358632427931E-5</v>
      </c>
      <c r="D53">
        <f>Concentrations!F53/Concentrations!E53</f>
        <v>0.57064843187288905</v>
      </c>
    </row>
    <row r="54" spans="1:4">
      <c r="A54">
        <f>'Mass Balance'!I54</f>
        <v>1.5464533410435159E-6</v>
      </c>
      <c r="B54">
        <f>'Mass Balance'!E54</f>
        <v>3.56131602132323E-8</v>
      </c>
      <c r="C54">
        <f>SUM('Mass Balance'!E54:H54)</f>
        <v>3.4916742349902885E-5</v>
      </c>
      <c r="D54">
        <f>Concentrations!F54/Concentrations!E54</f>
        <v>1.0239368137133337E-3</v>
      </c>
    </row>
    <row r="55" spans="1:4">
      <c r="A55">
        <f>'Mass Balance'!I55</f>
        <v>2.0655453070369195E-7</v>
      </c>
      <c r="B55">
        <f>'Mass Balance'!E55</f>
        <v>5.4293077815330599E-6</v>
      </c>
      <c r="C55">
        <f>SUM('Mass Balance'!E55:H55)</f>
        <v>2.3986852274953787E-5</v>
      </c>
      <c r="D55">
        <f>Concentrations!F55/Concentrations!E55</f>
        <v>0.22723099168919017</v>
      </c>
    </row>
    <row r="56" spans="1:4">
      <c r="A56">
        <f>'Mass Balance'!I56</f>
        <v>1.2154145843268209E-7</v>
      </c>
      <c r="B56">
        <f>'Mass Balance'!E56</f>
        <v>6.431460855208355E-7</v>
      </c>
      <c r="C56">
        <f>SUM('Mass Balance'!E56:H56)</f>
        <v>1.2724869774673829E-5</v>
      </c>
      <c r="D56">
        <f>Concentrations!F56/Concentrations!E56</f>
        <v>5.0740255117251019E-2</v>
      </c>
    </row>
    <row r="57" spans="1:4">
      <c r="A57">
        <f>'Mass Balance'!I57</f>
        <v>5.98170405202227E-8</v>
      </c>
      <c r="B57">
        <f>'Mass Balance'!E57</f>
        <v>1.1637093364399713E-6</v>
      </c>
      <c r="C57">
        <f>SUM('Mass Balance'!E57:H57)</f>
        <v>6.6461410654271604E-6</v>
      </c>
      <c r="D57">
        <f>Concentrations!F57/Concentrations!E57</f>
        <v>0.17578075519766789</v>
      </c>
    </row>
    <row r="58" spans="1:4">
      <c r="A58">
        <f>'Mass Balance'!I58</f>
        <v>1.6106885622244201E-9</v>
      </c>
      <c r="B58">
        <f>'Mass Balance'!E58</f>
        <v>2.3665382409038239E-6</v>
      </c>
      <c r="C58">
        <f>SUM('Mass Balance'!E58:H58)</f>
        <v>2.4184877537843624E-6</v>
      </c>
      <c r="D58">
        <f>Concentrations!F58/Concentrations!E58</f>
        <v>0.98234942729794872</v>
      </c>
    </row>
    <row r="59" spans="1:4">
      <c r="A59">
        <f>'Mass Balance'!I59</f>
        <v>2.2971081691945814E-8</v>
      </c>
      <c r="B59">
        <f>'Mass Balance'!E59</f>
        <v>4.7905874636217854E-7</v>
      </c>
      <c r="C59">
        <f>SUM('Mass Balance'!E59:H59)</f>
        <v>2.5748884098082154E-6</v>
      </c>
      <c r="D59">
        <f>Concentrations!F59/Concentrations!E59</f>
        <v>0.18677843130853475</v>
      </c>
    </row>
    <row r="60" spans="1:4">
      <c r="A60">
        <f>'Mass Balance'!I60</f>
        <v>4.0106008143246517E-10</v>
      </c>
      <c r="B60">
        <f>'Mass Balance'!E60</f>
        <v>1.7910893512287816E-8</v>
      </c>
      <c r="C60">
        <f>SUM('Mass Balance'!E60:H60)</f>
        <v>5.2619380235647787E-8</v>
      </c>
      <c r="D60">
        <f>Concentrations!F60/Concentrations!E60</f>
        <v>0.34171802338874779</v>
      </c>
    </row>
    <row r="61" spans="1:4">
      <c r="A61">
        <f>'Mass Balance'!I61</f>
        <v>1.7980652998518958E-7</v>
      </c>
      <c r="B61">
        <f>'Mass Balance'!E61</f>
        <v>1.1318938873184434E-5</v>
      </c>
      <c r="C61">
        <f>SUM('Mass Balance'!E61:H61)</f>
        <v>2.6470371477888634E-5</v>
      </c>
      <c r="D61">
        <f>Concentrations!F61/Concentrations!E61</f>
        <v>0.4292813694373403</v>
      </c>
    </row>
    <row r="62" spans="1:4">
      <c r="A62">
        <f>'Mass Balance'!I62</f>
        <v>7.9475155362463112E-7</v>
      </c>
      <c r="B62">
        <f>'Mass Balance'!E62</f>
        <v>1.5312983230698353E-7</v>
      </c>
      <c r="C62">
        <f>SUM('Mass Balance'!E62:H62)</f>
        <v>3.457003258190949E-5</v>
      </c>
      <c r="D62">
        <f>Concentrations!F62/Concentrations!E62</f>
        <v>4.4468899351751282E-3</v>
      </c>
    </row>
    <row r="63" spans="1:4">
      <c r="A63">
        <f>'Mass Balance'!I63</f>
        <v>1.8996219823358095E-6</v>
      </c>
      <c r="B63">
        <f>'Mass Balance'!E63</f>
        <v>1.3936548756390968E-8</v>
      </c>
      <c r="C63">
        <f>SUM('Mass Balance'!E63:H63)</f>
        <v>3.5483805299964752E-5</v>
      </c>
      <c r="D63">
        <f>Concentrations!F63/Concentrations!E63</f>
        <v>3.942951301225698E-4</v>
      </c>
    </row>
    <row r="64" spans="1:4">
      <c r="A64">
        <f>'Mass Balance'!I64</f>
        <v>2.1652805280975972E-6</v>
      </c>
      <c r="B64">
        <f>'Mass Balance'!E64</f>
        <v>4.8297868816185901E-9</v>
      </c>
      <c r="C64">
        <f>SUM('Mass Balance'!E64:H64)</f>
        <v>3.6072627469591676E-5</v>
      </c>
      <c r="D64">
        <f>Concentrations!F64/Concentrations!E64</f>
        <v>1.3441463378141346E-4</v>
      </c>
    </row>
    <row r="65" spans="1:4">
      <c r="A65">
        <f>'Mass Balance'!I65</f>
        <v>2.3551952963690194E-6</v>
      </c>
      <c r="B65">
        <f>'Mass Balance'!E65</f>
        <v>1.3563840903642964E-9</v>
      </c>
      <c r="C65">
        <f>SUM('Mass Balance'!E65:H65)</f>
        <v>3.6591051707106711E-5</v>
      </c>
      <c r="D65">
        <f>Concentrations!F65/Concentrations!E65</f>
        <v>3.721381181810586E-5</v>
      </c>
    </row>
    <row r="66" spans="1:4">
      <c r="A66">
        <f>'Mass Balance'!I66</f>
        <v>2.2595600399830473E-6</v>
      </c>
      <c r="B66">
        <f>'Mass Balance'!E66</f>
        <v>2.8116807960993742E-9</v>
      </c>
      <c r="C66">
        <f>SUM('Mass Balance'!E66:H66)</f>
        <v>3.6319630713137644E-5</v>
      </c>
      <c r="D66">
        <f>Concentrations!F66/Concentrations!E66</f>
        <v>7.7717881346988244E-5</v>
      </c>
    </row>
    <row r="67" spans="1:4">
      <c r="A67">
        <f>'Mass Balance'!I67</f>
        <v>3.018180945538194E-8</v>
      </c>
      <c r="B67">
        <f>'Mass Balance'!E67</f>
        <v>3.2452412334717667E-5</v>
      </c>
      <c r="C67">
        <f>SUM('Mass Balance'!E67:H67)</f>
        <v>3.3769184747986882E-5</v>
      </c>
      <c r="D67">
        <f>Concentrations!F67/Concentrations!E67</f>
        <v>0.96476773687511463</v>
      </c>
    </row>
    <row r="68" spans="1:4">
      <c r="A68">
        <f>'Mass Balance'!I68</f>
        <v>4.1452398028155568E-8</v>
      </c>
      <c r="B68">
        <f>'Mass Balance'!E68</f>
        <v>2.9588522711423907E-5</v>
      </c>
      <c r="C68">
        <f>SUM('Mass Balance'!E68:H68)</f>
        <v>3.186376773619351E-5</v>
      </c>
      <c r="D68">
        <f>Concentrations!F68/Concentrations!E68</f>
        <v>0.9322288025193527</v>
      </c>
    </row>
    <row r="69" spans="1:4">
      <c r="A69">
        <f>'Mass Balance'!I69</f>
        <v>1.3379261903277156E-6</v>
      </c>
      <c r="B69">
        <f>'Mass Balance'!E69</f>
        <v>5.5228428163997702E-8</v>
      </c>
      <c r="C69">
        <f>SUM('Mass Balance'!E69:H69)</f>
        <v>3.4662061675407465E-5</v>
      </c>
      <c r="D69">
        <f>Concentrations!F69/Concentrations!E69</f>
        <v>1.5995751726402133E-3</v>
      </c>
    </row>
    <row r="70" spans="1:4">
      <c r="A70">
        <f>'Mass Balance'!I70</f>
        <v>3.1416113960006123E-7</v>
      </c>
      <c r="B70">
        <f>'Mass Balance'!E70</f>
        <v>1.0190013964338324E-6</v>
      </c>
      <c r="C70">
        <f>SUM('Mass Balance'!E70:H70)</f>
        <v>3.3186345742843416E-5</v>
      </c>
      <c r="D70">
        <f>Concentrations!F70/Concentrations!E70</f>
        <v>3.0825612024579736E-2</v>
      </c>
    </row>
    <row r="71" spans="1:4">
      <c r="A71">
        <f>'Mass Balance'!I71</f>
        <v>3.8747844941189746E-8</v>
      </c>
      <c r="B71">
        <f>'Mass Balance'!E71</f>
        <v>2.9608068039773561E-5</v>
      </c>
      <c r="C71">
        <f>SUM('Mass Balance'!E71:H71)</f>
        <v>3.1671497366348839E-5</v>
      </c>
      <c r="D71">
        <f>Concentrations!F71/Concentrations!E71</f>
        <v>0.93850769095966768</v>
      </c>
    </row>
    <row r="72" spans="1:4">
      <c r="A72">
        <f>'Mass Balance'!I72</f>
        <v>3.0833839647773979E-7</v>
      </c>
      <c r="B72">
        <f>'Mass Balance'!E72</f>
        <v>1.1773933459930206E-6</v>
      </c>
      <c r="C72">
        <f>SUM('Mass Balance'!E72:H72)</f>
        <v>3.2439056046207537E-5</v>
      </c>
      <c r="D72">
        <f>Concentrations!F72/Concentrations!E72</f>
        <v>3.6437597259925153E-2</v>
      </c>
    </row>
    <row r="73" spans="1:4">
      <c r="A73">
        <f>'Mass Balance'!I73</f>
        <v>1.8545068582156402E-7</v>
      </c>
      <c r="B73">
        <f>'Mass Balance'!E73</f>
        <v>1.0414687578493692E-5</v>
      </c>
      <c r="C73">
        <f>SUM('Mass Balance'!E73:H73)</f>
        <v>2.6185187702941414E-5</v>
      </c>
      <c r="D73">
        <f>Concentrations!F73/Concentrations!E73</f>
        <v>0.39928860591166582</v>
      </c>
    </row>
    <row r="74" spans="1:4">
      <c r="A74">
        <f>'Mass Balance'!I74</f>
        <v>3.1290710142224167E-7</v>
      </c>
      <c r="B74">
        <f>'Mass Balance'!E74</f>
        <v>1.0633795474739313E-6</v>
      </c>
      <c r="C74">
        <f>SUM('Mass Balance'!E74:H74)</f>
        <v>3.3012312375331319E-5</v>
      </c>
      <c r="D74">
        <f>Concentrations!F74/Concentrations!E74</f>
        <v>3.2337669598745421E-2</v>
      </c>
    </row>
    <row r="75" spans="1:4">
      <c r="A75">
        <f>'Mass Balance'!I75</f>
        <v>2.057544564195595E-7</v>
      </c>
      <c r="B75">
        <f>'Mass Balance'!E75</f>
        <v>1.7194678862845681E-7</v>
      </c>
      <c r="C75">
        <f>SUM('Mass Balance'!E75:H75)</f>
        <v>3.9790918171688369E-5</v>
      </c>
      <c r="D75">
        <f>Concentrations!F75/Concentrations!E75</f>
        <v>4.3381690424097374E-3</v>
      </c>
    </row>
    <row r="76" spans="1:4">
      <c r="A76">
        <f>'Mass Balance'!I76</f>
        <v>2.0575445652946062E-7</v>
      </c>
      <c r="B76">
        <f>'Mass Balance'!E76</f>
        <v>1.7194678872030001E-7</v>
      </c>
      <c r="C76">
        <f>SUM('Mass Balance'!E76:H76)</f>
        <v>3.9790918192942187E-5</v>
      </c>
      <c r="D76">
        <f>Concentrations!F76/Concentrations!E76</f>
        <v>4.3381690424097374E-3</v>
      </c>
    </row>
    <row r="77" spans="1:4">
      <c r="A77">
        <f>'Mass Balance'!I77</f>
        <v>2.6079668009758675E-7</v>
      </c>
      <c r="B77">
        <f>'Mass Balance'!E77</f>
        <v>4.023392706611434E-6</v>
      </c>
      <c r="C77">
        <f>SUM('Mass Balance'!E77:H77)</f>
        <v>2.8286134660393333E-5</v>
      </c>
      <c r="D77">
        <f>Concentrations!F77/Concentrations!E77</f>
        <v>0.14279571719987916</v>
      </c>
    </row>
    <row r="78" spans="1:4">
      <c r="A78">
        <f>'Mass Balance'!I78</f>
        <v>8.7655226055966602E-8</v>
      </c>
      <c r="B78">
        <f>'Mass Balance'!E78</f>
        <v>2.0914653775403721E-5</v>
      </c>
      <c r="C78">
        <f>SUM('Mass Balance'!E78:H78)</f>
        <v>2.7296283310341412E-5</v>
      </c>
      <c r="D78">
        <f>Concentrations!F78/Concentrations!E78</f>
        <v>0.76920752608869414</v>
      </c>
    </row>
    <row r="79" spans="1:4">
      <c r="A79">
        <f>'Mass Balance'!I79</f>
        <v>1.4487175570606881E-7</v>
      </c>
      <c r="B79">
        <f>'Mass Balance'!E79</f>
        <v>1.4675102056910173E-5</v>
      </c>
      <c r="C79">
        <f>SUM('Mass Balance'!E79:H79)</f>
        <v>2.6380217134088312E-5</v>
      </c>
      <c r="D79">
        <f>Concentrations!F79/Concentrations!E79</f>
        <v>0.5584690716502958</v>
      </c>
    </row>
    <row r="80" spans="1:4">
      <c r="A80">
        <f>'Mass Balance'!I80</f>
        <v>3.9774251922140419E-7</v>
      </c>
      <c r="B80">
        <f>'Mass Balance'!E80</f>
        <v>1.1602136777671354E-7</v>
      </c>
      <c r="C80">
        <f>SUM('Mass Balance'!E80:H80)</f>
        <v>3.9598221554400988E-5</v>
      </c>
      <c r="D80">
        <f>Concentrations!F80/Concentrations!E80</f>
        <v>2.941430979542805E-3</v>
      </c>
    </row>
    <row r="81" spans="1:4">
      <c r="A81">
        <f>'Mass Balance'!I81</f>
        <v>1.5017600819828867E-8</v>
      </c>
      <c r="B81">
        <f>'Mass Balance'!E81</f>
        <v>3.8775230042086306E-5</v>
      </c>
      <c r="C81">
        <f>SUM('Mass Balance'!E81:H81)</f>
        <v>3.8825927136305237E-5</v>
      </c>
      <c r="D81">
        <f>Concentrations!F81/Concentrations!E81</f>
        <v>1.0026027931264743</v>
      </c>
    </row>
    <row r="82" spans="1:4">
      <c r="A82">
        <f>'Mass Balance'!I82</f>
        <v>4.792553417665635E-8</v>
      </c>
      <c r="B82">
        <f>'Mass Balance'!E82</f>
        <v>2.8644789187779954E-5</v>
      </c>
      <c r="C82">
        <f>SUM('Mass Balance'!E82:H82)</f>
        <v>3.1461756107402697E-5</v>
      </c>
      <c r="D82">
        <f>Concentrations!F82/Concentrations!E82</f>
        <v>0.91402701646221429</v>
      </c>
    </row>
    <row r="83" spans="1:4">
      <c r="A83">
        <f>'Mass Balance'!I83</f>
        <v>2.5387008226350524E-7</v>
      </c>
      <c r="B83">
        <f>'Mass Balance'!E83</f>
        <v>5.0547004694375907E-6</v>
      </c>
      <c r="C83">
        <f>SUM('Mass Balance'!E83:H83)</f>
        <v>2.8287600588669115E-5</v>
      </c>
      <c r="D83">
        <f>Concentrations!F83/Concentrations!E83</f>
        <v>0.17938894525213359</v>
      </c>
    </row>
    <row r="84" spans="1:4">
      <c r="A84">
        <f>'Mass Balance'!I84</f>
        <v>1.7003605604934885E-8</v>
      </c>
      <c r="B84">
        <f>'Mass Balance'!E84</f>
        <v>3.7279186536899744E-5</v>
      </c>
      <c r="C84">
        <f>SUM('Mass Balance'!E84:H84)</f>
        <v>3.7499256075301007E-5</v>
      </c>
      <c r="D84">
        <f>Concentrations!F84/Concentrations!E84</f>
        <v>0.9980220517204107</v>
      </c>
    </row>
    <row r="85" spans="1:4">
      <c r="A85">
        <f>'Mass Balance'!I85</f>
        <v>1.4617956302418032E-8</v>
      </c>
      <c r="B85">
        <f>'Mass Balance'!E85</f>
        <v>3.9492267722203138E-5</v>
      </c>
      <c r="C85">
        <f>SUM('Mass Balance'!E85:H85)</f>
        <v>3.9501930150518816E-5</v>
      </c>
      <c r="D85">
        <f>Concentrations!F85/Concentrations!E85</f>
        <v>1.0036680932087843</v>
      </c>
    </row>
    <row r="86" spans="1:4">
      <c r="A86">
        <f>'Mass Balance'!I86</f>
        <v>1.6881538415560839E-8</v>
      </c>
      <c r="B86">
        <f>'Mass Balance'!E86</f>
        <v>3.7348834812840636E-5</v>
      </c>
      <c r="C86">
        <f>SUM('Mass Balance'!E86:H86)</f>
        <v>3.7558759522072258E-5</v>
      </c>
      <c r="D86">
        <f>Concentrations!F86/Concentrations!E86</f>
        <v>0.9983025482944875</v>
      </c>
    </row>
    <row r="87" spans="1:4">
      <c r="A87">
        <f>'Mass Balance'!I87</f>
        <v>1.7733914423027718E-6</v>
      </c>
      <c r="B87">
        <f>'Mass Balance'!E87</f>
        <v>2.0273337440994331E-8</v>
      </c>
      <c r="C87">
        <f>SUM('Mass Balance'!E87:H87)</f>
        <v>3.525634295711866E-5</v>
      </c>
      <c r="D87">
        <f>Concentrations!F87/Concentrations!E87</f>
        <v>5.7727712584221193E-4</v>
      </c>
    </row>
    <row r="88" spans="1:4">
      <c r="A88">
        <f>'Mass Balance'!I88</f>
        <v>7.4892247212634217E-8</v>
      </c>
      <c r="B88">
        <f>'Mass Balance'!E88</f>
        <v>2.3967173315899128E-5</v>
      </c>
      <c r="C88">
        <f>SUM('Mass Balance'!E88:H88)</f>
        <v>2.9147787293587562E-5</v>
      </c>
      <c r="D88">
        <f>Concentrations!F88/Concentrations!E88</f>
        <v>0.82548196091787929</v>
      </c>
    </row>
    <row r="89" spans="1:4">
      <c r="A89">
        <f>'Mass Balance'!I89</f>
        <v>5.2069799297388359E-8</v>
      </c>
      <c r="B89">
        <f>'Mass Balance'!E89</f>
        <v>2.7850544171471809E-5</v>
      </c>
      <c r="C89">
        <f>SUM('Mass Balance'!E89:H89)</f>
        <v>3.1025083214819572E-5</v>
      </c>
      <c r="D89">
        <f>Concentrations!F89/Concentrations!E89</f>
        <v>0.90119151188221702</v>
      </c>
    </row>
    <row r="90" spans="1:4">
      <c r="A90">
        <f>'Mass Balance'!I90</f>
        <v>2.3751463125875615E-8</v>
      </c>
      <c r="B90">
        <f>'Mass Balance'!E90</f>
        <v>3.4520288724262605E-5</v>
      </c>
      <c r="C90">
        <f>SUM('Mass Balance'!E90:H90)</f>
        <v>3.5296913087975674E-5</v>
      </c>
      <c r="D90">
        <f>Concentrations!F90/Concentrations!E90</f>
        <v>0.98182493204176757</v>
      </c>
    </row>
    <row r="91" spans="1:4">
      <c r="A91">
        <f>'Mass Balance'!I91</f>
        <v>8.7158059220856943E-7</v>
      </c>
      <c r="B91">
        <f>'Mass Balance'!E91</f>
        <v>1.3297234628785035E-7</v>
      </c>
      <c r="C91">
        <f>SUM('Mass Balance'!E91:H91)</f>
        <v>3.4543082197550013E-5</v>
      </c>
      <c r="D91">
        <f>Concentrations!F91/Concentrations!E91</f>
        <v>3.8645293340741379E-3</v>
      </c>
    </row>
    <row r="92" spans="1:4">
      <c r="A92">
        <f>'Mass Balance'!I92</f>
        <v>2.2813235738701059E-7</v>
      </c>
      <c r="B92">
        <f>'Mass Balance'!E92</f>
        <v>7.0488233853062666E-6</v>
      </c>
      <c r="C92">
        <f>SUM('Mass Balance'!E92:H92)</f>
        <v>2.7319658810978333E-5</v>
      </c>
      <c r="D92">
        <f>Concentrations!F92/Concentrations!E92</f>
        <v>0.25902263682185789</v>
      </c>
    </row>
    <row r="93" spans="1:4">
      <c r="A93">
        <f>'Mass Balance'!I93</f>
        <v>3.0670169445153385E-7</v>
      </c>
      <c r="B93">
        <f>'Mass Balance'!E93</f>
        <v>1.5490472540528915E-6</v>
      </c>
      <c r="C93">
        <f>SUM('Mass Balance'!E93:H93)</f>
        <v>3.2122810362805656E-5</v>
      </c>
      <c r="D93">
        <f>Concentrations!F93/Concentrations!E93</f>
        <v>4.8411383565722318E-2</v>
      </c>
    </row>
    <row r="94" spans="1:4">
      <c r="A94">
        <f>'Mass Balance'!I94</f>
        <v>1.7551091120229242E-8</v>
      </c>
      <c r="B94">
        <f>'Mass Balance'!E94</f>
        <v>3.5775015370408595E-5</v>
      </c>
      <c r="C94">
        <f>SUM('Mass Balance'!E94:H94)</f>
        <v>3.9976071378612268E-5</v>
      </c>
      <c r="D94">
        <f>Concentrations!F94/Concentrations!E94</f>
        <v>0.89841310742128699</v>
      </c>
    </row>
    <row r="95" spans="1:4">
      <c r="A95">
        <f>'Mass Balance'!I95</f>
        <v>4.3943724451900618E-7</v>
      </c>
      <c r="B95">
        <f>'Mass Balance'!E95</f>
        <v>3.1287376443116975E-7</v>
      </c>
      <c r="C95">
        <f>SUM('Mass Balance'!E95:H95)</f>
        <v>3.4995792674637178E-5</v>
      </c>
      <c r="D95">
        <f>Concentrations!F95/Concentrations!E95</f>
        <v>8.9753144885108566E-3</v>
      </c>
    </row>
    <row r="96" spans="1:4">
      <c r="A96">
        <f>'Mass Balance'!I96</f>
        <v>1.5059179615250253E-8</v>
      </c>
      <c r="B96">
        <f>'Mass Balance'!E96</f>
        <v>3.8726686329468777E-5</v>
      </c>
      <c r="C96">
        <f>SUM('Mass Balance'!E96:H96)</f>
        <v>3.8781180278422121E-5</v>
      </c>
      <c r="D96">
        <f>Concentrations!F96/Concentrations!E96</f>
        <v>1.0025029928797253</v>
      </c>
    </row>
    <row r="97" spans="1:4">
      <c r="A97">
        <f>'Mass Balance'!I97</f>
        <v>1.7066842151808314E-8</v>
      </c>
      <c r="B97">
        <f>'Mass Balance'!E97</f>
        <v>3.7243687284477928E-5</v>
      </c>
      <c r="C97">
        <f>SUM('Mass Balance'!E97:H97)</f>
        <v>3.746900747053766E-5</v>
      </c>
      <c r="D97">
        <f>Concentrations!F97/Concentrations!E97</f>
        <v>0.99787661392795624</v>
      </c>
    </row>
    <row r="98" spans="1:4">
      <c r="A98">
        <f>'Mass Balance'!I98</f>
        <v>3.193787474672769E-7</v>
      </c>
      <c r="B98">
        <f>'Mass Balance'!E98</f>
        <v>7.3015676273522288E-7</v>
      </c>
      <c r="C98">
        <f>SUM('Mass Balance'!E98:H98)</f>
        <v>3.4128411402326183E-5</v>
      </c>
      <c r="D98">
        <f>Concentrations!F98/Concentrations!E98</f>
        <v>2.1478126749584533E-2</v>
      </c>
    </row>
    <row r="99" spans="1:4">
      <c r="A99">
        <f>'Mass Balance'!I99</f>
        <v>1.4591088022671632E-8</v>
      </c>
      <c r="B99">
        <f>'Mass Balance'!E99</f>
        <v>3.9645812239853627E-5</v>
      </c>
      <c r="C99">
        <f>SUM('Mass Balance'!E99:H99)</f>
        <v>3.9650646945541566E-5</v>
      </c>
      <c r="D99">
        <f>Concentrations!F99/Concentrations!E99</f>
        <v>1.0037912472179731</v>
      </c>
    </row>
    <row r="100" spans="1:4">
      <c r="A100">
        <f>'Mass Balance'!I100</f>
        <v>1.3204994416295885E-7</v>
      </c>
      <c r="B100">
        <f>'Mass Balance'!E100</f>
        <v>1.6361485966904394E-5</v>
      </c>
      <c r="C100">
        <f>SUM('Mass Balance'!E100:H100)</f>
        <v>2.6815486042092509E-5</v>
      </c>
      <c r="D100">
        <f>Concentrations!F100/Concentrations!E100</f>
        <v>0.6125385601891854</v>
      </c>
    </row>
    <row r="101" spans="1:4">
      <c r="A101">
        <f>'Mass Balance'!I101</f>
        <v>1.4641015814601603E-8</v>
      </c>
      <c r="B101">
        <f>'Mass Balance'!E101</f>
        <v>3.9412106753729556E-5</v>
      </c>
      <c r="C101">
        <f>SUM('Mass Balance'!E101:H101)</f>
        <v>3.9424879897637615E-5</v>
      </c>
      <c r="D101">
        <f>Concentrations!F101/Concentrations!E101</f>
        <v>1.0035884021450032</v>
      </c>
    </row>
    <row r="102" spans="1:4">
      <c r="A102">
        <f>'Mass Balance'!I102</f>
        <v>1.4593375468480623E-8</v>
      </c>
      <c r="B102">
        <f>'Mass Balance'!E102</f>
        <v>3.9842100529305911E-5</v>
      </c>
      <c r="C102">
        <f>SUM('Mass Balance'!E102:H102)</f>
        <v>3.9843071532271247E-5</v>
      </c>
      <c r="D102">
        <f>Concentrations!F102/Concentrations!E102</f>
        <v>1.0038891909364551</v>
      </c>
    </row>
    <row r="103" spans="1:4">
      <c r="A103">
        <f>'Mass Balance'!I103</f>
        <v>1.4590089742042276E-8</v>
      </c>
      <c r="B103">
        <f>'Mass Balance'!E103</f>
        <v>3.9656746989049536E-5</v>
      </c>
      <c r="C103">
        <f>SUM('Mass Balance'!E103:H103)</f>
        <v>3.966129661467521E-5</v>
      </c>
      <c r="D103">
        <f>Concentrations!F103/Concentrations!E103</f>
        <v>1.0037984960831403</v>
      </c>
    </row>
    <row r="104" spans="1:4">
      <c r="A104">
        <f>'Mass Balance'!I104</f>
        <v>1.5812167610142181E-8</v>
      </c>
      <c r="B104">
        <f>'Mass Balance'!E104</f>
        <v>3.8045910537797605E-5</v>
      </c>
      <c r="C104">
        <f>SUM('Mass Balance'!E104:H104)</f>
        <v>3.8166087818175705E-5</v>
      </c>
      <c r="D104">
        <f>Concentrations!F104/Concentrations!E104</f>
        <v>1.0007525362272784</v>
      </c>
    </row>
    <row r="105" spans="1:4">
      <c r="A105">
        <f>'Mass Balance'!I105</f>
        <v>1.4590210519129622E-8</v>
      </c>
      <c r="B105">
        <f>'Mass Balance'!E105</f>
        <v>3.981334290046746E-5</v>
      </c>
      <c r="C105">
        <f>SUM('Mass Balance'!E105:H105)</f>
        <v>3.9814707870006611E-5</v>
      </c>
      <c r="D105">
        <f>Concentrations!F105/Concentrations!E105</f>
        <v>1.0038792397804066</v>
      </c>
    </row>
    <row r="106" spans="1:4">
      <c r="A106">
        <f>'Mass Balance'!I106</f>
        <v>2.8996678005612174E-8</v>
      </c>
      <c r="B106">
        <f>'Mass Balance'!E106</f>
        <v>3.2960505669064275E-5</v>
      </c>
      <c r="C106">
        <f>SUM('Mass Balance'!E106:H106)</f>
        <v>3.4172663501845992E-5</v>
      </c>
      <c r="D106">
        <f>Concentrations!F106/Concentrations!E106</f>
        <v>0.96830326910358977</v>
      </c>
    </row>
    <row r="107" spans="1:4">
      <c r="A107">
        <f>'Mass Balance'!I107</f>
        <v>3.2155621744650714E-7</v>
      </c>
      <c r="B107">
        <f>'Mass Balance'!E107</f>
        <v>5.4284038693382628E-7</v>
      </c>
      <c r="C107">
        <f>SUM('Mass Balance'!E107:H107)</f>
        <v>3.4788522008136383E-5</v>
      </c>
      <c r="D107">
        <f>Concentrations!F107/Concentrations!E107</f>
        <v>1.5665077058658026E-2</v>
      </c>
    </row>
    <row r="108" spans="1:4">
      <c r="A108">
        <f>'Mass Balance'!I108</f>
        <v>1.1158827665984043E-7</v>
      </c>
      <c r="B108">
        <f>'Mass Balance'!E108</f>
        <v>1.883988849419399E-5</v>
      </c>
      <c r="C108">
        <f>SUM('Mass Balance'!E108:H108)</f>
        <v>2.736542013966098E-5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0.77338790289947934</v>
      </c>
      <c r="M2" s="115">
        <v>2.2164626579579951</v>
      </c>
      <c r="N2" s="115">
        <v>52.90529417065656</v>
      </c>
      <c r="O2" s="115">
        <v>1.129017778412376</v>
      </c>
      <c r="P2" s="115">
        <v>1.1587984692836535</v>
      </c>
      <c r="Q2" s="111">
        <v>1.1290177784123763</v>
      </c>
      <c r="R2" s="68">
        <v>1.1587984692836535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6.3734754314296606E-4</v>
      </c>
      <c r="M3" s="115">
        <v>100.03076151612649</v>
      </c>
      <c r="N3" s="115">
        <v>3515.2940456068895</v>
      </c>
      <c r="O3" s="115">
        <v>21.20099430664601</v>
      </c>
      <c r="P3" s="115">
        <v>9.0814790422736937</v>
      </c>
      <c r="Q3" s="111">
        <v>21.20099430664601</v>
      </c>
      <c r="R3" s="68">
        <v>9.0814790422736937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0.35347438043374524</v>
      </c>
      <c r="M4" s="115">
        <v>9.0686191462066503</v>
      </c>
      <c r="N4" s="115">
        <v>302.04597550520498</v>
      </c>
      <c r="O4" s="115">
        <v>3.2554604579475503</v>
      </c>
      <c r="P4" s="115">
        <v>3.0497054010101041</v>
      </c>
      <c r="Q4" s="111">
        <v>3.2554604579475503</v>
      </c>
      <c r="R4" s="68">
        <v>3.0497054010101046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6.8782967640463573E-3</v>
      </c>
      <c r="M5" s="115">
        <v>29.652342866732074</v>
      </c>
      <c r="N5" s="115">
        <v>1033.8222253097667</v>
      </c>
      <c r="O5" s="115">
        <v>9.1060083576811248</v>
      </c>
      <c r="P5" s="115">
        <v>7.6782558827338425</v>
      </c>
      <c r="Q5" s="111">
        <v>9.1060083576811266</v>
      </c>
      <c r="R5" s="68">
        <v>7.6782558827338434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2.8545920202765898E-4</v>
      </c>
      <c r="M6" s="115">
        <v>116.67475091981979</v>
      </c>
      <c r="N6" s="115">
        <v>4108.5100434547094</v>
      </c>
      <c r="O6" s="115">
        <v>24.074197092778054</v>
      </c>
      <c r="P6" s="115">
        <v>9.5365064493774412</v>
      </c>
      <c r="Q6" s="111">
        <v>24.074197092778054</v>
      </c>
      <c r="R6" s="68">
        <v>9.5365064493774412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5.7053366939741165E-4</v>
      </c>
      <c r="M7" s="115">
        <v>103.00744218761497</v>
      </c>
      <c r="N7" s="115">
        <v>3620.97796554772</v>
      </c>
      <c r="O7" s="115">
        <v>21.727265189928822</v>
      </c>
      <c r="P7" s="115">
        <v>9.1789490722759908</v>
      </c>
      <c r="Q7" s="111">
        <v>21.727265189928822</v>
      </c>
      <c r="R7" s="68">
        <v>9.1789490722759908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1.2722538796993267E-3</v>
      </c>
      <c r="M8" s="115">
        <v>82.239162630193519</v>
      </c>
      <c r="N8" s="115">
        <v>2884.588254054217</v>
      </c>
      <c r="O8" s="115">
        <v>18.147314310813627</v>
      </c>
      <c r="P8" s="115">
        <v>8.6805371176706547</v>
      </c>
      <c r="Q8" s="111">
        <v>18.147314310813627</v>
      </c>
      <c r="R8" s="68">
        <v>8.6805371176706547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5.9229179695858412E-2</v>
      </c>
      <c r="M9" s="115">
        <v>17.47813963649152</v>
      </c>
      <c r="N9" s="115">
        <v>604.11820708722462</v>
      </c>
      <c r="O9" s="115">
        <v>6.3475767480393088</v>
      </c>
      <c r="P9" s="115">
        <v>6.2310906945436964</v>
      </c>
      <c r="Q9" s="111">
        <v>6.3475767480393088</v>
      </c>
      <c r="R9" s="68">
        <v>6.2310906945436972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6.3930087437484382E-3</v>
      </c>
      <c r="M10" s="115">
        <v>31.702874604676587</v>
      </c>
      <c r="N10" s="115">
        <v>1105.6799546332486</v>
      </c>
      <c r="O10" s="115">
        <v>9.4566154642161191</v>
      </c>
      <c r="P10" s="115">
        <v>7.7089131252046617</v>
      </c>
      <c r="Q10" s="111">
        <v>9.4566154642161209</v>
      </c>
      <c r="R10" s="68">
        <v>7.7089131252046617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5.6411708417821622E-3</v>
      </c>
      <c r="M11" s="115">
        <v>35.32847502637464</v>
      </c>
      <c r="N11" s="115">
        <v>1232.7983590364506</v>
      </c>
      <c r="O11" s="115">
        <v>10.076225583137182</v>
      </c>
      <c r="P11" s="115">
        <v>7.7635975413733807</v>
      </c>
      <c r="Q11" s="111">
        <v>10.076225583137182</v>
      </c>
      <c r="R11" s="68">
        <v>7.7635975413733815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3.8008506394658741E-2</v>
      </c>
      <c r="M12" s="115">
        <v>18.290535694694942</v>
      </c>
      <c r="N12" s="115">
        <v>633.6093171822132</v>
      </c>
      <c r="O12" s="115">
        <v>6.7237926308322891</v>
      </c>
      <c r="P12" s="115">
        <v>6.685185705791489</v>
      </c>
      <c r="Q12" s="111">
        <v>6.7237926308322891</v>
      </c>
      <c r="R12" s="68">
        <v>6.685185705791489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5.6825195539928208E-2</v>
      </c>
      <c r="M13" s="115">
        <v>17.567761594366189</v>
      </c>
      <c r="N13" s="115">
        <v>607.36052776010888</v>
      </c>
      <c r="O13" s="115">
        <v>6.3871355877262834</v>
      </c>
      <c r="P13" s="115">
        <v>6.2774749607802258</v>
      </c>
      <c r="Q13" s="111">
        <v>6.3871355877262834</v>
      </c>
      <c r="R13" s="68">
        <v>6.2774749607802258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3.7331094451439431E-3</v>
      </c>
      <c r="M14" s="115">
        <v>48.202567237439474</v>
      </c>
      <c r="N14" s="115">
        <v>1684.8043232462323</v>
      </c>
      <c r="O14" s="115">
        <v>12.284342304792816</v>
      </c>
      <c r="P14" s="115">
        <v>7.9820989883838411</v>
      </c>
      <c r="Q14" s="111">
        <v>12.284342304792817</v>
      </c>
      <c r="R14" s="68">
        <v>7.9820989883838411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6.0083619113646073E-3</v>
      </c>
      <c r="M15" s="115">
        <v>33.483439409535805</v>
      </c>
      <c r="N15" s="115">
        <v>1168.0987198699711</v>
      </c>
      <c r="O15" s="115">
        <v>9.760944325239743</v>
      </c>
      <c r="P15" s="115">
        <v>7.7356654150223161</v>
      </c>
      <c r="Q15" s="111">
        <v>9.760944325239743</v>
      </c>
      <c r="R15" s="68">
        <v>7.7356654150223161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1.3164473334078631E-3</v>
      </c>
      <c r="M16" s="115">
        <v>81.214242906342093</v>
      </c>
      <c r="N16" s="115">
        <v>2848.3528282147672</v>
      </c>
      <c r="O16" s="115">
        <v>17.969542089312192</v>
      </c>
      <c r="P16" s="115">
        <v>8.6556009322544512</v>
      </c>
      <c r="Q16" s="111">
        <v>17.969542089312192</v>
      </c>
      <c r="R16" s="68">
        <v>8.6556009322544512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6.713846487516213E-3</v>
      </c>
      <c r="M17" s="115">
        <v>30.326414129144766</v>
      </c>
      <c r="N17" s="115">
        <v>1057.440861448277</v>
      </c>
      <c r="O17" s="115">
        <v>9.2214239153139026</v>
      </c>
      <c r="P17" s="115">
        <v>7.688574346808231</v>
      </c>
      <c r="Q17" s="111">
        <v>9.2214239153139026</v>
      </c>
      <c r="R17" s="68">
        <v>7.688574346808231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7.0960979911485922E-2</v>
      </c>
      <c r="M18" s="115">
        <v>16.984150224616521</v>
      </c>
      <c r="N18" s="115">
        <v>586.36580252418867</v>
      </c>
      <c r="O18" s="115">
        <v>6.138888151669371</v>
      </c>
      <c r="P18" s="115">
        <v>5.9939454250234716</v>
      </c>
      <c r="Q18" s="111">
        <v>6.138888151669371</v>
      </c>
      <c r="R18" s="68">
        <v>5.9939454250234716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5.9335981698650127E-3</v>
      </c>
      <c r="M19" s="115">
        <v>33.847637671254709</v>
      </c>
      <c r="N19" s="115">
        <v>1180.8682926402942</v>
      </c>
      <c r="O19" s="115">
        <v>9.8232209265218877</v>
      </c>
      <c r="P19" s="115">
        <v>7.741227885173636</v>
      </c>
      <c r="Q19" s="111">
        <v>9.8232209265218877</v>
      </c>
      <c r="R19" s="68">
        <v>7.741227885173636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5.6832769828803489E-2</v>
      </c>
      <c r="M20" s="115">
        <v>17.570103219413728</v>
      </c>
      <c r="N20" s="115">
        <v>607.44148347077532</v>
      </c>
      <c r="O20" s="115">
        <v>6.3879869356110959</v>
      </c>
      <c r="P20" s="115">
        <v>6.278311691887061</v>
      </c>
      <c r="Q20" s="111">
        <v>6.3879869356110959</v>
      </c>
      <c r="R20" s="68">
        <v>6.278311691887061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4.2244140098883047E-3</v>
      </c>
      <c r="M21" s="115">
        <v>44.211094488949328</v>
      </c>
      <c r="N21" s="115">
        <v>1544.5656837898869</v>
      </c>
      <c r="O21" s="115">
        <v>11.597273473622916</v>
      </c>
      <c r="P21" s="115">
        <v>7.9083130957949663</v>
      </c>
      <c r="Q21" s="111">
        <v>11.597273473622918</v>
      </c>
      <c r="R21" s="68">
        <v>7.9083130957949672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0.56217106197149969</v>
      </c>
      <c r="M22" s="115">
        <v>5.0350933266038638</v>
      </c>
      <c r="N22" s="115">
        <v>156.33748901782528</v>
      </c>
      <c r="O22" s="115">
        <v>1.9595369946076111</v>
      </c>
      <c r="P22" s="115">
        <v>1.8636263556336063</v>
      </c>
      <c r="Q22" s="111">
        <v>1.9595369946076111</v>
      </c>
      <c r="R22" s="68">
        <v>1.8636263556336063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0.71063914586601362</v>
      </c>
      <c r="M23" s="115">
        <v>2.932247772755125</v>
      </c>
      <c r="N23" s="115">
        <v>79.411618171025808</v>
      </c>
      <c r="O23" s="115">
        <v>1.3310195356873158</v>
      </c>
      <c r="P23" s="115">
        <v>1.32354732927104</v>
      </c>
      <c r="Q23" s="111">
        <v>1.3310195356873158</v>
      </c>
      <c r="R23" s="68">
        <v>1.32354732927104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0.17373999267443305</v>
      </c>
      <c r="M24" s="115">
        <v>13.664747748534356</v>
      </c>
      <c r="N24" s="115">
        <v>467.0819277075064</v>
      </c>
      <c r="O24" s="115">
        <v>4.8524903728569821</v>
      </c>
      <c r="P24" s="115">
        <v>4.6153400340317576</v>
      </c>
      <c r="Q24" s="111">
        <v>4.8524903728569821</v>
      </c>
      <c r="R24" s="68">
        <v>4.6153400340317576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2.0680775879384751E-2</v>
      </c>
      <c r="M25" s="115">
        <v>18.674760671136887</v>
      </c>
      <c r="N25" s="115">
        <v>648.36877537577413</v>
      </c>
      <c r="O25" s="115">
        <v>6.983961612189356</v>
      </c>
      <c r="P25" s="115">
        <v>7.0602666326760541</v>
      </c>
      <c r="Q25" s="111">
        <v>6.983961612189356</v>
      </c>
      <c r="R25" s="68">
        <v>7.0602666326760541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4.5800679207166246E-3</v>
      </c>
      <c r="M26" s="115">
        <v>41.669151431697678</v>
      </c>
      <c r="N26" s="115">
        <v>1455.3002570651067</v>
      </c>
      <c r="O26" s="115">
        <v>11.161461436916762</v>
      </c>
      <c r="P26" s="115">
        <v>7.8651900511269037</v>
      </c>
      <c r="Q26" s="111">
        <v>11.161461436916763</v>
      </c>
      <c r="R26" s="68">
        <v>7.8651900511269046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7.0096565293771616E-4</v>
      </c>
      <c r="M27" s="115">
        <v>97.895430242397566</v>
      </c>
      <c r="N27" s="115">
        <v>3439.4000837816379</v>
      </c>
      <c r="O27" s="115">
        <v>20.837486294588349</v>
      </c>
      <c r="P27" s="115">
        <v>9.0356893424422626</v>
      </c>
      <c r="Q27" s="111">
        <v>20.837486294588349</v>
      </c>
      <c r="R27" s="68">
        <v>9.0356893424422644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2.5168543207773736E-3</v>
      </c>
      <c r="M28" s="115">
        <v>61.033781501288637</v>
      </c>
      <c r="N28" s="115">
        <v>2136.2564439780963</v>
      </c>
      <c r="O28" s="115">
        <v>14.491675475605154</v>
      </c>
      <c r="P28" s="115">
        <v>8.2268228717580758</v>
      </c>
      <c r="Q28" s="111">
        <v>14.491675475605156</v>
      </c>
      <c r="R28" s="68">
        <v>8.2268228717580758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3.7878361952188148E-3</v>
      </c>
      <c r="M29" s="115">
        <v>45.601475055446883</v>
      </c>
      <c r="N29" s="115">
        <v>1593.6403659820601</v>
      </c>
      <c r="O29" s="115">
        <v>11.730115840000474</v>
      </c>
      <c r="P29" s="115">
        <v>7.7444629894586381</v>
      </c>
      <c r="Q29" s="111">
        <v>11.730115840000474</v>
      </c>
      <c r="R29" s="68">
        <v>7.744462989458639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2.5168543207773736E-3</v>
      </c>
      <c r="M30" s="115">
        <v>61.033781501288637</v>
      </c>
      <c r="N30" s="115">
        <v>2136.2564439780963</v>
      </c>
      <c r="O30" s="115">
        <v>14.491675475605154</v>
      </c>
      <c r="P30" s="115">
        <v>8.2268228717580758</v>
      </c>
      <c r="Q30" s="111">
        <v>14.491675475605156</v>
      </c>
      <c r="R30" s="68">
        <v>8.2268228717580758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0.97278712429973857</v>
      </c>
      <c r="M31" s="115">
        <v>0.88312748924835538</v>
      </c>
      <c r="N31" s="115">
        <v>1.139909407765072</v>
      </c>
      <c r="O31" s="115">
        <v>0.81338180386161019</v>
      </c>
      <c r="P31" s="115">
        <v>0.94139494090125808</v>
      </c>
      <c r="Q31" s="111">
        <v>0.8133818038616103</v>
      </c>
      <c r="R31" s="68">
        <v>0.94139494090125819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0.43814139637231841</v>
      </c>
      <c r="M32" s="115">
        <v>7.4748858069992208</v>
      </c>
      <c r="N32" s="115">
        <v>242.34421665965257</v>
      </c>
      <c r="O32" s="115">
        <v>2.4815461300715982</v>
      </c>
      <c r="P32" s="115">
        <v>2.2794608274765578</v>
      </c>
      <c r="Q32" s="111">
        <v>2.4815461300715986</v>
      </c>
      <c r="R32" s="68">
        <v>2.2794608274765578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0.99257964515914965</v>
      </c>
      <c r="M33" s="115">
        <v>0.88017345718918838</v>
      </c>
      <c r="N33" s="115">
        <v>0.59114290949344539</v>
      </c>
      <c r="O33" s="115">
        <v>0.84194195778976066</v>
      </c>
      <c r="P33" s="115">
        <v>0.98976657600901108</v>
      </c>
      <c r="Q33" s="111">
        <v>0.84194195778976078</v>
      </c>
      <c r="R33" s="68">
        <v>0.98976657600901108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0.54837813308500361</v>
      </c>
      <c r="M34" s="115">
        <v>1.4830668957187689</v>
      </c>
      <c r="N34" s="115">
        <v>44.993713516594383</v>
      </c>
      <c r="O34" s="115">
        <v>2.6257086116007384</v>
      </c>
      <c r="P34" s="115">
        <v>4.2925522004115937</v>
      </c>
      <c r="Q34" s="111">
        <v>2.6257086116007384</v>
      </c>
      <c r="R34" s="68">
        <v>4.2925522004115937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0.3249821095448639</v>
      </c>
      <c r="M35" s="115">
        <v>1.7087909720374861</v>
      </c>
      <c r="N35" s="115">
        <v>63.662888513813591</v>
      </c>
      <c r="O35" s="115">
        <v>3.505319920048497</v>
      </c>
      <c r="P35" s="115">
        <v>5.9331646339286879</v>
      </c>
      <c r="Q35" s="111">
        <v>3.5053199200484975</v>
      </c>
      <c r="R35" s="68">
        <v>5.9331646339286879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0.10848592688204314</v>
      </c>
      <c r="M36" s="115">
        <v>1.830818552554323</v>
      </c>
      <c r="N36" s="115">
        <v>77.355300724626474</v>
      </c>
      <c r="O36" s="115">
        <v>4.3456596283126752</v>
      </c>
      <c r="P36" s="115">
        <v>7.5169957071963989</v>
      </c>
      <c r="Q36" s="111">
        <v>4.3456596283126752</v>
      </c>
      <c r="R36" s="68">
        <v>7.5169957071963989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0.20835173476529234</v>
      </c>
      <c r="M37" s="115">
        <v>4.8821391284989373</v>
      </c>
      <c r="N37" s="115">
        <v>174.63739736672107</v>
      </c>
      <c r="O37" s="115">
        <v>4.093320466730284</v>
      </c>
      <c r="P37" s="115">
        <v>6.1155420275678267</v>
      </c>
      <c r="Q37" s="111">
        <v>4.093320466730284</v>
      </c>
      <c r="R37" s="68">
        <v>6.1155420275678267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0.61384746200507134</v>
      </c>
      <c r="M38" s="115">
        <v>1.444651381051508</v>
      </c>
      <c r="N38" s="115">
        <v>40.289368571455526</v>
      </c>
      <c r="O38" s="115">
        <v>2.3638248935078998</v>
      </c>
      <c r="P38" s="115">
        <v>3.7944244101216924</v>
      </c>
      <c r="Q38" s="111">
        <v>2.3638248935078998</v>
      </c>
      <c r="R38" s="68">
        <v>3.7944244101216924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1.0307903325665911E-2</v>
      </c>
      <c r="M39" s="115">
        <v>19.635403413018953</v>
      </c>
      <c r="N39" s="115">
        <v>683.18813937839627</v>
      </c>
      <c r="O39" s="115">
        <v>7.4024820018271127</v>
      </c>
      <c r="P39" s="115">
        <v>7.5515619599406341</v>
      </c>
      <c r="Q39" s="111">
        <v>7.4024820018271127</v>
      </c>
      <c r="R39" s="68">
        <v>7.5515619599406349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9.6977998496208492E-4</v>
      </c>
      <c r="M40" s="115">
        <v>122.45764151641626</v>
      </c>
      <c r="N40" s="115">
        <v>5385.4275573711129</v>
      </c>
      <c r="O40" s="115">
        <v>19.008178791288103</v>
      </c>
      <c r="P40" s="115">
        <v>12.464493196938918</v>
      </c>
      <c r="Q40" s="111">
        <v>19.008178791288103</v>
      </c>
      <c r="R40" s="68">
        <v>12.464493196938918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0.91061678137746926</v>
      </c>
      <c r="M41" s="115">
        <v>0.79732388545192789</v>
      </c>
      <c r="N41" s="115">
        <v>6.4427793352663354E-2</v>
      </c>
      <c r="O41" s="115">
        <v>0.75280727517529789</v>
      </c>
      <c r="P41" s="115">
        <v>0.87476652521139175</v>
      </c>
      <c r="Q41" s="111">
        <v>0.75280727517529789</v>
      </c>
      <c r="R41" s="68">
        <v>0.87476652521139175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0.52479057550525154</v>
      </c>
      <c r="M42" s="115">
        <v>5.6918748434872866</v>
      </c>
      <c r="N42" s="115">
        <v>180.12686945345473</v>
      </c>
      <c r="O42" s="115">
        <v>2.1643727113825566</v>
      </c>
      <c r="P42" s="115">
        <v>2.0458683666941564</v>
      </c>
      <c r="Q42" s="111">
        <v>2.1643727113825566</v>
      </c>
      <c r="R42" s="68">
        <v>2.0458683666941564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8.8414818643681309E-3</v>
      </c>
      <c r="M43" s="115">
        <v>3.707786258206732</v>
      </c>
      <c r="N43" s="115">
        <v>164.36944680532395</v>
      </c>
      <c r="O43" s="115">
        <v>4.9462912524753433</v>
      </c>
      <c r="P43" s="115">
        <v>8.3133337385264738</v>
      </c>
      <c r="Q43" s="111">
        <v>4.9462912524753433</v>
      </c>
      <c r="R43" s="68">
        <v>8.3133337385264756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0.76183355277681286</v>
      </c>
      <c r="M44" s="115">
        <v>1.5123570239821877</v>
      </c>
      <c r="N44" s="115">
        <v>29.059642052838974</v>
      </c>
      <c r="O44" s="115">
        <v>0.89499080946844789</v>
      </c>
      <c r="P44" s="115">
        <v>0.95306455175945304</v>
      </c>
      <c r="Q44" s="111">
        <v>0.89499080946844789</v>
      </c>
      <c r="R44" s="68">
        <v>0.95306455175945315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0.48945183500094214</v>
      </c>
      <c r="M45" s="115">
        <v>6.3106552546309169</v>
      </c>
      <c r="N45" s="115">
        <v>202.55852311130005</v>
      </c>
      <c r="O45" s="115">
        <v>2.3589873226480353</v>
      </c>
      <c r="P45" s="115">
        <v>2.220793551206635</v>
      </c>
      <c r="Q45" s="111">
        <v>2.3589873226480353</v>
      </c>
      <c r="R45" s="68">
        <v>2.220793551206635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0.51070717073857796</v>
      </c>
      <c r="M46" s="115">
        <v>5.9085327597769055</v>
      </c>
      <c r="N46" s="115">
        <v>188.03205183894443</v>
      </c>
      <c r="O46" s="115">
        <v>2.2315689498167686</v>
      </c>
      <c r="P46" s="115">
        <v>2.1058610625454599</v>
      </c>
      <c r="Q46" s="111">
        <v>2.231568949816769</v>
      </c>
      <c r="R46" s="68">
        <v>2.1058610625454603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6.3957453545188711E-4</v>
      </c>
      <c r="M47" s="115">
        <v>100.3802846906466</v>
      </c>
      <c r="N47" s="115">
        <v>3527.5770345151977</v>
      </c>
      <c r="O47" s="115">
        <v>21.275073906968231</v>
      </c>
      <c r="P47" s="115">
        <v>9.113211154836705</v>
      </c>
      <c r="Q47" s="111">
        <v>21.275073906968231</v>
      </c>
      <c r="R47" s="68">
        <v>9.113211154836705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0.90157574778997918</v>
      </c>
      <c r="M48" s="115">
        <v>1.0853012431863671</v>
      </c>
      <c r="N48" s="115">
        <v>10.204785677674433</v>
      </c>
      <c r="O48" s="115">
        <v>0.83562998342363271</v>
      </c>
      <c r="P48" s="115">
        <v>0.9386374573027445</v>
      </c>
      <c r="Q48" s="111">
        <v>0.83562998342363271</v>
      </c>
      <c r="R48" s="68">
        <v>0.93863745730274462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0.86094292936986538</v>
      </c>
      <c r="M49" s="115">
        <v>1.2616747548818892</v>
      </c>
      <c r="N49" s="115">
        <v>17.47682751559573</v>
      </c>
      <c r="O49" s="115">
        <v>0.86873979450628058</v>
      </c>
      <c r="P49" s="115">
        <v>0.95549184002239507</v>
      </c>
      <c r="Q49" s="111">
        <v>0.86873979450628069</v>
      </c>
      <c r="R49" s="68">
        <v>0.95549184002239507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7.5101173819500516E-2</v>
      </c>
      <c r="M50" s="115">
        <v>16.763861776179752</v>
      </c>
      <c r="N50" s="115">
        <v>578.5178694470892</v>
      </c>
      <c r="O50" s="115">
        <v>6.0501004500824704</v>
      </c>
      <c r="P50" s="115">
        <v>5.8967971489518698</v>
      </c>
      <c r="Q50" s="111">
        <v>6.0501004500824704</v>
      </c>
      <c r="R50" s="68">
        <v>5.8967971489518707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0.90082986000810383</v>
      </c>
      <c r="M51" s="115">
        <v>0.84102543689112308</v>
      </c>
      <c r="N51" s="115">
        <v>1.8504243549168777</v>
      </c>
      <c r="O51" s="115">
        <v>0.76015138804691396</v>
      </c>
      <c r="P51" s="115">
        <v>0.87715800156415347</v>
      </c>
      <c r="Q51" s="111">
        <v>0.76015138804691407</v>
      </c>
      <c r="R51" s="68">
        <v>0.87715800156415347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0.7226724057370697</v>
      </c>
      <c r="M52" s="115">
        <v>2.0378991928576839</v>
      </c>
      <c r="N52" s="115">
        <v>48.294237610649915</v>
      </c>
      <c r="O52" s="115">
        <v>1.0441650843189441</v>
      </c>
      <c r="P52" s="115">
        <v>1.0733537794101884</v>
      </c>
      <c r="Q52" s="111">
        <v>1.0441650843189441</v>
      </c>
      <c r="R52" s="68">
        <v>1.0733537794101884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0.3785962705610762</v>
      </c>
      <c r="M53" s="115">
        <v>8.4870241801273867</v>
      </c>
      <c r="N53" s="115">
        <v>281.1539002462676</v>
      </c>
      <c r="O53" s="115">
        <v>3.0623113404410001</v>
      </c>
      <c r="P53" s="115">
        <v>2.8681352878827568</v>
      </c>
      <c r="Q53" s="111">
        <v>3.0623113404410001</v>
      </c>
      <c r="R53" s="68">
        <v>2.8681352878827568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8.9281056043963617E-4</v>
      </c>
      <c r="M54" s="115">
        <v>92.05079410973309</v>
      </c>
      <c r="N54" s="115">
        <v>3231.9667521491247</v>
      </c>
      <c r="O54" s="115">
        <v>19.839123959295769</v>
      </c>
      <c r="P54" s="115">
        <v>8.9088454074328496</v>
      </c>
      <c r="Q54" s="111">
        <v>19.839123959295772</v>
      </c>
      <c r="R54" s="68">
        <v>8.9088454074328496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0.13609175756795674</v>
      </c>
      <c r="M55" s="115">
        <v>12.294912541886427</v>
      </c>
      <c r="N55" s="115">
        <v>420.99877583917942</v>
      </c>
      <c r="O55" s="115">
        <v>4.3713792917346321</v>
      </c>
      <c r="P55" s="115">
        <v>4.1698999726031127</v>
      </c>
      <c r="Q55" s="111">
        <v>4.3713792917346321</v>
      </c>
      <c r="R55" s="68">
        <v>4.1698999726031136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1.6122209099324228E-2</v>
      </c>
      <c r="M56" s="115">
        <v>7.2346106209929824</v>
      </c>
      <c r="N56" s="115">
        <v>250.54515084901604</v>
      </c>
      <c r="O56" s="115">
        <v>2.6547067784187615</v>
      </c>
      <c r="P56" s="115">
        <v>2.6346197462444643</v>
      </c>
      <c r="Q56" s="111">
        <v>2.6547067784187615</v>
      </c>
      <c r="R56" s="68">
        <v>2.6346197462444647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2.9170215652536618E-2</v>
      </c>
      <c r="M57" s="115">
        <v>3.5605381262037326</v>
      </c>
      <c r="N57" s="115">
        <v>122.30969682339799</v>
      </c>
      <c r="O57" s="115">
        <v>1.2707552324056659</v>
      </c>
      <c r="P57" s="115">
        <v>1.2204154322782119</v>
      </c>
      <c r="Q57" s="111">
        <v>1.2707552324056659</v>
      </c>
      <c r="R57" s="68">
        <v>1.2204154322782119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5.9142572357364843E-2</v>
      </c>
      <c r="M58" s="115">
        <v>9.5874319180025022E-2</v>
      </c>
      <c r="N58" s="115">
        <v>1.5165261297617203</v>
      </c>
      <c r="O58" s="115">
        <v>6.2596727483146528E-2</v>
      </c>
      <c r="P58" s="115">
        <v>6.8106697066987756E-2</v>
      </c>
      <c r="Q58" s="111">
        <v>6.2596727483146528E-2</v>
      </c>
      <c r="R58" s="68">
        <v>6.810669706698777E-2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1.2008320229139472E-2</v>
      </c>
      <c r="M59" s="115">
        <v>1.367326291187251</v>
      </c>
      <c r="N59" s="115">
        <v>46.938060957579026</v>
      </c>
      <c r="O59" s="115">
        <v>0.48750842451549831</v>
      </c>
      <c r="P59" s="115">
        <v>0.46744408175503993</v>
      </c>
      <c r="Q59" s="111">
        <v>0.48750842451549831</v>
      </c>
      <c r="R59" s="68">
        <v>0.46744408175503993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4.4893687636181074E-4</v>
      </c>
      <c r="M60" s="115">
        <v>2.3872623894789599E-2</v>
      </c>
      <c r="N60" s="115">
        <v>0.81091180505243865</v>
      </c>
      <c r="O60" s="115">
        <v>8.4681602060831581E-3</v>
      </c>
      <c r="P60" s="115">
        <v>7.995514885624732E-3</v>
      </c>
      <c r="Q60" s="111">
        <v>8.4681602060831581E-3</v>
      </c>
      <c r="R60" s="68">
        <v>7.9955148856247337E-3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0.28369750927132287</v>
      </c>
      <c r="M61" s="115">
        <v>10.702769641975571</v>
      </c>
      <c r="N61" s="115">
        <v>360.7963086255624</v>
      </c>
      <c r="O61" s="115">
        <v>3.8072244498523222</v>
      </c>
      <c r="P61" s="115">
        <v>3.577215474245782</v>
      </c>
      <c r="Q61" s="111">
        <v>3.8072244498523227</v>
      </c>
      <c r="R61" s="68">
        <v>3.577215474245782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3.838814926454544E-3</v>
      </c>
      <c r="M62" s="115">
        <v>47.306640096704243</v>
      </c>
      <c r="N62" s="115">
        <v>1653.3171772736835</v>
      </c>
      <c r="O62" s="115">
        <v>12.130623317343522</v>
      </c>
      <c r="P62" s="115">
        <v>7.9663004087158749</v>
      </c>
      <c r="Q62" s="111">
        <v>12.130623317343522</v>
      </c>
      <c r="R62" s="68">
        <v>7.9663004087158749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3.4938968450684218E-4</v>
      </c>
      <c r="M63" s="115">
        <v>113.0727370437982</v>
      </c>
      <c r="N63" s="115">
        <v>3979.7116781240729</v>
      </c>
      <c r="O63" s="115">
        <v>23.456879082674746</v>
      </c>
      <c r="P63" s="115">
        <v>9.4396250185338868</v>
      </c>
      <c r="Q63" s="111">
        <v>23.45687908267475</v>
      </c>
      <c r="R63" s="68">
        <v>9.4396250185338868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1.2108463520390284E-4</v>
      </c>
      <c r="M64" s="115">
        <v>128.88574572009509</v>
      </c>
      <c r="N64" s="115">
        <v>4547.6217879526657</v>
      </c>
      <c r="O64" s="115">
        <v>26.154186706649131</v>
      </c>
      <c r="P64" s="115">
        <v>9.880677470738501</v>
      </c>
      <c r="Q64" s="111">
        <v>26.154186706649131</v>
      </c>
      <c r="R64" s="68">
        <v>9.8806774707385028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3.400562706492048E-5</v>
      </c>
      <c r="M65" s="115">
        <v>140.19019621244166</v>
      </c>
      <c r="N65" s="115">
        <v>4960.4269469050905</v>
      </c>
      <c r="O65" s="115">
        <v>28.04098788562613</v>
      </c>
      <c r="P65" s="115">
        <v>10.227606061421453</v>
      </c>
      <c r="Q65" s="111">
        <v>28.04098788562613</v>
      </c>
      <c r="R65" s="68">
        <v>10.227606061421453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7.0490423866921919E-5</v>
      </c>
      <c r="M66" s="115">
        <v>134.49762142756234</v>
      </c>
      <c r="N66" s="115">
        <v>4751.4086680329956</v>
      </c>
      <c r="O66" s="115">
        <v>27.098458086073585</v>
      </c>
      <c r="P66" s="115">
        <v>10.0487960863572</v>
      </c>
      <c r="Q66" s="111">
        <v>27.098458086073588</v>
      </c>
      <c r="R66" s="68">
        <v>10.0487960863572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0.81167705478420116</v>
      </c>
      <c r="M67" s="115">
        <v>1.796536277106068</v>
      </c>
      <c r="N67" s="115">
        <v>37.323585388444329</v>
      </c>
      <c r="O67" s="115">
        <v>1.0131677171622906</v>
      </c>
      <c r="P67" s="115">
        <v>1.0668032850763662</v>
      </c>
      <c r="Q67" s="111">
        <v>1.0131677171622906</v>
      </c>
      <c r="R67" s="68">
        <v>1.0668032850763662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0.74059641614573357</v>
      </c>
      <c r="M68" s="115">
        <v>2.4674046445330697</v>
      </c>
      <c r="N68" s="115">
        <v>62.520098465307974</v>
      </c>
      <c r="O68" s="115">
        <v>1.1937920552072752</v>
      </c>
      <c r="P68" s="115">
        <v>1.2084884502022348</v>
      </c>
      <c r="Q68" s="111">
        <v>1.1937920552072752</v>
      </c>
      <c r="R68" s="68">
        <v>1.2084884502022348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1.3845491743856809E-3</v>
      </c>
      <c r="M69" s="115">
        <v>79.638463709983085</v>
      </c>
      <c r="N69" s="115">
        <v>2792.666363029422</v>
      </c>
      <c r="O69" s="115">
        <v>17.694563804079998</v>
      </c>
      <c r="P69" s="115">
        <v>8.6146346192201388</v>
      </c>
      <c r="Q69" s="111">
        <v>17.694563804079998</v>
      </c>
      <c r="R69" s="68">
        <v>8.6146346192201388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2.5544311210769333E-2</v>
      </c>
      <c r="M70" s="115">
        <v>18.700067833336981</v>
      </c>
      <c r="N70" s="115">
        <v>648.80046153206547</v>
      </c>
      <c r="O70" s="115">
        <v>6.9524096543532421</v>
      </c>
      <c r="P70" s="115">
        <v>6.9894532356098491</v>
      </c>
      <c r="Q70" s="111">
        <v>6.9524096543532421</v>
      </c>
      <c r="R70" s="68">
        <v>6.98945323560985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0.74100894322516953</v>
      </c>
      <c r="M71" s="115">
        <v>2.306419341737485</v>
      </c>
      <c r="N71" s="115">
        <v>56.972652700104838</v>
      </c>
      <c r="O71" s="115">
        <v>1.141362054347183</v>
      </c>
      <c r="P71" s="115">
        <v>1.1625054737129932</v>
      </c>
      <c r="Q71" s="111">
        <v>1.1413620543471832</v>
      </c>
      <c r="R71" s="68">
        <v>1.1625054737129932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2.9514782835254612E-2</v>
      </c>
      <c r="M72" s="115">
        <v>18.353475980817848</v>
      </c>
      <c r="N72" s="115">
        <v>636.41139637458559</v>
      </c>
      <c r="O72" s="115">
        <v>6.793103308296045</v>
      </c>
      <c r="P72" s="115">
        <v>6.7999026495071195</v>
      </c>
      <c r="Q72" s="111">
        <v>6.793103308296045</v>
      </c>
      <c r="R72" s="68">
        <v>6.7999026495071195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0.2610374063358698</v>
      </c>
      <c r="M73" s="115">
        <v>11.038731298902622</v>
      </c>
      <c r="N73" s="115">
        <v>373.16647267339744</v>
      </c>
      <c r="O73" s="115">
        <v>3.9212084844582824</v>
      </c>
      <c r="P73" s="115">
        <v>3.6895756550431367</v>
      </c>
      <c r="Q73" s="111">
        <v>3.9212084844582824</v>
      </c>
      <c r="R73" s="68">
        <v>3.6895756550431371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2.6656757941630176E-2</v>
      </c>
      <c r="M74" s="115">
        <v>18.625422703704864</v>
      </c>
      <c r="N74" s="115">
        <v>646.10733885401066</v>
      </c>
      <c r="O74" s="115">
        <v>6.9157482734296662</v>
      </c>
      <c r="P74" s="115">
        <v>6.9440285184670536</v>
      </c>
      <c r="Q74" s="111">
        <v>6.9157482734296662</v>
      </c>
      <c r="R74" s="68">
        <v>6.9440285184670536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4.3173935122335682E-3</v>
      </c>
      <c r="M75" s="115">
        <v>12.24728907259283</v>
      </c>
      <c r="N75" s="115">
        <v>547.47775423533199</v>
      </c>
      <c r="O75" s="115">
        <v>5.9562621293732834</v>
      </c>
      <c r="P75" s="115">
        <v>8.6906860435189479</v>
      </c>
      <c r="Q75" s="111">
        <v>5.9562621293732843</v>
      </c>
      <c r="R75" s="68">
        <v>8.6906860435189479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4.3173935145396497E-3</v>
      </c>
      <c r="M76" s="115">
        <v>12.247289079134564</v>
      </c>
      <c r="N76" s="115">
        <v>547.47775452776023</v>
      </c>
      <c r="O76" s="115">
        <v>5.9562621325547456</v>
      </c>
      <c r="P76" s="115">
        <v>8.690686048160968</v>
      </c>
      <c r="Q76" s="111">
        <v>5.9562621325547456</v>
      </c>
      <c r="R76" s="68">
        <v>8.690686048160968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0.10085383572769482</v>
      </c>
      <c r="M77" s="115">
        <v>15.523611910570642</v>
      </c>
      <c r="N77" s="115">
        <v>534.32906116912113</v>
      </c>
      <c r="O77" s="115">
        <v>5.5615514869717719</v>
      </c>
      <c r="P77" s="115">
        <v>5.3708106600437588</v>
      </c>
      <c r="Q77" s="111">
        <v>5.5615514869717728</v>
      </c>
      <c r="R77" s="68">
        <v>5.3708106600437597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0.524006535100492</v>
      </c>
      <c r="M78" s="115">
        <v>5.2175729795218224</v>
      </c>
      <c r="N78" s="115">
        <v>163.79741763970321</v>
      </c>
      <c r="O78" s="115">
        <v>2.0034917864610291</v>
      </c>
      <c r="P78" s="115">
        <v>1.898565469092417</v>
      </c>
      <c r="Q78" s="111">
        <v>2.0034917864610291</v>
      </c>
      <c r="R78" s="68">
        <v>1.898565469092417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0.36778508719076719</v>
      </c>
      <c r="M79" s="115">
        <v>8.6233187920279075</v>
      </c>
      <c r="N79" s="115">
        <v>286.20518753403837</v>
      </c>
      <c r="O79" s="115">
        <v>3.1057994299985721</v>
      </c>
      <c r="P79" s="115">
        <v>2.9089202040086759</v>
      </c>
      <c r="Q79" s="111">
        <v>3.1057994299985721</v>
      </c>
      <c r="R79" s="68">
        <v>2.9089202040086763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2.9131725630254152E-3</v>
      </c>
      <c r="M80" s="115">
        <v>23.675149953655016</v>
      </c>
      <c r="N80" s="115">
        <v>1058.5475932177008</v>
      </c>
      <c r="O80" s="115">
        <v>7.2916655906116237</v>
      </c>
      <c r="P80" s="115">
        <v>9.1491492292313428</v>
      </c>
      <c r="Q80" s="111">
        <v>7.2916655906116237</v>
      </c>
      <c r="R80" s="68">
        <v>9.1491492292313428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0.96685224508178769</v>
      </c>
      <c r="M81" s="115">
        <v>0.89390481070409922</v>
      </c>
      <c r="N81" s="115">
        <v>1.6861288294156265</v>
      </c>
      <c r="O81" s="115">
        <v>0.8132382307937065</v>
      </c>
      <c r="P81" s="115">
        <v>0.93939125085418007</v>
      </c>
      <c r="Q81" s="111">
        <v>0.81323823079370661</v>
      </c>
      <c r="R81" s="68">
        <v>0.93939125085418007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0.71714637606883991</v>
      </c>
      <c r="M82" s="115">
        <v>2.8527103676581165</v>
      </c>
      <c r="N82" s="115">
        <v>76.47896490015512</v>
      </c>
      <c r="O82" s="115">
        <v>1.3081600868796499</v>
      </c>
      <c r="P82" s="115">
        <v>1.3045954420302401</v>
      </c>
      <c r="Q82" s="111">
        <v>1.3081600868796499</v>
      </c>
      <c r="R82" s="68">
        <v>1.3045954420302401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0.12670390832032566</v>
      </c>
      <c r="M83" s="115">
        <v>15.111314420446741</v>
      </c>
      <c r="N83" s="115">
        <v>518.98140366406426</v>
      </c>
      <c r="O83" s="115">
        <v>5.3913771849198966</v>
      </c>
      <c r="P83" s="115">
        <v>5.1750142897775806</v>
      </c>
      <c r="Q83" s="111">
        <v>5.3913771849198966</v>
      </c>
      <c r="R83" s="68">
        <v>5.1750142897775806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0.93028172078062932</v>
      </c>
      <c r="M84" s="115">
        <v>1.0121193812461242</v>
      </c>
      <c r="N84" s="115">
        <v>6.8334936957745054</v>
      </c>
      <c r="O84" s="115">
        <v>0.82881418904159865</v>
      </c>
      <c r="P84" s="115">
        <v>0.94104053951275135</v>
      </c>
      <c r="Q84" s="111">
        <v>0.82881418904159865</v>
      </c>
      <c r="R84" s="68">
        <v>0.94104053951275135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0.98449406496087577</v>
      </c>
      <c r="M85" s="115">
        <v>0.87011644657250209</v>
      </c>
      <c r="N85" s="115">
        <v>0.34585052833592095</v>
      </c>
      <c r="O85" s="115">
        <v>0.81621416818620451</v>
      </c>
      <c r="P85" s="115">
        <v>0.94743865100154123</v>
      </c>
      <c r="Q85" s="111">
        <v>0.81621416818620451</v>
      </c>
      <c r="R85" s="68">
        <v>0.94743865100154123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0.93198200606929882</v>
      </c>
      <c r="M86" s="115">
        <v>1.0048534771167168</v>
      </c>
      <c r="N86" s="115">
        <v>6.5333124505393076</v>
      </c>
      <c r="O86" s="115">
        <v>0.82751801423173676</v>
      </c>
      <c r="P86" s="115">
        <v>0.94046755255134618</v>
      </c>
      <c r="Q86" s="111">
        <v>0.82751801423173676</v>
      </c>
      <c r="R86" s="68">
        <v>0.94046755255134629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5.0825043086058193E-4</v>
      </c>
      <c r="M87" s="115">
        <v>105.55901442278405</v>
      </c>
      <c r="N87" s="115">
        <v>3711.774809741999</v>
      </c>
      <c r="O87" s="115">
        <v>22.166316524484834</v>
      </c>
      <c r="P87" s="115">
        <v>9.2438628481985088</v>
      </c>
      <c r="Q87" s="111">
        <v>22.166316524484834</v>
      </c>
      <c r="R87" s="68">
        <v>9.2438628481985106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0.6003836348028383</v>
      </c>
      <c r="M88" s="115">
        <v>4.4578718578948946</v>
      </c>
      <c r="N88" s="115">
        <v>135.27987317027649</v>
      </c>
      <c r="O88" s="115">
        <v>1.7835943970824641</v>
      </c>
      <c r="P88" s="115">
        <v>1.7095774248931455</v>
      </c>
      <c r="Q88" s="111">
        <v>1.7835943970824641</v>
      </c>
      <c r="R88" s="68">
        <v>1.7095774248931455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0.69735220365439754</v>
      </c>
      <c r="M89" s="115">
        <v>3.0993928153207362</v>
      </c>
      <c r="N89" s="115">
        <v>85.563798490363226</v>
      </c>
      <c r="O89" s="115">
        <v>1.3793824493282145</v>
      </c>
      <c r="P89" s="115">
        <v>1.3638736529767004</v>
      </c>
      <c r="Q89" s="111">
        <v>1.3793824493282147</v>
      </c>
      <c r="R89" s="68">
        <v>1.3638736529767004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0.86273052246646909</v>
      </c>
      <c r="M90" s="115">
        <v>1.4137775670164057</v>
      </c>
      <c r="N90" s="115">
        <v>22.644919983881703</v>
      </c>
      <c r="O90" s="115">
        <v>0.91796176050424205</v>
      </c>
      <c r="P90" s="115">
        <v>0.99760701841231003</v>
      </c>
      <c r="Q90" s="111">
        <v>0.91796176050424216</v>
      </c>
      <c r="R90" s="68">
        <v>0.99760701841231003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3.3334963390574089E-3</v>
      </c>
      <c r="M91" s="115">
        <v>51.879797155271987</v>
      </c>
      <c r="N91" s="115">
        <v>1814.085294828323</v>
      </c>
      <c r="O91" s="115">
        <v>12.91667779891522</v>
      </c>
      <c r="P91" s="115">
        <v>8.0502256272774488</v>
      </c>
      <c r="Q91" s="111">
        <v>12.91667779891522</v>
      </c>
      <c r="R91" s="68">
        <v>8.0502256272774488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0.17668471406751343</v>
      </c>
      <c r="M92" s="115">
        <v>13.579306987322061</v>
      </c>
      <c r="N92" s="115">
        <v>464.01604709023206</v>
      </c>
      <c r="O92" s="115">
        <v>4.8213508027800058</v>
      </c>
      <c r="P92" s="115">
        <v>4.5835587822816795</v>
      </c>
      <c r="Q92" s="111">
        <v>4.8213508027800058</v>
      </c>
      <c r="R92" s="68">
        <v>4.5835587822816795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3.8831132318592837E-2</v>
      </c>
      <c r="M93" s="115">
        <v>18.256053241162729</v>
      </c>
      <c r="N93" s="115">
        <v>632.355116988443</v>
      </c>
      <c r="O93" s="115">
        <v>6.7070498378424723</v>
      </c>
      <c r="P93" s="115">
        <v>6.6644545611153188</v>
      </c>
      <c r="Q93" s="111">
        <v>6.7070498378424723</v>
      </c>
      <c r="R93" s="68">
        <v>6.6644545611153188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0.89341418752297053</v>
      </c>
      <c r="M94" s="115">
        <v>1.0447078047755503</v>
      </c>
      <c r="N94" s="115">
        <v>11.874725683464378</v>
      </c>
      <c r="O94" s="115">
        <v>1.2470291248325669</v>
      </c>
      <c r="P94" s="115">
        <v>1.7347079372669927</v>
      </c>
      <c r="Q94" s="111">
        <v>1.2470291248325671</v>
      </c>
      <c r="R94" s="68">
        <v>1.7347079372669927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7.8433038068831014E-3</v>
      </c>
      <c r="M95" s="115">
        <v>26.156978840417036</v>
      </c>
      <c r="N95" s="115">
        <v>911.39264301908895</v>
      </c>
      <c r="O95" s="115">
        <v>8.5105730398055695</v>
      </c>
      <c r="P95" s="115">
        <v>7.6309787862585248</v>
      </c>
      <c r="Q95" s="111">
        <v>8.5105730398055695</v>
      </c>
      <c r="R95" s="68">
        <v>7.6309787862585257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0.96566199562935184</v>
      </c>
      <c r="M96" s="115">
        <v>0.89637973900299128</v>
      </c>
      <c r="N96" s="115">
        <v>1.8064531757828004</v>
      </c>
      <c r="O96" s="115">
        <v>0.81330750483017211</v>
      </c>
      <c r="P96" s="115">
        <v>0.93907117113158989</v>
      </c>
      <c r="Q96" s="111">
        <v>0.81330750483017222</v>
      </c>
      <c r="R96" s="68">
        <v>0.93907117113158989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0.92941508439404596</v>
      </c>
      <c r="M97" s="115">
        <v>1.0158834614171617</v>
      </c>
      <c r="N97" s="115">
        <v>6.9885816321042133</v>
      </c>
      <c r="O97" s="115">
        <v>0.82949472444062666</v>
      </c>
      <c r="P97" s="115">
        <v>0.94135010780446593</v>
      </c>
      <c r="Q97" s="111">
        <v>0.82949472444062666</v>
      </c>
      <c r="R97" s="68">
        <v>0.94135010780446593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1.830367460349782E-2</v>
      </c>
      <c r="M98" s="115">
        <v>19.010639730195056</v>
      </c>
      <c r="N98" s="115">
        <v>660.31700695765528</v>
      </c>
      <c r="O98" s="115">
        <v>7.138041897238633</v>
      </c>
      <c r="P98" s="115">
        <v>7.2427964293997169</v>
      </c>
      <c r="Q98" s="111">
        <v>7.138041897238633</v>
      </c>
      <c r="R98" s="68">
        <v>7.2427964293997169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0.9882909802972154</v>
      </c>
      <c r="M99" s="115">
        <v>0.86851714420664483</v>
      </c>
      <c r="N99" s="115">
        <v>0.17824349565712896</v>
      </c>
      <c r="O99" s="115">
        <v>0.81792949154765215</v>
      </c>
      <c r="P99" s="115">
        <v>0.95003721021720489</v>
      </c>
      <c r="Q99" s="111">
        <v>0.81792949154765215</v>
      </c>
      <c r="R99" s="68">
        <v>0.950037210217205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0.41002890379482437</v>
      </c>
      <c r="M100" s="115">
        <v>7.8601157239856452</v>
      </c>
      <c r="N100" s="115">
        <v>258.51105209883309</v>
      </c>
      <c r="O100" s="115">
        <v>2.8573505921190865</v>
      </c>
      <c r="P100" s="115">
        <v>2.677225704544663</v>
      </c>
      <c r="Q100" s="111">
        <v>2.8573505921190865</v>
      </c>
      <c r="R100" s="68">
        <v>2.6772257045446635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0.98251497067469917</v>
      </c>
      <c r="M101" s="115">
        <v>0.8714890365834288</v>
      </c>
      <c r="N101" s="115">
        <v>0.45169576783275434</v>
      </c>
      <c r="O101" s="115">
        <v>0.81548256555081744</v>
      </c>
      <c r="P101" s="115">
        <v>0.94621276026525769</v>
      </c>
      <c r="Q101" s="111">
        <v>0.81548256555081744</v>
      </c>
      <c r="R101" s="68">
        <v>0.94621276026525769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0.99315813586870594</v>
      </c>
      <c r="M102" s="115">
        <v>0.86865330169527522</v>
      </c>
      <c r="N102" s="115">
        <v>3.8247107625670941E-2</v>
      </c>
      <c r="O102" s="115">
        <v>0.8207783412077192</v>
      </c>
      <c r="P102" s="115">
        <v>0.95387141801068531</v>
      </c>
      <c r="Q102" s="111">
        <v>0.82077834120771931</v>
      </c>
      <c r="R102" s="68">
        <v>0.95387141801068542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0.98856170646240327</v>
      </c>
      <c r="M103" s="115">
        <v>0.86845772274061173</v>
      </c>
      <c r="N103" s="115">
        <v>0.16816416588911559</v>
      </c>
      <c r="O103" s="115">
        <v>0.81806814625072755</v>
      </c>
      <c r="P103" s="115">
        <v>0.9502352887373855</v>
      </c>
      <c r="Q103" s="111">
        <v>0.81806814625072766</v>
      </c>
      <c r="R103" s="68">
        <v>0.9502352887373855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0.94900405990176173</v>
      </c>
      <c r="M104" s="115">
        <v>0.94120045298465382</v>
      </c>
      <c r="N104" s="115">
        <v>3.8406466554789485</v>
      </c>
      <c r="O104" s="115">
        <v>0.81750012121412841</v>
      </c>
      <c r="P104" s="115">
        <v>0.93731930561452492</v>
      </c>
      <c r="Q104" s="111">
        <v>0.81750012121412841</v>
      </c>
      <c r="R104" s="68">
        <v>0.93731930561452492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0.99244402089206696</v>
      </c>
      <c r="M105" s="115">
        <v>0.86846491185295371</v>
      </c>
      <c r="N105" s="115">
        <v>5.303041372412938E-2</v>
      </c>
      <c r="O105" s="115">
        <v>0.82031092101674785</v>
      </c>
      <c r="P105" s="115">
        <v>0.95327140139957511</v>
      </c>
      <c r="Q105" s="111">
        <v>0.82031092101674785</v>
      </c>
      <c r="R105" s="68">
        <v>0.95327140139957511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0.82428144843653339</v>
      </c>
      <c r="M106" s="115">
        <v>1.7259927384292959</v>
      </c>
      <c r="N106" s="115">
        <v>34.521546007870207</v>
      </c>
      <c r="O106" s="115">
        <v>0.99718064110327564</v>
      </c>
      <c r="P106" s="115">
        <v>1.0559950551909181</v>
      </c>
      <c r="Q106" s="111">
        <v>0.99718064110327576</v>
      </c>
      <c r="R106" s="68">
        <v>1.0559950551909181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1.3608069066394876E-2</v>
      </c>
      <c r="M107" s="115">
        <v>19.140251038482571</v>
      </c>
      <c r="N107" s="115">
        <v>665.40877284068767</v>
      </c>
      <c r="O107" s="115">
        <v>7.2505317915558374</v>
      </c>
      <c r="P107" s="115">
        <v>7.4161375380490604</v>
      </c>
      <c r="Q107" s="111">
        <v>7.2505317915558383</v>
      </c>
      <c r="R107" s="68">
        <v>7.4161375380490604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0.47209384206320826</v>
      </c>
      <c r="M108" s="115">
        <v>6.6421593249905015</v>
      </c>
      <c r="N108" s="115">
        <v>214.53329298649209</v>
      </c>
      <c r="O108" s="115">
        <v>2.4646022668772356</v>
      </c>
      <c r="P108" s="115">
        <v>2.3166041886861963</v>
      </c>
      <c r="Q108" s="111">
        <v>2.464602266877236</v>
      </c>
      <c r="R108" s="68">
        <v>2.3166041886861963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2024-10-28T23:31:01Z</dcterms:modified>
</cp:coreProperties>
</file>