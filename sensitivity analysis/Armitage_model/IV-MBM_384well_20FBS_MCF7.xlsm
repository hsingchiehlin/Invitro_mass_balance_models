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C51003D3-4C3E-4407-9223-A37B37C4624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<sst xmlns="http://schemas.openxmlformats.org/spreadsheetml/2006/main" count="2915" uniqueCount="495">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</sst>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5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5.6000000000000001E-2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5.6000000000000001E-2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1.4E-3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1.3663857463293126E-5</v>
      </c>
      <c r="J2" s="67" t="s">
        <v>231</v>
      </c>
      <c r="K2" s="68">
        <v>1.0017492928585039E-3</v>
      </c>
      <c r="L2" s="67" t="s">
        <v>231</v>
      </c>
      <c r="M2" s="68">
        <v>5.2880324244114742E-2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1.0021250510670312E-3</v>
      </c>
      <c r="J3" s="67" t="s">
        <v>231</v>
      </c>
      <c r="K3" s="68">
        <v>1.5914549977118383E-2</v>
      </c>
      <c r="L3" s="67" t="s">
        <v>231</v>
      </c>
      <c r="M3" s="68">
        <v>3.5877018228043034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1.7472846533387772E-3</v>
      </c>
      <c r="J4" s="67" t="s">
        <v>231</v>
      </c>
      <c r="K4" s="68">
        <v>1.7119331649320176E-3</v>
      </c>
      <c r="L4" s="67" t="s">
        <v>231</v>
      </c>
      <c r="M4" s="68">
        <v>0.30247412949972835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1.5433283636057528E-3</v>
      </c>
      <c r="J5" s="67" t="s">
        <v>231</v>
      </c>
      <c r="K5" s="68">
        <v>4.6500622924629045E-3</v>
      </c>
      <c r="L5" s="67" t="s">
        <v>231</v>
      </c>
      <c r="M5" s="68">
        <v>1.0400446519224511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2.7373407502219991E-3</v>
      </c>
      <c r="J6" s="67" t="s">
        <v>231</v>
      </c>
      <c r="K6" s="68">
        <v>1.8631997242411356E-2</v>
      </c>
      <c r="L6" s="67" t="s">
        <v>231</v>
      </c>
      <c r="M6" s="68">
        <v>4.2075233256590687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3.9868842924981621E-4</v>
      </c>
      <c r="J7" s="67" t="s">
        <v>231</v>
      </c>
      <c r="K7" s="68">
        <v>1.6398884934906387E-2</v>
      </c>
      <c r="L7" s="67" t="s">
        <v>231</v>
      </c>
      <c r="M7" s="68">
        <v>3.6978254515310929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7.6866416622547366E-4</v>
      </c>
      <c r="J8" s="67" t="s">
        <v>231</v>
      </c>
      <c r="K8" s="68">
        <v>1.3032901744557599E-2</v>
      </c>
      <c r="L8" s="67" t="s">
        <v>231</v>
      </c>
      <c r="M8" s="68">
        <v>2.9332724210738346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2.174811310362321E-4</v>
      </c>
      <c r="J9" s="67" t="s">
        <v>231</v>
      </c>
      <c r="K9" s="68">
        <v>2.7783919099898797E-3</v>
      </c>
      <c r="L9" s="67" t="s">
        <v>231</v>
      </c>
      <c r="M9" s="68">
        <v>0.60621847900732728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9.2884759901378628E-4</v>
      </c>
      <c r="J10" s="67" t="s">
        <v>231</v>
      </c>
      <c r="K10" s="68">
        <v>4.9731243996810632E-3</v>
      </c>
      <c r="L10" s="67" t="s">
        <v>231</v>
      </c>
      <c r="M10" s="68">
        <v>1.1127989457723495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2.28680640825824E-4</v>
      </c>
      <c r="J11" s="67" t="s">
        <v>231</v>
      </c>
      <c r="K11" s="68">
        <v>5.5451387660885197E-3</v>
      </c>
      <c r="L11" s="67" t="s">
        <v>231</v>
      </c>
      <c r="M11" s="68">
        <v>1.2416514802674801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4.6713497228911675E-4</v>
      </c>
      <c r="J12" s="67" t="s">
        <v>231</v>
      </c>
      <c r="K12" s="68">
        <v>2.8881518818344863E-3</v>
      </c>
      <c r="L12" s="67" t="s">
        <v>231</v>
      </c>
      <c r="M12" s="68">
        <v>0.63593262357109459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1.0135908767501802E-2</v>
      </c>
      <c r="J13" s="67" t="s">
        <v>232</v>
      </c>
      <c r="K13" s="68">
        <v>2.7904355114585421E-3</v>
      </c>
      <c r="L13" s="67" t="s">
        <v>231</v>
      </c>
      <c r="M13" s="68">
        <v>0.60948486685244063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2.1840725071019928E-3</v>
      </c>
      <c r="J14" s="67" t="s">
        <v>231</v>
      </c>
      <c r="K14" s="68">
        <v>7.5842499115078297E-3</v>
      </c>
      <c r="L14" s="67" t="s">
        <v>231</v>
      </c>
      <c r="M14" s="68">
        <v>1.7013593076889959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1.0964902585256142E-3</v>
      </c>
      <c r="J15" s="67" t="s">
        <v>231</v>
      </c>
      <c r="K15" s="68">
        <v>5.2539194904092151E-3</v>
      </c>
      <c r="L15" s="67" t="s">
        <v>231</v>
      </c>
      <c r="M15" s="68">
        <v>1.1760455657731614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8.0844914309465389E-4</v>
      </c>
      <c r="J16" s="67" t="s">
        <v>231</v>
      </c>
      <c r="K16" s="68">
        <v>1.2867615908463689E-2</v>
      </c>
      <c r="L16" s="67" t="s">
        <v>231</v>
      </c>
      <c r="M16" s="68">
        <v>2.8958169790747852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6.5017569828047382E-4</v>
      </c>
      <c r="J17" s="67" t="s">
        <v>231</v>
      </c>
      <c r="K17" s="68">
        <v>4.7562261914439593E-3</v>
      </c>
      <c r="L17" s="67" t="s">
        <v>231</v>
      </c>
      <c r="M17" s="68">
        <v>1.063951310137383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1.616977733454799E-3</v>
      </c>
      <c r="J18" s="67" t="s">
        <v>231</v>
      </c>
      <c r="K18" s="68">
        <v>2.7107814830775782E-3</v>
      </c>
      <c r="L18" s="67" t="s">
        <v>231</v>
      </c>
      <c r="M18" s="68">
        <v>0.58833730096344883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6.6665261888822552E-3</v>
      </c>
      <c r="J19" s="67" t="s">
        <v>231</v>
      </c>
      <c r="K19" s="68">
        <v>5.3113837618125725E-3</v>
      </c>
      <c r="L19" s="67" t="s">
        <v>231</v>
      </c>
      <c r="M19" s="68">
        <v>1.1889901229847224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1.0488098243214121E-3</v>
      </c>
      <c r="J20" s="67" t="s">
        <v>231</v>
      </c>
      <c r="K20" s="68">
        <v>2.7908087525763932E-3</v>
      </c>
      <c r="L20" s="67" t="s">
        <v>231</v>
      </c>
      <c r="M20" s="68">
        <v>0.60956638990218792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3.148576050784997E-3</v>
      </c>
      <c r="J21" s="67" t="s">
        <v>231</v>
      </c>
      <c r="K21" s="68">
        <v>6.9507421302198863E-3</v>
      </c>
      <c r="L21" s="67" t="s">
        <v>231</v>
      </c>
      <c r="M21" s="68">
        <v>1.5584742325630558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8.6437611564274617E-5</v>
      </c>
      <c r="J22" s="67" t="s">
        <v>231</v>
      </c>
      <c r="K22" s="68">
        <v>1.2603353118145219E-3</v>
      </c>
      <c r="L22" s="67" t="s">
        <v>231</v>
      </c>
      <c r="M22" s="68">
        <v>0.15639236536183726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2.9287221354937285E-5</v>
      </c>
      <c r="J23" s="67" t="s">
        <v>231</v>
      </c>
      <c r="K23" s="68">
        <v>1.0594360634579353E-3</v>
      </c>
      <c r="L23" s="67" t="s">
        <v>231</v>
      </c>
      <c r="M23" s="68">
        <v>7.9391608289983859E-2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8.1447887508003891E-5</v>
      </c>
      <c r="J24" s="67" t="s">
        <v>231</v>
      </c>
      <c r="K24" s="68">
        <v>2.2777224028594704E-3</v>
      </c>
      <c r="L24" s="67" t="s">
        <v>231</v>
      </c>
      <c r="M24" s="68">
        <v>0.46828004157892883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4.0454157815722578E-4</v>
      </c>
      <c r="J25" s="67" t="s">
        <v>231</v>
      </c>
      <c r="K25" s="68">
        <v>2.9343169111577792E-3</v>
      </c>
      <c r="L25" s="67" t="s">
        <v>231</v>
      </c>
      <c r="M25" s="68">
        <v>0.6508098094508693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8.3293923512993103E-4</v>
      </c>
      <c r="J26" s="67" t="s">
        <v>231</v>
      </c>
      <c r="K26" s="68">
        <v>6.5479031840705538E-3</v>
      </c>
      <c r="L26" s="67" t="s">
        <v>231</v>
      </c>
      <c r="M26" s="68">
        <v>1.4676447403961967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5.5043146284182128E-4</v>
      </c>
      <c r="J27" s="67" t="s">
        <v>231</v>
      </c>
      <c r="K27" s="68">
        <v>1.5567430608577694E-2</v>
      </c>
      <c r="L27" s="67" t="s">
        <v>231</v>
      </c>
      <c r="M27" s="68">
        <v>3.5087045940335524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2.9588957371719119E-4</v>
      </c>
      <c r="J28" s="67" t="s">
        <v>231</v>
      </c>
      <c r="K28" s="68">
        <v>9.628538148719527E-3</v>
      </c>
      <c r="L28" s="67" t="s">
        <v>231</v>
      </c>
      <c r="M28" s="68">
        <v>2.1629040974027189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1.8134757011383716E-4</v>
      </c>
      <c r="J29" s="67" t="s">
        <v>231</v>
      </c>
      <c r="K29" s="68">
        <v>7.1712311780846583E-3</v>
      </c>
      <c r="L29" s="67" t="s">
        <v>231</v>
      </c>
      <c r="M29" s="68">
        <v>1.6084466233109935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2.9588957371719119E-4</v>
      </c>
      <c r="J30" s="67" t="s">
        <v>231</v>
      </c>
      <c r="K30" s="68">
        <v>9.628538148719527E-3</v>
      </c>
      <c r="L30" s="67" t="s">
        <v>231</v>
      </c>
      <c r="M30" s="68">
        <v>2.1629040974027189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8.124336455159011E-8</v>
      </c>
      <c r="J31" s="67" t="s">
        <v>231</v>
      </c>
      <c r="K31" s="68">
        <v>9.6697492376548446E-4</v>
      </c>
      <c r="L31" s="67" t="s">
        <v>231</v>
      </c>
      <c r="M31" s="68">
        <v>1.138788630555846E-3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8.4117928254710911E-6</v>
      </c>
      <c r="J32" s="67" t="s">
        <v>231</v>
      </c>
      <c r="K32" s="68">
        <v>1.5887081865502983E-3</v>
      </c>
      <c r="L32" s="67" t="s">
        <v>231</v>
      </c>
      <c r="M32" s="68">
        <v>0.24256672331638868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8.1227989998721888E-8</v>
      </c>
      <c r="J33" s="67" t="s">
        <v>231</v>
      </c>
      <c r="K33" s="68">
        <v>9.8357218450303117E-4</v>
      </c>
      <c r="L33" s="67" t="s">
        <v>231</v>
      </c>
      <c r="M33" s="68">
        <v>5.9054721435444649E-4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1.9341598619039031E-10</v>
      </c>
      <c r="J34" s="67" t="s">
        <v>231</v>
      </c>
      <c r="K34" s="68">
        <v>7.0375062595781114E-4</v>
      </c>
      <c r="L34" s="67" t="s">
        <v>231</v>
      </c>
      <c r="M34" s="68">
        <v>4.4977399307549112E-2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1.9740157395394719E-7</v>
      </c>
      <c r="J35" s="67" t="s">
        <v>231</v>
      </c>
      <c r="K35" s="68">
        <v>5.5190163561313964E-4</v>
      </c>
      <c r="L35" s="67" t="s">
        <v>231</v>
      </c>
      <c r="M35" s="68">
        <v>6.3659386446230315E-2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1.7993059295597054E-7</v>
      </c>
      <c r="J36" s="67" t="s">
        <v>231</v>
      </c>
      <c r="K36" s="68">
        <v>3.8928402443992978E-4</v>
      </c>
      <c r="L36" s="67" t="s">
        <v>231</v>
      </c>
      <c r="M36" s="68">
        <v>7.7372637478002507E-2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1.9336189859247784E-6</v>
      </c>
      <c r="J37" s="67" t="s">
        <v>231</v>
      </c>
      <c r="K37" s="68">
        <v>9.4538678451443084E-4</v>
      </c>
      <c r="L37" s="67" t="s">
        <v>231</v>
      </c>
      <c r="M37" s="68">
        <v>0.17476461208754637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1.0512716496511563E-6</v>
      </c>
      <c r="J38" s="67" t="s">
        <v>231</v>
      </c>
      <c r="K38" s="68">
        <v>7.5252945244092852E-4</v>
      </c>
      <c r="L38" s="67" t="s">
        <v>231</v>
      </c>
      <c r="M38" s="68">
        <v>4.0271356850339224E-2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2.0911875457862159E-4</v>
      </c>
      <c r="J39" s="67" t="s">
        <v>231</v>
      </c>
      <c r="K39" s="68">
        <v>3.0769622573952361E-3</v>
      </c>
      <c r="L39" s="67" t="s">
        <v>231</v>
      </c>
      <c r="M39" s="68">
        <v>0.68590167920359046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8.0298863345374317E-10</v>
      </c>
      <c r="J40" s="67" t="s">
        <v>231</v>
      </c>
      <c r="K40" s="68">
        <v>2.0354092704788614E-2</v>
      </c>
      <c r="L40" s="67" t="s">
        <v>231</v>
      </c>
      <c r="M40" s="68">
        <v>5.5156478229189139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2.6210504395405567E-8</v>
      </c>
      <c r="J41" s="67" t="s">
        <v>231</v>
      </c>
      <c r="K41" s="68">
        <v>9.0083170025767525E-4</v>
      </c>
      <c r="L41" s="67" t="s">
        <v>231</v>
      </c>
      <c r="M41" s="68">
        <v>6.4368094646697317E-5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9.444763460627405E-4</v>
      </c>
      <c r="J42" s="67" t="s">
        <v>231</v>
      </c>
      <c r="K42" s="68">
        <v>1.3308659927130887E-3</v>
      </c>
      <c r="L42" s="67" t="s">
        <v>231</v>
      </c>
      <c r="M42" s="68">
        <v>0.18022209150588434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4.7057005394741397E-9</v>
      </c>
      <c r="J43" s="67" t="s">
        <v>231</v>
      </c>
      <c r="K43" s="68">
        <v>6.107746364515525E-4</v>
      </c>
      <c r="L43" s="67" t="s">
        <v>231</v>
      </c>
      <c r="M43" s="68">
        <v>0.16448504470370301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1.0651995448540511E-6</v>
      </c>
      <c r="J44" s="67" t="s">
        <v>231</v>
      </c>
      <c r="K44" s="68">
        <v>8.8300670358275714E-4</v>
      </c>
      <c r="L44" s="67" t="s">
        <v>231</v>
      </c>
      <c r="M44" s="68">
        <v>2.9042165542288861E-2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8.2716670225901713E-5</v>
      </c>
      <c r="J45" s="67" t="s">
        <v>231</v>
      </c>
      <c r="K45" s="68">
        <v>1.3972603479343235E-3</v>
      </c>
      <c r="L45" s="67" t="s">
        <v>231</v>
      </c>
      <c r="M45" s="68">
        <v>0.20269953541490518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1.8611175458350361E-6</v>
      </c>
      <c r="J46" s="67" t="s">
        <v>231</v>
      </c>
      <c r="K46" s="68">
        <v>1.3526573923574254E-3</v>
      </c>
      <c r="L46" s="67" t="s">
        <v>231</v>
      </c>
      <c r="M46" s="68">
        <v>0.18814286399172989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2.5433483360169022E-3</v>
      </c>
      <c r="J47" s="142" t="s">
        <v>231</v>
      </c>
      <c r="K47" s="143">
        <v>1.5971307404819387E-2</v>
      </c>
      <c r="L47" s="142" t="s">
        <v>231</v>
      </c>
      <c r="M47" s="143">
        <v>3.6004969522370147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1.8037578261492418E-6</v>
      </c>
      <c r="J48" s="142" t="s">
        <v>231</v>
      </c>
      <c r="K48" s="143">
        <v>9.3665825040170386E-4</v>
      </c>
      <c r="L48" s="142" t="s">
        <v>231</v>
      </c>
      <c r="M48" s="143">
        <v>1.0196051553015381E-2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5.0261234811684731E-6</v>
      </c>
      <c r="J49" s="142" t="s">
        <v>231</v>
      </c>
      <c r="K49" s="143">
        <v>9.2893407929360041E-4</v>
      </c>
      <c r="L49" s="142" t="s">
        <v>231</v>
      </c>
      <c r="M49" s="143">
        <v>1.7463352656544279E-2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7.104034981202771E-6</v>
      </c>
      <c r="J50" s="142" t="s">
        <v>231</v>
      </c>
      <c r="K50" s="143">
        <v>2.6797357811910367E-3</v>
      </c>
      <c r="L50" s="142" t="s">
        <v>231</v>
      </c>
      <c r="M50" s="143">
        <v>0.58043421838133324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4.0188939317931461E-8</v>
      </c>
      <c r="J51" s="142" t="s">
        <v>231</v>
      </c>
      <c r="K51" s="143">
        <v>8.9900233610719143E-4</v>
      </c>
      <c r="L51" s="142" t="s">
        <v>231</v>
      </c>
      <c r="M51" s="143">
        <v>1.8487484394467486E-3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1.0749757520245408E-5</v>
      </c>
      <c r="J52" s="142" t="s">
        <v>231</v>
      </c>
      <c r="K52" s="143">
        <v>9.3094194776895632E-4</v>
      </c>
      <c r="L52" s="142" t="s">
        <v>231</v>
      </c>
      <c r="M52" s="143">
        <v>4.8272612207702917E-2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1.5497219710684977E-4</v>
      </c>
      <c r="J53" s="142" t="s">
        <v>231</v>
      </c>
      <c r="K53" s="143">
        <v>1.6425010635230336E-3</v>
      </c>
      <c r="L53" s="142" t="s">
        <v>231</v>
      </c>
      <c r="M53" s="143">
        <v>0.28151084596383069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8.6666763810797456E-4</v>
      </c>
      <c r="J54" s="67" t="s">
        <v>231</v>
      </c>
      <c r="K54" s="68">
        <v>1.4619112671877441E-2</v>
      </c>
      <c r="L54" s="67" t="s">
        <v>231</v>
      </c>
      <c r="M54" s="68">
        <v>3.2931358968624553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1.7099654270897276E-4</v>
      </c>
      <c r="J55" s="67" t="s">
        <v>231</v>
      </c>
      <c r="K55" s="68">
        <v>2.0317838909038612E-3</v>
      </c>
      <c r="L55" s="67" t="s">
        <v>231</v>
      </c>
      <c r="M55" s="68">
        <v>0.42198029443809976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5.079613800326478E-5</v>
      </c>
      <c r="J56" s="67" t="s">
        <v>231</v>
      </c>
      <c r="K56" s="68">
        <v>1.1407447387048598E-3</v>
      </c>
      <c r="L56" s="67" t="s">
        <v>231</v>
      </c>
      <c r="M56" s="68">
        <v>0.25090741087756202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2.3928271959708234E-5</v>
      </c>
      <c r="J57" s="67" t="s">
        <v>231</v>
      </c>
      <c r="K57" s="68">
        <v>5.7878331409784661E-4</v>
      </c>
      <c r="L57" s="67" t="s">
        <v>231</v>
      </c>
      <c r="M57" s="68">
        <v>0.12239362029066332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2.5844305514614754E-7</v>
      </c>
      <c r="J58" s="67" t="s">
        <v>231</v>
      </c>
      <c r="K58" s="68">
        <v>6.5271862399713659E-5</v>
      </c>
      <c r="L58" s="67" t="s">
        <v>231</v>
      </c>
      <c r="M58" s="68">
        <v>1.5164486118437633E-3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5.7461876419847297E-6</v>
      </c>
      <c r="J59" s="67" t="s">
        <v>231</v>
      </c>
      <c r="K59" s="68">
        <v>2.2285129588804465E-4</v>
      </c>
      <c r="L59" s="67" t="s">
        <v>231</v>
      </c>
      <c r="M59" s="68">
        <v>4.6950379191680804E-2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8.9711803595089326E-8</v>
      </c>
      <c r="J60" s="67" t="s">
        <v>231</v>
      </c>
      <c r="K60" s="68">
        <v>4.0920589967018795E-6</v>
      </c>
      <c r="L60" s="67" t="s">
        <v>231</v>
      </c>
      <c r="M60" s="68">
        <v>8.1091529007771928E-4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3.3695064976158429E-2</v>
      </c>
      <c r="J61" s="67" t="s">
        <v>232</v>
      </c>
      <c r="K61" s="68">
        <v>1.9078823734241326E-3</v>
      </c>
      <c r="L61" s="67" t="s">
        <v>231</v>
      </c>
      <c r="M61" s="68">
        <v>0.36145741904729728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3.7736890242669112E-5</v>
      </c>
      <c r="J62" s="67" t="s">
        <v>231</v>
      </c>
      <c r="K62" s="68">
        <v>7.4419522329008721E-3</v>
      </c>
      <c r="L62" s="67" t="s">
        <v>231</v>
      </c>
      <c r="M62" s="68">
        <v>1.6692578383414858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2.647994032446849E-4</v>
      </c>
      <c r="J63" s="67" t="s">
        <v>231</v>
      </c>
      <c r="K63" s="68">
        <v>1.8042007931862697E-2</v>
      </c>
      <c r="L63" s="67" t="s">
        <v>231</v>
      </c>
      <c r="M63" s="68">
        <v>4.0725988501185535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1.9208234097881088E-4</v>
      </c>
      <c r="J64" s="67" t="s">
        <v>231</v>
      </c>
      <c r="K64" s="68">
        <v>2.0640457133119704E-2</v>
      </c>
      <c r="L64" s="67" t="s">
        <v>231</v>
      </c>
      <c r="M64" s="68">
        <v>4.6689504877991173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2.9479257670267346E-4</v>
      </c>
      <c r="J65" s="67" t="s">
        <v>231</v>
      </c>
      <c r="K65" s="68">
        <v>2.2513451900814177E-2</v>
      </c>
      <c r="L65" s="67" t="s">
        <v>231</v>
      </c>
      <c r="M65" s="68">
        <v>5.1046407257088608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1.1608150105395746E-6</v>
      </c>
      <c r="J66" s="67" t="s">
        <v>231</v>
      </c>
      <c r="K66" s="68">
        <v>2.1568347536425874E-2</v>
      </c>
      <c r="L66" s="67" t="s">
        <v>231</v>
      </c>
      <c r="M66" s="68">
        <v>4.8838186582871144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3.7215996220251927E-4</v>
      </c>
      <c r="J67" s="67" t="s">
        <v>231</v>
      </c>
      <c r="K67" s="68">
        <v>9.6934735851568444E-4</v>
      </c>
      <c r="L67" s="67" t="s">
        <v>231</v>
      </c>
      <c r="M67" s="68">
        <v>3.7301079413758709E-2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1.4809287175238388E-4</v>
      </c>
      <c r="J68" s="67" t="s">
        <v>231</v>
      </c>
      <c r="K68" s="68">
        <v>1.0127623803871833E-3</v>
      </c>
      <c r="L68" s="67" t="s">
        <v>231</v>
      </c>
      <c r="M68" s="68">
        <v>6.2496218713400768E-2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2.0843410632050664E-7</v>
      </c>
      <c r="J69" s="67" t="s">
        <v>231</v>
      </c>
      <c r="K69" s="68">
        <v>1.2613647668274058E-2</v>
      </c>
      <c r="L69" s="67" t="s">
        <v>231</v>
      </c>
      <c r="M69" s="68">
        <v>2.8382857920689131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2.2174471933488843E-4</v>
      </c>
      <c r="J70" s="67" t="s">
        <v>231</v>
      </c>
      <c r="K70" s="68">
        <v>2.9421949807916597E-3</v>
      </c>
      <c r="L70" s="67" t="s">
        <v>231</v>
      </c>
      <c r="M70" s="68">
        <v>0.65124288526077756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2.7707478513518011E-4</v>
      </c>
      <c r="J71" s="67" t="s">
        <v>231</v>
      </c>
      <c r="K71" s="68">
        <v>9.8815099680875612E-4</v>
      </c>
      <c r="L71" s="67" t="s">
        <v>231</v>
      </c>
      <c r="M71" s="68">
        <v>5.6949002360951753E-2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1.3412764407205443E-6</v>
      </c>
      <c r="J72" s="67" t="s">
        <v>231</v>
      </c>
      <c r="K72" s="68">
        <v>2.8910678487465862E-3</v>
      </c>
      <c r="L72" s="67" t="s">
        <v>231</v>
      </c>
      <c r="M72" s="68">
        <v>0.63875937547653616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4.8762562471275717E-3</v>
      </c>
      <c r="J73" s="67" t="s">
        <v>231</v>
      </c>
      <c r="K73" s="68">
        <v>1.9411615056198564E-3</v>
      </c>
      <c r="L73" s="67" t="s">
        <v>231</v>
      </c>
      <c r="M73" s="68">
        <v>0.37388578008306272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4.6465820199485641E-2</v>
      </c>
      <c r="J74" s="67" t="s">
        <v>232</v>
      </c>
      <c r="K74" s="68">
        <v>2.9313891594060885E-3</v>
      </c>
      <c r="L74" s="67" t="s">
        <v>231</v>
      </c>
      <c r="M74" s="68">
        <v>0.6485289830927059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2.2694662481128138E-13</v>
      </c>
      <c r="J75" s="67" t="s">
        <v>231</v>
      </c>
      <c r="K75" s="68">
        <v>2.0023976400936456E-3</v>
      </c>
      <c r="L75" s="67" t="s">
        <v>231</v>
      </c>
      <c r="M75" s="68">
        <v>0.54876575379133863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1.2485423165792271E-13</v>
      </c>
      <c r="J76" s="67" t="s">
        <v>231</v>
      </c>
      <c r="K76" s="68">
        <v>2.0023976411657168E-3</v>
      </c>
      <c r="L76" s="67" t="s">
        <v>231</v>
      </c>
      <c r="M76" s="68">
        <v>0.5487657540851445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2.4988186903611978E-7</v>
      </c>
      <c r="J77" s="67" t="s">
        <v>231</v>
      </c>
      <c r="K77" s="68">
        <v>2.5071266112702611E-3</v>
      </c>
      <c r="L77" s="67" t="s">
        <v>231</v>
      </c>
      <c r="M77" s="68">
        <v>0.53594791423576404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9.0927775459670403E-4</v>
      </c>
      <c r="J78" s="67" t="s">
        <v>231</v>
      </c>
      <c r="K78" s="68">
        <v>1.2563537400195836E-3</v>
      </c>
      <c r="L78" s="67" t="s">
        <v>231</v>
      </c>
      <c r="M78" s="68">
        <v>0.16386841321223189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1.6782021586926819E-5</v>
      </c>
      <c r="J79" s="67" t="s">
        <v>231</v>
      </c>
      <c r="K79" s="68">
        <v>1.6545960466132022E-3</v>
      </c>
      <c r="L79" s="67" t="s">
        <v>231</v>
      </c>
      <c r="M79" s="68">
        <v>0.28658014619674937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1.3477544722217761E-14</v>
      </c>
      <c r="J80" s="67" t="s">
        <v>231</v>
      </c>
      <c r="K80" s="68">
        <v>3.8747776606768061E-3</v>
      </c>
      <c r="L80" s="67" t="s">
        <v>231</v>
      </c>
      <c r="M80" s="68">
        <v>1.0633790788668482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2.2015616154723213E-5</v>
      </c>
      <c r="J81" s="67" t="s">
        <v>231</v>
      </c>
      <c r="K81" s="68">
        <v>9.6350954477435842E-4</v>
      </c>
      <c r="L81" s="67" t="s">
        <v>231</v>
      </c>
      <c r="M81" s="68">
        <v>1.6844868114694433E-3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3.331511036902659E-5</v>
      </c>
      <c r="J82" s="67" t="s">
        <v>231</v>
      </c>
      <c r="K82" s="68">
        <v>1.0526173916171897E-3</v>
      </c>
      <c r="L82" s="67" t="s">
        <v>231</v>
      </c>
      <c r="M82" s="68">
        <v>7.645786767995387E-2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2.7691123407585474E-5</v>
      </c>
      <c r="J83" s="67" t="s">
        <v>231</v>
      </c>
      <c r="K83" s="68">
        <v>2.4643440401754951E-3</v>
      </c>
      <c r="L83" s="67" t="s">
        <v>231</v>
      </c>
      <c r="M83" s="68">
        <v>0.52049432386377481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6.0588195674452427E-6</v>
      </c>
      <c r="J84" s="67" t="s">
        <v>231</v>
      </c>
      <c r="K84" s="68">
        <v>9.5006893203845541E-4</v>
      </c>
      <c r="L84" s="67" t="s">
        <v>231</v>
      </c>
      <c r="M84" s="68">
        <v>6.8273067104600293E-3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3.3057015516873783E-8</v>
      </c>
      <c r="J85" s="67" t="s">
        <v>231</v>
      </c>
      <c r="K85" s="68">
        <v>9.7505552195033891E-4</v>
      </c>
      <c r="L85" s="67" t="s">
        <v>231</v>
      </c>
      <c r="M85" s="68">
        <v>3.4550467978931425E-4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2.3776352659058084E-6</v>
      </c>
      <c r="J86" s="67" t="s">
        <v>231</v>
      </c>
      <c r="K86" s="68">
        <v>9.5042088969520694E-4</v>
      </c>
      <c r="L86" s="67" t="s">
        <v>231</v>
      </c>
      <c r="M86" s="68">
        <v>6.5273740981694247E-3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2.9407507232021715E-3</v>
      </c>
      <c r="J87" s="67" t="s">
        <v>231</v>
      </c>
      <c r="K87" s="68">
        <v>1.6814667504119311E-2</v>
      </c>
      <c r="L87" s="67" t="s">
        <v>231</v>
      </c>
      <c r="M87" s="68">
        <v>3.7925390543449922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9.8545481677299622E-5</v>
      </c>
      <c r="J88" s="67" t="s">
        <v>231</v>
      </c>
      <c r="K88" s="68">
        <v>1.2029460973275426E-3</v>
      </c>
      <c r="L88" s="67" t="s">
        <v>231</v>
      </c>
      <c r="M88" s="68">
        <v>0.13530537811227808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2.6833731037725836E-5</v>
      </c>
      <c r="J89" s="67" t="s">
        <v>231</v>
      </c>
      <c r="K89" s="68">
        <v>1.0741026462468481E-3</v>
      </c>
      <c r="L89" s="67" t="s">
        <v>231</v>
      </c>
      <c r="M89" s="68">
        <v>8.5546492183994641E-2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1.7593319148613673E-6</v>
      </c>
      <c r="J90" s="67" t="s">
        <v>231</v>
      </c>
      <c r="K90" s="68">
        <v>9.5382145308813004E-4</v>
      </c>
      <c r="L90" s="67" t="s">
        <v>231</v>
      </c>
      <c r="M90" s="68">
        <v>2.2628117361582014E-2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2.2870646340425555E-3</v>
      </c>
      <c r="J91" s="67" t="s">
        <v>231</v>
      </c>
      <c r="K91" s="68">
        <v>8.1689021684452773E-3</v>
      </c>
      <c r="L91" s="67" t="s">
        <v>231</v>
      </c>
      <c r="M91" s="68">
        <v>1.8332849653038532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1.8497625623459264E-2</v>
      </c>
      <c r="J92" s="67" t="s">
        <v>232</v>
      </c>
      <c r="K92" s="68">
        <v>2.2668485161753496E-3</v>
      </c>
      <c r="L92" s="67" t="s">
        <v>231</v>
      </c>
      <c r="M92" s="68">
        <v>0.46519661135720702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5.6564636073006477E-3</v>
      </c>
      <c r="J93" s="67" t="s">
        <v>231</v>
      </c>
      <c r="K93" s="68">
        <v>2.8834224624452371E-3</v>
      </c>
      <c r="L93" s="67" t="s">
        <v>231</v>
      </c>
      <c r="M93" s="68">
        <v>0.6346687810243411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6.4745399330502039E-9</v>
      </c>
      <c r="J94" s="67" t="s">
        <v>231</v>
      </c>
      <c r="K94" s="68">
        <v>9.2519611016424772E-4</v>
      </c>
      <c r="L94" s="67" t="s">
        <v>231</v>
      </c>
      <c r="M94" s="68">
        <v>1.1864550548642621E-2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4.3944762093706051E-5</v>
      </c>
      <c r="J95" s="67" t="s">
        <v>231</v>
      </c>
      <c r="K95" s="68">
        <v>4.1001504145632747E-3</v>
      </c>
      <c r="L95" s="67" t="s">
        <v>231</v>
      </c>
      <c r="M95" s="68">
        <v>0.91622666030067712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9.7078443542173755E-8</v>
      </c>
      <c r="J96" s="67" t="s">
        <v>231</v>
      </c>
      <c r="K96" s="68">
        <v>9.6286207080059096E-4</v>
      </c>
      <c r="L96" s="67" t="s">
        <v>231</v>
      </c>
      <c r="M96" s="68">
        <v>1.8046974960325051E-3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3.441041682975437E-8</v>
      </c>
      <c r="J97" s="67" t="s">
        <v>231</v>
      </c>
      <c r="K97" s="68">
        <v>9.4989897250749198E-4</v>
      </c>
      <c r="L97" s="67" t="s">
        <v>231</v>
      </c>
      <c r="M97" s="68">
        <v>6.9822669381803381E-3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8.6404680284515543E-6</v>
      </c>
      <c r="J98" s="67" t="s">
        <v>231</v>
      </c>
      <c r="K98" s="68">
        <v>2.9851091225620795E-3</v>
      </c>
      <c r="L98" s="67" t="s">
        <v>231</v>
      </c>
      <c r="M98" s="68">
        <v>0.66284994594527114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4.1959979151805003E-8</v>
      </c>
      <c r="J99" s="67" t="s">
        <v>231</v>
      </c>
      <c r="K99" s="68">
        <v>9.7807029140400742E-4</v>
      </c>
      <c r="L99" s="67" t="s">
        <v>231</v>
      </c>
      <c r="M99" s="68">
        <v>1.7806438094869855E-4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4.9986635479343632E-5</v>
      </c>
      <c r="J100" s="67" t="s">
        <v>231</v>
      </c>
      <c r="K100" s="68">
        <v>1.5713862057971039E-3</v>
      </c>
      <c r="L100" s="67" t="s">
        <v>231</v>
      </c>
      <c r="M100" s="68">
        <v>0.25879669534624405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1.3083057009537665E-5</v>
      </c>
      <c r="J101" s="67" t="s">
        <v>231</v>
      </c>
      <c r="K101" s="68">
        <v>9.7356502106012827E-4</v>
      </c>
      <c r="L101" s="67" t="s">
        <v>231</v>
      </c>
      <c r="M101" s="68">
        <v>4.5124527778434991E-4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6.4487876145380783E-11</v>
      </c>
      <c r="J102" s="67" t="s">
        <v>231</v>
      </c>
      <c r="K102" s="68">
        <v>9.8226257294683713E-4</v>
      </c>
      <c r="L102" s="67" t="s">
        <v>231</v>
      </c>
      <c r="M102" s="68">
        <v>3.8208451199249611E-5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9.179481676117832E-9</v>
      </c>
      <c r="J103" s="67" t="s">
        <v>231</v>
      </c>
      <c r="K103" s="68">
        <v>9.7829344063154761E-4</v>
      </c>
      <c r="L103" s="67" t="s">
        <v>231</v>
      </c>
      <c r="M103" s="68">
        <v>1.6799512302653112E-4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4.2141970612092615E-7</v>
      </c>
      <c r="J104" s="67" t="s">
        <v>231</v>
      </c>
      <c r="K104" s="68">
        <v>9.5535220489930068E-4</v>
      </c>
      <c r="L104" s="67" t="s">
        <v>231</v>
      </c>
      <c r="M104" s="68">
        <v>3.837026609825156E-3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5.8008713811370205E-8</v>
      </c>
      <c r="J105" s="67" t="s">
        <v>231</v>
      </c>
      <c r="K105" s="68">
        <v>9.8162225239818842E-4</v>
      </c>
      <c r="L105" s="67" t="s">
        <v>231</v>
      </c>
      <c r="M105" s="68">
        <v>5.2976859144486703E-5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5.0633093529570578E-7</v>
      </c>
      <c r="J106" s="67" t="s">
        <v>231</v>
      </c>
      <c r="K106" s="68">
        <v>9.691826454835599E-4</v>
      </c>
      <c r="L106" s="67" t="s">
        <v>231</v>
      </c>
      <c r="M106" s="68">
        <v>3.449971467921565E-2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6.1676731767435801E-5</v>
      </c>
      <c r="J107" s="67" t="s">
        <v>231</v>
      </c>
      <c r="K107" s="68">
        <v>3.0017697212089004E-3</v>
      </c>
      <c r="L107" s="67" t="s">
        <v>231</v>
      </c>
      <c r="M107" s="68">
        <v>0.66798225354078089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6.7393105102450408E-5</v>
      </c>
      <c r="J108" s="67" t="s">
        <v>231</v>
      </c>
      <c r="K108" s="68">
        <v>1.434183254386744E-3</v>
      </c>
      <c r="L108" s="67" t="s">
        <v>231</v>
      </c>
      <c r="M108" s="68">
        <v>0.21470149515367079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0.81987971493953227</v>
      </c>
      <c r="F2" s="14">
        <v>0.77530772182804442</v>
      </c>
      <c r="G2" s="14">
        <v>1.0074479027621452E-6</v>
      </c>
      <c r="H2" s="14">
        <v>10.475966704094382</v>
      </c>
      <c r="I2" s="14">
        <v>28.252135480464734</v>
      </c>
      <c r="J2" s="14">
        <v>0</v>
      </c>
      <c r="K2" s="14">
        <v>1.2898104479627381</v>
      </c>
      <c r="L2" s="14">
        <v>0.77530772182804453</v>
      </c>
      <c r="M2" s="14">
        <v>0.63613998575991049</v>
      </c>
      <c r="N2" s="14">
        <v>1.0017492928585039</v>
      </c>
      <c r="O2" s="14">
        <v>184.43206230817916</v>
      </c>
      <c r="P2" s="8">
        <v>1.0017492928585039</v>
      </c>
      <c r="Q2" s="54">
        <v>0.12057333687397175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0.89288848805388643</v>
      </c>
      <c r="F3" s="14">
        <v>6.5120292298741212E-4</v>
      </c>
      <c r="G3" s="14">
        <v>3.9486153451342319E-5</v>
      </c>
      <c r="H3" s="14">
        <v>68.36224891118728</v>
      </c>
      <c r="I3" s="14">
        <v>1715.0370716085595</v>
      </c>
      <c r="J3" s="14">
        <v>0</v>
      </c>
      <c r="K3" s="14">
        <v>1535.6196428180501</v>
      </c>
      <c r="L3" s="14">
        <v>6.5120292298741212E-4</v>
      </c>
      <c r="M3" s="14">
        <v>5.3431199831117167E-4</v>
      </c>
      <c r="N3" s="14">
        <v>15.914549977118382</v>
      </c>
      <c r="O3" s="14">
        <v>5807.378432150269</v>
      </c>
      <c r="P3" s="8">
        <v>15.914549977118384</v>
      </c>
      <c r="Q3" s="54">
        <v>5.4862237013080857E-2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0.66391449101272737</v>
      </c>
      <c r="F4" s="14">
        <v>0.35447714202175429</v>
      </c>
      <c r="G4" s="14">
        <v>4.8957217122581187E-14</v>
      </c>
      <c r="H4" s="14">
        <v>71.316206779074903</v>
      </c>
      <c r="I4" s="14">
        <v>157.63237039456195</v>
      </c>
      <c r="J4" s="14">
        <v>0</v>
      </c>
      <c r="K4" s="14">
        <v>2.8210563713544889</v>
      </c>
      <c r="L4" s="14">
        <v>0.35447714202175429</v>
      </c>
      <c r="M4" s="14">
        <v>0.29084849502884941</v>
      </c>
      <c r="N4" s="14">
        <v>1.7119331649320175</v>
      </c>
      <c r="O4" s="14">
        <v>543.23063189622781</v>
      </c>
      <c r="P4" s="8">
        <v>1.7119331649320175</v>
      </c>
      <c r="Q4" s="54">
        <v>0.22523994172257411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0.87717034903079871</v>
      </c>
      <c r="F5" s="14">
        <v>6.9277464606000115E-3</v>
      </c>
      <c r="G5" s="14">
        <v>1.3307009680547862E-6</v>
      </c>
      <c r="H5" s="14">
        <v>191.71318623283415</v>
      </c>
      <c r="I5" s="14">
        <v>515.1208822510448</v>
      </c>
      <c r="J5" s="14">
        <v>0</v>
      </c>
      <c r="K5" s="14">
        <v>144.34708395973689</v>
      </c>
      <c r="L5" s="14">
        <v>6.9277464606000115E-3</v>
      </c>
      <c r="M5" s="14">
        <v>5.6842159709223098E-3</v>
      </c>
      <c r="N5" s="14">
        <v>4.6500622924629038</v>
      </c>
      <c r="O5" s="14">
        <v>1630.2653391145695</v>
      </c>
      <c r="P5" s="8">
        <v>4.6500622924629047</v>
      </c>
      <c r="Q5" s="54">
        <v>7.8434865454024172E-2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0.91157603604377913</v>
      </c>
      <c r="F6" s="14">
        <v>2.926621321700464E-4</v>
      </c>
      <c r="G6" s="14">
        <v>1.2928704818534659E-7</v>
      </c>
      <c r="H6" s="14">
        <v>43.815374927393322</v>
      </c>
      <c r="I6" s="14">
        <v>1992.432893897696</v>
      </c>
      <c r="J6" s="14">
        <v>0</v>
      </c>
      <c r="K6" s="14">
        <v>3416.9094326797526</v>
      </c>
      <c r="L6" s="14">
        <v>2.926621321700464E-4</v>
      </c>
      <c r="M6" s="14">
        <v>2.4012927944552307E-4</v>
      </c>
      <c r="N6" s="14">
        <v>18.631997242411355</v>
      </c>
      <c r="O6" s="14">
        <v>6604.8567024624017</v>
      </c>
      <c r="P6" s="8">
        <v>18.631997242411355</v>
      </c>
      <c r="Q6" s="54">
        <v>4.2071084088193156E-2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0.89830178422327533</v>
      </c>
      <c r="F7" s="14">
        <v>5.8329252016508701E-4</v>
      </c>
      <c r="G7" s="14">
        <v>1.9009683885641032E-7</v>
      </c>
      <c r="H7" s="14">
        <v>64.498023668674847</v>
      </c>
      <c r="I7" s="14">
        <v>1765.2392608810667</v>
      </c>
      <c r="J7" s="14">
        <v>0</v>
      </c>
      <c r="K7" s="14">
        <v>1714.4056634173432</v>
      </c>
      <c r="L7" s="14">
        <v>5.8329252016508701E-4</v>
      </c>
      <c r="M7" s="14">
        <v>4.7859151279545389E-4</v>
      </c>
      <c r="N7" s="14">
        <v>16.398884934906388</v>
      </c>
      <c r="O7" s="14">
        <v>5813.2407205749651</v>
      </c>
      <c r="P7" s="8">
        <v>16.398884934906388</v>
      </c>
      <c r="Q7" s="54">
        <v>5.3137801002842079E-2</v>
      </c>
    </row>
    <row r="8" spans="1:20">
      <c r="A8" s="2" t="s">
        <v>323</v>
      </c>
      <c r="B8" s="16" t="s">
        <v>324</v>
      </c>
      <c r="D8" s="14">
        <v>1</v>
      </c>
      <c r="E8" s="14">
        <v>0.88307708506737237</v>
      </c>
      <c r="F8" s="14">
        <v>1.2951867682543903E-3</v>
      </c>
      <c r="G8" s="14">
        <v>1.7897026727078262E-6</v>
      </c>
      <c r="H8" s="14">
        <v>97.848100443068574</v>
      </c>
      <c r="I8" s="14">
        <v>1414.5215548850601</v>
      </c>
      <c r="J8" s="14">
        <v>0</v>
      </c>
      <c r="K8" s="14">
        <v>772.08941946478251</v>
      </c>
      <c r="L8" s="14">
        <v>1.2951867682543903E-3</v>
      </c>
      <c r="M8" s="14">
        <v>1.0627007433527272E-3</v>
      </c>
      <c r="N8" s="14">
        <v>13.0329017445576</v>
      </c>
      <c r="O8" s="14">
        <v>4171.0498743282142</v>
      </c>
      <c r="P8" s="8">
        <v>13.0329017445576</v>
      </c>
      <c r="Q8" s="54">
        <v>6.6498150993549776E-2</v>
      </c>
    </row>
    <row r="9" spans="1:20">
      <c r="A9" s="2" t="s">
        <v>325</v>
      </c>
      <c r="B9" s="16" t="s">
        <v>326</v>
      </c>
      <c r="D9" s="14">
        <v>1</v>
      </c>
      <c r="E9" s="14">
        <v>0.77302044755003763</v>
      </c>
      <c r="F9" s="14">
        <v>5.9507152693723843E-2</v>
      </c>
      <c r="G9" s="14">
        <v>1.1250133039492534E-6</v>
      </c>
      <c r="H9" s="14">
        <v>169.56224991877087</v>
      </c>
      <c r="I9" s="14">
        <v>308.30909848992508</v>
      </c>
      <c r="J9" s="14">
        <v>0</v>
      </c>
      <c r="K9" s="14">
        <v>16.80470253965737</v>
      </c>
      <c r="L9" s="14">
        <v>5.9507152693723843E-2</v>
      </c>
      <c r="M9" s="14">
        <v>4.8825618785200413E-2</v>
      </c>
      <c r="N9" s="14">
        <v>2.7783919099898795</v>
      </c>
      <c r="O9" s="14">
        <v>845.60357780541995</v>
      </c>
      <c r="P9" s="8">
        <v>2.7783919099898799</v>
      </c>
      <c r="Q9" s="54">
        <v>0.15051727299056925</v>
      </c>
    </row>
    <row r="10" spans="1:20">
      <c r="A10" s="2" t="s">
        <v>275</v>
      </c>
      <c r="B10" s="16" t="s">
        <v>276</v>
      </c>
      <c r="D10" s="14">
        <v>1</v>
      </c>
      <c r="E10" s="14">
        <v>0.87620185661742456</v>
      </c>
      <c r="F10" s="14">
        <v>6.4416437902346697E-3</v>
      </c>
      <c r="G10" s="14">
        <v>1.709405878924602E-8</v>
      </c>
      <c r="H10" s="14">
        <v>187.76589234585671</v>
      </c>
      <c r="I10" s="14">
        <v>550.39423500442001</v>
      </c>
      <c r="J10" s="14">
        <v>0</v>
      </c>
      <c r="K10" s="14">
        <v>155.2398786030312</v>
      </c>
      <c r="L10" s="14">
        <v>6.4416437902346706E-3</v>
      </c>
      <c r="M10" s="14">
        <v>5.2853687298875475E-3</v>
      </c>
      <c r="N10" s="14">
        <v>4.9731243996810637</v>
      </c>
      <c r="O10" s="14">
        <v>1842.4928588378373</v>
      </c>
      <c r="P10" s="8">
        <v>4.9731243996810637</v>
      </c>
      <c r="Q10" s="54">
        <v>7.8863105761468349E-2</v>
      </c>
    </row>
    <row r="11" spans="1:20">
      <c r="A11" s="2" t="s">
        <v>327</v>
      </c>
      <c r="B11" s="16" t="s">
        <v>328</v>
      </c>
      <c r="D11" s="14">
        <v>1</v>
      </c>
      <c r="E11" s="14">
        <v>0.87462551540245637</v>
      </c>
      <c r="F11" s="14">
        <v>5.68826355786709E-3</v>
      </c>
      <c r="G11" s="14">
        <v>8.9007826965244789E-7</v>
      </c>
      <c r="H11" s="14">
        <v>180.800534741777</v>
      </c>
      <c r="I11" s="14">
        <v>612.7126987783555</v>
      </c>
      <c r="J11" s="14">
        <v>0</v>
      </c>
      <c r="K11" s="14">
        <v>175.80057425731638</v>
      </c>
      <c r="L11" s="14">
        <v>5.68826355786709E-3</v>
      </c>
      <c r="M11" s="14">
        <v>4.6672202492299471E-3</v>
      </c>
      <c r="N11" s="14">
        <v>5.5451387660885203</v>
      </c>
      <c r="O11" s="14">
        <v>2112.1988073907783</v>
      </c>
      <c r="P11" s="8">
        <v>5.5451387660885203</v>
      </c>
      <c r="Q11" s="54">
        <v>7.9333548714506971E-2</v>
      </c>
    </row>
    <row r="12" spans="1:20">
      <c r="A12" s="2" t="s">
        <v>329</v>
      </c>
      <c r="B12" s="16" t="s">
        <v>330</v>
      </c>
      <c r="D12" s="14">
        <v>1</v>
      </c>
      <c r="E12" s="14">
        <v>0.80772749387588072</v>
      </c>
      <c r="F12" s="14">
        <v>3.8193644814601149E-2</v>
      </c>
      <c r="G12" s="14">
        <v>5.886262052586333E-7</v>
      </c>
      <c r="H12" s="14">
        <v>183.99715377227957</v>
      </c>
      <c r="I12" s="14">
        <v>321.86094035220071</v>
      </c>
      <c r="J12" s="14">
        <v>0</v>
      </c>
      <c r="K12" s="14">
        <v>26.182366329638889</v>
      </c>
      <c r="L12" s="14">
        <v>3.8193644814601149E-2</v>
      </c>
      <c r="M12" s="14">
        <v>3.1337885570380246E-2</v>
      </c>
      <c r="N12" s="14">
        <v>2.8881518818344865</v>
      </c>
      <c r="O12" s="14">
        <v>792.50887637538301</v>
      </c>
      <c r="P12" s="8">
        <v>2.8881518818344865</v>
      </c>
      <c r="Q12" s="54">
        <v>0.12701887906347761</v>
      </c>
    </row>
    <row r="13" spans="1:20">
      <c r="A13" s="2" t="s">
        <v>277</v>
      </c>
      <c r="B13" s="16" t="s">
        <v>278</v>
      </c>
      <c r="D13" s="14">
        <v>1</v>
      </c>
      <c r="E13" s="14">
        <v>0.77634389416019367</v>
      </c>
      <c r="F13" s="14">
        <v>5.709300826060295E-2</v>
      </c>
      <c r="G13" s="14">
        <v>1.7510212414724876E-6</v>
      </c>
      <c r="H13" s="14">
        <v>171.02631045886071</v>
      </c>
      <c r="I13" s="14">
        <v>309.82759622246931</v>
      </c>
      <c r="J13" s="14">
        <v>0</v>
      </c>
      <c r="K13" s="14">
        <v>17.515279549388367</v>
      </c>
      <c r="L13" s="14">
        <v>5.7093008260602957E-2</v>
      </c>
      <c r="M13" s="14">
        <v>4.6844813277824721E-2</v>
      </c>
      <c r="N13" s="14">
        <v>2.7904355114585422</v>
      </c>
      <c r="O13" s="14">
        <v>1135.5119226778247</v>
      </c>
      <c r="P13" s="8">
        <v>2.7904355114585426</v>
      </c>
      <c r="Q13" s="54">
        <v>0.14822453534312161</v>
      </c>
    </row>
    <row r="14" spans="1:20">
      <c r="A14" s="2" t="s">
        <v>331</v>
      </c>
      <c r="B14" s="16" t="s">
        <v>332</v>
      </c>
      <c r="D14" s="14">
        <v>1</v>
      </c>
      <c r="E14" s="14">
        <v>0.87252689745061296</v>
      </c>
      <c r="F14" s="14">
        <v>3.7741229258913397E-3</v>
      </c>
      <c r="G14" s="14">
        <v>5.9309536358511511E-7</v>
      </c>
      <c r="H14" s="14">
        <v>156.89028117635354</v>
      </c>
      <c r="I14" s="14">
        <v>833.59137440698339</v>
      </c>
      <c r="J14" s="14">
        <v>0</v>
      </c>
      <c r="K14" s="14">
        <v>264.96222291536213</v>
      </c>
      <c r="L14" s="14">
        <v>3.7741229258913397E-3</v>
      </c>
      <c r="M14" s="14">
        <v>3.0966678606938443E-3</v>
      </c>
      <c r="N14" s="14">
        <v>7.5842499115078299</v>
      </c>
      <c r="O14" s="14">
        <v>2888.9166337924476</v>
      </c>
      <c r="P14" s="8">
        <v>7.5842499115078299</v>
      </c>
      <c r="Q14" s="54">
        <v>7.8841197511123562E-2</v>
      </c>
    </row>
    <row r="15" spans="1:20">
      <c r="A15" s="2" t="s">
        <v>333</v>
      </c>
      <c r="B15" s="16" t="s">
        <v>334</v>
      </c>
      <c r="D15" s="14">
        <v>1</v>
      </c>
      <c r="E15" s="14">
        <v>0.87540395660144432</v>
      </c>
      <c r="F15" s="14">
        <v>6.056254941695643E-3</v>
      </c>
      <c r="G15" s="14">
        <v>9.690643933760114E-10</v>
      </c>
      <c r="H15" s="14">
        <v>184.34193792251597</v>
      </c>
      <c r="I15" s="14">
        <v>581.00693941429813</v>
      </c>
      <c r="J15" s="14">
        <v>0</v>
      </c>
      <c r="K15" s="14">
        <v>165.11854431940705</v>
      </c>
      <c r="L15" s="14">
        <v>6.056254941695643E-3</v>
      </c>
      <c r="M15" s="14">
        <v>4.9691571796612747E-3</v>
      </c>
      <c r="N15" s="14">
        <v>5.2539194904092152</v>
      </c>
      <c r="O15" s="14">
        <v>2020.0269656725352</v>
      </c>
      <c r="P15" s="8">
        <v>5.2539194904092152</v>
      </c>
      <c r="Q15" s="54">
        <v>7.9137316504926378E-2</v>
      </c>
    </row>
    <row r="16" spans="1:20">
      <c r="A16" s="2" t="s">
        <v>335</v>
      </c>
      <c r="B16" s="16" t="s">
        <v>336</v>
      </c>
      <c r="D16" s="14">
        <v>1</v>
      </c>
      <c r="E16" s="14">
        <v>0.8822725457818944</v>
      </c>
      <c r="F16" s="14">
        <v>1.3398960603722917E-3</v>
      </c>
      <c r="G16" s="14">
        <v>4.649428761831647E-6</v>
      </c>
      <c r="H16" s="14">
        <v>99.488093882454862</v>
      </c>
      <c r="I16" s="14">
        <v>1397.1025359376179</v>
      </c>
      <c r="J16" s="14">
        <v>0</v>
      </c>
      <c r="K16" s="14">
        <v>746.32654694286407</v>
      </c>
      <c r="L16" s="14">
        <v>1.3398960603722919E-3</v>
      </c>
      <c r="M16" s="14">
        <v>1.0993847175354654E-3</v>
      </c>
      <c r="N16" s="14">
        <v>12.867615908463687</v>
      </c>
      <c r="O16" s="14">
        <v>4803.7383709476635</v>
      </c>
      <c r="P16" s="8">
        <v>12.867615908463689</v>
      </c>
      <c r="Q16" s="54">
        <v>6.702368176644187E-2</v>
      </c>
    </row>
    <row r="17" spans="1:21">
      <c r="A17" s="2" t="s">
        <v>337</v>
      </c>
      <c r="B17" s="16" t="s">
        <v>338</v>
      </c>
      <c r="D17" s="14">
        <v>1</v>
      </c>
      <c r="E17" s="14">
        <v>0.87687777380451837</v>
      </c>
      <c r="F17" s="14">
        <v>6.763036848476147E-3</v>
      </c>
      <c r="G17" s="14">
        <v>3.4178282993110046E-7</v>
      </c>
      <c r="H17" s="14">
        <v>190.42403073187336</v>
      </c>
      <c r="I17" s="14">
        <v>526.71892697860312</v>
      </c>
      <c r="J17" s="14">
        <v>0</v>
      </c>
      <c r="K17" s="14">
        <v>147.86256860707786</v>
      </c>
      <c r="L17" s="14">
        <v>6.7630368484761479E-3</v>
      </c>
      <c r="M17" s="14">
        <v>5.5490717341746794E-3</v>
      </c>
      <c r="N17" s="14">
        <v>4.7562261914439601</v>
      </c>
      <c r="O17" s="14">
        <v>1851.6939808529623</v>
      </c>
      <c r="P17" s="8">
        <v>4.7562261914439601</v>
      </c>
      <c r="Q17" s="54">
        <v>7.8592105624117212E-2</v>
      </c>
    </row>
    <row r="18" spans="1:21">
      <c r="A18" s="2" t="s">
        <v>279</v>
      </c>
      <c r="B18" s="16" t="s">
        <v>280</v>
      </c>
      <c r="D18" s="14">
        <v>1</v>
      </c>
      <c r="E18" s="14">
        <v>0.75559840148005597</v>
      </c>
      <c r="F18" s="14">
        <v>7.128635086195563E-2</v>
      </c>
      <c r="G18" s="14">
        <v>3.3810755214219533E-5</v>
      </c>
      <c r="H18" s="14">
        <v>162.19086268842355</v>
      </c>
      <c r="I18" s="14">
        <v>299.83584748776633</v>
      </c>
      <c r="J18" s="14">
        <v>0</v>
      </c>
      <c r="K18" s="14">
        <v>14.027930843822777</v>
      </c>
      <c r="L18" s="14">
        <v>7.1286350861955644E-2</v>
      </c>
      <c r="M18" s="14">
        <v>5.8490450882234604E-2</v>
      </c>
      <c r="N18" s="14">
        <v>2.7107814830775783</v>
      </c>
      <c r="O18" s="14">
        <v>788.3765787234521</v>
      </c>
      <c r="P18" s="8">
        <v>2.7107814830775783</v>
      </c>
      <c r="Q18" s="54">
        <v>0.16035538712019026</v>
      </c>
    </row>
    <row r="19" spans="1:21">
      <c r="A19" s="2" t="s">
        <v>339</v>
      </c>
      <c r="B19" s="16" t="s">
        <v>340</v>
      </c>
      <c r="D19" s="14">
        <v>1</v>
      </c>
      <c r="E19" s="14">
        <v>0.87525467273694357</v>
      </c>
      <c r="F19" s="14">
        <v>5.981336653436739E-3</v>
      </c>
      <c r="G19" s="14">
        <v>3.3963053920368547E-9</v>
      </c>
      <c r="H19" s="14">
        <v>183.64463565456106</v>
      </c>
      <c r="I19" s="14">
        <v>587.26675694555001</v>
      </c>
      <c r="J19" s="14">
        <v>0</v>
      </c>
      <c r="K19" s="14">
        <v>167.18671058674201</v>
      </c>
      <c r="L19" s="14">
        <v>5.981336653436739E-3</v>
      </c>
      <c r="M19" s="14">
        <v>4.9076867241448444E-3</v>
      </c>
      <c r="N19" s="14">
        <v>5.3113837618125723</v>
      </c>
      <c r="O19" s="14">
        <v>1835.8797972705156</v>
      </c>
      <c r="P19" s="8">
        <v>5.3113837618125732</v>
      </c>
      <c r="Q19" s="54">
        <v>7.9183631922097639E-2</v>
      </c>
    </row>
    <row r="20" spans="1:21">
      <c r="A20" s="2" t="s">
        <v>281</v>
      </c>
      <c r="B20" s="16" t="s">
        <v>282</v>
      </c>
      <c r="D20" s="14">
        <v>1</v>
      </c>
      <c r="E20" s="14">
        <v>0.77644773582279536</v>
      </c>
      <c r="F20" s="14">
        <v>5.7100644867196133E-2</v>
      </c>
      <c r="G20" s="14">
        <v>2.6506323902951858E-7</v>
      </c>
      <c r="H20" s="14">
        <v>171.04918647625493</v>
      </c>
      <c r="I20" s="14">
        <v>309.86903792498504</v>
      </c>
      <c r="J20" s="14">
        <v>0</v>
      </c>
      <c r="K20" s="14">
        <v>17.512937066223785</v>
      </c>
      <c r="L20" s="14">
        <v>5.7100644867196133E-2</v>
      </c>
      <c r="M20" s="14">
        <v>4.6851079113534429E-2</v>
      </c>
      <c r="N20" s="14">
        <v>2.7908087525763934</v>
      </c>
      <c r="O20" s="14">
        <v>812.85095727540022</v>
      </c>
      <c r="P20" s="8">
        <v>2.7908087525763934</v>
      </c>
      <c r="Q20" s="54">
        <v>0.14824436145665734</v>
      </c>
    </row>
    <row r="21" spans="1:21">
      <c r="A21" s="2" t="s">
        <v>341</v>
      </c>
      <c r="B21" s="16" t="s">
        <v>342</v>
      </c>
      <c r="D21" s="14">
        <v>1</v>
      </c>
      <c r="E21" s="14">
        <v>0.87237210109490559</v>
      </c>
      <c r="F21" s="14">
        <v>4.267363381152787E-3</v>
      </c>
      <c r="G21" s="14">
        <v>4.9651013030357857E-6</v>
      </c>
      <c r="H21" s="14">
        <v>164.09661638778678</v>
      </c>
      <c r="I21" s="14">
        <v>765.16799606412872</v>
      </c>
      <c r="J21" s="14">
        <v>0</v>
      </c>
      <c r="K21" s="14">
        <v>234.33673457868491</v>
      </c>
      <c r="L21" s="14">
        <v>4.267363381152787E-3</v>
      </c>
      <c r="M21" s="14">
        <v>3.5013716542358618E-3</v>
      </c>
      <c r="N21" s="14">
        <v>6.9507421302198855</v>
      </c>
      <c r="O21" s="14">
        <v>2330.4448214201229</v>
      </c>
      <c r="P21" s="8">
        <v>6.9507421302198864</v>
      </c>
      <c r="Q21" s="54">
        <v>7.9278750543721466E-2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0.7125686636748777</v>
      </c>
      <c r="F22" s="14">
        <v>0.56337237588734912</v>
      </c>
      <c r="G22" s="14">
        <v>2.178432140212167E-5</v>
      </c>
      <c r="H22" s="14">
        <v>34.128370133489263</v>
      </c>
      <c r="I22" s="14">
        <v>82.408634684261031</v>
      </c>
      <c r="J22" s="14">
        <v>0</v>
      </c>
      <c r="K22" s="14">
        <v>1.7750249085694576</v>
      </c>
      <c r="L22" s="14">
        <v>0.56337237588734912</v>
      </c>
      <c r="M22" s="14">
        <v>0.46224703441556997</v>
      </c>
      <c r="N22" s="14">
        <v>1.2603353118145217</v>
      </c>
      <c r="O22" s="14">
        <v>206.94705819994448</v>
      </c>
      <c r="P22" s="8">
        <v>1.260335311814522</v>
      </c>
      <c r="Q22" s="54">
        <v>0.191501737624614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0.7826945885464669</v>
      </c>
      <c r="F23" s="14">
        <v>0.71218791484305033</v>
      </c>
      <c r="G23" s="14">
        <v>9.2811776924288398E-7</v>
      </c>
      <c r="H23" s="14">
        <v>16.269514744342846</v>
      </c>
      <c r="I23" s="14">
        <v>42.211595774065401</v>
      </c>
      <c r="J23" s="14">
        <v>0</v>
      </c>
      <c r="K23" s="14">
        <v>1.4041237981697243</v>
      </c>
      <c r="L23" s="14">
        <v>0.71218791484305033</v>
      </c>
      <c r="M23" s="14">
        <v>0.58435018412872286</v>
      </c>
      <c r="N23" s="14">
        <v>1.0594360634579352</v>
      </c>
      <c r="O23" s="14">
        <v>160.14435535230149</v>
      </c>
      <c r="P23" s="8">
        <v>1.0594360634579354</v>
      </c>
      <c r="Q23" s="54">
        <v>0.1456236024966856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0.68581147908723517</v>
      </c>
      <c r="F24" s="14">
        <v>0.17440769733800843</v>
      </c>
      <c r="G24" s="14">
        <v>8.0303437440099413E-7</v>
      </c>
      <c r="H24" s="14">
        <v>119.48287064784985</v>
      </c>
      <c r="I24" s="14">
        <v>241.30305428719566</v>
      </c>
      <c r="J24" s="14">
        <v>0</v>
      </c>
      <c r="K24" s="14">
        <v>5.7336918912584673</v>
      </c>
      <c r="L24" s="14">
        <v>0.17440769733800845</v>
      </c>
      <c r="M24" s="14">
        <v>0.14310151566583593</v>
      </c>
      <c r="N24" s="14">
        <v>2.2777224028594705</v>
      </c>
      <c r="O24" s="14">
        <v>401.44857350398166</v>
      </c>
      <c r="P24" s="8">
        <v>2.2777224028594705</v>
      </c>
      <c r="Q24" s="54">
        <v>0.2098760196071692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0.83708412556274447</v>
      </c>
      <c r="F25" s="14">
        <v>2.078328008005953E-2</v>
      </c>
      <c r="G25" s="14">
        <v>1.4695439460520458E-4</v>
      </c>
      <c r="H25" s="14">
        <v>196.67723327669219</v>
      </c>
      <c r="I25" s="14">
        <v>327.34918279219806</v>
      </c>
      <c r="J25" s="14">
        <v>0</v>
      </c>
      <c r="K25" s="14">
        <v>48.115600432072682</v>
      </c>
      <c r="L25" s="14">
        <v>2.0783280080059533E-2</v>
      </c>
      <c r="M25" s="14">
        <v>1.7052681305688846E-2</v>
      </c>
      <c r="N25" s="14">
        <v>2.9343169111577789</v>
      </c>
      <c r="O25" s="14">
        <v>564.26914201564091</v>
      </c>
      <c r="P25" s="8">
        <v>2.9343169111577789</v>
      </c>
      <c r="Q25" s="54">
        <v>9.8267806291837151E-2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0.87277484330537525</v>
      </c>
      <c r="F26" s="14">
        <v>4.6242461380484453E-3</v>
      </c>
      <c r="G26" s="14">
        <v>3.9851936552665748E-6</v>
      </c>
      <c r="H26" s="14">
        <v>168.81885194968157</v>
      </c>
      <c r="I26" s="14">
        <v>721.56940954924187</v>
      </c>
      <c r="J26" s="14">
        <v>0</v>
      </c>
      <c r="K26" s="14">
        <v>216.25146459483807</v>
      </c>
      <c r="L26" s="14">
        <v>4.6242461380484453E-3</v>
      </c>
      <c r="M26" s="14">
        <v>3.7941939562687495E-3</v>
      </c>
      <c r="N26" s="14">
        <v>6.5479031840705542</v>
      </c>
      <c r="O26" s="14">
        <v>1456.057231041769</v>
      </c>
      <c r="P26" s="8">
        <v>6.5479031840705542</v>
      </c>
      <c r="Q26" s="54">
        <v>7.944711174536756E-2</v>
      </c>
    </row>
    <row r="27" spans="1:21">
      <c r="A27" s="2" t="s">
        <v>353</v>
      </c>
      <c r="B27" s="16" t="s">
        <v>354</v>
      </c>
      <c r="D27" s="14">
        <v>1</v>
      </c>
      <c r="E27" s="14">
        <v>0.89202788767818475</v>
      </c>
      <c r="F27" s="14">
        <v>7.1589083991415239E-4</v>
      </c>
      <c r="G27" s="14">
        <v>2.7370031244478288E-5</v>
      </c>
      <c r="H27" s="14">
        <v>71.969221599531366</v>
      </c>
      <c r="I27" s="14">
        <v>1679.2059957666575</v>
      </c>
      <c r="J27" s="14">
        <v>0</v>
      </c>
      <c r="K27" s="14">
        <v>1396.8610076361879</v>
      </c>
      <c r="L27" s="14">
        <v>7.158908399141525E-4</v>
      </c>
      <c r="M27" s="14">
        <v>5.8738843414956211E-4</v>
      </c>
      <c r="N27" s="14">
        <v>15.567430608577693</v>
      </c>
      <c r="O27" s="14">
        <v>3679.9849215616809</v>
      </c>
      <c r="P27" s="8">
        <v>15.567430608577695</v>
      </c>
      <c r="Q27" s="54">
        <v>5.6507224494017301E-2</v>
      </c>
    </row>
    <row r="28" spans="1:21">
      <c r="A28" s="2" t="s">
        <v>355</v>
      </c>
      <c r="B28" s="16" t="s">
        <v>356</v>
      </c>
      <c r="D28" s="14">
        <v>1</v>
      </c>
      <c r="E28" s="14">
        <v>0.87413437457185772</v>
      </c>
      <c r="F28" s="14">
        <v>2.5511574531545144E-3</v>
      </c>
      <c r="G28" s="14">
        <v>1.4950845413229932E-6</v>
      </c>
      <c r="H28" s="14">
        <v>133.97916393831153</v>
      </c>
      <c r="I28" s="14">
        <v>1053.1601898693775</v>
      </c>
      <c r="J28" s="14">
        <v>0</v>
      </c>
      <c r="K28" s="14">
        <v>391.97894224972146</v>
      </c>
      <c r="L28" s="14">
        <v>2.5511574531545149E-3</v>
      </c>
      <c r="M28" s="14">
        <v>2.0932246903132795E-3</v>
      </c>
      <c r="N28" s="14">
        <v>9.6285381487195281</v>
      </c>
      <c r="O28" s="14">
        <v>2488.0142576291255</v>
      </c>
      <c r="P28" s="8">
        <v>9.6285381487195281</v>
      </c>
      <c r="Q28" s="54">
        <v>7.5769502227570687E-2</v>
      </c>
    </row>
    <row r="29" spans="1:21">
      <c r="A29" s="2" t="s">
        <v>357</v>
      </c>
      <c r="B29" s="16" t="s">
        <v>358</v>
      </c>
      <c r="D29" s="14">
        <v>1</v>
      </c>
      <c r="E29" s="14">
        <v>0.84893150014041108</v>
      </c>
      <c r="F29" s="14">
        <v>3.8274246830774213E-3</v>
      </c>
      <c r="G29" s="14">
        <v>3.013249831838547E-4</v>
      </c>
      <c r="H29" s="14">
        <v>155.02675384971039</v>
      </c>
      <c r="I29" s="14">
        <v>788.61280406551873</v>
      </c>
      <c r="J29" s="14">
        <v>0</v>
      </c>
      <c r="K29" s="14">
        <v>261.27228693000825</v>
      </c>
      <c r="L29" s="14">
        <v>3.8274246830774217E-3</v>
      </c>
      <c r="M29" s="14">
        <v>3.1404019524650245E-3</v>
      </c>
      <c r="N29" s="14">
        <v>7.1712311780846587</v>
      </c>
      <c r="O29" s="14">
        <v>1695.2073381874325</v>
      </c>
      <c r="P29" s="8">
        <v>7.1712311780846587</v>
      </c>
      <c r="Q29" s="54">
        <v>7.6888931213513423E-2</v>
      </c>
    </row>
    <row r="30" spans="1:21">
      <c r="A30" s="2" t="s">
        <v>359</v>
      </c>
      <c r="B30" s="16" t="s">
        <v>360</v>
      </c>
      <c r="D30" s="14">
        <v>1</v>
      </c>
      <c r="E30" s="14">
        <v>0.87413437457185772</v>
      </c>
      <c r="F30" s="14">
        <v>2.5511574531545144E-3</v>
      </c>
      <c r="G30" s="14">
        <v>1.4950845413229932E-6</v>
      </c>
      <c r="H30" s="14">
        <v>133.97916393831153</v>
      </c>
      <c r="I30" s="14">
        <v>1053.1601898693775</v>
      </c>
      <c r="J30" s="14">
        <v>0</v>
      </c>
      <c r="K30" s="14">
        <v>391.97894224972146</v>
      </c>
      <c r="L30" s="14">
        <v>2.5511574531545149E-3</v>
      </c>
      <c r="M30" s="14">
        <v>2.0932246903132795E-3</v>
      </c>
      <c r="N30" s="14">
        <v>9.6285381487195281</v>
      </c>
      <c r="O30" s="14">
        <v>2488.0142576291255</v>
      </c>
      <c r="P30" s="8">
        <v>9.6285381487195281</v>
      </c>
      <c r="Q30" s="54">
        <v>7.5769502227570687E-2</v>
      </c>
    </row>
    <row r="31" spans="1:21">
      <c r="A31" s="2" t="s">
        <v>283</v>
      </c>
      <c r="B31" s="16" t="s">
        <v>284</v>
      </c>
      <c r="D31" s="14">
        <v>1</v>
      </c>
      <c r="E31" s="14">
        <v>0.97530644169084768</v>
      </c>
      <c r="F31" s="14">
        <v>0.97827988220022299</v>
      </c>
      <c r="G31" s="14">
        <v>2.9091868128203242E-10</v>
      </c>
      <c r="H31" s="14">
        <v>0.17042885355538673</v>
      </c>
      <c r="I31" s="14">
        <v>0.63328659222281491</v>
      </c>
      <c r="J31" s="14">
        <v>0</v>
      </c>
      <c r="K31" s="14">
        <v>1.0222023555783717</v>
      </c>
      <c r="L31" s="14">
        <v>0.97827988220022311</v>
      </c>
      <c r="M31" s="14">
        <v>0.80267864334528305</v>
      </c>
      <c r="N31" s="14">
        <v>0.96697492376548444</v>
      </c>
      <c r="O31" s="14">
        <v>187.77686044601941</v>
      </c>
      <c r="P31" s="8">
        <v>0.96697492376548444</v>
      </c>
      <c r="Q31" s="54">
        <v>1.5754342882409605E-2</v>
      </c>
    </row>
    <row r="32" spans="1:21">
      <c r="A32" s="2" t="s">
        <v>361</v>
      </c>
      <c r="B32" s="16" t="s">
        <v>362</v>
      </c>
      <c r="D32" s="14">
        <v>1</v>
      </c>
      <c r="E32" s="14">
        <v>0.67651853700163322</v>
      </c>
      <c r="F32" s="14">
        <v>0.43525574605922596</v>
      </c>
      <c r="G32" s="14">
        <v>2.3666107415196892E-10</v>
      </c>
      <c r="H32" s="14">
        <v>55.395748352245342</v>
      </c>
      <c r="I32" s="14">
        <v>126.46102879027509</v>
      </c>
      <c r="J32" s="14">
        <v>0</v>
      </c>
      <c r="K32" s="14">
        <v>2.2974998240779763</v>
      </c>
      <c r="L32" s="14">
        <v>0.43525574605922596</v>
      </c>
      <c r="M32" s="14">
        <v>0.35712733964159493</v>
      </c>
      <c r="N32" s="14">
        <v>1.5887081865502983</v>
      </c>
      <c r="O32" s="14">
        <v>406.85227949366583</v>
      </c>
      <c r="P32" s="8">
        <v>1.5887081865502983</v>
      </c>
      <c r="Q32" s="54">
        <v>0.21684864391044742</v>
      </c>
    </row>
    <row r="33" spans="1:17">
      <c r="A33" s="2" t="s">
        <v>364</v>
      </c>
      <c r="B33" s="16" t="s">
        <v>365</v>
      </c>
      <c r="D33" s="14">
        <v>1</v>
      </c>
      <c r="E33" s="14">
        <v>0.99856595235655454</v>
      </c>
      <c r="F33" s="14">
        <v>0.99825976996452603</v>
      </c>
      <c r="G33" s="14">
        <v>1.3394543096954522E-12</v>
      </c>
      <c r="H33" s="14">
        <v>1.1927339174009171</v>
      </c>
      <c r="I33" s="14">
        <v>3.3770112495090559E-3</v>
      </c>
      <c r="J33" s="14">
        <v>0</v>
      </c>
      <c r="K33" s="14">
        <v>1.0017432637153512</v>
      </c>
      <c r="L33" s="14">
        <v>0.99825976996452614</v>
      </c>
      <c r="M33" s="14">
        <v>0.81907214125589367</v>
      </c>
      <c r="N33" s="14">
        <v>0.98357218450303119</v>
      </c>
      <c r="O33" s="14">
        <v>291.28490244057264</v>
      </c>
      <c r="P33" s="8">
        <v>0.98357218450303119</v>
      </c>
      <c r="Q33" s="54">
        <v>3.8506363598443793E-5</v>
      </c>
    </row>
    <row r="34" spans="1:17">
      <c r="A34" s="2" t="s">
        <v>285</v>
      </c>
      <c r="B34" s="16" t="s">
        <v>286</v>
      </c>
      <c r="D34" s="14">
        <v>1</v>
      </c>
      <c r="E34" s="14">
        <v>0.99882028446424465</v>
      </c>
      <c r="F34" s="14">
        <v>0.54922150873898878</v>
      </c>
      <c r="G34" s="14">
        <v>3.9840271664259938E-12</v>
      </c>
      <c r="H34" s="14">
        <v>128.38300501368147</v>
      </c>
      <c r="I34" s="14">
        <v>9.7621091544805388E-2</v>
      </c>
      <c r="J34" s="14">
        <v>0</v>
      </c>
      <c r="K34" s="14">
        <v>1.8207589908414139</v>
      </c>
      <c r="L34" s="14">
        <v>0.54922150873898878</v>
      </c>
      <c r="M34" s="14">
        <v>0.45063624792034029</v>
      </c>
      <c r="N34" s="14">
        <v>0.70375062595781113</v>
      </c>
      <c r="O34" s="14">
        <v>155.55703836171458</v>
      </c>
      <c r="P34" s="8">
        <v>0.70375062595781124</v>
      </c>
      <c r="Q34" s="54">
        <v>1.3126340307503752E-4</v>
      </c>
    </row>
    <row r="35" spans="1:17">
      <c r="A35" s="2" t="s">
        <v>287</v>
      </c>
      <c r="B35" s="16" t="s">
        <v>288</v>
      </c>
      <c r="D35" s="14">
        <v>1</v>
      </c>
      <c r="E35" s="14">
        <v>0.99875653758733973</v>
      </c>
      <c r="F35" s="14">
        <v>0.32521561712868913</v>
      </c>
      <c r="G35" s="14">
        <v>1.1607420750395578E-13</v>
      </c>
      <c r="H35" s="14">
        <v>191.75707328738818</v>
      </c>
      <c r="I35" s="14">
        <v>0.3438272792592611</v>
      </c>
      <c r="J35" s="14">
        <v>0</v>
      </c>
      <c r="K35" s="14">
        <v>3.0748830847329698</v>
      </c>
      <c r="L35" s="14">
        <v>0.32521561712868913</v>
      </c>
      <c r="M35" s="14">
        <v>0.26683941385408944</v>
      </c>
      <c r="N35" s="14">
        <v>0.55190163561313954</v>
      </c>
      <c r="O35" s="14">
        <v>127.08087061628152</v>
      </c>
      <c r="P35" s="8">
        <v>0.55190163561313965</v>
      </c>
      <c r="Q35" s="54">
        <v>3.1779007583993457E-4</v>
      </c>
    </row>
    <row r="36" spans="1:17">
      <c r="A36" s="2" t="s">
        <v>366</v>
      </c>
      <c r="B36" s="16" t="s">
        <v>305</v>
      </c>
      <c r="D36" s="14">
        <v>1</v>
      </c>
      <c r="E36" s="14">
        <v>0.99892868481005881</v>
      </c>
      <c r="F36" s="14">
        <v>0.10850581911290981</v>
      </c>
      <c r="G36" s="14">
        <v>2.0467957392148715E-10</v>
      </c>
      <c r="H36" s="14">
        <v>253.12382805149068</v>
      </c>
      <c r="I36" s="14">
        <v>0.67102148951072638</v>
      </c>
      <c r="J36" s="14">
        <v>0</v>
      </c>
      <c r="K36" s="14">
        <v>9.2160955806380525</v>
      </c>
      <c r="L36" s="14">
        <v>0.10850581911290981</v>
      </c>
      <c r="M36" s="14">
        <v>8.9029024582142499E-2</v>
      </c>
      <c r="N36" s="14">
        <v>0.38928402443992977</v>
      </c>
      <c r="O36" s="14">
        <v>80.301508561468722</v>
      </c>
      <c r="P36" s="8">
        <v>0.38928402443992982</v>
      </c>
      <c r="Q36" s="54">
        <v>3.5525191583045922E-4</v>
      </c>
    </row>
    <row r="37" spans="1:17">
      <c r="A37" s="2" t="s">
        <v>289</v>
      </c>
      <c r="B37" s="16" t="s">
        <v>290</v>
      </c>
      <c r="D37" s="14">
        <v>1</v>
      </c>
      <c r="E37" s="14">
        <v>0.92801190730786676</v>
      </c>
      <c r="F37" s="14">
        <v>0.20871528798499989</v>
      </c>
      <c r="G37" s="14">
        <v>4.6532516790388318E-17</v>
      </c>
      <c r="H37" s="14">
        <v>197.9129724233247</v>
      </c>
      <c r="I37" s="14">
        <v>62.56124428242628</v>
      </c>
      <c r="J37" s="14">
        <v>0</v>
      </c>
      <c r="K37" s="14">
        <v>4.7912158694952369</v>
      </c>
      <c r="L37" s="14">
        <v>0.20871528798499989</v>
      </c>
      <c r="M37" s="14">
        <v>0.17125089379169242</v>
      </c>
      <c r="N37" s="14">
        <v>0.94538678451443081</v>
      </c>
      <c r="O37" s="14">
        <v>329.39166346051803</v>
      </c>
      <c r="P37" s="8">
        <v>0.94538678451443092</v>
      </c>
      <c r="Q37" s="54">
        <v>4.7698572055820961E-2</v>
      </c>
    </row>
    <row r="38" spans="1:17">
      <c r="A38" s="2" t="s">
        <v>291</v>
      </c>
      <c r="B38" s="16" t="s">
        <v>292</v>
      </c>
      <c r="D38" s="14">
        <v>1</v>
      </c>
      <c r="E38" s="14">
        <v>0.99706567392019674</v>
      </c>
      <c r="F38" s="14">
        <v>0.61498457992442568</v>
      </c>
      <c r="G38" s="14">
        <v>1.3409775936485144E-14</v>
      </c>
      <c r="H38" s="14">
        <v>109.18531375988253</v>
      </c>
      <c r="I38" s="14">
        <v>0.84458407730985863</v>
      </c>
      <c r="J38" s="14">
        <v>0</v>
      </c>
      <c r="K38" s="14">
        <v>1.6260570307679714</v>
      </c>
      <c r="L38" s="14">
        <v>0.61498457992442579</v>
      </c>
      <c r="M38" s="14">
        <v>0.50459484782799136</v>
      </c>
      <c r="N38" s="14">
        <v>0.7525294524409285</v>
      </c>
      <c r="O38" s="14">
        <v>232.02740607111147</v>
      </c>
      <c r="P38" s="8">
        <v>0.7525294524409285</v>
      </c>
      <c r="Q38" s="54">
        <v>1.2695297704958697E-3</v>
      </c>
    </row>
    <row r="39" spans="1:17">
      <c r="A39" s="2" t="s">
        <v>367</v>
      </c>
      <c r="B39" s="16" t="s">
        <v>368</v>
      </c>
      <c r="D39" s="14">
        <v>1</v>
      </c>
      <c r="E39" s="14">
        <v>0.88554532330466729</v>
      </c>
      <c r="F39" s="14">
        <v>1.036100458970692E-2</v>
      </c>
      <c r="G39" s="14">
        <v>1.6098683186166412E-7</v>
      </c>
      <c r="H39" s="14">
        <v>211.76874656633498</v>
      </c>
      <c r="I39" s="14">
        <v>342.46724246384167</v>
      </c>
      <c r="J39" s="14">
        <v>0</v>
      </c>
      <c r="K39" s="14">
        <v>96.515737575625067</v>
      </c>
      <c r="L39" s="14">
        <v>1.036100458970692E-2</v>
      </c>
      <c r="M39" s="14">
        <v>8.5012042658545294E-3</v>
      </c>
      <c r="N39" s="14">
        <v>3.0769622573952362</v>
      </c>
      <c r="O39" s="14">
        <v>856.44167472338995</v>
      </c>
      <c r="P39" s="8">
        <v>3.0769622573952367</v>
      </c>
      <c r="Q39" s="54">
        <v>7.4339397486075584E-2</v>
      </c>
    </row>
    <row r="40" spans="1:17">
      <c r="A40" s="2" t="s">
        <v>369</v>
      </c>
      <c r="B40" s="16" t="s">
        <v>370</v>
      </c>
      <c r="D40" s="14">
        <v>1</v>
      </c>
      <c r="E40" s="14">
        <v>0.96866551555058533</v>
      </c>
      <c r="F40" s="14">
        <v>9.9290944274708958E-4</v>
      </c>
      <c r="G40" s="14">
        <v>1.0079587341271028E-14</v>
      </c>
      <c r="H40" s="14">
        <v>256.47771801413319</v>
      </c>
      <c r="I40" s="14">
        <v>171.80335211864113</v>
      </c>
      <c r="J40" s="14">
        <v>0</v>
      </c>
      <c r="K40" s="14">
        <v>1007.141192285666</v>
      </c>
      <c r="L40" s="14">
        <v>9.9290944274708958E-4</v>
      </c>
      <c r="M40" s="14">
        <v>8.1468219777398702E-4</v>
      </c>
      <c r="N40" s="14">
        <v>20.354092704788613</v>
      </c>
      <c r="O40" s="14">
        <v>8282.0803215784872</v>
      </c>
      <c r="P40" s="8">
        <v>20.354092704788616</v>
      </c>
      <c r="Q40" s="54">
        <v>1.9161593967173592E-3</v>
      </c>
    </row>
    <row r="41" spans="1:17">
      <c r="A41" s="2" t="s">
        <v>371</v>
      </c>
      <c r="B41" s="16" t="s">
        <v>372</v>
      </c>
      <c r="D41" s="14">
        <v>1</v>
      </c>
      <c r="E41" s="14">
        <v>0.91246085564993618</v>
      </c>
      <c r="F41" s="14">
        <v>0.91598983417360047</v>
      </c>
      <c r="G41" s="14">
        <v>9.0781873562776922E-4</v>
      </c>
      <c r="H41" s="14">
        <v>7.9390886937406053E-3</v>
      </c>
      <c r="I41" s="14">
        <v>3.6798305837230184E-2</v>
      </c>
      <c r="J41" s="14">
        <v>0</v>
      </c>
      <c r="K41" s="14">
        <v>1.0917151726931478</v>
      </c>
      <c r="L41" s="14">
        <v>0.91598983417360047</v>
      </c>
      <c r="M41" s="14">
        <v>0.75156965893943917</v>
      </c>
      <c r="N41" s="14">
        <v>0.90083170025767534</v>
      </c>
      <c r="O41" s="14">
        <v>126.2875960591235</v>
      </c>
      <c r="P41" s="8">
        <v>0.90083170025767534</v>
      </c>
      <c r="Q41" s="54">
        <v>3.0876482901625269E-3</v>
      </c>
    </row>
    <row r="42" spans="1:17">
      <c r="A42" s="2" t="s">
        <v>293</v>
      </c>
      <c r="B42" s="16" t="s">
        <v>294</v>
      </c>
      <c r="D42" s="14">
        <v>1</v>
      </c>
      <c r="E42" s="14">
        <v>0.70031158294634011</v>
      </c>
      <c r="F42" s="14">
        <v>0.5259543185944453</v>
      </c>
      <c r="G42" s="14">
        <v>1.9446279033474303E-10</v>
      </c>
      <c r="H42" s="14">
        <v>39.903227611378128</v>
      </c>
      <c r="I42" s="14">
        <v>94.768759577975189</v>
      </c>
      <c r="J42" s="14">
        <v>0</v>
      </c>
      <c r="K42" s="14">
        <v>1.9013058066951314</v>
      </c>
      <c r="L42" s="14">
        <v>0.5259543185944453</v>
      </c>
      <c r="M42" s="14">
        <v>0.43154551840674238</v>
      </c>
      <c r="N42" s="14">
        <v>1.3308659927130886</v>
      </c>
      <c r="O42" s="14">
        <v>439.66488935269598</v>
      </c>
      <c r="P42" s="8">
        <v>1.3308659927130886</v>
      </c>
      <c r="Q42" s="54">
        <v>0.20103200133449195</v>
      </c>
    </row>
    <row r="43" spans="1:17">
      <c r="A43" s="2" t="s">
        <v>373</v>
      </c>
      <c r="B43" s="16" t="s">
        <v>374</v>
      </c>
      <c r="D43" s="14">
        <v>1</v>
      </c>
      <c r="E43" s="14">
        <v>0.99872330674119036</v>
      </c>
      <c r="F43" s="14">
        <v>8.844340809323014E-3</v>
      </c>
      <c r="G43" s="14">
        <v>4.7890380652697682E-10</v>
      </c>
      <c r="H43" s="14">
        <v>281.11593836972577</v>
      </c>
      <c r="I43" s="14">
        <v>2.1977030264088797</v>
      </c>
      <c r="J43" s="14">
        <v>0</v>
      </c>
      <c r="K43" s="14">
        <v>113.06665149604794</v>
      </c>
      <c r="L43" s="14">
        <v>8.8443408093230157E-3</v>
      </c>
      <c r="M43" s="14">
        <v>7.2567816340495337E-3</v>
      </c>
      <c r="N43" s="14">
        <v>0.6107746364515525</v>
      </c>
      <c r="O43" s="14">
        <v>162.67371667250646</v>
      </c>
      <c r="P43" s="8">
        <v>0.6107746364515525</v>
      </c>
      <c r="Q43" s="54">
        <v>2.8455682484344706E-4</v>
      </c>
    </row>
    <row r="44" spans="1:17">
      <c r="A44" s="2" t="s">
        <v>375</v>
      </c>
      <c r="B44" s="16" t="s">
        <v>376</v>
      </c>
      <c r="D44" s="14">
        <v>1</v>
      </c>
      <c r="E44" s="14">
        <v>0.78659797908798101</v>
      </c>
      <c r="F44" s="14">
        <v>0.76420345461002159</v>
      </c>
      <c r="G44" s="14">
        <v>9.4505587067956391E-4</v>
      </c>
      <c r="H44" s="14">
        <v>5.5262305145981374</v>
      </c>
      <c r="I44" s="14">
        <v>15.60580469170805</v>
      </c>
      <c r="J44" s="14">
        <v>0</v>
      </c>
      <c r="K44" s="14">
        <v>1.3085520537332653</v>
      </c>
      <c r="L44" s="14">
        <v>0.76420345461002159</v>
      </c>
      <c r="M44" s="14">
        <v>0.62702893450752273</v>
      </c>
      <c r="N44" s="14">
        <v>0.88300670358275712</v>
      </c>
      <c r="O44" s="14">
        <v>131.9212015152639</v>
      </c>
      <c r="P44" s="8">
        <v>0.88300670358275712</v>
      </c>
      <c r="Q44" s="54">
        <v>8.5799778636943713E-2</v>
      </c>
    </row>
    <row r="45" spans="1:17">
      <c r="A45" s="2" t="s">
        <v>377</v>
      </c>
      <c r="B45" s="16" t="s">
        <v>378</v>
      </c>
      <c r="D45" s="14">
        <v>1</v>
      </c>
      <c r="E45" s="14">
        <v>0.68905490423080729</v>
      </c>
      <c r="F45" s="14">
        <v>0.49058329213810414</v>
      </c>
      <c r="G45" s="14">
        <v>7.3974364172436668E-6</v>
      </c>
      <c r="H45" s="14">
        <v>45.462441298257431</v>
      </c>
      <c r="I45" s="14">
        <v>106.39223298680371</v>
      </c>
      <c r="J45" s="14">
        <v>0</v>
      </c>
      <c r="K45" s="14">
        <v>2.0383898433265228</v>
      </c>
      <c r="L45" s="14">
        <v>0.49058329213810414</v>
      </c>
      <c r="M45" s="14">
        <v>0.40252359119931447</v>
      </c>
      <c r="N45" s="14">
        <v>1.3972603479343235</v>
      </c>
      <c r="O45" s="14">
        <v>310.52713972492404</v>
      </c>
      <c r="P45" s="8">
        <v>1.3972603479343235</v>
      </c>
      <c r="Q45" s="54">
        <v>0.20811813435305968</v>
      </c>
    </row>
    <row r="46" spans="1:17">
      <c r="A46" s="2" t="s">
        <v>379</v>
      </c>
      <c r="B46" s="16" t="s">
        <v>380</v>
      </c>
      <c r="D46" s="14">
        <v>1</v>
      </c>
      <c r="E46" s="14">
        <v>0.6947057610948848</v>
      </c>
      <c r="F46" s="14">
        <v>0.5118559437623651</v>
      </c>
      <c r="G46" s="14">
        <v>2.2244171687731969E-5</v>
      </c>
      <c r="H46" s="14">
        <v>41.858894151912082</v>
      </c>
      <c r="I46" s="14">
        <v>98.865535156830049</v>
      </c>
      <c r="J46" s="14">
        <v>0</v>
      </c>
      <c r="K46" s="14">
        <v>1.9536746855952527</v>
      </c>
      <c r="L46" s="14">
        <v>0.5118559437623651</v>
      </c>
      <c r="M46" s="14">
        <v>0.41997780185702061</v>
      </c>
      <c r="N46" s="14">
        <v>1.3526573923574254</v>
      </c>
      <c r="O46" s="14">
        <v>173.89763436147061</v>
      </c>
      <c r="P46" s="8">
        <v>1.3526573923574254</v>
      </c>
      <c r="Q46" s="54">
        <v>0.2034440165951453</v>
      </c>
    </row>
    <row r="47" spans="1:17">
      <c r="A47" s="2" t="s">
        <v>381</v>
      </c>
      <c r="B47" s="16" t="s">
        <v>382</v>
      </c>
      <c r="D47" s="14">
        <v>1</v>
      </c>
      <c r="E47" s="14">
        <v>0.89607287302730021</v>
      </c>
      <c r="F47" s="14">
        <v>6.5352536395327557E-4</v>
      </c>
      <c r="G47" s="14">
        <v>4.6557637582000161E-10</v>
      </c>
      <c r="H47" s="14">
        <v>68.606055076340155</v>
      </c>
      <c r="I47" s="14">
        <v>1721.153555752712</v>
      </c>
      <c r="J47" s="14">
        <v>0</v>
      </c>
      <c r="K47" s="14">
        <v>1530.1624927773973</v>
      </c>
      <c r="L47" s="14">
        <v>6.5352536395327557E-4</v>
      </c>
      <c r="M47" s="14">
        <v>5.3621756112366258E-4</v>
      </c>
      <c r="N47" s="14">
        <v>15.971307404819386</v>
      </c>
      <c r="O47" s="14">
        <v>6249.4128744317777</v>
      </c>
      <c r="P47" s="8">
        <v>15.971307404819388</v>
      </c>
      <c r="Q47" s="54">
        <v>5.5057896925253209E-2</v>
      </c>
    </row>
    <row r="48" spans="1:17">
      <c r="A48" s="2" t="s">
        <v>383</v>
      </c>
      <c r="B48" s="16" t="s">
        <v>384</v>
      </c>
      <c r="D48" s="14">
        <v>1</v>
      </c>
      <c r="E48" s="14">
        <v>0.91044489105965409</v>
      </c>
      <c r="F48" s="14">
        <v>0.90559084348039243</v>
      </c>
      <c r="G48" s="14">
        <v>1.3063528899248393E-4</v>
      </c>
      <c r="H48" s="14">
        <v>1.7841527047090258</v>
      </c>
      <c r="I48" s="14">
        <v>5.5448422295719597</v>
      </c>
      <c r="J48" s="14">
        <v>0</v>
      </c>
      <c r="K48" s="14">
        <v>1.1042514477694714</v>
      </c>
      <c r="L48" s="14">
        <v>0.90559084348039243</v>
      </c>
      <c r="M48" s="14">
        <v>0.74303728707566197</v>
      </c>
      <c r="N48" s="14">
        <v>0.93665825040170381</v>
      </c>
      <c r="O48" s="14">
        <v>87.230982859910668</v>
      </c>
      <c r="P48" s="8">
        <v>0.93665825040170381</v>
      </c>
      <c r="Q48" s="54">
        <v>5.1628462681810573E-2</v>
      </c>
    </row>
    <row r="49" spans="1:17">
      <c r="A49" s="2" t="s">
        <v>385</v>
      </c>
      <c r="B49" s="16" t="s">
        <v>386</v>
      </c>
      <c r="D49" s="14">
        <v>1</v>
      </c>
      <c r="E49" s="14">
        <v>0.87563929955368491</v>
      </c>
      <c r="F49" s="14">
        <v>0.86422658997107082</v>
      </c>
      <c r="G49" s="14">
        <v>2.4392488671371766E-4</v>
      </c>
      <c r="H49" s="14">
        <v>3.1814684756063514</v>
      </c>
      <c r="I49" s="14">
        <v>9.442452201010445</v>
      </c>
      <c r="J49" s="14">
        <v>0</v>
      </c>
      <c r="K49" s="14">
        <v>1.1571039489001074</v>
      </c>
      <c r="L49" s="14">
        <v>0.86422658997107082</v>
      </c>
      <c r="M49" s="14">
        <v>0.70909791707126357</v>
      </c>
      <c r="N49" s="14">
        <v>0.92893407929360039</v>
      </c>
      <c r="O49" s="14">
        <v>103.22315489110488</v>
      </c>
      <c r="P49" s="8">
        <v>0.9289340792936005</v>
      </c>
      <c r="Q49" s="54">
        <v>6.8247193228472003E-2</v>
      </c>
    </row>
    <row r="50" spans="1:17">
      <c r="A50" s="2" t="s">
        <v>387</v>
      </c>
      <c r="B50" s="16" t="s">
        <v>388</v>
      </c>
      <c r="D50" s="14">
        <v>1</v>
      </c>
      <c r="E50" s="14">
        <v>0.74790374564864703</v>
      </c>
      <c r="F50" s="14">
        <v>7.5441967741570623E-2</v>
      </c>
      <c r="G50" s="14">
        <v>7.3026669636958624E-5</v>
      </c>
      <c r="H50" s="14">
        <v>159.24030748553901</v>
      </c>
      <c r="I50" s="14">
        <v>296.01258688684135</v>
      </c>
      <c r="J50" s="14">
        <v>0</v>
      </c>
      <c r="K50" s="14">
        <v>13.255221595300092</v>
      </c>
      <c r="L50" s="14">
        <v>7.5441967741570637E-2</v>
      </c>
      <c r="M50" s="14">
        <v>6.1900134531958702E-2</v>
      </c>
      <c r="N50" s="14">
        <v>2.6797357811910367</v>
      </c>
      <c r="O50" s="14">
        <v>529.11382999617024</v>
      </c>
      <c r="P50" s="8">
        <v>2.6797357811910372</v>
      </c>
      <c r="Q50" s="54">
        <v>0.1631962511934926</v>
      </c>
    </row>
    <row r="51" spans="1:17">
      <c r="A51" s="2" t="s">
        <v>295</v>
      </c>
      <c r="B51" s="16" t="s">
        <v>296</v>
      </c>
      <c r="D51" s="14">
        <v>1</v>
      </c>
      <c r="E51" s="14">
        <v>0.90372220755083699</v>
      </c>
      <c r="F51" s="14">
        <v>0.90585319491917526</v>
      </c>
      <c r="G51" s="14">
        <v>7.2745529287349228E-4</v>
      </c>
      <c r="H51" s="14">
        <v>0.2875926750411047</v>
      </c>
      <c r="I51" s="14">
        <v>1.0224333128158498</v>
      </c>
      <c r="J51" s="14">
        <v>0</v>
      </c>
      <c r="K51" s="14">
        <v>1.1039316366149428</v>
      </c>
      <c r="L51" s="14">
        <v>0.90585319491917538</v>
      </c>
      <c r="M51" s="14">
        <v>0.74325254643118333</v>
      </c>
      <c r="N51" s="14">
        <v>0.89900233610719138</v>
      </c>
      <c r="O51" s="14">
        <v>52.214055681105677</v>
      </c>
      <c r="P51" s="8">
        <v>0.89900233610719138</v>
      </c>
      <c r="Q51" s="54">
        <v>1.9945043653499094E-2</v>
      </c>
    </row>
    <row r="52" spans="1:17">
      <c r="A52" s="2" t="s">
        <v>389</v>
      </c>
      <c r="B52" s="16" t="s">
        <v>390</v>
      </c>
      <c r="D52" s="14">
        <v>1</v>
      </c>
      <c r="E52" s="14">
        <v>0.76507500712190635</v>
      </c>
      <c r="F52" s="14">
        <v>0.72450402194832386</v>
      </c>
      <c r="G52" s="14">
        <v>7.6511953131930851E-4</v>
      </c>
      <c r="H52" s="14">
        <v>9.5477447650377165</v>
      </c>
      <c r="I52" s="14">
        <v>25.796332819571269</v>
      </c>
      <c r="J52" s="14">
        <v>0</v>
      </c>
      <c r="K52" s="14">
        <v>1.3802545875602141</v>
      </c>
      <c r="L52" s="14">
        <v>0.72450402194832386</v>
      </c>
      <c r="M52" s="14">
        <v>0.59445555000859973</v>
      </c>
      <c r="N52" s="14">
        <v>0.93094194776895622</v>
      </c>
      <c r="O52" s="14">
        <v>99.750429703443672</v>
      </c>
      <c r="P52" s="8">
        <v>0.93094194776895633</v>
      </c>
      <c r="Q52" s="54">
        <v>0.1112136185244236</v>
      </c>
    </row>
    <row r="53" spans="1:17">
      <c r="A53" s="2" t="s">
        <v>391</v>
      </c>
      <c r="B53" s="16" t="s">
        <v>392</v>
      </c>
      <c r="D53" s="14">
        <v>1</v>
      </c>
      <c r="E53" s="14">
        <v>0.66525248224368716</v>
      </c>
      <c r="F53" s="14">
        <v>0.37962528579190713</v>
      </c>
      <c r="G53" s="14">
        <v>2.1838540955699682E-5</v>
      </c>
      <c r="H53" s="14">
        <v>65.734767602430253</v>
      </c>
      <c r="I53" s="14">
        <v>146.91031929873853</v>
      </c>
      <c r="J53" s="14">
        <v>0</v>
      </c>
      <c r="K53" s="14">
        <v>2.6341764825121614</v>
      </c>
      <c r="L53" s="14">
        <v>0.37962528579190713</v>
      </c>
      <c r="M53" s="14">
        <v>0.3114825469922598</v>
      </c>
      <c r="N53" s="14">
        <v>1.6425010635230337</v>
      </c>
      <c r="O53" s="14">
        <v>266.11802231200193</v>
      </c>
      <c r="P53" s="8">
        <v>1.6425010635230337</v>
      </c>
      <c r="Q53" s="54">
        <v>0.22307571961742323</v>
      </c>
    </row>
    <row r="54" spans="1:17">
      <c r="A54" s="2" t="s">
        <v>393</v>
      </c>
      <c r="B54" s="16" t="s">
        <v>394</v>
      </c>
      <c r="D54" s="14">
        <v>1</v>
      </c>
      <c r="E54" s="14">
        <v>0.88943966980401357</v>
      </c>
      <c r="F54" s="14">
        <v>9.1073002148936129E-4</v>
      </c>
      <c r="G54" s="14">
        <v>2.1430788026177232E-6</v>
      </c>
      <c r="H54" s="14">
        <v>81.810614163788969</v>
      </c>
      <c r="I54" s="14">
        <v>1580.7632244699078</v>
      </c>
      <c r="J54" s="14">
        <v>0</v>
      </c>
      <c r="K54" s="14">
        <v>1098.0202435455581</v>
      </c>
      <c r="L54" s="14">
        <v>9.107300214893614E-4</v>
      </c>
      <c r="M54" s="14">
        <v>7.4725398263202102E-4</v>
      </c>
      <c r="N54" s="14">
        <v>14.619112671877442</v>
      </c>
      <c r="O54" s="14">
        <v>3411.9547064894759</v>
      </c>
      <c r="P54" s="8">
        <v>14.619112671877442</v>
      </c>
      <c r="Q54" s="54">
        <v>6.0682969370107517E-2</v>
      </c>
    </row>
    <row r="55" spans="1:17">
      <c r="A55" s="2" t="s">
        <v>395</v>
      </c>
      <c r="B55" s="16" t="s">
        <v>396</v>
      </c>
      <c r="D55" s="14">
        <v>1</v>
      </c>
      <c r="E55" s="14">
        <v>0.60106938348288541</v>
      </c>
      <c r="F55" s="14">
        <v>0.13658159208282619</v>
      </c>
      <c r="G55" s="14">
        <v>1.4754369603028046E-3</v>
      </c>
      <c r="H55" s="14">
        <v>108.71567603990526</v>
      </c>
      <c r="I55" s="14">
        <v>217.14475394692701</v>
      </c>
      <c r="J55" s="14">
        <v>0</v>
      </c>
      <c r="K55" s="14">
        <v>7.3216308636494531</v>
      </c>
      <c r="L55" s="14">
        <v>0.13658159208282619</v>
      </c>
      <c r="M55" s="14">
        <v>0.11206519630395889</v>
      </c>
      <c r="N55" s="14">
        <v>2.0317838909038612</v>
      </c>
      <c r="O55" s="14">
        <v>260.41374129714785</v>
      </c>
      <c r="P55" s="8">
        <v>2.0317838909038612</v>
      </c>
      <c r="Q55" s="54">
        <v>0.17772533503375279</v>
      </c>
    </row>
    <row r="56" spans="1:17">
      <c r="A56" s="2" t="s">
        <v>397</v>
      </c>
      <c r="B56" s="16" t="s">
        <v>398</v>
      </c>
      <c r="D56" s="14">
        <v>1</v>
      </c>
      <c r="E56" s="14">
        <v>0.31858171252749434</v>
      </c>
      <c r="F56" s="14">
        <v>1.6164917369335782E-2</v>
      </c>
      <c r="G56" s="14">
        <v>6.7025795423868257E-3</v>
      </c>
      <c r="H56" s="14">
        <v>72.245947129858891</v>
      </c>
      <c r="I56" s="14">
        <v>127.07808444825179</v>
      </c>
      <c r="J56" s="14">
        <v>0</v>
      </c>
      <c r="K56" s="14">
        <v>61.862363855751035</v>
      </c>
      <c r="L56" s="14">
        <v>1.6164917369335782E-2</v>
      </c>
      <c r="M56" s="14">
        <v>1.326331470154001E-2</v>
      </c>
      <c r="N56" s="14">
        <v>1.1407447387048597</v>
      </c>
      <c r="O56" s="14">
        <v>206.9881328379968</v>
      </c>
      <c r="P56" s="8">
        <v>1.1407447387048597</v>
      </c>
      <c r="Q56" s="54">
        <v>5.1697633065865611E-2</v>
      </c>
    </row>
    <row r="57" spans="1:17">
      <c r="A57" s="2" t="s">
        <v>399</v>
      </c>
      <c r="B57" s="16" t="s">
        <v>400</v>
      </c>
      <c r="D57" s="14">
        <v>1</v>
      </c>
      <c r="E57" s="14">
        <v>0.1662675337865083</v>
      </c>
      <c r="F57" s="14">
        <v>2.9226632653846191E-2</v>
      </c>
      <c r="G57" s="14">
        <v>8.5130908612045565E-3</v>
      </c>
      <c r="H57" s="14">
        <v>32.200215706394772</v>
      </c>
      <c r="I57" s="14">
        <v>62.79368235794869</v>
      </c>
      <c r="J57" s="14">
        <v>0</v>
      </c>
      <c r="K57" s="14">
        <v>34.21536828562428</v>
      </c>
      <c r="L57" s="14">
        <v>2.9226632653846191E-2</v>
      </c>
      <c r="M57" s="14">
        <v>2.39804520924808E-2</v>
      </c>
      <c r="N57" s="14">
        <v>0.57878331409784656</v>
      </c>
      <c r="O57" s="14">
        <v>85.081147172383453</v>
      </c>
      <c r="P57" s="8">
        <v>0.57878331409784667</v>
      </c>
      <c r="Q57" s="54">
        <v>4.505219464410766E-2</v>
      </c>
    </row>
    <row r="58" spans="1:17">
      <c r="A58" s="2" t="s">
        <v>297</v>
      </c>
      <c r="B58" s="16" t="s">
        <v>298</v>
      </c>
      <c r="D58" s="14">
        <v>1</v>
      </c>
      <c r="E58" s="14">
        <v>6.0459103292267127E-2</v>
      </c>
      <c r="F58" s="14">
        <v>5.9391965494106143E-2</v>
      </c>
      <c r="G58" s="14">
        <v>1.0350377401260451E-2</v>
      </c>
      <c r="H58" s="14">
        <v>0.28075512830866639</v>
      </c>
      <c r="I58" s="14">
        <v>0.81805945526842794</v>
      </c>
      <c r="J58" s="14">
        <v>0</v>
      </c>
      <c r="K58" s="14">
        <v>16.83729426498331</v>
      </c>
      <c r="L58" s="14">
        <v>5.9391965494106143E-2</v>
      </c>
      <c r="M58" s="14">
        <v>4.8731107687914089E-2</v>
      </c>
      <c r="N58" s="14">
        <v>6.5271862399713665E-2</v>
      </c>
      <c r="O58" s="14">
        <v>5.5435392736076814</v>
      </c>
      <c r="P58" s="8">
        <v>6.5271862399713665E-2</v>
      </c>
      <c r="Q58" s="54">
        <v>5.3429962411795833E-3</v>
      </c>
    </row>
    <row r="59" spans="1:17">
      <c r="A59" s="2" t="s">
        <v>401</v>
      </c>
      <c r="B59" s="16" t="s">
        <v>402</v>
      </c>
      <c r="D59" s="14">
        <v>1</v>
      </c>
      <c r="E59" s="14">
        <v>6.4389103826645949E-2</v>
      </c>
      <c r="F59" s="14">
        <v>1.2026495806103304E-2</v>
      </c>
      <c r="G59" s="14">
        <v>1.0098749319022379E-2</v>
      </c>
      <c r="H59" s="14">
        <v>12.292468502909694</v>
      </c>
      <c r="I59" s="14">
        <v>24.104397187251841</v>
      </c>
      <c r="J59" s="14">
        <v>0</v>
      </c>
      <c r="K59" s="14">
        <v>83.149740050839398</v>
      </c>
      <c r="L59" s="14">
        <v>1.2026495806103304E-2</v>
      </c>
      <c r="M59" s="14">
        <v>9.8677398089077606E-3</v>
      </c>
      <c r="N59" s="14">
        <v>0.22285129588804467</v>
      </c>
      <c r="O59" s="14">
        <v>36.955430397114448</v>
      </c>
      <c r="P59" s="8">
        <v>0.22285129588804467</v>
      </c>
      <c r="Q59" s="54">
        <v>1.7827739311790419E-2</v>
      </c>
    </row>
    <row r="60" spans="1:17">
      <c r="A60" s="2" t="s">
        <v>299</v>
      </c>
      <c r="B60" s="16" t="s">
        <v>300</v>
      </c>
      <c r="D60" s="14">
        <v>1</v>
      </c>
      <c r="E60" s="14">
        <v>1.3154901593996659E-3</v>
      </c>
      <c r="F60" s="14">
        <v>4.4952669705740258E-4</v>
      </c>
      <c r="G60" s="14">
        <v>1.1089296024387138E-2</v>
      </c>
      <c r="H60" s="14">
        <v>0.20131470047824265</v>
      </c>
      <c r="I60" s="14">
        <v>0.41950067119848133</v>
      </c>
      <c r="J60" s="14">
        <v>0</v>
      </c>
      <c r="K60" s="14">
        <v>2224.5619816264316</v>
      </c>
      <c r="L60" s="14">
        <v>4.4952669705740258E-4</v>
      </c>
      <c r="M60" s="14">
        <v>3.688366549355988E-4</v>
      </c>
      <c r="N60" s="14">
        <v>4.0920589967018799E-3</v>
      </c>
      <c r="O60" s="14">
        <v>0.3361217259890924</v>
      </c>
      <c r="P60" s="8">
        <v>4.0920589967018799E-3</v>
      </c>
      <c r="Q60" s="54">
        <v>4.3344366513476393E-4</v>
      </c>
    </row>
    <row r="61" spans="1:17">
      <c r="A61" s="2" t="s">
        <v>403</v>
      </c>
      <c r="B61" s="16" t="s">
        <v>404</v>
      </c>
      <c r="D61" s="14">
        <v>1</v>
      </c>
      <c r="E61" s="14">
        <v>0.66297187130803503</v>
      </c>
      <c r="F61" s="14">
        <v>0.28460147281354942</v>
      </c>
      <c r="G61" s="14">
        <v>4.9600451629987152E-46</v>
      </c>
      <c r="H61" s="14">
        <v>87.590527784324337</v>
      </c>
      <c r="I61" s="14">
        <v>187.6351997887771</v>
      </c>
      <c r="J61" s="14">
        <v>0</v>
      </c>
      <c r="K61" s="14">
        <v>3.5136852600026027</v>
      </c>
      <c r="L61" s="14">
        <v>0.28460147281354942</v>
      </c>
      <c r="M61" s="14">
        <v>0.23351550844351729</v>
      </c>
      <c r="N61" s="14">
        <v>1.9078823734241326</v>
      </c>
      <c r="O61" s="14">
        <v>2294.4384211035958</v>
      </c>
      <c r="P61" s="8">
        <v>1.9078823734241326</v>
      </c>
      <c r="Q61" s="54">
        <v>0.22569103802419055</v>
      </c>
    </row>
    <row r="62" spans="1:17">
      <c r="A62" s="2" t="s">
        <v>405</v>
      </c>
      <c r="B62" s="16" t="s">
        <v>406</v>
      </c>
      <c r="D62" s="14">
        <v>1</v>
      </c>
      <c r="E62" s="14">
        <v>0.87258359515490136</v>
      </c>
      <c r="F62" s="14">
        <v>3.8802832068932599E-3</v>
      </c>
      <c r="G62" s="14">
        <v>1.18864429950373E-9</v>
      </c>
      <c r="H62" s="14">
        <v>158.5343674857597</v>
      </c>
      <c r="I62" s="14">
        <v>818.23979021622358</v>
      </c>
      <c r="J62" s="14">
        <v>0</v>
      </c>
      <c r="K62" s="14">
        <v>257.71314790206969</v>
      </c>
      <c r="L62" s="14">
        <v>3.8802832068932603E-3</v>
      </c>
      <c r="M62" s="14">
        <v>3.1837723712559197E-3</v>
      </c>
      <c r="N62" s="14">
        <v>7.4419522329008725</v>
      </c>
      <c r="O62" s="14">
        <v>2372.9408889827723</v>
      </c>
      <c r="P62" s="8">
        <v>7.4419522329008725</v>
      </c>
      <c r="Q62" s="54">
        <v>7.897335620020908E-2</v>
      </c>
    </row>
    <row r="63" spans="1:17">
      <c r="A63" s="2" t="s">
        <v>407</v>
      </c>
      <c r="B63" s="16" t="s">
        <v>408</v>
      </c>
      <c r="D63" s="14">
        <v>1</v>
      </c>
      <c r="E63" s="14">
        <v>0.90780008924280775</v>
      </c>
      <c r="F63" s="14">
        <v>3.5794115431327339E-4</v>
      </c>
      <c r="G63" s="14">
        <v>2.8734266938023142E-7</v>
      </c>
      <c r="H63" s="14">
        <v>49.144128094454352</v>
      </c>
      <c r="I63" s="14">
        <v>1932.9864294704271</v>
      </c>
      <c r="J63" s="14">
        <v>0</v>
      </c>
      <c r="K63" s="14">
        <v>2793.7553085186478</v>
      </c>
      <c r="L63" s="14">
        <v>3.5794115431327339E-4</v>
      </c>
      <c r="M63" s="14">
        <v>2.9369071711404083E-4</v>
      </c>
      <c r="N63" s="14">
        <v>18.042007931862699</v>
      </c>
      <c r="O63" s="14">
        <v>8764.62703321958</v>
      </c>
      <c r="P63" s="8">
        <v>18.042007931862699</v>
      </c>
      <c r="Q63" s="54">
        <v>4.5167786198329674E-2</v>
      </c>
    </row>
    <row r="64" spans="1:17">
      <c r="A64" s="2" t="s">
        <v>409</v>
      </c>
      <c r="B64" s="16" t="s">
        <v>410</v>
      </c>
      <c r="D64" s="14">
        <v>1</v>
      </c>
      <c r="E64" s="14">
        <v>0.92587576250579628</v>
      </c>
      <c r="F64" s="14">
        <v>1.2445125154430357E-4</v>
      </c>
      <c r="G64" s="14">
        <v>3.5698318182812641E-8</v>
      </c>
      <c r="H64" s="14">
        <v>26.571695590349471</v>
      </c>
      <c r="I64" s="14">
        <v>2190.1630069734879</v>
      </c>
      <c r="J64" s="14">
        <v>0</v>
      </c>
      <c r="K64" s="14">
        <v>8035.2747569116145</v>
      </c>
      <c r="L64" s="14">
        <v>1.2445125154430357E-4</v>
      </c>
      <c r="M64" s="14">
        <v>1.0211225189210108E-4</v>
      </c>
      <c r="N64" s="14">
        <v>20.640457133119703</v>
      </c>
      <c r="O64" s="14">
        <v>11655.459738501366</v>
      </c>
      <c r="P64" s="8">
        <v>20.640457133119703</v>
      </c>
      <c r="Q64" s="54">
        <v>3.0526459644959945E-2</v>
      </c>
    </row>
    <row r="65" spans="1:17">
      <c r="A65" s="2" t="s">
        <v>301</v>
      </c>
      <c r="B65" s="16" t="s">
        <v>302</v>
      </c>
      <c r="D65" s="14">
        <v>1</v>
      </c>
      <c r="E65" s="14">
        <v>0.94137145219502749</v>
      </c>
      <c r="F65" s="14">
        <v>3.5032020072922788E-5</v>
      </c>
      <c r="G65" s="14">
        <v>4.4217447486637314E-9</v>
      </c>
      <c r="H65" s="14">
        <v>12.358483470093605</v>
      </c>
      <c r="I65" s="14">
        <v>2362.7749171121163</v>
      </c>
      <c r="J65" s="14">
        <v>0</v>
      </c>
      <c r="K65" s="14">
        <v>28545.313627886608</v>
      </c>
      <c r="L65" s="14">
        <v>3.5032020072922788E-5</v>
      </c>
      <c r="M65" s="14">
        <v>2.8743772469833147E-5</v>
      </c>
      <c r="N65" s="14">
        <v>22.513451900814175</v>
      </c>
      <c r="O65" s="14">
        <v>14489.207374325988</v>
      </c>
      <c r="P65" s="8">
        <v>22.513451900814175</v>
      </c>
      <c r="Q65" s="54">
        <v>1.8298789101093501E-2</v>
      </c>
    </row>
    <row r="66" spans="1:17">
      <c r="A66" s="2" t="s">
        <v>303</v>
      </c>
      <c r="B66" s="16" t="s">
        <v>304</v>
      </c>
      <c r="D66" s="14">
        <v>1</v>
      </c>
      <c r="E66" s="14">
        <v>0.9332942214185036</v>
      </c>
      <c r="F66" s="14">
        <v>7.2533649562033019E-5</v>
      </c>
      <c r="G66" s="14">
        <v>4.2627318842741716E-15</v>
      </c>
      <c r="H66" s="14">
        <v>19.229125315568535</v>
      </c>
      <c r="I66" s="14">
        <v>2277.8058316416441</v>
      </c>
      <c r="J66" s="14">
        <v>0</v>
      </c>
      <c r="K66" s="14">
        <v>13786.704599011924</v>
      </c>
      <c r="L66" s="14">
        <v>7.2533649562033032E-5</v>
      </c>
      <c r="M66" s="14">
        <v>5.9513859465648096E-5</v>
      </c>
      <c r="N66" s="14">
        <v>21.568347536425875</v>
      </c>
      <c r="O66" s="14">
        <v>13918.270348730979</v>
      </c>
      <c r="P66" s="8">
        <v>21.568347536425875</v>
      </c>
      <c r="Q66" s="54">
        <v>2.4644312120328669E-2</v>
      </c>
    </row>
    <row r="67" spans="1:17">
      <c r="A67" s="2" t="s">
        <v>411</v>
      </c>
      <c r="B67" s="16" t="s">
        <v>412</v>
      </c>
      <c r="D67" s="14">
        <v>1</v>
      </c>
      <c r="E67" s="14">
        <v>0.84372055157148584</v>
      </c>
      <c r="F67" s="14">
        <v>0.81399436709464568</v>
      </c>
      <c r="G67" s="14">
        <v>5.1683258524330191E-5</v>
      </c>
      <c r="H67" s="14">
        <v>7.1898759858933481</v>
      </c>
      <c r="I67" s="14">
        <v>20.006843286196307</v>
      </c>
      <c r="J67" s="14">
        <v>0</v>
      </c>
      <c r="K67" s="14">
        <v>1.2285097298268242</v>
      </c>
      <c r="L67" s="14">
        <v>0.81399436709464579</v>
      </c>
      <c r="M67" s="14">
        <v>0.66788237820115681</v>
      </c>
      <c r="N67" s="14">
        <v>0.96934735851568454</v>
      </c>
      <c r="O67" s="14">
        <v>290.90114229055695</v>
      </c>
      <c r="P67" s="8">
        <v>0.96934735851568454</v>
      </c>
      <c r="Q67" s="54">
        <v>0.10143283648009681</v>
      </c>
    </row>
    <row r="68" spans="1:17">
      <c r="A68" s="2" t="s">
        <v>413</v>
      </c>
      <c r="B68" s="16" t="s">
        <v>414</v>
      </c>
      <c r="D68" s="14">
        <v>1</v>
      </c>
      <c r="E68" s="14">
        <v>0.79628993170058293</v>
      </c>
      <c r="F68" s="14">
        <v>0.74232440948745171</v>
      </c>
      <c r="G68" s="14">
        <v>1.1088740729339803E-4</v>
      </c>
      <c r="H68" s="14">
        <v>12.561853998954387</v>
      </c>
      <c r="I68" s="14">
        <v>33.320454160937132</v>
      </c>
      <c r="J68" s="14">
        <v>0</v>
      </c>
      <c r="K68" s="14">
        <v>1.3471199211817162</v>
      </c>
      <c r="L68" s="14">
        <v>0.74232440948745171</v>
      </c>
      <c r="M68" s="14">
        <v>0.60907717798445415</v>
      </c>
      <c r="N68" s="14">
        <v>1.0127623803871835</v>
      </c>
      <c r="O68" s="14">
        <v>332.3379751240542</v>
      </c>
      <c r="P68" s="8">
        <v>1.0127623803871835</v>
      </c>
      <c r="Q68" s="54">
        <v>0.12981082565956673</v>
      </c>
    </row>
    <row r="69" spans="1:17">
      <c r="A69" s="2" t="s">
        <v>415</v>
      </c>
      <c r="B69" s="16" t="s">
        <v>416</v>
      </c>
      <c r="D69" s="14">
        <v>1</v>
      </c>
      <c r="E69" s="14">
        <v>0.8807070411232728</v>
      </c>
      <c r="F69" s="14">
        <v>1.4087571173502106E-3</v>
      </c>
      <c r="G69" s="14">
        <v>1.3771606687287595E-5</v>
      </c>
      <c r="H69" s="14">
        <v>101.91922748961356</v>
      </c>
      <c r="I69" s="14">
        <v>1370.2925418558227</v>
      </c>
      <c r="J69" s="14">
        <v>0</v>
      </c>
      <c r="K69" s="14">
        <v>709.84557074035672</v>
      </c>
      <c r="L69" s="14">
        <v>1.4087571173502108E-3</v>
      </c>
      <c r="M69" s="14">
        <v>1.1558852147858479E-3</v>
      </c>
      <c r="N69" s="14">
        <v>12.613647668274059</v>
      </c>
      <c r="O69" s="14">
        <v>5853.7416098926242</v>
      </c>
      <c r="P69" s="8">
        <v>12.613647668274059</v>
      </c>
      <c r="Q69" s="54">
        <v>6.7766225089019208E-2</v>
      </c>
    </row>
    <row r="70" spans="1:17">
      <c r="A70" s="2" t="s">
        <v>417</v>
      </c>
      <c r="B70" s="16" t="s">
        <v>418</v>
      </c>
      <c r="D70" s="14">
        <v>1</v>
      </c>
      <c r="E70" s="14">
        <v>0.8327819119377633</v>
      </c>
      <c r="F70" s="14">
        <v>2.5671012118481218E-2</v>
      </c>
      <c r="G70" s="14">
        <v>3.5348539883186626E-5</v>
      </c>
      <c r="H70" s="14">
        <v>193.97376332980977</v>
      </c>
      <c r="I70" s="14">
        <v>328.24654419295291</v>
      </c>
      <c r="J70" s="14">
        <v>0</v>
      </c>
      <c r="K70" s="14">
        <v>38.954443844466674</v>
      </c>
      <c r="L70" s="14">
        <v>2.5671012118481218E-2</v>
      </c>
      <c r="M70" s="14">
        <v>2.106306544321384E-2</v>
      </c>
      <c r="N70" s="14">
        <v>2.9421949807916596</v>
      </c>
      <c r="O70" s="14">
        <v>923.99633371762081</v>
      </c>
      <c r="P70" s="8">
        <v>2.9421949807916601</v>
      </c>
      <c r="Q70" s="54">
        <v>0.1079444113872582</v>
      </c>
    </row>
    <row r="71" spans="1:17">
      <c r="A71" s="2" t="s">
        <v>419</v>
      </c>
      <c r="B71" s="16" t="s">
        <v>420</v>
      </c>
      <c r="D71" s="14">
        <v>1</v>
      </c>
      <c r="E71" s="14">
        <v>0.79145874942196526</v>
      </c>
      <c r="F71" s="14">
        <v>0.74279012340983475</v>
      </c>
      <c r="G71" s="14">
        <v>2.7221660177165858E-4</v>
      </c>
      <c r="H71" s="14">
        <v>11.373290193449797</v>
      </c>
      <c r="I71" s="14">
        <v>30.390881085783469</v>
      </c>
      <c r="J71" s="14">
        <v>0</v>
      </c>
      <c r="K71" s="14">
        <v>1.3462753050746337</v>
      </c>
      <c r="L71" s="14">
        <v>0.74279012340983475</v>
      </c>
      <c r="M71" s="14">
        <v>0.6094592962577694</v>
      </c>
      <c r="N71" s="14">
        <v>0.98815099680875618</v>
      </c>
      <c r="O71" s="14">
        <v>211.50383935694617</v>
      </c>
      <c r="P71" s="8">
        <v>0.98815099680875629</v>
      </c>
      <c r="Q71" s="54">
        <v>0.12329438289056091</v>
      </c>
    </row>
    <row r="72" spans="1:17">
      <c r="A72" s="2" t="s">
        <v>421</v>
      </c>
      <c r="B72" s="16" t="s">
        <v>422</v>
      </c>
      <c r="D72" s="14">
        <v>1</v>
      </c>
      <c r="E72" s="14">
        <v>0.81396842118018298</v>
      </c>
      <c r="F72" s="14">
        <v>2.9659053513260637E-2</v>
      </c>
      <c r="G72" s="14">
        <v>1.4813776065474135E-4</v>
      </c>
      <c r="H72" s="14">
        <v>188.12100386979984</v>
      </c>
      <c r="I72" s="14">
        <v>322.47381712009133</v>
      </c>
      <c r="J72" s="14">
        <v>0</v>
      </c>
      <c r="K72" s="14">
        <v>33.716517607444807</v>
      </c>
      <c r="L72" s="14">
        <v>2.9659053513260637E-2</v>
      </c>
      <c r="M72" s="14">
        <v>2.4335253407630351E-2</v>
      </c>
      <c r="N72" s="14">
        <v>2.8910678487465864</v>
      </c>
      <c r="O72" s="14">
        <v>1197.1044641304989</v>
      </c>
      <c r="P72" s="8">
        <v>2.8910678487465864</v>
      </c>
      <c r="Q72" s="54">
        <v>0.11383988762653548</v>
      </c>
    </row>
    <row r="73" spans="1:17">
      <c r="A73" s="2" t="s">
        <v>423</v>
      </c>
      <c r="B73" s="16" t="s">
        <v>424</v>
      </c>
      <c r="D73" s="14">
        <v>1</v>
      </c>
      <c r="E73" s="14">
        <v>0.65589154223832868</v>
      </c>
      <c r="F73" s="14">
        <v>0.26189001952959468</v>
      </c>
      <c r="G73" s="14">
        <v>1.4443333380296212E-4</v>
      </c>
      <c r="H73" s="14">
        <v>91.335360661845442</v>
      </c>
      <c r="I73" s="14">
        <v>193.86353107429255</v>
      </c>
      <c r="J73" s="14">
        <v>0</v>
      </c>
      <c r="K73" s="14">
        <v>3.8183967521793849</v>
      </c>
      <c r="L73" s="14">
        <v>0.26189001952959468</v>
      </c>
      <c r="M73" s="14">
        <v>0.21488076102403245</v>
      </c>
      <c r="N73" s="14">
        <v>1.9411615056198563</v>
      </c>
      <c r="O73" s="14">
        <v>831.14712186125394</v>
      </c>
      <c r="P73" s="8">
        <v>1.9411615056198563</v>
      </c>
      <c r="Q73" s="54">
        <v>0.22166448633778754</v>
      </c>
    </row>
    <row r="74" spans="1:17">
      <c r="A74" s="2" t="s">
        <v>425</v>
      </c>
      <c r="B74" s="16" t="s">
        <v>426</v>
      </c>
      <c r="D74" s="14">
        <v>1</v>
      </c>
      <c r="E74" s="14">
        <v>0.82840110639688447</v>
      </c>
      <c r="F74" s="14">
        <v>2.6788561273897601E-2</v>
      </c>
      <c r="G74" s="14">
        <v>5.4545368155622091E-5</v>
      </c>
      <c r="H74" s="14">
        <v>192.54373393995255</v>
      </c>
      <c r="I74" s="14">
        <v>327.02922146296845</v>
      </c>
      <c r="J74" s="14">
        <v>0</v>
      </c>
      <c r="K74" s="14">
        <v>37.329365686181362</v>
      </c>
      <c r="L74" s="14">
        <v>2.6788561273897601E-2</v>
      </c>
      <c r="M74" s="14">
        <v>2.1980014525232981E-2</v>
      </c>
      <c r="N74" s="14">
        <v>2.9313891594060886</v>
      </c>
      <c r="O74" s="14">
        <v>1548.3011262151076</v>
      </c>
      <c r="P74" s="8">
        <v>2.9313891594060886</v>
      </c>
      <c r="Q74" s="54">
        <v>0.10974545931101008</v>
      </c>
    </row>
    <row r="75" spans="1:17">
      <c r="A75" s="2" t="s">
        <v>427</v>
      </c>
      <c r="B75" s="16" t="s">
        <v>428</v>
      </c>
      <c r="D75" s="14">
        <v>1</v>
      </c>
      <c r="E75" s="14">
        <v>0.99711326330667394</v>
      </c>
      <c r="F75" s="14">
        <v>4.3256458906531627E-3</v>
      </c>
      <c r="G75" s="14">
        <v>6.1021016005109344E-12</v>
      </c>
      <c r="H75" s="14">
        <v>282.06614560948043</v>
      </c>
      <c r="I75" s="14">
        <v>1.0077731620128096</v>
      </c>
      <c r="J75" s="14">
        <v>0</v>
      </c>
      <c r="K75" s="14">
        <v>231.17934876749754</v>
      </c>
      <c r="L75" s="14">
        <v>4.3256458906531627E-3</v>
      </c>
      <c r="M75" s="14">
        <v>3.5491924532809198E-3</v>
      </c>
      <c r="N75" s="14">
        <v>2.0023976400936454</v>
      </c>
      <c r="O75" s="14">
        <v>1129.5324848004245</v>
      </c>
      <c r="P75" s="8">
        <v>2.0023976400936454</v>
      </c>
      <c r="Q75" s="54">
        <v>5.6281127403984598E-5</v>
      </c>
    </row>
    <row r="76" spans="1:17">
      <c r="A76" s="2" t="s">
        <v>429</v>
      </c>
      <c r="B76" s="16" t="s">
        <v>430</v>
      </c>
      <c r="D76" s="14">
        <v>1</v>
      </c>
      <c r="E76" s="14">
        <v>0.99711326384052235</v>
      </c>
      <c r="F76" s="14">
        <v>4.3256458929690871E-3</v>
      </c>
      <c r="G76" s="14">
        <v>1.5327786222222714E-13</v>
      </c>
      <c r="H76" s="14">
        <v>282.06614576049697</v>
      </c>
      <c r="I76" s="14">
        <v>1.0077731625523652</v>
      </c>
      <c r="J76" s="14">
        <v>0</v>
      </c>
      <c r="K76" s="14">
        <v>231.17934864372552</v>
      </c>
      <c r="L76" s="14">
        <v>4.3256458929690871E-3</v>
      </c>
      <c r="M76" s="14">
        <v>3.5491924551811359E-3</v>
      </c>
      <c r="N76" s="14">
        <v>2.0023976411657167</v>
      </c>
      <c r="O76" s="14">
        <v>1001.45913227621</v>
      </c>
      <c r="P76" s="8">
        <v>2.0023976411657167</v>
      </c>
      <c r="Q76" s="54">
        <v>5.6281127434117172E-5</v>
      </c>
    </row>
    <row r="77" spans="1:17">
      <c r="A77" s="2" t="s">
        <v>431</v>
      </c>
      <c r="B77" s="16" t="s">
        <v>432</v>
      </c>
      <c r="D77" s="14">
        <v>1</v>
      </c>
      <c r="E77" s="14">
        <v>0.709295824180873</v>
      </c>
      <c r="F77" s="14">
        <v>0.10128440592078715</v>
      </c>
      <c r="G77" s="14">
        <v>2.6330012955115258E-4</v>
      </c>
      <c r="H77" s="14">
        <v>143.29221139887224</v>
      </c>
      <c r="I77" s="14">
        <v>274.33407579561958</v>
      </c>
      <c r="J77" s="14">
        <v>0</v>
      </c>
      <c r="K77" s="14">
        <v>9.8731881863638851</v>
      </c>
      <c r="L77" s="14">
        <v>0.10128440592078715</v>
      </c>
      <c r="M77" s="14">
        <v>8.3103855058005854E-2</v>
      </c>
      <c r="N77" s="14">
        <v>2.5071266112702615</v>
      </c>
      <c r="O77" s="14">
        <v>912.74451409905134</v>
      </c>
      <c r="P77" s="8">
        <v>2.5071266112702615</v>
      </c>
      <c r="Q77" s="54">
        <v>0.17786060116002778</v>
      </c>
    </row>
    <row r="78" spans="1:17">
      <c r="A78" s="2" t="s">
        <v>433</v>
      </c>
      <c r="B78" s="16" t="s">
        <v>434</v>
      </c>
      <c r="D78" s="14">
        <v>1</v>
      </c>
      <c r="E78" s="14">
        <v>0.68270286203415631</v>
      </c>
      <c r="F78" s="14">
        <v>0.52514017955896442</v>
      </c>
      <c r="G78" s="14">
        <v>3.6976324205537623E-4</v>
      </c>
      <c r="H78" s="14">
        <v>36.049168206911816</v>
      </c>
      <c r="I78" s="14">
        <v>86.248672452594676</v>
      </c>
      <c r="J78" s="14">
        <v>0</v>
      </c>
      <c r="K78" s="14">
        <v>1.9042534525540273</v>
      </c>
      <c r="L78" s="14">
        <v>0.52514017955896453</v>
      </c>
      <c r="M78" s="14">
        <v>0.43087751732813034</v>
      </c>
      <c r="N78" s="14">
        <v>1.2563537400195834</v>
      </c>
      <c r="O78" s="14">
        <v>331.74020505217101</v>
      </c>
      <c r="P78" s="8">
        <v>1.2563537400195834</v>
      </c>
      <c r="Q78" s="54">
        <v>0.19052519688776193</v>
      </c>
    </row>
    <row r="79" spans="1:17">
      <c r="A79" s="2" t="s">
        <v>435</v>
      </c>
      <c r="B79" s="16" t="s">
        <v>436</v>
      </c>
      <c r="D79" s="14">
        <v>1</v>
      </c>
      <c r="E79" s="14">
        <v>0.6603694492862664</v>
      </c>
      <c r="F79" s="14">
        <v>0.36879591328911832</v>
      </c>
      <c r="G79" s="14">
        <v>8.6451908985845771E-5</v>
      </c>
      <c r="H79" s="14">
        <v>67.134552734182606</v>
      </c>
      <c r="I79" s="14">
        <v>149.4869464357009</v>
      </c>
      <c r="J79" s="14">
        <v>0</v>
      </c>
      <c r="K79" s="14">
        <v>2.7115267929122848</v>
      </c>
      <c r="L79" s="14">
        <v>0.36879591328911832</v>
      </c>
      <c r="M79" s="14">
        <v>0.30259704685372157</v>
      </c>
      <c r="N79" s="14">
        <v>1.6545960466132021</v>
      </c>
      <c r="O79" s="14">
        <v>662.02042421040835</v>
      </c>
      <c r="P79" s="8">
        <v>1.6545960466132021</v>
      </c>
      <c r="Q79" s="54">
        <v>0.22243507499683063</v>
      </c>
    </row>
    <row r="80" spans="1:17">
      <c r="A80" s="2" t="s">
        <v>437</v>
      </c>
      <c r="B80" s="16" t="s">
        <v>438</v>
      </c>
      <c r="D80" s="14">
        <v>1</v>
      </c>
      <c r="E80" s="14">
        <v>0.99447395259025428</v>
      </c>
      <c r="F80" s="14">
        <v>2.9251764924973565E-3</v>
      </c>
      <c r="G80" s="14">
        <v>2.1791169813038453E-12</v>
      </c>
      <c r="H80" s="14">
        <v>281.61259508063051</v>
      </c>
      <c r="I80" s="14">
        <v>1.9326975634338486</v>
      </c>
      <c r="J80" s="14">
        <v>0</v>
      </c>
      <c r="K80" s="14">
        <v>341.85971429924018</v>
      </c>
      <c r="L80" s="14">
        <v>2.925176492497357E-3</v>
      </c>
      <c r="M80" s="14">
        <v>2.4001073120940813E-3</v>
      </c>
      <c r="N80" s="14">
        <v>3.8747776606768061</v>
      </c>
      <c r="O80" s="14">
        <v>1991.9456998007327</v>
      </c>
      <c r="P80" s="8">
        <v>3.8747776606768061</v>
      </c>
      <c r="Q80" s="54">
        <v>6.8416979857401506E-5</v>
      </c>
    </row>
    <row r="81" spans="1:17">
      <c r="A81" s="2" t="s">
        <v>440</v>
      </c>
      <c r="B81" s="16" t="s">
        <v>441</v>
      </c>
      <c r="D81" s="14">
        <v>1</v>
      </c>
      <c r="E81" s="14">
        <v>0.96970292339474573</v>
      </c>
      <c r="F81" s="14">
        <v>0.97222685949847942</v>
      </c>
      <c r="G81" s="14">
        <v>2.0516161199751449E-15</v>
      </c>
      <c r="H81" s="14">
        <v>0.25910012055909881</v>
      </c>
      <c r="I81" s="14">
        <v>0.93309268726309469</v>
      </c>
      <c r="J81" s="14">
        <v>0</v>
      </c>
      <c r="K81" s="14">
        <v>1.0285665225458256</v>
      </c>
      <c r="L81" s="14">
        <v>0.97222685949847942</v>
      </c>
      <c r="M81" s="14">
        <v>0.7977121382185024</v>
      </c>
      <c r="N81" s="14">
        <v>0.96350954477435846</v>
      </c>
      <c r="O81" s="14">
        <v>267.1426563841386</v>
      </c>
      <c r="P81" s="8">
        <v>0.96350954477435846</v>
      </c>
      <c r="Q81" s="54">
        <v>1.954001018861028E-2</v>
      </c>
    </row>
    <row r="82" spans="1:17">
      <c r="A82" s="2" t="s">
        <v>442</v>
      </c>
      <c r="B82" s="16" t="s">
        <v>443</v>
      </c>
      <c r="D82" s="14">
        <v>1</v>
      </c>
      <c r="E82" s="14">
        <v>0.78632692943059712</v>
      </c>
      <c r="F82" s="14">
        <v>0.71872405727134292</v>
      </c>
      <c r="G82" s="14">
        <v>9.1506231373811278E-7</v>
      </c>
      <c r="H82" s="14">
        <v>15.617883606429279</v>
      </c>
      <c r="I82" s="14">
        <v>40.670485113842332</v>
      </c>
      <c r="J82" s="14">
        <v>0</v>
      </c>
      <c r="K82" s="14">
        <v>1.3913545676995001</v>
      </c>
      <c r="L82" s="14">
        <v>0.71872405727134292</v>
      </c>
      <c r="M82" s="14">
        <v>0.58971308899113684</v>
      </c>
      <c r="N82" s="14">
        <v>1.0526173916171897</v>
      </c>
      <c r="O82" s="14">
        <v>173.88186692124356</v>
      </c>
      <c r="P82" s="8">
        <v>1.0526173916171897</v>
      </c>
      <c r="Q82" s="54">
        <v>0.1431790091637091</v>
      </c>
    </row>
    <row r="83" spans="1:17">
      <c r="A83" s="2" t="s">
        <v>444</v>
      </c>
      <c r="B83" s="16" t="s">
        <v>445</v>
      </c>
      <c r="D83" s="14">
        <v>1</v>
      </c>
      <c r="E83" s="14">
        <v>0.70925159544147964</v>
      </c>
      <c r="F83" s="14">
        <v>0.12723189562463999</v>
      </c>
      <c r="G83" s="14">
        <v>5.6084710886991578E-6</v>
      </c>
      <c r="H83" s="14">
        <v>136.71494679025554</v>
      </c>
      <c r="I83" s="14">
        <v>267.09955750502036</v>
      </c>
      <c r="J83" s="14">
        <v>0</v>
      </c>
      <c r="K83" s="14">
        <v>7.8596643953981751</v>
      </c>
      <c r="L83" s="14">
        <v>0.12723189562464002</v>
      </c>
      <c r="M83" s="14">
        <v>0.10439377036001712</v>
      </c>
      <c r="N83" s="14">
        <v>2.464344040175495</v>
      </c>
      <c r="O83" s="14">
        <v>444.17336980123122</v>
      </c>
      <c r="P83" s="8">
        <v>2.464344040175495</v>
      </c>
      <c r="Q83" s="54">
        <v>0.1935856533403969</v>
      </c>
    </row>
    <row r="84" spans="1:17">
      <c r="A84" s="2" t="s">
        <v>446</v>
      </c>
      <c r="B84" s="16" t="s">
        <v>447</v>
      </c>
      <c r="D84" s="14">
        <v>1</v>
      </c>
      <c r="E84" s="14">
        <v>0.93663261443583035</v>
      </c>
      <c r="F84" s="14">
        <v>0.93478000356749957</v>
      </c>
      <c r="G84" s="14">
        <v>6.2911190155339313E-17</v>
      </c>
      <c r="H84" s="14">
        <v>1.1595765219408516</v>
      </c>
      <c r="I84" s="14">
        <v>3.7286926301093373</v>
      </c>
      <c r="J84" s="14">
        <v>0</v>
      </c>
      <c r="K84" s="14">
        <v>1.0697704231836307</v>
      </c>
      <c r="L84" s="14">
        <v>0.93478000356749968</v>
      </c>
      <c r="M84" s="14">
        <v>0.76698699292713346</v>
      </c>
      <c r="N84" s="14">
        <v>0.95006893203845533</v>
      </c>
      <c r="O84" s="14">
        <v>369.47230698043489</v>
      </c>
      <c r="P84" s="8">
        <v>0.95006893203845544</v>
      </c>
      <c r="Q84" s="54">
        <v>4.1875170115034298E-2</v>
      </c>
    </row>
    <row r="85" spans="1:17">
      <c r="A85" s="2" t="s">
        <v>448</v>
      </c>
      <c r="B85" s="16" t="s">
        <v>449</v>
      </c>
      <c r="D85" s="14">
        <v>1</v>
      </c>
      <c r="E85" s="14">
        <v>0.98656071116787525</v>
      </c>
      <c r="F85" s="14">
        <v>0.99017950781256348</v>
      </c>
      <c r="G85" s="14">
        <v>4.4251950901997474E-10</v>
      </c>
      <c r="H85" s="14">
        <v>4.7588710192659679E-2</v>
      </c>
      <c r="I85" s="14">
        <v>0.19442902796417236</v>
      </c>
      <c r="J85" s="14">
        <v>0</v>
      </c>
      <c r="K85" s="14">
        <v>1.0099178907561228</v>
      </c>
      <c r="L85" s="14">
        <v>0.99017950781256359</v>
      </c>
      <c r="M85" s="14">
        <v>0.81244228616020842</v>
      </c>
      <c r="N85" s="14">
        <v>0.97505552195033884</v>
      </c>
      <c r="O85" s="14">
        <v>174.76895175437875</v>
      </c>
      <c r="P85" s="8">
        <v>0.97505552195033895</v>
      </c>
      <c r="Q85" s="54">
        <v>8.1500656103809192E-3</v>
      </c>
    </row>
    <row r="86" spans="1:17">
      <c r="A86" s="2" t="s">
        <v>450</v>
      </c>
      <c r="B86" s="16" t="s">
        <v>451</v>
      </c>
      <c r="D86" s="14">
        <v>1</v>
      </c>
      <c r="E86" s="14">
        <v>0.93811552684699517</v>
      </c>
      <c r="F86" s="14">
        <v>0.93652312104598101</v>
      </c>
      <c r="G86" s="14">
        <v>1.5827670168726766E-10</v>
      </c>
      <c r="H86" s="14">
        <v>1.1050667296992422</v>
      </c>
      <c r="I86" s="14">
        <v>3.566528300857946</v>
      </c>
      <c r="J86" s="14">
        <v>0</v>
      </c>
      <c r="K86" s="14">
        <v>1.0677792971978344</v>
      </c>
      <c r="L86" s="14">
        <v>0.93652312104598112</v>
      </c>
      <c r="M86" s="14">
        <v>0.7684172208182275</v>
      </c>
      <c r="N86" s="14">
        <v>0.95042088969520699</v>
      </c>
      <c r="O86" s="14">
        <v>248.14539009052157</v>
      </c>
      <c r="P86" s="8">
        <v>0.95042088969520699</v>
      </c>
      <c r="Q86" s="54">
        <v>4.0873862022206602E-2</v>
      </c>
    </row>
    <row r="87" spans="1:17">
      <c r="A87" s="2" t="s">
        <v>452</v>
      </c>
      <c r="B87" s="16" t="s">
        <v>453</v>
      </c>
      <c r="D87" s="14">
        <v>1</v>
      </c>
      <c r="E87" s="14">
        <v>0.90058708052083858</v>
      </c>
      <c r="F87" s="14">
        <v>5.1988832141369853E-4</v>
      </c>
      <c r="G87" s="14">
        <v>5.3623918878658375E-10</v>
      </c>
      <c r="H87" s="14">
        <v>60.552218826536055</v>
      </c>
      <c r="I87" s="14">
        <v>1807.953400559928</v>
      </c>
      <c r="J87" s="14">
        <v>0</v>
      </c>
      <c r="K87" s="14">
        <v>1923.4900243205407</v>
      </c>
      <c r="L87" s="14">
        <v>5.1988832141369853E-4</v>
      </c>
      <c r="M87" s="14">
        <v>4.2656836771993968E-4</v>
      </c>
      <c r="N87" s="14">
        <v>16.814667504119313</v>
      </c>
      <c r="O87" s="14">
        <v>6999.9460819648702</v>
      </c>
      <c r="P87" s="8">
        <v>16.814667504119313</v>
      </c>
      <c r="Q87" s="54">
        <v>5.12138272805105E-2</v>
      </c>
    </row>
    <row r="88" spans="1:17">
      <c r="A88" s="2" t="s">
        <v>454</v>
      </c>
      <c r="B88" s="16" t="s">
        <v>455</v>
      </c>
      <c r="D88" s="14">
        <v>1</v>
      </c>
      <c r="E88" s="14">
        <v>0.72883206652829313</v>
      </c>
      <c r="F88" s="14">
        <v>0.60163772345760569</v>
      </c>
      <c r="G88" s="14">
        <v>4.4273468485874582E-7</v>
      </c>
      <c r="H88" s="14">
        <v>29.101478861208268</v>
      </c>
      <c r="I88" s="14">
        <v>71.445064069840569</v>
      </c>
      <c r="J88" s="14">
        <v>0</v>
      </c>
      <c r="K88" s="14">
        <v>1.6621298183448512</v>
      </c>
      <c r="L88" s="14">
        <v>0.60163772345760569</v>
      </c>
      <c r="M88" s="14">
        <v>0.49364375209696548</v>
      </c>
      <c r="N88" s="14">
        <v>1.2029460973275425</v>
      </c>
      <c r="O88" s="14">
        <v>230.08750003583907</v>
      </c>
      <c r="P88" s="8">
        <v>1.2029460973275425</v>
      </c>
      <c r="Q88" s="54">
        <v>0.1818746748993226</v>
      </c>
    </row>
    <row r="89" spans="1:17">
      <c r="A89" s="2" t="s">
        <v>456</v>
      </c>
      <c r="B89" s="16" t="s">
        <v>457</v>
      </c>
      <c r="D89" s="14">
        <v>1</v>
      </c>
      <c r="E89" s="14">
        <v>0.77547020047364623</v>
      </c>
      <c r="F89" s="14">
        <v>0.69884716238445121</v>
      </c>
      <c r="G89" s="14">
        <v>3.0173847688174591E-19</v>
      </c>
      <c r="H89" s="14">
        <v>17.644209512959652</v>
      </c>
      <c r="I89" s="14">
        <v>45.442202938519351</v>
      </c>
      <c r="J89" s="14">
        <v>0</v>
      </c>
      <c r="K89" s="14">
        <v>1.4309280395273007</v>
      </c>
      <c r="L89" s="14">
        <v>0.69884716238445121</v>
      </c>
      <c r="M89" s="14">
        <v>0.57340409673644221</v>
      </c>
      <c r="N89" s="14">
        <v>1.0741026462468481</v>
      </c>
      <c r="O89" s="14">
        <v>421.542324546038</v>
      </c>
      <c r="P89" s="8">
        <v>1.0741026462468481</v>
      </c>
      <c r="Q89" s="54">
        <v>0.15054258767958556</v>
      </c>
    </row>
    <row r="90" spans="1:17">
      <c r="A90" s="2" t="s">
        <v>458</v>
      </c>
      <c r="B90" s="16" t="s">
        <v>459</v>
      </c>
      <c r="D90" s="14">
        <v>1</v>
      </c>
      <c r="E90" s="14">
        <v>0.88176806588936663</v>
      </c>
      <c r="F90" s="14">
        <v>0.8657418713684284</v>
      </c>
      <c r="G90" s="14">
        <v>4.6631234206780658E-31</v>
      </c>
      <c r="H90" s="14">
        <v>4.1961250529221834</v>
      </c>
      <c r="I90" s="14">
        <v>12.20409538442</v>
      </c>
      <c r="J90" s="14">
        <v>0</v>
      </c>
      <c r="K90" s="14">
        <v>1.1550787054106064</v>
      </c>
      <c r="L90" s="14">
        <v>0.8657418713684284</v>
      </c>
      <c r="M90" s="14">
        <v>0.71034120545779555</v>
      </c>
      <c r="N90" s="14">
        <v>0.95382145308813004</v>
      </c>
      <c r="O90" s="14">
        <v>744.87732557464437</v>
      </c>
      <c r="P90" s="8">
        <v>0.95382145308813004</v>
      </c>
      <c r="Q90" s="54">
        <v>7.8905194251509075E-2</v>
      </c>
    </row>
    <row r="91" spans="1:17">
      <c r="A91" s="2" t="s">
        <v>460</v>
      </c>
      <c r="B91" s="16" t="s">
        <v>461</v>
      </c>
      <c r="D91" s="14">
        <v>1</v>
      </c>
      <c r="E91" s="14">
        <v>0.8727168649202991</v>
      </c>
      <c r="F91" s="14">
        <v>3.3726399248257123E-3</v>
      </c>
      <c r="G91" s="14">
        <v>5.5559517372802373E-10</v>
      </c>
      <c r="H91" s="14">
        <v>150.25536119577262</v>
      </c>
      <c r="I91" s="14">
        <v>896.57607911513162</v>
      </c>
      <c r="J91" s="14">
        <v>0</v>
      </c>
      <c r="K91" s="14">
        <v>296.50363581332419</v>
      </c>
      <c r="L91" s="14">
        <v>3.3726399248257123E-3</v>
      </c>
      <c r="M91" s="14">
        <v>2.7672510583194969E-3</v>
      </c>
      <c r="N91" s="14">
        <v>8.1689021684452783</v>
      </c>
      <c r="O91" s="14">
        <v>2502.951624411633</v>
      </c>
      <c r="P91" s="8">
        <v>8.1689021684452783</v>
      </c>
      <c r="Q91" s="54">
        <v>7.8196469877210628E-2</v>
      </c>
    </row>
    <row r="92" spans="1:17">
      <c r="A92" s="2" t="s">
        <v>462</v>
      </c>
      <c r="B92" s="16" t="s">
        <v>463</v>
      </c>
      <c r="D92" s="14">
        <v>1</v>
      </c>
      <c r="E92" s="14">
        <v>0.68472915872189666</v>
      </c>
      <c r="F92" s="14">
        <v>0.17736035220095811</v>
      </c>
      <c r="G92" s="14">
        <v>4.9199991780498239E-11</v>
      </c>
      <c r="H92" s="14">
        <v>118.50496395553805</v>
      </c>
      <c r="I92" s="14">
        <v>239.7693761494572</v>
      </c>
      <c r="J92" s="14">
        <v>0</v>
      </c>
      <c r="K92" s="14">
        <v>5.6382386908374542</v>
      </c>
      <c r="L92" s="14">
        <v>0.17736035220095814</v>
      </c>
      <c r="M92" s="14">
        <v>0.14552416898088613</v>
      </c>
      <c r="N92" s="14">
        <v>2.2668485161753495</v>
      </c>
      <c r="O92" s="14">
        <v>763.51991721818126</v>
      </c>
      <c r="P92" s="8">
        <v>2.2668485161753495</v>
      </c>
      <c r="Q92" s="54">
        <v>0.21066564302603455</v>
      </c>
    </row>
    <row r="93" spans="1:17">
      <c r="A93" s="2" t="s">
        <v>464</v>
      </c>
      <c r="B93" s="16" t="s">
        <v>465</v>
      </c>
      <c r="D93" s="14">
        <v>1</v>
      </c>
      <c r="E93" s="14">
        <v>0.80600853651392768</v>
      </c>
      <c r="F93" s="14">
        <v>3.9019988418422254E-2</v>
      </c>
      <c r="G93" s="14">
        <v>2.1831100244166871E-6</v>
      </c>
      <c r="H93" s="14">
        <v>183.33574013326808</v>
      </c>
      <c r="I93" s="14">
        <v>321.29525140385635</v>
      </c>
      <c r="J93" s="14">
        <v>0</v>
      </c>
      <c r="K93" s="14">
        <v>25.627890743500998</v>
      </c>
      <c r="L93" s="14">
        <v>3.9019988418422261E-2</v>
      </c>
      <c r="M93" s="14">
        <v>3.201590049731546E-2</v>
      </c>
      <c r="N93" s="14">
        <v>2.8834224624452371</v>
      </c>
      <c r="O93" s="14">
        <v>1341.0509530586553</v>
      </c>
      <c r="P93" s="8">
        <v>2.8834224624452371</v>
      </c>
      <c r="Q93" s="54">
        <v>0.12808677969210472</v>
      </c>
    </row>
    <row r="94" spans="1:17">
      <c r="A94" s="2" t="s">
        <v>466</v>
      </c>
      <c r="B94" s="16" t="s">
        <v>467</v>
      </c>
      <c r="D94" s="14">
        <v>1</v>
      </c>
      <c r="E94" s="14">
        <v>0.99854542380745992</v>
      </c>
      <c r="F94" s="14">
        <v>0.89710629710416612</v>
      </c>
      <c r="G94" s="14">
        <v>2.0355432004733438E-20</v>
      </c>
      <c r="H94" s="14">
        <v>29.821116897094452</v>
      </c>
      <c r="I94" s="14">
        <v>3.6284739967434441E-2</v>
      </c>
      <c r="J94" s="14">
        <v>0</v>
      </c>
      <c r="K94" s="14">
        <v>1.1146951071773454</v>
      </c>
      <c r="L94" s="14">
        <v>0.89710629710416612</v>
      </c>
      <c r="M94" s="14">
        <v>0.73607571677396832</v>
      </c>
      <c r="N94" s="14">
        <v>0.92519611016424774</v>
      </c>
      <c r="O94" s="14">
        <v>305.99936147572333</v>
      </c>
      <c r="P94" s="8">
        <v>0.92519611016424785</v>
      </c>
      <c r="Q94" s="54">
        <v>1.0752860585932896E-4</v>
      </c>
    </row>
    <row r="95" spans="1:17">
      <c r="A95" s="2" t="s">
        <v>468</v>
      </c>
      <c r="B95" s="16" t="s">
        <v>469</v>
      </c>
      <c r="D95" s="14">
        <v>1</v>
      </c>
      <c r="E95" s="14">
        <v>0.87953525004991051</v>
      </c>
      <c r="F95" s="14">
        <v>7.8941054729289792E-3</v>
      </c>
      <c r="G95" s="14">
        <v>2.2393986516460759E-20</v>
      </c>
      <c r="H95" s="14">
        <v>198.61082924790196</v>
      </c>
      <c r="I95" s="14">
        <v>454.94625613668143</v>
      </c>
      <c r="J95" s="14">
        <v>0</v>
      </c>
      <c r="K95" s="14">
        <v>126.67679744453254</v>
      </c>
      <c r="L95" s="14">
        <v>7.8941054729289792E-3</v>
      </c>
      <c r="M95" s="14">
        <v>6.4771135405382275E-3</v>
      </c>
      <c r="N95" s="14">
        <v>4.1001504145632746</v>
      </c>
      <c r="O95" s="14">
        <v>2025.4743047942575</v>
      </c>
      <c r="P95" s="8">
        <v>4.1001504145632746</v>
      </c>
      <c r="Q95" s="54">
        <v>7.7439064074548203E-2</v>
      </c>
    </row>
    <row r="96" spans="1:17">
      <c r="A96" s="2" t="s">
        <v>470</v>
      </c>
      <c r="B96" s="164">
        <v>354656</v>
      </c>
      <c r="D96" s="14">
        <v>1</v>
      </c>
      <c r="E96" s="14">
        <v>0.96858722772215133</v>
      </c>
      <c r="F96" s="14">
        <v>0.97101159465653297</v>
      </c>
      <c r="G96" s="14">
        <v>4.0900903667767578E-12</v>
      </c>
      <c r="H96" s="14">
        <v>0.27893590174785415</v>
      </c>
      <c r="I96" s="14">
        <v>0.99899102504706061</v>
      </c>
      <c r="J96" s="14">
        <v>0</v>
      </c>
      <c r="K96" s="14">
        <v>1.0298538199780414</v>
      </c>
      <c r="L96" s="14">
        <v>0.97101159465653297</v>
      </c>
      <c r="M96" s="14">
        <v>0.79671501341568529</v>
      </c>
      <c r="N96" s="14">
        <v>0.96286207080059094</v>
      </c>
      <c r="O96" s="14">
        <v>189.86677174116852</v>
      </c>
      <c r="P96" s="8">
        <v>0.96286207080059094</v>
      </c>
      <c r="Q96" s="54">
        <v>2.0293716382168248E-2</v>
      </c>
    </row>
    <row r="97" spans="1:17">
      <c r="A97" s="2" t="s">
        <v>472</v>
      </c>
      <c r="B97" s="16" t="s">
        <v>473</v>
      </c>
      <c r="D97" s="14">
        <v>1</v>
      </c>
      <c r="E97" s="14">
        <v>0.93587878714237627</v>
      </c>
      <c r="F97" s="14">
        <v>0.93389155516063682</v>
      </c>
      <c r="G97" s="14">
        <v>6.2860080947469809E-12</v>
      </c>
      <c r="H97" s="14">
        <v>1.1878085532648073</v>
      </c>
      <c r="I97" s="14">
        <v>3.8124452804490416</v>
      </c>
      <c r="J97" s="14">
        <v>0</v>
      </c>
      <c r="K97" s="14">
        <v>1.0707881385949485</v>
      </c>
      <c r="L97" s="14">
        <v>0.93389155516063693</v>
      </c>
      <c r="M97" s="14">
        <v>0.76625802100930263</v>
      </c>
      <c r="N97" s="14">
        <v>0.94989897250749189</v>
      </c>
      <c r="O97" s="14">
        <v>152.15481741625007</v>
      </c>
      <c r="P97" s="8">
        <v>0.949898972507492</v>
      </c>
      <c r="Q97" s="54">
        <v>4.2384163768001595E-2</v>
      </c>
    </row>
    <row r="98" spans="1:17">
      <c r="A98" s="2" t="s">
        <v>474</v>
      </c>
      <c r="B98" s="16" t="s">
        <v>475</v>
      </c>
      <c r="D98" s="14">
        <v>1</v>
      </c>
      <c r="E98" s="14">
        <v>0.85648315183712165</v>
      </c>
      <c r="F98" s="14">
        <v>1.8395653694041354E-2</v>
      </c>
      <c r="G98" s="14">
        <v>5.1825525314403933E-22</v>
      </c>
      <c r="H98" s="14">
        <v>202.26243214732145</v>
      </c>
      <c r="I98" s="14">
        <v>332.9449223481721</v>
      </c>
      <c r="J98" s="14">
        <v>0</v>
      </c>
      <c r="K98" s="14">
        <v>54.360666744010082</v>
      </c>
      <c r="L98" s="14">
        <v>1.8395653694041354E-2</v>
      </c>
      <c r="M98" s="14">
        <v>1.5093633855960931E-2</v>
      </c>
      <c r="N98" s="14">
        <v>2.9851091225620796</v>
      </c>
      <c r="O98" s="14">
        <v>1586.3765410031658</v>
      </c>
      <c r="P98" s="8">
        <v>2.9851091225620796</v>
      </c>
      <c r="Q98" s="54">
        <v>9.4052944389121831E-2</v>
      </c>
    </row>
    <row r="99" spans="1:17">
      <c r="A99" s="2" t="s">
        <v>476</v>
      </c>
      <c r="B99" s="16" t="s">
        <v>477</v>
      </c>
      <c r="D99" s="14">
        <v>1</v>
      </c>
      <c r="E99" s="14">
        <v>0.99027006238626802</v>
      </c>
      <c r="F99" s="14">
        <v>0.99402442100533195</v>
      </c>
      <c r="G99" s="14">
        <v>1.9315481637380438E-9</v>
      </c>
      <c r="H99" s="14">
        <v>2.3424862708300933E-2</v>
      </c>
      <c r="I99" s="14">
        <v>0.1008635442904791</v>
      </c>
      <c r="J99" s="14">
        <v>0</v>
      </c>
      <c r="K99" s="14">
        <v>1.0060115011949349</v>
      </c>
      <c r="L99" s="14">
        <v>0.99402442100533206</v>
      </c>
      <c r="M99" s="14">
        <v>0.81559703743487488</v>
      </c>
      <c r="N99" s="14">
        <v>0.97807029140400736</v>
      </c>
      <c r="O99" s="14">
        <v>126.32755883774158</v>
      </c>
      <c r="P99" s="8">
        <v>0.97807029140400736</v>
      </c>
      <c r="Q99" s="54">
        <v>5.6433141223414069E-3</v>
      </c>
    </row>
    <row r="100" spans="1:17">
      <c r="A100" s="2" t="s">
        <v>478</v>
      </c>
      <c r="B100" s="16" t="s">
        <v>479</v>
      </c>
      <c r="D100" s="14">
        <v>1</v>
      </c>
      <c r="E100" s="14">
        <v>0.67112789912205439</v>
      </c>
      <c r="F100" s="14">
        <v>0.4110917170310161</v>
      </c>
      <c r="G100" s="14">
        <v>5.6674436936323605E-13</v>
      </c>
      <c r="H100" s="14">
        <v>59.752864029081579</v>
      </c>
      <c r="I100" s="14">
        <v>135.27448747576699</v>
      </c>
      <c r="J100" s="14">
        <v>0</v>
      </c>
      <c r="K100" s="14">
        <v>2.4325471873337494</v>
      </c>
      <c r="L100" s="14">
        <v>0.41109171703101616</v>
      </c>
      <c r="M100" s="14">
        <v>0.33730075382394875</v>
      </c>
      <c r="N100" s="14">
        <v>1.571386205797104</v>
      </c>
      <c r="O100" s="14">
        <v>471.10158449797177</v>
      </c>
      <c r="P100" s="8">
        <v>1.571386205797104</v>
      </c>
      <c r="Q100" s="54">
        <v>0.22050370809370529</v>
      </c>
    </row>
    <row r="101" spans="1:17">
      <c r="A101" s="2" t="s">
        <v>480</v>
      </c>
      <c r="B101" s="16" t="s">
        <v>481</v>
      </c>
      <c r="D101" s="14">
        <v>1</v>
      </c>
      <c r="E101" s="14">
        <v>0.98463900638156887</v>
      </c>
      <c r="F101" s="14">
        <v>0.98817228710412219</v>
      </c>
      <c r="G101" s="14">
        <v>5.1968616803440929E-13</v>
      </c>
      <c r="H101" s="14">
        <v>6.3315883322041092E-2</v>
      </c>
      <c r="I101" s="14">
        <v>0.25326188845523873</v>
      </c>
      <c r="J101" s="14">
        <v>0</v>
      </c>
      <c r="K101" s="14">
        <v>1.0119692821284629</v>
      </c>
      <c r="L101" s="14">
        <v>0.9881722871041223</v>
      </c>
      <c r="M101" s="14">
        <v>0.81079536156893239</v>
      </c>
      <c r="N101" s="14">
        <v>0.97356502106012832</v>
      </c>
      <c r="O101" s="14">
        <v>231.86424541568016</v>
      </c>
      <c r="P101" s="8">
        <v>0.97356502106012832</v>
      </c>
      <c r="Q101" s="54">
        <v>9.4486517159683842E-3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0.99507005155026529</v>
      </c>
      <c r="F102" s="14">
        <v>0.99894006897589249</v>
      </c>
      <c r="G102" s="14">
        <v>3.2665395540356221E-29</v>
      </c>
      <c r="H102" s="14">
        <v>4.5191778558942713E-3</v>
      </c>
      <c r="I102" s="14">
        <v>2.1974378684858239E-2</v>
      </c>
      <c r="J102" s="14">
        <v>0</v>
      </c>
      <c r="K102" s="14">
        <v>1.0010610556699304</v>
      </c>
      <c r="L102" s="14">
        <v>0.99894006897589249</v>
      </c>
      <c r="M102" s="14">
        <v>0.81963032659471979</v>
      </c>
      <c r="N102" s="14">
        <v>0.98226257294683716</v>
      </c>
      <c r="O102" s="14">
        <v>452.26315646191227</v>
      </c>
      <c r="P102" s="8">
        <v>0.98226257294683728</v>
      </c>
      <c r="Q102" s="54">
        <v>2.3994770721362572E-3</v>
      </c>
    </row>
    <row r="103" spans="1:17">
      <c r="A103" s="2" t="s">
        <v>484</v>
      </c>
      <c r="B103" s="16" t="s">
        <v>485</v>
      </c>
      <c r="D103" s="14">
        <v>1</v>
      </c>
      <c r="E103" s="14">
        <v>0.99053570196511165</v>
      </c>
      <c r="F103" s="14">
        <v>0.99429824794923682</v>
      </c>
      <c r="G103" s="14">
        <v>2.6054045175092163E-15</v>
      </c>
      <c r="H103" s="14">
        <v>2.2011349727781938E-2</v>
      </c>
      <c r="I103" s="14">
        <v>9.5214665257551401E-2</v>
      </c>
      <c r="J103" s="14">
        <v>0</v>
      </c>
      <c r="K103" s="14">
        <v>1.0057344484539956</v>
      </c>
      <c r="L103" s="14">
        <v>0.99429824794923694</v>
      </c>
      <c r="M103" s="14">
        <v>0.81582171244234891</v>
      </c>
      <c r="N103" s="14">
        <v>0.97829344063154766</v>
      </c>
      <c r="O103" s="14">
        <v>200.79472868962517</v>
      </c>
      <c r="P103" s="8">
        <v>0.97829344063154777</v>
      </c>
      <c r="Q103" s="54">
        <v>5.4639138719945815E-3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0.95325284833447899</v>
      </c>
      <c r="F104" s="14">
        <v>0.95397020563660695</v>
      </c>
      <c r="G104" s="14">
        <v>3.2064413368585036E-11</v>
      </c>
      <c r="H104" s="14">
        <v>0.6254531887782846</v>
      </c>
      <c r="I104" s="14">
        <v>2.1079096003373299</v>
      </c>
      <c r="J104" s="14">
        <v>0</v>
      </c>
      <c r="K104" s="14">
        <v>1.048250767258162</v>
      </c>
      <c r="L104" s="14">
        <v>0.95397020563660706</v>
      </c>
      <c r="M104" s="14">
        <v>0.78273255372483608</v>
      </c>
      <c r="N104" s="14">
        <v>0.95535220489930062</v>
      </c>
      <c r="O104" s="14">
        <v>144.41103929257829</v>
      </c>
      <c r="P104" s="8">
        <v>0.95535220489930073</v>
      </c>
      <c r="Q104" s="54">
        <v>3.0651517592683874E-2</v>
      </c>
    </row>
    <row r="105" spans="1:17">
      <c r="A105" s="2" t="s">
        <v>488</v>
      </c>
      <c r="B105" s="16" t="s">
        <v>489</v>
      </c>
      <c r="D105" s="14">
        <v>1</v>
      </c>
      <c r="E105" s="14">
        <v>0.99436249058928816</v>
      </c>
      <c r="F105" s="14">
        <v>0.99821986111892635</v>
      </c>
      <c r="G105" s="14">
        <v>2.5978537265565924E-18</v>
      </c>
      <c r="H105" s="14">
        <v>6.4089400118165496E-3</v>
      </c>
      <c r="I105" s="14">
        <v>3.0369901079654434E-2</v>
      </c>
      <c r="J105" s="14">
        <v>0</v>
      </c>
      <c r="K105" s="14">
        <v>1.0017833134266416</v>
      </c>
      <c r="L105" s="14">
        <v>0.99821986111892635</v>
      </c>
      <c r="M105" s="14">
        <v>0.81903939604807907</v>
      </c>
      <c r="N105" s="14">
        <v>0.98162225239818834</v>
      </c>
      <c r="O105" s="14">
        <v>333.12332757384922</v>
      </c>
      <c r="P105" s="8">
        <v>0.98162225239818846</v>
      </c>
      <c r="Q105" s="54">
        <v>2.8776858237140263E-3</v>
      </c>
    </row>
    <row r="106" spans="1:17">
      <c r="A106" s="2" t="s">
        <v>490</v>
      </c>
      <c r="B106" s="16" t="s">
        <v>491</v>
      </c>
      <c r="D106" s="14">
        <v>1</v>
      </c>
      <c r="E106" s="14">
        <v>0.85377632013768823</v>
      </c>
      <c r="F106" s="14">
        <v>0.82671440187255663</v>
      </c>
      <c r="G106" s="14">
        <v>1.4120302185509144E-10</v>
      </c>
      <c r="H106" s="14">
        <v>6.6071703375044075</v>
      </c>
      <c r="I106" s="14">
        <v>18.521351510305571</v>
      </c>
      <c r="J106" s="14">
        <v>0</v>
      </c>
      <c r="K106" s="14">
        <v>1.2096075715324921</v>
      </c>
      <c r="L106" s="14">
        <v>0.82671440187255663</v>
      </c>
      <c r="M106" s="14">
        <v>0.67831916673643267</v>
      </c>
      <c r="N106" s="14">
        <v>0.96918264548355992</v>
      </c>
      <c r="O106" s="14">
        <v>186.20906167675636</v>
      </c>
      <c r="P106" s="8">
        <v>0.96918264548355992</v>
      </c>
      <c r="Q106" s="54">
        <v>9.7785097728994963E-2</v>
      </c>
    </row>
    <row r="107" spans="1:17">
      <c r="A107" s="2" t="s">
        <v>492</v>
      </c>
      <c r="B107" s="16" t="s">
        <v>493</v>
      </c>
      <c r="D107" s="14">
        <v>1</v>
      </c>
      <c r="E107" s="14">
        <v>0.87307668146387929</v>
      </c>
      <c r="F107" s="14">
        <v>1.3676813493249096E-2</v>
      </c>
      <c r="G107" s="14">
        <v>2.4355296011198544E-18</v>
      </c>
      <c r="H107" s="14">
        <v>208.14449281827106</v>
      </c>
      <c r="I107" s="14">
        <v>334.52000560144074</v>
      </c>
      <c r="J107" s="14">
        <v>0</v>
      </c>
      <c r="K107" s="14">
        <v>73.116446348676334</v>
      </c>
      <c r="L107" s="14">
        <v>1.3676813493249096E-2</v>
      </c>
      <c r="M107" s="14">
        <v>1.1221825471210884E-2</v>
      </c>
      <c r="N107" s="14">
        <v>3.0017697212089005</v>
      </c>
      <c r="O107" s="14">
        <v>1364.6045152615661</v>
      </c>
      <c r="P107" s="8">
        <v>3.0017697212089005</v>
      </c>
      <c r="Q107" s="54">
        <v>8.2836567625338961E-2</v>
      </c>
    </row>
    <row r="108" spans="1:17">
      <c r="A108" s="2" t="s">
        <v>291</v>
      </c>
      <c r="B108" s="16" t="s">
        <v>494</v>
      </c>
      <c r="D108" s="14">
        <v>1</v>
      </c>
      <c r="E108" s="14">
        <v>0.68467189144664897</v>
      </c>
      <c r="F108" s="14">
        <v>0.47321125864740265</v>
      </c>
      <c r="G108" s="14">
        <v>3.2633492589184863E-12</v>
      </c>
      <c r="H108" s="14">
        <v>48.465764624998229</v>
      </c>
      <c r="I108" s="14">
        <v>112.58803503516742</v>
      </c>
      <c r="J108" s="14">
        <v>0</v>
      </c>
      <c r="K108" s="14">
        <v>2.113221065065817</v>
      </c>
      <c r="L108" s="14">
        <v>0.47321125864740265</v>
      </c>
      <c r="M108" s="14">
        <v>0.38826983772019386</v>
      </c>
      <c r="N108" s="14">
        <v>1.4341832543867441</v>
      </c>
      <c r="O108" s="14">
        <v>442.20172282506473</v>
      </c>
      <c r="P108" s="8">
        <v>1.4341832543867441</v>
      </c>
      <c r="Q108" s="54">
        <v>0.21149116989986808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9.0670311248593059E-5</v>
      </c>
      <c r="E2" s="20">
        <v>0.81987971493953216</v>
      </c>
      <c r="F2" s="20">
        <v>3.685864125168567E-2</v>
      </c>
      <c r="G2" s="20">
        <v>1.0735811482576598E-2</v>
      </c>
      <c r="H2" s="20">
        <v>0</v>
      </c>
      <c r="I2" s="20">
        <v>0.77228526220526994</v>
      </c>
      <c r="J2" s="20">
        <v>1.4024490100019052E-3</v>
      </c>
      <c r="K2" s="20">
        <v>0.17862716573921741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3.5537538106208085E-3</v>
      </c>
      <c r="E3" s="20">
        <v>0.89288848805388632</v>
      </c>
      <c r="F3" s="20">
        <v>0.24052573656912132</v>
      </c>
      <c r="G3" s="20">
        <v>0.65171408721125257</v>
      </c>
      <c r="H3" s="20">
        <v>0</v>
      </c>
      <c r="I3" s="20">
        <v>6.4866427351243793E-4</v>
      </c>
      <c r="J3" s="20">
        <v>2.2280369967965733E-2</v>
      </c>
      <c r="K3" s="20">
        <v>8.1277388167527206E-2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4.4061495410323059E-12</v>
      </c>
      <c r="E4" s="20">
        <v>0.66391449101272737</v>
      </c>
      <c r="F4" s="20">
        <v>0.25091894193149716</v>
      </c>
      <c r="G4" s="20">
        <v>5.9900300749933535E-2</v>
      </c>
      <c r="H4" s="20">
        <v>0</v>
      </c>
      <c r="I4" s="20">
        <v>0.35309524833129668</v>
      </c>
      <c r="J4" s="20">
        <v>2.3967064309048246E-3</v>
      </c>
      <c r="K4" s="20">
        <v>0.33368880255196165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1.1976308712493076E-4</v>
      </c>
      <c r="E5" s="20">
        <v>0.8771703490307986</v>
      </c>
      <c r="F5" s="20">
        <v>0.67452367444160355</v>
      </c>
      <c r="G5" s="20">
        <v>0.19574593525539702</v>
      </c>
      <c r="H5" s="20">
        <v>0</v>
      </c>
      <c r="I5" s="20">
        <v>6.9007393337980069E-3</v>
      </c>
      <c r="J5" s="20">
        <v>6.5100872094480651E-3</v>
      </c>
      <c r="K5" s="20">
        <v>0.1161998006726284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1.1635834336681193E-5</v>
      </c>
      <c r="E6" s="20">
        <v>0.91157603604377913</v>
      </c>
      <c r="F6" s="20">
        <v>0.15416001514454067</v>
      </c>
      <c r="G6" s="20">
        <v>0.7571244996811245</v>
      </c>
      <c r="H6" s="20">
        <v>0</v>
      </c>
      <c r="I6" s="20">
        <v>2.9152121811399468E-4</v>
      </c>
      <c r="J6" s="20">
        <v>2.6084796139375893E-2</v>
      </c>
      <c r="K6" s="20">
        <v>6.2327531982508379E-2</v>
      </c>
      <c r="L6" s="20">
        <v>0</v>
      </c>
    </row>
    <row r="7" spans="1:14">
      <c r="A7" s="2" t="s">
        <v>321</v>
      </c>
      <c r="B7" s="3" t="s">
        <v>322</v>
      </c>
      <c r="D7" s="20">
        <v>1.7108715497076927E-5</v>
      </c>
      <c r="E7" s="20">
        <v>0.89830178422327522</v>
      </c>
      <c r="F7" s="20">
        <v>0.2269298464758655</v>
      </c>
      <c r="G7" s="20">
        <v>0.67079091913480526</v>
      </c>
      <c r="H7" s="20">
        <v>0</v>
      </c>
      <c r="I7" s="20">
        <v>5.8101861260447538E-4</v>
      </c>
      <c r="J7" s="20">
        <v>2.2958438908868936E-2</v>
      </c>
      <c r="K7" s="20">
        <v>7.8722668152358649E-2</v>
      </c>
      <c r="L7" s="20">
        <v>0</v>
      </c>
    </row>
    <row r="8" spans="1:14">
      <c r="A8" s="2" t="s">
        <v>323</v>
      </c>
      <c r="B8" s="3" t="s">
        <v>324</v>
      </c>
      <c r="D8" s="20">
        <v>1.6107324054370433E-4</v>
      </c>
      <c r="E8" s="20">
        <v>0.88307708506737226</v>
      </c>
      <c r="F8" s="20">
        <v>0.34426875659889244</v>
      </c>
      <c r="G8" s="20">
        <v>0.5375181908563228</v>
      </c>
      <c r="H8" s="20">
        <v>0</v>
      </c>
      <c r="I8" s="20">
        <v>1.2901376121570273E-3</v>
      </c>
      <c r="J8" s="20">
        <v>1.8246062442380639E-2</v>
      </c>
      <c r="K8" s="20">
        <v>9.8515779249703367E-2</v>
      </c>
      <c r="L8" s="20">
        <v>0</v>
      </c>
    </row>
    <row r="9" spans="1:14">
      <c r="A9" s="2" t="s">
        <v>325</v>
      </c>
      <c r="B9" s="3" t="s">
        <v>326</v>
      </c>
      <c r="D9" s="20">
        <v>1.0125119735543279E-4</v>
      </c>
      <c r="E9" s="20">
        <v>0.77302044755003751</v>
      </c>
      <c r="F9" s="20">
        <v>0.59658782011420342</v>
      </c>
      <c r="G9" s="20">
        <v>0.11715745742617152</v>
      </c>
      <c r="H9" s="20">
        <v>0</v>
      </c>
      <c r="I9" s="20">
        <v>5.927517000966262E-2</v>
      </c>
      <c r="J9" s="20">
        <v>3.8897486739858309E-3</v>
      </c>
      <c r="K9" s="20">
        <v>0.22298855257862113</v>
      </c>
      <c r="L9" s="20">
        <v>0</v>
      </c>
    </row>
    <row r="10" spans="1:14">
      <c r="A10" s="2" t="s">
        <v>275</v>
      </c>
      <c r="B10" s="3" t="s">
        <v>276</v>
      </c>
      <c r="D10" s="20">
        <v>1.5384652910321412E-6</v>
      </c>
      <c r="E10" s="20">
        <v>0.87620185661742456</v>
      </c>
      <c r="F10" s="20">
        <v>0.66063551562966216</v>
      </c>
      <c r="G10" s="20">
        <v>0.20914980930167959</v>
      </c>
      <c r="H10" s="20">
        <v>0</v>
      </c>
      <c r="I10" s="20">
        <v>6.4165316860828187E-3</v>
      </c>
      <c r="J10" s="20">
        <v>6.9623741595534879E-3</v>
      </c>
      <c r="K10" s="20">
        <v>0.11683423075773089</v>
      </c>
      <c r="L10" s="20">
        <v>0</v>
      </c>
    </row>
    <row r="11" spans="1:14">
      <c r="A11" s="2" t="s">
        <v>327</v>
      </c>
      <c r="B11" s="3" t="s">
        <v>328</v>
      </c>
      <c r="D11" s="20">
        <v>8.0107044268720292E-5</v>
      </c>
      <c r="E11" s="20">
        <v>0.87462551540245626</v>
      </c>
      <c r="F11" s="20">
        <v>0.63612860143546812</v>
      </c>
      <c r="G11" s="20">
        <v>0.23283082553577503</v>
      </c>
      <c r="H11" s="20">
        <v>0</v>
      </c>
      <c r="I11" s="20">
        <v>5.6660884312130996E-3</v>
      </c>
      <c r="J11" s="20">
        <v>7.7631942725239263E-3</v>
      </c>
      <c r="K11" s="20">
        <v>0.11753118328075107</v>
      </c>
      <c r="L11" s="20">
        <v>0</v>
      </c>
    </row>
    <row r="12" spans="1:14">
      <c r="A12" s="2" t="s">
        <v>329</v>
      </c>
      <c r="B12" s="3" t="s">
        <v>330</v>
      </c>
      <c r="D12" s="20">
        <v>5.2976358473276998E-5</v>
      </c>
      <c r="E12" s="20">
        <v>0.80772749387588061</v>
      </c>
      <c r="F12" s="20">
        <v>0.64737558583238841</v>
      </c>
      <c r="G12" s="20">
        <v>0.12230715733383628</v>
      </c>
      <c r="H12" s="20">
        <v>0</v>
      </c>
      <c r="I12" s="20">
        <v>3.8044750709655906E-2</v>
      </c>
      <c r="J12" s="20">
        <v>4.0434126345682804E-3</v>
      </c>
      <c r="K12" s="20">
        <v>0.18817611713107796</v>
      </c>
      <c r="L12" s="20">
        <v>0</v>
      </c>
    </row>
    <row r="13" spans="1:14">
      <c r="A13" s="2" t="s">
        <v>277</v>
      </c>
      <c r="B13" s="3" t="s">
        <v>278</v>
      </c>
      <c r="D13" s="20">
        <v>1.5759191173252387E-4</v>
      </c>
      <c r="E13" s="20">
        <v>0.77634389416019356</v>
      </c>
      <c r="F13" s="20">
        <v>0.60173897071845539</v>
      </c>
      <c r="G13" s="20">
        <v>0.11773448656453833</v>
      </c>
      <c r="H13" s="20">
        <v>0</v>
      </c>
      <c r="I13" s="20">
        <v>5.6870436877199816E-2</v>
      </c>
      <c r="J13" s="20">
        <v>3.9066097160419585E-3</v>
      </c>
      <c r="K13" s="20">
        <v>0.21959190421203201</v>
      </c>
      <c r="L13" s="20">
        <v>0</v>
      </c>
    </row>
    <row r="14" spans="1:14">
      <c r="A14" s="2" t="s">
        <v>331</v>
      </c>
      <c r="B14" s="3" t="s">
        <v>332</v>
      </c>
      <c r="D14" s="20">
        <v>5.3378582722660357E-5</v>
      </c>
      <c r="E14" s="20">
        <v>0.87252689745061285</v>
      </c>
      <c r="F14" s="20">
        <v>0.55200276529088221</v>
      </c>
      <c r="G14" s="20">
        <v>0.31676472227465363</v>
      </c>
      <c r="H14" s="20">
        <v>0</v>
      </c>
      <c r="I14" s="20">
        <v>3.7594098850770447E-3</v>
      </c>
      <c r="J14" s="20">
        <v>1.061794987611096E-2</v>
      </c>
      <c r="K14" s="20">
        <v>0.11680177409055344</v>
      </c>
      <c r="L14" s="20">
        <v>0</v>
      </c>
    </row>
    <row r="15" spans="1:14">
      <c r="A15" s="2" t="s">
        <v>333</v>
      </c>
      <c r="B15" s="3" t="s">
        <v>334</v>
      </c>
      <c r="D15" s="20">
        <v>8.7215795403841012E-8</v>
      </c>
      <c r="E15" s="20">
        <v>0.87540395660144421</v>
      </c>
      <c r="F15" s="20">
        <v>0.64858867438658008</v>
      </c>
      <c r="G15" s="20">
        <v>0.22078263697743325</v>
      </c>
      <c r="H15" s="20">
        <v>0</v>
      </c>
      <c r="I15" s="20">
        <v>6.0326452374309357E-3</v>
      </c>
      <c r="J15" s="20">
        <v>7.3554872865728999E-3</v>
      </c>
      <c r="K15" s="20">
        <v>0.11724046889618724</v>
      </c>
      <c r="L15" s="20">
        <v>0</v>
      </c>
    </row>
    <row r="16" spans="1:14">
      <c r="A16" s="2" t="s">
        <v>335</v>
      </c>
      <c r="B16" s="3" t="s">
        <v>336</v>
      </c>
      <c r="D16" s="20">
        <v>4.1844858856484815E-4</v>
      </c>
      <c r="E16" s="20">
        <v>0.8822725457818944</v>
      </c>
      <c r="F16" s="20">
        <v>0.35003890951602917</v>
      </c>
      <c r="G16" s="20">
        <v>0.53089896365629474</v>
      </c>
      <c r="H16" s="20">
        <v>0</v>
      </c>
      <c r="I16" s="20">
        <v>1.3346726095705363E-3</v>
      </c>
      <c r="J16" s="20">
        <v>1.8014662271849158E-2</v>
      </c>
      <c r="K16" s="20">
        <v>9.9294343357691647E-2</v>
      </c>
      <c r="L16" s="20">
        <v>0</v>
      </c>
    </row>
    <row r="17" spans="1:12">
      <c r="A17" s="2" t="s">
        <v>337</v>
      </c>
      <c r="B17" s="3" t="s">
        <v>338</v>
      </c>
      <c r="D17" s="20">
        <v>3.0760454693799035E-5</v>
      </c>
      <c r="E17" s="20">
        <v>0.87687777380451837</v>
      </c>
      <c r="F17" s="20">
        <v>0.66998790972702316</v>
      </c>
      <c r="G17" s="20">
        <v>0.2001531922518692</v>
      </c>
      <c r="H17" s="20">
        <v>0</v>
      </c>
      <c r="I17" s="20">
        <v>6.7366718256260481E-3</v>
      </c>
      <c r="J17" s="20">
        <v>6.6587166680215429E-3</v>
      </c>
      <c r="K17" s="20">
        <v>0.11643274907276624</v>
      </c>
      <c r="L17" s="20">
        <v>0</v>
      </c>
    </row>
    <row r="18" spans="1:12">
      <c r="A18" s="2" t="s">
        <v>279</v>
      </c>
      <c r="B18" s="3" t="s">
        <v>280</v>
      </c>
      <c r="D18" s="20">
        <v>3.0429679692797577E-3</v>
      </c>
      <c r="E18" s="20">
        <v>0.75559840148005597</v>
      </c>
      <c r="F18" s="20">
        <v>0.57065233128294934</v>
      </c>
      <c r="G18" s="20">
        <v>0.11393762204535121</v>
      </c>
      <c r="H18" s="20">
        <v>0</v>
      </c>
      <c r="I18" s="20">
        <v>7.1008448151755388E-2</v>
      </c>
      <c r="J18" s="20">
        <v>3.7950940763086089E-3</v>
      </c>
      <c r="K18" s="20">
        <v>0.23756353647435594</v>
      </c>
      <c r="L18" s="20">
        <v>0</v>
      </c>
    </row>
    <row r="19" spans="1:12">
      <c r="A19" s="2" t="s">
        <v>339</v>
      </c>
      <c r="B19" s="3" t="s">
        <v>340</v>
      </c>
      <c r="D19" s="20">
        <v>3.056674852833169E-7</v>
      </c>
      <c r="E19" s="20">
        <v>0.87525467273694346</v>
      </c>
      <c r="F19" s="20">
        <v>0.64613528608700754</v>
      </c>
      <c r="G19" s="20">
        <v>0.22316136763930899</v>
      </c>
      <c r="H19" s="20">
        <v>0</v>
      </c>
      <c r="I19" s="20">
        <v>5.9580190106269804E-3</v>
      </c>
      <c r="J19" s="20">
        <v>7.4359372665376003E-3</v>
      </c>
      <c r="K19" s="20">
        <v>0.11730908432903356</v>
      </c>
      <c r="L19" s="20">
        <v>0</v>
      </c>
    </row>
    <row r="20" spans="1:12">
      <c r="A20" s="2" t="s">
        <v>281</v>
      </c>
      <c r="B20" s="3" t="s">
        <v>282</v>
      </c>
      <c r="D20" s="20">
        <v>2.3855691512656667E-5</v>
      </c>
      <c r="E20" s="20">
        <v>0.77644773582279536</v>
      </c>
      <c r="F20" s="20">
        <v>0.60181945769805523</v>
      </c>
      <c r="G20" s="20">
        <v>0.11775023441149429</v>
      </c>
      <c r="H20" s="20">
        <v>0</v>
      </c>
      <c r="I20" s="20">
        <v>5.6878043713245847E-2</v>
      </c>
      <c r="J20" s="20">
        <v>3.9071322536069503E-3</v>
      </c>
      <c r="K20" s="20">
        <v>0.21962127623208497</v>
      </c>
      <c r="L20" s="20">
        <v>0</v>
      </c>
    </row>
    <row r="21" spans="1:12">
      <c r="A21" s="2" t="s">
        <v>341</v>
      </c>
      <c r="B21" s="3" t="s">
        <v>342</v>
      </c>
      <c r="D21" s="20">
        <v>4.4685911727322062E-4</v>
      </c>
      <c r="E21" s="20">
        <v>0.87237210109490559</v>
      </c>
      <c r="F21" s="20">
        <v>0.57735753509878895</v>
      </c>
      <c r="G21" s="20">
        <v>0.29076383850436893</v>
      </c>
      <c r="H21" s="20">
        <v>0</v>
      </c>
      <c r="I21" s="20">
        <v>4.2507274917477E-3</v>
      </c>
      <c r="J21" s="20">
        <v>9.7310389823078384E-3</v>
      </c>
      <c r="K21" s="20">
        <v>0.11745000080551328</v>
      </c>
      <c r="L21" s="20">
        <v>0</v>
      </c>
    </row>
    <row r="22" spans="1:12">
      <c r="A22" s="2" t="s">
        <v>343</v>
      </c>
      <c r="B22" s="3" t="s">
        <v>344</v>
      </c>
      <c r="D22" s="20">
        <v>1.96058892619095E-3</v>
      </c>
      <c r="E22" s="20">
        <v>0.71256866367487759</v>
      </c>
      <c r="F22" s="20">
        <v>0.12007725747766862</v>
      </c>
      <c r="G22" s="20">
        <v>3.1315281180019187E-2</v>
      </c>
      <c r="H22" s="20">
        <v>0</v>
      </c>
      <c r="I22" s="20">
        <v>0.56117612501718983</v>
      </c>
      <c r="J22" s="20">
        <v>1.7644694365403302E-3</v>
      </c>
      <c r="K22" s="20">
        <v>0.28370627796239112</v>
      </c>
      <c r="L22" s="20">
        <v>0</v>
      </c>
    </row>
    <row r="23" spans="1:12">
      <c r="A23" s="2" t="s">
        <v>345</v>
      </c>
      <c r="B23" s="3" t="s">
        <v>346</v>
      </c>
      <c r="D23" s="20">
        <v>8.3530599231859548E-5</v>
      </c>
      <c r="E23" s="20">
        <v>0.78269458854646679</v>
      </c>
      <c r="F23" s="20">
        <v>5.724266067649586E-2</v>
      </c>
      <c r="G23" s="20">
        <v>1.6040406394144852E-2</v>
      </c>
      <c r="H23" s="20">
        <v>0</v>
      </c>
      <c r="I23" s="20">
        <v>0.70941152147582609</v>
      </c>
      <c r="J23" s="20">
        <v>1.4832104888411091E-3</v>
      </c>
      <c r="K23" s="20">
        <v>0.21573867036546018</v>
      </c>
      <c r="L23" s="20">
        <v>0</v>
      </c>
    </row>
    <row r="24" spans="1:12">
      <c r="A24" s="2" t="s">
        <v>347</v>
      </c>
      <c r="B24" s="3" t="s">
        <v>348</v>
      </c>
      <c r="D24" s="20">
        <v>7.2273093696089465E-5</v>
      </c>
      <c r="E24" s="20">
        <v>0.68581147908723517</v>
      </c>
      <c r="F24" s="20">
        <v>0.42038853208739485</v>
      </c>
      <c r="G24" s="20">
        <v>9.1695160629134354E-2</v>
      </c>
      <c r="H24" s="20">
        <v>0</v>
      </c>
      <c r="I24" s="20">
        <v>0.17372778637070593</v>
      </c>
      <c r="J24" s="20">
        <v>3.1888113640032583E-3</v>
      </c>
      <c r="K24" s="20">
        <v>0.31092743645506549</v>
      </c>
      <c r="L24" s="20">
        <v>0</v>
      </c>
    </row>
    <row r="25" spans="1:12">
      <c r="A25" s="2" t="s">
        <v>349</v>
      </c>
      <c r="B25" s="3" t="s">
        <v>350</v>
      </c>
      <c r="D25" s="20">
        <v>1.3225895514468412E-2</v>
      </c>
      <c r="E25" s="20">
        <v>0.83708412556274436</v>
      </c>
      <c r="F25" s="20">
        <v>0.69198917756071365</v>
      </c>
      <c r="G25" s="20">
        <v>0.12439268946103525</v>
      </c>
      <c r="H25" s="20">
        <v>0</v>
      </c>
      <c r="I25" s="20">
        <v>2.0702258540995423E-2</v>
      </c>
      <c r="J25" s="20">
        <v>4.1080436756208896E-3</v>
      </c>
      <c r="K25" s="20">
        <v>0.14558193524716614</v>
      </c>
      <c r="L25" s="20">
        <v>0</v>
      </c>
    </row>
    <row r="26" spans="1:12">
      <c r="A26" s="2" t="s">
        <v>351</v>
      </c>
      <c r="B26" s="3" t="s">
        <v>352</v>
      </c>
      <c r="D26" s="20">
        <v>3.586674289739917E-4</v>
      </c>
      <c r="E26" s="20">
        <v>0.87277484330537525</v>
      </c>
      <c r="F26" s="20">
        <v>0.59397224869975951</v>
      </c>
      <c r="G26" s="20">
        <v>0.27419637562871185</v>
      </c>
      <c r="H26" s="20">
        <v>0</v>
      </c>
      <c r="I26" s="20">
        <v>4.6062189769038768E-3</v>
      </c>
      <c r="J26" s="20">
        <v>9.1670644576987738E-3</v>
      </c>
      <c r="K26" s="20">
        <v>0.11769942480795194</v>
      </c>
      <c r="L26" s="20">
        <v>0</v>
      </c>
    </row>
    <row r="27" spans="1:12">
      <c r="A27" s="2" t="s">
        <v>353</v>
      </c>
      <c r="B27" s="3" t="s">
        <v>354</v>
      </c>
      <c r="D27" s="20">
        <v>2.4633028120030456E-3</v>
      </c>
      <c r="E27" s="20">
        <v>0.89202788767818475</v>
      </c>
      <c r="F27" s="20">
        <v>0.25321650927579115</v>
      </c>
      <c r="G27" s="20">
        <v>0.63809827839132982</v>
      </c>
      <c r="H27" s="20">
        <v>0</v>
      </c>
      <c r="I27" s="20">
        <v>7.131000110638311E-4</v>
      </c>
      <c r="J27" s="20">
        <v>2.1794402852008767E-2</v>
      </c>
      <c r="K27" s="20">
        <v>8.3714406657803414E-2</v>
      </c>
      <c r="L27" s="20">
        <v>0</v>
      </c>
    </row>
    <row r="28" spans="1:12">
      <c r="A28" s="2" t="s">
        <v>355</v>
      </c>
      <c r="B28" s="3" t="s">
        <v>356</v>
      </c>
      <c r="D28" s="20">
        <v>1.3455760871906939E-4</v>
      </c>
      <c r="E28" s="20">
        <v>0.87413437457185772</v>
      </c>
      <c r="F28" s="20">
        <v>0.47139229040055514</v>
      </c>
      <c r="G28" s="20">
        <v>0.40020087215036343</v>
      </c>
      <c r="H28" s="20">
        <v>0</v>
      </c>
      <c r="I28" s="20">
        <v>2.5412120209391369E-3</v>
      </c>
      <c r="J28" s="20">
        <v>1.3479953408207337E-2</v>
      </c>
      <c r="K28" s="20">
        <v>0.11225111441121585</v>
      </c>
      <c r="L28" s="20">
        <v>0</v>
      </c>
    </row>
    <row r="29" spans="1:12">
      <c r="A29" s="2" t="s">
        <v>357</v>
      </c>
      <c r="B29" s="3" t="s">
        <v>358</v>
      </c>
      <c r="D29" s="20">
        <v>2.7119248486546919E-2</v>
      </c>
      <c r="E29" s="20">
        <v>0.84893150014041097</v>
      </c>
      <c r="F29" s="20">
        <v>0.54544613074482096</v>
      </c>
      <c r="G29" s="20">
        <v>0.29967286554489714</v>
      </c>
      <c r="H29" s="20">
        <v>0</v>
      </c>
      <c r="I29" s="20">
        <v>3.812503850692912E-3</v>
      </c>
      <c r="J29" s="20">
        <v>1.0039723649318521E-2</v>
      </c>
      <c r="K29" s="20">
        <v>0.11390952772372358</v>
      </c>
      <c r="L29" s="20">
        <v>0</v>
      </c>
    </row>
    <row r="30" spans="1:12">
      <c r="A30" s="2" t="s">
        <v>359</v>
      </c>
      <c r="B30" s="3" t="s">
        <v>360</v>
      </c>
      <c r="D30" s="20">
        <v>1.3455760871906939E-4</v>
      </c>
      <c r="E30" s="20">
        <v>0.87413437457185772</v>
      </c>
      <c r="F30" s="20">
        <v>0.47139229040055514</v>
      </c>
      <c r="G30" s="20">
        <v>0.40020087215036343</v>
      </c>
      <c r="H30" s="20">
        <v>0</v>
      </c>
      <c r="I30" s="20">
        <v>2.5412120209391369E-3</v>
      </c>
      <c r="J30" s="20">
        <v>1.3479953408207337E-2</v>
      </c>
      <c r="K30" s="20">
        <v>0.11225111441121585</v>
      </c>
      <c r="L30" s="20">
        <v>0</v>
      </c>
    </row>
    <row r="31" spans="1:12">
      <c r="A31" s="2" t="s">
        <v>283</v>
      </c>
      <c r="B31" s="3" t="s">
        <v>284</v>
      </c>
      <c r="D31" s="20">
        <v>2.6182681315382915E-8</v>
      </c>
      <c r="E31" s="20">
        <v>0.97530644169084757</v>
      </c>
      <c r="F31" s="20">
        <v>5.9963687834927262E-4</v>
      </c>
      <c r="G31" s="20">
        <v>2.4064890504466965E-4</v>
      </c>
      <c r="H31" s="20">
        <v>0</v>
      </c>
      <c r="I31" s="20">
        <v>0.97446615590745367</v>
      </c>
      <c r="J31" s="20">
        <v>1.3537648932716781E-3</v>
      </c>
      <c r="K31" s="20">
        <v>2.3339767233199415E-2</v>
      </c>
      <c r="L31" s="20">
        <v>0</v>
      </c>
    </row>
    <row r="32" spans="1:12">
      <c r="A32" s="2" t="s">
        <v>361</v>
      </c>
      <c r="B32" s="3" t="s">
        <v>362</v>
      </c>
      <c r="D32" s="20">
        <v>2.1299496673677203E-8</v>
      </c>
      <c r="E32" s="20">
        <v>0.67651853700163322</v>
      </c>
      <c r="F32" s="20">
        <v>0.19490440100254</v>
      </c>
      <c r="G32" s="20">
        <v>4.8055190940304533E-2</v>
      </c>
      <c r="H32" s="20">
        <v>0</v>
      </c>
      <c r="I32" s="20">
        <v>0.43355894505878867</v>
      </c>
      <c r="J32" s="20">
        <v>2.2241914611704173E-3</v>
      </c>
      <c r="K32" s="20">
        <v>0.32125725023769985</v>
      </c>
      <c r="L32" s="20">
        <v>0</v>
      </c>
    </row>
    <row r="33" spans="1:12">
      <c r="A33" s="2" t="s">
        <v>364</v>
      </c>
      <c r="B33" s="3" t="s">
        <v>365</v>
      </c>
      <c r="D33" s="20">
        <v>1.2055088787259067E-10</v>
      </c>
      <c r="E33" s="20">
        <v>0.99856595235655443</v>
      </c>
      <c r="F33" s="20">
        <v>4.1965150149833865E-3</v>
      </c>
      <c r="G33" s="20">
        <v>1.2832642748134412E-6</v>
      </c>
      <c r="H33" s="20">
        <v>0</v>
      </c>
      <c r="I33" s="20">
        <v>0.99436815407729628</v>
      </c>
      <c r="J33" s="20">
        <v>1.3770010583042435E-3</v>
      </c>
      <c r="K33" s="20">
        <v>5.7046464590287102E-5</v>
      </c>
      <c r="L33" s="20">
        <v>0</v>
      </c>
    </row>
    <row r="34" spans="1:12">
      <c r="A34" s="2" t="s">
        <v>285</v>
      </c>
      <c r="B34" s="3" t="s">
        <v>286</v>
      </c>
      <c r="D34" s="20">
        <v>3.5856244497833938E-10</v>
      </c>
      <c r="E34" s="20">
        <v>0.99882028446424453</v>
      </c>
      <c r="F34" s="20">
        <v>0.45170276484013688</v>
      </c>
      <c r="G34" s="20">
        <v>3.7096014787026047E-5</v>
      </c>
      <c r="H34" s="20">
        <v>0</v>
      </c>
      <c r="I34" s="20">
        <v>0.54708042360932063</v>
      </c>
      <c r="J34" s="20">
        <v>9.8525087634093538E-4</v>
      </c>
      <c r="K34" s="20">
        <v>1.9446430085190742E-4</v>
      </c>
      <c r="L34" s="20">
        <v>0</v>
      </c>
    </row>
    <row r="35" spans="1:12">
      <c r="A35" s="2" t="s">
        <v>287</v>
      </c>
      <c r="B35" s="3" t="s">
        <v>288</v>
      </c>
      <c r="D35" s="20">
        <v>1.044667867535602E-11</v>
      </c>
      <c r="E35" s="20">
        <v>0.99875653758733962</v>
      </c>
      <c r="F35" s="20">
        <v>0.67467808665434648</v>
      </c>
      <c r="G35" s="20">
        <v>1.3065436611851922E-4</v>
      </c>
      <c r="H35" s="20">
        <v>0</v>
      </c>
      <c r="I35" s="20">
        <v>0.32394779656687461</v>
      </c>
      <c r="J35" s="20">
        <v>7.7266228985839523E-4</v>
      </c>
      <c r="K35" s="20">
        <v>4.708001123554586E-4</v>
      </c>
      <c r="L35" s="20">
        <v>0</v>
      </c>
    </row>
    <row r="36" spans="1:12">
      <c r="A36" s="2" t="s">
        <v>366</v>
      </c>
      <c r="B36" s="3" t="s">
        <v>305</v>
      </c>
      <c r="D36" s="20">
        <v>1.842116165293384E-8</v>
      </c>
      <c r="E36" s="20">
        <v>0.9989286848100587</v>
      </c>
      <c r="F36" s="20">
        <v>0.8905908766163646</v>
      </c>
      <c r="G36" s="20">
        <v>2.5498816601407601E-4</v>
      </c>
      <c r="H36" s="20">
        <v>0</v>
      </c>
      <c r="I36" s="20">
        <v>0.10808282002768003</v>
      </c>
      <c r="J36" s="20">
        <v>5.4499763421590167E-4</v>
      </c>
      <c r="K36" s="20">
        <v>5.2629913456364336E-4</v>
      </c>
      <c r="L36" s="20">
        <v>0</v>
      </c>
    </row>
    <row r="37" spans="1:12">
      <c r="A37" s="2" t="s">
        <v>289</v>
      </c>
      <c r="B37" s="3" t="s">
        <v>290</v>
      </c>
      <c r="D37" s="20">
        <v>4.1879265111349484E-15</v>
      </c>
      <c r="E37" s="20">
        <v>0.92801190730786676</v>
      </c>
      <c r="F37" s="20">
        <v>0.69633700217422556</v>
      </c>
      <c r="G37" s="20">
        <v>2.3773272827321983E-2</v>
      </c>
      <c r="H37" s="20">
        <v>0</v>
      </c>
      <c r="I37" s="20">
        <v>0.20790163230631917</v>
      </c>
      <c r="J37" s="20">
        <v>1.3235414983202029E-3</v>
      </c>
      <c r="K37" s="20">
        <v>7.0664551193808822E-2</v>
      </c>
      <c r="L37" s="20">
        <v>0</v>
      </c>
    </row>
    <row r="38" spans="1:12">
      <c r="A38" s="2" t="s">
        <v>291</v>
      </c>
      <c r="B38" s="3" t="s">
        <v>292</v>
      </c>
      <c r="D38" s="20">
        <v>1.2068798342836628E-12</v>
      </c>
      <c r="E38" s="20">
        <v>0.99706567392019674</v>
      </c>
      <c r="F38" s="20">
        <v>0.38415760793277071</v>
      </c>
      <c r="G38" s="20">
        <v>3.2094194937774627E-4</v>
      </c>
      <c r="H38" s="20">
        <v>0</v>
      </c>
      <c r="I38" s="20">
        <v>0.61258712403804827</v>
      </c>
      <c r="J38" s="20">
        <v>1.0535412334172999E-3</v>
      </c>
      <c r="K38" s="20">
        <v>1.8807848451790664E-3</v>
      </c>
      <c r="L38" s="20">
        <v>0</v>
      </c>
    </row>
    <row r="39" spans="1:12">
      <c r="A39" s="2" t="s">
        <v>367</v>
      </c>
      <c r="B39" s="3" t="s">
        <v>368</v>
      </c>
      <c r="D39" s="20">
        <v>1.448881486754977E-5</v>
      </c>
      <c r="E39" s="20">
        <v>0.88554532330466718</v>
      </c>
      <c r="F39" s="20">
        <v>0.74508715791899294</v>
      </c>
      <c r="G39" s="20">
        <v>0.13013755213625983</v>
      </c>
      <c r="H39" s="20">
        <v>0</v>
      </c>
      <c r="I39" s="20">
        <v>1.0320613249414407E-2</v>
      </c>
      <c r="J39" s="20">
        <v>4.3077471603533302E-3</v>
      </c>
      <c r="K39" s="20">
        <v>0.11013244072011198</v>
      </c>
      <c r="L39" s="20">
        <v>0</v>
      </c>
    </row>
    <row r="40" spans="1:12">
      <c r="A40" s="2" t="s">
        <v>369</v>
      </c>
      <c r="B40" s="3" t="s">
        <v>370</v>
      </c>
      <c r="D40" s="20">
        <v>9.0716286071439239E-13</v>
      </c>
      <c r="E40" s="20">
        <v>0.96866551555058522</v>
      </c>
      <c r="F40" s="20">
        <v>0.90239120306092613</v>
      </c>
      <c r="G40" s="20">
        <v>6.528527380508363E-2</v>
      </c>
      <c r="H40" s="20">
        <v>0</v>
      </c>
      <c r="I40" s="20">
        <v>9.8903868457548422E-4</v>
      </c>
      <c r="J40" s="20">
        <v>2.8495729786704057E-2</v>
      </c>
      <c r="K40" s="20">
        <v>2.8387546618034954E-3</v>
      </c>
      <c r="L40" s="20">
        <v>0</v>
      </c>
    </row>
    <row r="41" spans="1:12">
      <c r="A41" s="2" t="s">
        <v>371</v>
      </c>
      <c r="B41" s="3" t="s">
        <v>372</v>
      </c>
      <c r="D41" s="20">
        <v>8.1703686206499218E-2</v>
      </c>
      <c r="E41" s="20">
        <v>0.91246085564993618</v>
      </c>
      <c r="F41" s="20">
        <v>2.7932889660056941E-5</v>
      </c>
      <c r="G41" s="20">
        <v>1.3983356218147469E-5</v>
      </c>
      <c r="H41" s="20">
        <v>0</v>
      </c>
      <c r="I41" s="20">
        <v>0.91241893940405794</v>
      </c>
      <c r="J41" s="20">
        <v>1.2611643803607452E-3</v>
      </c>
      <c r="K41" s="20">
        <v>4.5742937632037434E-3</v>
      </c>
      <c r="L41" s="20">
        <v>0</v>
      </c>
    </row>
    <row r="42" spans="1:12">
      <c r="A42" s="2" t="s">
        <v>293</v>
      </c>
      <c r="B42" s="3" t="s">
        <v>294</v>
      </c>
      <c r="D42" s="20">
        <v>1.7501651130126867E-8</v>
      </c>
      <c r="E42" s="20">
        <v>0.70031158294634011</v>
      </c>
      <c r="F42" s="20">
        <v>0.14039551602787279</v>
      </c>
      <c r="G42" s="20">
        <v>3.6012128639630575E-2</v>
      </c>
      <c r="H42" s="20">
        <v>0</v>
      </c>
      <c r="I42" s="20">
        <v>0.52390393827883674</v>
      </c>
      <c r="J42" s="20">
        <v>1.8632123897983238E-3</v>
      </c>
      <c r="K42" s="20">
        <v>0.29782518716221029</v>
      </c>
      <c r="L42" s="20">
        <v>0</v>
      </c>
    </row>
    <row r="43" spans="1:12">
      <c r="A43" s="2" t="s">
        <v>373</v>
      </c>
      <c r="B43" s="3" t="s">
        <v>374</v>
      </c>
      <c r="D43" s="20">
        <v>4.310134258742791E-8</v>
      </c>
      <c r="E43" s="20">
        <v>0.99872330674119036</v>
      </c>
      <c r="F43" s="20">
        <v>0.98907831756004305</v>
      </c>
      <c r="G43" s="20">
        <v>8.3512715003537417E-4</v>
      </c>
      <c r="H43" s="20">
        <v>0</v>
      </c>
      <c r="I43" s="20">
        <v>8.8098620311119497E-3</v>
      </c>
      <c r="J43" s="20">
        <v>8.5508449103217324E-4</v>
      </c>
      <c r="K43" s="20">
        <v>4.2156566643473638E-4</v>
      </c>
      <c r="L43" s="20">
        <v>0</v>
      </c>
    </row>
    <row r="44" spans="1:12">
      <c r="A44" s="2" t="s">
        <v>375</v>
      </c>
      <c r="B44" s="3" t="s">
        <v>376</v>
      </c>
      <c r="D44" s="20">
        <v>8.5055028361160731E-2</v>
      </c>
      <c r="E44" s="20">
        <v>0.7865979790879809</v>
      </c>
      <c r="F44" s="20">
        <v>1.9443489442562086E-2</v>
      </c>
      <c r="G44" s="20">
        <v>5.9302057828490582E-3</v>
      </c>
      <c r="H44" s="20">
        <v>0</v>
      </c>
      <c r="I44" s="20">
        <v>0.76122428386256979</v>
      </c>
      <c r="J44" s="20">
        <v>1.2362093850158597E-3</v>
      </c>
      <c r="K44" s="20">
        <v>0.12711078316584254</v>
      </c>
      <c r="L44" s="20">
        <v>0</v>
      </c>
    </row>
    <row r="45" spans="1:12">
      <c r="A45" s="2" t="s">
        <v>377</v>
      </c>
      <c r="B45" s="3" t="s">
        <v>378</v>
      </c>
      <c r="D45" s="20">
        <v>6.6576927755192987E-4</v>
      </c>
      <c r="E45" s="20">
        <v>0.68905490423080717</v>
      </c>
      <c r="F45" s="20">
        <v>0.15995505346378891</v>
      </c>
      <c r="G45" s="20">
        <v>4.0429048534985405E-2</v>
      </c>
      <c r="H45" s="20">
        <v>0</v>
      </c>
      <c r="I45" s="20">
        <v>0.48867080223203291</v>
      </c>
      <c r="J45" s="20">
        <v>1.9561644871080525E-3</v>
      </c>
      <c r="K45" s="20">
        <v>0.30832316200453291</v>
      </c>
      <c r="L45" s="20">
        <v>0</v>
      </c>
    </row>
    <row r="46" spans="1:12">
      <c r="A46" s="2" t="s">
        <v>379</v>
      </c>
      <c r="B46" s="3" t="s">
        <v>380</v>
      </c>
      <c r="D46" s="20">
        <v>2.0019754518958766E-3</v>
      </c>
      <c r="E46" s="20">
        <v>0.6947057610948848</v>
      </c>
      <c r="F46" s="20">
        <v>0.14727633318408745</v>
      </c>
      <c r="G46" s="20">
        <v>3.7568903359595417E-2</v>
      </c>
      <c r="H46" s="20">
        <v>0</v>
      </c>
      <c r="I46" s="20">
        <v>0.5098605245512019</v>
      </c>
      <c r="J46" s="20">
        <v>1.8937203493003955E-3</v>
      </c>
      <c r="K46" s="20">
        <v>0.30139854310391895</v>
      </c>
      <c r="L46" s="20">
        <v>0</v>
      </c>
    </row>
    <row r="47" spans="1:12">
      <c r="A47" s="2" t="s">
        <v>381</v>
      </c>
      <c r="B47" s="3" t="s">
        <v>382</v>
      </c>
      <c r="D47" s="20">
        <v>4.190187382380014E-8</v>
      </c>
      <c r="E47" s="20">
        <v>0.89607287302730021</v>
      </c>
      <c r="F47" s="20">
        <v>0.24138354418059513</v>
      </c>
      <c r="G47" s="20">
        <v>0.6540383511860306</v>
      </c>
      <c r="H47" s="20">
        <v>0</v>
      </c>
      <c r="I47" s="20">
        <v>6.5097766067444014E-4</v>
      </c>
      <c r="J47" s="20">
        <v>2.2359830366747137E-2</v>
      </c>
      <c r="K47" s="20">
        <v>8.1567254704078829E-2</v>
      </c>
      <c r="L47" s="20">
        <v>0</v>
      </c>
    </row>
    <row r="48" spans="1:12">
      <c r="A48" s="2" t="s">
        <v>383</v>
      </c>
      <c r="B48" s="3" t="s">
        <v>384</v>
      </c>
      <c r="D48" s="20">
        <v>1.175717600932355E-2</v>
      </c>
      <c r="E48" s="20">
        <v>0.91044489105965409</v>
      </c>
      <c r="F48" s="20">
        <v>6.2773628762482362E-3</v>
      </c>
      <c r="G48" s="20">
        <v>2.1070400472373444E-3</v>
      </c>
      <c r="H48" s="20">
        <v>0</v>
      </c>
      <c r="I48" s="20">
        <v>0.90206048813616846</v>
      </c>
      <c r="J48" s="20">
        <v>1.3113215505623852E-3</v>
      </c>
      <c r="K48" s="20">
        <v>7.6486611380460104E-2</v>
      </c>
      <c r="L48" s="20">
        <v>0</v>
      </c>
    </row>
    <row r="49" spans="1:12">
      <c r="A49" s="2" t="s">
        <v>385</v>
      </c>
      <c r="B49" s="3" t="s">
        <v>386</v>
      </c>
      <c r="D49" s="20">
        <v>2.1953239804234588E-2</v>
      </c>
      <c r="E49" s="20">
        <v>0.87563929955368491</v>
      </c>
      <c r="F49" s="20">
        <v>1.1193678684573386E-2</v>
      </c>
      <c r="G49" s="20">
        <v>3.5881318363839691E-3</v>
      </c>
      <c r="H49" s="20">
        <v>0</v>
      </c>
      <c r="I49" s="20">
        <v>0.86085748903272752</v>
      </c>
      <c r="J49" s="20">
        <v>1.3005077110110404E-3</v>
      </c>
      <c r="K49" s="20">
        <v>0.10110695293106964</v>
      </c>
      <c r="L49" s="20">
        <v>0</v>
      </c>
    </row>
    <row r="50" spans="1:12">
      <c r="A50" s="2" t="s">
        <v>387</v>
      </c>
      <c r="B50" s="3" t="s">
        <v>388</v>
      </c>
      <c r="D50" s="20">
        <v>6.5724002673262748E-3</v>
      </c>
      <c r="E50" s="20">
        <v>0.74790374564864692</v>
      </c>
      <c r="F50" s="20">
        <v>0.56027109785712037</v>
      </c>
      <c r="G50" s="20">
        <v>0.1124847830169997</v>
      </c>
      <c r="H50" s="20">
        <v>0</v>
      </c>
      <c r="I50" s="20">
        <v>7.5147864774526882E-2</v>
      </c>
      <c r="J50" s="20">
        <v>3.7516300936674511E-3</v>
      </c>
      <c r="K50" s="20">
        <v>0.24177222399035939</v>
      </c>
      <c r="L50" s="20">
        <v>0</v>
      </c>
    </row>
    <row r="51" spans="1:12">
      <c r="A51" s="2" t="s">
        <v>295</v>
      </c>
      <c r="B51" s="3" t="s">
        <v>296</v>
      </c>
      <c r="D51" s="20">
        <v>6.5470976358614291E-2</v>
      </c>
      <c r="E51" s="20">
        <v>0.90372220755083688</v>
      </c>
      <c r="F51" s="20">
        <v>1.0118660678646227E-3</v>
      </c>
      <c r="G51" s="20">
        <v>3.8852465887002284E-4</v>
      </c>
      <c r="H51" s="20">
        <v>0</v>
      </c>
      <c r="I51" s="20">
        <v>0.90232181682410229</v>
      </c>
      <c r="J51" s="20">
        <v>1.2586032705500679E-3</v>
      </c>
      <c r="K51" s="20">
        <v>2.9548212819998664E-2</v>
      </c>
      <c r="L51" s="20">
        <v>0</v>
      </c>
    </row>
    <row r="52" spans="1:12">
      <c r="A52" s="2" t="s">
        <v>389</v>
      </c>
      <c r="B52" s="3" t="s">
        <v>390</v>
      </c>
      <c r="D52" s="20">
        <v>6.8860757818737753E-2</v>
      </c>
      <c r="E52" s="20">
        <v>0.76507500712190624</v>
      </c>
      <c r="F52" s="20">
        <v>3.3592785181308704E-2</v>
      </c>
      <c r="G52" s="20">
        <v>9.8026064714370805E-3</v>
      </c>
      <c r="H52" s="20">
        <v>0</v>
      </c>
      <c r="I52" s="20">
        <v>0.72167961546916048</v>
      </c>
      <c r="J52" s="20">
        <v>1.3033187268765387E-3</v>
      </c>
      <c r="K52" s="20">
        <v>0.16476091633247941</v>
      </c>
      <c r="L52" s="20">
        <v>0</v>
      </c>
    </row>
    <row r="53" spans="1:12">
      <c r="A53" s="2" t="s">
        <v>391</v>
      </c>
      <c r="B53" s="3" t="s">
        <v>392</v>
      </c>
      <c r="D53" s="20">
        <v>1.965468686012971E-3</v>
      </c>
      <c r="E53" s="20">
        <v>0.66525248224368716</v>
      </c>
      <c r="F53" s="20">
        <v>0.2312812063323906</v>
      </c>
      <c r="G53" s="20">
        <v>5.5825921333520642E-2</v>
      </c>
      <c r="H53" s="20">
        <v>0</v>
      </c>
      <c r="I53" s="20">
        <v>0.37814535457777593</v>
      </c>
      <c r="J53" s="20">
        <v>2.2995014889322465E-3</v>
      </c>
      <c r="K53" s="20">
        <v>0.33048254758136769</v>
      </c>
      <c r="L53" s="20">
        <v>0</v>
      </c>
    </row>
    <row r="54" spans="1:12">
      <c r="A54" s="2" t="s">
        <v>393</v>
      </c>
      <c r="B54" s="3" t="s">
        <v>394</v>
      </c>
      <c r="D54" s="20">
        <v>1.9287709223559505E-4</v>
      </c>
      <c r="E54" s="20">
        <v>0.88943966980401357</v>
      </c>
      <c r="F54" s="20">
        <v>0.28784246487387505</v>
      </c>
      <c r="G54" s="20">
        <v>0.60069002529856497</v>
      </c>
      <c r="H54" s="20">
        <v>0</v>
      </c>
      <c r="I54" s="20">
        <v>9.0717963157358709E-4</v>
      </c>
      <c r="J54" s="20">
        <v>2.0466757740628415E-2</v>
      </c>
      <c r="K54" s="20">
        <v>8.9900695363122257E-2</v>
      </c>
      <c r="L54" s="20">
        <v>0</v>
      </c>
    </row>
    <row r="55" spans="1:12">
      <c r="A55" s="2" t="s">
        <v>395</v>
      </c>
      <c r="B55" s="3" t="s">
        <v>396</v>
      </c>
      <c r="D55" s="20">
        <v>0.13278932642725241</v>
      </c>
      <c r="E55" s="20">
        <v>0.6010693834828853</v>
      </c>
      <c r="F55" s="20">
        <v>0.38250523457880259</v>
      </c>
      <c r="G55" s="20">
        <v>8.2515006499832261E-2</v>
      </c>
      <c r="H55" s="20">
        <v>0</v>
      </c>
      <c r="I55" s="20">
        <v>0.13604914240425051</v>
      </c>
      <c r="J55" s="20">
        <v>2.8444974472654054E-3</v>
      </c>
      <c r="K55" s="20">
        <v>0.26329679264259676</v>
      </c>
      <c r="L55" s="20">
        <v>0</v>
      </c>
    </row>
    <row r="56" spans="1:12">
      <c r="A56" s="2" t="s">
        <v>397</v>
      </c>
      <c r="B56" s="3" t="s">
        <v>398</v>
      </c>
      <c r="D56" s="20">
        <v>0.60323215881481418</v>
      </c>
      <c r="E56" s="20">
        <v>0.31858171252749429</v>
      </c>
      <c r="F56" s="20">
        <v>0.25419014038169546</v>
      </c>
      <c r="G56" s="20">
        <v>4.8289672090335675E-2</v>
      </c>
      <c r="H56" s="20">
        <v>0</v>
      </c>
      <c r="I56" s="20">
        <v>1.6101900055463164E-2</v>
      </c>
      <c r="J56" s="20">
        <v>1.5970426341868032E-3</v>
      </c>
      <c r="K56" s="20">
        <v>7.6589086023504616E-2</v>
      </c>
      <c r="L56" s="20">
        <v>0</v>
      </c>
    </row>
    <row r="57" spans="1:12">
      <c r="A57" s="2" t="s">
        <v>399</v>
      </c>
      <c r="B57" s="3" t="s">
        <v>400</v>
      </c>
      <c r="D57" s="20">
        <v>0.76617817750841</v>
      </c>
      <c r="E57" s="20">
        <v>0.1662675337865083</v>
      </c>
      <c r="F57" s="20">
        <v>0.11329323894137935</v>
      </c>
      <c r="G57" s="20">
        <v>2.38615992960205E-2</v>
      </c>
      <c r="H57" s="20">
        <v>0</v>
      </c>
      <c r="I57" s="20">
        <v>2.9112695549108437E-2</v>
      </c>
      <c r="J57" s="20">
        <v>8.1029663973698513E-4</v>
      </c>
      <c r="K57" s="20">
        <v>6.6743992065344676E-2</v>
      </c>
      <c r="L57" s="20">
        <v>0</v>
      </c>
    </row>
    <row r="58" spans="1:12">
      <c r="A58" s="2" t="s">
        <v>297</v>
      </c>
      <c r="B58" s="3" t="s">
        <v>298</v>
      </c>
      <c r="D58" s="20">
        <v>0.93153396611344041</v>
      </c>
      <c r="E58" s="20">
        <v>6.0459103292267127E-2</v>
      </c>
      <c r="F58" s="20">
        <v>9.8780884344121158E-4</v>
      </c>
      <c r="G58" s="20">
        <v>3.1086259300200256E-4</v>
      </c>
      <c r="H58" s="20">
        <v>0</v>
      </c>
      <c r="I58" s="20">
        <v>5.9160431855823911E-2</v>
      </c>
      <c r="J58" s="20">
        <v>9.138060735959912E-5</v>
      </c>
      <c r="K58" s="20">
        <v>7.915549986932717E-3</v>
      </c>
      <c r="L58" s="20">
        <v>0</v>
      </c>
    </row>
    <row r="59" spans="1:12">
      <c r="A59" s="2" t="s">
        <v>401</v>
      </c>
      <c r="B59" s="3" t="s">
        <v>402</v>
      </c>
      <c r="D59" s="20">
        <v>0.90888743871201405</v>
      </c>
      <c r="E59" s="20">
        <v>6.4389103826645949E-2</v>
      </c>
      <c r="F59" s="20">
        <v>4.3249821180637464E-2</v>
      </c>
      <c r="G59" s="20">
        <v>9.1596709311556977E-3</v>
      </c>
      <c r="H59" s="20">
        <v>0</v>
      </c>
      <c r="I59" s="20">
        <v>1.1979611714852789E-2</v>
      </c>
      <c r="J59" s="20">
        <v>3.1199181424326251E-4</v>
      </c>
      <c r="K59" s="20">
        <v>2.6411465647096916E-2</v>
      </c>
      <c r="L59" s="20">
        <v>0</v>
      </c>
    </row>
    <row r="60" spans="1:12">
      <c r="A60" s="2" t="s">
        <v>299</v>
      </c>
      <c r="B60" s="3" t="s">
        <v>300</v>
      </c>
      <c r="D60" s="20">
        <v>0.99803664219484234</v>
      </c>
      <c r="E60" s="20">
        <v>1.3154901593996657E-3</v>
      </c>
      <c r="F60" s="20">
        <v>7.083056421626489E-4</v>
      </c>
      <c r="G60" s="20">
        <v>1.594102550554229E-4</v>
      </c>
      <c r="H60" s="20">
        <v>0</v>
      </c>
      <c r="I60" s="20">
        <v>4.4777426218159394E-4</v>
      </c>
      <c r="J60" s="20">
        <v>5.728882595382631E-6</v>
      </c>
      <c r="K60" s="20">
        <v>6.4213876316261329E-4</v>
      </c>
      <c r="L60" s="20">
        <v>0</v>
      </c>
    </row>
    <row r="61" spans="1:12">
      <c r="A61" s="2" t="s">
        <v>403</v>
      </c>
      <c r="B61" s="3" t="s">
        <v>404</v>
      </c>
      <c r="D61" s="20">
        <v>4.4640406466988434E-44</v>
      </c>
      <c r="E61" s="20">
        <v>0.66297187130803503</v>
      </c>
      <c r="F61" s="20">
        <v>0.30817851295636667</v>
      </c>
      <c r="G61" s="20">
        <v>7.1301375919735288E-2</v>
      </c>
      <c r="H61" s="20">
        <v>0</v>
      </c>
      <c r="I61" s="20">
        <v>0.28349198243193302</v>
      </c>
      <c r="J61" s="20">
        <v>2.6710353227937852E-3</v>
      </c>
      <c r="K61" s="20">
        <v>0.33435709336917119</v>
      </c>
      <c r="L61" s="20">
        <v>0</v>
      </c>
    </row>
    <row r="62" spans="1:12">
      <c r="A62" s="2" t="s">
        <v>405</v>
      </c>
      <c r="B62" s="3" t="s">
        <v>406</v>
      </c>
      <c r="D62" s="20">
        <v>1.0697798695533569E-7</v>
      </c>
      <c r="E62" s="20">
        <v>0.87258359515490136</v>
      </c>
      <c r="F62" s="20">
        <v>0.55778731856189689</v>
      </c>
      <c r="G62" s="20">
        <v>0.31093112028216496</v>
      </c>
      <c r="H62" s="20">
        <v>0</v>
      </c>
      <c r="I62" s="20">
        <v>3.8651563108395071E-3</v>
      </c>
      <c r="J62" s="20">
        <v>1.041873312606122E-2</v>
      </c>
      <c r="K62" s="20">
        <v>0.11699756474105051</v>
      </c>
      <c r="L62" s="20">
        <v>0</v>
      </c>
    </row>
    <row r="63" spans="1:12">
      <c r="A63" s="2" t="s">
        <v>407</v>
      </c>
      <c r="B63" s="3" t="s">
        <v>408</v>
      </c>
      <c r="D63" s="20">
        <v>2.586084024422083E-5</v>
      </c>
      <c r="E63" s="20">
        <v>0.90780008924280764</v>
      </c>
      <c r="F63" s="20">
        <v>0.17290870028752817</v>
      </c>
      <c r="G63" s="20">
        <v>0.73453484319876217</v>
      </c>
      <c r="H63" s="20">
        <v>0</v>
      </c>
      <c r="I63" s="20">
        <v>3.5654575651729845E-4</v>
      </c>
      <c r="J63" s="20">
        <v>2.5258811104607773E-2</v>
      </c>
      <c r="K63" s="20">
        <v>6.6915238812340266E-2</v>
      </c>
      <c r="L63" s="20">
        <v>0</v>
      </c>
    </row>
    <row r="64" spans="1:12">
      <c r="A64" s="2" t="s">
        <v>409</v>
      </c>
      <c r="B64" s="3" t="s">
        <v>410</v>
      </c>
      <c r="D64" s="20">
        <v>3.212848636453137E-6</v>
      </c>
      <c r="E64" s="20">
        <v>0.92587576250579617</v>
      </c>
      <c r="F64" s="20">
        <v>9.3489853765085576E-2</v>
      </c>
      <c r="G64" s="20">
        <v>0.83226194264992537</v>
      </c>
      <c r="H64" s="20">
        <v>0</v>
      </c>
      <c r="I64" s="20">
        <v>1.2396609078528325E-4</v>
      </c>
      <c r="J64" s="20">
        <v>2.8896639986367583E-2</v>
      </c>
      <c r="K64" s="20">
        <v>4.5224384659199923E-2</v>
      </c>
      <c r="L64" s="20">
        <v>0</v>
      </c>
    </row>
    <row r="65" spans="1:12">
      <c r="A65" s="2" t="s">
        <v>301</v>
      </c>
      <c r="B65" s="3" t="s">
        <v>302</v>
      </c>
      <c r="D65" s="20">
        <v>3.9795702737973574E-7</v>
      </c>
      <c r="E65" s="20">
        <v>0.94137145219502738</v>
      </c>
      <c r="F65" s="20">
        <v>4.348208824117733E-2</v>
      </c>
      <c r="G65" s="20">
        <v>0.8978544685026042</v>
      </c>
      <c r="H65" s="20">
        <v>0</v>
      </c>
      <c r="I65" s="20">
        <v>3.4895451245870501E-5</v>
      </c>
      <c r="J65" s="20">
        <v>3.1518832661139841E-2</v>
      </c>
      <c r="K65" s="20">
        <v>2.7109317186805187E-2</v>
      </c>
      <c r="L65" s="20">
        <v>0</v>
      </c>
    </row>
    <row r="66" spans="1:12">
      <c r="A66" s="2" t="s">
        <v>303</v>
      </c>
      <c r="B66" s="3" t="s">
        <v>304</v>
      </c>
      <c r="D66" s="20">
        <v>3.836458695846754E-13</v>
      </c>
      <c r="E66" s="20">
        <v>0.9332942214185036</v>
      </c>
      <c r="F66" s="20">
        <v>6.7655754510296331E-2</v>
      </c>
      <c r="G66" s="20">
        <v>0.86556621602382466</v>
      </c>
      <c r="H66" s="20">
        <v>0</v>
      </c>
      <c r="I66" s="20">
        <v>7.2250884382580387E-5</v>
      </c>
      <c r="J66" s="20">
        <v>3.019568655099622E-2</v>
      </c>
      <c r="K66" s="20">
        <v>3.6510092030116549E-2</v>
      </c>
      <c r="L66" s="20">
        <v>0</v>
      </c>
    </row>
    <row r="67" spans="1:12">
      <c r="A67" s="2" t="s">
        <v>411</v>
      </c>
      <c r="B67" s="3" t="s">
        <v>412</v>
      </c>
      <c r="D67" s="20">
        <v>4.651493267189717E-3</v>
      </c>
      <c r="E67" s="20">
        <v>0.84372055157148573</v>
      </c>
      <c r="F67" s="20">
        <v>2.5296859668767151E-2</v>
      </c>
      <c r="G67" s="20">
        <v>7.6026004487545961E-3</v>
      </c>
      <c r="H67" s="20">
        <v>0</v>
      </c>
      <c r="I67" s="20">
        <v>0.81082109145396397</v>
      </c>
      <c r="J67" s="20">
        <v>1.3570863019219581E-3</v>
      </c>
      <c r="K67" s="20">
        <v>0.15027086885940269</v>
      </c>
      <c r="L67" s="20">
        <v>0</v>
      </c>
    </row>
    <row r="68" spans="1:12">
      <c r="A68" s="2" t="s">
        <v>413</v>
      </c>
      <c r="B68" s="3" t="s">
        <v>414</v>
      </c>
      <c r="D68" s="20">
        <v>9.9798666564058208E-3</v>
      </c>
      <c r="E68" s="20">
        <v>0.79628993170058293</v>
      </c>
      <c r="F68" s="20">
        <v>4.419762710992111E-2</v>
      </c>
      <c r="G68" s="20">
        <v>1.2661772581156108E-2</v>
      </c>
      <c r="H68" s="20">
        <v>0</v>
      </c>
      <c r="I68" s="20">
        <v>0.7394305320095057</v>
      </c>
      <c r="J68" s="20">
        <v>1.4178673325420566E-3</v>
      </c>
      <c r="K68" s="20">
        <v>0.19231233431046921</v>
      </c>
      <c r="L68" s="20">
        <v>0</v>
      </c>
    </row>
    <row r="69" spans="1:12">
      <c r="A69" s="2" t="s">
        <v>415</v>
      </c>
      <c r="B69" s="3" t="s">
        <v>416</v>
      </c>
      <c r="D69" s="20">
        <v>1.2394446018558834E-3</v>
      </c>
      <c r="E69" s="20">
        <v>0.8807070411232728</v>
      </c>
      <c r="F69" s="20">
        <v>0.3585926099994563</v>
      </c>
      <c r="G69" s="20">
        <v>0.5207111659052126</v>
      </c>
      <c r="H69" s="20">
        <v>0</v>
      </c>
      <c r="I69" s="20">
        <v>1.4032652186039326E-3</v>
      </c>
      <c r="J69" s="20">
        <v>1.7659106735583678E-2</v>
      </c>
      <c r="K69" s="20">
        <v>0.10039440753928773</v>
      </c>
      <c r="L69" s="20">
        <v>0</v>
      </c>
    </row>
    <row r="70" spans="1:12">
      <c r="A70" s="2" t="s">
        <v>417</v>
      </c>
      <c r="B70" s="3" t="s">
        <v>418</v>
      </c>
      <c r="D70" s="20">
        <v>3.1813685894867961E-3</v>
      </c>
      <c r="E70" s="20">
        <v>0.8327819119377633</v>
      </c>
      <c r="F70" s="20">
        <v>0.68247728889960269</v>
      </c>
      <c r="G70" s="20">
        <v>0.1247336867933221</v>
      </c>
      <c r="H70" s="20">
        <v>0</v>
      </c>
      <c r="I70" s="20">
        <v>2.557093624483853E-2</v>
      </c>
      <c r="J70" s="20">
        <v>4.1190729731083236E-3</v>
      </c>
      <c r="K70" s="20">
        <v>0.1599176464996418</v>
      </c>
      <c r="L70" s="20">
        <v>0</v>
      </c>
    </row>
    <row r="71" spans="1:12">
      <c r="A71" s="2" t="s">
        <v>419</v>
      </c>
      <c r="B71" s="3" t="s">
        <v>420</v>
      </c>
      <c r="D71" s="20">
        <v>2.4499494159449273E-2</v>
      </c>
      <c r="E71" s="20">
        <v>0.79145874942196526</v>
      </c>
      <c r="F71" s="20">
        <v>4.0015784216633758E-2</v>
      </c>
      <c r="G71" s="20">
        <v>1.1548534812597719E-2</v>
      </c>
      <c r="H71" s="20">
        <v>0</v>
      </c>
      <c r="I71" s="20">
        <v>0.73989443039273373</v>
      </c>
      <c r="J71" s="20">
        <v>1.3834113955322586E-3</v>
      </c>
      <c r="K71" s="20">
        <v>0.1826583450230532</v>
      </c>
      <c r="L71" s="20">
        <v>0</v>
      </c>
    </row>
    <row r="72" spans="1:12">
      <c r="A72" s="2" t="s">
        <v>421</v>
      </c>
      <c r="B72" s="3" t="s">
        <v>422</v>
      </c>
      <c r="D72" s="20">
        <v>1.3332398458926718E-2</v>
      </c>
      <c r="E72" s="20">
        <v>0.81396842118018287</v>
      </c>
      <c r="F72" s="20">
        <v>0.66188494001550369</v>
      </c>
      <c r="G72" s="20">
        <v>0.12254005050563468</v>
      </c>
      <c r="H72" s="20">
        <v>0</v>
      </c>
      <c r="I72" s="20">
        <v>2.9543430659044537E-2</v>
      </c>
      <c r="J72" s="20">
        <v>4.0474949882452196E-3</v>
      </c>
      <c r="K72" s="20">
        <v>0.16865168537264516</v>
      </c>
      <c r="L72" s="20">
        <v>0</v>
      </c>
    </row>
    <row r="73" spans="1:12">
      <c r="A73" s="2" t="s">
        <v>423</v>
      </c>
      <c r="B73" s="3" t="s">
        <v>424</v>
      </c>
      <c r="D73" s="20">
        <v>1.299900004226659E-2</v>
      </c>
      <c r="E73" s="20">
        <v>0.65589154223832868</v>
      </c>
      <c r="F73" s="20">
        <v>0.32135433295263699</v>
      </c>
      <c r="G73" s="20">
        <v>7.3668141808231169E-2</v>
      </c>
      <c r="H73" s="20">
        <v>0</v>
      </c>
      <c r="I73" s="20">
        <v>0.26086906747746053</v>
      </c>
      <c r="J73" s="20">
        <v>2.7176261078677984E-3</v>
      </c>
      <c r="K73" s="20">
        <v>0.32839183161153707</v>
      </c>
      <c r="L73" s="20">
        <v>0</v>
      </c>
    </row>
    <row r="74" spans="1:12">
      <c r="A74" s="2" t="s">
        <v>425</v>
      </c>
      <c r="B74" s="3" t="s">
        <v>426</v>
      </c>
      <c r="D74" s="20">
        <v>4.9090831340059876E-3</v>
      </c>
      <c r="E74" s="20">
        <v>0.82840110639688447</v>
      </c>
      <c r="F74" s="20">
        <v>0.67744587349432905</v>
      </c>
      <c r="G74" s="20">
        <v>0.12427110415592801</v>
      </c>
      <c r="H74" s="20">
        <v>0</v>
      </c>
      <c r="I74" s="20">
        <v>2.6684128746627438E-2</v>
      </c>
      <c r="J74" s="20">
        <v>4.1039448231685229E-3</v>
      </c>
      <c r="K74" s="20">
        <v>0.16258586564594088</v>
      </c>
      <c r="L74" s="20">
        <v>0</v>
      </c>
    </row>
    <row r="75" spans="1:12">
      <c r="A75" s="2" t="s">
        <v>427</v>
      </c>
      <c r="B75" s="3" t="s">
        <v>428</v>
      </c>
      <c r="D75" s="20">
        <v>5.4918914404598402E-10</v>
      </c>
      <c r="E75" s="20">
        <v>0.99711326330667382</v>
      </c>
      <c r="F75" s="20">
        <v>0.99242152671239592</v>
      </c>
      <c r="G75" s="20">
        <v>3.8295380156486765E-4</v>
      </c>
      <c r="H75" s="20">
        <v>0</v>
      </c>
      <c r="I75" s="20">
        <v>4.3087827927130399E-3</v>
      </c>
      <c r="J75" s="20">
        <v>2.8033566961311032E-3</v>
      </c>
      <c r="K75" s="20">
        <v>8.3379448005903103E-5</v>
      </c>
      <c r="L75" s="20">
        <v>0</v>
      </c>
    </row>
    <row r="76" spans="1:12">
      <c r="A76" s="2" t="s">
        <v>429</v>
      </c>
      <c r="B76" s="3" t="s">
        <v>430</v>
      </c>
      <c r="D76" s="20">
        <v>1.3795007600000441E-11</v>
      </c>
      <c r="E76" s="20">
        <v>0.99711326384052223</v>
      </c>
      <c r="F76" s="20">
        <v>0.99242152724373245</v>
      </c>
      <c r="G76" s="20">
        <v>3.8295380176989874E-4</v>
      </c>
      <c r="H76" s="20">
        <v>0</v>
      </c>
      <c r="I76" s="20">
        <v>4.3087827950199359E-3</v>
      </c>
      <c r="J76" s="20">
        <v>2.8033566976320029E-3</v>
      </c>
      <c r="K76" s="20">
        <v>8.3379448050543962E-5</v>
      </c>
      <c r="L76" s="20">
        <v>0</v>
      </c>
    </row>
    <row r="77" spans="1:12">
      <c r="A77" s="2" t="s">
        <v>431</v>
      </c>
      <c r="B77" s="3" t="s">
        <v>432</v>
      </c>
      <c r="D77" s="20">
        <v>2.3697011659603726E-2</v>
      </c>
      <c r="E77" s="20">
        <v>0.709295824180873</v>
      </c>
      <c r="F77" s="20">
        <v>0.50415931658579205</v>
      </c>
      <c r="G77" s="20">
        <v>0.10424694880233544</v>
      </c>
      <c r="H77" s="20">
        <v>0</v>
      </c>
      <c r="I77" s="20">
        <v>0.10088955879274555</v>
      </c>
      <c r="J77" s="20">
        <v>3.5099772557783651E-3</v>
      </c>
      <c r="K77" s="20">
        <v>0.26349718690374485</v>
      </c>
      <c r="L77" s="20">
        <v>0</v>
      </c>
    </row>
    <row r="78" spans="1:12">
      <c r="A78" s="2" t="s">
        <v>433</v>
      </c>
      <c r="B78" s="3" t="s">
        <v>434</v>
      </c>
      <c r="D78" s="20">
        <v>3.3278691784983855E-2</v>
      </c>
      <c r="E78" s="20">
        <v>0.6827028620341562</v>
      </c>
      <c r="F78" s="20">
        <v>0.12683539341919853</v>
      </c>
      <c r="G78" s="20">
        <v>3.277449553198597E-2</v>
      </c>
      <c r="H78" s="20">
        <v>0</v>
      </c>
      <c r="I78" s="20">
        <v>0.52309297308297176</v>
      </c>
      <c r="J78" s="20">
        <v>1.7588952360274165E-3</v>
      </c>
      <c r="K78" s="20">
        <v>0.28225955094483252</v>
      </c>
      <c r="L78" s="20">
        <v>0</v>
      </c>
    </row>
    <row r="79" spans="1:12">
      <c r="A79" s="2" t="s">
        <v>435</v>
      </c>
      <c r="B79" s="3" t="s">
        <v>436</v>
      </c>
      <c r="D79" s="20">
        <v>7.7806718087261185E-3</v>
      </c>
      <c r="E79" s="20">
        <v>0.6603694492862664</v>
      </c>
      <c r="F79" s="20">
        <v>0.23620621033994804</v>
      </c>
      <c r="G79" s="20">
        <v>5.6805039645566338E-2</v>
      </c>
      <c r="H79" s="20">
        <v>0</v>
      </c>
      <c r="I79" s="20">
        <v>0.36735819930075198</v>
      </c>
      <c r="J79" s="20">
        <v>2.3164344652584828E-3</v>
      </c>
      <c r="K79" s="20">
        <v>0.32953344443974913</v>
      </c>
      <c r="L79" s="20">
        <v>0</v>
      </c>
    </row>
    <row r="80" spans="1:12">
      <c r="A80" s="2" t="s">
        <v>437</v>
      </c>
      <c r="B80" s="3" t="s">
        <v>438</v>
      </c>
      <c r="D80" s="20">
        <v>1.9612052831734604E-10</v>
      </c>
      <c r="E80" s="20">
        <v>0.99447395259025417</v>
      </c>
      <c r="F80" s="20">
        <v>0.99082575453169031</v>
      </c>
      <c r="G80" s="20">
        <v>7.3442507410486247E-4</v>
      </c>
      <c r="H80" s="20">
        <v>0</v>
      </c>
      <c r="I80" s="20">
        <v>2.9137729844590046E-3</v>
      </c>
      <c r="J80" s="20">
        <v>5.4246887249475278E-3</v>
      </c>
      <c r="K80" s="20">
        <v>1.0135848867763185E-4</v>
      </c>
      <c r="L80" s="20">
        <v>0</v>
      </c>
    </row>
    <row r="81" spans="1:12">
      <c r="A81" s="2" t="s">
        <v>440</v>
      </c>
      <c r="B81" s="3" t="s">
        <v>441</v>
      </c>
      <c r="D81" s="20">
        <v>1.8464545079776304E-13</v>
      </c>
      <c r="E81" s="20">
        <v>0.96970292339474562</v>
      </c>
      <c r="F81" s="20">
        <v>9.1161786417513313E-4</v>
      </c>
      <c r="G81" s="20">
        <v>3.5457522115997601E-4</v>
      </c>
      <c r="H81" s="20">
        <v>0</v>
      </c>
      <c r="I81" s="20">
        <v>0.96843673030941047</v>
      </c>
      <c r="J81" s="20">
        <v>1.3489133626841017E-3</v>
      </c>
      <c r="K81" s="20">
        <v>2.8948163242385604E-2</v>
      </c>
      <c r="L81" s="20">
        <v>0</v>
      </c>
    </row>
    <row r="82" spans="1:12">
      <c r="A82" s="2" t="s">
        <v>442</v>
      </c>
      <c r="B82" s="3" t="s">
        <v>443</v>
      </c>
      <c r="D82" s="20">
        <v>8.2355608236430141E-5</v>
      </c>
      <c r="E82" s="20">
        <v>0.78632692943059712</v>
      </c>
      <c r="F82" s="20">
        <v>5.4949961680860769E-2</v>
      </c>
      <c r="G82" s="20">
        <v>1.5454784343260084E-2</v>
      </c>
      <c r="H82" s="20">
        <v>0</v>
      </c>
      <c r="I82" s="20">
        <v>0.71592218340647629</v>
      </c>
      <c r="J82" s="20">
        <v>1.4736643482640653E-3</v>
      </c>
      <c r="K82" s="20">
        <v>0.2121170506129024</v>
      </c>
      <c r="L82" s="20">
        <v>0</v>
      </c>
    </row>
    <row r="83" spans="1:12">
      <c r="A83" s="2" t="s">
        <v>444</v>
      </c>
      <c r="B83" s="3" t="s">
        <v>445</v>
      </c>
      <c r="D83" s="20">
        <v>5.0476239798292414E-4</v>
      </c>
      <c r="E83" s="20">
        <v>0.70925159544147964</v>
      </c>
      <c r="F83" s="20">
        <v>0.481017868786835</v>
      </c>
      <c r="G83" s="20">
        <v>0.10149783185190774</v>
      </c>
      <c r="H83" s="20">
        <v>0</v>
      </c>
      <c r="I83" s="20">
        <v>0.12673589480273689</v>
      </c>
      <c r="J83" s="20">
        <v>3.450081656245693E-3</v>
      </c>
      <c r="K83" s="20">
        <v>0.28679356050429172</v>
      </c>
      <c r="L83" s="20">
        <v>0</v>
      </c>
    </row>
    <row r="84" spans="1:12">
      <c r="A84" s="2" t="s">
        <v>446</v>
      </c>
      <c r="B84" s="3" t="s">
        <v>447</v>
      </c>
      <c r="D84" s="20">
        <v>5.6620071139805381E-15</v>
      </c>
      <c r="E84" s="20">
        <v>0.93663261443583035</v>
      </c>
      <c r="F84" s="20">
        <v>4.0798540347966915E-3</v>
      </c>
      <c r="G84" s="20">
        <v>1.4169031994415481E-3</v>
      </c>
      <c r="H84" s="20">
        <v>0</v>
      </c>
      <c r="I84" s="20">
        <v>0.93113585720159209</v>
      </c>
      <c r="J84" s="20">
        <v>1.3300965048538374E-3</v>
      </c>
      <c r="K84" s="20">
        <v>6.2037289059310073E-2</v>
      </c>
      <c r="L84" s="20">
        <v>0</v>
      </c>
    </row>
    <row r="85" spans="1:12">
      <c r="A85" s="2" t="s">
        <v>448</v>
      </c>
      <c r="B85" s="3" t="s">
        <v>449</v>
      </c>
      <c r="D85" s="20">
        <v>3.9826755811797721E-8</v>
      </c>
      <c r="E85" s="20">
        <v>0.98656071116787525</v>
      </c>
      <c r="F85" s="20">
        <v>1.6743611794185379E-4</v>
      </c>
      <c r="G85" s="20">
        <v>7.3883030626385485E-5</v>
      </c>
      <c r="H85" s="20">
        <v>0</v>
      </c>
      <c r="I85" s="20">
        <v>0.98631939201930696</v>
      </c>
      <c r="J85" s="20">
        <v>1.3650777307304743E-3</v>
      </c>
      <c r="K85" s="20">
        <v>1.2074171274638399E-2</v>
      </c>
      <c r="L85" s="20">
        <v>0</v>
      </c>
    </row>
    <row r="86" spans="1:12">
      <c r="A86" s="2" t="s">
        <v>450</v>
      </c>
      <c r="B86" s="3" t="s">
        <v>451</v>
      </c>
      <c r="D86" s="20">
        <v>1.4244903151854088E-8</v>
      </c>
      <c r="E86" s="20">
        <v>0.93811552684699517</v>
      </c>
      <c r="F86" s="20">
        <v>3.8880667817738131E-3</v>
      </c>
      <c r="G86" s="20">
        <v>1.3552807543260193E-3</v>
      </c>
      <c r="H86" s="20">
        <v>0</v>
      </c>
      <c r="I86" s="20">
        <v>0.93287217931089539</v>
      </c>
      <c r="J86" s="20">
        <v>1.3305892455732896E-3</v>
      </c>
      <c r="K86" s="20">
        <v>6.0553869662528306E-2</v>
      </c>
      <c r="L86" s="20">
        <v>0</v>
      </c>
    </row>
    <row r="87" spans="1:12">
      <c r="A87" s="2" t="s">
        <v>452</v>
      </c>
      <c r="B87" s="3" t="s">
        <v>453</v>
      </c>
      <c r="D87" s="20">
        <v>4.8261526990792537E-8</v>
      </c>
      <c r="E87" s="20">
        <v>0.90058708052083847</v>
      </c>
      <c r="F87" s="20">
        <v>0.21304692671928441</v>
      </c>
      <c r="G87" s="20">
        <v>0.68702229221277256</v>
      </c>
      <c r="H87" s="20">
        <v>0</v>
      </c>
      <c r="I87" s="20">
        <v>5.1786158878149935E-4</v>
      </c>
      <c r="J87" s="20">
        <v>2.3540534505767034E-2</v>
      </c>
      <c r="K87" s="20">
        <v>7.5872336711867411E-2</v>
      </c>
      <c r="L87" s="20">
        <v>0</v>
      </c>
    </row>
    <row r="88" spans="1:12">
      <c r="A88" s="2" t="s">
        <v>454</v>
      </c>
      <c r="B88" s="3" t="s">
        <v>455</v>
      </c>
      <c r="D88" s="20">
        <v>3.984612163728712E-5</v>
      </c>
      <c r="E88" s="20">
        <v>0.72883206652829313</v>
      </c>
      <c r="F88" s="20">
        <v>0.10239064322527516</v>
      </c>
      <c r="G88" s="20">
        <v>2.7149124346539415E-2</v>
      </c>
      <c r="H88" s="20">
        <v>0</v>
      </c>
      <c r="I88" s="20">
        <v>0.59929229895647851</v>
      </c>
      <c r="J88" s="20">
        <v>1.6841245362585594E-3</v>
      </c>
      <c r="K88" s="20">
        <v>0.26944396281381128</v>
      </c>
      <c r="L88" s="20">
        <v>0</v>
      </c>
    </row>
    <row r="89" spans="1:12">
      <c r="A89" s="2" t="s">
        <v>456</v>
      </c>
      <c r="B89" s="3" t="s">
        <v>457</v>
      </c>
      <c r="D89" s="20">
        <v>2.7156462919357132E-17</v>
      </c>
      <c r="E89" s="20">
        <v>0.77547020047364612</v>
      </c>
      <c r="F89" s="20">
        <v>6.2079386750397224E-2</v>
      </c>
      <c r="G89" s="20">
        <v>1.7268037116637353E-2</v>
      </c>
      <c r="H89" s="20">
        <v>0</v>
      </c>
      <c r="I89" s="20">
        <v>0.69612277660661159</v>
      </c>
      <c r="J89" s="20">
        <v>1.5037437047455873E-3</v>
      </c>
      <c r="K89" s="20">
        <v>0.22302605582160825</v>
      </c>
      <c r="L89" s="20">
        <v>0</v>
      </c>
    </row>
    <row r="90" spans="1:12">
      <c r="A90" s="2" t="s">
        <v>458</v>
      </c>
      <c r="B90" s="3" t="s">
        <v>459</v>
      </c>
      <c r="D90" s="20">
        <v>4.1968110786102592E-29</v>
      </c>
      <c r="E90" s="20">
        <v>0.88176806588936651</v>
      </c>
      <c r="F90" s="20">
        <v>1.4763646386201409E-2</v>
      </c>
      <c r="G90" s="20">
        <v>4.6375562460796004E-3</v>
      </c>
      <c r="H90" s="20">
        <v>0</v>
      </c>
      <c r="I90" s="20">
        <v>0.86236686325708556</v>
      </c>
      <c r="J90" s="20">
        <v>1.3353500343233819E-3</v>
      </c>
      <c r="K90" s="20">
        <v>0.11689658407630973</v>
      </c>
      <c r="L90" s="20">
        <v>0</v>
      </c>
    </row>
    <row r="91" spans="1:12">
      <c r="A91" s="2" t="s">
        <v>460</v>
      </c>
      <c r="B91" s="3" t="s">
        <v>461</v>
      </c>
      <c r="D91" s="20">
        <v>5.0003565635522123E-8</v>
      </c>
      <c r="E91" s="20">
        <v>0.8727168649202991</v>
      </c>
      <c r="F91" s="20">
        <v>0.52865846283120632</v>
      </c>
      <c r="G91" s="20">
        <v>0.34069891006374997</v>
      </c>
      <c r="H91" s="20">
        <v>0</v>
      </c>
      <c r="I91" s="20">
        <v>3.3594920253427712E-3</v>
      </c>
      <c r="J91" s="20">
        <v>1.1436463035823389E-2</v>
      </c>
      <c r="K91" s="20">
        <v>0.11584662204031204</v>
      </c>
      <c r="L91" s="20">
        <v>0</v>
      </c>
    </row>
    <row r="92" spans="1:12">
      <c r="A92" s="2" t="s">
        <v>462</v>
      </c>
      <c r="B92" s="3" t="s">
        <v>463</v>
      </c>
      <c r="D92" s="20">
        <v>4.4279992602448409E-9</v>
      </c>
      <c r="E92" s="20">
        <v>0.68472915872189666</v>
      </c>
      <c r="F92" s="20">
        <v>0.416947865181165</v>
      </c>
      <c r="G92" s="20">
        <v>9.1112362936793742E-2</v>
      </c>
      <c r="H92" s="20">
        <v>0</v>
      </c>
      <c r="I92" s="20">
        <v>0.1766689306039379</v>
      </c>
      <c r="J92" s="20">
        <v>3.1735879226454894E-3</v>
      </c>
      <c r="K92" s="20">
        <v>0.3120972489274586</v>
      </c>
      <c r="L92" s="20">
        <v>0</v>
      </c>
    </row>
    <row r="93" spans="1:12">
      <c r="A93" s="2" t="s">
        <v>464</v>
      </c>
      <c r="B93" s="3" t="s">
        <v>465</v>
      </c>
      <c r="D93" s="20">
        <v>1.9647990219750182E-4</v>
      </c>
      <c r="E93" s="20">
        <v>0.80600853651392768</v>
      </c>
      <c r="F93" s="20">
        <v>0.64504846808489036</v>
      </c>
      <c r="G93" s="20">
        <v>0.12209219553346541</v>
      </c>
      <c r="H93" s="20">
        <v>0</v>
      </c>
      <c r="I93" s="20">
        <v>3.8867872895571871E-2</v>
      </c>
      <c r="J93" s="20">
        <v>4.0367914474233315E-3</v>
      </c>
      <c r="K93" s="20">
        <v>0.18975819213645143</v>
      </c>
      <c r="L93" s="20">
        <v>0</v>
      </c>
    </row>
    <row r="94" spans="1:12">
      <c r="A94" s="2" t="s">
        <v>466</v>
      </c>
      <c r="B94" s="3" t="s">
        <v>467</v>
      </c>
      <c r="D94" s="20">
        <v>1.8319888804260093E-18</v>
      </c>
      <c r="E94" s="20">
        <v>0.99854542380745992</v>
      </c>
      <c r="F94" s="20">
        <v>0.10492261769073712</v>
      </c>
      <c r="G94" s="20">
        <v>1.3788201187625086E-5</v>
      </c>
      <c r="H94" s="20">
        <v>0</v>
      </c>
      <c r="I94" s="20">
        <v>0.89360901791553515</v>
      </c>
      <c r="J94" s="20">
        <v>1.2952745542299468E-3</v>
      </c>
      <c r="K94" s="20">
        <v>1.5930163831011699E-4</v>
      </c>
      <c r="L94" s="20">
        <v>0</v>
      </c>
    </row>
    <row r="95" spans="1:12">
      <c r="A95" s="2" t="s">
        <v>468</v>
      </c>
      <c r="B95" s="3" t="s">
        <v>469</v>
      </c>
      <c r="D95" s="20">
        <v>2.0154587864814683E-18</v>
      </c>
      <c r="E95" s="20">
        <v>0.8795352500499104</v>
      </c>
      <c r="F95" s="20">
        <v>0.69879234162581816</v>
      </c>
      <c r="G95" s="20">
        <v>0.17287957733193893</v>
      </c>
      <c r="H95" s="20">
        <v>0</v>
      </c>
      <c r="I95" s="20">
        <v>7.8633310921533122E-3</v>
      </c>
      <c r="J95" s="20">
        <v>5.7402105803885843E-3</v>
      </c>
      <c r="K95" s="20">
        <v>0.11472453936970106</v>
      </c>
      <c r="L95" s="20">
        <v>0</v>
      </c>
    </row>
    <row r="96" spans="1:12">
      <c r="A96" s="2" t="s">
        <v>470</v>
      </c>
      <c r="B96" s="163">
        <v>354656</v>
      </c>
      <c r="D96" s="20">
        <v>3.6810813300990813E-10</v>
      </c>
      <c r="E96" s="20">
        <v>0.96858722772215133</v>
      </c>
      <c r="F96" s="20">
        <v>9.8140807670964994E-4</v>
      </c>
      <c r="G96" s="20">
        <v>3.7961658951788302E-4</v>
      </c>
      <c r="H96" s="20">
        <v>0</v>
      </c>
      <c r="I96" s="20">
        <v>0.96722620305592377</v>
      </c>
      <c r="J96" s="20">
        <v>1.3480068991208272E-3</v>
      </c>
      <c r="K96" s="20">
        <v>3.006476501061963E-2</v>
      </c>
      <c r="L96" s="20">
        <v>0</v>
      </c>
    </row>
    <row r="97" spans="1:12">
      <c r="A97" s="2" t="s">
        <v>472</v>
      </c>
      <c r="B97" s="3" t="s">
        <v>473</v>
      </c>
      <c r="D97" s="20">
        <v>5.6574072852722828E-10</v>
      </c>
      <c r="E97" s="20">
        <v>0.93587878714237616</v>
      </c>
      <c r="F97" s="20">
        <v>4.1791856138068979E-3</v>
      </c>
      <c r="G97" s="20">
        <v>1.4487292065706358E-3</v>
      </c>
      <c r="H97" s="20">
        <v>0</v>
      </c>
      <c r="I97" s="20">
        <v>0.93025087232199866</v>
      </c>
      <c r="J97" s="20">
        <v>1.3298585615104884E-3</v>
      </c>
      <c r="K97" s="20">
        <v>6.2791353730372729E-2</v>
      </c>
      <c r="L97" s="20">
        <v>0</v>
      </c>
    </row>
    <row r="98" spans="1:12">
      <c r="A98" s="2" t="s">
        <v>474</v>
      </c>
      <c r="B98" s="3" t="s">
        <v>475</v>
      </c>
      <c r="D98" s="20">
        <v>4.6642972782963535E-20</v>
      </c>
      <c r="E98" s="20">
        <v>0.85648315183712154</v>
      </c>
      <c r="F98" s="20">
        <v>0.71164014126713571</v>
      </c>
      <c r="G98" s="20">
        <v>0.12651907049230537</v>
      </c>
      <c r="H98" s="20">
        <v>0</v>
      </c>
      <c r="I98" s="20">
        <v>1.8323940077680501E-2</v>
      </c>
      <c r="J98" s="20">
        <v>4.1791527715869109E-3</v>
      </c>
      <c r="K98" s="20">
        <v>0.13933769539129159</v>
      </c>
      <c r="L98" s="20">
        <v>0</v>
      </c>
    </row>
    <row r="99" spans="1:12">
      <c r="A99" s="2" t="s">
        <v>476</v>
      </c>
      <c r="B99" s="3" t="s">
        <v>477</v>
      </c>
      <c r="D99" s="20">
        <v>1.7383933473642394E-7</v>
      </c>
      <c r="E99" s="20">
        <v>0.99027006238626791</v>
      </c>
      <c r="F99" s="20">
        <v>8.2418036952885992E-5</v>
      </c>
      <c r="G99" s="20">
        <v>3.8328146830382057E-5</v>
      </c>
      <c r="H99" s="20">
        <v>0</v>
      </c>
      <c r="I99" s="20">
        <v>0.9901493162024847</v>
      </c>
      <c r="J99" s="20">
        <v>1.3692984079656102E-3</v>
      </c>
      <c r="K99" s="20">
        <v>8.360465366431714E-3</v>
      </c>
      <c r="L99" s="20">
        <v>0</v>
      </c>
    </row>
    <row r="100" spans="1:12">
      <c r="A100" s="2" t="s">
        <v>478</v>
      </c>
      <c r="B100" s="3" t="s">
        <v>479</v>
      </c>
      <c r="D100" s="20">
        <v>5.1006993242691234E-11</v>
      </c>
      <c r="E100" s="20">
        <v>0.67112789912205439</v>
      </c>
      <c r="F100" s="20">
        <v>0.21023447679992061</v>
      </c>
      <c r="G100" s="20">
        <v>5.1404305240791447E-2</v>
      </c>
      <c r="H100" s="20">
        <v>0</v>
      </c>
      <c r="I100" s="20">
        <v>0.40948911708134239</v>
      </c>
      <c r="J100" s="20">
        <v>2.1999406881159449E-3</v>
      </c>
      <c r="K100" s="20">
        <v>0.32667216013882266</v>
      </c>
      <c r="L100" s="20">
        <v>0</v>
      </c>
    </row>
    <row r="101" spans="1:12">
      <c r="A101" s="2" t="s">
        <v>480</v>
      </c>
      <c r="B101" s="3" t="s">
        <v>481</v>
      </c>
      <c r="D101" s="20">
        <v>4.6771755123096827E-11</v>
      </c>
      <c r="E101" s="20">
        <v>0.98463900638156876</v>
      </c>
      <c r="F101" s="20">
        <v>2.2277060388026934E-4</v>
      </c>
      <c r="G101" s="20">
        <v>9.6239517612990702E-5</v>
      </c>
      <c r="H101" s="20">
        <v>0</v>
      </c>
      <c r="I101" s="20">
        <v>0.98431999626007549</v>
      </c>
      <c r="J101" s="20">
        <v>1.3629910294841794E-3</v>
      </c>
      <c r="K101" s="20">
        <v>1.3998002542175385E-2</v>
      </c>
      <c r="L101" s="20">
        <v>0</v>
      </c>
    </row>
    <row r="102" spans="1:12">
      <c r="A102" s="2" t="s">
        <v>482</v>
      </c>
      <c r="B102" s="3" t="s">
        <v>483</v>
      </c>
      <c r="D102" s="20">
        <v>2.9398855986320597E-27</v>
      </c>
      <c r="E102" s="20">
        <v>0.99507005155026529</v>
      </c>
      <c r="F102" s="20">
        <v>1.5900275368178404E-5</v>
      </c>
      <c r="G102" s="20">
        <v>8.3502639002461294E-6</v>
      </c>
      <c r="H102" s="20">
        <v>0</v>
      </c>
      <c r="I102" s="20">
        <v>0.99504580101099682</v>
      </c>
      <c r="J102" s="20">
        <v>1.3751676021255719E-3</v>
      </c>
      <c r="K102" s="20">
        <v>3.5547808476092701E-3</v>
      </c>
      <c r="L102" s="20">
        <v>0</v>
      </c>
    </row>
    <row r="103" spans="1:12">
      <c r="A103" s="2" t="s">
        <v>484</v>
      </c>
      <c r="B103" s="3" t="s">
        <v>485</v>
      </c>
      <c r="D103" s="20">
        <v>2.3448640657582943E-13</v>
      </c>
      <c r="E103" s="20">
        <v>0.99053570196511165</v>
      </c>
      <c r="F103" s="20">
        <v>7.7444732882227954E-5</v>
      </c>
      <c r="G103" s="20">
        <v>3.6181572797869531E-5</v>
      </c>
      <c r="H103" s="20">
        <v>0</v>
      </c>
      <c r="I103" s="20">
        <v>0.99042207565943152</v>
      </c>
      <c r="J103" s="20">
        <v>1.3696108168841667E-3</v>
      </c>
      <c r="K103" s="20">
        <v>8.0946872177697516E-3</v>
      </c>
      <c r="L103" s="20">
        <v>0</v>
      </c>
    </row>
    <row r="104" spans="1:12">
      <c r="A104" s="2" t="s">
        <v>486</v>
      </c>
      <c r="B104" s="3" t="s">
        <v>487</v>
      </c>
      <c r="D104" s="20">
        <v>2.8857972031726529E-9</v>
      </c>
      <c r="E104" s="20">
        <v>0.95325284833447888</v>
      </c>
      <c r="F104" s="20">
        <v>2.2005944993975161E-3</v>
      </c>
      <c r="G104" s="20">
        <v>8.0100564812818538E-4</v>
      </c>
      <c r="H104" s="20">
        <v>0</v>
      </c>
      <c r="I104" s="20">
        <v>0.95025124818695317</v>
      </c>
      <c r="J104" s="20">
        <v>1.3374930868590208E-3</v>
      </c>
      <c r="K104" s="20">
        <v>4.5409655692865002E-2</v>
      </c>
      <c r="L104" s="20">
        <v>0</v>
      </c>
    </row>
    <row r="105" spans="1:12">
      <c r="A105" s="2" t="s">
        <v>488</v>
      </c>
      <c r="B105" s="3" t="s">
        <v>489</v>
      </c>
      <c r="D105" s="20">
        <v>2.3380683539009327E-16</v>
      </c>
      <c r="E105" s="20">
        <v>0.99436249058928816</v>
      </c>
      <c r="F105" s="20">
        <v>2.2549214537575344E-5</v>
      </c>
      <c r="G105" s="20">
        <v>1.1540562410268684E-5</v>
      </c>
      <c r="H105" s="20">
        <v>0</v>
      </c>
      <c r="I105" s="20">
        <v>0.99432840081234031</v>
      </c>
      <c r="J105" s="20">
        <v>1.3742711533574635E-3</v>
      </c>
      <c r="K105" s="20">
        <v>4.2632382573541128E-3</v>
      </c>
      <c r="L105" s="20">
        <v>0</v>
      </c>
    </row>
    <row r="106" spans="1:12">
      <c r="A106" s="2" t="s">
        <v>490</v>
      </c>
      <c r="B106" s="3" t="s">
        <v>491</v>
      </c>
      <c r="D106" s="20">
        <v>1.270827196695823E-8</v>
      </c>
      <c r="E106" s="20">
        <v>0.85377632013768823</v>
      </c>
      <c r="F106" s="20">
        <v>2.3246668115475502E-2</v>
      </c>
      <c r="G106" s="20">
        <v>7.0381135739161164E-3</v>
      </c>
      <c r="H106" s="20">
        <v>0</v>
      </c>
      <c r="I106" s="20">
        <v>0.82349153844829659</v>
      </c>
      <c r="J106" s="20">
        <v>1.3568557036769838E-3</v>
      </c>
      <c r="K106" s="20">
        <v>0.14486681145036293</v>
      </c>
      <c r="L106" s="20">
        <v>0</v>
      </c>
    </row>
    <row r="107" spans="1:12">
      <c r="A107" s="2" t="s">
        <v>492</v>
      </c>
      <c r="B107" s="3" t="s">
        <v>493</v>
      </c>
      <c r="D107" s="20">
        <v>2.1919766410078689E-16</v>
      </c>
      <c r="E107" s="20">
        <v>0.87307668146387929</v>
      </c>
      <c r="F107" s="20">
        <v>0.73233558353180483</v>
      </c>
      <c r="G107" s="20">
        <v>0.12711760212854747</v>
      </c>
      <c r="H107" s="20">
        <v>0</v>
      </c>
      <c r="I107" s="20">
        <v>1.3623495803527012E-2</v>
      </c>
      <c r="J107" s="20">
        <v>4.2024776096924602E-3</v>
      </c>
      <c r="K107" s="20">
        <v>0.12272084092642808</v>
      </c>
      <c r="L107" s="20">
        <v>0</v>
      </c>
    </row>
    <row r="108" spans="1:12">
      <c r="A108" s="2" t="s">
        <v>291</v>
      </c>
      <c r="B108" s="3" t="s">
        <v>494</v>
      </c>
      <c r="D108" s="20">
        <v>2.9370143330266376E-10</v>
      </c>
      <c r="E108" s="20">
        <v>0.68467189144664897</v>
      </c>
      <c r="F108" s="20">
        <v>0.17052194625659375</v>
      </c>
      <c r="G108" s="20">
        <v>4.2783453313363619E-2</v>
      </c>
      <c r="H108" s="20">
        <v>0</v>
      </c>
      <c r="I108" s="20">
        <v>0.47136649187669155</v>
      </c>
      <c r="J108" s="20">
        <v>2.0078565561414412E-3</v>
      </c>
      <c r="K108" s="20">
        <v>0.31332025170350825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3.6268124499437225E-9</v>
      </c>
      <c r="E2" s="14">
        <v>3.0891410488210805E-5</v>
      </c>
      <c r="F2" s="14">
        <v>1.474345650067427E-6</v>
      </c>
      <c r="G2" s="14">
        <v>4.2943245930306397E-7</v>
      </c>
      <c r="H2" s="14">
        <v>0</v>
      </c>
      <c r="I2" s="14">
        <v>5.6097960400076211E-8</v>
      </c>
      <c r="J2" s="14">
        <v>7.1450866295686972E-6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1.4215015242483235E-7</v>
      </c>
      <c r="E3" s="14">
        <v>2.594657094049752E-8</v>
      </c>
      <c r="F3" s="14">
        <v>9.621029462764854E-6</v>
      </c>
      <c r="G3" s="14">
        <v>2.6068563488450106E-5</v>
      </c>
      <c r="H3" s="14">
        <v>0</v>
      </c>
      <c r="I3" s="14">
        <v>8.9121479871862946E-7</v>
      </c>
      <c r="J3" s="14">
        <v>3.2510955267010885E-6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1.7624598164129228E-16</v>
      </c>
      <c r="E4" s="14">
        <v>1.4123809933251868E-5</v>
      </c>
      <c r="F4" s="14">
        <v>1.0036757677259887E-5</v>
      </c>
      <c r="G4" s="14">
        <v>2.3960120299973418E-6</v>
      </c>
      <c r="H4" s="14">
        <v>0</v>
      </c>
      <c r="I4" s="14">
        <v>9.5868257236192981E-8</v>
      </c>
      <c r="J4" s="14">
        <v>1.3347552102078467E-5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4.7905234849972308E-9</v>
      </c>
      <c r="E5" s="14">
        <v>2.7602957335192033E-7</v>
      </c>
      <c r="F5" s="14">
        <v>2.6980946977664147E-5</v>
      </c>
      <c r="G5" s="14">
        <v>7.8298374102158815E-6</v>
      </c>
      <c r="H5" s="14">
        <v>0</v>
      </c>
      <c r="I5" s="14">
        <v>2.6040348837792262E-7</v>
      </c>
      <c r="J5" s="14">
        <v>4.6479920269051367E-6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4.6543337346724772E-10</v>
      </c>
      <c r="E6" s="14">
        <v>1.1660848724559787E-8</v>
      </c>
      <c r="F6" s="14">
        <v>6.1664006057816271E-6</v>
      </c>
      <c r="G6" s="14">
        <v>3.0284979987244982E-5</v>
      </c>
      <c r="H6" s="14">
        <v>0</v>
      </c>
      <c r="I6" s="14">
        <v>1.0433918455750358E-6</v>
      </c>
      <c r="J6" s="14">
        <v>2.4931012793003354E-6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6.8434861988307717E-10</v>
      </c>
      <c r="E7" s="14">
        <v>2.3240744504179018E-8</v>
      </c>
      <c r="F7" s="14">
        <v>9.0771938590346207E-6</v>
      </c>
      <c r="G7" s="14">
        <v>2.6831636765392216E-5</v>
      </c>
      <c r="H7" s="14">
        <v>0</v>
      </c>
      <c r="I7" s="14">
        <v>9.1833755635475765E-7</v>
      </c>
      <c r="J7" s="14">
        <v>3.148906726094346E-6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6.442929621748174E-9</v>
      </c>
      <c r="E8" s="14">
        <v>5.1605504486281099E-8</v>
      </c>
      <c r="F8" s="14">
        <v>1.3770750263955701E-5</v>
      </c>
      <c r="G8" s="14">
        <v>2.1500727634252917E-5</v>
      </c>
      <c r="H8" s="14">
        <v>0</v>
      </c>
      <c r="I8" s="14">
        <v>7.2984249769522557E-7</v>
      </c>
      <c r="J8" s="14">
        <v>3.940631169988135E-6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4.0500478942173121E-9</v>
      </c>
      <c r="E9" s="14">
        <v>2.3710068003865053E-6</v>
      </c>
      <c r="F9" s="14">
        <v>2.3863512804568139E-5</v>
      </c>
      <c r="G9" s="14">
        <v>4.6862982970468608E-6</v>
      </c>
      <c r="H9" s="14">
        <v>0</v>
      </c>
      <c r="I9" s="14">
        <v>1.5558994695943326E-7</v>
      </c>
      <c r="J9" s="14">
        <v>8.9195421031448467E-6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6.1538611641285658E-11</v>
      </c>
      <c r="E10" s="14">
        <v>2.5666126744331281E-7</v>
      </c>
      <c r="F10" s="14">
        <v>2.6425420625186488E-5</v>
      </c>
      <c r="G10" s="14">
        <v>8.3659923720671848E-6</v>
      </c>
      <c r="H10" s="14">
        <v>0</v>
      </c>
      <c r="I10" s="14">
        <v>2.7849496638213957E-7</v>
      </c>
      <c r="J10" s="14">
        <v>4.673369230309236E-6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3.2042817707488121E-9</v>
      </c>
      <c r="E11" s="14">
        <v>2.2664353724852401E-7</v>
      </c>
      <c r="F11" s="14">
        <v>2.5445144057418729E-5</v>
      </c>
      <c r="G11" s="14">
        <v>9.313233021431002E-6</v>
      </c>
      <c r="H11" s="14">
        <v>0</v>
      </c>
      <c r="I11" s="14">
        <v>3.105277709009571E-7</v>
      </c>
      <c r="J11" s="14">
        <v>4.701247331230043E-6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2.1190543389310799E-9</v>
      </c>
      <c r="E12" s="14">
        <v>1.5217900283862365E-6</v>
      </c>
      <c r="F12" s="14">
        <v>2.5895023433295542E-5</v>
      </c>
      <c r="G12" s="14">
        <v>4.8922862933534515E-6</v>
      </c>
      <c r="H12" s="14">
        <v>0</v>
      </c>
      <c r="I12" s="14">
        <v>1.6173650538273122E-7</v>
      </c>
      <c r="J12" s="14">
        <v>7.5270446852431191E-6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6.3036764693009551E-9</v>
      </c>
      <c r="E13" s="14">
        <v>2.2748174750879929E-6</v>
      </c>
      <c r="F13" s="14">
        <v>2.4069558828738221E-5</v>
      </c>
      <c r="G13" s="14">
        <v>4.7093794625815334E-6</v>
      </c>
      <c r="H13" s="14">
        <v>0</v>
      </c>
      <c r="I13" s="14">
        <v>1.5626438864167837E-7</v>
      </c>
      <c r="J13" s="14">
        <v>8.7836761684812818E-6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2.1351433089064145E-9</v>
      </c>
      <c r="E14" s="14">
        <v>1.503763954030818E-7</v>
      </c>
      <c r="F14" s="14">
        <v>2.2080110611635291E-5</v>
      </c>
      <c r="G14" s="14">
        <v>1.2670588890986147E-5</v>
      </c>
      <c r="H14" s="14">
        <v>0</v>
      </c>
      <c r="I14" s="14">
        <v>4.2471799504443846E-7</v>
      </c>
      <c r="J14" s="14">
        <v>4.6720709636221376E-6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3.4886318161536411E-12</v>
      </c>
      <c r="E15" s="14">
        <v>2.4130580949723748E-7</v>
      </c>
      <c r="F15" s="14">
        <v>2.5943546975463209E-5</v>
      </c>
      <c r="G15" s="14">
        <v>8.8313054790973306E-6</v>
      </c>
      <c r="H15" s="14">
        <v>0</v>
      </c>
      <c r="I15" s="14">
        <v>2.94219491462916E-7</v>
      </c>
      <c r="J15" s="14">
        <v>4.6896187558474898E-6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1.6737943542593926E-8</v>
      </c>
      <c r="E16" s="14">
        <v>5.338690438282146E-8</v>
      </c>
      <c r="F16" s="14">
        <v>1.4001556380641168E-5</v>
      </c>
      <c r="G16" s="14">
        <v>2.1235958546251791E-5</v>
      </c>
      <c r="H16" s="14">
        <v>0</v>
      </c>
      <c r="I16" s="14">
        <v>7.2058649087396653E-7</v>
      </c>
      <c r="J16" s="14">
        <v>3.9717737343076665E-6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1.2304181877519615E-9</v>
      </c>
      <c r="E17" s="14">
        <v>2.6946687302504192E-7</v>
      </c>
      <c r="F17" s="14">
        <v>2.6799516389080929E-5</v>
      </c>
      <c r="G17" s="14">
        <v>8.006127690074769E-6</v>
      </c>
      <c r="H17" s="14">
        <v>0</v>
      </c>
      <c r="I17" s="14">
        <v>2.6634866672086176E-7</v>
      </c>
      <c r="J17" s="14">
        <v>4.65730996291065E-6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1.2171871877119032E-7</v>
      </c>
      <c r="E18" s="14">
        <v>2.8403379260702159E-6</v>
      </c>
      <c r="F18" s="14">
        <v>2.2826093251317975E-5</v>
      </c>
      <c r="G18" s="14">
        <v>4.5575048818140489E-6</v>
      </c>
      <c r="H18" s="14">
        <v>0</v>
      </c>
      <c r="I18" s="14">
        <v>1.5180376305234437E-7</v>
      </c>
      <c r="J18" s="14">
        <v>9.5025414589742381E-6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1.2226699411332677E-11</v>
      </c>
      <c r="E19" s="14">
        <v>2.3832076042507926E-7</v>
      </c>
      <c r="F19" s="14">
        <v>2.5845411443480303E-5</v>
      </c>
      <c r="G19" s="14">
        <v>8.9264547055723608E-6</v>
      </c>
      <c r="H19" s="14">
        <v>0</v>
      </c>
      <c r="I19" s="14">
        <v>2.9743749066150403E-7</v>
      </c>
      <c r="J19" s="14">
        <v>4.692363373161343E-6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9.5422766050626684E-10</v>
      </c>
      <c r="E20" s="14">
        <v>2.2751217485298341E-6</v>
      </c>
      <c r="F20" s="14">
        <v>2.407277830792221E-5</v>
      </c>
      <c r="G20" s="14">
        <v>4.710009376459772E-6</v>
      </c>
      <c r="H20" s="14">
        <v>0</v>
      </c>
      <c r="I20" s="14">
        <v>1.5628529014427803E-7</v>
      </c>
      <c r="J20" s="14">
        <v>8.7848510492833996E-6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1.7874364690928827E-8</v>
      </c>
      <c r="E21" s="14">
        <v>1.7002909966990802E-7</v>
      </c>
      <c r="F21" s="14">
        <v>2.309430140395156E-5</v>
      </c>
      <c r="G21" s="14">
        <v>1.1630553540174757E-5</v>
      </c>
      <c r="H21" s="14">
        <v>0</v>
      </c>
      <c r="I21" s="14">
        <v>3.8924155929231361E-7</v>
      </c>
      <c r="J21" s="14">
        <v>4.6980000322205317E-6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7.8423557047638015E-8</v>
      </c>
      <c r="E22" s="14">
        <v>2.2447045000687594E-5</v>
      </c>
      <c r="F22" s="14">
        <v>4.8030902991067451E-6</v>
      </c>
      <c r="G22" s="14">
        <v>1.2526112472007677E-6</v>
      </c>
      <c r="H22" s="14">
        <v>0</v>
      </c>
      <c r="I22" s="14">
        <v>7.0578777461613221E-8</v>
      </c>
      <c r="J22" s="14">
        <v>1.1348251118495646E-5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3.3412239692743821E-9</v>
      </c>
      <c r="E23" s="14">
        <v>2.8376460859033048E-5</v>
      </c>
      <c r="F23" s="14">
        <v>2.2897064270598348E-6</v>
      </c>
      <c r="G23" s="14">
        <v>6.4161625576579414E-7</v>
      </c>
      <c r="H23" s="14">
        <v>0</v>
      </c>
      <c r="I23" s="14">
        <v>5.932841955364437E-8</v>
      </c>
      <c r="J23" s="14">
        <v>8.6295468146184077E-6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2.8909237478435792E-9</v>
      </c>
      <c r="E24" s="14">
        <v>6.9491114548282376E-6</v>
      </c>
      <c r="F24" s="14">
        <v>1.6815541283495796E-5</v>
      </c>
      <c r="G24" s="14">
        <v>3.6678064251653745E-6</v>
      </c>
      <c r="H24" s="14">
        <v>0</v>
      </c>
      <c r="I24" s="14">
        <v>1.2755245456013035E-7</v>
      </c>
      <c r="J24" s="14">
        <v>1.2437097458202622E-5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5.2903582057873649E-7</v>
      </c>
      <c r="E25" s="14">
        <v>8.280903416398171E-7</v>
      </c>
      <c r="F25" s="14">
        <v>2.7679567102428552E-5</v>
      </c>
      <c r="G25" s="14">
        <v>4.9757075784414107E-6</v>
      </c>
      <c r="H25" s="14">
        <v>0</v>
      </c>
      <c r="I25" s="14">
        <v>1.643217470248356E-7</v>
      </c>
      <c r="J25" s="14">
        <v>5.8232774098866465E-6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1.4346697158959671E-8</v>
      </c>
      <c r="E26" s="14">
        <v>1.8424875907615509E-7</v>
      </c>
      <c r="F26" s="14">
        <v>2.3758889947990381E-5</v>
      </c>
      <c r="G26" s="14">
        <v>1.0967855025148477E-5</v>
      </c>
      <c r="H26" s="14">
        <v>0</v>
      </c>
      <c r="I26" s="14">
        <v>3.6668257830795098E-7</v>
      </c>
      <c r="J26" s="14">
        <v>4.7079769923180779E-6</v>
      </c>
      <c r="K26" s="14">
        <v>0</v>
      </c>
    </row>
    <row r="27" spans="1:13">
      <c r="A27" s="2" t="s">
        <v>353</v>
      </c>
      <c r="B27" s="3" t="s">
        <v>354</v>
      </c>
      <c r="D27" s="14">
        <v>9.853211248012184E-8</v>
      </c>
      <c r="E27" s="14">
        <v>2.8524000442553246E-8</v>
      </c>
      <c r="F27" s="14">
        <v>1.0128660371031646E-5</v>
      </c>
      <c r="G27" s="14">
        <v>2.5523931135653193E-5</v>
      </c>
      <c r="H27" s="14">
        <v>0</v>
      </c>
      <c r="I27" s="14">
        <v>8.7177611408035084E-7</v>
      </c>
      <c r="J27" s="14">
        <v>3.3485762663121368E-6</v>
      </c>
      <c r="K27" s="14">
        <v>0</v>
      </c>
    </row>
    <row r="28" spans="1:13">
      <c r="A28" s="2" t="s">
        <v>355</v>
      </c>
      <c r="B28" s="3" t="s">
        <v>356</v>
      </c>
      <c r="D28" s="14">
        <v>5.3823043487627761E-9</v>
      </c>
      <c r="E28" s="14">
        <v>1.0164848083756549E-7</v>
      </c>
      <c r="F28" s="14">
        <v>1.8855691616022209E-5</v>
      </c>
      <c r="G28" s="14">
        <v>1.6008034886014538E-5</v>
      </c>
      <c r="H28" s="14">
        <v>0</v>
      </c>
      <c r="I28" s="14">
        <v>5.3919813632829353E-7</v>
      </c>
      <c r="J28" s="14">
        <v>4.4900445764486345E-6</v>
      </c>
      <c r="K28" s="14">
        <v>0</v>
      </c>
    </row>
    <row r="29" spans="1:13">
      <c r="A29" s="2" t="s">
        <v>357</v>
      </c>
      <c r="B29" s="3" t="s">
        <v>358</v>
      </c>
      <c r="D29" s="14">
        <v>1.084769939461877E-6</v>
      </c>
      <c r="E29" s="14">
        <v>1.525001540277165E-7</v>
      </c>
      <c r="F29" s="14">
        <v>2.1817845229792842E-5</v>
      </c>
      <c r="G29" s="14">
        <v>1.1986914621795886E-5</v>
      </c>
      <c r="H29" s="14">
        <v>0</v>
      </c>
      <c r="I29" s="14">
        <v>4.0158894597274086E-7</v>
      </c>
      <c r="J29" s="14">
        <v>4.5563811089489435E-6</v>
      </c>
      <c r="K29" s="14">
        <v>0</v>
      </c>
    </row>
    <row r="30" spans="1:13">
      <c r="A30" s="2" t="s">
        <v>359</v>
      </c>
      <c r="B30" s="3" t="s">
        <v>360</v>
      </c>
      <c r="D30" s="14">
        <v>5.3823043487627761E-9</v>
      </c>
      <c r="E30" s="14">
        <v>1.0164848083756549E-7</v>
      </c>
      <c r="F30" s="14">
        <v>1.8855691616022209E-5</v>
      </c>
      <c r="G30" s="14">
        <v>1.6008034886014538E-5</v>
      </c>
      <c r="H30" s="14">
        <v>0</v>
      </c>
      <c r="I30" s="14">
        <v>5.3919813632829353E-7</v>
      </c>
      <c r="J30" s="14">
        <v>4.4900445764486345E-6</v>
      </c>
      <c r="K30" s="14">
        <v>0</v>
      </c>
    </row>
    <row r="31" spans="1:13">
      <c r="A31" s="2" t="s">
        <v>283</v>
      </c>
      <c r="B31" s="3" t="s">
        <v>284</v>
      </c>
      <c r="D31" s="14">
        <v>1.0473072526153166E-12</v>
      </c>
      <c r="E31" s="14">
        <v>3.8978646236298149E-5</v>
      </c>
      <c r="F31" s="14">
        <v>2.3985475133970908E-8</v>
      </c>
      <c r="G31" s="14">
        <v>9.6259562017867868E-9</v>
      </c>
      <c r="H31" s="14">
        <v>0</v>
      </c>
      <c r="I31" s="14">
        <v>5.4150595730867129E-8</v>
      </c>
      <c r="J31" s="14">
        <v>9.3359068932797671E-7</v>
      </c>
      <c r="K31" s="14">
        <v>0</v>
      </c>
    </row>
    <row r="32" spans="1:13">
      <c r="A32" s="2" t="s">
        <v>361</v>
      </c>
      <c r="B32" s="3" t="s">
        <v>362</v>
      </c>
      <c r="D32" s="14">
        <v>8.5197986694708816E-13</v>
      </c>
      <c r="E32" s="14">
        <v>1.7342357802351547E-5</v>
      </c>
      <c r="F32" s="14">
        <v>7.7961760401016002E-6</v>
      </c>
      <c r="G32" s="14">
        <v>1.9222076376121817E-6</v>
      </c>
      <c r="H32" s="14">
        <v>0</v>
      </c>
      <c r="I32" s="14">
        <v>8.8967658446816705E-8</v>
      </c>
      <c r="J32" s="14">
        <v>1.2850290009507996E-5</v>
      </c>
      <c r="K32" s="14">
        <v>0</v>
      </c>
    </row>
    <row r="33" spans="1:11">
      <c r="A33" s="2" t="s">
        <v>364</v>
      </c>
      <c r="B33" s="3" t="s">
        <v>365</v>
      </c>
      <c r="D33" s="14">
        <v>4.8220355149036278E-15</v>
      </c>
      <c r="E33" s="14">
        <v>3.9774726163091859E-5</v>
      </c>
      <c r="F33" s="14">
        <v>1.6786060059933547E-7</v>
      </c>
      <c r="G33" s="14">
        <v>5.1330570992537654E-11</v>
      </c>
      <c r="H33" s="14">
        <v>0</v>
      </c>
      <c r="I33" s="14">
        <v>5.5080042332169742E-8</v>
      </c>
      <c r="J33" s="14">
        <v>2.2818585836114843E-9</v>
      </c>
      <c r="K33" s="14">
        <v>0</v>
      </c>
    </row>
    <row r="34" spans="1:11">
      <c r="A34" s="2" t="s">
        <v>285</v>
      </c>
      <c r="B34" s="3" t="s">
        <v>286</v>
      </c>
      <c r="D34" s="14">
        <v>1.4342497799133579E-14</v>
      </c>
      <c r="E34" s="14">
        <v>2.188321694437283E-5</v>
      </c>
      <c r="F34" s="14">
        <v>1.8068110593605478E-5</v>
      </c>
      <c r="G34" s="14">
        <v>1.4838405914810419E-9</v>
      </c>
      <c r="H34" s="14">
        <v>0</v>
      </c>
      <c r="I34" s="14">
        <v>3.9410035053637423E-8</v>
      </c>
      <c r="J34" s="14">
        <v>7.7785720340762982E-9</v>
      </c>
      <c r="K34" s="14">
        <v>0</v>
      </c>
    </row>
    <row r="35" spans="1:11">
      <c r="A35" s="2" t="s">
        <v>287</v>
      </c>
      <c r="B35" s="3" t="s">
        <v>288</v>
      </c>
      <c r="D35" s="14">
        <v>4.1786714701424085E-16</v>
      </c>
      <c r="E35" s="14">
        <v>1.2957911862674986E-5</v>
      </c>
      <c r="F35" s="14">
        <v>2.6987123466173863E-5</v>
      </c>
      <c r="G35" s="14">
        <v>5.2261746447407693E-9</v>
      </c>
      <c r="H35" s="14">
        <v>0</v>
      </c>
      <c r="I35" s="14">
        <v>3.0906491594335815E-8</v>
      </c>
      <c r="J35" s="14">
        <v>1.8832004494218348E-8</v>
      </c>
      <c r="K35" s="14">
        <v>0</v>
      </c>
    </row>
    <row r="36" spans="1:11">
      <c r="A36" s="2" t="s">
        <v>366</v>
      </c>
      <c r="B36" s="3" t="s">
        <v>305</v>
      </c>
      <c r="D36" s="14">
        <v>7.3684646611735373E-13</v>
      </c>
      <c r="E36" s="14">
        <v>4.3233128011072021E-6</v>
      </c>
      <c r="F36" s="14">
        <v>3.5623635064654592E-5</v>
      </c>
      <c r="G36" s="14">
        <v>1.0199526640563041E-8</v>
      </c>
      <c r="H36" s="14">
        <v>0</v>
      </c>
      <c r="I36" s="14">
        <v>2.1799905368636067E-8</v>
      </c>
      <c r="J36" s="14">
        <v>2.1051965382545736E-8</v>
      </c>
      <c r="K36" s="14">
        <v>0</v>
      </c>
    </row>
    <row r="37" spans="1:11">
      <c r="A37" s="2" t="s">
        <v>289</v>
      </c>
      <c r="B37" s="3" t="s">
        <v>290</v>
      </c>
      <c r="D37" s="14">
        <v>1.6751706044539795E-19</v>
      </c>
      <c r="E37" s="14">
        <v>8.3160652922527679E-6</v>
      </c>
      <c r="F37" s="14">
        <v>2.7853480086969025E-5</v>
      </c>
      <c r="G37" s="14">
        <v>9.5093091309287947E-7</v>
      </c>
      <c r="H37" s="14">
        <v>0</v>
      </c>
      <c r="I37" s="14">
        <v>5.2941659932808128E-8</v>
      </c>
      <c r="J37" s="14">
        <v>2.8265820477523533E-6</v>
      </c>
      <c r="K37" s="14">
        <v>0</v>
      </c>
    </row>
    <row r="38" spans="1:11">
      <c r="A38" s="2" t="s">
        <v>291</v>
      </c>
      <c r="B38" s="3" t="s">
        <v>292</v>
      </c>
      <c r="D38" s="14">
        <v>4.827519337134652E-17</v>
      </c>
      <c r="E38" s="14">
        <v>2.4503484961521935E-5</v>
      </c>
      <c r="F38" s="14">
        <v>1.5366304317310827E-5</v>
      </c>
      <c r="G38" s="14">
        <v>1.2837677975109851E-8</v>
      </c>
      <c r="H38" s="14">
        <v>0</v>
      </c>
      <c r="I38" s="14">
        <v>4.2141649336691995E-8</v>
      </c>
      <c r="J38" s="14">
        <v>7.523139380716266E-8</v>
      </c>
      <c r="K38" s="14">
        <v>0</v>
      </c>
    </row>
    <row r="39" spans="1:11">
      <c r="A39" s="2" t="s">
        <v>367</v>
      </c>
      <c r="B39" s="3" t="s">
        <v>368</v>
      </c>
      <c r="D39" s="14">
        <v>5.7955259470199093E-10</v>
      </c>
      <c r="E39" s="14">
        <v>4.1282452997657629E-7</v>
      </c>
      <c r="F39" s="14">
        <v>2.9803486316759723E-5</v>
      </c>
      <c r="G39" s="14">
        <v>5.2055020854503931E-6</v>
      </c>
      <c r="H39" s="14">
        <v>0</v>
      </c>
      <c r="I39" s="14">
        <v>1.7230988641413322E-7</v>
      </c>
      <c r="J39" s="14">
        <v>4.40529762880448E-6</v>
      </c>
      <c r="K39" s="14">
        <v>0</v>
      </c>
    </row>
    <row r="40" spans="1:11">
      <c r="A40" s="2" t="s">
        <v>369</v>
      </c>
      <c r="B40" s="3" t="s">
        <v>370</v>
      </c>
      <c r="D40" s="14">
        <v>3.6286514428575697E-17</v>
      </c>
      <c r="E40" s="14">
        <v>3.9561547383019377E-8</v>
      </c>
      <c r="F40" s="14">
        <v>3.6095648122437052E-5</v>
      </c>
      <c r="G40" s="14">
        <v>2.6114109522033451E-6</v>
      </c>
      <c r="H40" s="14">
        <v>0</v>
      </c>
      <c r="I40" s="14">
        <v>1.1398291914681625E-6</v>
      </c>
      <c r="J40" s="14">
        <v>1.1355018647213982E-7</v>
      </c>
      <c r="K40" s="14">
        <v>0</v>
      </c>
    </row>
    <row r="41" spans="1:11">
      <c r="A41" s="2" t="s">
        <v>371</v>
      </c>
      <c r="B41" s="3" t="s">
        <v>372</v>
      </c>
      <c r="D41" s="14">
        <v>3.2681474482599691E-6</v>
      </c>
      <c r="E41" s="14">
        <v>3.6496757576162322E-5</v>
      </c>
      <c r="F41" s="14">
        <v>1.1173155864022778E-9</v>
      </c>
      <c r="G41" s="14">
        <v>5.5933424872589885E-10</v>
      </c>
      <c r="H41" s="14">
        <v>0</v>
      </c>
      <c r="I41" s="14">
        <v>5.0446575214429814E-8</v>
      </c>
      <c r="J41" s="14">
        <v>1.8297175052814974E-7</v>
      </c>
      <c r="K41" s="14">
        <v>0</v>
      </c>
    </row>
    <row r="42" spans="1:11">
      <c r="A42" s="2" t="s">
        <v>293</v>
      </c>
      <c r="B42" s="3" t="s">
        <v>294</v>
      </c>
      <c r="D42" s="14">
        <v>7.0006604520507482E-13</v>
      </c>
      <c r="E42" s="14">
        <v>2.095615753115347E-5</v>
      </c>
      <c r="F42" s="14">
        <v>5.6158206411149122E-6</v>
      </c>
      <c r="G42" s="14">
        <v>1.4404851455852231E-6</v>
      </c>
      <c r="H42" s="14">
        <v>0</v>
      </c>
      <c r="I42" s="14">
        <v>7.4528495591932961E-8</v>
      </c>
      <c r="J42" s="14">
        <v>1.1913007486488413E-5</v>
      </c>
      <c r="K42" s="14">
        <v>0</v>
      </c>
    </row>
    <row r="43" spans="1:11">
      <c r="A43" s="2" t="s">
        <v>373</v>
      </c>
      <c r="B43" s="3" t="s">
        <v>374</v>
      </c>
      <c r="D43" s="14">
        <v>1.7240537034971165E-12</v>
      </c>
      <c r="E43" s="14">
        <v>3.52394481244478E-7</v>
      </c>
      <c r="F43" s="14">
        <v>3.9563132702401728E-5</v>
      </c>
      <c r="G43" s="14">
        <v>3.340508600141497E-8</v>
      </c>
      <c r="H43" s="14">
        <v>0</v>
      </c>
      <c r="I43" s="14">
        <v>3.4203379641286934E-8</v>
      </c>
      <c r="J43" s="14">
        <v>1.6862626657389457E-8</v>
      </c>
      <c r="K43" s="14">
        <v>0</v>
      </c>
    </row>
    <row r="44" spans="1:11">
      <c r="A44" s="2" t="s">
        <v>375</v>
      </c>
      <c r="B44" s="3" t="s">
        <v>376</v>
      </c>
      <c r="D44" s="14">
        <v>3.4022011344464299E-6</v>
      </c>
      <c r="E44" s="14">
        <v>3.0448971354502794E-5</v>
      </c>
      <c r="F44" s="14">
        <v>7.7773957770248347E-7</v>
      </c>
      <c r="G44" s="14">
        <v>2.3720823131396235E-7</v>
      </c>
      <c r="H44" s="14">
        <v>0</v>
      </c>
      <c r="I44" s="14">
        <v>4.9448375400634399E-8</v>
      </c>
      <c r="J44" s="14">
        <v>5.0844313266337021E-6</v>
      </c>
      <c r="K44" s="14">
        <v>0</v>
      </c>
    </row>
    <row r="45" spans="1:11">
      <c r="A45" s="2" t="s">
        <v>377</v>
      </c>
      <c r="B45" s="3" t="s">
        <v>378</v>
      </c>
      <c r="D45" s="14">
        <v>2.66307711020772E-8</v>
      </c>
      <c r="E45" s="14">
        <v>1.954683208928132E-5</v>
      </c>
      <c r="F45" s="14">
        <v>6.3982021385515573E-6</v>
      </c>
      <c r="G45" s="14">
        <v>1.6171619413994165E-6</v>
      </c>
      <c r="H45" s="14">
        <v>0</v>
      </c>
      <c r="I45" s="14">
        <v>7.8246579484322104E-8</v>
      </c>
      <c r="J45" s="14">
        <v>1.2332926480181317E-5</v>
      </c>
      <c r="K45" s="14">
        <v>0</v>
      </c>
    </row>
    <row r="46" spans="1:11">
      <c r="A46" s="2" t="s">
        <v>379</v>
      </c>
      <c r="B46" s="3" t="s">
        <v>380</v>
      </c>
      <c r="D46" s="14">
        <v>8.0079018075835082E-8</v>
      </c>
      <c r="E46" s="14">
        <v>2.0394420982048078E-5</v>
      </c>
      <c r="F46" s="14">
        <v>5.8910533273634991E-6</v>
      </c>
      <c r="G46" s="14">
        <v>1.5027561343838166E-6</v>
      </c>
      <c r="H46" s="14">
        <v>0</v>
      </c>
      <c r="I46" s="14">
        <v>7.5748813972015831E-8</v>
      </c>
      <c r="J46" s="14">
        <v>1.2055941724156759E-5</v>
      </c>
      <c r="K46" s="14">
        <v>0</v>
      </c>
    </row>
    <row r="47" spans="1:11">
      <c r="A47" s="2" t="s">
        <v>381</v>
      </c>
      <c r="B47" s="3" t="s">
        <v>382</v>
      </c>
      <c r="D47" s="14">
        <v>1.6760749529520056E-12</v>
      </c>
      <c r="E47" s="14">
        <v>2.6039106426977606E-8</v>
      </c>
      <c r="F47" s="14">
        <v>9.6553417672238066E-6</v>
      </c>
      <c r="G47" s="14">
        <v>2.6161534047441224E-5</v>
      </c>
      <c r="H47" s="14">
        <v>0</v>
      </c>
      <c r="I47" s="14">
        <v>8.9439321466988566E-7</v>
      </c>
      <c r="J47" s="14">
        <v>3.2626901881631535E-6</v>
      </c>
      <c r="K47" s="14">
        <v>0</v>
      </c>
    </row>
    <row r="48" spans="1:11">
      <c r="A48" s="2" t="s">
        <v>383</v>
      </c>
      <c r="B48" s="3" t="s">
        <v>384</v>
      </c>
      <c r="D48" s="14">
        <v>4.7028704037294206E-7</v>
      </c>
      <c r="E48" s="14">
        <v>3.6082419525446742E-5</v>
      </c>
      <c r="F48" s="14">
        <v>2.5109451504992944E-7</v>
      </c>
      <c r="G48" s="14">
        <v>8.4281601889493791E-8</v>
      </c>
      <c r="H48" s="14">
        <v>0</v>
      </c>
      <c r="I48" s="14">
        <v>5.2452862022495411E-8</v>
      </c>
      <c r="J48" s="14">
        <v>3.0594644552184049E-6</v>
      </c>
      <c r="K48" s="14">
        <v>0</v>
      </c>
    </row>
    <row r="49" spans="1:11">
      <c r="A49" s="2" t="s">
        <v>385</v>
      </c>
      <c r="B49" s="3" t="s">
        <v>386</v>
      </c>
      <c r="D49" s="14">
        <v>8.781295921693835E-7</v>
      </c>
      <c r="E49" s="14">
        <v>3.4434299561309104E-5</v>
      </c>
      <c r="F49" s="14">
        <v>4.4774714738293549E-7</v>
      </c>
      <c r="G49" s="14">
        <v>1.4352527345535877E-7</v>
      </c>
      <c r="H49" s="14">
        <v>0</v>
      </c>
      <c r="I49" s="14">
        <v>5.2020308440441619E-8</v>
      </c>
      <c r="J49" s="14">
        <v>4.0442781172427856E-6</v>
      </c>
      <c r="K49" s="14">
        <v>0</v>
      </c>
    </row>
    <row r="50" spans="1:11">
      <c r="A50" s="2" t="s">
        <v>387</v>
      </c>
      <c r="B50" s="3" t="s">
        <v>388</v>
      </c>
      <c r="D50" s="14">
        <v>2.6289601069305102E-7</v>
      </c>
      <c r="E50" s="14">
        <v>3.0059145909810756E-6</v>
      </c>
      <c r="F50" s="14">
        <v>2.2410843914284819E-5</v>
      </c>
      <c r="G50" s="14">
        <v>4.4993913206799882E-6</v>
      </c>
      <c r="H50" s="14">
        <v>0</v>
      </c>
      <c r="I50" s="14">
        <v>1.5006520374669807E-7</v>
      </c>
      <c r="J50" s="14">
        <v>9.6708889596143762E-6</v>
      </c>
      <c r="K50" s="14">
        <v>0</v>
      </c>
    </row>
    <row r="51" spans="1:11">
      <c r="A51" s="2" t="s">
        <v>295</v>
      </c>
      <c r="B51" s="3" t="s">
        <v>296</v>
      </c>
      <c r="D51" s="14">
        <v>2.618839054344572E-6</v>
      </c>
      <c r="E51" s="14">
        <v>3.6092872672964097E-5</v>
      </c>
      <c r="F51" s="14">
        <v>4.0474642714584915E-8</v>
      </c>
      <c r="G51" s="14">
        <v>1.5540986354800915E-8</v>
      </c>
      <c r="H51" s="14">
        <v>0</v>
      </c>
      <c r="I51" s="14">
        <v>5.0344130822002719E-8</v>
      </c>
      <c r="J51" s="14">
        <v>1.1819285127999465E-6</v>
      </c>
      <c r="K51" s="14">
        <v>0</v>
      </c>
    </row>
    <row r="52" spans="1:11">
      <c r="A52" s="2" t="s">
        <v>389</v>
      </c>
      <c r="B52" s="3" t="s">
        <v>390</v>
      </c>
      <c r="D52" s="14">
        <v>2.7544303127495108E-6</v>
      </c>
      <c r="E52" s="14">
        <v>2.8867184618766424E-5</v>
      </c>
      <c r="F52" s="14">
        <v>1.3437114072523482E-6</v>
      </c>
      <c r="G52" s="14">
        <v>3.9210425885748328E-7</v>
      </c>
      <c r="H52" s="14">
        <v>0</v>
      </c>
      <c r="I52" s="14">
        <v>5.2132749075061556E-8</v>
      </c>
      <c r="J52" s="14">
        <v>6.5904366532991766E-6</v>
      </c>
      <c r="K52" s="14">
        <v>0</v>
      </c>
    </row>
    <row r="53" spans="1:11">
      <c r="A53" s="2" t="s">
        <v>391</v>
      </c>
      <c r="B53" s="3" t="s">
        <v>392</v>
      </c>
      <c r="D53" s="14">
        <v>7.8618747440518853E-8</v>
      </c>
      <c r="E53" s="14">
        <v>1.5125814183111037E-5</v>
      </c>
      <c r="F53" s="14">
        <v>9.2512482532956247E-6</v>
      </c>
      <c r="G53" s="14">
        <v>2.233036853340826E-6</v>
      </c>
      <c r="H53" s="14">
        <v>0</v>
      </c>
      <c r="I53" s="14">
        <v>9.1980059557289879E-8</v>
      </c>
      <c r="J53" s="14">
        <v>1.321930190325471E-5</v>
      </c>
      <c r="K53" s="14">
        <v>0</v>
      </c>
    </row>
    <row r="54" spans="1:11">
      <c r="A54" s="2" t="s">
        <v>393</v>
      </c>
      <c r="B54" s="3" t="s">
        <v>394</v>
      </c>
      <c r="D54" s="14">
        <v>7.7150836894238028E-9</v>
      </c>
      <c r="E54" s="14">
        <v>3.6287185262943487E-8</v>
      </c>
      <c r="F54" s="14">
        <v>1.1513698594955003E-5</v>
      </c>
      <c r="G54" s="14">
        <v>2.4027601011942598E-5</v>
      </c>
      <c r="H54" s="14">
        <v>0</v>
      </c>
      <c r="I54" s="14">
        <v>8.1867030962513665E-7</v>
      </c>
      <c r="J54" s="14">
        <v>3.5960278145248905E-6</v>
      </c>
      <c r="K54" s="14">
        <v>0</v>
      </c>
    </row>
    <row r="55" spans="1:11">
      <c r="A55" s="2" t="s">
        <v>395</v>
      </c>
      <c r="B55" s="3" t="s">
        <v>396</v>
      </c>
      <c r="D55" s="14">
        <v>5.3115730570900973E-6</v>
      </c>
      <c r="E55" s="14">
        <v>5.4419656961700205E-6</v>
      </c>
      <c r="F55" s="14">
        <v>1.5300209383152105E-5</v>
      </c>
      <c r="G55" s="14">
        <v>3.3006002599932905E-6</v>
      </c>
      <c r="H55" s="14">
        <v>0</v>
      </c>
      <c r="I55" s="14">
        <v>1.1377989789061622E-7</v>
      </c>
      <c r="J55" s="14">
        <v>1.0531871705703871E-5</v>
      </c>
      <c r="K55" s="14">
        <v>0</v>
      </c>
    </row>
    <row r="56" spans="1:11">
      <c r="A56" s="2" t="s">
        <v>397</v>
      </c>
      <c r="B56" s="3" t="s">
        <v>398</v>
      </c>
      <c r="D56" s="14">
        <v>2.412928635259257E-5</v>
      </c>
      <c r="E56" s="14">
        <v>6.4407600221852665E-7</v>
      </c>
      <c r="F56" s="14">
        <v>1.016760561526782E-5</v>
      </c>
      <c r="G56" s="14">
        <v>1.9315868836134274E-6</v>
      </c>
      <c r="H56" s="14">
        <v>0</v>
      </c>
      <c r="I56" s="14">
        <v>6.3881705367472133E-8</v>
      </c>
      <c r="J56" s="14">
        <v>3.0635634409401847E-6</v>
      </c>
      <c r="K56" s="14">
        <v>0</v>
      </c>
    </row>
    <row r="57" spans="1:11">
      <c r="A57" s="2" t="s">
        <v>399</v>
      </c>
      <c r="B57" s="3" t="s">
        <v>400</v>
      </c>
      <c r="D57" s="14">
        <v>3.06471271003364E-5</v>
      </c>
      <c r="E57" s="14">
        <v>1.1645078219643376E-6</v>
      </c>
      <c r="F57" s="14">
        <v>4.5317295576551746E-6</v>
      </c>
      <c r="G57" s="14">
        <v>9.5446397184082016E-7</v>
      </c>
      <c r="H57" s="14">
        <v>0</v>
      </c>
      <c r="I57" s="14">
        <v>3.2411865589479404E-8</v>
      </c>
      <c r="J57" s="14">
        <v>2.6697596826137875E-6</v>
      </c>
      <c r="K57" s="14">
        <v>0</v>
      </c>
    </row>
    <row r="58" spans="1:11">
      <c r="A58" s="2" t="s">
        <v>297</v>
      </c>
      <c r="B58" s="3" t="s">
        <v>298</v>
      </c>
      <c r="D58" s="14">
        <v>3.7261358644537619E-5</v>
      </c>
      <c r="E58" s="14">
        <v>2.3664172742329566E-6</v>
      </c>
      <c r="F58" s="14">
        <v>3.9512353737648469E-8</v>
      </c>
      <c r="G58" s="14">
        <v>1.2434503720080105E-8</v>
      </c>
      <c r="H58" s="14">
        <v>0</v>
      </c>
      <c r="I58" s="14">
        <v>3.6552242943839654E-9</v>
      </c>
      <c r="J58" s="14">
        <v>3.1662199947730871E-7</v>
      </c>
      <c r="K58" s="14">
        <v>0</v>
      </c>
    </row>
    <row r="59" spans="1:11">
      <c r="A59" s="2" t="s">
        <v>401</v>
      </c>
      <c r="B59" s="3" t="s">
        <v>402</v>
      </c>
      <c r="D59" s="14">
        <v>3.6355497548480565E-5</v>
      </c>
      <c r="E59" s="14">
        <v>4.7918446859411165E-7</v>
      </c>
      <c r="F59" s="14">
        <v>1.7299928472254988E-6</v>
      </c>
      <c r="G59" s="14">
        <v>3.6638683724622798E-7</v>
      </c>
      <c r="H59" s="14">
        <v>0</v>
      </c>
      <c r="I59" s="14">
        <v>1.2479672569730502E-8</v>
      </c>
      <c r="J59" s="14">
        <v>1.0564586258838767E-6</v>
      </c>
      <c r="K59" s="14">
        <v>0</v>
      </c>
    </row>
    <row r="60" spans="1:11">
      <c r="A60" s="2" t="s">
        <v>299</v>
      </c>
      <c r="B60" s="3" t="s">
        <v>300</v>
      </c>
      <c r="D60" s="14">
        <v>3.9921465687793692E-5</v>
      </c>
      <c r="E60" s="14">
        <v>1.7910970487263761E-8</v>
      </c>
      <c r="F60" s="14">
        <v>2.8332225686505957E-8</v>
      </c>
      <c r="G60" s="14">
        <v>6.3764102022169164E-9</v>
      </c>
      <c r="H60" s="14">
        <v>0</v>
      </c>
      <c r="I60" s="14">
        <v>2.2915530381530527E-10</v>
      </c>
      <c r="J60" s="14">
        <v>2.5685550526504531E-8</v>
      </c>
      <c r="K60" s="14">
        <v>0</v>
      </c>
    </row>
    <row r="61" spans="1:11">
      <c r="A61" s="2" t="s">
        <v>403</v>
      </c>
      <c r="B61" s="3" t="s">
        <v>404</v>
      </c>
      <c r="D61" s="14">
        <v>1.7856162586795375E-48</v>
      </c>
      <c r="E61" s="14">
        <v>1.1339679297277323E-5</v>
      </c>
      <c r="F61" s="14">
        <v>1.232714051825467E-5</v>
      </c>
      <c r="G61" s="14">
        <v>2.8520550367894115E-6</v>
      </c>
      <c r="H61" s="14">
        <v>0</v>
      </c>
      <c r="I61" s="14">
        <v>1.0684141291175142E-7</v>
      </c>
      <c r="J61" s="14">
        <v>1.337428373476685E-5</v>
      </c>
      <c r="K61" s="14">
        <v>0</v>
      </c>
    </row>
    <row r="62" spans="1:11">
      <c r="A62" s="2" t="s">
        <v>405</v>
      </c>
      <c r="B62" s="3" t="s">
        <v>406</v>
      </c>
      <c r="D62" s="14">
        <v>4.279119478213428E-12</v>
      </c>
      <c r="E62" s="14">
        <v>1.546062524335803E-7</v>
      </c>
      <c r="F62" s="14">
        <v>2.2311492742475877E-5</v>
      </c>
      <c r="G62" s="14">
        <v>1.2437244811286601E-5</v>
      </c>
      <c r="H62" s="14">
        <v>0</v>
      </c>
      <c r="I62" s="14">
        <v>4.167493250424488E-7</v>
      </c>
      <c r="J62" s="14">
        <v>4.6799025896420203E-6</v>
      </c>
      <c r="K62" s="14">
        <v>0</v>
      </c>
    </row>
    <row r="63" spans="1:11">
      <c r="A63" s="2" t="s">
        <v>407</v>
      </c>
      <c r="B63" s="3" t="s">
        <v>408</v>
      </c>
      <c r="D63" s="14">
        <v>1.0344336097688333E-9</v>
      </c>
      <c r="E63" s="14">
        <v>1.426183026069194E-8</v>
      </c>
      <c r="F63" s="14">
        <v>6.9163480115011267E-6</v>
      </c>
      <c r="G63" s="14">
        <v>2.938139372795049E-5</v>
      </c>
      <c r="H63" s="14">
        <v>0</v>
      </c>
      <c r="I63" s="14">
        <v>1.0103524441843109E-6</v>
      </c>
      <c r="J63" s="14">
        <v>2.6766095524936108E-6</v>
      </c>
      <c r="K63" s="14">
        <v>0</v>
      </c>
    </row>
    <row r="64" spans="1:11">
      <c r="A64" s="2" t="s">
        <v>409</v>
      </c>
      <c r="B64" s="3" t="s">
        <v>410</v>
      </c>
      <c r="D64" s="14">
        <v>1.285139454581255E-10</v>
      </c>
      <c r="E64" s="14">
        <v>4.9586436314113306E-9</v>
      </c>
      <c r="F64" s="14">
        <v>3.7395941506034232E-6</v>
      </c>
      <c r="G64" s="14">
        <v>3.3290477705997014E-5</v>
      </c>
      <c r="H64" s="14">
        <v>0</v>
      </c>
      <c r="I64" s="14">
        <v>1.1558655994547034E-6</v>
      </c>
      <c r="J64" s="14">
        <v>1.8089753863679971E-6</v>
      </c>
      <c r="K64" s="14">
        <v>0</v>
      </c>
    </row>
    <row r="65" spans="1:11">
      <c r="A65" s="2" t="s">
        <v>301</v>
      </c>
      <c r="B65" s="3" t="s">
        <v>302</v>
      </c>
      <c r="D65" s="14">
        <v>1.5918281095189429E-11</v>
      </c>
      <c r="E65" s="14">
        <v>1.3958180498348201E-9</v>
      </c>
      <c r="F65" s="14">
        <v>1.7392835296470935E-6</v>
      </c>
      <c r="G65" s="14">
        <v>3.5914178740104174E-5</v>
      </c>
      <c r="H65" s="14">
        <v>0</v>
      </c>
      <c r="I65" s="14">
        <v>1.2607533064455938E-6</v>
      </c>
      <c r="J65" s="14">
        <v>1.0843726874722076E-6</v>
      </c>
      <c r="K65" s="14">
        <v>0</v>
      </c>
    </row>
    <row r="66" spans="1:11">
      <c r="A66" s="2" t="s">
        <v>303</v>
      </c>
      <c r="B66" s="3" t="s">
        <v>304</v>
      </c>
      <c r="D66" s="14">
        <v>1.5345834783387017E-17</v>
      </c>
      <c r="E66" s="14">
        <v>2.8900353753032161E-9</v>
      </c>
      <c r="F66" s="14">
        <v>2.7062301804118535E-6</v>
      </c>
      <c r="G66" s="14">
        <v>3.462264864095299E-5</v>
      </c>
      <c r="H66" s="14">
        <v>0</v>
      </c>
      <c r="I66" s="14">
        <v>1.2078274620398489E-6</v>
      </c>
      <c r="J66" s="14">
        <v>1.4604036812046619E-6</v>
      </c>
      <c r="K66" s="14">
        <v>0</v>
      </c>
    </row>
    <row r="67" spans="1:11">
      <c r="A67" s="2" t="s">
        <v>411</v>
      </c>
      <c r="B67" s="3" t="s">
        <v>412</v>
      </c>
      <c r="D67" s="14">
        <v>1.860597306875887E-7</v>
      </c>
      <c r="E67" s="14">
        <v>3.2432843658158562E-5</v>
      </c>
      <c r="F67" s="14">
        <v>1.0118743867506862E-6</v>
      </c>
      <c r="G67" s="14">
        <v>3.0410401795018387E-7</v>
      </c>
      <c r="H67" s="14">
        <v>0</v>
      </c>
      <c r="I67" s="14">
        <v>5.4283452076878334E-8</v>
      </c>
      <c r="J67" s="14">
        <v>6.0108347543761078E-6</v>
      </c>
      <c r="K67" s="14">
        <v>0</v>
      </c>
    </row>
    <row r="68" spans="1:11">
      <c r="A68" s="2" t="s">
        <v>413</v>
      </c>
      <c r="B68" s="3" t="s">
        <v>414</v>
      </c>
      <c r="D68" s="14">
        <v>3.9919466625623287E-7</v>
      </c>
      <c r="E68" s="14">
        <v>2.9577221280380231E-5</v>
      </c>
      <c r="F68" s="14">
        <v>1.7679050843968445E-6</v>
      </c>
      <c r="G68" s="14">
        <v>5.0647090324624439E-7</v>
      </c>
      <c r="H68" s="14">
        <v>0</v>
      </c>
      <c r="I68" s="14">
        <v>5.6714693301682272E-8</v>
      </c>
      <c r="J68" s="14">
        <v>7.6924933724187694E-6</v>
      </c>
      <c r="K68" s="14">
        <v>0</v>
      </c>
    </row>
    <row r="69" spans="1:11">
      <c r="A69" s="2" t="s">
        <v>415</v>
      </c>
      <c r="B69" s="3" t="s">
        <v>416</v>
      </c>
      <c r="D69" s="14">
        <v>4.9577784074235344E-8</v>
      </c>
      <c r="E69" s="14">
        <v>5.6130608744157304E-8</v>
      </c>
      <c r="F69" s="14">
        <v>1.4343704399978252E-5</v>
      </c>
      <c r="G69" s="14">
        <v>2.0828446636208504E-5</v>
      </c>
      <c r="H69" s="14">
        <v>0</v>
      </c>
      <c r="I69" s="14">
        <v>7.0636426942334718E-7</v>
      </c>
      <c r="J69" s="14">
        <v>4.0157763015715101E-6</v>
      </c>
      <c r="K69" s="14">
        <v>0</v>
      </c>
    </row>
    <row r="70" spans="1:11">
      <c r="A70" s="2" t="s">
        <v>417</v>
      </c>
      <c r="B70" s="3" t="s">
        <v>418</v>
      </c>
      <c r="D70" s="14">
        <v>1.2725474357947184E-7</v>
      </c>
      <c r="E70" s="14">
        <v>1.0228374497935413E-6</v>
      </c>
      <c r="F70" s="14">
        <v>2.7299091555984108E-5</v>
      </c>
      <c r="G70" s="14">
        <v>4.9893474717328848E-6</v>
      </c>
      <c r="H70" s="14">
        <v>0</v>
      </c>
      <c r="I70" s="14">
        <v>1.6476291892433296E-7</v>
      </c>
      <c r="J70" s="14">
        <v>6.3967058599856722E-6</v>
      </c>
      <c r="K70" s="14">
        <v>0</v>
      </c>
    </row>
    <row r="71" spans="1:11">
      <c r="A71" s="2" t="s">
        <v>419</v>
      </c>
      <c r="B71" s="3" t="s">
        <v>420</v>
      </c>
      <c r="D71" s="14">
        <v>9.799797663779711E-7</v>
      </c>
      <c r="E71" s="14">
        <v>2.9595777215709353E-5</v>
      </c>
      <c r="F71" s="14">
        <v>1.6006313686653506E-6</v>
      </c>
      <c r="G71" s="14">
        <v>4.6194139250390878E-7</v>
      </c>
      <c r="H71" s="14">
        <v>0</v>
      </c>
      <c r="I71" s="14">
        <v>5.5336455821290348E-8</v>
      </c>
      <c r="J71" s="14">
        <v>7.3063338009221288E-6</v>
      </c>
      <c r="K71" s="14">
        <v>0</v>
      </c>
    </row>
    <row r="72" spans="1:11">
      <c r="A72" s="2" t="s">
        <v>421</v>
      </c>
      <c r="B72" s="3" t="s">
        <v>422</v>
      </c>
      <c r="D72" s="14">
        <v>5.3329593835706878E-7</v>
      </c>
      <c r="E72" s="14">
        <v>1.1817372263617815E-6</v>
      </c>
      <c r="F72" s="14">
        <v>2.6475397600620152E-5</v>
      </c>
      <c r="G72" s="14">
        <v>4.9016020202253878E-6</v>
      </c>
      <c r="H72" s="14">
        <v>0</v>
      </c>
      <c r="I72" s="14">
        <v>1.6189979952980881E-7</v>
      </c>
      <c r="J72" s="14">
        <v>6.7460674149058071E-6</v>
      </c>
      <c r="K72" s="14">
        <v>0</v>
      </c>
    </row>
    <row r="73" spans="1:11">
      <c r="A73" s="2" t="s">
        <v>423</v>
      </c>
      <c r="B73" s="3" t="s">
        <v>424</v>
      </c>
      <c r="D73" s="14">
        <v>5.1996000169066363E-7</v>
      </c>
      <c r="E73" s="14">
        <v>1.0434762699098421E-5</v>
      </c>
      <c r="F73" s="14">
        <v>1.2854173318105481E-5</v>
      </c>
      <c r="G73" s="14">
        <v>2.9467256723292468E-6</v>
      </c>
      <c r="H73" s="14">
        <v>0</v>
      </c>
      <c r="I73" s="14">
        <v>1.0870504431471195E-7</v>
      </c>
      <c r="J73" s="14">
        <v>1.3135673264461485E-5</v>
      </c>
      <c r="K73" s="14">
        <v>0</v>
      </c>
    </row>
    <row r="74" spans="1:11">
      <c r="A74" s="2" t="s">
        <v>425</v>
      </c>
      <c r="B74" s="3" t="s">
        <v>426</v>
      </c>
      <c r="D74" s="14">
        <v>1.9636332536023955E-7</v>
      </c>
      <c r="E74" s="14">
        <v>1.0673651498650977E-6</v>
      </c>
      <c r="F74" s="14">
        <v>2.7097834939773165E-5</v>
      </c>
      <c r="G74" s="14">
        <v>4.9708441662371212E-6</v>
      </c>
      <c r="H74" s="14">
        <v>0</v>
      </c>
      <c r="I74" s="14">
        <v>1.6415779292674094E-7</v>
      </c>
      <c r="J74" s="14">
        <v>6.503434625837636E-6</v>
      </c>
      <c r="K74" s="14">
        <v>0</v>
      </c>
    </row>
    <row r="75" spans="1:11">
      <c r="A75" s="2" t="s">
        <v>427</v>
      </c>
      <c r="B75" s="3" t="s">
        <v>428</v>
      </c>
      <c r="D75" s="14">
        <v>2.1967565761839365E-14</v>
      </c>
      <c r="E75" s="14">
        <v>1.7235131170852162E-7</v>
      </c>
      <c r="F75" s="14">
        <v>3.9696861068495844E-5</v>
      </c>
      <c r="G75" s="14">
        <v>1.5318152062594707E-8</v>
      </c>
      <c r="H75" s="14">
        <v>0</v>
      </c>
      <c r="I75" s="14">
        <v>1.1213426784524414E-7</v>
      </c>
      <c r="J75" s="14">
        <v>3.3351779202361244E-9</v>
      </c>
      <c r="K75" s="14">
        <v>0</v>
      </c>
    </row>
    <row r="76" spans="1:11">
      <c r="A76" s="2" t="s">
        <v>429</v>
      </c>
      <c r="B76" s="3" t="s">
        <v>430</v>
      </c>
      <c r="D76" s="14">
        <v>5.5180030400001779E-16</v>
      </c>
      <c r="E76" s="14">
        <v>1.7235131180079746E-7</v>
      </c>
      <c r="F76" s="14">
        <v>3.9696861089749303E-5</v>
      </c>
      <c r="G76" s="14">
        <v>1.5318152070795951E-8</v>
      </c>
      <c r="H76" s="14">
        <v>0</v>
      </c>
      <c r="I76" s="14">
        <v>1.1213426790528013E-7</v>
      </c>
      <c r="J76" s="14">
        <v>3.3351779220217588E-9</v>
      </c>
      <c r="K76" s="14">
        <v>0</v>
      </c>
    </row>
    <row r="77" spans="1:11">
      <c r="A77" s="2" t="s">
        <v>431</v>
      </c>
      <c r="B77" s="3" t="s">
        <v>432</v>
      </c>
      <c r="D77" s="14">
        <v>9.4788046638414917E-7</v>
      </c>
      <c r="E77" s="14">
        <v>4.0355823517098229E-6</v>
      </c>
      <c r="F77" s="14">
        <v>2.0166372663431682E-5</v>
      </c>
      <c r="G77" s="14">
        <v>4.1698779520934177E-6</v>
      </c>
      <c r="H77" s="14">
        <v>0</v>
      </c>
      <c r="I77" s="14">
        <v>1.4039909023113461E-7</v>
      </c>
      <c r="J77" s="14">
        <v>1.0539887476149796E-5</v>
      </c>
      <c r="K77" s="14">
        <v>0</v>
      </c>
    </row>
    <row r="78" spans="1:11">
      <c r="A78" s="2" t="s">
        <v>433</v>
      </c>
      <c r="B78" s="3" t="s">
        <v>434</v>
      </c>
      <c r="D78" s="14">
        <v>1.3311476713993543E-6</v>
      </c>
      <c r="E78" s="14">
        <v>2.0923718923318873E-5</v>
      </c>
      <c r="F78" s="14">
        <v>5.0734157367679411E-6</v>
      </c>
      <c r="G78" s="14">
        <v>1.3109798212794389E-6</v>
      </c>
      <c r="H78" s="14">
        <v>0</v>
      </c>
      <c r="I78" s="14">
        <v>7.0355809441096662E-8</v>
      </c>
      <c r="J78" s="14">
        <v>1.1290382037793303E-5</v>
      </c>
      <c r="K78" s="14">
        <v>0</v>
      </c>
    </row>
    <row r="79" spans="1:11">
      <c r="A79" s="2" t="s">
        <v>435</v>
      </c>
      <c r="B79" s="3" t="s">
        <v>436</v>
      </c>
      <c r="D79" s="14">
        <v>3.1122687234904475E-7</v>
      </c>
      <c r="E79" s="14">
        <v>1.469432797203008E-5</v>
      </c>
      <c r="F79" s="14">
        <v>9.4482484135979229E-6</v>
      </c>
      <c r="G79" s="14">
        <v>2.2722015858226538E-6</v>
      </c>
      <c r="H79" s="14">
        <v>0</v>
      </c>
      <c r="I79" s="14">
        <v>9.265737861033932E-8</v>
      </c>
      <c r="J79" s="14">
        <v>1.3181337777589966E-5</v>
      </c>
      <c r="K79" s="14">
        <v>0</v>
      </c>
    </row>
    <row r="80" spans="1:11">
      <c r="A80" s="2" t="s">
        <v>437</v>
      </c>
      <c r="B80" s="3" t="s">
        <v>438</v>
      </c>
      <c r="D80" s="14">
        <v>7.8448211326938426E-15</v>
      </c>
      <c r="E80" s="14">
        <v>1.1655091937836019E-7</v>
      </c>
      <c r="F80" s="14">
        <v>3.9633030181267619E-5</v>
      </c>
      <c r="G80" s="14">
        <v>2.9377002964194501E-8</v>
      </c>
      <c r="H80" s="14">
        <v>0</v>
      </c>
      <c r="I80" s="14">
        <v>2.1698754899790112E-7</v>
      </c>
      <c r="J80" s="14">
        <v>4.0543395471052741E-9</v>
      </c>
      <c r="K80" s="14">
        <v>0</v>
      </c>
    </row>
    <row r="81" spans="1:11">
      <c r="A81" s="2" t="s">
        <v>440</v>
      </c>
      <c r="B81" s="3" t="s">
        <v>441</v>
      </c>
      <c r="D81" s="14">
        <v>7.3858180319105223E-18</v>
      </c>
      <c r="E81" s="14">
        <v>3.8737469212376423E-5</v>
      </c>
      <c r="F81" s="14">
        <v>3.6464714567005328E-8</v>
      </c>
      <c r="G81" s="14">
        <v>1.4183008846399042E-8</v>
      </c>
      <c r="H81" s="14">
        <v>0</v>
      </c>
      <c r="I81" s="14">
        <v>5.3956534507364075E-8</v>
      </c>
      <c r="J81" s="14">
        <v>1.1579265296954242E-6</v>
      </c>
      <c r="K81" s="14">
        <v>0</v>
      </c>
    </row>
    <row r="82" spans="1:11">
      <c r="A82" s="2" t="s">
        <v>442</v>
      </c>
      <c r="B82" s="3" t="s">
        <v>443</v>
      </c>
      <c r="D82" s="14">
        <v>3.294224329457206E-9</v>
      </c>
      <c r="E82" s="14">
        <v>2.8636887336259051E-5</v>
      </c>
      <c r="F82" s="14">
        <v>2.1979984672344308E-6</v>
      </c>
      <c r="G82" s="14">
        <v>6.1819137373040351E-7</v>
      </c>
      <c r="H82" s="14">
        <v>0</v>
      </c>
      <c r="I82" s="14">
        <v>5.8946573930562623E-8</v>
      </c>
      <c r="J82" s="14">
        <v>8.4846820245160958E-6</v>
      </c>
      <c r="K82" s="14">
        <v>0</v>
      </c>
    </row>
    <row r="83" spans="1:11">
      <c r="A83" s="2" t="s">
        <v>444</v>
      </c>
      <c r="B83" s="3" t="s">
        <v>445</v>
      </c>
      <c r="D83" s="14">
        <v>2.0190495919316969E-8</v>
      </c>
      <c r="E83" s="14">
        <v>5.069435792109476E-6</v>
      </c>
      <c r="F83" s="14">
        <v>1.9240714751473403E-5</v>
      </c>
      <c r="G83" s="14">
        <v>4.0599132740763096E-6</v>
      </c>
      <c r="H83" s="14">
        <v>0</v>
      </c>
      <c r="I83" s="14">
        <v>1.3800326624982772E-7</v>
      </c>
      <c r="J83" s="14">
        <v>1.147174242017167E-5</v>
      </c>
      <c r="K83" s="14">
        <v>0</v>
      </c>
    </row>
    <row r="84" spans="1:11">
      <c r="A84" s="2" t="s">
        <v>446</v>
      </c>
      <c r="B84" s="3" t="s">
        <v>447</v>
      </c>
      <c r="D84" s="14">
        <v>2.2648028455922152E-19</v>
      </c>
      <c r="E84" s="14">
        <v>3.7245434288063688E-5</v>
      </c>
      <c r="F84" s="14">
        <v>1.631941613918677E-7</v>
      </c>
      <c r="G84" s="14">
        <v>5.6676127977661927E-8</v>
      </c>
      <c r="H84" s="14">
        <v>0</v>
      </c>
      <c r="I84" s="14">
        <v>5.3203860194153504E-8</v>
      </c>
      <c r="J84" s="14">
        <v>2.4814915623724031E-6</v>
      </c>
      <c r="K84" s="14">
        <v>0</v>
      </c>
    </row>
    <row r="85" spans="1:11">
      <c r="A85" s="2" t="s">
        <v>448</v>
      </c>
      <c r="B85" s="3" t="s">
        <v>449</v>
      </c>
      <c r="D85" s="14">
        <v>1.5930702324719091E-12</v>
      </c>
      <c r="E85" s="14">
        <v>3.9452775680772287E-5</v>
      </c>
      <c r="F85" s="14">
        <v>6.6974447176741529E-9</v>
      </c>
      <c r="G85" s="14">
        <v>2.9553212250554195E-9</v>
      </c>
      <c r="H85" s="14">
        <v>0</v>
      </c>
      <c r="I85" s="14">
        <v>5.4603109229218975E-8</v>
      </c>
      <c r="J85" s="14">
        <v>4.8296685098553607E-7</v>
      </c>
      <c r="K85" s="14">
        <v>0</v>
      </c>
    </row>
    <row r="86" spans="1:11">
      <c r="A86" s="2" t="s">
        <v>450</v>
      </c>
      <c r="B86" s="3" t="s">
        <v>451</v>
      </c>
      <c r="D86" s="14">
        <v>5.6979612607416354E-13</v>
      </c>
      <c r="E86" s="14">
        <v>3.7314887172435818E-5</v>
      </c>
      <c r="F86" s="14">
        <v>1.5552267127095256E-7</v>
      </c>
      <c r="G86" s="14">
        <v>5.421123017304078E-8</v>
      </c>
      <c r="H86" s="14">
        <v>0</v>
      </c>
      <c r="I86" s="14">
        <v>5.322356982293159E-8</v>
      </c>
      <c r="J86" s="14">
        <v>2.4221547865011326E-6</v>
      </c>
      <c r="K86" s="14">
        <v>0</v>
      </c>
    </row>
    <row r="87" spans="1:11">
      <c r="A87" s="2" t="s">
        <v>452</v>
      </c>
      <c r="B87" s="3" t="s">
        <v>453</v>
      </c>
      <c r="D87" s="14">
        <v>1.9304610796317018E-12</v>
      </c>
      <c r="E87" s="14">
        <v>2.0714463551259975E-8</v>
      </c>
      <c r="F87" s="14">
        <v>8.5218770687713767E-6</v>
      </c>
      <c r="G87" s="14">
        <v>2.7480891688510906E-5</v>
      </c>
      <c r="H87" s="14">
        <v>0</v>
      </c>
      <c r="I87" s="14">
        <v>9.4162138023068144E-7</v>
      </c>
      <c r="J87" s="14">
        <v>3.0348934684746967E-6</v>
      </c>
      <c r="K87" s="14">
        <v>0</v>
      </c>
    </row>
    <row r="88" spans="1:11">
      <c r="A88" s="2" t="s">
        <v>454</v>
      </c>
      <c r="B88" s="3" t="s">
        <v>455</v>
      </c>
      <c r="D88" s="14">
        <v>1.5938448654914851E-9</v>
      </c>
      <c r="E88" s="14">
        <v>2.3971691958259142E-5</v>
      </c>
      <c r="F88" s="14">
        <v>4.095625729011007E-6</v>
      </c>
      <c r="G88" s="14">
        <v>1.0859649738615767E-6</v>
      </c>
      <c r="H88" s="14">
        <v>0</v>
      </c>
      <c r="I88" s="14">
        <v>6.7364981450342383E-8</v>
      </c>
      <c r="J88" s="14">
        <v>1.0777758512552452E-5</v>
      </c>
      <c r="K88" s="14">
        <v>0</v>
      </c>
    </row>
    <row r="89" spans="1:11">
      <c r="A89" s="2" t="s">
        <v>456</v>
      </c>
      <c r="B89" s="3" t="s">
        <v>457</v>
      </c>
      <c r="D89" s="14">
        <v>1.0862585167742854E-21</v>
      </c>
      <c r="E89" s="14">
        <v>2.7844911064264466E-5</v>
      </c>
      <c r="F89" s="14">
        <v>2.483175470015889E-6</v>
      </c>
      <c r="G89" s="14">
        <v>6.9072148466549411E-7</v>
      </c>
      <c r="H89" s="14">
        <v>0</v>
      </c>
      <c r="I89" s="14">
        <v>6.014974818982349E-8</v>
      </c>
      <c r="J89" s="14">
        <v>8.9210422328643307E-6</v>
      </c>
      <c r="K89" s="14">
        <v>0</v>
      </c>
    </row>
    <row r="90" spans="1:11">
      <c r="A90" s="2" t="s">
        <v>458</v>
      </c>
      <c r="B90" s="3" t="s">
        <v>459</v>
      </c>
      <c r="D90" s="14">
        <v>1.6787244314441036E-33</v>
      </c>
      <c r="E90" s="14">
        <v>3.4494674530283427E-5</v>
      </c>
      <c r="F90" s="14">
        <v>5.905458554480564E-7</v>
      </c>
      <c r="G90" s="14">
        <v>1.8550224984318402E-7</v>
      </c>
      <c r="H90" s="14">
        <v>0</v>
      </c>
      <c r="I90" s="14">
        <v>5.3414001372935281E-8</v>
      </c>
      <c r="J90" s="14">
        <v>4.6758633630523896E-6</v>
      </c>
      <c r="K90" s="14">
        <v>0</v>
      </c>
    </row>
    <row r="91" spans="1:11">
      <c r="A91" s="2" t="s">
        <v>460</v>
      </c>
      <c r="B91" s="3" t="s">
        <v>461</v>
      </c>
      <c r="D91" s="14">
        <v>2.000142625420885E-12</v>
      </c>
      <c r="E91" s="14">
        <v>1.3437968101371087E-7</v>
      </c>
      <c r="F91" s="14">
        <v>2.1146338513248252E-5</v>
      </c>
      <c r="G91" s="14">
        <v>1.3627956402550001E-5</v>
      </c>
      <c r="H91" s="14">
        <v>0</v>
      </c>
      <c r="I91" s="14">
        <v>4.5745852143293559E-7</v>
      </c>
      <c r="J91" s="14">
        <v>4.6338648816124817E-6</v>
      </c>
      <c r="K91" s="14">
        <v>0</v>
      </c>
    </row>
    <row r="92" spans="1:11">
      <c r="A92" s="2" t="s">
        <v>462</v>
      </c>
      <c r="B92" s="3" t="s">
        <v>463</v>
      </c>
      <c r="D92" s="14">
        <v>1.7711997040979365E-13</v>
      </c>
      <c r="E92" s="14">
        <v>7.0667572241575165E-6</v>
      </c>
      <c r="F92" s="14">
        <v>1.6677914607246604E-5</v>
      </c>
      <c r="G92" s="14">
        <v>3.6444945174717498E-6</v>
      </c>
      <c r="H92" s="14">
        <v>0</v>
      </c>
      <c r="I92" s="14">
        <v>1.2694351690581957E-7</v>
      </c>
      <c r="J92" s="14">
        <v>1.2483889957098346E-5</v>
      </c>
      <c r="K92" s="14">
        <v>0</v>
      </c>
    </row>
    <row r="93" spans="1:11">
      <c r="A93" s="2" t="s">
        <v>464</v>
      </c>
      <c r="B93" s="3" t="s">
        <v>465</v>
      </c>
      <c r="D93" s="14">
        <v>7.8591960879000739E-9</v>
      </c>
      <c r="E93" s="14">
        <v>1.5547149158228751E-6</v>
      </c>
      <c r="F93" s="14">
        <v>2.5801938723395615E-5</v>
      </c>
      <c r="G93" s="14">
        <v>4.8836878213386176E-6</v>
      </c>
      <c r="H93" s="14">
        <v>0</v>
      </c>
      <c r="I93" s="14">
        <v>1.6147165789693328E-7</v>
      </c>
      <c r="J93" s="14">
        <v>7.590327685458058E-6</v>
      </c>
      <c r="K93" s="14">
        <v>0</v>
      </c>
    </row>
    <row r="94" spans="1:11">
      <c r="A94" s="2" t="s">
        <v>466</v>
      </c>
      <c r="B94" s="3" t="s">
        <v>467</v>
      </c>
      <c r="D94" s="14">
        <v>7.3279555217040377E-23</v>
      </c>
      <c r="E94" s="14">
        <v>3.574436071662141E-5</v>
      </c>
      <c r="F94" s="14">
        <v>4.1969047076294851E-6</v>
      </c>
      <c r="G94" s="14">
        <v>5.5152804750500351E-10</v>
      </c>
      <c r="H94" s="14">
        <v>0</v>
      </c>
      <c r="I94" s="14">
        <v>5.1810982169197876E-8</v>
      </c>
      <c r="J94" s="14">
        <v>6.3720655324046798E-9</v>
      </c>
      <c r="K94" s="14">
        <v>0</v>
      </c>
    </row>
    <row r="95" spans="1:11">
      <c r="A95" s="2" t="s">
        <v>468</v>
      </c>
      <c r="B95" s="3" t="s">
        <v>469</v>
      </c>
      <c r="D95" s="14">
        <v>8.0618351459258736E-23</v>
      </c>
      <c r="E95" s="14">
        <v>3.1453324368613254E-7</v>
      </c>
      <c r="F95" s="14">
        <v>2.7951693665032729E-5</v>
      </c>
      <c r="G95" s="14">
        <v>6.9151830932775581E-6</v>
      </c>
      <c r="H95" s="14">
        <v>0</v>
      </c>
      <c r="I95" s="14">
        <v>2.2960842321554339E-7</v>
      </c>
      <c r="J95" s="14">
        <v>4.5889815747880429E-6</v>
      </c>
      <c r="K95" s="14">
        <v>0</v>
      </c>
    </row>
    <row r="96" spans="1:11">
      <c r="A96" s="2" t="s">
        <v>470</v>
      </c>
      <c r="B96" s="163">
        <v>354656</v>
      </c>
      <c r="D96" s="14">
        <v>1.4724325320396327E-14</v>
      </c>
      <c r="E96" s="14">
        <v>3.8689048122236957E-5</v>
      </c>
      <c r="F96" s="14">
        <v>3.9256323068386004E-8</v>
      </c>
      <c r="G96" s="14">
        <v>1.5184663580715322E-8</v>
      </c>
      <c r="H96" s="14">
        <v>0</v>
      </c>
      <c r="I96" s="14">
        <v>5.3920275964833089E-8</v>
      </c>
      <c r="J96" s="14">
        <v>1.2025906004247853E-6</v>
      </c>
      <c r="K96" s="14">
        <v>0</v>
      </c>
    </row>
    <row r="97" spans="1:11">
      <c r="A97" s="2" t="s">
        <v>472</v>
      </c>
      <c r="B97" s="3" t="s">
        <v>473</v>
      </c>
      <c r="D97" s="14">
        <v>2.2629629141089134E-14</v>
      </c>
      <c r="E97" s="14">
        <v>3.7210034892879951E-5</v>
      </c>
      <c r="F97" s="14">
        <v>1.6716742455227594E-7</v>
      </c>
      <c r="G97" s="14">
        <v>5.7949168262825435E-8</v>
      </c>
      <c r="H97" s="14">
        <v>0</v>
      </c>
      <c r="I97" s="14">
        <v>5.3194342460419545E-8</v>
      </c>
      <c r="J97" s="14">
        <v>2.5116541492149097E-6</v>
      </c>
      <c r="K97" s="14">
        <v>0</v>
      </c>
    </row>
    <row r="98" spans="1:11">
      <c r="A98" s="2" t="s">
        <v>474</v>
      </c>
      <c r="B98" s="3" t="s">
        <v>475</v>
      </c>
      <c r="D98" s="14">
        <v>1.8657189113185418E-24</v>
      </c>
      <c r="E98" s="14">
        <v>7.3295760310722014E-7</v>
      </c>
      <c r="F98" s="14">
        <v>2.8465605650685429E-5</v>
      </c>
      <c r="G98" s="14">
        <v>5.0607628196922155E-6</v>
      </c>
      <c r="H98" s="14">
        <v>0</v>
      </c>
      <c r="I98" s="14">
        <v>1.6716611086347646E-7</v>
      </c>
      <c r="J98" s="14">
        <v>5.573507815651665E-6</v>
      </c>
      <c r="K98" s="14">
        <v>0</v>
      </c>
    </row>
    <row r="99" spans="1:11">
      <c r="A99" s="2" t="s">
        <v>476</v>
      </c>
      <c r="B99" s="3" t="s">
        <v>477</v>
      </c>
      <c r="D99" s="14">
        <v>6.9535733894569576E-12</v>
      </c>
      <c r="E99" s="14">
        <v>3.9605972648099389E-5</v>
      </c>
      <c r="F99" s="14">
        <v>3.2967214781154403E-9</v>
      </c>
      <c r="G99" s="14">
        <v>1.5331258732152823E-9</v>
      </c>
      <c r="H99" s="14">
        <v>0</v>
      </c>
      <c r="I99" s="14">
        <v>5.4771936318624408E-8</v>
      </c>
      <c r="J99" s="14">
        <v>3.3441861465726861E-7</v>
      </c>
      <c r="K99" s="14">
        <v>0</v>
      </c>
    </row>
    <row r="100" spans="1:11">
      <c r="A100" s="2" t="s">
        <v>478</v>
      </c>
      <c r="B100" s="3" t="s">
        <v>479</v>
      </c>
      <c r="D100" s="14">
        <v>2.0402797297076495E-15</v>
      </c>
      <c r="E100" s="14">
        <v>1.6379564683253695E-5</v>
      </c>
      <c r="F100" s="14">
        <v>8.4093790719968251E-6</v>
      </c>
      <c r="G100" s="14">
        <v>2.0561722096316581E-6</v>
      </c>
      <c r="H100" s="14">
        <v>0</v>
      </c>
      <c r="I100" s="14">
        <v>8.799762752463781E-8</v>
      </c>
      <c r="J100" s="14">
        <v>1.3066886405552907E-5</v>
      </c>
      <c r="K100" s="14">
        <v>0</v>
      </c>
    </row>
    <row r="101" spans="1:11">
      <c r="A101" s="2" t="s">
        <v>480</v>
      </c>
      <c r="B101" s="3" t="s">
        <v>481</v>
      </c>
      <c r="D101" s="14">
        <v>1.8708702049238733E-15</v>
      </c>
      <c r="E101" s="14">
        <v>3.9372799850403028E-5</v>
      </c>
      <c r="F101" s="14">
        <v>8.9108241552107752E-9</v>
      </c>
      <c r="G101" s="14">
        <v>3.8495807045196281E-9</v>
      </c>
      <c r="H101" s="14">
        <v>0</v>
      </c>
      <c r="I101" s="14">
        <v>5.4519641179367183E-8</v>
      </c>
      <c r="J101" s="14">
        <v>5.599201016870154E-7</v>
      </c>
      <c r="K101" s="14">
        <v>0</v>
      </c>
    </row>
    <row r="102" spans="1:11">
      <c r="A102" s="2" t="s">
        <v>482</v>
      </c>
      <c r="B102" s="3" t="s">
        <v>483</v>
      </c>
      <c r="D102" s="14">
        <v>1.1759542394528238E-31</v>
      </c>
      <c r="E102" s="14">
        <v>3.9801832040439877E-5</v>
      </c>
      <c r="F102" s="14">
        <v>6.3601101472713621E-10</v>
      </c>
      <c r="G102" s="14">
        <v>3.3401055600984521E-10</v>
      </c>
      <c r="H102" s="14">
        <v>0</v>
      </c>
      <c r="I102" s="14">
        <v>5.500670408502288E-8</v>
      </c>
      <c r="J102" s="14">
        <v>1.4219123390437081E-7</v>
      </c>
      <c r="K102" s="14">
        <v>0</v>
      </c>
    </row>
    <row r="103" spans="1:11">
      <c r="A103" s="2" t="s">
        <v>484</v>
      </c>
      <c r="B103" s="3" t="s">
        <v>485</v>
      </c>
      <c r="D103" s="14">
        <v>9.3794562630331795E-18</v>
      </c>
      <c r="E103" s="14">
        <v>3.961688302637726E-5</v>
      </c>
      <c r="F103" s="14">
        <v>3.0977893152891185E-9</v>
      </c>
      <c r="G103" s="14">
        <v>1.4472629119147814E-9</v>
      </c>
      <c r="H103" s="14">
        <v>0</v>
      </c>
      <c r="I103" s="14">
        <v>5.4784432675366674E-8</v>
      </c>
      <c r="J103" s="14">
        <v>3.2378748871079009E-7</v>
      </c>
      <c r="K103" s="14">
        <v>0</v>
      </c>
    </row>
    <row r="104" spans="1:11">
      <c r="A104" s="2" t="s">
        <v>486</v>
      </c>
      <c r="B104" s="3" t="s">
        <v>487</v>
      </c>
      <c r="D104" s="14">
        <v>1.1543188812690614E-13</v>
      </c>
      <c r="E104" s="14">
        <v>3.801004992747813E-5</v>
      </c>
      <c r="F104" s="14">
        <v>8.8023779975900659E-8</v>
      </c>
      <c r="G104" s="14">
        <v>3.2040225925127416E-8</v>
      </c>
      <c r="H104" s="14">
        <v>0</v>
      </c>
      <c r="I104" s="14">
        <v>5.3499723474360834E-8</v>
      </c>
      <c r="J104" s="14">
        <v>1.8163862277146002E-6</v>
      </c>
      <c r="K104" s="14">
        <v>0</v>
      </c>
    </row>
    <row r="105" spans="1:11">
      <c r="A105" s="2" t="s">
        <v>488</v>
      </c>
      <c r="B105" s="3" t="s">
        <v>489</v>
      </c>
      <c r="D105" s="14">
        <v>9.3522734156037318E-21</v>
      </c>
      <c r="E105" s="14">
        <v>3.9773136032493613E-5</v>
      </c>
      <c r="F105" s="14">
        <v>9.0196858150301387E-10</v>
      </c>
      <c r="G105" s="14">
        <v>4.6162249641074739E-10</v>
      </c>
      <c r="H105" s="14">
        <v>0</v>
      </c>
      <c r="I105" s="14">
        <v>5.497084613429855E-8</v>
      </c>
      <c r="J105" s="14">
        <v>1.7052953029416453E-7</v>
      </c>
      <c r="K105" s="14">
        <v>0</v>
      </c>
    </row>
    <row r="106" spans="1:11">
      <c r="A106" s="2" t="s">
        <v>490</v>
      </c>
      <c r="B106" s="3" t="s">
        <v>491</v>
      </c>
      <c r="D106" s="14">
        <v>5.0833087867832922E-13</v>
      </c>
      <c r="E106" s="14">
        <v>3.2939661537931867E-5</v>
      </c>
      <c r="F106" s="14">
        <v>9.2986672461902023E-7</v>
      </c>
      <c r="G106" s="14">
        <v>2.8152454295664468E-7</v>
      </c>
      <c r="H106" s="14">
        <v>0</v>
      </c>
      <c r="I106" s="14">
        <v>5.4274228147079357E-8</v>
      </c>
      <c r="J106" s="14">
        <v>5.7946724580145177E-6</v>
      </c>
      <c r="K106" s="14">
        <v>0</v>
      </c>
    </row>
    <row r="107" spans="1:11">
      <c r="A107" s="2" t="s">
        <v>492</v>
      </c>
      <c r="B107" s="3" t="s">
        <v>493</v>
      </c>
      <c r="D107" s="14">
        <v>8.7679065640314768E-21</v>
      </c>
      <c r="E107" s="14">
        <v>5.4493983214108057E-7</v>
      </c>
      <c r="F107" s="14">
        <v>2.9293423341272196E-5</v>
      </c>
      <c r="G107" s="14">
        <v>5.0847040851419001E-6</v>
      </c>
      <c r="H107" s="14">
        <v>0</v>
      </c>
      <c r="I107" s="14">
        <v>1.6809910438769842E-7</v>
      </c>
      <c r="J107" s="14">
        <v>4.9088336370571242E-6</v>
      </c>
      <c r="K107" s="14">
        <v>0</v>
      </c>
    </row>
    <row r="108" spans="1:11">
      <c r="A108" s="2" t="s">
        <v>291</v>
      </c>
      <c r="B108" s="3" t="s">
        <v>494</v>
      </c>
      <c r="D108" s="14">
        <v>1.174805733210655E-14</v>
      </c>
      <c r="E108" s="14">
        <v>1.8854659675067663E-5</v>
      </c>
      <c r="F108" s="14">
        <v>6.8208778502637509E-6</v>
      </c>
      <c r="G108" s="14">
        <v>1.7113381325345448E-6</v>
      </c>
      <c r="H108" s="14">
        <v>0</v>
      </c>
      <c r="I108" s="14">
        <v>8.0314262245657658E-8</v>
      </c>
      <c r="J108" s="14">
        <v>1.2532810068140332E-5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08"/>
  <sheetViews>
    <sheetView tabSelected="1" topLeftCell="A75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5.6097960400076211E-8</v>
      </c>
      <c r="B2">
        <f>'Mass Balance'!E2</f>
        <v>3.0891410488210805E-5</v>
      </c>
      <c r="C2">
        <f>SUM('Mass Balance'!E2:H2)</f>
        <v>3.2795188597581298E-5</v>
      </c>
      <c r="D2">
        <f>Concentrations!F2/Concentrations!E2</f>
        <v>0.94563593622416298</v>
      </c>
    </row>
    <row r="3" spans="1:4">
      <c r="A3">
        <f>'Mass Balance'!I3</f>
        <v>8.9121479871862946E-7</v>
      </c>
      <c r="B3">
        <f>'Mass Balance'!E3</f>
        <v>2.594657094049752E-8</v>
      </c>
      <c r="C3">
        <f>SUM('Mass Balance'!E3:H3)</f>
        <v>3.571553952215546E-5</v>
      </c>
      <c r="D3">
        <f>Concentrations!F3/Concentrations!E3</f>
        <v>7.2932166972692735E-4</v>
      </c>
    </row>
    <row r="4" spans="1:4">
      <c r="A4">
        <f>'Mass Balance'!I4</f>
        <v>9.5868257236192981E-8</v>
      </c>
      <c r="B4">
        <f>'Mass Balance'!E4</f>
        <v>1.4123809933251868E-5</v>
      </c>
      <c r="C4">
        <f>SUM('Mass Balance'!E4:H4)</f>
        <v>2.6556579640509095E-5</v>
      </c>
      <c r="D4">
        <f>Concentrations!F4/Concentrations!E4</f>
        <v>0.53391987495413606</v>
      </c>
    </row>
    <row r="5" spans="1:4">
      <c r="A5">
        <f>'Mass Balance'!I5</f>
        <v>2.6040348837792262E-7</v>
      </c>
      <c r="B5">
        <f>'Mass Balance'!E5</f>
        <v>2.7602957335192033E-7</v>
      </c>
      <c r="C5">
        <f>SUM('Mass Balance'!E5:H5)</f>
        <v>3.5086813961231948E-5</v>
      </c>
      <c r="D5">
        <f>Concentrations!F5/Concentrations!E5</f>
        <v>7.8978347458445244E-3</v>
      </c>
    </row>
    <row r="6" spans="1:4">
      <c r="A6">
        <f>'Mass Balance'!I6</f>
        <v>1.0433918455750358E-6</v>
      </c>
      <c r="B6">
        <f>'Mass Balance'!E6</f>
        <v>1.1660848724559787E-8</v>
      </c>
      <c r="C6">
        <f>SUM('Mass Balance'!E6:H6)</f>
        <v>3.6463041441751167E-5</v>
      </c>
      <c r="D6">
        <f>Concentrations!F6/Concentrations!E6</f>
        <v>3.2105070844138674E-4</v>
      </c>
    </row>
    <row r="7" spans="1:4">
      <c r="A7">
        <f>'Mass Balance'!I7</f>
        <v>9.1833755635475765E-7</v>
      </c>
      <c r="B7">
        <f>'Mass Balance'!E7</f>
        <v>2.3240744504179018E-8</v>
      </c>
      <c r="C7">
        <f>SUM('Mass Balance'!E7:H7)</f>
        <v>3.5932071368931016E-5</v>
      </c>
      <c r="D7">
        <f>Concentrations!F7/Concentrations!E7</f>
        <v>6.4932802139476553E-4</v>
      </c>
    </row>
    <row r="8" spans="1:4">
      <c r="A8">
        <f>'Mass Balance'!I8</f>
        <v>7.2984249769522557E-7</v>
      </c>
      <c r="B8">
        <f>'Mass Balance'!E8</f>
        <v>5.1605504486281099E-8</v>
      </c>
      <c r="C8">
        <f>SUM('Mass Balance'!E8:H8)</f>
        <v>3.53230834026949E-5</v>
      </c>
      <c r="D8">
        <f>Concentrations!F8/Concentrations!E8</f>
        <v>1.4666746427414962E-3</v>
      </c>
    </row>
    <row r="9" spans="1:4">
      <c r="A9">
        <f>'Mass Balance'!I9</f>
        <v>1.5558994695943326E-7</v>
      </c>
      <c r="B9">
        <f>'Mass Balance'!E9</f>
        <v>2.3710068003865053E-6</v>
      </c>
      <c r="C9">
        <f>SUM('Mass Balance'!E9:H9)</f>
        <v>3.0920817902001506E-5</v>
      </c>
      <c r="D9">
        <f>Concentrations!F9/Concentrations!E9</f>
        <v>7.6980049987451268E-2</v>
      </c>
    </row>
    <row r="10" spans="1:4">
      <c r="A10">
        <f>'Mass Balance'!I10</f>
        <v>2.7849496638213957E-7</v>
      </c>
      <c r="B10">
        <f>'Mass Balance'!E10</f>
        <v>2.5666126744331281E-7</v>
      </c>
      <c r="C10">
        <f>SUM('Mass Balance'!E10:H10)</f>
        <v>3.5048074264696986E-5</v>
      </c>
      <c r="D10">
        <f>Concentrations!F10/Concentrations!E10</f>
        <v>7.3517805761136165E-3</v>
      </c>
    </row>
    <row r="11" spans="1:4">
      <c r="A11">
        <f>'Mass Balance'!I11</f>
        <v>3.105277709009571E-7</v>
      </c>
      <c r="B11">
        <f>'Mass Balance'!E11</f>
        <v>2.2664353724852401E-7</v>
      </c>
      <c r="C11">
        <f>SUM('Mass Balance'!E11:H11)</f>
        <v>3.4985020616098257E-5</v>
      </c>
      <c r="D11">
        <f>Concentrations!F11/Concentrations!E11</f>
        <v>6.5036560878853986E-3</v>
      </c>
    </row>
    <row r="12" spans="1:4">
      <c r="A12">
        <f>'Mass Balance'!I12</f>
        <v>1.6173650538273122E-7</v>
      </c>
      <c r="B12">
        <f>'Mass Balance'!E12</f>
        <v>1.5217900283862365E-6</v>
      </c>
      <c r="C12">
        <f>SUM('Mass Balance'!E12:H12)</f>
        <v>3.2309099755035231E-5</v>
      </c>
      <c r="D12">
        <f>Concentrations!F12/Concentrations!E12</f>
        <v>4.728530984048708E-2</v>
      </c>
    </row>
    <row r="13" spans="1:4">
      <c r="A13">
        <f>'Mass Balance'!I13</f>
        <v>1.5626438864167837E-7</v>
      </c>
      <c r="B13">
        <f>'Mass Balance'!E13</f>
        <v>2.2748174750879929E-6</v>
      </c>
      <c r="C13">
        <f>SUM('Mass Balance'!E13:H13)</f>
        <v>3.1053755766407751E-5</v>
      </c>
      <c r="D13">
        <f>Concentrations!F13/Concentrations!E13</f>
        <v>7.3540873690213074E-2</v>
      </c>
    </row>
    <row r="14" spans="1:4">
      <c r="A14">
        <f>'Mass Balance'!I14</f>
        <v>4.2471799504443846E-7</v>
      </c>
      <c r="B14">
        <f>'Mass Balance'!E14</f>
        <v>1.503763954030818E-7</v>
      </c>
      <c r="C14">
        <f>SUM('Mass Balance'!E14:H14)</f>
        <v>3.4901075898024522E-5</v>
      </c>
      <c r="D14">
        <f>Concentrations!F14/Concentrations!E14</f>
        <v>4.3255089750456246E-3</v>
      </c>
    </row>
    <row r="15" spans="1:4">
      <c r="A15">
        <f>'Mass Balance'!I15</f>
        <v>2.94219491462916E-7</v>
      </c>
      <c r="B15">
        <f>'Mass Balance'!E15</f>
        <v>2.4130580949723748E-7</v>
      </c>
      <c r="C15">
        <f>SUM('Mass Balance'!E15:H15)</f>
        <v>3.5016158264057775E-5</v>
      </c>
      <c r="D15">
        <f>Concentrations!F15/Concentrations!E15</f>
        <v>6.9182403118300583E-3</v>
      </c>
    </row>
    <row r="16" spans="1:4">
      <c r="A16">
        <f>'Mass Balance'!I16</f>
        <v>7.2058649087396653E-7</v>
      </c>
      <c r="B16">
        <f>'Mass Balance'!E16</f>
        <v>5.338690438282146E-8</v>
      </c>
      <c r="C16">
        <f>SUM('Mass Balance'!E16:H16)</f>
        <v>3.5290901831275777E-5</v>
      </c>
      <c r="D16">
        <f>Concentrations!F16/Concentrations!E16</f>
        <v>1.5186872432767799E-3</v>
      </c>
    </row>
    <row r="17" spans="1:4">
      <c r="A17">
        <f>'Mass Balance'!I17</f>
        <v>2.6634866672086176E-7</v>
      </c>
      <c r="B17">
        <f>'Mass Balance'!E17</f>
        <v>2.6946687302504192E-7</v>
      </c>
      <c r="C17">
        <f>SUM('Mass Balance'!E17:H17)</f>
        <v>3.5075110952180737E-5</v>
      </c>
      <c r="D17">
        <f>Concentrations!F17/Concentrations!E17</f>
        <v>7.7126334484831239E-3</v>
      </c>
    </row>
    <row r="18" spans="1:4">
      <c r="A18">
        <f>'Mass Balance'!I18</f>
        <v>1.5180376305234437E-7</v>
      </c>
      <c r="B18">
        <f>'Mass Balance'!E18</f>
        <v>2.8403379260702159E-6</v>
      </c>
      <c r="C18">
        <f>SUM('Mass Balance'!E18:H18)</f>
        <v>3.0223936059202242E-5</v>
      </c>
      <c r="D18">
        <f>Concentrations!F18/Concentrations!E18</f>
        <v>9.4344231965447362E-2</v>
      </c>
    </row>
    <row r="19" spans="1:4">
      <c r="A19">
        <f>'Mass Balance'!I19</f>
        <v>2.9743749066150403E-7</v>
      </c>
      <c r="B19">
        <f>'Mass Balance'!E19</f>
        <v>2.3832076042507926E-7</v>
      </c>
      <c r="C19">
        <f>SUM('Mass Balance'!E19:H19)</f>
        <v>3.5010186909477741E-5</v>
      </c>
      <c r="D19">
        <f>Concentrations!F19/Concentrations!E19</f>
        <v>6.8338243025118017E-3</v>
      </c>
    </row>
    <row r="20" spans="1:4">
      <c r="A20">
        <f>'Mass Balance'!I20</f>
        <v>1.5628529014427803E-7</v>
      </c>
      <c r="B20">
        <f>'Mass Balance'!E20</f>
        <v>2.2751217485298341E-6</v>
      </c>
      <c r="C20">
        <f>SUM('Mass Balance'!E20:H20)</f>
        <v>3.1057909432911815E-5</v>
      </c>
      <c r="D20">
        <f>Concentrations!F20/Concentrations!E20</f>
        <v>7.3540873690213088E-2</v>
      </c>
    </row>
    <row r="21" spans="1:4">
      <c r="A21">
        <f>'Mass Balance'!I21</f>
        <v>3.8924155929231361E-7</v>
      </c>
      <c r="B21">
        <f>'Mass Balance'!E21</f>
        <v>1.7002909966990802E-7</v>
      </c>
      <c r="C21">
        <f>SUM('Mass Balance'!E21:H21)</f>
        <v>3.4894884043796225E-5</v>
      </c>
      <c r="D21">
        <f>Concentrations!F21/Concentrations!E21</f>
        <v>4.8916779614992974E-3</v>
      </c>
    </row>
    <row r="22" spans="1:4">
      <c r="A22">
        <f>'Mass Balance'!I22</f>
        <v>7.0578777461613221E-8</v>
      </c>
      <c r="B22">
        <f>'Mass Balance'!E22</f>
        <v>2.2447045000687594E-5</v>
      </c>
      <c r="C22">
        <f>SUM('Mass Balance'!E22:H22)</f>
        <v>2.8502746546995107E-5</v>
      </c>
      <c r="D22">
        <f>Concentrations!F22/Concentrations!E22</f>
        <v>0.79062187913500215</v>
      </c>
    </row>
    <row r="23" spans="1:4">
      <c r="A23">
        <f>'Mass Balance'!I23</f>
        <v>5.932841955364437E-8</v>
      </c>
      <c r="B23">
        <f>'Mass Balance'!E23</f>
        <v>2.8376460859033048E-5</v>
      </c>
      <c r="C23">
        <f>SUM('Mass Balance'!E23:H23)</f>
        <v>3.1307783541858678E-5</v>
      </c>
      <c r="D23">
        <f>Concentrations!F23/Concentrations!E23</f>
        <v>0.90991802583642023</v>
      </c>
    </row>
    <row r="24" spans="1:4">
      <c r="A24">
        <f>'Mass Balance'!I24</f>
        <v>1.2755245456013035E-7</v>
      </c>
      <c r="B24">
        <f>'Mass Balance'!E24</f>
        <v>6.9491114548282376E-6</v>
      </c>
      <c r="C24">
        <f>SUM('Mass Balance'!E24:H24)</f>
        <v>2.7432459163489407E-5</v>
      </c>
      <c r="D24">
        <f>Concentrations!F24/Concentrations!E24</f>
        <v>0.25430851284398492</v>
      </c>
    </row>
    <row r="25" spans="1:4">
      <c r="A25">
        <f>'Mass Balance'!I25</f>
        <v>1.643217470248356E-7</v>
      </c>
      <c r="B25">
        <f>'Mass Balance'!E25</f>
        <v>8.280903416398171E-7</v>
      </c>
      <c r="C25">
        <f>SUM('Mass Balance'!E25:H25)</f>
        <v>3.3483365022509782E-5</v>
      </c>
      <c r="D25">
        <f>Concentrations!F25/Concentrations!E25</f>
        <v>2.4828185657071927E-2</v>
      </c>
    </row>
    <row r="26" spans="1:4">
      <c r="A26">
        <f>'Mass Balance'!I26</f>
        <v>3.6668257830795098E-7</v>
      </c>
      <c r="B26">
        <f>'Mass Balance'!E26</f>
        <v>1.8424875907615509E-7</v>
      </c>
      <c r="C26">
        <f>SUM('Mass Balance'!E26:H26)</f>
        <v>3.4910993732215008E-5</v>
      </c>
      <c r="D26">
        <f>Concentrations!F26/Concentrations!E26</f>
        <v>5.2983265655727292E-3</v>
      </c>
    </row>
    <row r="27" spans="1:4">
      <c r="A27">
        <f>'Mass Balance'!I27</f>
        <v>8.7177611408035084E-7</v>
      </c>
      <c r="B27">
        <f>'Mass Balance'!E27</f>
        <v>2.8524000442553246E-8</v>
      </c>
      <c r="C27">
        <f>SUM('Mass Balance'!E27:H27)</f>
        <v>3.5681115507127395E-5</v>
      </c>
      <c r="D27">
        <f>Concentrations!F27/Concentrations!E27</f>
        <v>8.0254311530271688E-4</v>
      </c>
    </row>
    <row r="28" spans="1:4">
      <c r="A28">
        <f>'Mass Balance'!I28</f>
        <v>5.3919813632829353E-7</v>
      </c>
      <c r="B28">
        <f>'Mass Balance'!E28</f>
        <v>1.0164848083756549E-7</v>
      </c>
      <c r="C28">
        <f>SUM('Mass Balance'!E28:H28)</f>
        <v>3.4965374982874316E-5</v>
      </c>
      <c r="D28">
        <f>Concentrations!F28/Concentrations!E28</f>
        <v>2.918495745467104E-3</v>
      </c>
    </row>
    <row r="29" spans="1:4">
      <c r="A29">
        <f>'Mass Balance'!I29</f>
        <v>4.0158894597274086E-7</v>
      </c>
      <c r="B29">
        <f>'Mass Balance'!E29</f>
        <v>1.525001540277165E-7</v>
      </c>
      <c r="C29">
        <f>SUM('Mass Balance'!E29:H29)</f>
        <v>3.3957260005616443E-5</v>
      </c>
      <c r="D29">
        <f>Concentrations!F29/Concentrations!E29</f>
        <v>4.5085200424820789E-3</v>
      </c>
    </row>
    <row r="30" spans="1:4">
      <c r="A30">
        <f>'Mass Balance'!I30</f>
        <v>5.3919813632829353E-7</v>
      </c>
      <c r="B30">
        <f>'Mass Balance'!E30</f>
        <v>1.0164848083756549E-7</v>
      </c>
      <c r="C30">
        <f>SUM('Mass Balance'!E30:H30)</f>
        <v>3.4965374982874316E-5</v>
      </c>
      <c r="D30">
        <f>Concentrations!F30/Concentrations!E30</f>
        <v>2.918495745467104E-3</v>
      </c>
    </row>
    <row r="31" spans="1:4">
      <c r="A31">
        <f>'Mass Balance'!I31</f>
        <v>5.4150595730867129E-8</v>
      </c>
      <c r="B31">
        <f>'Mass Balance'!E31</f>
        <v>3.8978646236298149E-5</v>
      </c>
      <c r="C31">
        <f>SUM('Mass Balance'!E31:H31)</f>
        <v>3.9012257667633905E-5</v>
      </c>
      <c r="D31">
        <f>Concentrations!F31/Concentrations!E31</f>
        <v>1.0030487243621813</v>
      </c>
    </row>
    <row r="32" spans="1:4">
      <c r="A32">
        <f>'Mass Balance'!I32</f>
        <v>8.8967658446816705E-8</v>
      </c>
      <c r="B32">
        <f>'Mass Balance'!E32</f>
        <v>1.7342357802351547E-5</v>
      </c>
      <c r="C32">
        <f>SUM('Mass Balance'!E32:H32)</f>
        <v>2.706074148006533E-5</v>
      </c>
      <c r="D32">
        <f>Concentrations!F32/Concentrations!E32</f>
        <v>0.64337593466145504</v>
      </c>
    </row>
    <row r="33" spans="1:4">
      <c r="A33">
        <f>'Mass Balance'!I33</f>
        <v>5.5080042332169742E-8</v>
      </c>
      <c r="B33">
        <f>'Mass Balance'!E33</f>
        <v>3.9774726163091859E-5</v>
      </c>
      <c r="C33">
        <f>SUM('Mass Balance'!E33:H33)</f>
        <v>3.9942638094262187E-5</v>
      </c>
      <c r="D33">
        <f>Concentrations!F33/Concentrations!E33</f>
        <v>0.99969337789726764</v>
      </c>
    </row>
    <row r="34" spans="1:4">
      <c r="A34">
        <f>'Mass Balance'!I34</f>
        <v>3.9410035053637423E-8</v>
      </c>
      <c r="B34">
        <f>'Mass Balance'!E34</f>
        <v>2.188321694437283E-5</v>
      </c>
      <c r="C34">
        <f>SUM('Mass Balance'!E34:H34)</f>
        <v>3.9952811378569786E-5</v>
      </c>
      <c r="D34">
        <f>Concentrations!F34/Concentrations!E34</f>
        <v>0.54987019915558155</v>
      </c>
    </row>
    <row r="35" spans="1:4">
      <c r="A35">
        <f>'Mass Balance'!I35</f>
        <v>3.0906491594335815E-8</v>
      </c>
      <c r="B35">
        <f>'Mass Balance'!E35</f>
        <v>1.2957911862674986E-5</v>
      </c>
      <c r="C35">
        <f>SUM('Mass Balance'!E35:H35)</f>
        <v>3.9950261503493591E-5</v>
      </c>
      <c r="D35">
        <f>Concentrations!F35/Concentrations!E35</f>
        <v>0.32562051399863756</v>
      </c>
    </row>
    <row r="36" spans="1:4">
      <c r="A36">
        <f>'Mass Balance'!I36</f>
        <v>2.1799905368636067E-8</v>
      </c>
      <c r="B36">
        <f>'Mass Balance'!E36</f>
        <v>4.3233128011072021E-6</v>
      </c>
      <c r="C36">
        <f>SUM('Mass Balance'!E36:H36)</f>
        <v>3.9957147392402357E-5</v>
      </c>
      <c r="D36">
        <f>Concentrations!F36/Concentrations!E36</f>
        <v>0.10862218771257093</v>
      </c>
    </row>
    <row r="37" spans="1:4">
      <c r="A37">
        <f>'Mass Balance'!I37</f>
        <v>5.2941659932808128E-8</v>
      </c>
      <c r="B37">
        <f>'Mass Balance'!E37</f>
        <v>8.3160652922527679E-6</v>
      </c>
      <c r="C37">
        <f>SUM('Mass Balance'!E37:H37)</f>
        <v>3.7120476292314667E-5</v>
      </c>
      <c r="D37">
        <f>Concentrations!F37/Concentrations!E37</f>
        <v>0.22490582970047912</v>
      </c>
    </row>
    <row r="38" spans="1:4">
      <c r="A38">
        <f>'Mass Balance'!I38</f>
        <v>4.2141649336691995E-8</v>
      </c>
      <c r="B38">
        <f>'Mass Balance'!E38</f>
        <v>2.4503484961521935E-5</v>
      </c>
      <c r="C38">
        <f>SUM('Mass Balance'!E38:H38)</f>
        <v>3.9882626956807869E-5</v>
      </c>
      <c r="D38">
        <f>Concentrations!F38/Concentrations!E38</f>
        <v>0.61679445598249316</v>
      </c>
    </row>
    <row r="39" spans="1:4">
      <c r="A39">
        <f>'Mass Balance'!I39</f>
        <v>1.7230988641413322E-7</v>
      </c>
      <c r="B39">
        <f>'Mass Balance'!E39</f>
        <v>4.1282452997657629E-7</v>
      </c>
      <c r="C39">
        <f>SUM('Mass Balance'!E39:H39)</f>
        <v>3.5421812932186694E-5</v>
      </c>
      <c r="D39">
        <f>Concentrations!F39/Concentrations!E39</f>
        <v>1.1700140373438877E-2</v>
      </c>
    </row>
    <row r="40" spans="1:4">
      <c r="A40">
        <f>'Mass Balance'!I40</f>
        <v>1.1398291914681625E-6</v>
      </c>
      <c r="B40">
        <f>'Mass Balance'!E40</f>
        <v>3.9561547383019377E-8</v>
      </c>
      <c r="C40">
        <f>SUM('Mass Balance'!E40:H40)</f>
        <v>3.8746620622023416E-5</v>
      </c>
      <c r="D40">
        <f>Concentrations!F40/Concentrations!E40</f>
        <v>1.0250281720648681E-3</v>
      </c>
    </row>
    <row r="41" spans="1:4">
      <c r="A41">
        <f>'Mass Balance'!I41</f>
        <v>5.0446575214429814E-8</v>
      </c>
      <c r="B41">
        <f>'Mass Balance'!E41</f>
        <v>3.6496757576162322E-5</v>
      </c>
      <c r="C41">
        <f>SUM('Mass Balance'!E41:H41)</f>
        <v>3.6498434225997446E-5</v>
      </c>
      <c r="D41">
        <f>Concentrations!F41/Concentrations!E41</f>
        <v>1.0038675396339611</v>
      </c>
    </row>
    <row r="42" spans="1:4">
      <c r="A42">
        <f>'Mass Balance'!I42</f>
        <v>7.4528495591932961E-8</v>
      </c>
      <c r="B42">
        <f>'Mass Balance'!E42</f>
        <v>2.095615753115347E-5</v>
      </c>
      <c r="C42">
        <f>SUM('Mass Balance'!E42:H42)</f>
        <v>2.8012463317853608E-5</v>
      </c>
      <c r="D42">
        <f>Concentrations!F42/Concentrations!E42</f>
        <v>0.75102901537292643</v>
      </c>
    </row>
    <row r="43" spans="1:4">
      <c r="A43">
        <f>'Mass Balance'!I43</f>
        <v>3.4203379641286934E-8</v>
      </c>
      <c r="B43">
        <f>'Mass Balance'!E43</f>
        <v>3.52394481244478E-7</v>
      </c>
      <c r="C43">
        <f>SUM('Mass Balance'!E43:H43)</f>
        <v>3.994893226964762E-5</v>
      </c>
      <c r="D43">
        <f>Concentrations!F43/Concentrations!E43</f>
        <v>8.8556467538360353E-3</v>
      </c>
    </row>
    <row r="44" spans="1:4">
      <c r="A44">
        <f>'Mass Balance'!I44</f>
        <v>4.9448375400634399E-8</v>
      </c>
      <c r="B44">
        <f>'Mass Balance'!E44</f>
        <v>3.0448971354502794E-5</v>
      </c>
      <c r="C44">
        <f>SUM('Mass Balance'!E44:H44)</f>
        <v>3.1463919163519244E-5</v>
      </c>
      <c r="D44">
        <f>Concentrations!F44/Concentrations!E44</f>
        <v>0.97152989827926495</v>
      </c>
    </row>
    <row r="45" spans="1:4">
      <c r="A45">
        <f>'Mass Balance'!I45</f>
        <v>7.8246579484322104E-8</v>
      </c>
      <c r="B45">
        <f>'Mass Balance'!E45</f>
        <v>1.954683208928132E-5</v>
      </c>
      <c r="C45">
        <f>SUM('Mass Balance'!E45:H45)</f>
        <v>2.7562196169232295E-5</v>
      </c>
      <c r="D45">
        <f>Concentrations!F45/Concentrations!E45</f>
        <v>0.7119654604094906</v>
      </c>
    </row>
    <row r="46" spans="1:4">
      <c r="A46">
        <f>'Mass Balance'!I46</f>
        <v>7.5748813972015831E-8</v>
      </c>
      <c r="B46">
        <f>'Mass Balance'!E46</f>
        <v>2.0394420982048078E-5</v>
      </c>
      <c r="C46">
        <f>SUM('Mass Balance'!E46:H46)</f>
        <v>2.7788230443795392E-5</v>
      </c>
      <c r="D46">
        <f>Concentrations!F46/Concentrations!E46</f>
        <v>0.73679530590858944</v>
      </c>
    </row>
    <row r="47" spans="1:4">
      <c r="A47">
        <f>'Mass Balance'!I47</f>
        <v>8.9439321466988566E-7</v>
      </c>
      <c r="B47">
        <f>'Mass Balance'!E47</f>
        <v>2.6039106426977606E-8</v>
      </c>
      <c r="C47">
        <f>SUM('Mass Balance'!E47:H47)</f>
        <v>3.5842914921092006E-5</v>
      </c>
      <c r="D47">
        <f>Concentrations!F47/Concentrations!E47</f>
        <v>7.2932166972692735E-4</v>
      </c>
    </row>
    <row r="48" spans="1:4">
      <c r="A48">
        <f>'Mass Balance'!I48</f>
        <v>5.2452862022495411E-8</v>
      </c>
      <c r="B48">
        <f>'Mass Balance'!E48</f>
        <v>3.6082419525446742E-5</v>
      </c>
      <c r="C48">
        <f>SUM('Mass Balance'!E48:H48)</f>
        <v>3.6417795642386164E-5</v>
      </c>
      <c r="D48">
        <f>Concentrations!F48/Concentrations!E48</f>
        <v>0.99466848831057519</v>
      </c>
    </row>
    <row r="49" spans="1:4">
      <c r="A49">
        <f>'Mass Balance'!I49</f>
        <v>5.2020308440441619E-8</v>
      </c>
      <c r="B49">
        <f>'Mass Balance'!E49</f>
        <v>3.4434299561309104E-5</v>
      </c>
      <c r="C49">
        <f>SUM('Mass Balance'!E49:H49)</f>
        <v>3.5025571982147394E-5</v>
      </c>
      <c r="D49">
        <f>Concentrations!F49/Concentrations!E49</f>
        <v>0.98696642602903828</v>
      </c>
    </row>
    <row r="50" spans="1:4">
      <c r="A50">
        <f>'Mass Balance'!I50</f>
        <v>1.5006520374669807E-7</v>
      </c>
      <c r="B50">
        <f>'Mass Balance'!E50</f>
        <v>3.0059145909810756E-6</v>
      </c>
      <c r="C50">
        <f>SUM('Mass Balance'!E50:H50)</f>
        <v>2.9916149825945883E-5</v>
      </c>
      <c r="D50">
        <f>Concentrations!F50/Concentrations!E50</f>
        <v>0.1008712259839544</v>
      </c>
    </row>
    <row r="51" spans="1:4">
      <c r="A51">
        <f>'Mass Balance'!I51</f>
        <v>5.0344130822002719E-8</v>
      </c>
      <c r="B51">
        <f>'Mass Balance'!E51</f>
        <v>3.6092872672964097E-5</v>
      </c>
      <c r="C51">
        <f>SUM('Mass Balance'!E51:H51)</f>
        <v>3.614888830203348E-5</v>
      </c>
      <c r="D51">
        <f>Concentrations!F51/Concentrations!E51</f>
        <v>1.002358011511207</v>
      </c>
    </row>
    <row r="52" spans="1:4">
      <c r="A52">
        <f>'Mass Balance'!I52</f>
        <v>5.2132749075061556E-8</v>
      </c>
      <c r="B52">
        <f>'Mass Balance'!E52</f>
        <v>2.8867184618766424E-5</v>
      </c>
      <c r="C52">
        <f>SUM('Mass Balance'!E52:H52)</f>
        <v>3.0603000284876254E-5</v>
      </c>
      <c r="D52">
        <f>Concentrations!F52/Concentrations!E52</f>
        <v>0.94697123184535303</v>
      </c>
    </row>
    <row r="53" spans="1:4">
      <c r="A53">
        <f>'Mass Balance'!I53</f>
        <v>9.1980059557289879E-8</v>
      </c>
      <c r="B53">
        <f>'Mass Balance'!E53</f>
        <v>1.5125814183111037E-5</v>
      </c>
      <c r="C53">
        <f>SUM('Mass Balance'!E53:H53)</f>
        <v>2.6610099289747489E-5</v>
      </c>
      <c r="D53">
        <f>Concentrations!F53/Concentrations!E53</f>
        <v>0.57064843187288916</v>
      </c>
    </row>
    <row r="54" spans="1:4">
      <c r="A54">
        <f>'Mass Balance'!I54</f>
        <v>8.1867030962513665E-7</v>
      </c>
      <c r="B54">
        <f>'Mass Balance'!E54</f>
        <v>3.6287185262943487E-8</v>
      </c>
      <c r="C54">
        <f>SUM('Mass Balance'!E54:H54)</f>
        <v>3.5577586792160545E-5</v>
      </c>
      <c r="D54">
        <f>Concentrations!F54/Concentrations!E54</f>
        <v>1.0239368137133337E-3</v>
      </c>
    </row>
    <row r="55" spans="1:4">
      <c r="A55">
        <f>'Mass Balance'!I55</f>
        <v>1.1377989789061622E-7</v>
      </c>
      <c r="B55">
        <f>'Mass Balance'!E55</f>
        <v>5.4419656961700205E-6</v>
      </c>
      <c r="C55">
        <f>SUM('Mass Balance'!E55:H55)</f>
        <v>2.4042775339315416E-5</v>
      </c>
      <c r="D55">
        <f>Concentrations!F55/Concentrations!E55</f>
        <v>0.22723099168919017</v>
      </c>
    </row>
    <row r="56" spans="1:4">
      <c r="A56">
        <f>'Mass Balance'!I56</f>
        <v>6.3881705367472133E-8</v>
      </c>
      <c r="B56">
        <f>'Mass Balance'!E56</f>
        <v>6.4407600221852665E-7</v>
      </c>
      <c r="C56">
        <f>SUM('Mass Balance'!E56:H56)</f>
        <v>1.2743268501099775E-5</v>
      </c>
      <c r="D56">
        <f>Concentrations!F56/Concentrations!E56</f>
        <v>5.0740255117250999E-2</v>
      </c>
    </row>
    <row r="57" spans="1:4">
      <c r="A57">
        <f>'Mass Balance'!I57</f>
        <v>3.2411865589479404E-8</v>
      </c>
      <c r="B57">
        <f>'Mass Balance'!E57</f>
        <v>1.1645078219643376E-6</v>
      </c>
      <c r="C57">
        <f>SUM('Mass Balance'!E57:H57)</f>
        <v>6.6507013514603328E-6</v>
      </c>
      <c r="D57">
        <f>Concentrations!F57/Concentrations!E57</f>
        <v>0.17578075519766789</v>
      </c>
    </row>
    <row r="58" spans="1:4">
      <c r="A58">
        <f>'Mass Balance'!I58</f>
        <v>3.6552242943839654E-9</v>
      </c>
      <c r="B58">
        <f>'Mass Balance'!E58</f>
        <v>2.3664172742329566E-6</v>
      </c>
      <c r="C58">
        <f>SUM('Mass Balance'!E58:H58)</f>
        <v>2.4183641316906851E-6</v>
      </c>
      <c r="D58">
        <f>Concentrations!F58/Concentrations!E58</f>
        <v>0.98234942729794883</v>
      </c>
    </row>
    <row r="59" spans="1:4">
      <c r="A59">
        <f>'Mass Balance'!I59</f>
        <v>1.2479672569730502E-8</v>
      </c>
      <c r="B59">
        <f>'Mass Balance'!E59</f>
        <v>4.7918446859411165E-7</v>
      </c>
      <c r="C59">
        <f>SUM('Mass Balance'!E59:H59)</f>
        <v>2.575564153065838E-6</v>
      </c>
      <c r="D59">
        <f>Concentrations!F59/Concentrations!E59</f>
        <v>0.18677843130853478</v>
      </c>
    </row>
    <row r="60" spans="1:4">
      <c r="A60">
        <f>'Mass Balance'!I60</f>
        <v>2.2915530381530527E-10</v>
      </c>
      <c r="B60">
        <f>'Mass Balance'!E60</f>
        <v>1.7910970487263761E-8</v>
      </c>
      <c r="C60">
        <f>SUM('Mass Balance'!E60:H60)</f>
        <v>5.2619606375986633E-8</v>
      </c>
      <c r="D60">
        <f>Concentrations!F60/Concentrations!E60</f>
        <v>0.34171802338874779</v>
      </c>
    </row>
    <row r="61" spans="1:4">
      <c r="A61">
        <f>'Mass Balance'!I61</f>
        <v>1.0684141291175142E-7</v>
      </c>
      <c r="B61">
        <f>'Mass Balance'!E61</f>
        <v>1.1339679297277323E-5</v>
      </c>
      <c r="C61">
        <f>SUM('Mass Balance'!E61:H61)</f>
        <v>2.6518874852321404E-5</v>
      </c>
      <c r="D61">
        <f>Concentrations!F61/Concentrations!E61</f>
        <v>0.4292813694373403</v>
      </c>
    </row>
    <row r="62" spans="1:4">
      <c r="A62">
        <f>'Mass Balance'!I62</f>
        <v>4.167493250424488E-7</v>
      </c>
      <c r="B62">
        <f>'Mass Balance'!E62</f>
        <v>1.546062524335803E-7</v>
      </c>
      <c r="C62">
        <f>SUM('Mass Balance'!E62:H62)</f>
        <v>3.4903343806196058E-5</v>
      </c>
      <c r="D62">
        <f>Concentrations!F62/Concentrations!E62</f>
        <v>4.4468899351751282E-3</v>
      </c>
    </row>
    <row r="63" spans="1:4">
      <c r="A63">
        <f>'Mass Balance'!I63</f>
        <v>1.0103524441843109E-6</v>
      </c>
      <c r="B63">
        <f>'Mass Balance'!E63</f>
        <v>1.426183026069194E-8</v>
      </c>
      <c r="C63">
        <f>SUM('Mass Balance'!E63:H63)</f>
        <v>3.6312003569712309E-5</v>
      </c>
      <c r="D63">
        <f>Concentrations!F63/Concentrations!E63</f>
        <v>3.9429513012256986E-4</v>
      </c>
    </row>
    <row r="64" spans="1:4">
      <c r="A64">
        <f>'Mass Balance'!I64</f>
        <v>1.1558655994547034E-6</v>
      </c>
      <c r="B64">
        <f>'Mass Balance'!E64</f>
        <v>4.9586436314113306E-9</v>
      </c>
      <c r="C64">
        <f>SUM('Mass Balance'!E64:H64)</f>
        <v>3.703503050023185E-5</v>
      </c>
      <c r="D64">
        <f>Concentrations!F64/Concentrations!E64</f>
        <v>1.3441463378141346E-4</v>
      </c>
    </row>
    <row r="65" spans="1:4">
      <c r="A65">
        <f>'Mass Balance'!I65</f>
        <v>1.2607533064455938E-6</v>
      </c>
      <c r="B65">
        <f>'Mass Balance'!E65</f>
        <v>1.3958180498348201E-9</v>
      </c>
      <c r="C65">
        <f>SUM('Mass Balance'!E65:H65)</f>
        <v>3.76548580878011E-5</v>
      </c>
      <c r="D65">
        <f>Concentrations!F65/Concentrations!E65</f>
        <v>3.721381181810586E-5</v>
      </c>
    </row>
    <row r="66" spans="1:4">
      <c r="A66">
        <f>'Mass Balance'!I66</f>
        <v>1.2078274620398489E-6</v>
      </c>
      <c r="B66">
        <f>'Mass Balance'!E66</f>
        <v>2.8900353753032161E-9</v>
      </c>
      <c r="C66">
        <f>SUM('Mass Balance'!E66:H66)</f>
        <v>3.7331768856740148E-5</v>
      </c>
      <c r="D66">
        <f>Concentrations!F66/Concentrations!E66</f>
        <v>7.7717881346988231E-5</v>
      </c>
    </row>
    <row r="67" spans="1:4">
      <c r="A67">
        <f>'Mass Balance'!I67</f>
        <v>5.4283452076878334E-8</v>
      </c>
      <c r="B67">
        <f>'Mass Balance'!E67</f>
        <v>3.2432843658158562E-5</v>
      </c>
      <c r="C67">
        <f>SUM('Mass Balance'!E67:H67)</f>
        <v>3.3748822062859438E-5</v>
      </c>
      <c r="D67">
        <f>Concentrations!F67/Concentrations!E67</f>
        <v>0.96476773687511441</v>
      </c>
    </row>
    <row r="68" spans="1:4">
      <c r="A68">
        <f>'Mass Balance'!I68</f>
        <v>5.6714693301682272E-8</v>
      </c>
      <c r="B68">
        <f>'Mass Balance'!E68</f>
        <v>2.9577221280380231E-5</v>
      </c>
      <c r="C68">
        <f>SUM('Mass Balance'!E68:H68)</f>
        <v>3.1851597268023319E-5</v>
      </c>
      <c r="D68">
        <f>Concentrations!F68/Concentrations!E68</f>
        <v>0.93222880251935292</v>
      </c>
    </row>
    <row r="69" spans="1:4">
      <c r="A69">
        <f>'Mass Balance'!I69</f>
        <v>7.0636426942334718E-7</v>
      </c>
      <c r="B69">
        <f>'Mass Balance'!E69</f>
        <v>5.6130608744157304E-8</v>
      </c>
      <c r="C69">
        <f>SUM('Mass Balance'!E69:H69)</f>
        <v>3.5228281644930911E-5</v>
      </c>
      <c r="D69">
        <f>Concentrations!F69/Concentrations!E69</f>
        <v>1.5995751726402133E-3</v>
      </c>
    </row>
    <row r="70" spans="1:4">
      <c r="A70">
        <f>'Mass Balance'!I70</f>
        <v>1.6476291892433296E-7</v>
      </c>
      <c r="B70">
        <f>'Mass Balance'!E70</f>
        <v>1.0228374497935413E-6</v>
      </c>
      <c r="C70">
        <f>SUM('Mass Balance'!E70:H70)</f>
        <v>3.3311276477510536E-5</v>
      </c>
      <c r="D70">
        <f>Concentrations!F70/Concentrations!E70</f>
        <v>3.0825612024579733E-2</v>
      </c>
    </row>
    <row r="71" spans="1:4">
      <c r="A71">
        <f>'Mass Balance'!I71</f>
        <v>5.5336455821290348E-8</v>
      </c>
      <c r="B71">
        <f>'Mass Balance'!E71</f>
        <v>2.9595777215709353E-5</v>
      </c>
      <c r="C71">
        <f>SUM('Mass Balance'!E71:H71)</f>
        <v>3.1658349976878614E-5</v>
      </c>
      <c r="D71">
        <f>Concentrations!F71/Concentrations!E71</f>
        <v>0.93850769095966757</v>
      </c>
    </row>
    <row r="72" spans="1:4">
      <c r="A72">
        <f>'Mass Balance'!I72</f>
        <v>1.6189979952980881E-7</v>
      </c>
      <c r="B72">
        <f>'Mass Balance'!E72</f>
        <v>1.1817372263617815E-6</v>
      </c>
      <c r="C72">
        <f>SUM('Mass Balance'!E72:H72)</f>
        <v>3.2558736847207323E-5</v>
      </c>
      <c r="D72">
        <f>Concentrations!F72/Concentrations!E72</f>
        <v>3.6437597259925153E-2</v>
      </c>
    </row>
    <row r="73" spans="1:4">
      <c r="A73">
        <f>'Mass Balance'!I73</f>
        <v>1.0870504431471195E-7</v>
      </c>
      <c r="B73">
        <f>'Mass Balance'!E73</f>
        <v>1.0434762699098421E-5</v>
      </c>
      <c r="C73">
        <f>SUM('Mass Balance'!E73:H73)</f>
        <v>2.6235661689533148E-5</v>
      </c>
      <c r="D73">
        <f>Concentrations!F73/Concentrations!E73</f>
        <v>0.39928860591166571</v>
      </c>
    </row>
    <row r="74" spans="1:4">
      <c r="A74">
        <f>'Mass Balance'!I74</f>
        <v>1.6415779292674094E-7</v>
      </c>
      <c r="B74">
        <f>'Mass Balance'!E74</f>
        <v>1.0673651498650977E-6</v>
      </c>
      <c r="C74">
        <f>SUM('Mass Balance'!E74:H74)</f>
        <v>3.3136044255875388E-5</v>
      </c>
      <c r="D74">
        <f>Concentrations!F74/Concentrations!E74</f>
        <v>3.2337669598745421E-2</v>
      </c>
    </row>
    <row r="75" spans="1:4">
      <c r="A75">
        <f>'Mass Balance'!I75</f>
        <v>1.1213426784524414E-7</v>
      </c>
      <c r="B75">
        <f>'Mass Balance'!E75</f>
        <v>1.7235131170852162E-7</v>
      </c>
      <c r="C75">
        <f>SUM('Mass Balance'!E75:H75)</f>
        <v>3.9884530532266962E-5</v>
      </c>
      <c r="D75">
        <f>Concentrations!F75/Concentrations!E75</f>
        <v>4.3381690424097383E-3</v>
      </c>
    </row>
    <row r="76" spans="1:4">
      <c r="A76">
        <f>'Mass Balance'!I76</f>
        <v>1.1213426790528013E-7</v>
      </c>
      <c r="B76">
        <f>'Mass Balance'!E76</f>
        <v>1.7235131180079746E-7</v>
      </c>
      <c r="C76">
        <f>SUM('Mass Balance'!E76:H76)</f>
        <v>3.9884530553620893E-5</v>
      </c>
      <c r="D76">
        <f>Concentrations!F76/Concentrations!E76</f>
        <v>4.3381690424097374E-3</v>
      </c>
    </row>
    <row r="77" spans="1:4">
      <c r="A77">
        <f>'Mass Balance'!I77</f>
        <v>1.4039909023113461E-7</v>
      </c>
      <c r="B77">
        <f>'Mass Balance'!E77</f>
        <v>4.0355823517098229E-6</v>
      </c>
      <c r="C77">
        <f>SUM('Mass Balance'!E77:H77)</f>
        <v>2.8371832967234924E-5</v>
      </c>
      <c r="D77">
        <f>Concentrations!F77/Concentrations!E77</f>
        <v>0.14279571719987916</v>
      </c>
    </row>
    <row r="78" spans="1:4">
      <c r="A78">
        <f>'Mass Balance'!I78</f>
        <v>7.0355809441096662E-8</v>
      </c>
      <c r="B78">
        <f>'Mass Balance'!E78</f>
        <v>2.0923718923318873E-5</v>
      </c>
      <c r="C78">
        <f>SUM('Mass Balance'!E78:H78)</f>
        <v>2.7308114481366254E-5</v>
      </c>
      <c r="D78">
        <f>Concentrations!F78/Concentrations!E78</f>
        <v>0.76920752608869414</v>
      </c>
    </row>
    <row r="79" spans="1:4">
      <c r="A79">
        <f>'Mass Balance'!I79</f>
        <v>9.265737861033932E-8</v>
      </c>
      <c r="B79">
        <f>'Mass Balance'!E79</f>
        <v>1.469432797203008E-5</v>
      </c>
      <c r="C79">
        <f>SUM('Mass Balance'!E79:H79)</f>
        <v>2.6414777971450656E-5</v>
      </c>
      <c r="D79">
        <f>Concentrations!F79/Concentrations!E79</f>
        <v>0.5584690716502958</v>
      </c>
    </row>
    <row r="80" spans="1:4">
      <c r="A80">
        <f>'Mass Balance'!I80</f>
        <v>2.1698754899790112E-7</v>
      </c>
      <c r="B80">
        <f>'Mass Balance'!E80</f>
        <v>1.1655091937836019E-7</v>
      </c>
      <c r="C80">
        <f>SUM('Mass Balance'!E80:H80)</f>
        <v>3.9778958103610173E-5</v>
      </c>
      <c r="D80">
        <f>Concentrations!F80/Concentrations!E80</f>
        <v>2.941430979542805E-3</v>
      </c>
    </row>
    <row r="81" spans="1:4">
      <c r="A81">
        <f>'Mass Balance'!I81</f>
        <v>5.3956534507364075E-8</v>
      </c>
      <c r="B81">
        <f>'Mass Balance'!E81</f>
        <v>3.8737469212376423E-5</v>
      </c>
      <c r="C81">
        <f>SUM('Mass Balance'!E81:H81)</f>
        <v>3.8788116935789822E-5</v>
      </c>
      <c r="D81">
        <f>Concentrations!F81/Concentrations!E81</f>
        <v>1.002602793126474</v>
      </c>
    </row>
    <row r="82" spans="1:4">
      <c r="A82">
        <f>'Mass Balance'!I82</f>
        <v>5.8946573930562623E-8</v>
      </c>
      <c r="B82">
        <f>'Mass Balance'!E82</f>
        <v>2.8636887336259051E-5</v>
      </c>
      <c r="C82">
        <f>SUM('Mass Balance'!E82:H82)</f>
        <v>3.1453077177223879E-5</v>
      </c>
      <c r="D82">
        <f>Concentrations!F82/Concentrations!E82</f>
        <v>0.9140270164622144</v>
      </c>
    </row>
    <row r="83" spans="1:4">
      <c r="A83">
        <f>'Mass Balance'!I83</f>
        <v>1.3800326624982772E-7</v>
      </c>
      <c r="B83">
        <f>'Mass Balance'!E83</f>
        <v>5.069435792109476E-6</v>
      </c>
      <c r="C83">
        <f>SUM('Mass Balance'!E83:H83)</f>
        <v>2.8370063817659186E-5</v>
      </c>
      <c r="D83">
        <f>Concentrations!F83/Concentrations!E83</f>
        <v>0.17938894525213359</v>
      </c>
    </row>
    <row r="84" spans="1:4">
      <c r="A84">
        <f>'Mass Balance'!I84</f>
        <v>5.3203860194153504E-8</v>
      </c>
      <c r="B84">
        <f>'Mass Balance'!E84</f>
        <v>3.7245434288063688E-5</v>
      </c>
      <c r="C84">
        <f>SUM('Mass Balance'!E84:H84)</f>
        <v>3.7465304577433215E-5</v>
      </c>
      <c r="D84">
        <f>Concentrations!F84/Concentrations!E84</f>
        <v>0.99802205172041047</v>
      </c>
    </row>
    <row r="85" spans="1:4">
      <c r="A85">
        <f>'Mass Balance'!I85</f>
        <v>5.4603109229218975E-8</v>
      </c>
      <c r="B85">
        <f>'Mass Balance'!E85</f>
        <v>3.9452775680772287E-5</v>
      </c>
      <c r="C85">
        <f>SUM('Mass Balance'!E85:H85)</f>
        <v>3.9462428446715019E-5</v>
      </c>
      <c r="D85">
        <f>Concentrations!F85/Concentrations!E85</f>
        <v>1.0036680932087843</v>
      </c>
    </row>
    <row r="86" spans="1:4">
      <c r="A86">
        <f>'Mass Balance'!I86</f>
        <v>5.322356982293159E-8</v>
      </c>
      <c r="B86">
        <f>'Mass Balance'!E86</f>
        <v>3.7314887172435818E-5</v>
      </c>
      <c r="C86">
        <f>SUM('Mass Balance'!E86:H86)</f>
        <v>3.7524621073879807E-5</v>
      </c>
      <c r="D86">
        <f>Concentrations!F86/Concentrations!E86</f>
        <v>0.9983025482944875</v>
      </c>
    </row>
    <row r="87" spans="1:4">
      <c r="A87">
        <f>'Mass Balance'!I87</f>
        <v>9.4162138023068144E-7</v>
      </c>
      <c r="B87">
        <f>'Mass Balance'!E87</f>
        <v>2.0714463551259975E-8</v>
      </c>
      <c r="C87">
        <f>SUM('Mass Balance'!E87:H87)</f>
        <v>3.6023483220833543E-5</v>
      </c>
      <c r="D87">
        <f>Concentrations!F87/Concentrations!E87</f>
        <v>5.7727712584221215E-4</v>
      </c>
    </row>
    <row r="88" spans="1:4">
      <c r="A88">
        <f>'Mass Balance'!I88</f>
        <v>6.7364981450342383E-8</v>
      </c>
      <c r="B88">
        <f>'Mass Balance'!E88</f>
        <v>2.3971691958259142E-5</v>
      </c>
      <c r="C88">
        <f>SUM('Mass Balance'!E88:H88)</f>
        <v>2.9153282661131724E-5</v>
      </c>
      <c r="D88">
        <f>Concentrations!F88/Concentrations!E88</f>
        <v>0.82548196091787929</v>
      </c>
    </row>
    <row r="89" spans="1:4">
      <c r="A89">
        <f>'Mass Balance'!I89</f>
        <v>6.014974818982349E-8</v>
      </c>
      <c r="B89">
        <f>'Mass Balance'!E89</f>
        <v>2.7844911064264466E-5</v>
      </c>
      <c r="C89">
        <f>SUM('Mass Balance'!E89:H89)</f>
        <v>3.1018808018945854E-5</v>
      </c>
      <c r="D89">
        <f>Concentrations!F89/Concentrations!E89</f>
        <v>0.90119151188221702</v>
      </c>
    </row>
    <row r="90" spans="1:4">
      <c r="A90">
        <f>'Mass Balance'!I90</f>
        <v>5.3414001372935281E-8</v>
      </c>
      <c r="B90">
        <f>'Mass Balance'!E90</f>
        <v>3.4494674530283427E-5</v>
      </c>
      <c r="C90">
        <f>SUM('Mass Balance'!E90:H90)</f>
        <v>3.5270722635574663E-5</v>
      </c>
      <c r="D90">
        <f>Concentrations!F90/Concentrations!E90</f>
        <v>0.98182493204176779</v>
      </c>
    </row>
    <row r="91" spans="1:4">
      <c r="A91">
        <f>'Mass Balance'!I91</f>
        <v>4.5745852143293559E-7</v>
      </c>
      <c r="B91">
        <f>'Mass Balance'!E91</f>
        <v>1.3437968101371087E-7</v>
      </c>
      <c r="C91">
        <f>SUM('Mass Balance'!E91:H91)</f>
        <v>3.4908674596811963E-5</v>
      </c>
      <c r="D91">
        <f>Concentrations!F91/Concentrations!E91</f>
        <v>3.8645293340741375E-3</v>
      </c>
    </row>
    <row r="92" spans="1:4">
      <c r="A92">
        <f>'Mass Balance'!I92</f>
        <v>1.2694351690581957E-7</v>
      </c>
      <c r="B92">
        <f>'Mass Balance'!E92</f>
        <v>7.0667572241575165E-6</v>
      </c>
      <c r="C92">
        <f>SUM('Mass Balance'!E92:H92)</f>
        <v>2.7389166348875868E-5</v>
      </c>
      <c r="D92">
        <f>Concentrations!F92/Concentrations!E92</f>
        <v>0.25902263682185789</v>
      </c>
    </row>
    <row r="93" spans="1:4">
      <c r="A93">
        <f>'Mass Balance'!I93</f>
        <v>1.6147165789693328E-7</v>
      </c>
      <c r="B93">
        <f>'Mass Balance'!E93</f>
        <v>1.5547149158228751E-6</v>
      </c>
      <c r="C93">
        <f>SUM('Mass Balance'!E93:H93)</f>
        <v>3.2240341460557105E-5</v>
      </c>
      <c r="D93">
        <f>Concentrations!F93/Concentrations!E93</f>
        <v>4.8411383565722318E-2</v>
      </c>
    </row>
    <row r="94" spans="1:4">
      <c r="A94">
        <f>'Mass Balance'!I94</f>
        <v>5.1810982169197876E-8</v>
      </c>
      <c r="B94">
        <f>'Mass Balance'!E94</f>
        <v>3.574436071662141E-5</v>
      </c>
      <c r="C94">
        <f>SUM('Mass Balance'!E94:H94)</f>
        <v>3.9941816952298395E-5</v>
      </c>
      <c r="D94">
        <f>Concentrations!F94/Concentrations!E94</f>
        <v>0.8984131074212871</v>
      </c>
    </row>
    <row r="95" spans="1:4">
      <c r="A95">
        <f>'Mass Balance'!I95</f>
        <v>2.2960842321554339E-7</v>
      </c>
      <c r="B95">
        <f>'Mass Balance'!E95</f>
        <v>3.1453324368613254E-7</v>
      </c>
      <c r="C95">
        <f>SUM('Mass Balance'!E95:H95)</f>
        <v>3.5181410001996418E-5</v>
      </c>
      <c r="D95">
        <f>Concentrations!F95/Concentrations!E95</f>
        <v>8.9753144885108549E-3</v>
      </c>
    </row>
    <row r="96" spans="1:4">
      <c r="A96">
        <f>'Mass Balance'!I96</f>
        <v>5.3920275964833089E-8</v>
      </c>
      <c r="B96">
        <f>'Mass Balance'!E96</f>
        <v>3.8689048122236957E-5</v>
      </c>
      <c r="C96">
        <f>SUM('Mass Balance'!E96:H96)</f>
        <v>3.8743489108886061E-5</v>
      </c>
      <c r="D96">
        <f>Concentrations!F96/Concentrations!E96</f>
        <v>1.0025029928797256</v>
      </c>
    </row>
    <row r="97" spans="1:4">
      <c r="A97">
        <f>'Mass Balance'!I97</f>
        <v>5.3194342460419545E-8</v>
      </c>
      <c r="B97">
        <f>'Mass Balance'!E97</f>
        <v>3.7210034892879951E-5</v>
      </c>
      <c r="C97">
        <f>SUM('Mass Balance'!E97:H97)</f>
        <v>3.7435151485695051E-5</v>
      </c>
      <c r="D97">
        <f>Concentrations!F97/Concentrations!E97</f>
        <v>0.99787661392795612</v>
      </c>
    </row>
    <row r="98" spans="1:4">
      <c r="A98">
        <f>'Mass Balance'!I98</f>
        <v>1.6716611086347646E-7</v>
      </c>
      <c r="B98">
        <f>'Mass Balance'!E98</f>
        <v>7.3295760310722014E-7</v>
      </c>
      <c r="C98">
        <f>SUM('Mass Balance'!E98:H98)</f>
        <v>3.4259326073484869E-5</v>
      </c>
      <c r="D98">
        <f>Concentrations!F98/Concentrations!E98</f>
        <v>2.1478126749584533E-2</v>
      </c>
    </row>
    <row r="99" spans="1:4">
      <c r="A99">
        <f>'Mass Balance'!I99</f>
        <v>5.4771936318624408E-8</v>
      </c>
      <c r="B99">
        <f>'Mass Balance'!E99</f>
        <v>3.9605972648099389E-5</v>
      </c>
      <c r="C99">
        <f>SUM('Mass Balance'!E99:H99)</f>
        <v>3.9610802495450722E-5</v>
      </c>
      <c r="D99">
        <f>Concentrations!F99/Concentrations!E99</f>
        <v>1.0037912472179731</v>
      </c>
    </row>
    <row r="100" spans="1:4">
      <c r="A100">
        <f>'Mass Balance'!I100</f>
        <v>8.799762752463781E-8</v>
      </c>
      <c r="B100">
        <f>'Mass Balance'!E100</f>
        <v>1.6379564683253695E-5</v>
      </c>
      <c r="C100">
        <f>SUM('Mass Balance'!E100:H100)</f>
        <v>2.6845115964882179E-5</v>
      </c>
      <c r="D100">
        <f>Concentrations!F100/Concentrations!E100</f>
        <v>0.61253856018918551</v>
      </c>
    </row>
    <row r="101" spans="1:4">
      <c r="A101">
        <f>'Mass Balance'!I101</f>
        <v>5.4519641179367183E-8</v>
      </c>
      <c r="B101">
        <f>'Mass Balance'!E101</f>
        <v>3.9372799850403028E-5</v>
      </c>
      <c r="C101">
        <f>SUM('Mass Balance'!E101:H101)</f>
        <v>3.9385560255262759E-5</v>
      </c>
      <c r="D101">
        <f>Concentrations!F101/Concentrations!E101</f>
        <v>1.003588402145003</v>
      </c>
    </row>
    <row r="102" spans="1:4">
      <c r="A102">
        <f>'Mass Balance'!I102</f>
        <v>5.500670408502288E-8</v>
      </c>
      <c r="B102">
        <f>'Mass Balance'!E102</f>
        <v>3.9801832040439877E-5</v>
      </c>
      <c r="C102">
        <f>SUM('Mass Balance'!E102:H102)</f>
        <v>3.9802802062010615E-5</v>
      </c>
      <c r="D102">
        <f>Concentrations!F102/Concentrations!E102</f>
        <v>1.0038891909364551</v>
      </c>
    </row>
    <row r="103" spans="1:4">
      <c r="A103">
        <f>'Mass Balance'!I103</f>
        <v>5.4784432675366674E-8</v>
      </c>
      <c r="B103">
        <f>'Mass Balance'!E103</f>
        <v>3.961688302637726E-5</v>
      </c>
      <c r="C103">
        <f>SUM('Mass Balance'!E103:H103)</f>
        <v>3.9621428078604464E-5</v>
      </c>
      <c r="D103">
        <f>Concentrations!F103/Concentrations!E103</f>
        <v>1.0037984960831403</v>
      </c>
    </row>
    <row r="104" spans="1:4">
      <c r="A104">
        <f>'Mass Balance'!I104</f>
        <v>5.3499723474360834E-8</v>
      </c>
      <c r="B104">
        <f>'Mass Balance'!E104</f>
        <v>3.801004992747813E-5</v>
      </c>
      <c r="C104">
        <f>SUM('Mass Balance'!E104:H104)</f>
        <v>3.8130113933379159E-5</v>
      </c>
      <c r="D104">
        <f>Concentrations!F104/Concentrations!E104</f>
        <v>1.0007525362272784</v>
      </c>
    </row>
    <row r="105" spans="1:4">
      <c r="A105">
        <f>'Mass Balance'!I105</f>
        <v>5.497084613429855E-8</v>
      </c>
      <c r="B105">
        <f>'Mass Balance'!E105</f>
        <v>3.9773136032493613E-5</v>
      </c>
      <c r="C105">
        <f>SUM('Mass Balance'!E105:H105)</f>
        <v>3.9774499623571528E-5</v>
      </c>
      <c r="D105">
        <f>Concentrations!F105/Concentrations!E105</f>
        <v>1.0038792397804066</v>
      </c>
    </row>
    <row r="106" spans="1:4">
      <c r="A106">
        <f>'Mass Balance'!I106</f>
        <v>5.4274228147079357E-8</v>
      </c>
      <c r="B106">
        <f>'Mass Balance'!E106</f>
        <v>3.2939661537931867E-5</v>
      </c>
      <c r="C106">
        <f>SUM('Mass Balance'!E106:H106)</f>
        <v>3.4151052805507531E-5</v>
      </c>
      <c r="D106">
        <f>Concentrations!F106/Concentrations!E106</f>
        <v>0.96830326910358988</v>
      </c>
    </row>
    <row r="107" spans="1:4">
      <c r="A107">
        <f>'Mass Balance'!I107</f>
        <v>1.6809910438769842E-7</v>
      </c>
      <c r="B107">
        <f>'Mass Balance'!E107</f>
        <v>5.4493983214108057E-7</v>
      </c>
      <c r="C107">
        <f>SUM('Mass Balance'!E107:H107)</f>
        <v>3.4923067258555175E-5</v>
      </c>
      <c r="D107">
        <f>Concentrations!F107/Concentrations!E107</f>
        <v>1.5665077058658026E-2</v>
      </c>
    </row>
    <row r="108" spans="1:4">
      <c r="A108">
        <f>'Mass Balance'!I108</f>
        <v>8.0314262245657658E-8</v>
      </c>
      <c r="B108">
        <f>'Mass Balance'!E108</f>
        <v>1.8854659675067663E-5</v>
      </c>
      <c r="C108">
        <f>SUM('Mass Balance'!E108:H108)</f>
        <v>2.7386875657865962E-5</v>
      </c>
      <c r="D108">
        <f>Concentrations!F108/Concentrations!E108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0.77667328311845008</v>
      </c>
      <c r="M2" s="115">
        <v>1.0017492928585039</v>
      </c>
      <c r="N2" s="115">
        <v>52.880324244114739</v>
      </c>
      <c r="O2" s="115">
        <v>1.1284849113064788</v>
      </c>
      <c r="P2" s="115">
        <v>1.1582515464641441</v>
      </c>
      <c r="Q2" s="111">
        <v>1.1284849113064788</v>
      </c>
      <c r="R2" s="68">
        <v>1.1582515464641443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6.7127458898906056E-4</v>
      </c>
      <c r="M3" s="115">
        <v>15.914549977118382</v>
      </c>
      <c r="N3" s="115">
        <v>3587.7018228043034</v>
      </c>
      <c r="O3" s="115">
        <v>21.637690882295985</v>
      </c>
      <c r="P3" s="115">
        <v>9.2685387028837951</v>
      </c>
      <c r="Q3" s="111">
        <v>21.637690882295985</v>
      </c>
      <c r="R3" s="68">
        <v>9.2685387028837969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0.36243414144691699</v>
      </c>
      <c r="M4" s="115">
        <v>1.7119331649320175</v>
      </c>
      <c r="N4" s="115">
        <v>302.47412949972835</v>
      </c>
      <c r="O4" s="115">
        <v>3.2600751143645144</v>
      </c>
      <c r="P4" s="115">
        <v>3.0540283970287669</v>
      </c>
      <c r="Q4" s="111">
        <v>3.2600751143645144</v>
      </c>
      <c r="R4" s="68">
        <v>3.0540283970287669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7.1391498876557857E-3</v>
      </c>
      <c r="M5" s="115">
        <v>4.6500622924629038</v>
      </c>
      <c r="N5" s="115">
        <v>1040.0446519224511</v>
      </c>
      <c r="O5" s="115">
        <v>9.1608161063955453</v>
      </c>
      <c r="P5" s="115">
        <v>7.7244701955760791</v>
      </c>
      <c r="Q5" s="111">
        <v>9.1608161063955453</v>
      </c>
      <c r="R5" s="68">
        <v>7.7244701955760791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3.0170231982316729E-4</v>
      </c>
      <c r="M6" s="115">
        <v>18.631997242411355</v>
      </c>
      <c r="N6" s="115">
        <v>4207.5233256590691</v>
      </c>
      <c r="O6" s="115">
        <v>24.654374637771042</v>
      </c>
      <c r="P6" s="115">
        <v>9.7663320538736915</v>
      </c>
      <c r="Q6" s="111">
        <v>24.654374637771042</v>
      </c>
      <c r="R6" s="68">
        <v>9.7663320538736933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6.0127679693382761E-4</v>
      </c>
      <c r="M7" s="115">
        <v>16.398884934906388</v>
      </c>
      <c r="N7" s="115">
        <v>3697.8254515310928</v>
      </c>
      <c r="O7" s="115">
        <v>22.188379762573707</v>
      </c>
      <c r="P7" s="115">
        <v>9.3737525664936445</v>
      </c>
      <c r="Q7" s="111">
        <v>22.18837976257371</v>
      </c>
      <c r="R7" s="68">
        <v>9.3737525664936445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1.3350249017790603E-3</v>
      </c>
      <c r="M8" s="115">
        <v>13.0329017445576</v>
      </c>
      <c r="N8" s="115">
        <v>2933.2724210738347</v>
      </c>
      <c r="O8" s="115">
        <v>18.453592643474597</v>
      </c>
      <c r="P8" s="115">
        <v>8.8270414647859496</v>
      </c>
      <c r="Q8" s="111">
        <v>18.453592643474597</v>
      </c>
      <c r="R8" s="68">
        <v>8.8270414647859514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6.1266724489261931E-2</v>
      </c>
      <c r="M9" s="115">
        <v>2.7783919099898795</v>
      </c>
      <c r="N9" s="115">
        <v>606.21847900732735</v>
      </c>
      <c r="O9" s="115">
        <v>6.3696446762166143</v>
      </c>
      <c r="P9" s="115">
        <v>6.2527536483561006</v>
      </c>
      <c r="Q9" s="111">
        <v>6.3696446762166143</v>
      </c>
      <c r="R9" s="68">
        <v>6.2527536483561015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6.6383250992285356E-3</v>
      </c>
      <c r="M10" s="115">
        <v>4.9731243996810637</v>
      </c>
      <c r="N10" s="115">
        <v>1112.7989457723495</v>
      </c>
      <c r="O10" s="115">
        <v>9.5175024880004742</v>
      </c>
      <c r="P10" s="115">
        <v>7.758547455645818</v>
      </c>
      <c r="Q10" s="111">
        <v>9.5175024880004742</v>
      </c>
      <c r="R10" s="68">
        <v>7.7585474556458189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5.8620942886662246E-3</v>
      </c>
      <c r="M11" s="115">
        <v>5.5451387660885203</v>
      </c>
      <c r="N11" s="115">
        <v>1241.6514802674801</v>
      </c>
      <c r="O11" s="115">
        <v>10.148586197494616</v>
      </c>
      <c r="P11" s="115">
        <v>7.8193504304966455</v>
      </c>
      <c r="Q11" s="111">
        <v>10.148586197494618</v>
      </c>
      <c r="R11" s="68">
        <v>7.8193504304966464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3.9336174531656491E-2</v>
      </c>
      <c r="M12" s="115">
        <v>2.8881518818344865</v>
      </c>
      <c r="N12" s="115">
        <v>635.93262357109461</v>
      </c>
      <c r="O12" s="115">
        <v>6.7484473035984625</v>
      </c>
      <c r="P12" s="115">
        <v>6.709698815431663</v>
      </c>
      <c r="Q12" s="111">
        <v>6.7484473035984625</v>
      </c>
      <c r="R12" s="68">
        <v>6.709698815431663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5.8783453717338591E-2</v>
      </c>
      <c r="M13" s="115">
        <v>2.7904355114585422</v>
      </c>
      <c r="N13" s="115">
        <v>609.48486685244063</v>
      </c>
      <c r="O13" s="115">
        <v>6.4094756002836837</v>
      </c>
      <c r="P13" s="115">
        <v>6.2994314180256428</v>
      </c>
      <c r="Q13" s="111">
        <v>6.4094756002836837</v>
      </c>
      <c r="R13" s="68">
        <v>6.2994314180256437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3.8897268511220318E-3</v>
      </c>
      <c r="M14" s="115">
        <v>7.5842499115078299</v>
      </c>
      <c r="N14" s="115">
        <v>1701.3593076889961</v>
      </c>
      <c r="O14" s="115">
        <v>12.405048960716863</v>
      </c>
      <c r="P14" s="115">
        <v>8.0605315533707849</v>
      </c>
      <c r="Q14" s="111">
        <v>12.405048960716863</v>
      </c>
      <c r="R14" s="68">
        <v>8.0605315533707849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6.2412521099657727E-3</v>
      </c>
      <c r="M15" s="115">
        <v>5.2539194904092152</v>
      </c>
      <c r="N15" s="115">
        <v>1176.0455657731616</v>
      </c>
      <c r="O15" s="115">
        <v>9.8273502882827763</v>
      </c>
      <c r="P15" s="115">
        <v>7.7882929369655507</v>
      </c>
      <c r="Q15" s="111">
        <v>9.8273502882827781</v>
      </c>
      <c r="R15" s="68">
        <v>7.7882929369655507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1.3811047887160438E-3</v>
      </c>
      <c r="M16" s="115">
        <v>12.867615908463687</v>
      </c>
      <c r="N16" s="115">
        <v>2895.8169790747852</v>
      </c>
      <c r="O16" s="115">
        <v>18.268981487466782</v>
      </c>
      <c r="P16" s="115">
        <v>8.7998354331081003</v>
      </c>
      <c r="Q16" s="111">
        <v>18.268981487466782</v>
      </c>
      <c r="R16" s="68">
        <v>8.7998354331081003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6.9694539045963341E-3</v>
      </c>
      <c r="M17" s="115">
        <v>4.7562261914439601</v>
      </c>
      <c r="N17" s="115">
        <v>1063.951310137383</v>
      </c>
      <c r="O17" s="115">
        <v>9.2781983501120049</v>
      </c>
      <c r="P17" s="115">
        <v>7.7359113380312801</v>
      </c>
      <c r="Q17" s="111">
        <v>9.2781983501120049</v>
      </c>
      <c r="R17" s="68">
        <v>7.7359113380312801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7.3380006606489689E-2</v>
      </c>
      <c r="M18" s="115">
        <v>2.7107814830775783</v>
      </c>
      <c r="N18" s="115">
        <v>588.33730096344891</v>
      </c>
      <c r="O18" s="115">
        <v>6.1595285238699811</v>
      </c>
      <c r="P18" s="115">
        <v>6.0140984660084236</v>
      </c>
      <c r="Q18" s="111">
        <v>6.1595285238699811</v>
      </c>
      <c r="R18" s="68">
        <v>6.0140984660084236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6.1640612538091197E-3</v>
      </c>
      <c r="M19" s="115">
        <v>5.3113837618125723</v>
      </c>
      <c r="N19" s="115">
        <v>1188.9901229847223</v>
      </c>
      <c r="O19" s="115">
        <v>9.89078352795533</v>
      </c>
      <c r="P19" s="115">
        <v>7.7944708589521587</v>
      </c>
      <c r="Q19" s="111">
        <v>9.8907835279553318</v>
      </c>
      <c r="R19" s="68">
        <v>7.7944708589521596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5.8791316433350664E-2</v>
      </c>
      <c r="M20" s="115">
        <v>2.7908087525763934</v>
      </c>
      <c r="N20" s="115">
        <v>609.56638990218789</v>
      </c>
      <c r="O20" s="115">
        <v>6.4103329144298318</v>
      </c>
      <c r="P20" s="115">
        <v>6.3002740129591697</v>
      </c>
      <c r="Q20" s="111">
        <v>6.4103329144298327</v>
      </c>
      <c r="R20" s="68">
        <v>6.3002740129591706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4.3979935763332071E-3</v>
      </c>
      <c r="M21" s="115">
        <v>6.9507421302198855</v>
      </c>
      <c r="N21" s="115">
        <v>1558.4742325630559</v>
      </c>
      <c r="O21" s="115">
        <v>11.701704929945242</v>
      </c>
      <c r="P21" s="115">
        <v>7.9795260973271951</v>
      </c>
      <c r="Q21" s="111">
        <v>11.701704929945242</v>
      </c>
      <c r="R21" s="68">
        <v>7.9795260973271951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0.5710128454361747</v>
      </c>
      <c r="M22" s="115">
        <v>1.2603353118145217</v>
      </c>
      <c r="N22" s="115">
        <v>156.39236536183728</v>
      </c>
      <c r="O22" s="115">
        <v>1.9602248157239399</v>
      </c>
      <c r="P22" s="115">
        <v>1.8642805109590119</v>
      </c>
      <c r="Q22" s="111">
        <v>1.9602248157239399</v>
      </c>
      <c r="R22" s="68">
        <v>1.8642805109590121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0.71603211085261165</v>
      </c>
      <c r="M23" s="115">
        <v>1.0594360634579352</v>
      </c>
      <c r="N23" s="115">
        <v>79.391608289983864</v>
      </c>
      <c r="O23" s="115">
        <v>1.3306841497175166</v>
      </c>
      <c r="P23" s="115">
        <v>1.3232138261234898</v>
      </c>
      <c r="Q23" s="111">
        <v>1.3306841497175166</v>
      </c>
      <c r="R23" s="68">
        <v>1.3232138261234898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0.1791858925435463</v>
      </c>
      <c r="M24" s="115">
        <v>2.2777224028594705</v>
      </c>
      <c r="N24" s="115">
        <v>468.28004157892883</v>
      </c>
      <c r="O24" s="115">
        <v>4.8649375168841527</v>
      </c>
      <c r="P24" s="115">
        <v>4.6271788626998784</v>
      </c>
      <c r="Q24" s="111">
        <v>4.8649375168841527</v>
      </c>
      <c r="R24" s="68">
        <v>4.6271788626998784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2.141076630245229E-2</v>
      </c>
      <c r="M25" s="115">
        <v>2.9343169111577789</v>
      </c>
      <c r="N25" s="115">
        <v>650.80980945086935</v>
      </c>
      <c r="O25" s="115">
        <v>7.0102554266387491</v>
      </c>
      <c r="P25" s="115">
        <v>7.0868477267758294</v>
      </c>
      <c r="Q25" s="111">
        <v>7.0102554266387491</v>
      </c>
      <c r="R25" s="68">
        <v>7.0868477267758294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4.7657391425662511E-3</v>
      </c>
      <c r="M26" s="115">
        <v>6.5479031840705542</v>
      </c>
      <c r="N26" s="115">
        <v>1467.6447403961968</v>
      </c>
      <c r="O26" s="115">
        <v>11.256137758170555</v>
      </c>
      <c r="P26" s="115">
        <v>7.9319059793421545</v>
      </c>
      <c r="Q26" s="111">
        <v>11.256137758170555</v>
      </c>
      <c r="R26" s="68">
        <v>7.9319059793421545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7.379504174490518E-4</v>
      </c>
      <c r="M27" s="115">
        <v>15.567430608577693</v>
      </c>
      <c r="N27" s="115">
        <v>3508.704594033552</v>
      </c>
      <c r="O27" s="115">
        <v>21.257365269801838</v>
      </c>
      <c r="P27" s="115">
        <v>9.2177600551864103</v>
      </c>
      <c r="Q27" s="111">
        <v>21.257365269801838</v>
      </c>
      <c r="R27" s="68">
        <v>9.2177600551864103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2.6294366381231877E-3</v>
      </c>
      <c r="M28" s="115">
        <v>9.6285381487195281</v>
      </c>
      <c r="N28" s="115">
        <v>2162.9040974027189</v>
      </c>
      <c r="O28" s="115">
        <v>14.672444571330812</v>
      </c>
      <c r="P28" s="115">
        <v>8.3294442238388822</v>
      </c>
      <c r="Q28" s="111">
        <v>14.672444571330814</v>
      </c>
      <c r="R28" s="68">
        <v>8.3294442238388822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3.9446371546877053E-3</v>
      </c>
      <c r="M29" s="115">
        <v>7.1712311780846587</v>
      </c>
      <c r="N29" s="115">
        <v>1608.4466233109936</v>
      </c>
      <c r="O29" s="115">
        <v>11.839098467030142</v>
      </c>
      <c r="P29" s="115">
        <v>7.8164155543810665</v>
      </c>
      <c r="Q29" s="111">
        <v>11.839098467030142</v>
      </c>
      <c r="R29" s="68">
        <v>7.8164155543810665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2.6294366381231877E-3</v>
      </c>
      <c r="M30" s="115">
        <v>9.6285381487195281</v>
      </c>
      <c r="N30" s="115">
        <v>2162.9040974027189</v>
      </c>
      <c r="O30" s="115">
        <v>14.672444571330812</v>
      </c>
      <c r="P30" s="115">
        <v>8.3294442238388822</v>
      </c>
      <c r="Q30" s="111">
        <v>14.672444571330814</v>
      </c>
      <c r="R30" s="68">
        <v>8.3294442238388822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0.97181286889090868</v>
      </c>
      <c r="M31" s="115">
        <v>0.96697492376548444</v>
      </c>
      <c r="N31" s="115">
        <v>1.1387886305558461</v>
      </c>
      <c r="O31" s="115">
        <v>0.81258207382871717</v>
      </c>
      <c r="P31" s="115">
        <v>0.94046934629921752</v>
      </c>
      <c r="Q31" s="111">
        <v>0.81258207382871717</v>
      </c>
      <c r="R31" s="68">
        <v>0.94046934629921752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0.46338494256336932</v>
      </c>
      <c r="M32" s="115">
        <v>1.5887081865502983</v>
      </c>
      <c r="N32" s="115">
        <v>242.56672331638867</v>
      </c>
      <c r="O32" s="115">
        <v>2.4838245443888423</v>
      </c>
      <c r="P32" s="115">
        <v>2.2815536985789655</v>
      </c>
      <c r="Q32" s="111">
        <v>2.4838245443888427</v>
      </c>
      <c r="R32" s="68">
        <v>2.2815536985789659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0.99156798910563981</v>
      </c>
      <c r="M33" s="115">
        <v>0.98357218450303119</v>
      </c>
      <c r="N33" s="115">
        <v>0.59054721435444646</v>
      </c>
      <c r="O33" s="115">
        <v>0.84109353226774208</v>
      </c>
      <c r="P33" s="115">
        <v>0.98876918751190901</v>
      </c>
      <c r="Q33" s="111">
        <v>0.84109353226774208</v>
      </c>
      <c r="R33" s="68">
        <v>0.98876918751190912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0.55118999507465383</v>
      </c>
      <c r="M34" s="115">
        <v>0.70375062595781113</v>
      </c>
      <c r="N34" s="115">
        <v>44.977399307549113</v>
      </c>
      <c r="O34" s="115">
        <v>2.624756559506487</v>
      </c>
      <c r="P34" s="115">
        <v>4.2909957697802472</v>
      </c>
      <c r="Q34" s="111">
        <v>2.624756559506487</v>
      </c>
      <c r="R34" s="68">
        <v>4.2909957697802472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0.32915077735640458</v>
      </c>
      <c r="M35" s="115">
        <v>0.55190163561313954</v>
      </c>
      <c r="N35" s="115">
        <v>63.659386446230315</v>
      </c>
      <c r="O35" s="115">
        <v>3.5051270939366512</v>
      </c>
      <c r="P35" s="115">
        <v>5.932838253143653</v>
      </c>
      <c r="Q35" s="111">
        <v>3.5051270939366512</v>
      </c>
      <c r="R35" s="68">
        <v>5.932838253143653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0.1113510581373692</v>
      </c>
      <c r="M36" s="115">
        <v>0.38928402443992977</v>
      </c>
      <c r="N36" s="115">
        <v>77.372637478002503</v>
      </c>
      <c r="O36" s="115">
        <v>4.3466335709969712</v>
      </c>
      <c r="P36" s="115">
        <v>7.5186804049415255</v>
      </c>
      <c r="Q36" s="111">
        <v>4.3466335709969712</v>
      </c>
      <c r="R36" s="68">
        <v>7.5186804049415255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0.21369149259685602</v>
      </c>
      <c r="M37" s="115">
        <v>0.94538678451443081</v>
      </c>
      <c r="N37" s="115">
        <v>174.76461208754637</v>
      </c>
      <c r="O37" s="115">
        <v>4.0963022485724059</v>
      </c>
      <c r="P37" s="115">
        <v>6.1199968979647945</v>
      </c>
      <c r="Q37" s="111">
        <v>4.0963022485724068</v>
      </c>
      <c r="R37" s="68">
        <v>6.1199968979647945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0.6161408737891183</v>
      </c>
      <c r="M38" s="115">
        <v>0.7525294524409285</v>
      </c>
      <c r="N38" s="115">
        <v>40.271356850339224</v>
      </c>
      <c r="O38" s="115">
        <v>2.3627681245323791</v>
      </c>
      <c r="P38" s="115">
        <v>3.7927280788885338</v>
      </c>
      <c r="Q38" s="111">
        <v>2.3627681245323791</v>
      </c>
      <c r="R38" s="68">
        <v>3.7927280788885338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1.0675835315234854E-2</v>
      </c>
      <c r="M39" s="115">
        <v>3.0769622573952362</v>
      </c>
      <c r="N39" s="115">
        <v>685.90167920359045</v>
      </c>
      <c r="O39" s="115">
        <v>7.431883755984491</v>
      </c>
      <c r="P39" s="115">
        <v>7.5815558414786892</v>
      </c>
      <c r="Q39" s="111">
        <v>7.4318837559844919</v>
      </c>
      <c r="R39" s="68">
        <v>7.5815558414786901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1.0314074094998676E-3</v>
      </c>
      <c r="M40" s="115">
        <v>20.354092704788613</v>
      </c>
      <c r="N40" s="115">
        <v>5515.6478229189133</v>
      </c>
      <c r="O40" s="115">
        <v>19.467798768237508</v>
      </c>
      <c r="P40" s="115">
        <v>12.76588609411057</v>
      </c>
      <c r="Q40" s="111">
        <v>19.467798768237511</v>
      </c>
      <c r="R40" s="68">
        <v>12.76588609411057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0.90977162777881992</v>
      </c>
      <c r="M41" s="115">
        <v>0.90083170025767534</v>
      </c>
      <c r="N41" s="115">
        <v>6.4368094646697321E-2</v>
      </c>
      <c r="O41" s="115">
        <v>0.75210972497481554</v>
      </c>
      <c r="P41" s="115">
        <v>0.87395596773518469</v>
      </c>
      <c r="Q41" s="111">
        <v>0.75210972497481554</v>
      </c>
      <c r="R41" s="68">
        <v>0.87395596773518469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0.53408702014779452</v>
      </c>
      <c r="M42" s="115">
        <v>1.3308659927130886</v>
      </c>
      <c r="N42" s="115">
        <v>180.22209150588432</v>
      </c>
      <c r="O42" s="115">
        <v>2.1655168827792273</v>
      </c>
      <c r="P42" s="115">
        <v>2.0469498920960492</v>
      </c>
      <c r="Q42" s="111">
        <v>2.1655168827792273</v>
      </c>
      <c r="R42" s="68">
        <v>2.0469498920960496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9.1846501298600003E-3</v>
      </c>
      <c r="M43" s="115">
        <v>0.6107746364515525</v>
      </c>
      <c r="N43" s="115">
        <v>164.48504470370301</v>
      </c>
      <c r="O43" s="115">
        <v>4.9497698848165115</v>
      </c>
      <c r="P43" s="115">
        <v>8.3191803476583743</v>
      </c>
      <c r="Q43" s="111">
        <v>4.9497698848165115</v>
      </c>
      <c r="R43" s="68">
        <v>8.3191803476583743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0.76307009352746169</v>
      </c>
      <c r="M44" s="115">
        <v>0.88300670358275712</v>
      </c>
      <c r="N44" s="115">
        <v>29.042165542288863</v>
      </c>
      <c r="O44" s="115">
        <v>0.89445256070765822</v>
      </c>
      <c r="P44" s="115">
        <v>0.95249137736647616</v>
      </c>
      <c r="Q44" s="111">
        <v>0.89445256070765833</v>
      </c>
      <c r="R44" s="68">
        <v>0.95249137736647616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0.49896625024421132</v>
      </c>
      <c r="M45" s="115">
        <v>1.3972603479343235</v>
      </c>
      <c r="N45" s="115">
        <v>202.69953541490517</v>
      </c>
      <c r="O45" s="115">
        <v>2.3606295455050765</v>
      </c>
      <c r="P45" s="115">
        <v>2.2223395696593613</v>
      </c>
      <c r="Q45" s="111">
        <v>2.3606295455050765</v>
      </c>
      <c r="R45" s="68">
        <v>2.2223395696593613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0.52008694568965752</v>
      </c>
      <c r="M46" s="115">
        <v>1.3526573923574254</v>
      </c>
      <c r="N46" s="115">
        <v>188.14286399172988</v>
      </c>
      <c r="O46" s="115">
        <v>2.2328840711325229</v>
      </c>
      <c r="P46" s="115">
        <v>2.1071021009510167</v>
      </c>
      <c r="Q46" s="111">
        <v>2.2328840711325233</v>
      </c>
      <c r="R46" s="68">
        <v>2.1071021009510171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6.7366861326287591E-4</v>
      </c>
      <c r="M47" s="115">
        <v>15.971307404819386</v>
      </c>
      <c r="N47" s="115">
        <v>3600.4969522370147</v>
      </c>
      <c r="O47" s="115">
        <v>21.714859239405317</v>
      </c>
      <c r="P47" s="115">
        <v>9.3015938892433994</v>
      </c>
      <c r="Q47" s="111">
        <v>21.714859239405317</v>
      </c>
      <c r="R47" s="68">
        <v>9.3015938892434011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0.90102073914368064</v>
      </c>
      <c r="M48" s="115">
        <v>0.93665825040170381</v>
      </c>
      <c r="N48" s="115">
        <v>10.196051553015382</v>
      </c>
      <c r="O48" s="115">
        <v>0.83491478011857645</v>
      </c>
      <c r="P48" s="115">
        <v>0.93783409142905716</v>
      </c>
      <c r="Q48" s="111">
        <v>0.83491478011857656</v>
      </c>
      <c r="R48" s="68">
        <v>0.93783409142905727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0.86097027608175092</v>
      </c>
      <c r="M49" s="115">
        <v>0.92893407929360039</v>
      </c>
      <c r="N49" s="115">
        <v>17.463352656544281</v>
      </c>
      <c r="O49" s="115">
        <v>0.86806998493855947</v>
      </c>
      <c r="P49" s="115">
        <v>0.95475514351053536</v>
      </c>
      <c r="Q49" s="111">
        <v>0.86806998493855958</v>
      </c>
      <c r="R49" s="68">
        <v>0.95475514351053548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7.7652007796904676E-2</v>
      </c>
      <c r="M50" s="115">
        <v>2.6797357811910367</v>
      </c>
      <c r="N50" s="115">
        <v>580.43421838133327</v>
      </c>
      <c r="O50" s="115">
        <v>6.0701414966289944</v>
      </c>
      <c r="P50" s="115">
        <v>5.916330376063156</v>
      </c>
      <c r="Q50" s="111">
        <v>6.0701414966289944</v>
      </c>
      <c r="R50" s="68">
        <v>5.9163303760631569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0.89999303148587129</v>
      </c>
      <c r="M51" s="115">
        <v>0.89900233610719138</v>
      </c>
      <c r="N51" s="115">
        <v>1.8487484394467486</v>
      </c>
      <c r="O51" s="115">
        <v>0.75946292463176124</v>
      </c>
      <c r="P51" s="115">
        <v>0.87636356613605138</v>
      </c>
      <c r="Q51" s="111">
        <v>0.75946292463176135</v>
      </c>
      <c r="R51" s="68">
        <v>0.87636356613605138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0.72566937025766309</v>
      </c>
      <c r="M52" s="115">
        <v>0.93094194776895622</v>
      </c>
      <c r="N52" s="115">
        <v>48.272612207702913</v>
      </c>
      <c r="O52" s="115">
        <v>1.0436975235537524</v>
      </c>
      <c r="P52" s="115">
        <v>1.0728731484046519</v>
      </c>
      <c r="Q52" s="111">
        <v>1.0436975235537524</v>
      </c>
      <c r="R52" s="68">
        <v>1.0728731484046519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0.38780461022457313</v>
      </c>
      <c r="M53" s="115">
        <v>1.6425010635230337</v>
      </c>
      <c r="N53" s="115">
        <v>281.51084596383066</v>
      </c>
      <c r="O53" s="115">
        <v>3.0661991716887895</v>
      </c>
      <c r="P53" s="115">
        <v>2.8717765982380627</v>
      </c>
      <c r="Q53" s="111">
        <v>3.0661991716887895</v>
      </c>
      <c r="R53" s="68">
        <v>2.8717765982380627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9.3877366319203835E-4</v>
      </c>
      <c r="M54" s="115">
        <v>14.619112671877442</v>
      </c>
      <c r="N54" s="115">
        <v>3293.135896862455</v>
      </c>
      <c r="O54" s="115">
        <v>20.21460500149551</v>
      </c>
      <c r="P54" s="115">
        <v>9.0774568121119295</v>
      </c>
      <c r="Q54" s="111">
        <v>20.21460500149551</v>
      </c>
      <c r="R54" s="68">
        <v>9.0774568121119295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0.14037280243516187</v>
      </c>
      <c r="M55" s="115">
        <v>2.0317838909038612</v>
      </c>
      <c r="N55" s="115">
        <v>421.98029443809975</v>
      </c>
      <c r="O55" s="115">
        <v>4.3815707467316694</v>
      </c>
      <c r="P55" s="115">
        <v>4.1796216977330474</v>
      </c>
      <c r="Q55" s="111">
        <v>4.3815707467316694</v>
      </c>
      <c r="R55" s="68">
        <v>4.1796216977330474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1.6647816779122245E-2</v>
      </c>
      <c r="M56" s="115">
        <v>1.1407447387048597</v>
      </c>
      <c r="N56" s="115">
        <v>250.90741087756203</v>
      </c>
      <c r="O56" s="115">
        <v>2.6585451849896824</v>
      </c>
      <c r="P56" s="115">
        <v>2.6384291092325256</v>
      </c>
      <c r="Q56" s="111">
        <v>2.6585451849896824</v>
      </c>
      <c r="R56" s="68">
        <v>2.6384291092325256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3.0056922549140476E-2</v>
      </c>
      <c r="M57" s="115">
        <v>0.57878331409784656</v>
      </c>
      <c r="N57" s="115">
        <v>122.39362029066332</v>
      </c>
      <c r="O57" s="115">
        <v>1.2716271680568763</v>
      </c>
      <c r="P57" s="115">
        <v>1.2212528270003065</v>
      </c>
      <c r="Q57" s="111">
        <v>1.2716271680568763</v>
      </c>
      <c r="R57" s="68">
        <v>1.2212528270003067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5.9210812262223023E-2</v>
      </c>
      <c r="M58" s="115">
        <v>6.5271862399713665E-2</v>
      </c>
      <c r="N58" s="115">
        <v>1.5164486118437632</v>
      </c>
      <c r="O58" s="115">
        <v>6.2593527823153736E-2</v>
      </c>
      <c r="P58" s="115">
        <v>6.810321576241149E-2</v>
      </c>
      <c r="Q58" s="111">
        <v>6.2593527823153736E-2</v>
      </c>
      <c r="R58" s="68">
        <v>6.8103215762411504E-2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1.2366521549106375E-2</v>
      </c>
      <c r="M59" s="115">
        <v>0.22285129588804467</v>
      </c>
      <c r="N59" s="115">
        <v>46.950379191680803</v>
      </c>
      <c r="O59" s="115">
        <v>0.48763636424665158</v>
      </c>
      <c r="P59" s="115">
        <v>0.46756675588156066</v>
      </c>
      <c r="Q59" s="111">
        <v>0.48763636424665163</v>
      </c>
      <c r="R59" s="68">
        <v>0.46756675588156071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4.612687953844074E-4</v>
      </c>
      <c r="M60" s="115">
        <v>4.0920589967018799E-3</v>
      </c>
      <c r="N60" s="115">
        <v>0.81091529007771934</v>
      </c>
      <c r="O60" s="115">
        <v>8.4681965993779838E-3</v>
      </c>
      <c r="P60" s="115">
        <v>7.9955492476494732E-3</v>
      </c>
      <c r="Q60" s="111">
        <v>8.4681965993779838E-3</v>
      </c>
      <c r="R60" s="68">
        <v>7.9955492476494749E-3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0.29161055691167803</v>
      </c>
      <c r="M61" s="115">
        <v>1.9078823734241326</v>
      </c>
      <c r="N61" s="115">
        <v>361.45741904729726</v>
      </c>
      <c r="O61" s="115">
        <v>3.8142006735594594</v>
      </c>
      <c r="P61" s="115">
        <v>3.583770237624111</v>
      </c>
      <c r="Q61" s="111">
        <v>3.8142006735594598</v>
      </c>
      <c r="R61" s="68">
        <v>3.583770237624111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3.9991226318447509E-3</v>
      </c>
      <c r="M62" s="115">
        <v>7.4419522329008725</v>
      </c>
      <c r="N62" s="115">
        <v>1669.2578383414859</v>
      </c>
      <c r="O62" s="115">
        <v>12.247582215189015</v>
      </c>
      <c r="P62" s="115">
        <v>8.0431084746606309</v>
      </c>
      <c r="Q62" s="111">
        <v>12.247582215189016</v>
      </c>
      <c r="R62" s="68">
        <v>8.0431084746606309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3.6899196472198485E-4</v>
      </c>
      <c r="M63" s="115">
        <v>18.042007931862699</v>
      </c>
      <c r="N63" s="115">
        <v>4072.5988501185534</v>
      </c>
      <c r="O63" s="115">
        <v>24.004366774756299</v>
      </c>
      <c r="P63" s="115">
        <v>9.6599475302072122</v>
      </c>
      <c r="Q63" s="111">
        <v>24.004366774756299</v>
      </c>
      <c r="R63" s="68">
        <v>9.6599475302072122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1.2830371143499484E-4</v>
      </c>
      <c r="M64" s="115">
        <v>20.640457133119703</v>
      </c>
      <c r="N64" s="115">
        <v>4668.9504877991167</v>
      </c>
      <c r="O64" s="115">
        <v>26.851969771429388</v>
      </c>
      <c r="P64" s="115">
        <v>10.144289927320237</v>
      </c>
      <c r="Q64" s="111">
        <v>26.851969771429388</v>
      </c>
      <c r="R64" s="68">
        <v>10.144289927320237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3.6119694889687191E-5</v>
      </c>
      <c r="M65" s="115">
        <v>22.513451900814175</v>
      </c>
      <c r="N65" s="115">
        <v>5104.6407257088613</v>
      </c>
      <c r="O65" s="115">
        <v>28.856219491224103</v>
      </c>
      <c r="P65" s="115">
        <v>10.524951780655195</v>
      </c>
      <c r="Q65" s="111">
        <v>28.856219491224106</v>
      </c>
      <c r="R65" s="68">
        <v>10.524951780655195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7.4781869558496891E-5</v>
      </c>
      <c r="M66" s="115">
        <v>21.568347536425875</v>
      </c>
      <c r="N66" s="115">
        <v>4883.8186582871149</v>
      </c>
      <c r="O66" s="115">
        <v>27.853624989568772</v>
      </c>
      <c r="P66" s="115">
        <v>10.328831142236957</v>
      </c>
      <c r="Q66" s="111">
        <v>27.853624989568772</v>
      </c>
      <c r="R66" s="68">
        <v>10.328831142236957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0.81352742392423183</v>
      </c>
      <c r="M67" s="115">
        <v>0.96934735851568454</v>
      </c>
      <c r="N67" s="115">
        <v>37.301079413758714</v>
      </c>
      <c r="O67" s="115">
        <v>1.0125567810274734</v>
      </c>
      <c r="P67" s="115">
        <v>1.0661600069057782</v>
      </c>
      <c r="Q67" s="111">
        <v>1.0125567810274734</v>
      </c>
      <c r="R67" s="68">
        <v>1.0661600069057784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0.74471669777247362</v>
      </c>
      <c r="M68" s="115">
        <v>1.0127623803871835</v>
      </c>
      <c r="N68" s="115">
        <v>62.496218713400772</v>
      </c>
      <c r="O68" s="115">
        <v>1.1933360825071848</v>
      </c>
      <c r="P68" s="115">
        <v>1.2080268641669927</v>
      </c>
      <c r="Q68" s="111">
        <v>1.1933360825071848</v>
      </c>
      <c r="R68" s="68">
        <v>1.2080268641669927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1.4520763981551337E-3</v>
      </c>
      <c r="M69" s="115">
        <v>12.613647668274059</v>
      </c>
      <c r="N69" s="115">
        <v>2838.285792068913</v>
      </c>
      <c r="O69" s="115">
        <v>17.983612259180564</v>
      </c>
      <c r="P69" s="115">
        <v>8.7553584514384433</v>
      </c>
      <c r="Q69" s="111">
        <v>17.983612259180564</v>
      </c>
      <c r="R69" s="68">
        <v>8.7553584514384433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2.644408456854045E-2</v>
      </c>
      <c r="M70" s="115">
        <v>2.9421949807916596</v>
      </c>
      <c r="N70" s="115">
        <v>651.2428852607776</v>
      </c>
      <c r="O70" s="115">
        <v>6.978582154710935</v>
      </c>
      <c r="P70" s="115">
        <v>7.0157651873508602</v>
      </c>
      <c r="Q70" s="111">
        <v>6.9785821547109359</v>
      </c>
      <c r="R70" s="68">
        <v>7.0157651873508602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0.74468744164677869</v>
      </c>
      <c r="M71" s="115">
        <v>0.98815099680875618</v>
      </c>
      <c r="N71" s="115">
        <v>56.949002360951752</v>
      </c>
      <c r="O71" s="115">
        <v>1.1408882551048718</v>
      </c>
      <c r="P71" s="115">
        <v>1.1620228974695215</v>
      </c>
      <c r="Q71" s="111">
        <v>1.1408882551048718</v>
      </c>
      <c r="R71" s="68">
        <v>1.1620228974695215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3.0550154053834828E-2</v>
      </c>
      <c r="M72" s="115">
        <v>2.8910678487465864</v>
      </c>
      <c r="N72" s="115">
        <v>638.75937547653621</v>
      </c>
      <c r="O72" s="115">
        <v>6.8181658145555692</v>
      </c>
      <c r="P72" s="115">
        <v>6.8249902412870496</v>
      </c>
      <c r="Q72" s="111">
        <v>6.8181658145555692</v>
      </c>
      <c r="R72" s="68">
        <v>6.8249902412870505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0.26848122811746861</v>
      </c>
      <c r="M73" s="115">
        <v>1.9411615056198563</v>
      </c>
      <c r="N73" s="115">
        <v>373.88578008306268</v>
      </c>
      <c r="O73" s="115">
        <v>3.9287669188950805</v>
      </c>
      <c r="P73" s="115">
        <v>3.6966875991794361</v>
      </c>
      <c r="Q73" s="111">
        <v>3.9287669188950809</v>
      </c>
      <c r="R73" s="68">
        <v>3.6966875991794366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2.759477917696946E-2</v>
      </c>
      <c r="M74" s="115">
        <v>2.9313891594060886</v>
      </c>
      <c r="N74" s="115">
        <v>648.52898309270586</v>
      </c>
      <c r="O74" s="115">
        <v>6.9416688611640849</v>
      </c>
      <c r="P74" s="115">
        <v>6.9700551020451122</v>
      </c>
      <c r="Q74" s="111">
        <v>6.9416688611640858</v>
      </c>
      <c r="R74" s="68">
        <v>6.9700551020451122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4.4957004039142172E-3</v>
      </c>
      <c r="M75" s="115">
        <v>2.0023976400936454</v>
      </c>
      <c r="N75" s="115">
        <v>548.76575379133862</v>
      </c>
      <c r="O75" s="115">
        <v>5.970274868555367</v>
      </c>
      <c r="P75" s="115">
        <v>8.7111318053400471</v>
      </c>
      <c r="Q75" s="111">
        <v>5.970274868555367</v>
      </c>
      <c r="R75" s="68">
        <v>8.7111318053400471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4.4957004063211877E-3</v>
      </c>
      <c r="M76" s="115">
        <v>2.0023976411657167</v>
      </c>
      <c r="N76" s="115">
        <v>548.76575408514441</v>
      </c>
      <c r="O76" s="115">
        <v>5.9702748717518155</v>
      </c>
      <c r="P76" s="115">
        <v>8.7111318100039341</v>
      </c>
      <c r="Q76" s="111">
        <v>5.9702748717518155</v>
      </c>
      <c r="R76" s="68">
        <v>8.7111318100039341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0.10420198546968631</v>
      </c>
      <c r="M77" s="115">
        <v>2.5071266112702615</v>
      </c>
      <c r="N77" s="115">
        <v>535.94791423576407</v>
      </c>
      <c r="O77" s="115">
        <v>5.5784012811047683</v>
      </c>
      <c r="P77" s="115">
        <v>5.3870825680106327</v>
      </c>
      <c r="Q77" s="111">
        <v>5.5784012811047683</v>
      </c>
      <c r="R77" s="68">
        <v>5.3870825680106336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0.53282059832682782</v>
      </c>
      <c r="M78" s="115">
        <v>1.2563537400195834</v>
      </c>
      <c r="N78" s="115">
        <v>163.8684132122319</v>
      </c>
      <c r="O78" s="115">
        <v>2.0043601703982485</v>
      </c>
      <c r="P78" s="115">
        <v>1.8993883742664039</v>
      </c>
      <c r="Q78" s="111">
        <v>2.0043601703982485</v>
      </c>
      <c r="R78" s="68">
        <v>1.8993883742664039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0.37685555105084978</v>
      </c>
      <c r="M79" s="115">
        <v>1.6545960466132021</v>
      </c>
      <c r="N79" s="115">
        <v>286.58014619674941</v>
      </c>
      <c r="O79" s="115">
        <v>3.1098683513586445</v>
      </c>
      <c r="P79" s="115">
        <v>2.9127311930373021</v>
      </c>
      <c r="Q79" s="111">
        <v>3.1098683513586445</v>
      </c>
      <c r="R79" s="68">
        <v>2.9127311930373021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3.0403708925258585E-3</v>
      </c>
      <c r="M80" s="115">
        <v>3.8747776606768061</v>
      </c>
      <c r="N80" s="115">
        <v>1063.3790788668482</v>
      </c>
      <c r="O80" s="115">
        <v>7.3249466427675634</v>
      </c>
      <c r="P80" s="115">
        <v>9.1909083182757687</v>
      </c>
      <c r="Q80" s="111">
        <v>7.3249466427675634</v>
      </c>
      <c r="R80" s="68">
        <v>9.1909083182757687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0.96588910521870597</v>
      </c>
      <c r="M81" s="115">
        <v>0.96350954477435846</v>
      </c>
      <c r="N81" s="115">
        <v>1.6844868114694433</v>
      </c>
      <c r="O81" s="115">
        <v>0.81244626772054784</v>
      </c>
      <c r="P81" s="115">
        <v>0.93847643505512601</v>
      </c>
      <c r="Q81" s="111">
        <v>0.81244626772054784</v>
      </c>
      <c r="R81" s="68">
        <v>0.93847643505512601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0.72233106308172934</v>
      </c>
      <c r="M82" s="115">
        <v>1.0526173916171897</v>
      </c>
      <c r="N82" s="115">
        <v>76.457867679953864</v>
      </c>
      <c r="O82" s="115">
        <v>1.3077992224060337</v>
      </c>
      <c r="P82" s="115">
        <v>1.3042355608871048</v>
      </c>
      <c r="Q82" s="111">
        <v>1.3077992224060337</v>
      </c>
      <c r="R82" s="68">
        <v>1.3042355608871048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0.13084074824774461</v>
      </c>
      <c r="M83" s="115">
        <v>2.464344040175495</v>
      </c>
      <c r="N83" s="115">
        <v>520.49432386377487</v>
      </c>
      <c r="O83" s="115">
        <v>5.4070939782187244</v>
      </c>
      <c r="P83" s="115">
        <v>5.1901003479629386</v>
      </c>
      <c r="Q83" s="111">
        <v>5.4070939782187244</v>
      </c>
      <c r="R83" s="68">
        <v>5.1901003479629395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0.92950490149079346</v>
      </c>
      <c r="M84" s="115">
        <v>0.95006893203845533</v>
      </c>
      <c r="N84" s="115">
        <v>6.8273067104600296</v>
      </c>
      <c r="O84" s="115">
        <v>0.82806378793722646</v>
      </c>
      <c r="P84" s="115">
        <v>0.94018852965403266</v>
      </c>
      <c r="Q84" s="111">
        <v>0.82806378793722646</v>
      </c>
      <c r="R84" s="68">
        <v>0.94018852965403266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0.98350270822894781</v>
      </c>
      <c r="M85" s="115">
        <v>0.97505552195033884</v>
      </c>
      <c r="N85" s="115">
        <v>0.34550467978931426</v>
      </c>
      <c r="O85" s="115">
        <v>0.81539795869493892</v>
      </c>
      <c r="P85" s="115">
        <v>0.94649121777937872</v>
      </c>
      <c r="Q85" s="111">
        <v>0.81539795869493892</v>
      </c>
      <c r="R85" s="68">
        <v>0.94649121777937884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0.93119014930165367</v>
      </c>
      <c r="M86" s="115">
        <v>0.95042088969520699</v>
      </c>
      <c r="N86" s="115">
        <v>6.5273740981694246</v>
      </c>
      <c r="O86" s="115">
        <v>0.82676585464988051</v>
      </c>
      <c r="P86" s="115">
        <v>0.93961272924972528</v>
      </c>
      <c r="Q86" s="111">
        <v>0.82676585464988062</v>
      </c>
      <c r="R86" s="68">
        <v>0.93961272924972528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5.3592282732305054E-4</v>
      </c>
      <c r="M87" s="115">
        <v>16.814667504119313</v>
      </c>
      <c r="N87" s="115">
        <v>3792.5390543449926</v>
      </c>
      <c r="O87" s="115">
        <v>22.648631832254082</v>
      </c>
      <c r="P87" s="115">
        <v>9.444999403732254</v>
      </c>
      <c r="Q87" s="111">
        <v>22.648631832254086</v>
      </c>
      <c r="R87" s="68">
        <v>9.444999403732254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0.60862973731479375</v>
      </c>
      <c r="M88" s="115">
        <v>1.2029460973275425</v>
      </c>
      <c r="N88" s="115">
        <v>135.30537811227808</v>
      </c>
      <c r="O88" s="115">
        <v>1.7839306664075745</v>
      </c>
      <c r="P88" s="115">
        <v>1.7098997394551518</v>
      </c>
      <c r="Q88" s="111">
        <v>1.7839306664075745</v>
      </c>
      <c r="R88" s="68">
        <v>1.7098997394551518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0.70316177672285918</v>
      </c>
      <c r="M89" s="115">
        <v>1.0741026462468481</v>
      </c>
      <c r="N89" s="115">
        <v>85.54649218399463</v>
      </c>
      <c r="O89" s="115">
        <v>1.3791034526533508</v>
      </c>
      <c r="P89" s="115">
        <v>1.3635977931422505</v>
      </c>
      <c r="Q89" s="111">
        <v>1.3791034526533508</v>
      </c>
      <c r="R89" s="68">
        <v>1.3635977931422505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0.86317009652931476</v>
      </c>
      <c r="M90" s="115">
        <v>0.95382145308813004</v>
      </c>
      <c r="N90" s="115">
        <v>22.628117361582014</v>
      </c>
      <c r="O90" s="115">
        <v>0.9172806291618355</v>
      </c>
      <c r="P90" s="115">
        <v>0.996866789966114</v>
      </c>
      <c r="Q90" s="111">
        <v>0.9172806291618355</v>
      </c>
      <c r="R90" s="68">
        <v>0.99686678996611411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3.4760013294751263E-3</v>
      </c>
      <c r="M91" s="115">
        <v>8.1689021684452783</v>
      </c>
      <c r="N91" s="115">
        <v>1833.2849653038531</v>
      </c>
      <c r="O91" s="115">
        <v>13.053383585619278</v>
      </c>
      <c r="P91" s="115">
        <v>8.1354265159776809</v>
      </c>
      <c r="Q91" s="111">
        <v>13.053383585619278</v>
      </c>
      <c r="R91" s="68">
        <v>8.1354265159776809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0.18220802718206355</v>
      </c>
      <c r="M92" s="115">
        <v>2.2668485161753495</v>
      </c>
      <c r="N92" s="115">
        <v>465.19661135720708</v>
      </c>
      <c r="O92" s="115">
        <v>4.833617435608776</v>
      </c>
      <c r="P92" s="115">
        <v>4.5952204171494246</v>
      </c>
      <c r="Q92" s="111">
        <v>4.833617435608776</v>
      </c>
      <c r="R92" s="68">
        <v>4.5952204171494255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4.0186716909789422E-2</v>
      </c>
      <c r="M93" s="115">
        <v>2.8834224624452371</v>
      </c>
      <c r="N93" s="115">
        <v>634.66878102434111</v>
      </c>
      <c r="O93" s="115">
        <v>6.7315896250283425</v>
      </c>
      <c r="P93" s="115">
        <v>6.6888385004916033</v>
      </c>
      <c r="Q93" s="111">
        <v>6.7315896250283425</v>
      </c>
      <c r="R93" s="68">
        <v>6.6888385004916033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0.89285968462456544</v>
      </c>
      <c r="M94" s="115">
        <v>0.92519611016424774</v>
      </c>
      <c r="N94" s="115">
        <v>11.864550548642621</v>
      </c>
      <c r="O94" s="115">
        <v>1.2459605789301131</v>
      </c>
      <c r="P94" s="115">
        <v>1.7332215124342367</v>
      </c>
      <c r="Q94" s="111">
        <v>1.2459605789301131</v>
      </c>
      <c r="R94" s="68">
        <v>1.7332215124342369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8.1347234078843617E-3</v>
      </c>
      <c r="M95" s="115">
        <v>4.1001504145632746</v>
      </c>
      <c r="N95" s="115">
        <v>916.22666030067705</v>
      </c>
      <c r="O95" s="115">
        <v>8.5557130323935677</v>
      </c>
      <c r="P95" s="115">
        <v>7.6714534198983246</v>
      </c>
      <c r="Q95" s="111">
        <v>8.5557130323935677</v>
      </c>
      <c r="R95" s="68">
        <v>7.6714534198983255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0.96470145066697788</v>
      </c>
      <c r="M96" s="115">
        <v>0.96286207080059094</v>
      </c>
      <c r="N96" s="115">
        <v>1.8046974960325051</v>
      </c>
      <c r="O96" s="115">
        <v>0.81251705670999053</v>
      </c>
      <c r="P96" s="115">
        <v>0.9381584941459119</v>
      </c>
      <c r="Q96" s="111">
        <v>0.81251705670999064</v>
      </c>
      <c r="R96" s="68">
        <v>0.93815849414591201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0.92864621525973012</v>
      </c>
      <c r="M97" s="115">
        <v>0.94989897250749189</v>
      </c>
      <c r="N97" s="115">
        <v>6.9822669381803379</v>
      </c>
      <c r="O97" s="115">
        <v>0.82874521537397294</v>
      </c>
      <c r="P97" s="115">
        <v>0.94049952922945357</v>
      </c>
      <c r="Q97" s="111">
        <v>0.82874521537397294</v>
      </c>
      <c r="R97" s="68">
        <v>0.94049952922945368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1.8951879041106141E-2</v>
      </c>
      <c r="M98" s="115">
        <v>2.9851091225620796</v>
      </c>
      <c r="N98" s="115">
        <v>662.84994594527109</v>
      </c>
      <c r="O98" s="115">
        <v>7.1654230254334896</v>
      </c>
      <c r="P98" s="115">
        <v>7.270579390102057</v>
      </c>
      <c r="Q98" s="111">
        <v>7.1654230254334896</v>
      </c>
      <c r="R98" s="68">
        <v>7.270579390102057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0.98729415505839713</v>
      </c>
      <c r="M99" s="115">
        <v>0.97807029140400736</v>
      </c>
      <c r="N99" s="115">
        <v>0.17806438094869856</v>
      </c>
      <c r="O99" s="115">
        <v>0.81710756420688113</v>
      </c>
      <c r="P99" s="115">
        <v>0.94908252944594451</v>
      </c>
      <c r="Q99" s="111">
        <v>0.81710756420688113</v>
      </c>
      <c r="R99" s="68">
        <v>0.94908252944594451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0.41948112311411018</v>
      </c>
      <c r="M100" s="115">
        <v>1.571386205797104</v>
      </c>
      <c r="N100" s="115">
        <v>258.79669534624401</v>
      </c>
      <c r="O100" s="115">
        <v>2.8605078377977446</v>
      </c>
      <c r="P100" s="115">
        <v>2.680183920211225</v>
      </c>
      <c r="Q100" s="111">
        <v>2.8605078377977446</v>
      </c>
      <c r="R100" s="68">
        <v>2.680183920211225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0.98152636862045539</v>
      </c>
      <c r="M101" s="115">
        <v>0.97356502106012832</v>
      </c>
      <c r="N101" s="115">
        <v>0.45124527778434992</v>
      </c>
      <c r="O101" s="115">
        <v>0.81466925976716886</v>
      </c>
      <c r="P101" s="115">
        <v>0.94526907324729426</v>
      </c>
      <c r="Q101" s="111">
        <v>0.81466925976716886</v>
      </c>
      <c r="R101" s="68">
        <v>0.94526907324729426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0.99215352466312556</v>
      </c>
      <c r="M102" s="115">
        <v>0.98226257294683716</v>
      </c>
      <c r="N102" s="115">
        <v>3.8208451199249607E-2</v>
      </c>
      <c r="O102" s="115">
        <v>0.81994877893426188</v>
      </c>
      <c r="P102" s="115">
        <v>0.95290733830440733</v>
      </c>
      <c r="Q102" s="111">
        <v>0.81994877893426188</v>
      </c>
      <c r="R102" s="68">
        <v>0.95290733830440733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0.98756447566667893</v>
      </c>
      <c r="M103" s="115">
        <v>0.97829344063154766</v>
      </c>
      <c r="N103" s="115">
        <v>0.16799512302653113</v>
      </c>
      <c r="O103" s="115">
        <v>0.81724580350903686</v>
      </c>
      <c r="P103" s="115">
        <v>0.949280088249293</v>
      </c>
      <c r="Q103" s="111">
        <v>0.81724580350903686</v>
      </c>
      <c r="R103" s="68">
        <v>0.949280088249293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0.94809969886171941</v>
      </c>
      <c r="M104" s="115">
        <v>0.95535220489930062</v>
      </c>
      <c r="N104" s="115">
        <v>3.837026609825156</v>
      </c>
      <c r="O104" s="115">
        <v>0.81672957707762106</v>
      </c>
      <c r="P104" s="115">
        <v>0.93643582452842578</v>
      </c>
      <c r="Q104" s="111">
        <v>0.81672957707762106</v>
      </c>
      <c r="R104" s="68">
        <v>0.93643582452842589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0.99144062869181815</v>
      </c>
      <c r="M105" s="115">
        <v>0.98162225239818834</v>
      </c>
      <c r="N105" s="115">
        <v>5.2976859144486702E-2</v>
      </c>
      <c r="O105" s="115">
        <v>0.81948250193671046</v>
      </c>
      <c r="P105" s="115">
        <v>0.95230870762439701</v>
      </c>
      <c r="Q105" s="111">
        <v>0.81948250193671046</v>
      </c>
      <c r="R105" s="68">
        <v>0.95230870762439712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0.82585215644918053</v>
      </c>
      <c r="M106" s="115">
        <v>0.96918264548355992</v>
      </c>
      <c r="N106" s="115">
        <v>34.49971467921565</v>
      </c>
      <c r="O106" s="115">
        <v>0.99655002686893857</v>
      </c>
      <c r="P106" s="115">
        <v>1.0553272468864405</v>
      </c>
      <c r="Q106" s="111">
        <v>0.99655002686893857</v>
      </c>
      <c r="R106" s="68">
        <v>1.0553272468864405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1.409148584520508E-2</v>
      </c>
      <c r="M107" s="115">
        <v>3.0017697212089005</v>
      </c>
      <c r="N107" s="115">
        <v>667.9822535407809</v>
      </c>
      <c r="O107" s="115">
        <v>7.2785733569703188</v>
      </c>
      <c r="P107" s="115">
        <v>7.4448195867421205</v>
      </c>
      <c r="Q107" s="111">
        <v>7.2785733569703188</v>
      </c>
      <c r="R107" s="68">
        <v>7.4448195867421214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0.481667399282526</v>
      </c>
      <c r="M108" s="115">
        <v>1.4341832543867441</v>
      </c>
      <c r="N108" s="115">
        <v>214.70149515367078</v>
      </c>
      <c r="O108" s="115">
        <v>2.4665346077123171</v>
      </c>
      <c r="P108" s="115">
        <v>2.3184204934639201</v>
      </c>
      <c r="Q108" s="111">
        <v>2.4665346077123171</v>
      </c>
      <c r="R108" s="68">
        <v>2.3184204934639201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2024-10-28T23:30:36Z</dcterms:modified>
</cp:coreProperties>
</file>