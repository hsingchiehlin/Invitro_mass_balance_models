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603CFC07-5600-4863-ABDE-093339921C9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<sst xmlns="http://schemas.openxmlformats.org/spreadsheetml/2006/main" count="2915" uniqueCount="495">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</sst>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5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2.128E-2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2.128E-2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5.3200000000000003E-4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1.5108799999999998E-5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1.3668030346504149E-5</v>
      </c>
      <c r="J2" s="67" t="s">
        <v>231</v>
      </c>
      <c r="K2" s="68">
        <v>2.062935374955326E-3</v>
      </c>
      <c r="L2" s="67" t="s">
        <v>231</v>
      </c>
      <c r="M2" s="68">
        <v>5.2896473667352249E-2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9.759832354591005E-4</v>
      </c>
      <c r="J3" s="67" t="s">
        <v>231</v>
      </c>
      <c r="K3" s="68">
        <v>8.982243697598645E-2</v>
      </c>
      <c r="L3" s="67" t="s">
        <v>231</v>
      </c>
      <c r="M3" s="68">
        <v>3.4941116671564401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1.7438209347269741E-3</v>
      </c>
      <c r="J4" s="67" t="s">
        <v>231</v>
      </c>
      <c r="K4" s="68">
        <v>8.2223664860522766E-3</v>
      </c>
      <c r="L4" s="67" t="s">
        <v>231</v>
      </c>
      <c r="M4" s="68">
        <v>0.30187452183423708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1.5313341839075618E-3</v>
      </c>
      <c r="J5" s="67" t="s">
        <v>231</v>
      </c>
      <c r="K5" s="68">
        <v>2.6750234869499782E-2</v>
      </c>
      <c r="L5" s="67" t="s">
        <v>231</v>
      </c>
      <c r="M5" s="68">
        <v>1.0319618078929695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2.6541718265792025E-3</v>
      </c>
      <c r="J6" s="67" t="s">
        <v>231</v>
      </c>
      <c r="K6" s="68">
        <v>0.10465294808805943</v>
      </c>
      <c r="L6" s="67" t="s">
        <v>231</v>
      </c>
      <c r="M6" s="68">
        <v>4.0796856839008599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3.8798119639110013E-4</v>
      </c>
      <c r="J7" s="67" t="s">
        <v>231</v>
      </c>
      <c r="K7" s="68">
        <v>9.2477453564685758E-2</v>
      </c>
      <c r="L7" s="67" t="s">
        <v>231</v>
      </c>
      <c r="M7" s="68">
        <v>3.5985161280703384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7.5215488149161917E-4</v>
      </c>
      <c r="J8" s="67" t="s">
        <v>231</v>
      </c>
      <c r="K8" s="68">
        <v>7.3932454765134811E-2</v>
      </c>
      <c r="L8" s="67" t="s">
        <v>231</v>
      </c>
      <c r="M8" s="68">
        <v>2.8702719174348168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2.1649658933811441E-4</v>
      </c>
      <c r="J9" s="67" t="s">
        <v>231</v>
      </c>
      <c r="K9" s="68">
        <v>1.5787896490203242E-2</v>
      </c>
      <c r="L9" s="67" t="s">
        <v>231</v>
      </c>
      <c r="M9" s="68">
        <v>0.60347411508063442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9.2113021504085658E-4</v>
      </c>
      <c r="J10" s="67" t="s">
        <v>231</v>
      </c>
      <c r="K10" s="68">
        <v>2.8596023836817853E-2</v>
      </c>
      <c r="L10" s="67" t="s">
        <v>231</v>
      </c>
      <c r="M10" s="68">
        <v>1.1035531914006798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2.2656366440500084E-4</v>
      </c>
      <c r="J11" s="67" t="s">
        <v>231</v>
      </c>
      <c r="K11" s="68">
        <v>3.1858414140985586E-2</v>
      </c>
      <c r="L11" s="67" t="s">
        <v>231</v>
      </c>
      <c r="M11" s="68">
        <v>1.2301570796172367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4.6490975198567106E-4</v>
      </c>
      <c r="J12" s="67" t="s">
        <v>231</v>
      </c>
      <c r="K12" s="68">
        <v>1.6518234179511919E-2</v>
      </c>
      <c r="L12" s="67" t="s">
        <v>231</v>
      </c>
      <c r="M12" s="68">
        <v>0.63290332739431843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1.0089757847964847E-2</v>
      </c>
      <c r="J13" s="67" t="s">
        <v>232</v>
      </c>
      <c r="K13" s="68">
        <v>1.5868481094333111E-2</v>
      </c>
      <c r="L13" s="67" t="s">
        <v>231</v>
      </c>
      <c r="M13" s="68">
        <v>0.60670975435939167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2.1565071632385167E-3</v>
      </c>
      <c r="J14" s="67" t="s">
        <v>231</v>
      </c>
      <c r="K14" s="68">
        <v>4.3430480005397953E-2</v>
      </c>
      <c r="L14" s="67" t="s">
        <v>231</v>
      </c>
      <c r="M14" s="68">
        <v>1.67988632352786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1.0868689893977971E-3</v>
      </c>
      <c r="J15" s="67" t="s">
        <v>231</v>
      </c>
      <c r="K15" s="68">
        <v>3.0198404121892255E-2</v>
      </c>
      <c r="L15" s="67" t="s">
        <v>231</v>
      </c>
      <c r="M15" s="68">
        <v>1.1657262302324207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7.9130037098615943E-4</v>
      </c>
      <c r="J16" s="67" t="s">
        <v>231</v>
      </c>
      <c r="K16" s="68">
        <v>7.3015927009300194E-2</v>
      </c>
      <c r="L16" s="67" t="s">
        <v>231</v>
      </c>
      <c r="M16" s="68">
        <v>2.8343910924049442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6.4500799691531729E-4</v>
      </c>
      <c r="J17" s="67" t="s">
        <v>231</v>
      </c>
      <c r="K17" s="68">
        <v>2.7357055409553396E-2</v>
      </c>
      <c r="L17" s="67" t="s">
        <v>231</v>
      </c>
      <c r="M17" s="68">
        <v>1.0554948534405266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1.6098884414555764E-3</v>
      </c>
      <c r="J18" s="67" t="s">
        <v>231</v>
      </c>
      <c r="K18" s="68">
        <v>1.5343497708725435E-2</v>
      </c>
      <c r="L18" s="67" t="s">
        <v>231</v>
      </c>
      <c r="M18" s="68">
        <v>0.58575786227714566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6.6073947025159785E-3</v>
      </c>
      <c r="J19" s="67" t="s">
        <v>231</v>
      </c>
      <c r="K19" s="68">
        <v>3.0526110962410535E-2</v>
      </c>
      <c r="L19" s="67" t="s">
        <v>231</v>
      </c>
      <c r="M19" s="68">
        <v>1.1784438877709225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1.0440337372663825E-3</v>
      </c>
      <c r="J20" s="67" t="s">
        <v>231</v>
      </c>
      <c r="K20" s="68">
        <v>1.58705939539188E-2</v>
      </c>
      <c r="L20" s="67" t="s">
        <v>231</v>
      </c>
      <c r="M20" s="68">
        <v>0.60679053666694893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3.1121185777681624E-3</v>
      </c>
      <c r="J21" s="67" t="s">
        <v>231</v>
      </c>
      <c r="K21" s="68">
        <v>3.9844733400850228E-2</v>
      </c>
      <c r="L21" s="67" t="s">
        <v>231</v>
      </c>
      <c r="M21" s="68">
        <v>1.540428604518933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8.637874480147026E-5</v>
      </c>
      <c r="J22" s="67" t="s">
        <v>231</v>
      </c>
      <c r="K22" s="68">
        <v>4.5945480898941923E-3</v>
      </c>
      <c r="L22" s="67" t="s">
        <v>231</v>
      </c>
      <c r="M22" s="68">
        <v>0.15628585718663945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2.9288512318977709E-5</v>
      </c>
      <c r="J23" s="67" t="s">
        <v>231</v>
      </c>
      <c r="K23" s="68">
        <v>2.7052564611671649E-3</v>
      </c>
      <c r="L23" s="67" t="s">
        <v>231</v>
      </c>
      <c r="M23" s="68">
        <v>7.9395107826869649E-2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8.117127227293487E-5</v>
      </c>
      <c r="J24" s="67" t="s">
        <v>231</v>
      </c>
      <c r="K24" s="68">
        <v>1.2357528223852273E-2</v>
      </c>
      <c r="L24" s="67" t="s">
        <v>231</v>
      </c>
      <c r="M24" s="68">
        <v>0.46668965786557892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4.0256629353094487E-4</v>
      </c>
      <c r="J25" s="67" t="s">
        <v>231</v>
      </c>
      <c r="K25" s="68">
        <v>1.6862326806779758E-2</v>
      </c>
      <c r="L25" s="67" t="s">
        <v>231</v>
      </c>
      <c r="M25" s="68">
        <v>0.64763205299602722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8.238476780714788E-4</v>
      </c>
      <c r="J26" s="67" t="s">
        <v>231</v>
      </c>
      <c r="K26" s="68">
        <v>3.7560218145491694E-2</v>
      </c>
      <c r="L26" s="67" t="s">
        <v>231</v>
      </c>
      <c r="M26" s="68">
        <v>1.4516253534636461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5.3637666997324851E-4</v>
      </c>
      <c r="J27" s="67" t="s">
        <v>231</v>
      </c>
      <c r="K27" s="68">
        <v>8.7917367386636927E-2</v>
      </c>
      <c r="L27" s="67" t="s">
        <v>231</v>
      </c>
      <c r="M27" s="68">
        <v>3.4191128471309544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2.9116540741671828E-4</v>
      </c>
      <c r="J28" s="67" t="s">
        <v>231</v>
      </c>
      <c r="K28" s="68">
        <v>5.4944944277206975E-2</v>
      </c>
      <c r="L28" s="67" t="s">
        <v>231</v>
      </c>
      <c r="M28" s="68">
        <v>2.1283712190733497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1.7918191481323297E-4</v>
      </c>
      <c r="J29" s="67" t="s">
        <v>231</v>
      </c>
      <c r="K29" s="68">
        <v>4.1093690907126654E-2</v>
      </c>
      <c r="L29" s="67" t="s">
        <v>231</v>
      </c>
      <c r="M29" s="68">
        <v>1.5892385305125858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2.9116540741671828E-4</v>
      </c>
      <c r="J30" s="67" t="s">
        <v>231</v>
      </c>
      <c r="K30" s="68">
        <v>5.4944944277206975E-2</v>
      </c>
      <c r="L30" s="67" t="s">
        <v>231</v>
      </c>
      <c r="M30" s="68">
        <v>2.1283712190733497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8.1315733645717974E-8</v>
      </c>
      <c r="J31" s="67" t="s">
        <v>231</v>
      </c>
      <c r="K31" s="68">
        <v>8.7255920271635029E-4</v>
      </c>
      <c r="L31" s="67" t="s">
        <v>231</v>
      </c>
      <c r="M31" s="68">
        <v>1.1398030284953124E-3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8.4000669424808682E-6</v>
      </c>
      <c r="J32" s="67" t="s">
        <v>231</v>
      </c>
      <c r="K32" s="68">
        <v>6.7952488898494826E-3</v>
      </c>
      <c r="L32" s="67" t="s">
        <v>231</v>
      </c>
      <c r="M32" s="68">
        <v>0.24222858980859269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8.1302295604191123E-8</v>
      </c>
      <c r="J33" s="67" t="s">
        <v>231</v>
      </c>
      <c r="K33" s="68">
        <v>8.7120746947239166E-4</v>
      </c>
      <c r="L33" s="67" t="s">
        <v>231</v>
      </c>
      <c r="M33" s="68">
        <v>5.9108743415209829E-4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1.9346570321250501E-10</v>
      </c>
      <c r="J34" s="67" t="s">
        <v>231</v>
      </c>
      <c r="K34" s="68">
        <v>1.3692800991443087E-3</v>
      </c>
      <c r="L34" s="67" t="s">
        <v>231</v>
      </c>
      <c r="M34" s="68">
        <v>4.4988960618483537E-2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1.9739120193904498E-7</v>
      </c>
      <c r="J35" s="67" t="s">
        <v>231</v>
      </c>
      <c r="K35" s="68">
        <v>1.5510609180584298E-3</v>
      </c>
      <c r="L35" s="67" t="s">
        <v>231</v>
      </c>
      <c r="M35" s="68">
        <v>6.3656041609146896E-2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1.7987152519412839E-7</v>
      </c>
      <c r="J36" s="67" t="s">
        <v>231</v>
      </c>
      <c r="K36" s="68">
        <v>1.64116454463035E-3</v>
      </c>
      <c r="L36" s="67" t="s">
        <v>231</v>
      </c>
      <c r="M36" s="68">
        <v>7.7347237525450974E-2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1.9316359688999372E-6</v>
      </c>
      <c r="J37" s="67" t="s">
        <v>231</v>
      </c>
      <c r="K37" s="68">
        <v>4.4130283450815521E-3</v>
      </c>
      <c r="L37" s="67" t="s">
        <v>231</v>
      </c>
      <c r="M37" s="68">
        <v>0.17458538277524024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1.05162941072962E-6</v>
      </c>
      <c r="J38" s="67" t="s">
        <v>231</v>
      </c>
      <c r="K38" s="68">
        <v>1.3413290999846807E-3</v>
      </c>
      <c r="L38" s="67" t="s">
        <v>231</v>
      </c>
      <c r="M38" s="68">
        <v>4.0285061703944622E-2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2.0804286556711904E-4</v>
      </c>
      <c r="J39" s="67" t="s">
        <v>231</v>
      </c>
      <c r="K39" s="68">
        <v>1.772641980367937E-2</v>
      </c>
      <c r="L39" s="67" t="s">
        <v>231</v>
      </c>
      <c r="M39" s="68">
        <v>0.68237280356011554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7.7882449140185085E-10</v>
      </c>
      <c r="J40" s="67" t="s">
        <v>231</v>
      </c>
      <c r="K40" s="68">
        <v>0.10851686465208146</v>
      </c>
      <c r="L40" s="67" t="s">
        <v>231</v>
      </c>
      <c r="M40" s="68">
        <v>5.3496667716953521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2.623256880099782E-8</v>
      </c>
      <c r="J41" s="67" t="s">
        <v>231</v>
      </c>
      <c r="K41" s="68">
        <v>7.9024562539374229E-4</v>
      </c>
      <c r="L41" s="67" t="s">
        <v>231</v>
      </c>
      <c r="M41" s="68">
        <v>6.4422280698444361E-5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9.4362917650225582E-4</v>
      </c>
      <c r="J42" s="67" t="s">
        <v>231</v>
      </c>
      <c r="K42" s="68">
        <v>5.1851765130810626E-3</v>
      </c>
      <c r="L42" s="67" t="s">
        <v>231</v>
      </c>
      <c r="M42" s="68">
        <v>0.18006043719798437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4.701445233993605E-9</v>
      </c>
      <c r="J43" s="67" t="s">
        <v>231</v>
      </c>
      <c r="K43" s="68">
        <v>3.3056364680909942E-3</v>
      </c>
      <c r="L43" s="67" t="s">
        <v>231</v>
      </c>
      <c r="M43" s="68">
        <v>0.1643363029581707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1.065709196182083E-6</v>
      </c>
      <c r="J44" s="67" t="s">
        <v>231</v>
      </c>
      <c r="K44" s="68">
        <v>1.4254598789446259E-3</v>
      </c>
      <c r="L44" s="67" t="s">
        <v>231</v>
      </c>
      <c r="M44" s="68">
        <v>2.9056060946496508E-2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8.2625640594770171E-5</v>
      </c>
      <c r="J45" s="67" t="s">
        <v>231</v>
      </c>
      <c r="K45" s="68">
        <v>5.7415619368859977E-3</v>
      </c>
      <c r="L45" s="67" t="s">
        <v>231</v>
      </c>
      <c r="M45" s="68">
        <v>0.20247646473412267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1.8593118817413407E-6</v>
      </c>
      <c r="J46" s="67" t="s">
        <v>231</v>
      </c>
      <c r="K46" s="68">
        <v>5.3798632934496833E-3</v>
      </c>
      <c r="L46" s="67" t="s">
        <v>231</v>
      </c>
      <c r="M46" s="68">
        <v>0.18796032699144469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2.4767711588473628E-3</v>
      </c>
      <c r="J47" s="142" t="s">
        <v>231</v>
      </c>
      <c r="K47" s="143">
        <v>9.0134392882380801E-2</v>
      </c>
      <c r="L47" s="142" t="s">
        <v>231</v>
      </c>
      <c r="M47" s="143">
        <v>3.5062468174470323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1.8051173894409213E-6</v>
      </c>
      <c r="J48" s="142" t="s">
        <v>231</v>
      </c>
      <c r="K48" s="143">
        <v>1.0499446859691629E-3</v>
      </c>
      <c r="L48" s="142" t="s">
        <v>231</v>
      </c>
      <c r="M48" s="143">
        <v>1.0203736718512983E-2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5.0294387053924598E-6</v>
      </c>
      <c r="J49" s="142" t="s">
        <v>231</v>
      </c>
      <c r="K49" s="143">
        <v>1.2063287253307928E-3</v>
      </c>
      <c r="L49" s="142" t="s">
        <v>231</v>
      </c>
      <c r="M49" s="143">
        <v>1.7474871460245765E-2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7.0733325944526146E-6</v>
      </c>
      <c r="J50" s="142" t="s">
        <v>231</v>
      </c>
      <c r="K50" s="143">
        <v>1.5145187801133211E-2</v>
      </c>
      <c r="L50" s="142" t="s">
        <v>231</v>
      </c>
      <c r="M50" s="143">
        <v>0.57792568401981581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4.0221837775636453E-8</v>
      </c>
      <c r="J51" s="142" t="s">
        <v>231</v>
      </c>
      <c r="K51" s="143">
        <v>8.2902017432354938E-4</v>
      </c>
      <c r="L51" s="142" t="s">
        <v>231</v>
      </c>
      <c r="M51" s="143">
        <v>1.8502618153500333E-3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1.0752919607508334E-5</v>
      </c>
      <c r="J52" s="142" t="s">
        <v>231</v>
      </c>
      <c r="K52" s="143">
        <v>1.8976462712088787E-3</v>
      </c>
      <c r="L52" s="142" t="s">
        <v>231</v>
      </c>
      <c r="M52" s="143">
        <v>4.8286811803547061E-2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1.5469316520487652E-4</v>
      </c>
      <c r="J53" s="142" t="s">
        <v>231</v>
      </c>
      <c r="K53" s="143">
        <v>7.6990412718928704E-3</v>
      </c>
      <c r="L53" s="142" t="s">
        <v>231</v>
      </c>
      <c r="M53" s="143">
        <v>0.2810039775820059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8.4584911293228535E-4</v>
      </c>
      <c r="J54" s="67" t="s">
        <v>231</v>
      </c>
      <c r="K54" s="68">
        <v>8.2700125755959808E-2</v>
      </c>
      <c r="L54" s="67" t="s">
        <v>231</v>
      </c>
      <c r="M54" s="68">
        <v>3.2140303325593194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1.7047003983657651E-4</v>
      </c>
      <c r="J55" s="67" t="s">
        <v>231</v>
      </c>
      <c r="K55" s="68">
        <v>1.1117980418289257E-2</v>
      </c>
      <c r="L55" s="67" t="s">
        <v>231</v>
      </c>
      <c r="M55" s="68">
        <v>0.42068100596362801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5.0700425221526229E-5</v>
      </c>
      <c r="J56" s="67" t="s">
        <v>231</v>
      </c>
      <c r="K56" s="68">
        <v>6.53813256763742E-3</v>
      </c>
      <c r="L56" s="67" t="s">
        <v>231</v>
      </c>
      <c r="M56" s="68">
        <v>0.25043463780468855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2.3906646332546123E-5</v>
      </c>
      <c r="J57" s="67" t="s">
        <v>231</v>
      </c>
      <c r="K57" s="68">
        <v>3.2205510952629459E-3</v>
      </c>
      <c r="L57" s="67" t="s">
        <v>231</v>
      </c>
      <c r="M57" s="68">
        <v>0.12228300474751488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2.5845413351971903E-7</v>
      </c>
      <c r="J58" s="67" t="s">
        <v>231</v>
      </c>
      <c r="K58" s="68">
        <v>9.1200571651646749E-5</v>
      </c>
      <c r="L58" s="67" t="s">
        <v>231</v>
      </c>
      <c r="M58" s="68">
        <v>1.5165136156575219E-3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5.7441983092113064E-6</v>
      </c>
      <c r="J59" s="67" t="s">
        <v>231</v>
      </c>
      <c r="K59" s="68">
        <v>1.2370004831901394E-3</v>
      </c>
      <c r="L59" s="67" t="s">
        <v>231</v>
      </c>
      <c r="M59" s="68">
        <v>4.6934124949064668E-2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8.9711285739834036E-8</v>
      </c>
      <c r="J60" s="67" t="s">
        <v>231</v>
      </c>
      <c r="K60" s="68">
        <v>2.1618949596005441E-5</v>
      </c>
      <c r="L60" s="67" t="s">
        <v>231</v>
      </c>
      <c r="M60" s="68">
        <v>8.1091060912462582E-4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3.3611094600496556E-2</v>
      </c>
      <c r="J61" s="67" t="s">
        <v>232</v>
      </c>
      <c r="K61" s="68">
        <v>9.6925684257099659E-3</v>
      </c>
      <c r="L61" s="67" t="s">
        <v>231</v>
      </c>
      <c r="M61" s="68">
        <v>0.36055664276790306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3.7269434198620985E-5</v>
      </c>
      <c r="J62" s="67" t="s">
        <v>231</v>
      </c>
      <c r="K62" s="68">
        <v>4.2625784076254739E-2</v>
      </c>
      <c r="L62" s="67" t="s">
        <v>231</v>
      </c>
      <c r="M62" s="68">
        <v>1.6485803352247836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2.5699982512664057E-4</v>
      </c>
      <c r="J63" s="67" t="s">
        <v>231</v>
      </c>
      <c r="K63" s="68">
        <v>0.10144640558212489</v>
      </c>
      <c r="L63" s="67" t="s">
        <v>231</v>
      </c>
      <c r="M63" s="68">
        <v>3.9526418091066242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1.8564308302375013E-4</v>
      </c>
      <c r="J64" s="67" t="s">
        <v>231</v>
      </c>
      <c r="K64" s="68">
        <v>0.11551005763231094</v>
      </c>
      <c r="L64" s="67" t="s">
        <v>231</v>
      </c>
      <c r="M64" s="68">
        <v>4.5124312762092202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2.8405740112055343E-4</v>
      </c>
      <c r="J65" s="67" t="s">
        <v>231</v>
      </c>
      <c r="K65" s="68">
        <v>0.12553961048203838</v>
      </c>
      <c r="L65" s="67" t="s">
        <v>231</v>
      </c>
      <c r="M65" s="68">
        <v>4.9187499713110814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1.1202308401872885E-6</v>
      </c>
      <c r="J66" s="67" t="s">
        <v>231</v>
      </c>
      <c r="K66" s="68">
        <v>0.12049206967877225</v>
      </c>
      <c r="L66" s="67" t="s">
        <v>231</v>
      </c>
      <c r="M66" s="68">
        <v>4.7130716171151823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3.7233140166996031E-4</v>
      </c>
      <c r="J67" s="67" t="s">
        <v>231</v>
      </c>
      <c r="K67" s="68">
        <v>1.6861856421549011E-3</v>
      </c>
      <c r="L67" s="67" t="s">
        <v>231</v>
      </c>
      <c r="M67" s="68">
        <v>3.7318262554986006E-2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1.4812268333553458E-4</v>
      </c>
      <c r="J68" s="67" t="s">
        <v>231</v>
      </c>
      <c r="K68" s="68">
        <v>2.2873110117053288E-3</v>
      </c>
      <c r="L68" s="67" t="s">
        <v>231</v>
      </c>
      <c r="M68" s="68">
        <v>6.2508799408195412E-2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2.0409806467220641E-7</v>
      </c>
      <c r="J69" s="67" t="s">
        <v>231</v>
      </c>
      <c r="K69" s="68">
        <v>7.1606546543418345E-2</v>
      </c>
      <c r="L69" s="67" t="s">
        <v>231</v>
      </c>
      <c r="M69" s="68">
        <v>2.7792411106516335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2.2066164201073701E-4</v>
      </c>
      <c r="J70" s="67" t="s">
        <v>231</v>
      </c>
      <c r="K70" s="68">
        <v>1.688589710813649E-2</v>
      </c>
      <c r="L70" s="67" t="s">
        <v>231</v>
      </c>
      <c r="M70" s="68">
        <v>0.64806199146697474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2.7714247729570857E-4</v>
      </c>
      <c r="J71" s="67" t="s">
        <v>231</v>
      </c>
      <c r="K71" s="68">
        <v>2.1418032058439979E-3</v>
      </c>
      <c r="L71" s="67" t="s">
        <v>231</v>
      </c>
      <c r="M71" s="68">
        <v>5.6962915575782445E-2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1.3348527905114647E-6</v>
      </c>
      <c r="J72" s="67" t="s">
        <v>231</v>
      </c>
      <c r="K72" s="68">
        <v>1.6573905012988055E-2</v>
      </c>
      <c r="L72" s="67" t="s">
        <v>231</v>
      </c>
      <c r="M72" s="68">
        <v>0.63570022475170351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4.863547149542357E-3</v>
      </c>
      <c r="J73" s="67" t="s">
        <v>231</v>
      </c>
      <c r="K73" s="68">
        <v>9.9941087326815455E-3</v>
      </c>
      <c r="L73" s="67" t="s">
        <v>231</v>
      </c>
      <c r="M73" s="68">
        <v>0.37291131306902936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4.6239829599848091E-2</v>
      </c>
      <c r="J74" s="67" t="s">
        <v>232</v>
      </c>
      <c r="K74" s="68">
        <v>1.6818745864719747E-2</v>
      </c>
      <c r="L74" s="67" t="s">
        <v>231</v>
      </c>
      <c r="M74" s="68">
        <v>0.64537480539515868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2.2626404030643529E-13</v>
      </c>
      <c r="J75" s="67" t="s">
        <v>231</v>
      </c>
      <c r="K75" s="68">
        <v>1.0907166315035723E-2</v>
      </c>
      <c r="L75" s="67" t="s">
        <v>231</v>
      </c>
      <c r="M75" s="68">
        <v>0.54711523794586336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1.2447870915781715E-13</v>
      </c>
      <c r="J76" s="67" t="s">
        <v>231</v>
      </c>
      <c r="K76" s="68">
        <v>1.0907166320857791E-2</v>
      </c>
      <c r="L76" s="67" t="s">
        <v>231</v>
      </c>
      <c r="M76" s="68">
        <v>0.54711523823790464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2.4889053665294343E-7</v>
      </c>
      <c r="J77" s="67" t="s">
        <v>231</v>
      </c>
      <c r="K77" s="68">
        <v>1.4028677802266444E-2</v>
      </c>
      <c r="L77" s="67" t="s">
        <v>231</v>
      </c>
      <c r="M77" s="68">
        <v>0.53382169945624769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9.0857493884183597E-4</v>
      </c>
      <c r="J78" s="67" t="s">
        <v>231</v>
      </c>
      <c r="K78" s="68">
        <v>4.7565304257629103E-3</v>
      </c>
      <c r="L78" s="67" t="s">
        <v>231</v>
      </c>
      <c r="M78" s="68">
        <v>0.16374175301192614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1.6750995302206203E-5</v>
      </c>
      <c r="J79" s="67" t="s">
        <v>231</v>
      </c>
      <c r="K79" s="68">
        <v>7.8213026470666108E-3</v>
      </c>
      <c r="L79" s="67" t="s">
        <v>231</v>
      </c>
      <c r="M79" s="68">
        <v>0.28605032223215004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1.3399150252348895E-14</v>
      </c>
      <c r="J80" s="67" t="s">
        <v>231</v>
      </c>
      <c r="K80" s="68">
        <v>2.1071067741583589E-2</v>
      </c>
      <c r="L80" s="67" t="s">
        <v>231</v>
      </c>
      <c r="M80" s="68">
        <v>1.0571937505392053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2.2035010939939457E-5</v>
      </c>
      <c r="J81" s="67" t="s">
        <v>231</v>
      </c>
      <c r="K81" s="68">
        <v>8.8185314704114439E-4</v>
      </c>
      <c r="L81" s="67" t="s">
        <v>231</v>
      </c>
      <c r="M81" s="68">
        <v>1.685970769932311E-3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3.3317527801724858E-5</v>
      </c>
      <c r="J82" s="67" t="s">
        <v>231</v>
      </c>
      <c r="K82" s="68">
        <v>2.6338508103552483E-3</v>
      </c>
      <c r="L82" s="67" t="s">
        <v>231</v>
      </c>
      <c r="M82" s="68">
        <v>7.6463415665457196E-2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2.7585074846437005E-5</v>
      </c>
      <c r="J83" s="67" t="s">
        <v>231</v>
      </c>
      <c r="K83" s="68">
        <v>1.3658954981518904E-2</v>
      </c>
      <c r="L83" s="67" t="s">
        <v>231</v>
      </c>
      <c r="M83" s="68">
        <v>0.51850098927350763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6.0637068501424677E-6</v>
      </c>
      <c r="J84" s="67" t="s">
        <v>231</v>
      </c>
      <c r="K84" s="68">
        <v>9.8595863510556091E-4</v>
      </c>
      <c r="L84" s="67" t="s">
        <v>231</v>
      </c>
      <c r="M84" s="68">
        <v>6.8328138851799971E-3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3.3087028039275124E-8</v>
      </c>
      <c r="J85" s="67" t="s">
        <v>231</v>
      </c>
      <c r="K85" s="68">
        <v>8.616829553437606E-4</v>
      </c>
      <c r="L85" s="67" t="s">
        <v>231</v>
      </c>
      <c r="M85" s="68">
        <v>3.4581836409444016E-4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2.3795624914765636E-6</v>
      </c>
      <c r="J86" s="67" t="s">
        <v>231</v>
      </c>
      <c r="K86" s="68">
        <v>9.7951835582656328E-4</v>
      </c>
      <c r="L86" s="67" t="s">
        <v>231</v>
      </c>
      <c r="M86" s="68">
        <v>6.5326649526803197E-3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2.8598347479781095E-3</v>
      </c>
      <c r="J87" s="67" t="s">
        <v>231</v>
      </c>
      <c r="K87" s="68">
        <v>9.4752296025895619E-2</v>
      </c>
      <c r="L87" s="67" t="s">
        <v>231</v>
      </c>
      <c r="M87" s="68">
        <v>3.6881857700844645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9.8497684253059652E-5</v>
      </c>
      <c r="J88" s="67" t="s">
        <v>231</v>
      </c>
      <c r="K88" s="68">
        <v>4.0758209889335635E-3</v>
      </c>
      <c r="L88" s="67" t="s">
        <v>231</v>
      </c>
      <c r="M88" s="68">
        <v>0.13523975106931777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2.6833319950791547E-5</v>
      </c>
      <c r="J89" s="67" t="s">
        <v>231</v>
      </c>
      <c r="K89" s="68">
        <v>2.8553391929191604E-3</v>
      </c>
      <c r="L89" s="67" t="s">
        <v>231</v>
      </c>
      <c r="M89" s="68">
        <v>8.554518163030525E-2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1.760424769676894E-6</v>
      </c>
      <c r="J90" s="67" t="s">
        <v>231</v>
      </c>
      <c r="K90" s="68">
        <v>1.343991524576959E-3</v>
      </c>
      <c r="L90" s="67" t="s">
        <v>231</v>
      </c>
      <c r="M90" s="68">
        <v>2.2642173405706498E-2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2.2560053141634827E-3</v>
      </c>
      <c r="J91" s="67" t="s">
        <v>231</v>
      </c>
      <c r="K91" s="68">
        <v>4.6732293971712552E-2</v>
      </c>
      <c r="L91" s="67" t="s">
        <v>231</v>
      </c>
      <c r="M91" s="68">
        <v>1.8083881681957539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1.8435280866370488E-2</v>
      </c>
      <c r="J92" s="67" t="s">
        <v>232</v>
      </c>
      <c r="K92" s="68">
        <v>1.2280659859514811E-2</v>
      </c>
      <c r="L92" s="67" t="s">
        <v>231</v>
      </c>
      <c r="M92" s="68">
        <v>0.46362870365251196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5.6295749988251763E-3</v>
      </c>
      <c r="J93" s="67" t="s">
        <v>231</v>
      </c>
      <c r="K93" s="68">
        <v>1.6487236352401988E-2</v>
      </c>
      <c r="L93" s="67" t="s">
        <v>231</v>
      </c>
      <c r="M93" s="68">
        <v>0.63165181467410381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6.4794571490242981E-9</v>
      </c>
      <c r="J94" s="67" t="s">
        <v>231</v>
      </c>
      <c r="K94" s="68">
        <v>1.0090013513540221E-3</v>
      </c>
      <c r="L94" s="67" t="s">
        <v>231</v>
      </c>
      <c r="M94" s="68">
        <v>1.187356131359063E-2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4.3643485310270624E-5</v>
      </c>
      <c r="J95" s="67" t="s">
        <v>231</v>
      </c>
      <c r="K95" s="68">
        <v>2.3602750485599223E-2</v>
      </c>
      <c r="L95" s="67" t="s">
        <v>231</v>
      </c>
      <c r="M95" s="68">
        <v>0.90994518765270682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9.716376611622161E-8</v>
      </c>
      <c r="J96" s="67" t="s">
        <v>231</v>
      </c>
      <c r="K96" s="68">
        <v>8.8400050274837496E-4</v>
      </c>
      <c r="L96" s="67" t="s">
        <v>231</v>
      </c>
      <c r="M96" s="68">
        <v>1.8062836507968458E-3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3.4438104245333895E-8</v>
      </c>
      <c r="J97" s="67" t="s">
        <v>231</v>
      </c>
      <c r="K97" s="68">
        <v>9.8929608314201256E-4</v>
      </c>
      <c r="L97" s="67" t="s">
        <v>231</v>
      </c>
      <c r="M97" s="68">
        <v>6.9878850313107128E-3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8.5974963821809975E-6</v>
      </c>
      <c r="J98" s="67" t="s">
        <v>231</v>
      </c>
      <c r="K98" s="68">
        <v>1.71647920199344E-2</v>
      </c>
      <c r="L98" s="67" t="s">
        <v>231</v>
      </c>
      <c r="M98" s="68">
        <v>0.65955339380089339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4.1998278084477666E-8</v>
      </c>
      <c r="J99" s="67" t="s">
        <v>231</v>
      </c>
      <c r="K99" s="68">
        <v>8.6052471159404691E-4</v>
      </c>
      <c r="L99" s="67" t="s">
        <v>231</v>
      </c>
      <c r="M99" s="68">
        <v>1.7822690904988471E-4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4.9906681063961893E-5</v>
      </c>
      <c r="J100" s="67" t="s">
        <v>231</v>
      </c>
      <c r="K100" s="68">
        <v>7.135221223716297E-3</v>
      </c>
      <c r="L100" s="67" t="s">
        <v>231</v>
      </c>
      <c r="M100" s="68">
        <v>0.25838274593195137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1.3094900173393186E-5</v>
      </c>
      <c r="J101" s="67" t="s">
        <v>231</v>
      </c>
      <c r="K101" s="68">
        <v>8.6277397312231835E-4</v>
      </c>
      <c r="L101" s="67" t="s">
        <v>231</v>
      </c>
      <c r="M101" s="68">
        <v>4.5165375813874519E-4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6.4547099850065118E-11</v>
      </c>
      <c r="J102" s="67" t="s">
        <v>231</v>
      </c>
      <c r="K102" s="68">
        <v>8.6101676588637584E-4</v>
      </c>
      <c r="L102" s="67" t="s">
        <v>231</v>
      </c>
      <c r="M102" s="68">
        <v>3.824354067909492E-5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9.1878632763377363E-9</v>
      </c>
      <c r="J103" s="67" t="s">
        <v>231</v>
      </c>
      <c r="K103" s="68">
        <v>8.6049150377883409E-4</v>
      </c>
      <c r="L103" s="67" t="s">
        <v>231</v>
      </c>
      <c r="M103" s="68">
        <v>1.6814851599682978E-4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4.2177683920620787E-7</v>
      </c>
      <c r="J104" s="67" t="s">
        <v>231</v>
      </c>
      <c r="K104" s="68">
        <v>9.2325992758645736E-4</v>
      </c>
      <c r="L104" s="67" t="s">
        <v>231</v>
      </c>
      <c r="M104" s="68">
        <v>3.8402783067239283E-3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5.8061942066310923E-8</v>
      </c>
      <c r="J105" s="67" t="s">
        <v>231</v>
      </c>
      <c r="K105" s="68">
        <v>8.6079228458399817E-4</v>
      </c>
      <c r="L105" s="67" t="s">
        <v>231</v>
      </c>
      <c r="M105" s="68">
        <v>5.3025470216500307E-5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5.0658101078046747E-7</v>
      </c>
      <c r="J106" s="67" t="s">
        <v>231</v>
      </c>
      <c r="K106" s="68">
        <v>1.6233619272569802E-3</v>
      </c>
      <c r="L106" s="67" t="s">
        <v>231</v>
      </c>
      <c r="M106" s="68">
        <v>3.4516753995344943E-2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6.1367611216986716E-5</v>
      </c>
      <c r="J107" s="67" t="s">
        <v>231</v>
      </c>
      <c r="K107" s="68">
        <v>1.7280756871385382E-2</v>
      </c>
      <c r="L107" s="67" t="s">
        <v>231</v>
      </c>
      <c r="M107" s="68">
        <v>0.66463436145915522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6.7311713939765698E-5</v>
      </c>
      <c r="J108" s="67" t="s">
        <v>231</v>
      </c>
      <c r="K108" s="68">
        <v>6.0397353664989623E-3</v>
      </c>
      <c r="L108" s="67" t="s">
        <v>231</v>
      </c>
      <c r="M108" s="68">
        <v>0.21444219853431873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0.82013010267277087</v>
      </c>
      <c r="F2" s="14">
        <v>0.7755444974665846</v>
      </c>
      <c r="G2" s="14">
        <v>1.0077555730119785E-6</v>
      </c>
      <c r="H2" s="14">
        <v>10.479166019199665</v>
      </c>
      <c r="I2" s="14">
        <v>28.260763560941911</v>
      </c>
      <c r="J2" s="14">
        <v>0</v>
      </c>
      <c r="K2" s="14">
        <v>1.2894166656673189</v>
      </c>
      <c r="L2" s="14">
        <v>0.7755444974665846</v>
      </c>
      <c r="M2" s="14">
        <v>0.63633426017133266</v>
      </c>
      <c r="N2" s="14">
        <v>2.0629353749553259</v>
      </c>
      <c r="O2" s="14">
        <v>379.8070318830251</v>
      </c>
      <c r="P2" s="8">
        <v>2.0629353749553263</v>
      </c>
      <c r="Q2" s="54">
        <v>0.12061015945167282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0.86959625901690618</v>
      </c>
      <c r="F3" s="14">
        <v>6.3421539561449975E-4</v>
      </c>
      <c r="G3" s="14">
        <v>3.8456102619370452E-5</v>
      </c>
      <c r="H3" s="14">
        <v>66.578925259436573</v>
      </c>
      <c r="I3" s="14">
        <v>1670.2979616152327</v>
      </c>
      <c r="J3" s="14">
        <v>0</v>
      </c>
      <c r="K3" s="14">
        <v>1576.7513796020146</v>
      </c>
      <c r="L3" s="14">
        <v>6.3421539561449975E-4</v>
      </c>
      <c r="M3" s="14">
        <v>5.2037373210169705E-4</v>
      </c>
      <c r="N3" s="14">
        <v>89.822436975986449</v>
      </c>
      <c r="O3" s="14">
        <v>32777.105476907214</v>
      </c>
      <c r="P3" s="8">
        <v>89.822436975986449</v>
      </c>
      <c r="Q3" s="54">
        <v>5.3431079811384868E-2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0.66259838434700902</v>
      </c>
      <c r="F4" s="14">
        <v>0.3537744465153676</v>
      </c>
      <c r="G4" s="14">
        <v>4.8860167094810644E-14</v>
      </c>
      <c r="H4" s="14">
        <v>71.174833550464527</v>
      </c>
      <c r="I4" s="14">
        <v>157.31988886837502</v>
      </c>
      <c r="J4" s="14">
        <v>0</v>
      </c>
      <c r="K4" s="14">
        <v>2.8266597823835782</v>
      </c>
      <c r="L4" s="14">
        <v>0.35377444651536766</v>
      </c>
      <c r="M4" s="14">
        <v>0.29027193336585916</v>
      </c>
      <c r="N4" s="14">
        <v>8.2223664860522767</v>
      </c>
      <c r="O4" s="14">
        <v>2609.1213333541086</v>
      </c>
      <c r="P4" s="8">
        <v>8.2223664860522767</v>
      </c>
      <c r="Q4" s="54">
        <v>0.22479343875765928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0.87035330410354828</v>
      </c>
      <c r="F5" s="14">
        <v>6.8739065663095894E-3</v>
      </c>
      <c r="G5" s="14">
        <v>1.3203592501729765E-6</v>
      </c>
      <c r="H5" s="14">
        <v>190.22326194943858</v>
      </c>
      <c r="I5" s="14">
        <v>511.11755245182121</v>
      </c>
      <c r="J5" s="14">
        <v>0</v>
      </c>
      <c r="K5" s="14">
        <v>145.47768293814215</v>
      </c>
      <c r="L5" s="14">
        <v>6.8739065663095903E-3</v>
      </c>
      <c r="M5" s="14">
        <v>5.6400403376570185E-3</v>
      </c>
      <c r="N5" s="14">
        <v>26.750234869499781</v>
      </c>
      <c r="O5" s="14">
        <v>9378.3648428979268</v>
      </c>
      <c r="P5" s="8">
        <v>26.750234869499781</v>
      </c>
      <c r="Q5" s="54">
        <v>7.7825298564019596E-2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0.88387952155972027</v>
      </c>
      <c r="F6" s="14">
        <v>2.8377014657358213E-4</v>
      </c>
      <c r="G6" s="14">
        <v>1.2535890564859531E-7</v>
      </c>
      <c r="H6" s="14">
        <v>42.484127594951666</v>
      </c>
      <c r="I6" s="14">
        <v>1931.8965871910739</v>
      </c>
      <c r="J6" s="14">
        <v>0</v>
      </c>
      <c r="K6" s="14">
        <v>3523.9788683715465</v>
      </c>
      <c r="L6" s="14">
        <v>2.8377014657358219E-4</v>
      </c>
      <c r="M6" s="14">
        <v>2.3283340526362417E-4</v>
      </c>
      <c r="N6" s="14">
        <v>104.65294808805943</v>
      </c>
      <c r="O6" s="14">
        <v>37098.423567736194</v>
      </c>
      <c r="P6" s="8">
        <v>104.65294808805945</v>
      </c>
      <c r="Q6" s="54">
        <v>4.0792833735248661E-2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0.87417686442267606</v>
      </c>
      <c r="F7" s="14">
        <v>5.676275337246565E-4</v>
      </c>
      <c r="G7" s="14">
        <v>1.84991571258925E-7</v>
      </c>
      <c r="H7" s="14">
        <v>62.765855620439964</v>
      </c>
      <c r="I7" s="14">
        <v>1717.8317455609813</v>
      </c>
      <c r="J7" s="14">
        <v>0</v>
      </c>
      <c r="K7" s="14">
        <v>1761.718628126094</v>
      </c>
      <c r="L7" s="14">
        <v>5.676275337246565E-4</v>
      </c>
      <c r="M7" s="14">
        <v>4.6573839142108065E-4</v>
      </c>
      <c r="N7" s="14">
        <v>92.47745356468576</v>
      </c>
      <c r="O7" s="14">
        <v>32782.332514145455</v>
      </c>
      <c r="P7" s="8">
        <v>92.47745356468576</v>
      </c>
      <c r="Q7" s="54">
        <v>5.1710724701660944E-2</v>
      </c>
    </row>
    <row r="8" spans="1:20">
      <c r="A8" s="2" t="s">
        <v>323</v>
      </c>
      <c r="B8" s="16" t="s">
        <v>324</v>
      </c>
      <c r="D8" s="14">
        <v>1</v>
      </c>
      <c r="E8" s="14">
        <v>0.86411045219971905</v>
      </c>
      <c r="F8" s="14">
        <v>1.2673688887692156E-3</v>
      </c>
      <c r="G8" s="14">
        <v>1.7512636348146421E-6</v>
      </c>
      <c r="H8" s="14">
        <v>95.746529663707491</v>
      </c>
      <c r="I8" s="14">
        <v>1384.1406159290457</v>
      </c>
      <c r="J8" s="14">
        <v>0</v>
      </c>
      <c r="K8" s="14">
        <v>789.03625366023743</v>
      </c>
      <c r="L8" s="14">
        <v>1.2673688887692156E-3</v>
      </c>
      <c r="M8" s="14">
        <v>1.0398761732351414E-3</v>
      </c>
      <c r="N8" s="14">
        <v>73.932454765134807</v>
      </c>
      <c r="O8" s="14">
        <v>23661.342823033745</v>
      </c>
      <c r="P8" s="8">
        <v>73.932454765134807</v>
      </c>
      <c r="Q8" s="54">
        <v>6.5069910993214797E-2</v>
      </c>
    </row>
    <row r="9" spans="1:20">
      <c r="A9" s="2" t="s">
        <v>325</v>
      </c>
      <c r="B9" s="16" t="s">
        <v>326</v>
      </c>
      <c r="D9" s="14">
        <v>1</v>
      </c>
      <c r="E9" s="14">
        <v>0.76952096756993849</v>
      </c>
      <c r="F9" s="14">
        <v>5.9237762549925729E-2</v>
      </c>
      <c r="G9" s="14">
        <v>1.1199203448341445E-6</v>
      </c>
      <c r="H9" s="14">
        <v>168.79463801296436</v>
      </c>
      <c r="I9" s="14">
        <v>306.91337665453591</v>
      </c>
      <c r="J9" s="14">
        <v>0</v>
      </c>
      <c r="K9" s="14">
        <v>16.881123745300098</v>
      </c>
      <c r="L9" s="14">
        <v>5.9237762549925729E-2</v>
      </c>
      <c r="M9" s="14">
        <v>4.8604584172214062E-2</v>
      </c>
      <c r="N9" s="14">
        <v>15.787896490203243</v>
      </c>
      <c r="O9" s="14">
        <v>4805.0462967933572</v>
      </c>
      <c r="P9" s="8">
        <v>15.787896490203243</v>
      </c>
      <c r="Q9" s="54">
        <v>0.14983587809971091</v>
      </c>
    </row>
    <row r="10" spans="1:20">
      <c r="A10" s="2" t="s">
        <v>275</v>
      </c>
      <c r="B10" s="16" t="s">
        <v>276</v>
      </c>
      <c r="D10" s="14">
        <v>1</v>
      </c>
      <c r="E10" s="14">
        <v>0.86892188283863681</v>
      </c>
      <c r="F10" s="14">
        <v>6.3881230204131598E-3</v>
      </c>
      <c r="G10" s="14">
        <v>1.69520318135909E-8</v>
      </c>
      <c r="H10" s="14">
        <v>186.20582857458649</v>
      </c>
      <c r="I10" s="14">
        <v>545.82125268468769</v>
      </c>
      <c r="J10" s="14">
        <v>0</v>
      </c>
      <c r="K10" s="14">
        <v>156.54050443369883</v>
      </c>
      <c r="L10" s="14">
        <v>6.3881230204131606E-3</v>
      </c>
      <c r="M10" s="14">
        <v>5.241454938248998E-3</v>
      </c>
      <c r="N10" s="14">
        <v>28.596023836817853</v>
      </c>
      <c r="O10" s="14">
        <v>10594.540871302646</v>
      </c>
      <c r="P10" s="8">
        <v>28.596023836817857</v>
      </c>
      <c r="Q10" s="54">
        <v>7.8207867088186292E-2</v>
      </c>
    </row>
    <row r="11" spans="1:20">
      <c r="A11" s="2" t="s">
        <v>327</v>
      </c>
      <c r="B11" s="16" t="s">
        <v>328</v>
      </c>
      <c r="D11" s="14">
        <v>1</v>
      </c>
      <c r="E11" s="14">
        <v>0.86652880207127592</v>
      </c>
      <c r="F11" s="14">
        <v>5.6356053189188958E-3</v>
      </c>
      <c r="G11" s="14">
        <v>8.8183850478762713E-7</v>
      </c>
      <c r="H11" s="14">
        <v>179.1268011562039</v>
      </c>
      <c r="I11" s="14">
        <v>607.04060370564378</v>
      </c>
      <c r="J11" s="14">
        <v>0</v>
      </c>
      <c r="K11" s="14">
        <v>177.44322808465134</v>
      </c>
      <c r="L11" s="14">
        <v>5.6356053189188966E-3</v>
      </c>
      <c r="M11" s="14">
        <v>4.6240141641729548E-3</v>
      </c>
      <c r="N11" s="14">
        <v>31.858414140985584</v>
      </c>
      <c r="O11" s="14">
        <v>12135.18853044282</v>
      </c>
      <c r="P11" s="8">
        <v>31.858414140985584</v>
      </c>
      <c r="Q11" s="54">
        <v>7.8599130394694947E-2</v>
      </c>
    </row>
    <row r="12" spans="1:20">
      <c r="A12" s="2" t="s">
        <v>329</v>
      </c>
      <c r="B12" s="16" t="s">
        <v>330</v>
      </c>
      <c r="D12" s="14">
        <v>1</v>
      </c>
      <c r="E12" s="14">
        <v>0.80387984442626614</v>
      </c>
      <c r="F12" s="14">
        <v>3.801170751821855E-2</v>
      </c>
      <c r="G12" s="14">
        <v>5.8582225552080246E-7</v>
      </c>
      <c r="H12" s="14">
        <v>183.12067432492859</v>
      </c>
      <c r="I12" s="14">
        <v>320.32774001002088</v>
      </c>
      <c r="J12" s="14">
        <v>0</v>
      </c>
      <c r="K12" s="14">
        <v>26.307684271239648</v>
      </c>
      <c r="L12" s="14">
        <v>3.801170751821855E-2</v>
      </c>
      <c r="M12" s="14">
        <v>3.1188606018698321E-2</v>
      </c>
      <c r="N12" s="14">
        <v>16.518234179511921</v>
      </c>
      <c r="O12" s="14">
        <v>4532.6034588580706</v>
      </c>
      <c r="P12" s="8">
        <v>16.518234179511921</v>
      </c>
      <c r="Q12" s="54">
        <v>0.12641381841638474</v>
      </c>
    </row>
    <row r="13" spans="1:20">
      <c r="A13" s="2" t="s">
        <v>277</v>
      </c>
      <c r="B13" s="16" t="s">
        <v>278</v>
      </c>
      <c r="D13" s="14">
        <v>1</v>
      </c>
      <c r="E13" s="14">
        <v>0.77280903750212371</v>
      </c>
      <c r="F13" s="14">
        <v>5.6833051813598823E-2</v>
      </c>
      <c r="G13" s="14">
        <v>1.7430484743258656E-6</v>
      </c>
      <c r="H13" s="14">
        <v>170.24759177919026</v>
      </c>
      <c r="I13" s="14">
        <v>308.41688616266327</v>
      </c>
      <c r="J13" s="14">
        <v>0</v>
      </c>
      <c r="K13" s="14">
        <v>17.595395075383287</v>
      </c>
      <c r="L13" s="14">
        <v>5.6833051813598823E-2</v>
      </c>
      <c r="M13" s="14">
        <v>4.6631519013057836E-2</v>
      </c>
      <c r="N13" s="14">
        <v>15.868481094333111</v>
      </c>
      <c r="O13" s="14">
        <v>6457.3610117169728</v>
      </c>
      <c r="P13" s="8">
        <v>15.868481094333111</v>
      </c>
      <c r="Q13" s="54">
        <v>0.14754963793027631</v>
      </c>
    </row>
    <row r="14" spans="1:20">
      <c r="A14" s="2" t="s">
        <v>331</v>
      </c>
      <c r="B14" s="16" t="s">
        <v>332</v>
      </c>
      <c r="D14" s="14">
        <v>1</v>
      </c>
      <c r="E14" s="14">
        <v>0.86151466966048718</v>
      </c>
      <c r="F14" s="14">
        <v>3.7264894357499035E-3</v>
      </c>
      <c r="G14" s="14">
        <v>5.8560986226229025E-7</v>
      </c>
      <c r="H14" s="14">
        <v>154.91015710290779</v>
      </c>
      <c r="I14" s="14">
        <v>823.07055479021813</v>
      </c>
      <c r="J14" s="14">
        <v>0</v>
      </c>
      <c r="K14" s="14">
        <v>268.34907685677206</v>
      </c>
      <c r="L14" s="14">
        <v>3.7264894357499035E-3</v>
      </c>
      <c r="M14" s="14">
        <v>3.057584582032796E-3</v>
      </c>
      <c r="N14" s="14">
        <v>43.430480005397953</v>
      </c>
      <c r="O14" s="14">
        <v>16543.104138856135</v>
      </c>
      <c r="P14" s="8">
        <v>43.430480005397953</v>
      </c>
      <c r="Q14" s="54">
        <v>7.7846136810100372E-2</v>
      </c>
    </row>
    <row r="15" spans="1:20">
      <c r="A15" s="2" t="s">
        <v>333</v>
      </c>
      <c r="B15" s="16" t="s">
        <v>334</v>
      </c>
      <c r="D15" s="14">
        <v>1</v>
      </c>
      <c r="E15" s="14">
        <v>0.86772263248886772</v>
      </c>
      <c r="F15" s="14">
        <v>6.0031136955717816E-3</v>
      </c>
      <c r="G15" s="14">
        <v>9.6056123590756981E-10</v>
      </c>
      <c r="H15" s="14">
        <v>182.72441019483628</v>
      </c>
      <c r="I15" s="14">
        <v>575.90883290056513</v>
      </c>
      <c r="J15" s="14">
        <v>0</v>
      </c>
      <c r="K15" s="14">
        <v>166.58021998444798</v>
      </c>
      <c r="L15" s="14">
        <v>6.0031136955717825E-3</v>
      </c>
      <c r="M15" s="14">
        <v>4.9255547872166473E-3</v>
      </c>
      <c r="N15" s="14">
        <v>30.198404121892256</v>
      </c>
      <c r="O15" s="14">
        <v>11610.682416785136</v>
      </c>
      <c r="P15" s="8">
        <v>30.198404121892256</v>
      </c>
      <c r="Q15" s="54">
        <v>7.8442917795747746E-2</v>
      </c>
    </row>
    <row r="16" spans="1:20">
      <c r="A16" s="2" t="s">
        <v>335</v>
      </c>
      <c r="B16" s="16" t="s">
        <v>336</v>
      </c>
      <c r="D16" s="14">
        <v>1</v>
      </c>
      <c r="E16" s="14">
        <v>0.86355783632314054</v>
      </c>
      <c r="F16" s="14">
        <v>1.311474269855651E-3</v>
      </c>
      <c r="G16" s="14">
        <v>4.5508053728994432E-6</v>
      </c>
      <c r="H16" s="14">
        <v>97.377758725232781</v>
      </c>
      <c r="I16" s="14">
        <v>1367.4672852782094</v>
      </c>
      <c r="J16" s="14">
        <v>0</v>
      </c>
      <c r="K16" s="14">
        <v>762.50066279231396</v>
      </c>
      <c r="L16" s="14">
        <v>1.311474269855651E-3</v>
      </c>
      <c r="M16" s="14">
        <v>1.0760646384165616E-3</v>
      </c>
      <c r="N16" s="14">
        <v>73.015927009300185</v>
      </c>
      <c r="O16" s="14">
        <v>27258.305871111948</v>
      </c>
      <c r="P16" s="8">
        <v>73.015927009300199</v>
      </c>
      <c r="Q16" s="54">
        <v>6.5601979666436799E-2</v>
      </c>
    </row>
    <row r="17" spans="1:21">
      <c r="A17" s="2" t="s">
        <v>337</v>
      </c>
      <c r="B17" s="16" t="s">
        <v>338</v>
      </c>
      <c r="D17" s="14">
        <v>1</v>
      </c>
      <c r="E17" s="14">
        <v>0.86990820776144828</v>
      </c>
      <c r="F17" s="14">
        <v>6.7092831402909515E-3</v>
      </c>
      <c r="G17" s="14">
        <v>3.3906628484722051E-7</v>
      </c>
      <c r="H17" s="14">
        <v>188.91050980795347</v>
      </c>
      <c r="I17" s="14">
        <v>522.53247995328411</v>
      </c>
      <c r="J17" s="14">
        <v>0</v>
      </c>
      <c r="K17" s="14">
        <v>149.04721996225581</v>
      </c>
      <c r="L17" s="14">
        <v>6.7092831402909524E-3</v>
      </c>
      <c r="M17" s="14">
        <v>5.504966816608726E-3</v>
      </c>
      <c r="N17" s="14">
        <v>27.357055409553396</v>
      </c>
      <c r="O17" s="14">
        <v>10650.648812047328</v>
      </c>
      <c r="P17" s="8">
        <v>27.357055409553396</v>
      </c>
      <c r="Q17" s="54">
        <v>7.7967442886647323E-2</v>
      </c>
    </row>
    <row r="18" spans="1:21">
      <c r="A18" s="2" t="s">
        <v>279</v>
      </c>
      <c r="B18" s="16" t="s">
        <v>280</v>
      </c>
      <c r="D18" s="14">
        <v>1</v>
      </c>
      <c r="E18" s="14">
        <v>0.75228564237929019</v>
      </c>
      <c r="F18" s="14">
        <v>7.0973811148907343E-2</v>
      </c>
      <c r="G18" s="14">
        <v>3.3662519211046062E-5</v>
      </c>
      <c r="H18" s="14">
        <v>161.47977164405435</v>
      </c>
      <c r="I18" s="14">
        <v>298.52128153506544</v>
      </c>
      <c r="J18" s="14">
        <v>0</v>
      </c>
      <c r="K18" s="14">
        <v>14.089704129061625</v>
      </c>
      <c r="L18" s="14">
        <v>7.0973811148907356E-2</v>
      </c>
      <c r="M18" s="14">
        <v>5.8234012047678481E-2</v>
      </c>
      <c r="N18" s="14">
        <v>15.343497708725435</v>
      </c>
      <c r="O18" s="14">
        <v>4462.3494386286184</v>
      </c>
      <c r="P18" s="8">
        <v>15.343497708725435</v>
      </c>
      <c r="Q18" s="54">
        <v>0.15965234332470488</v>
      </c>
    </row>
    <row r="19" spans="1:21">
      <c r="A19" s="2" t="s">
        <v>339</v>
      </c>
      <c r="B19" s="16" t="s">
        <v>340</v>
      </c>
      <c r="D19" s="14">
        <v>1</v>
      </c>
      <c r="E19" s="14">
        <v>0.86749124268633104</v>
      </c>
      <c r="F19" s="14">
        <v>5.9282827364860119E-3</v>
      </c>
      <c r="G19" s="14">
        <v>3.3661804693567549E-9</v>
      </c>
      <c r="H19" s="14">
        <v>182.01572429026501</v>
      </c>
      <c r="I19" s="14">
        <v>582.05775374841187</v>
      </c>
      <c r="J19" s="14">
        <v>0</v>
      </c>
      <c r="K19" s="14">
        <v>168.68291281814768</v>
      </c>
      <c r="L19" s="14">
        <v>5.9282827364860128E-3</v>
      </c>
      <c r="M19" s="14">
        <v>4.8641559852867734E-3</v>
      </c>
      <c r="N19" s="14">
        <v>30.526110962410538</v>
      </c>
      <c r="O19" s="14">
        <v>10551.350254157202</v>
      </c>
      <c r="P19" s="8">
        <v>30.526110962410538</v>
      </c>
      <c r="Q19" s="54">
        <v>7.8481280244661458E-2</v>
      </c>
    </row>
    <row r="20" spans="1:21">
      <c r="A20" s="2" t="s">
        <v>281</v>
      </c>
      <c r="B20" s="16" t="s">
        <v>282</v>
      </c>
      <c r="D20" s="14">
        <v>1</v>
      </c>
      <c r="E20" s="14">
        <v>0.77291193562911442</v>
      </c>
      <c r="F20" s="14">
        <v>5.6840619031758799E-2</v>
      </c>
      <c r="G20" s="14">
        <v>2.6385618978633269E-7</v>
      </c>
      <c r="H20" s="14">
        <v>170.27025993842321</v>
      </c>
      <c r="I20" s="14">
        <v>308.45795131379168</v>
      </c>
      <c r="J20" s="14">
        <v>0</v>
      </c>
      <c r="K20" s="14">
        <v>17.593052592218704</v>
      </c>
      <c r="L20" s="14">
        <v>5.6840619031758799E-2</v>
      </c>
      <c r="M20" s="14">
        <v>4.6637727915558098E-2</v>
      </c>
      <c r="N20" s="14">
        <v>15.870593953918799</v>
      </c>
      <c r="O20" s="14">
        <v>4622.4691950183897</v>
      </c>
      <c r="P20" s="8">
        <v>15.870593953918799</v>
      </c>
      <c r="Q20" s="54">
        <v>0.14756928389796614</v>
      </c>
    </row>
    <row r="21" spans="1:21">
      <c r="A21" s="2" t="s">
        <v>341</v>
      </c>
      <c r="B21" s="16" t="s">
        <v>342</v>
      </c>
      <c r="D21" s="14">
        <v>1</v>
      </c>
      <c r="E21" s="14">
        <v>0.86227087380253087</v>
      </c>
      <c r="F21" s="14">
        <v>4.2179514302225817E-3</v>
      </c>
      <c r="G21" s="14">
        <v>4.9076102201266878E-6</v>
      </c>
      <c r="H21" s="14">
        <v>162.19653588548479</v>
      </c>
      <c r="I21" s="14">
        <v>756.30808888072158</v>
      </c>
      <c r="J21" s="14">
        <v>0</v>
      </c>
      <c r="K21" s="14">
        <v>237.08191441816339</v>
      </c>
      <c r="L21" s="14">
        <v>4.2179514302225817E-3</v>
      </c>
      <c r="M21" s="14">
        <v>3.4608291484976286E-3</v>
      </c>
      <c r="N21" s="14">
        <v>39.844733400850231</v>
      </c>
      <c r="O21" s="14">
        <v>13359.142214637064</v>
      </c>
      <c r="P21" s="8">
        <v>39.844733400850231</v>
      </c>
      <c r="Q21" s="54">
        <v>7.8360779098173725E-2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0.71208338175017782</v>
      </c>
      <c r="F22" s="14">
        <v>0.56298870138013268</v>
      </c>
      <c r="G22" s="14">
        <v>2.1769485586350902E-5</v>
      </c>
      <c r="H22" s="14">
        <v>34.105127627904132</v>
      </c>
      <c r="I22" s="14">
        <v>82.352511782861995</v>
      </c>
      <c r="J22" s="14">
        <v>0</v>
      </c>
      <c r="K22" s="14">
        <v>1.7762345808158504</v>
      </c>
      <c r="L22" s="14">
        <v>0.56298870138013268</v>
      </c>
      <c r="M22" s="14">
        <v>0.46193222948239887</v>
      </c>
      <c r="N22" s="14">
        <v>4.5945480898941922</v>
      </c>
      <c r="O22" s="14">
        <v>754.42479636062637</v>
      </c>
      <c r="P22" s="8">
        <v>4.5945480898941931</v>
      </c>
      <c r="Q22" s="54">
        <v>0.19137131885017819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0.78272908927824347</v>
      </c>
      <c r="F23" s="14">
        <v>0.71221930768079833</v>
      </c>
      <c r="G23" s="14">
        <v>9.281586801456579E-7</v>
      </c>
      <c r="H23" s="14">
        <v>16.270231895288493</v>
      </c>
      <c r="I23" s="14">
        <v>42.213456437170741</v>
      </c>
      <c r="J23" s="14">
        <v>0</v>
      </c>
      <c r="K23" s="14">
        <v>1.4040619079203323</v>
      </c>
      <c r="L23" s="14">
        <v>0.71221930768079844</v>
      </c>
      <c r="M23" s="14">
        <v>0.58437594195209508</v>
      </c>
      <c r="N23" s="14">
        <v>2.7052564611671652</v>
      </c>
      <c r="O23" s="14">
        <v>408.92656667002865</v>
      </c>
      <c r="P23" s="8">
        <v>2.7052564611671652</v>
      </c>
      <c r="Q23" s="54">
        <v>0.14563002150216181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0.68348230997917081</v>
      </c>
      <c r="F24" s="14">
        <v>0.17381536980597445</v>
      </c>
      <c r="G24" s="14">
        <v>8.0030709013322725E-7</v>
      </c>
      <c r="H24" s="14">
        <v>119.07708010665591</v>
      </c>
      <c r="I24" s="14">
        <v>240.4835351673417</v>
      </c>
      <c r="J24" s="14">
        <v>0</v>
      </c>
      <c r="K24" s="14">
        <v>5.753231150480385</v>
      </c>
      <c r="L24" s="14">
        <v>0.17381536980597445</v>
      </c>
      <c r="M24" s="14">
        <v>0.14261551092580205</v>
      </c>
      <c r="N24" s="14">
        <v>12.357528223852272</v>
      </c>
      <c r="O24" s="14">
        <v>2178.014349453963</v>
      </c>
      <c r="P24" s="8">
        <v>12.357528223852274</v>
      </c>
      <c r="Q24" s="54">
        <v>0.20916323372314882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0.83299683393833379</v>
      </c>
      <c r="F25" s="14">
        <v>2.0681800044774067E-2</v>
      </c>
      <c r="G25" s="14">
        <v>1.4623684968003187E-4</v>
      </c>
      <c r="H25" s="14">
        <v>195.71690302584236</v>
      </c>
      <c r="I25" s="14">
        <v>325.75081109665939</v>
      </c>
      <c r="J25" s="14">
        <v>0</v>
      </c>
      <c r="K25" s="14">
        <v>48.351690753952653</v>
      </c>
      <c r="L25" s="14">
        <v>2.068180004477407E-2</v>
      </c>
      <c r="M25" s="14">
        <v>1.6969416936737123E-2</v>
      </c>
      <c r="N25" s="14">
        <v>16.862326806779755</v>
      </c>
      <c r="O25" s="14">
        <v>3242.6254449437474</v>
      </c>
      <c r="P25" s="8">
        <v>16.862326806779759</v>
      </c>
      <c r="Q25" s="54">
        <v>9.7787986917248229E-2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0.86324847937337179</v>
      </c>
      <c r="F26" s="14">
        <v>4.5737723509541965E-3</v>
      </c>
      <c r="G26" s="14">
        <v>3.9416951454380816E-6</v>
      </c>
      <c r="H26" s="14">
        <v>166.97618905146487</v>
      </c>
      <c r="I26" s="14">
        <v>713.69345752072775</v>
      </c>
      <c r="J26" s="14">
        <v>0</v>
      </c>
      <c r="K26" s="14">
        <v>218.6379039593819</v>
      </c>
      <c r="L26" s="14">
        <v>4.5737723509541965E-3</v>
      </c>
      <c r="M26" s="14">
        <v>3.7527802139579181E-3</v>
      </c>
      <c r="N26" s="14">
        <v>37.560218145491696</v>
      </c>
      <c r="O26" s="14">
        <v>8352.2657090129887</v>
      </c>
      <c r="P26" s="8">
        <v>37.560218145491696</v>
      </c>
      <c r="Q26" s="54">
        <v>7.8579944106842797E-2</v>
      </c>
    </row>
    <row r="27" spans="1:21">
      <c r="A27" s="2" t="s">
        <v>353</v>
      </c>
      <c r="B27" s="16" t="s">
        <v>354</v>
      </c>
      <c r="D27" s="14">
        <v>1</v>
      </c>
      <c r="E27" s="14">
        <v>0.86925072459673824</v>
      </c>
      <c r="F27" s="14">
        <v>6.9761118449701023E-4</v>
      </c>
      <c r="G27" s="14">
        <v>2.6671161092758683E-5</v>
      </c>
      <c r="H27" s="14">
        <v>70.13154957171615</v>
      </c>
      <c r="I27" s="14">
        <v>1636.3289183330442</v>
      </c>
      <c r="J27" s="14">
        <v>0</v>
      </c>
      <c r="K27" s="14">
        <v>1433.463256070095</v>
      </c>
      <c r="L27" s="14">
        <v>6.9761118449701023E-4</v>
      </c>
      <c r="M27" s="14">
        <v>5.7238997687979697E-4</v>
      </c>
      <c r="N27" s="14">
        <v>87.91736738663694</v>
      </c>
      <c r="O27" s="14">
        <v>20782.786476527104</v>
      </c>
      <c r="P27" s="8">
        <v>87.91736738663694</v>
      </c>
      <c r="Q27" s="54">
        <v>5.506436123227533E-2</v>
      </c>
    </row>
    <row r="28" spans="1:21">
      <c r="A28" s="2" t="s">
        <v>355</v>
      </c>
      <c r="B28" s="16" t="s">
        <v>356</v>
      </c>
      <c r="D28" s="14">
        <v>1</v>
      </c>
      <c r="E28" s="14">
        <v>0.8601779647445067</v>
      </c>
      <c r="F28" s="14">
        <v>2.5104257304513953E-3</v>
      </c>
      <c r="G28" s="14">
        <v>1.471214055054265E-6</v>
      </c>
      <c r="H28" s="14">
        <v>131.84005561052751</v>
      </c>
      <c r="I28" s="14">
        <v>1036.3454578885342</v>
      </c>
      <c r="J28" s="14">
        <v>0</v>
      </c>
      <c r="K28" s="14">
        <v>398.33881077222378</v>
      </c>
      <c r="L28" s="14">
        <v>2.5104257304513953E-3</v>
      </c>
      <c r="M28" s="14">
        <v>2.0598043118353697E-3</v>
      </c>
      <c r="N28" s="14">
        <v>54.944944277206979</v>
      </c>
      <c r="O28" s="14">
        <v>14197.773601230281</v>
      </c>
      <c r="P28" s="8">
        <v>54.944944277206979</v>
      </c>
      <c r="Q28" s="54">
        <v>7.4559768053668291E-2</v>
      </c>
    </row>
    <row r="29" spans="1:21">
      <c r="A29" s="2" t="s">
        <v>357</v>
      </c>
      <c r="B29" s="16" t="s">
        <v>358</v>
      </c>
      <c r="D29" s="14">
        <v>1</v>
      </c>
      <c r="E29" s="14">
        <v>0.83879354790882132</v>
      </c>
      <c r="F29" s="14">
        <v>3.7817175222515736E-3</v>
      </c>
      <c r="G29" s="14">
        <v>2.9772655588412888E-4</v>
      </c>
      <c r="H29" s="14">
        <v>153.17542211695357</v>
      </c>
      <c r="I29" s="14">
        <v>779.1951785733396</v>
      </c>
      <c r="J29" s="14">
        <v>0</v>
      </c>
      <c r="K29" s="14">
        <v>264.43011518338267</v>
      </c>
      <c r="L29" s="14">
        <v>3.7817175222515736E-3</v>
      </c>
      <c r="M29" s="14">
        <v>3.102899227007416E-3</v>
      </c>
      <c r="N29" s="14">
        <v>41.09369090712665</v>
      </c>
      <c r="O29" s="14">
        <v>9714.1375935356682</v>
      </c>
      <c r="P29" s="8">
        <v>41.09369090712665</v>
      </c>
      <c r="Q29" s="54">
        <v>7.5970722486835632E-2</v>
      </c>
    </row>
    <row r="30" spans="1:21">
      <c r="A30" s="2" t="s">
        <v>359</v>
      </c>
      <c r="B30" s="16" t="s">
        <v>360</v>
      </c>
      <c r="D30" s="14">
        <v>1</v>
      </c>
      <c r="E30" s="14">
        <v>0.8601779647445067</v>
      </c>
      <c r="F30" s="14">
        <v>2.5104257304513953E-3</v>
      </c>
      <c r="G30" s="14">
        <v>1.471214055054265E-6</v>
      </c>
      <c r="H30" s="14">
        <v>131.84005561052751</v>
      </c>
      <c r="I30" s="14">
        <v>1036.3454578885342</v>
      </c>
      <c r="J30" s="14">
        <v>0</v>
      </c>
      <c r="K30" s="14">
        <v>398.33881077222378</v>
      </c>
      <c r="L30" s="14">
        <v>2.5104257304513953E-3</v>
      </c>
      <c r="M30" s="14">
        <v>2.0598043118353697E-3</v>
      </c>
      <c r="N30" s="14">
        <v>54.944944277206979</v>
      </c>
      <c r="O30" s="14">
        <v>14197.773601230281</v>
      </c>
      <c r="P30" s="8">
        <v>54.944944277206979</v>
      </c>
      <c r="Q30" s="54">
        <v>7.4559768053668291E-2</v>
      </c>
    </row>
    <row r="31" spans="1:21">
      <c r="A31" s="2" t="s">
        <v>283</v>
      </c>
      <c r="B31" s="16" t="s">
        <v>284</v>
      </c>
      <c r="D31" s="14">
        <v>1</v>
      </c>
      <c r="E31" s="14">
        <v>0.97617521471707325</v>
      </c>
      <c r="F31" s="14">
        <v>0.97915130387593896</v>
      </c>
      <c r="G31" s="14">
        <v>2.9117782270909491E-10</v>
      </c>
      <c r="H31" s="14">
        <v>0.17058066634419883</v>
      </c>
      <c r="I31" s="14">
        <v>0.63385070447069425</v>
      </c>
      <c r="J31" s="14">
        <v>0</v>
      </c>
      <c r="K31" s="14">
        <v>1.0212926194772269</v>
      </c>
      <c r="L31" s="14">
        <v>0.97915130387593896</v>
      </c>
      <c r="M31" s="14">
        <v>0.80339364483020792</v>
      </c>
      <c r="N31" s="14">
        <v>0.87255920271635035</v>
      </c>
      <c r="O31" s="14">
        <v>169.44227157548806</v>
      </c>
      <c r="P31" s="8">
        <v>0.87255920271635035</v>
      </c>
      <c r="Q31" s="54">
        <v>1.5768376367227381E-2</v>
      </c>
    </row>
    <row r="32" spans="1:21">
      <c r="A32" s="2" t="s">
        <v>361</v>
      </c>
      <c r="B32" s="16" t="s">
        <v>362</v>
      </c>
      <c r="D32" s="14">
        <v>1</v>
      </c>
      <c r="E32" s="14">
        <v>0.67557548272412205</v>
      </c>
      <c r="F32" s="14">
        <v>0.43464900763199571</v>
      </c>
      <c r="G32" s="14">
        <v>2.3633117300943919E-10</v>
      </c>
      <c r="H32" s="14">
        <v>55.318527707751173</v>
      </c>
      <c r="I32" s="14">
        <v>126.28474446454516</v>
      </c>
      <c r="J32" s="14">
        <v>0</v>
      </c>
      <c r="K32" s="14">
        <v>2.3007069668652504</v>
      </c>
      <c r="L32" s="14">
        <v>0.43464900763199577</v>
      </c>
      <c r="M32" s="14">
        <v>0.35662951076205252</v>
      </c>
      <c r="N32" s="14">
        <v>6.7952488898494829</v>
      </c>
      <c r="O32" s="14">
        <v>1740.1952882015539</v>
      </c>
      <c r="P32" s="8">
        <v>6.7952488898494829</v>
      </c>
      <c r="Q32" s="54">
        <v>0.21654636092775398</v>
      </c>
    </row>
    <row r="33" spans="1:17">
      <c r="A33" s="2" t="s">
        <v>364</v>
      </c>
      <c r="B33" s="16" t="s">
        <v>365</v>
      </c>
      <c r="D33" s="14">
        <v>1</v>
      </c>
      <c r="E33" s="14">
        <v>0.99947941885611935</v>
      </c>
      <c r="F33" s="14">
        <v>0.99917295637507197</v>
      </c>
      <c r="G33" s="14">
        <v>1.3406796134790602E-12</v>
      </c>
      <c r="H33" s="14">
        <v>1.1938250045483101</v>
      </c>
      <c r="I33" s="14">
        <v>3.3801004662381059E-3</v>
      </c>
      <c r="J33" s="14">
        <v>0</v>
      </c>
      <c r="K33" s="14">
        <v>1.0008277281922526</v>
      </c>
      <c r="L33" s="14">
        <v>0.99917295637507197</v>
      </c>
      <c r="M33" s="14">
        <v>0.81982141070574654</v>
      </c>
      <c r="N33" s="14">
        <v>0.87120746947239169</v>
      </c>
      <c r="O33" s="14">
        <v>258.00809208424874</v>
      </c>
      <c r="P33" s="8">
        <v>0.87120746947239169</v>
      </c>
      <c r="Q33" s="54">
        <v>3.8541588385634095E-5</v>
      </c>
    </row>
    <row r="34" spans="1:17">
      <c r="A34" s="2" t="s">
        <v>285</v>
      </c>
      <c r="B34" s="16" t="s">
        <v>286</v>
      </c>
      <c r="D34" s="14">
        <v>1</v>
      </c>
      <c r="E34" s="14">
        <v>0.99907702834126022</v>
      </c>
      <c r="F34" s="14">
        <v>0.5493626845457753</v>
      </c>
      <c r="G34" s="14">
        <v>3.9850512491331173E-12</v>
      </c>
      <c r="H34" s="14">
        <v>128.41600549531248</v>
      </c>
      <c r="I34" s="14">
        <v>9.7646184765189034E-2</v>
      </c>
      <c r="J34" s="14">
        <v>0</v>
      </c>
      <c r="K34" s="14">
        <v>1.8202910902600182</v>
      </c>
      <c r="L34" s="14">
        <v>0.54936268454577541</v>
      </c>
      <c r="M34" s="14">
        <v>0.45075208266980871</v>
      </c>
      <c r="N34" s="14">
        <v>1.3692800991443086</v>
      </c>
      <c r="O34" s="14">
        <v>302.66567311485795</v>
      </c>
      <c r="P34" s="8">
        <v>1.3692800991443088</v>
      </c>
      <c r="Q34" s="54">
        <v>1.3129714395469319E-4</v>
      </c>
    </row>
    <row r="35" spans="1:17">
      <c r="A35" s="2" t="s">
        <v>287</v>
      </c>
      <c r="B35" s="16" t="s">
        <v>288</v>
      </c>
      <c r="D35" s="14">
        <v>1</v>
      </c>
      <c r="E35" s="14">
        <v>0.99870406020590829</v>
      </c>
      <c r="F35" s="14">
        <v>0.32519852941677413</v>
      </c>
      <c r="G35" s="14">
        <v>1.1606810864979838E-13</v>
      </c>
      <c r="H35" s="14">
        <v>191.74699784988329</v>
      </c>
      <c r="I35" s="14">
        <v>0.34380921364006251</v>
      </c>
      <c r="J35" s="14">
        <v>0</v>
      </c>
      <c r="K35" s="14">
        <v>3.0750446559320106</v>
      </c>
      <c r="L35" s="14">
        <v>0.32519852941677413</v>
      </c>
      <c r="M35" s="14">
        <v>0.26682539338646316</v>
      </c>
      <c r="N35" s="14">
        <v>1.5510609180584298</v>
      </c>
      <c r="O35" s="14">
        <v>357.14728699213401</v>
      </c>
      <c r="P35" s="8">
        <v>1.5510609180584298</v>
      </c>
      <c r="Q35" s="54">
        <v>3.1777337828612907E-4</v>
      </c>
    </row>
    <row r="36" spans="1:17">
      <c r="A36" s="2" t="s">
        <v>366</v>
      </c>
      <c r="B36" s="16" t="s">
        <v>305</v>
      </c>
      <c r="D36" s="14">
        <v>1</v>
      </c>
      <c r="E36" s="14">
        <v>0.99860075568648787</v>
      </c>
      <c r="F36" s="14">
        <v>0.10847019873409286</v>
      </c>
      <c r="G36" s="14">
        <v>2.0461238154398355E-10</v>
      </c>
      <c r="H36" s="14">
        <v>253.04073235472066</v>
      </c>
      <c r="I36" s="14">
        <v>0.6708012060287335</v>
      </c>
      <c r="J36" s="14">
        <v>0</v>
      </c>
      <c r="K36" s="14">
        <v>9.2191220415427679</v>
      </c>
      <c r="L36" s="14">
        <v>0.10847019873409287</v>
      </c>
      <c r="M36" s="14">
        <v>8.8999798061323201E-2</v>
      </c>
      <c r="N36" s="14">
        <v>1.64116454463035</v>
      </c>
      <c r="O36" s="14">
        <v>338.53942226634859</v>
      </c>
      <c r="P36" s="8">
        <v>1.6411645446303502</v>
      </c>
      <c r="Q36" s="54">
        <v>3.5513529344171751E-4</v>
      </c>
    </row>
    <row r="37" spans="1:17">
      <c r="A37" s="2" t="s">
        <v>289</v>
      </c>
      <c r="B37" s="16" t="s">
        <v>290</v>
      </c>
      <c r="D37" s="14">
        <v>1</v>
      </c>
      <c r="E37" s="14">
        <v>0.92706018754050712</v>
      </c>
      <c r="F37" s="14">
        <v>0.20850124066107947</v>
      </c>
      <c r="G37" s="14">
        <v>4.6484795510407241E-17</v>
      </c>
      <c r="H37" s="14">
        <v>197.71000338102158</v>
      </c>
      <c r="I37" s="14">
        <v>62.497084790090739</v>
      </c>
      <c r="J37" s="14">
        <v>0</v>
      </c>
      <c r="K37" s="14">
        <v>4.7961345305638172</v>
      </c>
      <c r="L37" s="14">
        <v>0.2085012406610795</v>
      </c>
      <c r="M37" s="14">
        <v>0.17107526796241573</v>
      </c>
      <c r="N37" s="14">
        <v>4.4130283450815524</v>
      </c>
      <c r="O37" s="14">
        <v>1537.5873359933144</v>
      </c>
      <c r="P37" s="8">
        <v>4.4130283450815524</v>
      </c>
      <c r="Q37" s="54">
        <v>4.7649654931436157E-2</v>
      </c>
    </row>
    <row r="38" spans="1:17">
      <c r="A38" s="2" t="s">
        <v>291</v>
      </c>
      <c r="B38" s="16" t="s">
        <v>292</v>
      </c>
      <c r="D38" s="14">
        <v>1</v>
      </c>
      <c r="E38" s="14">
        <v>0.99740498801747979</v>
      </c>
      <c r="F38" s="14">
        <v>0.61519386697846667</v>
      </c>
      <c r="G38" s="14">
        <v>1.3414339453348351E-14</v>
      </c>
      <c r="H38" s="14">
        <v>109.22247090724409</v>
      </c>
      <c r="I38" s="14">
        <v>0.84487149998548372</v>
      </c>
      <c r="J38" s="14">
        <v>0</v>
      </c>
      <c r="K38" s="14">
        <v>1.6255038511868041</v>
      </c>
      <c r="L38" s="14">
        <v>0.61519386697846667</v>
      </c>
      <c r="M38" s="14">
        <v>0.50476656785583196</v>
      </c>
      <c r="N38" s="14">
        <v>1.3413290999846808</v>
      </c>
      <c r="O38" s="14">
        <v>413.57200139827654</v>
      </c>
      <c r="P38" s="8">
        <v>1.3413290999846808</v>
      </c>
      <c r="Q38" s="54">
        <v>1.2699618075816079E-3</v>
      </c>
    </row>
    <row r="39" spans="1:17">
      <c r="A39" s="2" t="s">
        <v>367</v>
      </c>
      <c r="B39" s="16" t="s">
        <v>368</v>
      </c>
      <c r="D39" s="14">
        <v>1</v>
      </c>
      <c r="E39" s="14">
        <v>0.88098930687060428</v>
      </c>
      <c r="F39" s="14">
        <v>1.030769855788469E-2</v>
      </c>
      <c r="G39" s="14">
        <v>1.6015857538248997E-7</v>
      </c>
      <c r="H39" s="14">
        <v>210.67922368796147</v>
      </c>
      <c r="I39" s="14">
        <v>340.70529268698459</v>
      </c>
      <c r="J39" s="14">
        <v>0</v>
      </c>
      <c r="K39" s="14">
        <v>97.014866547010911</v>
      </c>
      <c r="L39" s="14">
        <v>1.030769855788469E-2</v>
      </c>
      <c r="M39" s="14">
        <v>8.4574666667443892E-3</v>
      </c>
      <c r="N39" s="14">
        <v>17.72641980367937</v>
      </c>
      <c r="O39" s="14">
        <v>4933.9716881561153</v>
      </c>
      <c r="P39" s="8">
        <v>17.72641980367937</v>
      </c>
      <c r="Q39" s="54">
        <v>7.3956930877386404E-2</v>
      </c>
    </row>
    <row r="40" spans="1:17">
      <c r="A40" s="2" t="s">
        <v>369</v>
      </c>
      <c r="B40" s="16" t="s">
        <v>370</v>
      </c>
      <c r="D40" s="14">
        <v>1</v>
      </c>
      <c r="E40" s="14">
        <v>0.9395156992974486</v>
      </c>
      <c r="F40" s="14">
        <v>9.6303005987711013E-4</v>
      </c>
      <c r="G40" s="14">
        <v>9.7762647658426186E-15</v>
      </c>
      <c r="H40" s="14">
        <v>248.75959629604324</v>
      </c>
      <c r="I40" s="14">
        <v>166.63331554199601</v>
      </c>
      <c r="J40" s="14">
        <v>0</v>
      </c>
      <c r="K40" s="14">
        <v>1038.389186031854</v>
      </c>
      <c r="L40" s="14">
        <v>9.6303005987711013E-4</v>
      </c>
      <c r="M40" s="14">
        <v>7.9016616412916894E-4</v>
      </c>
      <c r="N40" s="14">
        <v>108.51686465208147</v>
      </c>
      <c r="O40" s="14">
        <v>44155.512226931947</v>
      </c>
      <c r="P40" s="8">
        <v>108.51686465208147</v>
      </c>
      <c r="Q40" s="54">
        <v>1.8584968770659976E-3</v>
      </c>
    </row>
    <row r="41" spans="1:17">
      <c r="A41" s="2" t="s">
        <v>371</v>
      </c>
      <c r="B41" s="16" t="s">
        <v>372</v>
      </c>
      <c r="D41" s="14">
        <v>1</v>
      </c>
      <c r="E41" s="14">
        <v>0.91322897922750634</v>
      </c>
      <c r="F41" s="14">
        <v>0.9167609284995506</v>
      </c>
      <c r="G41" s="14">
        <v>9.0858295139733104E-4</v>
      </c>
      <c r="H41" s="14">
        <v>7.945771940668209E-3</v>
      </c>
      <c r="I41" s="14">
        <v>3.6829283216865918E-2</v>
      </c>
      <c r="J41" s="14">
        <v>0</v>
      </c>
      <c r="K41" s="14">
        <v>1.090796923072066</v>
      </c>
      <c r="L41" s="14">
        <v>0.9167609284995506</v>
      </c>
      <c r="M41" s="14">
        <v>0.75220234183388135</v>
      </c>
      <c r="N41" s="14">
        <v>0.79024562539374232</v>
      </c>
      <c r="O41" s="14">
        <v>110.78453422394873</v>
      </c>
      <c r="P41" s="8">
        <v>0.79024562539374232</v>
      </c>
      <c r="Q41" s="54">
        <v>3.0902475199664492E-3</v>
      </c>
    </row>
    <row r="42" spans="1:17">
      <c r="A42" s="2" t="s">
        <v>293</v>
      </c>
      <c r="B42" s="16" t="s">
        <v>294</v>
      </c>
      <c r="D42" s="14">
        <v>1</v>
      </c>
      <c r="E42" s="14">
        <v>0.69968342252877092</v>
      </c>
      <c r="F42" s="14">
        <v>0.52548255189454207</v>
      </c>
      <c r="G42" s="14">
        <v>1.9428836250782573E-10</v>
      </c>
      <c r="H42" s="14">
        <v>39.867435502937965</v>
      </c>
      <c r="I42" s="14">
        <v>94.683754581572657</v>
      </c>
      <c r="J42" s="14">
        <v>0</v>
      </c>
      <c r="K42" s="14">
        <v>1.90301275731166</v>
      </c>
      <c r="L42" s="14">
        <v>0.52548255189454207</v>
      </c>
      <c r="M42" s="14">
        <v>0.43115843382947178</v>
      </c>
      <c r="N42" s="14">
        <v>5.1851765130810623</v>
      </c>
      <c r="O42" s="14">
        <v>1712.9749128614599</v>
      </c>
      <c r="P42" s="8">
        <v>5.1851765130810623</v>
      </c>
      <c r="Q42" s="54">
        <v>0.20085168110421422</v>
      </c>
    </row>
    <row r="43" spans="1:17">
      <c r="A43" s="2" t="s">
        <v>373</v>
      </c>
      <c r="B43" s="16" t="s">
        <v>374</v>
      </c>
      <c r="D43" s="14">
        <v>1</v>
      </c>
      <c r="E43" s="14">
        <v>0.99782017388667432</v>
      </c>
      <c r="F43" s="14">
        <v>8.8363429837916372E-3</v>
      </c>
      <c r="G43" s="14">
        <v>4.7847073987187023E-10</v>
      </c>
      <c r="H43" s="14">
        <v>280.86172878218918</v>
      </c>
      <c r="I43" s="14">
        <v>2.1957156713584651</v>
      </c>
      <c r="J43" s="14">
        <v>0</v>
      </c>
      <c r="K43" s="14">
        <v>113.1689887812508</v>
      </c>
      <c r="L43" s="14">
        <v>8.8363429837916372E-3</v>
      </c>
      <c r="M43" s="14">
        <v>7.2502194182010385E-3</v>
      </c>
      <c r="N43" s="14">
        <v>3.3056364680909942</v>
      </c>
      <c r="O43" s="14">
        <v>880.42321691135533</v>
      </c>
      <c r="P43" s="8">
        <v>3.3056364680909942</v>
      </c>
      <c r="Q43" s="54">
        <v>2.8429950370579236E-4</v>
      </c>
    </row>
    <row r="44" spans="1:17">
      <c r="A44" s="2" t="s">
        <v>375</v>
      </c>
      <c r="B44" s="16" t="s">
        <v>376</v>
      </c>
      <c r="D44" s="14">
        <v>1</v>
      </c>
      <c r="E44" s="14">
        <v>0.78697433176913445</v>
      </c>
      <c r="F44" s="14">
        <v>0.76456909249205973</v>
      </c>
      <c r="G44" s="14">
        <v>9.455080385216201E-4</v>
      </c>
      <c r="H44" s="14">
        <v>5.5288745738585652</v>
      </c>
      <c r="I44" s="14">
        <v>15.613271385741628</v>
      </c>
      <c r="J44" s="14">
        <v>0</v>
      </c>
      <c r="K44" s="14">
        <v>1.3079262682991404</v>
      </c>
      <c r="L44" s="14">
        <v>0.76456909249205973</v>
      </c>
      <c r="M44" s="14">
        <v>0.62732894038973508</v>
      </c>
      <c r="N44" s="14">
        <v>1.4254598789446258</v>
      </c>
      <c r="O44" s="14">
        <v>212.96370591432711</v>
      </c>
      <c r="P44" s="8">
        <v>1.425459878944626</v>
      </c>
      <c r="Q44" s="54">
        <v>8.5840830073116769E-2</v>
      </c>
    </row>
    <row r="45" spans="1:17">
      <c r="A45" s="2" t="s">
        <v>377</v>
      </c>
      <c r="B45" s="16" t="s">
        <v>378</v>
      </c>
      <c r="D45" s="14">
        <v>1</v>
      </c>
      <c r="E45" s="14">
        <v>0.68829659984560654</v>
      </c>
      <c r="F45" s="14">
        <v>0.49004340560736409</v>
      </c>
      <c r="G45" s="14">
        <v>7.3892955442305044E-6</v>
      </c>
      <c r="H45" s="14">
        <v>45.412409917032612</v>
      </c>
      <c r="I45" s="14">
        <v>106.27514841730158</v>
      </c>
      <c r="J45" s="14">
        <v>0</v>
      </c>
      <c r="K45" s="14">
        <v>2.0406355611715479</v>
      </c>
      <c r="L45" s="14">
        <v>0.49004340560736415</v>
      </c>
      <c r="M45" s="14">
        <v>0.40208061430084224</v>
      </c>
      <c r="N45" s="14">
        <v>5.7415619368859971</v>
      </c>
      <c r="O45" s="14">
        <v>1276.0047248535441</v>
      </c>
      <c r="P45" s="8">
        <v>5.741561936885998</v>
      </c>
      <c r="Q45" s="54">
        <v>0.20788910050836787</v>
      </c>
    </row>
    <row r="46" spans="1:17">
      <c r="A46" s="2" t="s">
        <v>379</v>
      </c>
      <c r="B46" s="16" t="s">
        <v>380</v>
      </c>
      <c r="D46" s="14">
        <v>1</v>
      </c>
      <c r="E46" s="14">
        <v>0.69403175463500288</v>
      </c>
      <c r="F46" s="14">
        <v>0.51135933896657204</v>
      </c>
      <c r="G46" s="14">
        <v>2.222259029852825E-5</v>
      </c>
      <c r="H46" s="14">
        <v>41.818282476233101</v>
      </c>
      <c r="I46" s="14">
        <v>98.76961539757778</v>
      </c>
      <c r="J46" s="14">
        <v>0</v>
      </c>
      <c r="K46" s="14">
        <v>1.9555719897889081</v>
      </c>
      <c r="L46" s="14">
        <v>0.51135933896657204</v>
      </c>
      <c r="M46" s="14">
        <v>0.41957033762207235</v>
      </c>
      <c r="N46" s="14">
        <v>5.3798632934496835</v>
      </c>
      <c r="O46" s="14">
        <v>691.63522500589136</v>
      </c>
      <c r="P46" s="8">
        <v>5.3798632934496835</v>
      </c>
      <c r="Q46" s="54">
        <v>0.20324663435205961</v>
      </c>
    </row>
    <row r="47" spans="1:17">
      <c r="A47" s="2" t="s">
        <v>381</v>
      </c>
      <c r="B47" s="16" t="s">
        <v>382</v>
      </c>
      <c r="D47" s="14">
        <v>1</v>
      </c>
      <c r="E47" s="14">
        <v>0.8726163918290597</v>
      </c>
      <c r="F47" s="14">
        <v>6.364180439198565E-4</v>
      </c>
      <c r="G47" s="14">
        <v>4.5338899258980517E-10</v>
      </c>
      <c r="H47" s="14">
        <v>66.810155781289623</v>
      </c>
      <c r="I47" s="14">
        <v>1676.0989544640865</v>
      </c>
      <c r="J47" s="14">
        <v>0</v>
      </c>
      <c r="K47" s="14">
        <v>1571.2942295613618</v>
      </c>
      <c r="L47" s="14">
        <v>6.3641804391985661E-4</v>
      </c>
      <c r="M47" s="14">
        <v>5.2218100503624229E-4</v>
      </c>
      <c r="N47" s="14">
        <v>90.134392882380808</v>
      </c>
      <c r="O47" s="14">
        <v>35268.686590946789</v>
      </c>
      <c r="P47" s="8">
        <v>90.134392882380808</v>
      </c>
      <c r="Q47" s="54">
        <v>5.36166474879404E-2</v>
      </c>
    </row>
    <row r="48" spans="1:17">
      <c r="A48" s="2" t="s">
        <v>383</v>
      </c>
      <c r="B48" s="16" t="s">
        <v>384</v>
      </c>
      <c r="D48" s="14">
        <v>1</v>
      </c>
      <c r="E48" s="14">
        <v>0.91113112922036332</v>
      </c>
      <c r="F48" s="14">
        <v>0.90627342295432622</v>
      </c>
      <c r="G48" s="14">
        <v>1.3073375395321053E-4</v>
      </c>
      <c r="H48" s="14">
        <v>1.7854974908487768</v>
      </c>
      <c r="I48" s="14">
        <v>5.5490215954736302</v>
      </c>
      <c r="J48" s="14">
        <v>0</v>
      </c>
      <c r="K48" s="14">
        <v>1.1034197568545461</v>
      </c>
      <c r="L48" s="14">
        <v>0.90627342295432634</v>
      </c>
      <c r="M48" s="14">
        <v>0.74359734353402474</v>
      </c>
      <c r="N48" s="14">
        <v>1.049944685969163</v>
      </c>
      <c r="O48" s="14">
        <v>97.781348604308135</v>
      </c>
      <c r="P48" s="8">
        <v>1.049944685969163</v>
      </c>
      <c r="Q48" s="54">
        <v>5.1667377086865647E-2</v>
      </c>
    </row>
    <row r="49" spans="1:17">
      <c r="A49" s="2" t="s">
        <v>385</v>
      </c>
      <c r="B49" s="16" t="s">
        <v>386</v>
      </c>
      <c r="D49" s="14">
        <v>1</v>
      </c>
      <c r="E49" s="14">
        <v>0.87621687004677618</v>
      </c>
      <c r="F49" s="14">
        <v>0.86479663265641682</v>
      </c>
      <c r="G49" s="14">
        <v>2.4408577923780631E-4</v>
      </c>
      <c r="H49" s="14">
        <v>3.1835669678932401</v>
      </c>
      <c r="I49" s="14">
        <v>9.4486804296617937</v>
      </c>
      <c r="J49" s="14">
        <v>0</v>
      </c>
      <c r="K49" s="14">
        <v>1.156341227796269</v>
      </c>
      <c r="L49" s="14">
        <v>0.86479663265641682</v>
      </c>
      <c r="M49" s="14">
        <v>0.70956563709458997</v>
      </c>
      <c r="N49" s="14">
        <v>1.2063287253307928</v>
      </c>
      <c r="O49" s="14">
        <v>134.04724795875771</v>
      </c>
      <c r="P49" s="8">
        <v>1.2063287253307928</v>
      </c>
      <c r="Q49" s="54">
        <v>6.8292208984463254E-2</v>
      </c>
    </row>
    <row r="50" spans="1:17">
      <c r="A50" s="2" t="s">
        <v>387</v>
      </c>
      <c r="B50" s="16" t="s">
        <v>388</v>
      </c>
      <c r="D50" s="14">
        <v>1</v>
      </c>
      <c r="E50" s="14">
        <v>0.74467143751509279</v>
      </c>
      <c r="F50" s="14">
        <v>7.5115920857381099E-2</v>
      </c>
      <c r="G50" s="14">
        <v>7.2711061245361107E-5</v>
      </c>
      <c r="H50" s="14">
        <v>158.55209895059073</v>
      </c>
      <c r="I50" s="14">
        <v>294.7332726732202</v>
      </c>
      <c r="J50" s="14">
        <v>0</v>
      </c>
      <c r="K50" s="14">
        <v>13.312756983950853</v>
      </c>
      <c r="L50" s="14">
        <v>7.5115920857381113E-2</v>
      </c>
      <c r="M50" s="14">
        <v>6.1632613063481202E-2</v>
      </c>
      <c r="N50" s="14">
        <v>15.145187801133211</v>
      </c>
      <c r="O50" s="14">
        <v>2990.4173313337524</v>
      </c>
      <c r="P50" s="8">
        <v>15.145187801133211</v>
      </c>
      <c r="Q50" s="54">
        <v>0.16249094576726988</v>
      </c>
    </row>
    <row r="51" spans="1:17">
      <c r="A51" s="2" t="s">
        <v>295</v>
      </c>
      <c r="B51" s="16" t="s">
        <v>296</v>
      </c>
      <c r="D51" s="14">
        <v>1</v>
      </c>
      <c r="E51" s="14">
        <v>0.90446198987221094</v>
      </c>
      <c r="F51" s="14">
        <v>0.90659472165577892</v>
      </c>
      <c r="G51" s="14">
        <v>7.280507840108809E-4</v>
      </c>
      <c r="H51" s="14">
        <v>0.2878280969162943</v>
      </c>
      <c r="I51" s="14">
        <v>1.0232702714335369</v>
      </c>
      <c r="J51" s="14">
        <v>0</v>
      </c>
      <c r="K51" s="14">
        <v>1.103028703027995</v>
      </c>
      <c r="L51" s="14">
        <v>0.90659472165577892</v>
      </c>
      <c r="M51" s="14">
        <v>0.74386096911856658</v>
      </c>
      <c r="N51" s="14">
        <v>0.82902017432354935</v>
      </c>
      <c r="O51" s="14">
        <v>48.149491724711744</v>
      </c>
      <c r="P51" s="8">
        <v>0.82902017432354946</v>
      </c>
      <c r="Q51" s="54">
        <v>1.9961370562996957E-2</v>
      </c>
    </row>
    <row r="52" spans="1:17">
      <c r="A52" s="2" t="s">
        <v>389</v>
      </c>
      <c r="B52" s="16" t="s">
        <v>390</v>
      </c>
      <c r="D52" s="14">
        <v>1</v>
      </c>
      <c r="E52" s="14">
        <v>0.76530005721542216</v>
      </c>
      <c r="F52" s="14">
        <v>0.72471713791260739</v>
      </c>
      <c r="G52" s="14">
        <v>7.6534459450980775E-4</v>
      </c>
      <c r="H52" s="14">
        <v>9.5505532750952078</v>
      </c>
      <c r="I52" s="14">
        <v>25.803920921468947</v>
      </c>
      <c r="J52" s="14">
        <v>0</v>
      </c>
      <c r="K52" s="14">
        <v>1.3798486991494168</v>
      </c>
      <c r="L52" s="14">
        <v>0.7247171379126075</v>
      </c>
      <c r="M52" s="14">
        <v>0.59463041165729447</v>
      </c>
      <c r="N52" s="14">
        <v>1.8976462712088786</v>
      </c>
      <c r="O52" s="14">
        <v>203.33279796003134</v>
      </c>
      <c r="P52" s="8">
        <v>1.8976462712088786</v>
      </c>
      <c r="Q52" s="54">
        <v>0.11124633248712812</v>
      </c>
    </row>
    <row r="53" spans="1:17">
      <c r="A53" s="2" t="s">
        <v>391</v>
      </c>
      <c r="B53" s="16" t="s">
        <v>392</v>
      </c>
      <c r="D53" s="14">
        <v>1</v>
      </c>
      <c r="E53" s="14">
        <v>0.6640546759992233</v>
      </c>
      <c r="F53" s="14">
        <v>0.37894175953681625</v>
      </c>
      <c r="G53" s="14">
        <v>2.1799220034057282E-5</v>
      </c>
      <c r="H53" s="14">
        <v>65.616410261098707</v>
      </c>
      <c r="I53" s="14">
        <v>146.64580303983078</v>
      </c>
      <c r="J53" s="14">
        <v>0</v>
      </c>
      <c r="K53" s="14">
        <v>2.6389279482480594</v>
      </c>
      <c r="L53" s="14">
        <v>0.37894175953681625</v>
      </c>
      <c r="M53" s="14">
        <v>0.31092171369995775</v>
      </c>
      <c r="N53" s="14">
        <v>7.6990412718928711</v>
      </c>
      <c r="O53" s="14">
        <v>1247.3986668720829</v>
      </c>
      <c r="P53" s="8">
        <v>7.6990412718928711</v>
      </c>
      <c r="Q53" s="54">
        <v>0.22267406536271853</v>
      </c>
    </row>
    <row r="54" spans="1:17">
      <c r="A54" s="2" t="s">
        <v>393</v>
      </c>
      <c r="B54" s="16" t="s">
        <v>394</v>
      </c>
      <c r="D54" s="14">
        <v>1</v>
      </c>
      <c r="E54" s="14">
        <v>0.86807412972397124</v>
      </c>
      <c r="F54" s="14">
        <v>8.8885305845653822E-4</v>
      </c>
      <c r="G54" s="14">
        <v>2.0915991603142631E-6</v>
      </c>
      <c r="H54" s="14">
        <v>79.845412908177693</v>
      </c>
      <c r="I54" s="14">
        <v>1542.7911605109091</v>
      </c>
      <c r="J54" s="14">
        <v>0</v>
      </c>
      <c r="K54" s="14">
        <v>1125.0453497189565</v>
      </c>
      <c r="L54" s="14">
        <v>8.8885305845653822E-4</v>
      </c>
      <c r="M54" s="14">
        <v>7.2930393446358967E-4</v>
      </c>
      <c r="N54" s="14">
        <v>82.700125755959803</v>
      </c>
      <c r="O54" s="14">
        <v>19301.382350183459</v>
      </c>
      <c r="P54" s="8">
        <v>82.700125755959817</v>
      </c>
      <c r="Q54" s="54">
        <v>5.9225282628365156E-2</v>
      </c>
    </row>
    <row r="55" spans="1:17">
      <c r="A55" s="2" t="s">
        <v>395</v>
      </c>
      <c r="B55" s="16" t="s">
        <v>396</v>
      </c>
      <c r="D55" s="14">
        <v>1</v>
      </c>
      <c r="E55" s="14">
        <v>0.59921867497206016</v>
      </c>
      <c r="F55" s="14">
        <v>0.13616105375258375</v>
      </c>
      <c r="G55" s="14">
        <v>1.4708940509238638E-3</v>
      </c>
      <c r="H55" s="14">
        <v>108.38093760132215</v>
      </c>
      <c r="I55" s="14">
        <v>216.47615951298332</v>
      </c>
      <c r="J55" s="14">
        <v>0</v>
      </c>
      <c r="K55" s="14">
        <v>7.3442439848995686</v>
      </c>
      <c r="L55" s="14">
        <v>0.13616105375258375</v>
      </c>
      <c r="M55" s="14">
        <v>0.11172014460399497</v>
      </c>
      <c r="N55" s="14">
        <v>11.117980418289257</v>
      </c>
      <c r="O55" s="14">
        <v>1424.9915502121339</v>
      </c>
      <c r="P55" s="8">
        <v>11.117980418289257</v>
      </c>
      <c r="Q55" s="54">
        <v>0.17717811403202696</v>
      </c>
    </row>
    <row r="56" spans="1:17">
      <c r="A56" s="2" t="s">
        <v>397</v>
      </c>
      <c r="B56" s="16" t="s">
        <v>398</v>
      </c>
      <c r="D56" s="14">
        <v>1</v>
      </c>
      <c r="E56" s="14">
        <v>0.31798142394029749</v>
      </c>
      <c r="F56" s="14">
        <v>1.613445857327744E-2</v>
      </c>
      <c r="G56" s="14">
        <v>6.6899501859427482E-3</v>
      </c>
      <c r="H56" s="14">
        <v>72.109817478256431</v>
      </c>
      <c r="I56" s="14">
        <v>126.8386371705913</v>
      </c>
      <c r="J56" s="14">
        <v>0</v>
      </c>
      <c r="K56" s="14">
        <v>61.979148259504754</v>
      </c>
      <c r="L56" s="14">
        <v>1.613445857327744E-2</v>
      </c>
      <c r="M56" s="14">
        <v>1.323832325937414E-2</v>
      </c>
      <c r="N56" s="14">
        <v>6.5381325676374207</v>
      </c>
      <c r="O56" s="14">
        <v>1186.3441543978099</v>
      </c>
      <c r="P56" s="8">
        <v>6.5381325676374207</v>
      </c>
      <c r="Q56" s="54">
        <v>5.1600221639238754E-2</v>
      </c>
    </row>
    <row r="57" spans="1:17">
      <c r="A57" s="2" t="s">
        <v>399</v>
      </c>
      <c r="B57" s="16" t="s">
        <v>400</v>
      </c>
      <c r="D57" s="14">
        <v>1</v>
      </c>
      <c r="E57" s="14">
        <v>0.16611726636640853</v>
      </c>
      <c r="F57" s="14">
        <v>2.9200218533259447E-2</v>
      </c>
      <c r="G57" s="14">
        <v>8.5053969947493594E-3</v>
      </c>
      <c r="H57" s="14">
        <v>32.171114154031166</v>
      </c>
      <c r="I57" s="14">
        <v>62.736931382989212</v>
      </c>
      <c r="J57" s="14">
        <v>0</v>
      </c>
      <c r="K57" s="14">
        <v>34.246319042475186</v>
      </c>
      <c r="L57" s="14">
        <v>2.920021853325945E-2</v>
      </c>
      <c r="M57" s="14">
        <v>2.395877930653938E-2</v>
      </c>
      <c r="N57" s="14">
        <v>3.2205510952629459</v>
      </c>
      <c r="O57" s="14">
        <v>473.42101100365306</v>
      </c>
      <c r="P57" s="8">
        <v>3.2205510952629464</v>
      </c>
      <c r="Q57" s="54">
        <v>4.501147787334172E-2</v>
      </c>
    </row>
    <row r="58" spans="1:17">
      <c r="A58" s="2" t="s">
        <v>297</v>
      </c>
      <c r="B58" s="16" t="s">
        <v>298</v>
      </c>
      <c r="D58" s="14">
        <v>1</v>
      </c>
      <c r="E58" s="14">
        <v>6.0461694921327108E-2</v>
      </c>
      <c r="F58" s="14">
        <v>5.9394511379428978E-2</v>
      </c>
      <c r="G58" s="14">
        <v>1.0350821078678643E-2</v>
      </c>
      <c r="H58" s="14">
        <v>0.28076716310755756</v>
      </c>
      <c r="I58" s="14">
        <v>0.81809452205806954</v>
      </c>
      <c r="J58" s="14">
        <v>0</v>
      </c>
      <c r="K58" s="14">
        <v>16.83657255148908</v>
      </c>
      <c r="L58" s="14">
        <v>5.9394511379428985E-2</v>
      </c>
      <c r="M58" s="14">
        <v>4.873319658682148E-2</v>
      </c>
      <c r="N58" s="14">
        <v>9.1200571651646745E-2</v>
      </c>
      <c r="O58" s="14">
        <v>7.7456645503743591</v>
      </c>
      <c r="P58" s="8">
        <v>9.1200571651646758E-2</v>
      </c>
      <c r="Q58" s="54">
        <v>5.3432252730965654E-3</v>
      </c>
    </row>
    <row r="59" spans="1:17">
      <c r="A59" s="2" t="s">
        <v>401</v>
      </c>
      <c r="B59" s="16" t="s">
        <v>402</v>
      </c>
      <c r="D59" s="14">
        <v>1</v>
      </c>
      <c r="E59" s="14">
        <v>6.4366812289634909E-2</v>
      </c>
      <c r="F59" s="14">
        <v>1.2022332227788925E-2</v>
      </c>
      <c r="G59" s="14">
        <v>1.0095253127418029E-2</v>
      </c>
      <c r="H59" s="14">
        <v>12.288212844726791</v>
      </c>
      <c r="I59" s="14">
        <v>24.096052233989635</v>
      </c>
      <c r="J59" s="14">
        <v>0</v>
      </c>
      <c r="K59" s="14">
        <v>83.178536497981469</v>
      </c>
      <c r="L59" s="14">
        <v>1.2022332227788925E-2</v>
      </c>
      <c r="M59" s="14">
        <v>9.864323592900813E-3</v>
      </c>
      <c r="N59" s="14">
        <v>1.2370004831901393</v>
      </c>
      <c r="O59" s="14">
        <v>205.13179012742083</v>
      </c>
      <c r="P59" s="8">
        <v>1.2370004831901393</v>
      </c>
      <c r="Q59" s="54">
        <v>1.7821567340337581E-2</v>
      </c>
    </row>
    <row r="60" spans="1:17">
      <c r="A60" s="2" t="s">
        <v>299</v>
      </c>
      <c r="B60" s="16" t="s">
        <v>300</v>
      </c>
      <c r="D60" s="14">
        <v>1</v>
      </c>
      <c r="E60" s="14">
        <v>1.315482565822622E-3</v>
      </c>
      <c r="F60" s="14">
        <v>4.4952410219526476E-4</v>
      </c>
      <c r="G60" s="14">
        <v>1.1089232012183686E-2</v>
      </c>
      <c r="H60" s="14">
        <v>0.20131353840289215</v>
      </c>
      <c r="I60" s="14">
        <v>0.41949824965952576</v>
      </c>
      <c r="J60" s="14">
        <v>0</v>
      </c>
      <c r="K60" s="14">
        <v>2224.5748228325674</v>
      </c>
      <c r="L60" s="14">
        <v>4.4952410219526476E-4</v>
      </c>
      <c r="M60" s="14">
        <v>3.6883452585121474E-4</v>
      </c>
      <c r="N60" s="14">
        <v>2.1618949596005441E-2</v>
      </c>
      <c r="O60" s="14">
        <v>1.7757805198158871</v>
      </c>
      <c r="P60" s="8">
        <v>2.1618949596005445E-2</v>
      </c>
      <c r="Q60" s="54">
        <v>4.3344116311082878E-4</v>
      </c>
    </row>
    <row r="61" spans="1:17">
      <c r="A61" s="2" t="s">
        <v>403</v>
      </c>
      <c r="B61" s="16" t="s">
        <v>404</v>
      </c>
      <c r="D61" s="14">
        <v>1</v>
      </c>
      <c r="E61" s="14">
        <v>0.66131970066742696</v>
      </c>
      <c r="F61" s="14">
        <v>0.28389222673840503</v>
      </c>
      <c r="G61" s="14">
        <v>4.947684395748924E-46</v>
      </c>
      <c r="H61" s="14">
        <v>87.372246278481398</v>
      </c>
      <c r="I61" s="14">
        <v>187.16760020928965</v>
      </c>
      <c r="J61" s="14">
        <v>0</v>
      </c>
      <c r="K61" s="14">
        <v>3.5224634766821521</v>
      </c>
      <c r="L61" s="14">
        <v>0.28389222673840503</v>
      </c>
      <c r="M61" s="14">
        <v>0.23293357203886131</v>
      </c>
      <c r="N61" s="14">
        <v>9.6925684257099647</v>
      </c>
      <c r="O61" s="14">
        <v>11656.379714443061</v>
      </c>
      <c r="P61" s="8">
        <v>9.6925684257099665</v>
      </c>
      <c r="Q61" s="54">
        <v>0.2251286007278144</v>
      </c>
    </row>
    <row r="62" spans="1:17">
      <c r="A62" s="2" t="s">
        <v>405</v>
      </c>
      <c r="B62" s="16" t="s">
        <v>406</v>
      </c>
      <c r="D62" s="14">
        <v>1</v>
      </c>
      <c r="E62" s="14">
        <v>0.86177468978751648</v>
      </c>
      <c r="F62" s="14">
        <v>3.8322171944047754E-3</v>
      </c>
      <c r="G62" s="14">
        <v>1.1739202732669812E-9</v>
      </c>
      <c r="H62" s="14">
        <v>156.5705636907461</v>
      </c>
      <c r="I62" s="14">
        <v>808.10405478710868</v>
      </c>
      <c r="J62" s="14">
        <v>0</v>
      </c>
      <c r="K62" s="14">
        <v>260.94554386428013</v>
      </c>
      <c r="L62" s="14">
        <v>3.8322171944047759E-3</v>
      </c>
      <c r="M62" s="14">
        <v>3.1443342080091185E-3</v>
      </c>
      <c r="N62" s="14">
        <v>42.625784076254739</v>
      </c>
      <c r="O62" s="14">
        <v>13591.657510554587</v>
      </c>
      <c r="P62" s="8">
        <v>42.625784076254746</v>
      </c>
      <c r="Q62" s="54">
        <v>7.7995094015986713E-2</v>
      </c>
    </row>
    <row r="63" spans="1:17">
      <c r="A63" s="2" t="s">
        <v>407</v>
      </c>
      <c r="B63" s="16" t="s">
        <v>408</v>
      </c>
      <c r="D63" s="14">
        <v>1</v>
      </c>
      <c r="E63" s="14">
        <v>0.88106114034467053</v>
      </c>
      <c r="F63" s="14">
        <v>3.4739811697814165E-4</v>
      </c>
      <c r="G63" s="14">
        <v>2.7887908687582687E-7</v>
      </c>
      <c r="H63" s="14">
        <v>47.696604189871813</v>
      </c>
      <c r="I63" s="14">
        <v>1876.0509587970175</v>
      </c>
      <c r="J63" s="14">
        <v>0</v>
      </c>
      <c r="K63" s="14">
        <v>2878.5417972283371</v>
      </c>
      <c r="L63" s="14">
        <v>3.4739811697814165E-4</v>
      </c>
      <c r="M63" s="14">
        <v>2.8504015498056524E-4</v>
      </c>
      <c r="N63" s="14">
        <v>101.4464055821249</v>
      </c>
      <c r="O63" s="14">
        <v>49281.649367740458</v>
      </c>
      <c r="P63" s="8">
        <v>101.4464055821249</v>
      </c>
      <c r="Q63" s="54">
        <v>4.3837384118278665E-2</v>
      </c>
    </row>
    <row r="64" spans="1:17">
      <c r="A64" s="2" t="s">
        <v>409</v>
      </c>
      <c r="B64" s="16" t="s">
        <v>410</v>
      </c>
      <c r="D64" s="14">
        <v>1</v>
      </c>
      <c r="E64" s="14">
        <v>0.89483723580556696</v>
      </c>
      <c r="F64" s="14">
        <v>1.202792193447776E-4</v>
      </c>
      <c r="G64" s="14">
        <v>3.4501588289946936E-8</v>
      </c>
      <c r="H64" s="14">
        <v>25.680921345628636</v>
      </c>
      <c r="I64" s="14">
        <v>2116.7412416322923</v>
      </c>
      <c r="J64" s="14">
        <v>0</v>
      </c>
      <c r="K64" s="14">
        <v>8313.9881140525449</v>
      </c>
      <c r="L64" s="14">
        <v>1.2027921934477762E-4</v>
      </c>
      <c r="M64" s="14">
        <v>9.8689099472390031E-5</v>
      </c>
      <c r="N64" s="14">
        <v>115.51005763231093</v>
      </c>
      <c r="O64" s="14">
        <v>65227.374444389665</v>
      </c>
      <c r="P64" s="8">
        <v>115.51005763231095</v>
      </c>
      <c r="Q64" s="54">
        <v>2.9503108163990998E-2</v>
      </c>
    </row>
    <row r="65" spans="1:17">
      <c r="A65" s="2" t="s">
        <v>301</v>
      </c>
      <c r="B65" s="16" t="s">
        <v>302</v>
      </c>
      <c r="D65" s="14">
        <v>1</v>
      </c>
      <c r="E65" s="14">
        <v>0.90709044030407493</v>
      </c>
      <c r="F65" s="14">
        <v>3.3756292947478626E-5</v>
      </c>
      <c r="G65" s="14">
        <v>4.2607223552671074E-9</v>
      </c>
      <c r="H65" s="14">
        <v>11.90843655417688</v>
      </c>
      <c r="I65" s="14">
        <v>2276.732032722221</v>
      </c>
      <c r="J65" s="14">
        <v>0</v>
      </c>
      <c r="K65" s="14">
        <v>29624.105986871804</v>
      </c>
      <c r="L65" s="14">
        <v>3.3756292947478626E-5</v>
      </c>
      <c r="M65" s="14">
        <v>2.7697038363406215E-5</v>
      </c>
      <c r="N65" s="14">
        <v>125.53961048203838</v>
      </c>
      <c r="O65" s="14">
        <v>80794.782514030259</v>
      </c>
      <c r="P65" s="8">
        <v>125.53961048203838</v>
      </c>
      <c r="Q65" s="54">
        <v>1.7632419831766374E-2</v>
      </c>
    </row>
    <row r="66" spans="1:17">
      <c r="A66" s="2" t="s">
        <v>303</v>
      </c>
      <c r="B66" s="16" t="s">
        <v>304</v>
      </c>
      <c r="D66" s="14">
        <v>1</v>
      </c>
      <c r="E66" s="14">
        <v>0.90066458506219316</v>
      </c>
      <c r="F66" s="14">
        <v>6.9997743355297931E-5</v>
      </c>
      <c r="G66" s="14">
        <v>4.1136991483198958E-15</v>
      </c>
      <c r="H66" s="14">
        <v>18.556840678958139</v>
      </c>
      <c r="I66" s="14">
        <v>2198.1696630347219</v>
      </c>
      <c r="J66" s="14">
        <v>0</v>
      </c>
      <c r="K66" s="14">
        <v>14286.17484029666</v>
      </c>
      <c r="L66" s="14">
        <v>6.9997743355297931E-5</v>
      </c>
      <c r="M66" s="14">
        <v>5.7433148423021958E-5</v>
      </c>
      <c r="N66" s="14">
        <v>120.49206967877225</v>
      </c>
      <c r="O66" s="14">
        <v>77754.737484408513</v>
      </c>
      <c r="P66" s="8">
        <v>120.49206967877227</v>
      </c>
      <c r="Q66" s="54">
        <v>2.3782702861122565E-2</v>
      </c>
    </row>
    <row r="67" spans="1:17">
      <c r="A67" s="2" t="s">
        <v>411</v>
      </c>
      <c r="B67" s="16" t="s">
        <v>412</v>
      </c>
      <c r="D67" s="14">
        <v>1</v>
      </c>
      <c r="E67" s="14">
        <v>0.84410922046852244</v>
      </c>
      <c r="F67" s="14">
        <v>0.81436934230683355</v>
      </c>
      <c r="G67" s="14">
        <v>5.1707066970205435E-5</v>
      </c>
      <c r="H67" s="14">
        <v>7.1931880791735967</v>
      </c>
      <c r="I67" s="14">
        <v>20.016059652561626</v>
      </c>
      <c r="J67" s="14">
        <v>0</v>
      </c>
      <c r="K67" s="14">
        <v>1.2279440642587764</v>
      </c>
      <c r="L67" s="14">
        <v>0.81436934230683367</v>
      </c>
      <c r="M67" s="14">
        <v>0.66819004536275706</v>
      </c>
      <c r="N67" s="14">
        <v>1.6861856421549011</v>
      </c>
      <c r="O67" s="14">
        <v>506.02431121068582</v>
      </c>
      <c r="P67" s="8">
        <v>1.6861856421549011</v>
      </c>
      <c r="Q67" s="54">
        <v>0.10147956260120954</v>
      </c>
    </row>
    <row r="68" spans="1:17">
      <c r="A68" s="2" t="s">
        <v>413</v>
      </c>
      <c r="B68" s="16" t="s">
        <v>414</v>
      </c>
      <c r="D68" s="14">
        <v>1</v>
      </c>
      <c r="E68" s="14">
        <v>0.79645022748815242</v>
      </c>
      <c r="F68" s="14">
        <v>0.74247384183754639</v>
      </c>
      <c r="G68" s="14">
        <v>1.1090972929393577E-4</v>
      </c>
      <c r="H68" s="14">
        <v>12.564382741564247</v>
      </c>
      <c r="I68" s="14">
        <v>33.327161678173326</v>
      </c>
      <c r="J68" s="14">
        <v>0</v>
      </c>
      <c r="K68" s="14">
        <v>1.3468487960802806</v>
      </c>
      <c r="L68" s="14">
        <v>0.74247384183754639</v>
      </c>
      <c r="M68" s="14">
        <v>0.60919978722770685</v>
      </c>
      <c r="N68" s="14">
        <v>2.287311011705329</v>
      </c>
      <c r="O68" s="14">
        <v>750.58110849110358</v>
      </c>
      <c r="P68" s="8">
        <v>2.287311011705329</v>
      </c>
      <c r="Q68" s="54">
        <v>0.12983695700658715</v>
      </c>
    </row>
    <row r="69" spans="1:17">
      <c r="A69" s="2" t="s">
        <v>415</v>
      </c>
      <c r="B69" s="16" t="s">
        <v>416</v>
      </c>
      <c r="D69" s="14">
        <v>1</v>
      </c>
      <c r="E69" s="14">
        <v>0.86238574775303312</v>
      </c>
      <c r="F69" s="14">
        <v>1.3794508313445173E-3</v>
      </c>
      <c r="G69" s="14">
        <v>1.3485116816631462E-5</v>
      </c>
      <c r="H69" s="14">
        <v>99.799008188852852</v>
      </c>
      <c r="I69" s="14">
        <v>1341.7864320030253</v>
      </c>
      <c r="J69" s="14">
        <v>0</v>
      </c>
      <c r="K69" s="14">
        <v>724.9261642949059</v>
      </c>
      <c r="L69" s="14">
        <v>1.3794508313445173E-3</v>
      </c>
      <c r="M69" s="14">
        <v>1.1318394071181763E-3</v>
      </c>
      <c r="N69" s="14">
        <v>71.606546543418347</v>
      </c>
      <c r="O69" s="14">
        <v>33231.16611986958</v>
      </c>
      <c r="P69" s="8">
        <v>71.606546543418347</v>
      </c>
      <c r="Q69" s="54">
        <v>6.6356488556350957E-2</v>
      </c>
    </row>
    <row r="70" spans="1:17">
      <c r="A70" s="2" t="s">
        <v>417</v>
      </c>
      <c r="B70" s="16" t="s">
        <v>418</v>
      </c>
      <c r="D70" s="14">
        <v>1</v>
      </c>
      <c r="E70" s="14">
        <v>0.82871431922354366</v>
      </c>
      <c r="F70" s="14">
        <v>2.5545626083598678E-2</v>
      </c>
      <c r="G70" s="14">
        <v>3.5175885480844255E-5</v>
      </c>
      <c r="H70" s="14">
        <v>193.02632888729863</v>
      </c>
      <c r="I70" s="14">
        <v>326.64327539894151</v>
      </c>
      <c r="J70" s="14">
        <v>0</v>
      </c>
      <c r="K70" s="14">
        <v>39.145644609667258</v>
      </c>
      <c r="L70" s="14">
        <v>2.5545626083598678E-2</v>
      </c>
      <c r="M70" s="14">
        <v>2.0960186201592717E-2</v>
      </c>
      <c r="N70" s="14">
        <v>16.88589710813649</v>
      </c>
      <c r="O70" s="14">
        <v>5303.0159868102646</v>
      </c>
      <c r="P70" s="8">
        <v>16.88589710813649</v>
      </c>
      <c r="Q70" s="54">
        <v>0.10741717382961496</v>
      </c>
    </row>
    <row r="71" spans="1:17">
      <c r="A71" s="2" t="s">
        <v>419</v>
      </c>
      <c r="B71" s="16" t="s">
        <v>420</v>
      </c>
      <c r="D71" s="14">
        <v>1</v>
      </c>
      <c r="E71" s="14">
        <v>0.79165211076551512</v>
      </c>
      <c r="F71" s="14">
        <v>0.74297159451789052</v>
      </c>
      <c r="G71" s="14">
        <v>2.7228310702906287E-4</v>
      </c>
      <c r="H71" s="14">
        <v>11.376068802788557</v>
      </c>
      <c r="I71" s="14">
        <v>30.398305884110236</v>
      </c>
      <c r="J71" s="14">
        <v>0</v>
      </c>
      <c r="K71" s="14">
        <v>1.3459464767948408</v>
      </c>
      <c r="L71" s="14">
        <v>0.74297159451789063</v>
      </c>
      <c r="M71" s="14">
        <v>0.60960819330192928</v>
      </c>
      <c r="N71" s="14">
        <v>2.1418032058439982</v>
      </c>
      <c r="O71" s="14">
        <v>458.43155817884934</v>
      </c>
      <c r="P71" s="8">
        <v>2.1418032058439982</v>
      </c>
      <c r="Q71" s="54">
        <v>0.1233245049500432</v>
      </c>
    </row>
    <row r="72" spans="1:17">
      <c r="A72" s="2" t="s">
        <v>421</v>
      </c>
      <c r="B72" s="16" t="s">
        <v>422</v>
      </c>
      <c r="D72" s="14">
        <v>1</v>
      </c>
      <c r="E72" s="14">
        <v>0.81007015810766581</v>
      </c>
      <c r="F72" s="14">
        <v>2.9517010173411014E-2</v>
      </c>
      <c r="G72" s="14">
        <v>1.4742829828866025E-4</v>
      </c>
      <c r="H72" s="14">
        <v>187.22005348466425</v>
      </c>
      <c r="I72" s="14">
        <v>320.92942333229519</v>
      </c>
      <c r="J72" s="14">
        <v>0</v>
      </c>
      <c r="K72" s="14">
        <v>33.878770042258616</v>
      </c>
      <c r="L72" s="14">
        <v>2.9517010173411018E-2</v>
      </c>
      <c r="M72" s="14">
        <v>2.4218706847283739E-2</v>
      </c>
      <c r="N72" s="14">
        <v>16.573905012988057</v>
      </c>
      <c r="O72" s="14">
        <v>6862.7568487279641</v>
      </c>
      <c r="P72" s="8">
        <v>16.573905012988057</v>
      </c>
      <c r="Q72" s="54">
        <v>0.11329468486612546</v>
      </c>
    </row>
    <row r="73" spans="1:17">
      <c r="A73" s="2" t="s">
        <v>423</v>
      </c>
      <c r="B73" s="16" t="s">
        <v>424</v>
      </c>
      <c r="D73" s="14">
        <v>1</v>
      </c>
      <c r="E73" s="14">
        <v>0.65418207719113519</v>
      </c>
      <c r="F73" s="14">
        <v>0.26120744961404607</v>
      </c>
      <c r="G73" s="14">
        <v>1.4405689391940577E-4</v>
      </c>
      <c r="H73" s="14">
        <v>91.097311233594837</v>
      </c>
      <c r="I73" s="14">
        <v>193.35826014311684</v>
      </c>
      <c r="J73" s="14">
        <v>0</v>
      </c>
      <c r="K73" s="14">
        <v>3.8283747323346873</v>
      </c>
      <c r="L73" s="14">
        <v>0.26120744961404607</v>
      </c>
      <c r="M73" s="14">
        <v>0.21432071240832481</v>
      </c>
      <c r="N73" s="14">
        <v>9.9941087326815463</v>
      </c>
      <c r="O73" s="14">
        <v>4279.1775360722577</v>
      </c>
      <c r="P73" s="8">
        <v>9.9941087326815463</v>
      </c>
      <c r="Q73" s="54">
        <v>0.22108675714447396</v>
      </c>
    </row>
    <row r="74" spans="1:17">
      <c r="A74" s="2" t="s">
        <v>425</v>
      </c>
      <c r="B74" s="16" t="s">
        <v>426</v>
      </c>
      <c r="D74" s="14">
        <v>1</v>
      </c>
      <c r="E74" s="14">
        <v>0.82437210482171985</v>
      </c>
      <c r="F74" s="14">
        <v>2.6658272752147102E-2</v>
      </c>
      <c r="G74" s="14">
        <v>5.4280081964524654E-5</v>
      </c>
      <c r="H74" s="14">
        <v>191.60728057051381</v>
      </c>
      <c r="I74" s="14">
        <v>325.43868610729993</v>
      </c>
      <c r="J74" s="14">
        <v>0</v>
      </c>
      <c r="K74" s="14">
        <v>37.511807659011147</v>
      </c>
      <c r="L74" s="14">
        <v>2.6658272752147105E-2</v>
      </c>
      <c r="M74" s="14">
        <v>2.1873112793136699E-2</v>
      </c>
      <c r="N74" s="14">
        <v>16.818745864719745</v>
      </c>
      <c r="O74" s="14">
        <v>8883.3251908276743</v>
      </c>
      <c r="P74" s="8">
        <v>16.818745864719748</v>
      </c>
      <c r="Q74" s="54">
        <v>0.10921170262597327</v>
      </c>
    </row>
    <row r="75" spans="1:17">
      <c r="A75" s="2" t="s">
        <v>427</v>
      </c>
      <c r="B75" s="16" t="s">
        <v>428</v>
      </c>
      <c r="D75" s="14">
        <v>1</v>
      </c>
      <c r="E75" s="14">
        <v>0.99411425830417333</v>
      </c>
      <c r="F75" s="14">
        <v>4.3126356999932825E-3</v>
      </c>
      <c r="G75" s="14">
        <v>6.0837483863885876E-12</v>
      </c>
      <c r="H75" s="14">
        <v>281.21777881621006</v>
      </c>
      <c r="I75" s="14">
        <v>1.0047420953672417</v>
      </c>
      <c r="J75" s="14">
        <v>0</v>
      </c>
      <c r="K75" s="14">
        <v>231.87676158261121</v>
      </c>
      <c r="L75" s="14">
        <v>4.3126356999932825E-3</v>
      </c>
      <c r="M75" s="14">
        <v>3.5385175918444885E-3</v>
      </c>
      <c r="N75" s="14">
        <v>10.907166315035722</v>
      </c>
      <c r="O75" s="14">
        <v>6152.6234466485012</v>
      </c>
      <c r="P75" s="8">
        <v>10.907166315035722</v>
      </c>
      <c r="Q75" s="54">
        <v>5.6111851366003533E-5</v>
      </c>
    </row>
    <row r="76" spans="1:17">
      <c r="A76" s="2" t="s">
        <v>429</v>
      </c>
      <c r="B76" s="16" t="s">
        <v>430</v>
      </c>
      <c r="D76" s="14">
        <v>1</v>
      </c>
      <c r="E76" s="14">
        <v>0.99411425883481519</v>
      </c>
      <c r="F76" s="14">
        <v>4.312635702295297E-3</v>
      </c>
      <c r="G76" s="14">
        <v>1.5281685032644912E-13</v>
      </c>
      <c r="H76" s="14">
        <v>281.21777896631949</v>
      </c>
      <c r="I76" s="14">
        <v>1.0047420959035565</v>
      </c>
      <c r="J76" s="14">
        <v>0</v>
      </c>
      <c r="K76" s="14">
        <v>231.87676145883918</v>
      </c>
      <c r="L76" s="14">
        <v>4.312635702295297E-3</v>
      </c>
      <c r="M76" s="14">
        <v>3.5385175937332914E-3</v>
      </c>
      <c r="N76" s="14">
        <v>10.907166320857792</v>
      </c>
      <c r="O76" s="14">
        <v>5455.0010920506074</v>
      </c>
      <c r="P76" s="8">
        <v>10.907166320857792</v>
      </c>
      <c r="Q76" s="54">
        <v>5.6111851395955126E-5</v>
      </c>
    </row>
    <row r="77" spans="1:17">
      <c r="A77" s="2" t="s">
        <v>431</v>
      </c>
      <c r="B77" s="16" t="s">
        <v>432</v>
      </c>
      <c r="D77" s="14">
        <v>1</v>
      </c>
      <c r="E77" s="14">
        <v>0.70648190285687074</v>
      </c>
      <c r="F77" s="14">
        <v>0.10088259000718221</v>
      </c>
      <c r="G77" s="14">
        <v>2.6225556418942616E-4</v>
      </c>
      <c r="H77" s="14">
        <v>142.7237419458279</v>
      </c>
      <c r="I77" s="14">
        <v>273.24573651676758</v>
      </c>
      <c r="J77" s="14">
        <v>0</v>
      </c>
      <c r="K77" s="14">
        <v>9.9125131494820486</v>
      </c>
      <c r="L77" s="14">
        <v>0.10088259000718221</v>
      </c>
      <c r="M77" s="14">
        <v>8.2774165100892999E-2</v>
      </c>
      <c r="N77" s="14">
        <v>14.028677802266444</v>
      </c>
      <c r="O77" s="14">
        <v>5107.2804406931218</v>
      </c>
      <c r="P77" s="8">
        <v>14.028677802266444</v>
      </c>
      <c r="Q77" s="54">
        <v>0.17715499184831068</v>
      </c>
    </row>
    <row r="78" spans="1:17">
      <c r="A78" s="2" t="s">
        <v>433</v>
      </c>
      <c r="B78" s="16" t="s">
        <v>434</v>
      </c>
      <c r="D78" s="14">
        <v>1</v>
      </c>
      <c r="E78" s="14">
        <v>0.68217517472969347</v>
      </c>
      <c r="F78" s="14">
        <v>0.52473427851295018</v>
      </c>
      <c r="G78" s="14">
        <v>3.6947743782144018E-4</v>
      </c>
      <c r="H78" s="14">
        <v>36.021304418055628</v>
      </c>
      <c r="I78" s="14">
        <v>86.182007535819025</v>
      </c>
      <c r="J78" s="14">
        <v>0</v>
      </c>
      <c r="K78" s="14">
        <v>1.9057264618463847</v>
      </c>
      <c r="L78" s="14">
        <v>0.52473427851295018</v>
      </c>
      <c r="M78" s="14">
        <v>0.43054447551987568</v>
      </c>
      <c r="N78" s="14">
        <v>4.7565304257629109</v>
      </c>
      <c r="O78" s="14">
        <v>1255.9618589226966</v>
      </c>
      <c r="P78" s="8">
        <v>4.7565304257629109</v>
      </c>
      <c r="Q78" s="54">
        <v>0.19037793263391306</v>
      </c>
    </row>
    <row r="79" spans="1:17">
      <c r="A79" s="2" t="s">
        <v>435</v>
      </c>
      <c r="B79" s="16" t="s">
        <v>436</v>
      </c>
      <c r="D79" s="14">
        <v>1</v>
      </c>
      <c r="E79" s="14">
        <v>0.65914857071402599</v>
      </c>
      <c r="F79" s="14">
        <v>0.36811409036628151</v>
      </c>
      <c r="G79" s="14">
        <v>8.6292078328440027E-5</v>
      </c>
      <c r="H79" s="14">
        <v>67.010435640366865</v>
      </c>
      <c r="I79" s="14">
        <v>149.21057779095176</v>
      </c>
      <c r="J79" s="14">
        <v>0</v>
      </c>
      <c r="K79" s="14">
        <v>2.7165490976044366</v>
      </c>
      <c r="L79" s="14">
        <v>0.36811409036628151</v>
      </c>
      <c r="M79" s="14">
        <v>0.30203761114553396</v>
      </c>
      <c r="N79" s="14">
        <v>7.8213026470666112</v>
      </c>
      <c r="O79" s="14">
        <v>3129.3814021178218</v>
      </c>
      <c r="P79" s="8">
        <v>7.821302647066612</v>
      </c>
      <c r="Q79" s="54">
        <v>0.22202384122901808</v>
      </c>
    </row>
    <row r="80" spans="1:17">
      <c r="A80" s="2" t="s">
        <v>437</v>
      </c>
      <c r="B80" s="16" t="s">
        <v>438</v>
      </c>
      <c r="D80" s="14">
        <v>1</v>
      </c>
      <c r="E80" s="14">
        <v>0.98868942284700001</v>
      </c>
      <c r="F80" s="14">
        <v>2.9081616975084614E-3</v>
      </c>
      <c r="G80" s="14">
        <v>2.1664417704956078E-12</v>
      </c>
      <c r="H80" s="14">
        <v>279.97454671538583</v>
      </c>
      <c r="I80" s="14">
        <v>1.9214556937888174</v>
      </c>
      <c r="J80" s="14">
        <v>0</v>
      </c>
      <c r="K80" s="14">
        <v>343.8598344984531</v>
      </c>
      <c r="L80" s="14">
        <v>2.9081616975084614E-3</v>
      </c>
      <c r="M80" s="14">
        <v>2.3861466728056927E-3</v>
      </c>
      <c r="N80" s="14">
        <v>21.071067741583587</v>
      </c>
      <c r="O80" s="14">
        <v>10832.214504593292</v>
      </c>
      <c r="P80" s="8">
        <v>21.07106774158359</v>
      </c>
      <c r="Q80" s="54">
        <v>6.8019020661086761E-5</v>
      </c>
    </row>
    <row r="81" spans="1:17">
      <c r="A81" s="2" t="s">
        <v>440</v>
      </c>
      <c r="B81" s="16" t="s">
        <v>441</v>
      </c>
      <c r="D81" s="14">
        <v>1</v>
      </c>
      <c r="E81" s="14">
        <v>0.97055718883027242</v>
      </c>
      <c r="F81" s="14">
        <v>0.97308334841021005</v>
      </c>
      <c r="G81" s="14">
        <v>2.0534235031395977E-15</v>
      </c>
      <c r="H81" s="14">
        <v>0.25932837631866645</v>
      </c>
      <c r="I81" s="14">
        <v>0.93391470069797344</v>
      </c>
      <c r="J81" s="14">
        <v>0</v>
      </c>
      <c r="K81" s="14">
        <v>1.0276611984304997</v>
      </c>
      <c r="L81" s="14">
        <v>0.97308334841021005</v>
      </c>
      <c r="M81" s="14">
        <v>0.79841488737057731</v>
      </c>
      <c r="N81" s="14">
        <v>0.88185314704114437</v>
      </c>
      <c r="O81" s="14">
        <v>244.50260354862769</v>
      </c>
      <c r="P81" s="8">
        <v>0.88185314704114437</v>
      </c>
      <c r="Q81" s="54">
        <v>1.9557224074338842E-2</v>
      </c>
    </row>
    <row r="82" spans="1:17">
      <c r="A82" s="2" t="s">
        <v>442</v>
      </c>
      <c r="B82" s="16" t="s">
        <v>443</v>
      </c>
      <c r="D82" s="14">
        <v>1</v>
      </c>
      <c r="E82" s="14">
        <v>0.78638398739647741</v>
      </c>
      <c r="F82" s="14">
        <v>0.71877620979366186</v>
      </c>
      <c r="G82" s="14">
        <v>9.151287130846457E-7</v>
      </c>
      <c r="H82" s="14">
        <v>15.619016881453426</v>
      </c>
      <c r="I82" s="14">
        <v>40.673436272024901</v>
      </c>
      <c r="J82" s="14">
        <v>0</v>
      </c>
      <c r="K82" s="14">
        <v>1.3912536146501964</v>
      </c>
      <c r="L82" s="14">
        <v>0.71877620979366186</v>
      </c>
      <c r="M82" s="14">
        <v>0.58975588013569957</v>
      </c>
      <c r="N82" s="14">
        <v>2.633850810355248</v>
      </c>
      <c r="O82" s="14">
        <v>435.08581536258345</v>
      </c>
      <c r="P82" s="8">
        <v>2.633850810355248</v>
      </c>
      <c r="Q82" s="54">
        <v>0.14318939861205923</v>
      </c>
    </row>
    <row r="83" spans="1:17">
      <c r="A83" s="2" t="s">
        <v>444</v>
      </c>
      <c r="B83" s="16" t="s">
        <v>445</v>
      </c>
      <c r="D83" s="14">
        <v>1</v>
      </c>
      <c r="E83" s="14">
        <v>0.70653537804279432</v>
      </c>
      <c r="F83" s="14">
        <v>0.12674463625041435</v>
      </c>
      <c r="G83" s="14">
        <v>5.5869923541442277E-6</v>
      </c>
      <c r="H83" s="14">
        <v>136.19137022092701</v>
      </c>
      <c r="I83" s="14">
        <v>266.07664762376066</v>
      </c>
      <c r="J83" s="14">
        <v>0</v>
      </c>
      <c r="K83" s="14">
        <v>7.8898802314936685</v>
      </c>
      <c r="L83" s="14">
        <v>0.12674463625041435</v>
      </c>
      <c r="M83" s="14">
        <v>0.10399397404346498</v>
      </c>
      <c r="N83" s="14">
        <v>13.658954981518905</v>
      </c>
      <c r="O83" s="14">
        <v>2461.8900458689673</v>
      </c>
      <c r="P83" s="8">
        <v>13.658954981518905</v>
      </c>
      <c r="Q83" s="54">
        <v>0.19284427930173612</v>
      </c>
    </row>
    <row r="84" spans="1:17">
      <c r="A84" s="2" t="s">
        <v>446</v>
      </c>
      <c r="B84" s="16" t="s">
        <v>447</v>
      </c>
      <c r="D84" s="14">
        <v>1</v>
      </c>
      <c r="E84" s="14">
        <v>0.93738813922398945</v>
      </c>
      <c r="F84" s="14">
        <v>0.93553403396670387</v>
      </c>
      <c r="G84" s="14">
        <v>6.2961936801230548E-17</v>
      </c>
      <c r="H84" s="14">
        <v>1.160511882073086</v>
      </c>
      <c r="I84" s="14">
        <v>3.7317003405670506</v>
      </c>
      <c r="J84" s="14">
        <v>0</v>
      </c>
      <c r="K84" s="14">
        <v>1.0689081996941978</v>
      </c>
      <c r="L84" s="14">
        <v>0.93553403396670387</v>
      </c>
      <c r="M84" s="14">
        <v>0.76760567486968057</v>
      </c>
      <c r="N84" s="14">
        <v>0.98595863510556103</v>
      </c>
      <c r="O84" s="14">
        <v>383.4294536062016</v>
      </c>
      <c r="P84" s="8">
        <v>0.98595863510556103</v>
      </c>
      <c r="Q84" s="54">
        <v>4.1908948277936883E-2</v>
      </c>
    </row>
    <row r="85" spans="1:17">
      <c r="A85" s="2" t="s">
        <v>448</v>
      </c>
      <c r="B85" s="16" t="s">
        <v>449</v>
      </c>
      <c r="D85" s="14">
        <v>1</v>
      </c>
      <c r="E85" s="14">
        <v>0.98745641136891416</v>
      </c>
      <c r="F85" s="14">
        <v>0.99107849352542698</v>
      </c>
      <c r="G85" s="14">
        <v>4.4292127325881578E-10</v>
      </c>
      <c r="H85" s="14">
        <v>4.7631916066159637E-2</v>
      </c>
      <c r="I85" s="14">
        <v>0.19460555041987521</v>
      </c>
      <c r="J85" s="14">
        <v>0</v>
      </c>
      <c r="K85" s="14">
        <v>1.0090018162364092</v>
      </c>
      <c r="L85" s="14">
        <v>0.99107849352542698</v>
      </c>
      <c r="M85" s="14">
        <v>0.81317990393761286</v>
      </c>
      <c r="N85" s="14">
        <v>0.8616829553437606</v>
      </c>
      <c r="O85" s="14">
        <v>154.44805291581565</v>
      </c>
      <c r="P85" s="8">
        <v>0.86168295534376071</v>
      </c>
      <c r="Q85" s="54">
        <v>8.1574650692515811E-3</v>
      </c>
    </row>
    <row r="86" spans="1:17">
      <c r="A86" s="2" t="s">
        <v>450</v>
      </c>
      <c r="B86" s="16" t="s">
        <v>451</v>
      </c>
      <c r="D86" s="14">
        <v>1</v>
      </c>
      <c r="E86" s="14">
        <v>0.93887592952842736</v>
      </c>
      <c r="F86" s="14">
        <v>0.93728223298058466</v>
      </c>
      <c r="G86" s="14">
        <v>1.5840499508496433E-10</v>
      </c>
      <c r="H86" s="14">
        <v>1.105962457016803</v>
      </c>
      <c r="I86" s="14">
        <v>3.5694192003322263</v>
      </c>
      <c r="J86" s="14">
        <v>0</v>
      </c>
      <c r="K86" s="14">
        <v>1.0669144947087827</v>
      </c>
      <c r="L86" s="14">
        <v>0.93728223298058466</v>
      </c>
      <c r="M86" s="14">
        <v>0.7690400721605698</v>
      </c>
      <c r="N86" s="14">
        <v>0.97951835582656321</v>
      </c>
      <c r="O86" s="14">
        <v>255.74244752275737</v>
      </c>
      <c r="P86" s="8">
        <v>0.97951835582656321</v>
      </c>
      <c r="Q86" s="54">
        <v>4.0906992903630805E-2</v>
      </c>
    </row>
    <row r="87" spans="1:17">
      <c r="A87" s="2" t="s">
        <v>452</v>
      </c>
      <c r="B87" s="16" t="s">
        <v>453</v>
      </c>
      <c r="D87" s="14">
        <v>1</v>
      </c>
      <c r="E87" s="14">
        <v>0.87580705366593237</v>
      </c>
      <c r="F87" s="14">
        <v>5.0558337873260549E-4</v>
      </c>
      <c r="G87" s="14">
        <v>5.2148434521154634E-10</v>
      </c>
      <c r="H87" s="14">
        <v>58.886099423870469</v>
      </c>
      <c r="I87" s="14">
        <v>1758.2068132644672</v>
      </c>
      <c r="J87" s="14">
        <v>0</v>
      </c>
      <c r="K87" s="14">
        <v>1977.9131238586131</v>
      </c>
      <c r="L87" s="14">
        <v>5.0558337873260549E-4</v>
      </c>
      <c r="M87" s="14">
        <v>4.1483116225010278E-4</v>
      </c>
      <c r="N87" s="14">
        <v>94.752296025895618</v>
      </c>
      <c r="O87" s="14">
        <v>39445.380835580341</v>
      </c>
      <c r="P87" s="8">
        <v>94.752296025895618</v>
      </c>
      <c r="Q87" s="54">
        <v>4.9804657592422558E-2</v>
      </c>
    </row>
    <row r="88" spans="1:17">
      <c r="A88" s="2" t="s">
        <v>454</v>
      </c>
      <c r="B88" s="16" t="s">
        <v>455</v>
      </c>
      <c r="D88" s="14">
        <v>1</v>
      </c>
      <c r="E88" s="14">
        <v>0.72847856178215342</v>
      </c>
      <c r="F88" s="14">
        <v>0.60134591166656848</v>
      </c>
      <c r="G88" s="14">
        <v>4.4251994566220669E-7</v>
      </c>
      <c r="H88" s="14">
        <v>29.087363797712054</v>
      </c>
      <c r="I88" s="14">
        <v>71.410411136199428</v>
      </c>
      <c r="J88" s="14">
        <v>0</v>
      </c>
      <c r="K88" s="14">
        <v>1.6629363908513195</v>
      </c>
      <c r="L88" s="14">
        <v>0.60134591166656859</v>
      </c>
      <c r="M88" s="14">
        <v>0.4934043205224195</v>
      </c>
      <c r="N88" s="14">
        <v>4.0758209889335637</v>
      </c>
      <c r="O88" s="14">
        <v>779.58228055332279</v>
      </c>
      <c r="P88" s="8">
        <v>4.0758209889335637</v>
      </c>
      <c r="Q88" s="54">
        <v>0.18178646039322141</v>
      </c>
    </row>
    <row r="89" spans="1:17">
      <c r="A89" s="2" t="s">
        <v>456</v>
      </c>
      <c r="B89" s="16" t="s">
        <v>457</v>
      </c>
      <c r="D89" s="14">
        <v>1</v>
      </c>
      <c r="E89" s="14">
        <v>0.77545832043851814</v>
      </c>
      <c r="F89" s="14">
        <v>0.6988364561976329</v>
      </c>
      <c r="G89" s="14">
        <v>3.0173385431378308E-19</v>
      </c>
      <c r="H89" s="14">
        <v>17.64393920750021</v>
      </c>
      <c r="I89" s="14">
        <v>45.441506773835172</v>
      </c>
      <c r="J89" s="14">
        <v>0</v>
      </c>
      <c r="K89" s="14">
        <v>1.4309499613700709</v>
      </c>
      <c r="L89" s="14">
        <v>0.6988364561976329</v>
      </c>
      <c r="M89" s="14">
        <v>0.57339531231015783</v>
      </c>
      <c r="N89" s="14">
        <v>2.8553391929191601</v>
      </c>
      <c r="O89" s="14">
        <v>1120.6064196530535</v>
      </c>
      <c r="P89" s="8">
        <v>2.8553391929191605</v>
      </c>
      <c r="Q89" s="54">
        <v>0.1505402813998229</v>
      </c>
    </row>
    <row r="90" spans="1:17">
      <c r="A90" s="2" t="s">
        <v>458</v>
      </c>
      <c r="B90" s="16" t="s">
        <v>459</v>
      </c>
      <c r="D90" s="14">
        <v>1</v>
      </c>
      <c r="E90" s="14">
        <v>0.88231579907651847</v>
      </c>
      <c r="F90" s="14">
        <v>0.86627964946768077</v>
      </c>
      <c r="G90" s="14">
        <v>4.6660200411751057E-31</v>
      </c>
      <c r="H90" s="14">
        <v>4.1987315852268043</v>
      </c>
      <c r="I90" s="14">
        <v>12.211676275948966</v>
      </c>
      <c r="J90" s="14">
        <v>0</v>
      </c>
      <c r="K90" s="14">
        <v>1.154361643626846</v>
      </c>
      <c r="L90" s="14">
        <v>0.86627964946768077</v>
      </c>
      <c r="M90" s="14">
        <v>0.71078245238823201</v>
      </c>
      <c r="N90" s="14">
        <v>1.3439915245769589</v>
      </c>
      <c r="O90" s="14">
        <v>1049.5767412031305</v>
      </c>
      <c r="P90" s="8">
        <v>1.3439915245769589</v>
      </c>
      <c r="Q90" s="54">
        <v>7.8954208266874465E-2</v>
      </c>
    </row>
    <row r="91" spans="1:17">
      <c r="A91" s="2" t="s">
        <v>460</v>
      </c>
      <c r="B91" s="16" t="s">
        <v>461</v>
      </c>
      <c r="D91" s="14">
        <v>1</v>
      </c>
      <c r="E91" s="14">
        <v>0.8608649951183035</v>
      </c>
      <c r="F91" s="14">
        <v>3.326838026312273E-3</v>
      </c>
      <c r="G91" s="14">
        <v>5.4804995267601269E-10</v>
      </c>
      <c r="H91" s="14">
        <v>148.21482886561446</v>
      </c>
      <c r="I91" s="14">
        <v>884.40019093835554</v>
      </c>
      <c r="J91" s="14">
        <v>0</v>
      </c>
      <c r="K91" s="14">
        <v>300.58571895923592</v>
      </c>
      <c r="L91" s="14">
        <v>3.326838026312273E-3</v>
      </c>
      <c r="M91" s="14">
        <v>2.7296706005892203E-3</v>
      </c>
      <c r="N91" s="14">
        <v>46.732293971712551</v>
      </c>
      <c r="O91" s="14">
        <v>14318.774872932725</v>
      </c>
      <c r="P91" s="8">
        <v>46.732293971712551</v>
      </c>
      <c r="Q91" s="54">
        <v>7.7134528235868555E-2</v>
      </c>
    </row>
    <row r="92" spans="1:17">
      <c r="A92" s="2" t="s">
        <v>462</v>
      </c>
      <c r="B92" s="16" t="s">
        <v>463</v>
      </c>
      <c r="D92" s="14">
        <v>1</v>
      </c>
      <c r="E92" s="14">
        <v>0.6824213342507397</v>
      </c>
      <c r="F92" s="14">
        <v>0.17676257342111704</v>
      </c>
      <c r="G92" s="14">
        <v>4.903416717150437E-11</v>
      </c>
      <c r="H92" s="14">
        <v>118.10555252068598</v>
      </c>
      <c r="I92" s="14">
        <v>238.96125278175276</v>
      </c>
      <c r="J92" s="14">
        <v>0</v>
      </c>
      <c r="K92" s="14">
        <v>5.657306185612109</v>
      </c>
      <c r="L92" s="14">
        <v>0.17676257342111704</v>
      </c>
      <c r="M92" s="14">
        <v>0.14503369149202652</v>
      </c>
      <c r="N92" s="14">
        <v>12.280659859514811</v>
      </c>
      <c r="O92" s="14">
        <v>4136.3718538817784</v>
      </c>
      <c r="P92" s="8">
        <v>12.280659859514811</v>
      </c>
      <c r="Q92" s="54">
        <v>0.2099556114463732</v>
      </c>
    </row>
    <row r="93" spans="1:17">
      <c r="A93" s="2" t="s">
        <v>464</v>
      </c>
      <c r="B93" s="16" t="s">
        <v>465</v>
      </c>
      <c r="D93" s="14">
        <v>1</v>
      </c>
      <c r="E93" s="14">
        <v>0.80217708819730837</v>
      </c>
      <c r="F93" s="14">
        <v>3.8834502704354158E-2</v>
      </c>
      <c r="G93" s="14">
        <v>2.1727323759810719E-6</v>
      </c>
      <c r="H93" s="14">
        <v>182.46423396293906</v>
      </c>
      <c r="I93" s="14">
        <v>319.76793985024256</v>
      </c>
      <c r="J93" s="14">
        <v>0</v>
      </c>
      <c r="K93" s="14">
        <v>25.750297554032517</v>
      </c>
      <c r="L93" s="14">
        <v>3.8834502704354158E-2</v>
      </c>
      <c r="M93" s="14">
        <v>3.1863709468922585E-2</v>
      </c>
      <c r="N93" s="14">
        <v>16.48723635240199</v>
      </c>
      <c r="O93" s="14">
        <v>7668.0487551386404</v>
      </c>
      <c r="P93" s="8">
        <v>16.48723635240199</v>
      </c>
      <c r="Q93" s="54">
        <v>0.12747790540082848</v>
      </c>
    </row>
    <row r="94" spans="1:17">
      <c r="A94" s="2" t="s">
        <v>466</v>
      </c>
      <c r="B94" s="16" t="s">
        <v>467</v>
      </c>
      <c r="D94" s="14">
        <v>1</v>
      </c>
      <c r="E94" s="14">
        <v>0.99930378865802494</v>
      </c>
      <c r="F94" s="14">
        <v>0.89778762202612117</v>
      </c>
      <c r="G94" s="14">
        <v>2.0370891335658611E-20</v>
      </c>
      <c r="H94" s="14">
        <v>29.843765127530592</v>
      </c>
      <c r="I94" s="14">
        <v>3.6312297122819789E-2</v>
      </c>
      <c r="J94" s="14">
        <v>0</v>
      </c>
      <c r="K94" s="14">
        <v>1.1138491726397457</v>
      </c>
      <c r="L94" s="14">
        <v>0.89778762202612128</v>
      </c>
      <c r="M94" s="14">
        <v>0.73663474387243255</v>
      </c>
      <c r="N94" s="14">
        <v>1.0090013513540219</v>
      </c>
      <c r="O94" s="14">
        <v>333.71710694682923</v>
      </c>
      <c r="P94" s="8">
        <v>1.0090013513540221</v>
      </c>
      <c r="Q94" s="54">
        <v>1.0761027056197516E-4</v>
      </c>
    </row>
    <row r="95" spans="1:17">
      <c r="A95" s="2" t="s">
        <v>468</v>
      </c>
      <c r="B95" s="16" t="s">
        <v>469</v>
      </c>
      <c r="D95" s="14">
        <v>1</v>
      </c>
      <c r="E95" s="14">
        <v>0.8735053266090218</v>
      </c>
      <c r="F95" s="14">
        <v>7.8399850137053605E-3</v>
      </c>
      <c r="G95" s="14">
        <v>2.2240457679244867E-20</v>
      </c>
      <c r="H95" s="14">
        <v>197.24919184357017</v>
      </c>
      <c r="I95" s="14">
        <v>451.82723265914893</v>
      </c>
      <c r="J95" s="14">
        <v>0</v>
      </c>
      <c r="K95" s="14">
        <v>127.55126422459531</v>
      </c>
      <c r="L95" s="14">
        <v>7.8399850137053605E-3</v>
      </c>
      <c r="M95" s="14">
        <v>6.432707703745248E-3</v>
      </c>
      <c r="N95" s="14">
        <v>23.602750485599223</v>
      </c>
      <c r="O95" s="14">
        <v>11659.758739886016</v>
      </c>
      <c r="P95" s="8">
        <v>23.602750485599223</v>
      </c>
      <c r="Q95" s="54">
        <v>7.6908156839531644E-2</v>
      </c>
    </row>
    <row r="96" spans="1:17">
      <c r="A96" s="2" t="s">
        <v>470</v>
      </c>
      <c r="B96" s="164">
        <v>354656</v>
      </c>
      <c r="D96" s="14">
        <v>1</v>
      </c>
      <c r="E96" s="14">
        <v>0.96943852232931338</v>
      </c>
      <c r="F96" s="14">
        <v>0.9718650200480351</v>
      </c>
      <c r="G96" s="14">
        <v>4.093685161104399E-12</v>
      </c>
      <c r="H96" s="14">
        <v>0.27918105946014432</v>
      </c>
      <c r="I96" s="14">
        <v>0.99986904165504908</v>
      </c>
      <c r="J96" s="14">
        <v>0</v>
      </c>
      <c r="K96" s="14">
        <v>1.0289494727884889</v>
      </c>
      <c r="L96" s="14">
        <v>0.97186502004803521</v>
      </c>
      <c r="M96" s="14">
        <v>0.79741524894941285</v>
      </c>
      <c r="N96" s="14">
        <v>0.88400050274837494</v>
      </c>
      <c r="O96" s="14">
        <v>174.31605913695205</v>
      </c>
      <c r="P96" s="8">
        <v>0.88400050274837494</v>
      </c>
      <c r="Q96" s="54">
        <v>2.0311552598485123E-2</v>
      </c>
    </row>
    <row r="97" spans="1:17">
      <c r="A97" s="2" t="s">
        <v>472</v>
      </c>
      <c r="B97" s="16" t="s">
        <v>473</v>
      </c>
      <c r="D97" s="14">
        <v>1</v>
      </c>
      <c r="E97" s="14">
        <v>0.93663181681475327</v>
      </c>
      <c r="F97" s="14">
        <v>0.93464298586029593</v>
      </c>
      <c r="G97" s="14">
        <v>6.2910659619421566E-12</v>
      </c>
      <c r="H97" s="14">
        <v>1.1887642914415886</v>
      </c>
      <c r="I97" s="14">
        <v>3.8155128619135792</v>
      </c>
      <c r="J97" s="14">
        <v>0</v>
      </c>
      <c r="K97" s="14">
        <v>1.0699272504351445</v>
      </c>
      <c r="L97" s="14">
        <v>0.93464298586029593</v>
      </c>
      <c r="M97" s="14">
        <v>0.76687456989837277</v>
      </c>
      <c r="N97" s="14">
        <v>0.98929608314201256</v>
      </c>
      <c r="O97" s="14">
        <v>158.46544659768759</v>
      </c>
      <c r="P97" s="8">
        <v>0.98929608314201256</v>
      </c>
      <c r="Q97" s="54">
        <v>4.2418267044403074E-2</v>
      </c>
    </row>
    <row r="98" spans="1:17">
      <c r="A98" s="2" t="s">
        <v>474</v>
      </c>
      <c r="B98" s="16" t="s">
        <v>475</v>
      </c>
      <c r="D98" s="14">
        <v>1</v>
      </c>
      <c r="E98" s="14">
        <v>0.85222360352142312</v>
      </c>
      <c r="F98" s="14">
        <v>1.8304166575420805E-2</v>
      </c>
      <c r="G98" s="14">
        <v>5.1567781389623112E-22</v>
      </c>
      <c r="H98" s="14">
        <v>201.25652023844827</v>
      </c>
      <c r="I98" s="14">
        <v>331.28908711058858</v>
      </c>
      <c r="J98" s="14">
        <v>0</v>
      </c>
      <c r="K98" s="14">
        <v>54.632369951375971</v>
      </c>
      <c r="L98" s="14">
        <v>1.8304166575420805E-2</v>
      </c>
      <c r="M98" s="14">
        <v>1.501856867513277E-2</v>
      </c>
      <c r="N98" s="14">
        <v>17.164792019934399</v>
      </c>
      <c r="O98" s="14">
        <v>9121.8854231537371</v>
      </c>
      <c r="P98" s="8">
        <v>17.164792019934399</v>
      </c>
      <c r="Q98" s="54">
        <v>9.3585190808680885E-2</v>
      </c>
    </row>
    <row r="99" spans="1:17">
      <c r="A99" s="2" t="s">
        <v>476</v>
      </c>
      <c r="B99" s="16" t="s">
        <v>477</v>
      </c>
      <c r="D99" s="14">
        <v>1</v>
      </c>
      <c r="E99" s="14">
        <v>0.99117393048186153</v>
      </c>
      <c r="F99" s="14">
        <v>0.99493171588832829</v>
      </c>
      <c r="G99" s="14">
        <v>1.9333111825615125E-9</v>
      </c>
      <c r="H99" s="14">
        <v>2.3446243730357353E-2</v>
      </c>
      <c r="I99" s="14">
        <v>0.10095560739846901</v>
      </c>
      <c r="J99" s="14">
        <v>0</v>
      </c>
      <c r="K99" s="14">
        <v>1.0050941024702851</v>
      </c>
      <c r="L99" s="14">
        <v>0.99493171588832829</v>
      </c>
      <c r="M99" s="14">
        <v>0.81634147288637338</v>
      </c>
      <c r="N99" s="14">
        <v>0.86052471159404686</v>
      </c>
      <c r="O99" s="14">
        <v>111.1453717494871</v>
      </c>
      <c r="P99" s="8">
        <v>0.86052471159404698</v>
      </c>
      <c r="Q99" s="54">
        <v>5.6484650521557494E-3</v>
      </c>
    </row>
    <row r="100" spans="1:17">
      <c r="A100" s="2" t="s">
        <v>478</v>
      </c>
      <c r="B100" s="16" t="s">
        <v>479</v>
      </c>
      <c r="D100" s="14">
        <v>1</v>
      </c>
      <c r="E100" s="14">
        <v>0.67005441941480648</v>
      </c>
      <c r="F100" s="14">
        <v>0.41043416931674609</v>
      </c>
      <c r="G100" s="14">
        <v>5.6583785276557358E-13</v>
      </c>
      <c r="H100" s="14">
        <v>59.657288376409298</v>
      </c>
      <c r="I100" s="14">
        <v>135.05811378991129</v>
      </c>
      <c r="J100" s="14">
        <v>0</v>
      </c>
      <c r="K100" s="14">
        <v>2.4364443186216929</v>
      </c>
      <c r="L100" s="14">
        <v>0.41043416931674614</v>
      </c>
      <c r="M100" s="14">
        <v>0.33676123592439022</v>
      </c>
      <c r="N100" s="14">
        <v>7.1352212237162975</v>
      </c>
      <c r="O100" s="14">
        <v>2139.1393228701459</v>
      </c>
      <c r="P100" s="8">
        <v>7.1352212237162975</v>
      </c>
      <c r="Q100" s="54">
        <v>0.22015100891919445</v>
      </c>
    </row>
    <row r="101" spans="1:17">
      <c r="A101" s="2" t="s">
        <v>480</v>
      </c>
      <c r="B101" s="16" t="s">
        <v>481</v>
      </c>
      <c r="D101" s="14">
        <v>1</v>
      </c>
      <c r="E101" s="14">
        <v>0.98553033025813785</v>
      </c>
      <c r="F101" s="14">
        <v>0.98906680940920177</v>
      </c>
      <c r="G101" s="14">
        <v>5.2015660307394112E-13</v>
      </c>
      <c r="H101" s="14">
        <v>6.3373198701794725E-2</v>
      </c>
      <c r="I101" s="14">
        <v>0.25349114848530258</v>
      </c>
      <c r="J101" s="14">
        <v>0</v>
      </c>
      <c r="K101" s="14">
        <v>1.0110540465889548</v>
      </c>
      <c r="L101" s="14">
        <v>0.98906680940920189</v>
      </c>
      <c r="M101" s="14">
        <v>0.81152931712025012</v>
      </c>
      <c r="N101" s="14">
        <v>0.8627739731223184</v>
      </c>
      <c r="O101" s="14">
        <v>205.47824943881133</v>
      </c>
      <c r="P101" s="8">
        <v>0.8627739731223184</v>
      </c>
      <c r="Q101" s="54">
        <v>9.4572049104094391E-3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0.99598389363029272</v>
      </c>
      <c r="F102" s="14">
        <v>0.99985746516225482</v>
      </c>
      <c r="G102" s="14">
        <v>3.2695394446422192E-29</v>
      </c>
      <c r="H102" s="14">
        <v>4.5233281314305618E-3</v>
      </c>
      <c r="I102" s="14">
        <v>2.1994559286106757E-2</v>
      </c>
      <c r="J102" s="14">
        <v>0</v>
      </c>
      <c r="K102" s="14">
        <v>1.0001425551568213</v>
      </c>
      <c r="L102" s="14">
        <v>0.99985746516225482</v>
      </c>
      <c r="M102" s="14">
        <v>0.82038305016563007</v>
      </c>
      <c r="N102" s="14">
        <v>0.86101676588637588</v>
      </c>
      <c r="O102" s="14">
        <v>396.43794951706406</v>
      </c>
      <c r="P102" s="8">
        <v>0.86101676588637588</v>
      </c>
      <c r="Q102" s="54">
        <v>2.4016806789226969E-3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0.99144014020578197</v>
      </c>
      <c r="F103" s="14">
        <v>0.99520612169502176</v>
      </c>
      <c r="G103" s="14">
        <v>2.607783460008084E-15</v>
      </c>
      <c r="H103" s="14">
        <v>2.2031447848811881E-2</v>
      </c>
      <c r="I103" s="14">
        <v>9.5301603854676883E-2</v>
      </c>
      <c r="J103" s="14">
        <v>0</v>
      </c>
      <c r="K103" s="14">
        <v>1.0048169702742717</v>
      </c>
      <c r="L103" s="14">
        <v>0.99520612169502176</v>
      </c>
      <c r="M103" s="14">
        <v>0.81656662285076542</v>
      </c>
      <c r="N103" s="14">
        <v>0.8604915037788341</v>
      </c>
      <c r="O103" s="14">
        <v>176.6158811506057</v>
      </c>
      <c r="P103" s="8">
        <v>0.86049150377883421</v>
      </c>
      <c r="Q103" s="54">
        <v>5.4689028619318014E-3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0.95406068462175875</v>
      </c>
      <c r="F104" s="14">
        <v>0.95477864984995875</v>
      </c>
      <c r="G104" s="14">
        <v>3.2091586428382067E-11</v>
      </c>
      <c r="H104" s="14">
        <v>0.62598323050097415</v>
      </c>
      <c r="I104" s="14">
        <v>2.1096959531066219</v>
      </c>
      <c r="J104" s="14">
        <v>0</v>
      </c>
      <c r="K104" s="14">
        <v>1.0473631769595473</v>
      </c>
      <c r="L104" s="14">
        <v>0.95477864984995875</v>
      </c>
      <c r="M104" s="14">
        <v>0.78339588220189116</v>
      </c>
      <c r="N104" s="14">
        <v>0.92325992758645736</v>
      </c>
      <c r="O104" s="14">
        <v>139.55997065396889</v>
      </c>
      <c r="P104" s="8">
        <v>0.92325992758645736</v>
      </c>
      <c r="Q104" s="54">
        <v>3.0677493290752679E-2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0.99527490833957111</v>
      </c>
      <c r="F105" s="14">
        <v>0.9991358183564425</v>
      </c>
      <c r="G105" s="14">
        <v>2.6002374929146174E-18</v>
      </c>
      <c r="H105" s="14">
        <v>6.4148207954167176E-3</v>
      </c>
      <c r="I105" s="14">
        <v>3.0397768217726977E-2</v>
      </c>
      <c r="J105" s="14">
        <v>0</v>
      </c>
      <c r="K105" s="14">
        <v>1.0008649290994083</v>
      </c>
      <c r="L105" s="14">
        <v>0.9991358183564425</v>
      </c>
      <c r="M105" s="14">
        <v>0.81979093896146116</v>
      </c>
      <c r="N105" s="14">
        <v>0.86079228458399815</v>
      </c>
      <c r="O105" s="14">
        <v>292.11846969642562</v>
      </c>
      <c r="P105" s="8">
        <v>0.86079228458399815</v>
      </c>
      <c r="Q105" s="54">
        <v>2.8803263613953484E-3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0.85419799796191953</v>
      </c>
      <c r="F106" s="14">
        <v>0.82712271388826819</v>
      </c>
      <c r="G106" s="14">
        <v>1.4127276164714977E-10</v>
      </c>
      <c r="H106" s="14">
        <v>6.6104336011327494</v>
      </c>
      <c r="I106" s="14">
        <v>18.530499155915404</v>
      </c>
      <c r="J106" s="14">
        <v>0</v>
      </c>
      <c r="K106" s="14">
        <v>1.2090104445313115</v>
      </c>
      <c r="L106" s="14">
        <v>0.8271227138882683</v>
      </c>
      <c r="M106" s="14">
        <v>0.67865418674532407</v>
      </c>
      <c r="N106" s="14">
        <v>1.6233619272569801</v>
      </c>
      <c r="O106" s="14">
        <v>311.8965270838836</v>
      </c>
      <c r="P106" s="8">
        <v>1.6233619272569801</v>
      </c>
      <c r="Q106" s="54">
        <v>9.7833393525306067E-2</v>
      </c>
    </row>
    <row r="107" spans="1:17">
      <c r="A107" s="2" t="s">
        <v>492</v>
      </c>
      <c r="B107" s="16" t="s">
        <v>493</v>
      </c>
      <c r="D107" s="14">
        <v>1</v>
      </c>
      <c r="E107" s="14">
        <v>0.86870086684750103</v>
      </c>
      <c r="F107" s="14">
        <v>1.3608266020089129E-2</v>
      </c>
      <c r="G107" s="14">
        <v>2.4233228542745115E-18</v>
      </c>
      <c r="H107" s="14">
        <v>207.1012835179543</v>
      </c>
      <c r="I107" s="14">
        <v>332.84340884761684</v>
      </c>
      <c r="J107" s="14">
        <v>0</v>
      </c>
      <c r="K107" s="14">
        <v>73.484748058551716</v>
      </c>
      <c r="L107" s="14">
        <v>1.3608266020089129E-2</v>
      </c>
      <c r="M107" s="14">
        <v>1.1165582269483131E-2</v>
      </c>
      <c r="N107" s="14">
        <v>17.280756871385382</v>
      </c>
      <c r="O107" s="14">
        <v>7855.8320737317945</v>
      </c>
      <c r="P107" s="8">
        <v>17.280756871385382</v>
      </c>
      <c r="Q107" s="54">
        <v>8.2421395085422067E-2</v>
      </c>
    </row>
    <row r="108" spans="1:17">
      <c r="A108" s="2" t="s">
        <v>291</v>
      </c>
      <c r="B108" s="16" t="s">
        <v>494</v>
      </c>
      <c r="D108" s="14">
        <v>1</v>
      </c>
      <c r="E108" s="14">
        <v>0.68384500802559767</v>
      </c>
      <c r="F108" s="14">
        <v>0.47263975783172935</v>
      </c>
      <c r="G108" s="14">
        <v>3.2594080873397934E-12</v>
      </c>
      <c r="H108" s="14">
        <v>48.407232154543941</v>
      </c>
      <c r="I108" s="14">
        <v>112.45206161382158</v>
      </c>
      <c r="J108" s="14">
        <v>0</v>
      </c>
      <c r="K108" s="14">
        <v>2.1157763041086</v>
      </c>
      <c r="L108" s="14">
        <v>0.47263975783172935</v>
      </c>
      <c r="M108" s="14">
        <v>0.38780092130093397</v>
      </c>
      <c r="N108" s="14">
        <v>6.0397353664989621</v>
      </c>
      <c r="O108" s="14">
        <v>1862.2316055526248</v>
      </c>
      <c r="P108" s="8">
        <v>6.0397353664989621</v>
      </c>
      <c r="Q108" s="54">
        <v>0.21123575041460277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9.0698001571078057E-5</v>
      </c>
      <c r="E2" s="20">
        <v>0.82013010267277076</v>
      </c>
      <c r="F2" s="20">
        <v>3.6869897721952101E-2</v>
      </c>
      <c r="G2" s="20">
        <v>1.0739090153157925E-2</v>
      </c>
      <c r="H2" s="20">
        <v>0</v>
      </c>
      <c r="I2" s="20">
        <v>0.77252111479766072</v>
      </c>
      <c r="J2" s="20">
        <v>1.0974816194762333E-3</v>
      </c>
      <c r="K2" s="20">
        <v>0.17868171770618194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3.4610492357433401E-3</v>
      </c>
      <c r="E3" s="20">
        <v>0.86959625901690618</v>
      </c>
      <c r="F3" s="20">
        <v>0.23425129063280162</v>
      </c>
      <c r="G3" s="20">
        <v>0.63471322541378827</v>
      </c>
      <c r="H3" s="20">
        <v>0</v>
      </c>
      <c r="I3" s="20">
        <v>6.3174297031623613E-4</v>
      </c>
      <c r="J3" s="20">
        <v>4.7785536471224785E-2</v>
      </c>
      <c r="K3" s="20">
        <v>7.915715527612574E-2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4.397415038532958E-12</v>
      </c>
      <c r="E4" s="20">
        <v>0.66259838434700891</v>
      </c>
      <c r="F4" s="20">
        <v>0.25042153436395437</v>
      </c>
      <c r="G4" s="20">
        <v>5.97815577699825E-2</v>
      </c>
      <c r="H4" s="20">
        <v>0</v>
      </c>
      <c r="I4" s="20">
        <v>0.35239529221307209</v>
      </c>
      <c r="J4" s="20">
        <v>4.3742989705798114E-3</v>
      </c>
      <c r="K4" s="20">
        <v>0.33302731667801377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1.1883233251556787E-4</v>
      </c>
      <c r="E5" s="20">
        <v>0.87035330410354828</v>
      </c>
      <c r="F5" s="20">
        <v>0.66928152484290471</v>
      </c>
      <c r="G5" s="20">
        <v>0.19422466993169205</v>
      </c>
      <c r="H5" s="20">
        <v>0</v>
      </c>
      <c r="I5" s="20">
        <v>6.8471093289514881E-3</v>
      </c>
      <c r="J5" s="20">
        <v>1.4231124950573881E-2</v>
      </c>
      <c r="K5" s="20">
        <v>0.11529673861336236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1.1282301508373577E-5</v>
      </c>
      <c r="E6" s="20">
        <v>0.88387952155972027</v>
      </c>
      <c r="F6" s="20">
        <v>0.14947615453007793</v>
      </c>
      <c r="G6" s="20">
        <v>0.73412070313260813</v>
      </c>
      <c r="H6" s="20">
        <v>0</v>
      </c>
      <c r="I6" s="20">
        <v>2.8266389703417968E-4</v>
      </c>
      <c r="J6" s="20">
        <v>5.5675368382847611E-2</v>
      </c>
      <c r="K6" s="20">
        <v>6.0433827755923944E-2</v>
      </c>
      <c r="L6" s="20">
        <v>0</v>
      </c>
    </row>
    <row r="7" spans="1:14">
      <c r="A7" s="2" t="s">
        <v>321</v>
      </c>
      <c r="B7" s="3" t="s">
        <v>322</v>
      </c>
      <c r="D7" s="20">
        <v>1.6649241413303247E-5</v>
      </c>
      <c r="E7" s="20">
        <v>0.87417686442267595</v>
      </c>
      <c r="F7" s="20">
        <v>0.22083538641495593</v>
      </c>
      <c r="G7" s="20">
        <v>0.65277606331317284</v>
      </c>
      <c r="H7" s="20">
        <v>0</v>
      </c>
      <c r="I7" s="20">
        <v>5.6541469454718417E-4</v>
      </c>
      <c r="J7" s="20">
        <v>4.9198005296412821E-2</v>
      </c>
      <c r="K7" s="20">
        <v>7.6608481039497689E-2</v>
      </c>
      <c r="L7" s="20">
        <v>0</v>
      </c>
    </row>
    <row r="8" spans="1:14">
      <c r="A8" s="2" t="s">
        <v>323</v>
      </c>
      <c r="B8" s="3" t="s">
        <v>324</v>
      </c>
      <c r="D8" s="20">
        <v>1.5761372713331777E-4</v>
      </c>
      <c r="E8" s="20">
        <v>0.86411045219971894</v>
      </c>
      <c r="F8" s="20">
        <v>0.33687458996878844</v>
      </c>
      <c r="G8" s="20">
        <v>0.52597343405303731</v>
      </c>
      <c r="H8" s="20">
        <v>0</v>
      </c>
      <c r="I8" s="20">
        <v>1.2624281778932376E-3</v>
      </c>
      <c r="J8" s="20">
        <v>3.9332065935051709E-2</v>
      </c>
      <c r="K8" s="20">
        <v>9.6399868138095993E-2</v>
      </c>
      <c r="L8" s="20">
        <v>0</v>
      </c>
    </row>
    <row r="9" spans="1:14">
      <c r="A9" s="2" t="s">
        <v>325</v>
      </c>
      <c r="B9" s="3" t="s">
        <v>326</v>
      </c>
      <c r="D9" s="20">
        <v>1.00792831035073E-4</v>
      </c>
      <c r="E9" s="20">
        <v>0.76952096756993849</v>
      </c>
      <c r="F9" s="20">
        <v>0.59388705438481371</v>
      </c>
      <c r="G9" s="20">
        <v>0.11662708312872365</v>
      </c>
      <c r="H9" s="20">
        <v>0</v>
      </c>
      <c r="I9" s="20">
        <v>5.9006830056401095E-2</v>
      </c>
      <c r="J9" s="20">
        <v>8.3991609327881238E-3</v>
      </c>
      <c r="K9" s="20">
        <v>0.22197907866623839</v>
      </c>
      <c r="L9" s="20">
        <v>0</v>
      </c>
    </row>
    <row r="10" spans="1:14">
      <c r="A10" s="2" t="s">
        <v>275</v>
      </c>
      <c r="B10" s="3" t="s">
        <v>276</v>
      </c>
      <c r="D10" s="20">
        <v>1.5256828632231809E-6</v>
      </c>
      <c r="E10" s="20">
        <v>0.86892188283863669</v>
      </c>
      <c r="F10" s="20">
        <v>0.65514658725682506</v>
      </c>
      <c r="G10" s="20">
        <v>0.2074120760201813</v>
      </c>
      <c r="H10" s="20">
        <v>0</v>
      </c>
      <c r="I10" s="20">
        <v>6.3632195616303818E-3</v>
      </c>
      <c r="J10" s="20">
        <v>1.5213084681187096E-2</v>
      </c>
      <c r="K10" s="20">
        <v>0.11586350679731303</v>
      </c>
      <c r="L10" s="20">
        <v>0</v>
      </c>
    </row>
    <row r="11" spans="1:14">
      <c r="A11" s="2" t="s">
        <v>327</v>
      </c>
      <c r="B11" s="3" t="s">
        <v>328</v>
      </c>
      <c r="D11" s="20">
        <v>7.9365465430886428E-5</v>
      </c>
      <c r="E11" s="20">
        <v>0.86652880207127581</v>
      </c>
      <c r="F11" s="20">
        <v>0.63023973718798765</v>
      </c>
      <c r="G11" s="20">
        <v>0.23067542940814459</v>
      </c>
      <c r="H11" s="20">
        <v>0</v>
      </c>
      <c r="I11" s="20">
        <v>5.613635475143622E-3</v>
      </c>
      <c r="J11" s="20">
        <v>1.6948676323004327E-2</v>
      </c>
      <c r="K11" s="20">
        <v>0.1164431561402888</v>
      </c>
      <c r="L11" s="20">
        <v>0</v>
      </c>
    </row>
    <row r="12" spans="1:14">
      <c r="A12" s="2" t="s">
        <v>329</v>
      </c>
      <c r="B12" s="3" t="s">
        <v>330</v>
      </c>
      <c r="D12" s="20">
        <v>5.2724002996872219E-5</v>
      </c>
      <c r="E12" s="20">
        <v>0.80387984442626603</v>
      </c>
      <c r="F12" s="20">
        <v>0.64429178054482861</v>
      </c>
      <c r="G12" s="20">
        <v>0.12172454120380793</v>
      </c>
      <c r="H12" s="20">
        <v>0</v>
      </c>
      <c r="I12" s="20">
        <v>3.7863522677629519E-2</v>
      </c>
      <c r="J12" s="20">
        <v>8.7877005835003408E-3</v>
      </c>
      <c r="K12" s="20">
        <v>0.18727973098723663</v>
      </c>
      <c r="L12" s="20">
        <v>0</v>
      </c>
    </row>
    <row r="13" spans="1:14">
      <c r="A13" s="2" t="s">
        <v>277</v>
      </c>
      <c r="B13" s="3" t="s">
        <v>278</v>
      </c>
      <c r="D13" s="20">
        <v>1.5687436268932789E-4</v>
      </c>
      <c r="E13" s="20">
        <v>0.77280903750212371</v>
      </c>
      <c r="F13" s="20">
        <v>0.59899912691590296</v>
      </c>
      <c r="G13" s="20">
        <v>0.11719841674181204</v>
      </c>
      <c r="H13" s="20">
        <v>0</v>
      </c>
      <c r="I13" s="20">
        <v>5.6611493844408681E-2</v>
      </c>
      <c r="J13" s="20">
        <v>8.4420319421852144E-3</v>
      </c>
      <c r="K13" s="20">
        <v>0.21859205619300193</v>
      </c>
      <c r="L13" s="20">
        <v>0</v>
      </c>
    </row>
    <row r="14" spans="1:14">
      <c r="A14" s="2" t="s">
        <v>331</v>
      </c>
      <c r="B14" s="3" t="s">
        <v>332</v>
      </c>
      <c r="D14" s="20">
        <v>5.2704887603606122E-5</v>
      </c>
      <c r="E14" s="20">
        <v>0.86151466966048718</v>
      </c>
      <c r="F14" s="20">
        <v>0.54503589675087072</v>
      </c>
      <c r="G14" s="20">
        <v>0.31276681082028285</v>
      </c>
      <c r="H14" s="20">
        <v>0</v>
      </c>
      <c r="I14" s="20">
        <v>3.7119620893335753E-3</v>
      </c>
      <c r="J14" s="20">
        <v>2.3105015362871708E-2</v>
      </c>
      <c r="K14" s="20">
        <v>0.11532761008903759</v>
      </c>
      <c r="L14" s="20">
        <v>0</v>
      </c>
    </row>
    <row r="15" spans="1:14">
      <c r="A15" s="2" t="s">
        <v>333</v>
      </c>
      <c r="B15" s="3" t="s">
        <v>334</v>
      </c>
      <c r="D15" s="20">
        <v>8.645051123168127E-8</v>
      </c>
      <c r="E15" s="20">
        <v>0.86772263248886772</v>
      </c>
      <c r="F15" s="20">
        <v>0.64289756482951199</v>
      </c>
      <c r="G15" s="20">
        <v>0.21884535650221473</v>
      </c>
      <c r="H15" s="20">
        <v>0</v>
      </c>
      <c r="I15" s="20">
        <v>5.9797111571409638E-3</v>
      </c>
      <c r="J15" s="20">
        <v>1.6065550992846678E-2</v>
      </c>
      <c r="K15" s="20">
        <v>0.11621173006777445</v>
      </c>
      <c r="L15" s="20">
        <v>0</v>
      </c>
    </row>
    <row r="16" spans="1:14">
      <c r="A16" s="2" t="s">
        <v>335</v>
      </c>
      <c r="B16" s="3" t="s">
        <v>336</v>
      </c>
      <c r="D16" s="20">
        <v>4.0957248356094983E-4</v>
      </c>
      <c r="E16" s="20">
        <v>0.86355783632314054</v>
      </c>
      <c r="F16" s="20">
        <v>0.34261390629885896</v>
      </c>
      <c r="G16" s="20">
        <v>0.51963756840571951</v>
      </c>
      <c r="H16" s="20">
        <v>0</v>
      </c>
      <c r="I16" s="20">
        <v>1.3063616185620456E-3</v>
      </c>
      <c r="J16" s="20">
        <v>3.88444731689477E-2</v>
      </c>
      <c r="K16" s="20">
        <v>9.7188118024350803E-2</v>
      </c>
      <c r="L16" s="20">
        <v>0</v>
      </c>
    </row>
    <row r="17" spans="1:12">
      <c r="A17" s="2" t="s">
        <v>337</v>
      </c>
      <c r="B17" s="3" t="s">
        <v>338</v>
      </c>
      <c r="D17" s="20">
        <v>3.0515965636249847E-5</v>
      </c>
      <c r="E17" s="20">
        <v>0.86990820776144828</v>
      </c>
      <c r="F17" s="20">
        <v>0.66466273770830353</v>
      </c>
      <c r="G17" s="20">
        <v>0.19856234238224793</v>
      </c>
      <c r="H17" s="20">
        <v>0</v>
      </c>
      <c r="I17" s="20">
        <v>6.6831276708968412E-3</v>
      </c>
      <c r="J17" s="20">
        <v>1.4553953477882405E-2</v>
      </c>
      <c r="K17" s="20">
        <v>0.11550732279503306</v>
      </c>
      <c r="L17" s="20">
        <v>0</v>
      </c>
    </row>
    <row r="18" spans="1:12">
      <c r="A18" s="2" t="s">
        <v>279</v>
      </c>
      <c r="B18" s="3" t="s">
        <v>280</v>
      </c>
      <c r="D18" s="20">
        <v>3.0296267289941455E-3</v>
      </c>
      <c r="E18" s="20">
        <v>0.75228564237929008</v>
      </c>
      <c r="F18" s="20">
        <v>0.5681504285524408</v>
      </c>
      <c r="G18" s="20">
        <v>0.11343808698332486</v>
      </c>
      <c r="H18" s="20">
        <v>0</v>
      </c>
      <c r="I18" s="20">
        <v>7.0697126843524444E-2</v>
      </c>
      <c r="J18" s="20">
        <v>8.1627407810419307E-3</v>
      </c>
      <c r="K18" s="20">
        <v>0.2365219901106739</v>
      </c>
      <c r="L18" s="20">
        <v>0</v>
      </c>
    </row>
    <row r="19" spans="1:12">
      <c r="A19" s="2" t="s">
        <v>339</v>
      </c>
      <c r="B19" s="3" t="s">
        <v>340</v>
      </c>
      <c r="D19" s="20">
        <v>3.0295624224210794E-7</v>
      </c>
      <c r="E19" s="20">
        <v>0.86749124268633104</v>
      </c>
      <c r="F19" s="20">
        <v>0.64040412434286842</v>
      </c>
      <c r="G19" s="20">
        <v>0.22118194642439651</v>
      </c>
      <c r="H19" s="20">
        <v>0</v>
      </c>
      <c r="I19" s="20">
        <v>5.9051719190660948E-3</v>
      </c>
      <c r="J19" s="20">
        <v>1.6239891032002404E-2</v>
      </c>
      <c r="K19" s="20">
        <v>0.11626856332542439</v>
      </c>
      <c r="L19" s="20">
        <v>0</v>
      </c>
    </row>
    <row r="20" spans="1:12">
      <c r="A20" s="2" t="s">
        <v>281</v>
      </c>
      <c r="B20" s="3" t="s">
        <v>282</v>
      </c>
      <c r="D20" s="20">
        <v>2.3747057080769942E-5</v>
      </c>
      <c r="E20" s="20">
        <v>0.77291193562911431</v>
      </c>
      <c r="F20" s="20">
        <v>0.59907888256734809</v>
      </c>
      <c r="G20" s="20">
        <v>0.11721402149924083</v>
      </c>
      <c r="H20" s="20">
        <v>0</v>
      </c>
      <c r="I20" s="20">
        <v>5.6619031562525388E-2</v>
      </c>
      <c r="J20" s="20">
        <v>8.4431559834847996E-3</v>
      </c>
      <c r="K20" s="20">
        <v>0.21862116133032022</v>
      </c>
      <c r="L20" s="20">
        <v>0</v>
      </c>
    </row>
    <row r="21" spans="1:12">
      <c r="A21" s="2" t="s">
        <v>341</v>
      </c>
      <c r="B21" s="3" t="s">
        <v>342</v>
      </c>
      <c r="D21" s="20">
        <v>4.4168491981140187E-4</v>
      </c>
      <c r="E21" s="20">
        <v>0.86227087380253076</v>
      </c>
      <c r="F21" s="20">
        <v>0.57067229185948953</v>
      </c>
      <c r="G21" s="20">
        <v>0.28739707377467422</v>
      </c>
      <c r="H21" s="20">
        <v>0</v>
      </c>
      <c r="I21" s="20">
        <v>4.2015081683670023E-3</v>
      </c>
      <c r="J21" s="20">
        <v>2.119739816925232E-2</v>
      </c>
      <c r="K21" s="20">
        <v>0.11609004310840554</v>
      </c>
      <c r="L21" s="20">
        <v>0</v>
      </c>
    </row>
    <row r="22" spans="1:12">
      <c r="A22" s="2" t="s">
        <v>343</v>
      </c>
      <c r="B22" s="3" t="s">
        <v>344</v>
      </c>
      <c r="D22" s="20">
        <v>1.9592537027715812E-3</v>
      </c>
      <c r="E22" s="20">
        <v>0.71208338175017782</v>
      </c>
      <c r="F22" s="20">
        <v>0.11999548104601789</v>
      </c>
      <c r="G22" s="20">
        <v>3.1293954477487555E-2</v>
      </c>
      <c r="H22" s="20">
        <v>0</v>
      </c>
      <c r="I22" s="20">
        <v>0.56079394622667234</v>
      </c>
      <c r="J22" s="20">
        <v>2.4442995838237099E-3</v>
      </c>
      <c r="K22" s="20">
        <v>0.28351306496322692</v>
      </c>
      <c r="L22" s="20">
        <v>0</v>
      </c>
    </row>
    <row r="23" spans="1:12">
      <c r="A23" s="2" t="s">
        <v>345</v>
      </c>
      <c r="B23" s="3" t="s">
        <v>346</v>
      </c>
      <c r="D23" s="20">
        <v>8.3534281213109199E-5</v>
      </c>
      <c r="E23" s="20">
        <v>0.78272908927824347</v>
      </c>
      <c r="F23" s="20">
        <v>5.7245183900383023E-2</v>
      </c>
      <c r="G23" s="20">
        <v>1.6041113446124883E-2</v>
      </c>
      <c r="H23" s="20">
        <v>0</v>
      </c>
      <c r="I23" s="20">
        <v>0.70944279193173554</v>
      </c>
      <c r="J23" s="20">
        <v>1.4391964373409317E-3</v>
      </c>
      <c r="K23" s="20">
        <v>0.21574818000320267</v>
      </c>
      <c r="L23" s="20">
        <v>0</v>
      </c>
    </row>
    <row r="24" spans="1:12">
      <c r="A24" s="2" t="s">
        <v>347</v>
      </c>
      <c r="B24" s="3" t="s">
        <v>348</v>
      </c>
      <c r="D24" s="20">
        <v>7.2027638111990446E-5</v>
      </c>
      <c r="E24" s="20">
        <v>0.68348230997917081</v>
      </c>
      <c r="F24" s="20">
        <v>0.41896079864725816</v>
      </c>
      <c r="G24" s="20">
        <v>9.1383743363589842E-2</v>
      </c>
      <c r="H24" s="20">
        <v>0</v>
      </c>
      <c r="I24" s="20">
        <v>0.17313776796832281</v>
      </c>
      <c r="J24" s="20">
        <v>6.5742050150894077E-3</v>
      </c>
      <c r="K24" s="20">
        <v>0.30987145736762789</v>
      </c>
      <c r="L24" s="20">
        <v>0</v>
      </c>
    </row>
    <row r="25" spans="1:12">
      <c r="A25" s="2" t="s">
        <v>349</v>
      </c>
      <c r="B25" s="3" t="s">
        <v>350</v>
      </c>
      <c r="D25" s="20">
        <v>1.3161316471202866E-2</v>
      </c>
      <c r="E25" s="20">
        <v>0.83299683393833368</v>
      </c>
      <c r="F25" s="20">
        <v>0.68861035160612361</v>
      </c>
      <c r="G25" s="20">
        <v>0.12378530821673056</v>
      </c>
      <c r="H25" s="20">
        <v>0</v>
      </c>
      <c r="I25" s="20">
        <v>2.0601174115479518E-2</v>
      </c>
      <c r="J25" s="20">
        <v>8.9707578612068292E-3</v>
      </c>
      <c r="K25" s="20">
        <v>0.14487109172925663</v>
      </c>
      <c r="L25" s="20">
        <v>0</v>
      </c>
    </row>
    <row r="26" spans="1:12">
      <c r="A26" s="2" t="s">
        <v>351</v>
      </c>
      <c r="B26" s="3" t="s">
        <v>352</v>
      </c>
      <c r="D26" s="20">
        <v>3.5475256308942725E-4</v>
      </c>
      <c r="E26" s="20">
        <v>0.86324847937337168</v>
      </c>
      <c r="F26" s="20">
        <v>0.58748902355867394</v>
      </c>
      <c r="G26" s="20">
        <v>0.2712035138578765</v>
      </c>
      <c r="H26" s="20">
        <v>0</v>
      </c>
      <c r="I26" s="20">
        <v>4.5559419568212359E-3</v>
      </c>
      <c r="J26" s="20">
        <v>1.998203605340158E-2</v>
      </c>
      <c r="K26" s="20">
        <v>0.11641473201013748</v>
      </c>
      <c r="L26" s="20">
        <v>0</v>
      </c>
    </row>
    <row r="27" spans="1:12">
      <c r="A27" s="2" t="s">
        <v>353</v>
      </c>
      <c r="B27" s="3" t="s">
        <v>354</v>
      </c>
      <c r="D27" s="20">
        <v>2.4004044983482811E-3</v>
      </c>
      <c r="E27" s="20">
        <v>0.86925072459673824</v>
      </c>
      <c r="F27" s="20">
        <v>0.24675084401312605</v>
      </c>
      <c r="G27" s="20">
        <v>0.62180498896655678</v>
      </c>
      <c r="H27" s="20">
        <v>0</v>
      </c>
      <c r="I27" s="20">
        <v>6.9489161705536698E-4</v>
      </c>
      <c r="J27" s="20">
        <v>4.6772039449690835E-2</v>
      </c>
      <c r="K27" s="20">
        <v>8.1576831455222709E-2</v>
      </c>
      <c r="L27" s="20">
        <v>0</v>
      </c>
    </row>
    <row r="28" spans="1:12">
      <c r="A28" s="2" t="s">
        <v>355</v>
      </c>
      <c r="B28" s="3" t="s">
        <v>356</v>
      </c>
      <c r="D28" s="20">
        <v>1.3240926495488385E-4</v>
      </c>
      <c r="E28" s="20">
        <v>0.86017796474450658</v>
      </c>
      <c r="F28" s="20">
        <v>0.46386605166007988</v>
      </c>
      <c r="G28" s="20">
        <v>0.39381127399764293</v>
      </c>
      <c r="H28" s="20">
        <v>0</v>
      </c>
      <c r="I28" s="20">
        <v>2.5006390867838035E-3</v>
      </c>
      <c r="J28" s="20">
        <v>2.9230710355474109E-2</v>
      </c>
      <c r="K28" s="20">
        <v>0.11045891563506414</v>
      </c>
      <c r="L28" s="20">
        <v>0</v>
      </c>
    </row>
    <row r="29" spans="1:12">
      <c r="A29" s="2" t="s">
        <v>357</v>
      </c>
      <c r="B29" s="3" t="s">
        <v>358</v>
      </c>
      <c r="D29" s="20">
        <v>2.6795390029571594E-2</v>
      </c>
      <c r="E29" s="20">
        <v>0.83879354790882132</v>
      </c>
      <c r="F29" s="20">
        <v>0.53893240517628949</v>
      </c>
      <c r="G29" s="20">
        <v>0.29609416785786902</v>
      </c>
      <c r="H29" s="20">
        <v>0</v>
      </c>
      <c r="I29" s="20">
        <v>3.7669748746628272E-3</v>
      </c>
      <c r="J29" s="20">
        <v>2.1861843562591375E-2</v>
      </c>
      <c r="K29" s="20">
        <v>0.11254921849901575</v>
      </c>
      <c r="L29" s="20">
        <v>0</v>
      </c>
    </row>
    <row r="30" spans="1:12">
      <c r="A30" s="2" t="s">
        <v>359</v>
      </c>
      <c r="B30" s="3" t="s">
        <v>360</v>
      </c>
      <c r="D30" s="20">
        <v>1.3240926495488385E-4</v>
      </c>
      <c r="E30" s="20">
        <v>0.86017796474450658</v>
      </c>
      <c r="F30" s="20">
        <v>0.46386605166007988</v>
      </c>
      <c r="G30" s="20">
        <v>0.39381127399764293</v>
      </c>
      <c r="H30" s="20">
        <v>0</v>
      </c>
      <c r="I30" s="20">
        <v>2.5006390867838035E-3</v>
      </c>
      <c r="J30" s="20">
        <v>2.9230710355474109E-2</v>
      </c>
      <c r="K30" s="20">
        <v>0.11045891563506414</v>
      </c>
      <c r="L30" s="20">
        <v>0</v>
      </c>
    </row>
    <row r="31" spans="1:12">
      <c r="A31" s="2" t="s">
        <v>283</v>
      </c>
      <c r="B31" s="3" t="s">
        <v>284</v>
      </c>
      <c r="D31" s="20">
        <v>2.6206004043818538E-8</v>
      </c>
      <c r="E31" s="20">
        <v>0.97617521471707325</v>
      </c>
      <c r="F31" s="20">
        <v>6.001710164654291E-4</v>
      </c>
      <c r="G31" s="20">
        <v>2.4086326769886382E-4</v>
      </c>
      <c r="H31" s="20">
        <v>0</v>
      </c>
      <c r="I31" s="20">
        <v>0.97533418043290898</v>
      </c>
      <c r="J31" s="20">
        <v>4.6420149584509835E-4</v>
      </c>
      <c r="K31" s="20">
        <v>2.3360557581077603E-2</v>
      </c>
      <c r="L31" s="20">
        <v>0</v>
      </c>
    </row>
    <row r="32" spans="1:12">
      <c r="A32" s="2" t="s">
        <v>361</v>
      </c>
      <c r="B32" s="3" t="s">
        <v>362</v>
      </c>
      <c r="D32" s="20">
        <v>2.1269805570849525E-8</v>
      </c>
      <c r="E32" s="20">
        <v>0.67557548272412193</v>
      </c>
      <c r="F32" s="20">
        <v>0.19463270788695169</v>
      </c>
      <c r="G32" s="20">
        <v>4.7988202896527159E-2</v>
      </c>
      <c r="H32" s="20">
        <v>0</v>
      </c>
      <c r="I32" s="20">
        <v>0.43295457194064313</v>
      </c>
      <c r="J32" s="20">
        <v>3.6150724093999245E-3</v>
      </c>
      <c r="K32" s="20">
        <v>0.32080942359667258</v>
      </c>
      <c r="L32" s="20">
        <v>0</v>
      </c>
    </row>
    <row r="33" spans="1:12">
      <c r="A33" s="2" t="s">
        <v>364</v>
      </c>
      <c r="B33" s="3" t="s">
        <v>365</v>
      </c>
      <c r="D33" s="20">
        <v>1.206611652131154E-10</v>
      </c>
      <c r="E33" s="20">
        <v>0.99947941885611935</v>
      </c>
      <c r="F33" s="20">
        <v>4.2003538960027733E-3</v>
      </c>
      <c r="G33" s="20">
        <v>1.2844381771704802E-6</v>
      </c>
      <c r="H33" s="20">
        <v>0</v>
      </c>
      <c r="I33" s="20">
        <v>0.99527778052193938</v>
      </c>
      <c r="J33" s="20">
        <v>4.6348237375931232E-4</v>
      </c>
      <c r="K33" s="20">
        <v>5.7098649460198655E-5</v>
      </c>
      <c r="L33" s="20">
        <v>0</v>
      </c>
    </row>
    <row r="34" spans="1:12">
      <c r="A34" s="2" t="s">
        <v>285</v>
      </c>
      <c r="B34" s="3" t="s">
        <v>286</v>
      </c>
      <c r="D34" s="20">
        <v>3.586546124219805E-10</v>
      </c>
      <c r="E34" s="20">
        <v>0.99907702834126011</v>
      </c>
      <c r="F34" s="20">
        <v>0.4518188737347073</v>
      </c>
      <c r="G34" s="20">
        <v>3.7105550210771832E-5</v>
      </c>
      <c r="H34" s="20">
        <v>0</v>
      </c>
      <c r="I34" s="20">
        <v>0.54722104905634206</v>
      </c>
      <c r="J34" s="20">
        <v>7.284570127447721E-4</v>
      </c>
      <c r="K34" s="20">
        <v>1.9451428734028618E-4</v>
      </c>
      <c r="L34" s="20">
        <v>0</v>
      </c>
    </row>
    <row r="35" spans="1:12">
      <c r="A35" s="2" t="s">
        <v>287</v>
      </c>
      <c r="B35" s="3" t="s">
        <v>288</v>
      </c>
      <c r="D35" s="20">
        <v>1.0446129778481852E-11</v>
      </c>
      <c r="E35" s="20">
        <v>0.99870406020590818</v>
      </c>
      <c r="F35" s="20">
        <v>0.67464263723502926</v>
      </c>
      <c r="G35" s="20">
        <v>1.3064750118322376E-4</v>
      </c>
      <c r="H35" s="20">
        <v>0</v>
      </c>
      <c r="I35" s="20">
        <v>0.32393077546969573</v>
      </c>
      <c r="J35" s="20">
        <v>8.2516440840708449E-4</v>
      </c>
      <c r="K35" s="20">
        <v>4.7077537523870972E-4</v>
      </c>
      <c r="L35" s="20">
        <v>0</v>
      </c>
    </row>
    <row r="36" spans="1:12">
      <c r="A36" s="2" t="s">
        <v>366</v>
      </c>
      <c r="B36" s="3" t="s">
        <v>305</v>
      </c>
      <c r="D36" s="20">
        <v>1.8415114338958518E-8</v>
      </c>
      <c r="E36" s="20">
        <v>0.99860075568648776</v>
      </c>
      <c r="F36" s="20">
        <v>0.89029851271684901</v>
      </c>
      <c r="G36" s="20">
        <v>2.5490445829091869E-4</v>
      </c>
      <c r="H36" s="20">
        <v>0</v>
      </c>
      <c r="I36" s="20">
        <v>0.10804733851134787</v>
      </c>
      <c r="J36" s="20">
        <v>8.7309953774334606E-4</v>
      </c>
      <c r="K36" s="20">
        <v>5.2612636065439635E-4</v>
      </c>
      <c r="L36" s="20">
        <v>0</v>
      </c>
    </row>
    <row r="37" spans="1:12">
      <c r="A37" s="2" t="s">
        <v>289</v>
      </c>
      <c r="B37" s="3" t="s">
        <v>290</v>
      </c>
      <c r="D37" s="20">
        <v>4.183631595936651E-15</v>
      </c>
      <c r="E37" s="20">
        <v>0.92706018754050701</v>
      </c>
      <c r="F37" s="20">
        <v>0.6956228758957862</v>
      </c>
      <c r="G37" s="20">
        <v>2.3748892220234481E-2</v>
      </c>
      <c r="H37" s="20">
        <v>0</v>
      </c>
      <c r="I37" s="20">
        <v>0.20768841942448632</v>
      </c>
      <c r="J37" s="20">
        <v>2.3477310795833851E-3</v>
      </c>
      <c r="K37" s="20">
        <v>7.0592081379905428E-2</v>
      </c>
      <c r="L37" s="20">
        <v>0</v>
      </c>
    </row>
    <row r="38" spans="1:12">
      <c r="A38" s="2" t="s">
        <v>291</v>
      </c>
      <c r="B38" s="3" t="s">
        <v>292</v>
      </c>
      <c r="D38" s="20">
        <v>1.2072905508013513E-12</v>
      </c>
      <c r="E38" s="20">
        <v>0.99740498801747979</v>
      </c>
      <c r="F38" s="20">
        <v>0.38428834164004749</v>
      </c>
      <c r="G38" s="20">
        <v>3.2105116999448381E-4</v>
      </c>
      <c r="H38" s="20">
        <v>0</v>
      </c>
      <c r="I38" s="20">
        <v>0.61279559520743776</v>
      </c>
      <c r="J38" s="20">
        <v>7.1358708119185002E-4</v>
      </c>
      <c r="K38" s="20">
        <v>1.8814249001209006E-3</v>
      </c>
      <c r="L38" s="20">
        <v>0</v>
      </c>
    </row>
    <row r="39" spans="1:12">
      <c r="A39" s="2" t="s">
        <v>367</v>
      </c>
      <c r="B39" s="3" t="s">
        <v>368</v>
      </c>
      <c r="D39" s="20">
        <v>1.4414271784424098E-5</v>
      </c>
      <c r="E39" s="20">
        <v>0.88098930687060428</v>
      </c>
      <c r="F39" s="20">
        <v>0.74125378062372349</v>
      </c>
      <c r="G39" s="20">
        <v>0.12946801122105414</v>
      </c>
      <c r="H39" s="20">
        <v>0</v>
      </c>
      <c r="I39" s="20">
        <v>1.0267515025826632E-2</v>
      </c>
      <c r="J39" s="20">
        <v>9.4304553355574246E-3</v>
      </c>
      <c r="K39" s="20">
        <v>0.10956582352205393</v>
      </c>
      <c r="L39" s="20">
        <v>0</v>
      </c>
    </row>
    <row r="40" spans="1:12">
      <c r="A40" s="2" t="s">
        <v>369</v>
      </c>
      <c r="B40" s="3" t="s">
        <v>370</v>
      </c>
      <c r="D40" s="20">
        <v>8.7986382892583557E-13</v>
      </c>
      <c r="E40" s="20">
        <v>0.93951569929744849</v>
      </c>
      <c r="F40" s="20">
        <v>0.87523576360799837</v>
      </c>
      <c r="G40" s="20">
        <v>6.3320659905958476E-2</v>
      </c>
      <c r="H40" s="20">
        <v>0</v>
      </c>
      <c r="I40" s="20">
        <v>9.5927578349168515E-4</v>
      </c>
      <c r="J40" s="20">
        <v>5.7730971994907329E-2</v>
      </c>
      <c r="K40" s="20">
        <v>2.753328706764441E-3</v>
      </c>
      <c r="L40" s="20">
        <v>0</v>
      </c>
    </row>
    <row r="41" spans="1:12">
      <c r="A41" s="2" t="s">
        <v>371</v>
      </c>
      <c r="B41" s="3" t="s">
        <v>372</v>
      </c>
      <c r="D41" s="20">
        <v>8.177246562575978E-2</v>
      </c>
      <c r="E41" s="20">
        <v>0.91322897922750634</v>
      </c>
      <c r="F41" s="20">
        <v>2.7956403996047026E-5</v>
      </c>
      <c r="G41" s="20">
        <v>1.3995127622409047E-5</v>
      </c>
      <c r="H41" s="20">
        <v>0</v>
      </c>
      <c r="I41" s="20">
        <v>0.91318702769588789</v>
      </c>
      <c r="J41" s="20">
        <v>4.2041067270947089E-4</v>
      </c>
      <c r="K41" s="20">
        <v>4.5781444740243685E-3</v>
      </c>
      <c r="L41" s="20">
        <v>0</v>
      </c>
    </row>
    <row r="42" spans="1:12">
      <c r="A42" s="2" t="s">
        <v>293</v>
      </c>
      <c r="B42" s="3" t="s">
        <v>294</v>
      </c>
      <c r="D42" s="20">
        <v>1.7485952625704313E-8</v>
      </c>
      <c r="E42" s="20">
        <v>0.69968342252877092</v>
      </c>
      <c r="F42" s="20">
        <v>0.14026958507353693</v>
      </c>
      <c r="G42" s="20">
        <v>3.5979826740997603E-2</v>
      </c>
      <c r="H42" s="20">
        <v>0</v>
      </c>
      <c r="I42" s="20">
        <v>0.52343401071423634</v>
      </c>
      <c r="J42" s="20">
        <v>2.7585139049591248E-3</v>
      </c>
      <c r="K42" s="20">
        <v>0.29755804608031738</v>
      </c>
      <c r="L42" s="20">
        <v>0</v>
      </c>
    </row>
    <row r="43" spans="1:12">
      <c r="A43" s="2" t="s">
        <v>373</v>
      </c>
      <c r="B43" s="3" t="s">
        <v>374</v>
      </c>
      <c r="D43" s="20">
        <v>4.3062366588468321E-8</v>
      </c>
      <c r="E43" s="20">
        <v>0.99782017388667421</v>
      </c>
      <c r="F43" s="20">
        <v>0.98818390654725441</v>
      </c>
      <c r="G43" s="20">
        <v>8.3437195511621668E-4</v>
      </c>
      <c r="H43" s="20">
        <v>0</v>
      </c>
      <c r="I43" s="20">
        <v>8.8018953843036225E-3</v>
      </c>
      <c r="J43" s="20">
        <v>1.7585986010244087E-3</v>
      </c>
      <c r="K43" s="20">
        <v>4.2118444993450714E-4</v>
      </c>
      <c r="L43" s="20">
        <v>0</v>
      </c>
    </row>
    <row r="44" spans="1:12">
      <c r="A44" s="2" t="s">
        <v>375</v>
      </c>
      <c r="B44" s="3" t="s">
        <v>376</v>
      </c>
      <c r="D44" s="20">
        <v>8.50957234669458E-2</v>
      </c>
      <c r="E44" s="20">
        <v>0.78697433176913445</v>
      </c>
      <c r="F44" s="20">
        <v>1.9452792300663973E-2</v>
      </c>
      <c r="G44" s="20">
        <v>5.9330431265818186E-3</v>
      </c>
      <c r="H44" s="20">
        <v>0</v>
      </c>
      <c r="I44" s="20">
        <v>0.76158849634188863</v>
      </c>
      <c r="J44" s="20">
        <v>7.5834465559854094E-4</v>
      </c>
      <c r="K44" s="20">
        <v>0.12717160010832115</v>
      </c>
      <c r="L44" s="20">
        <v>0</v>
      </c>
    </row>
    <row r="45" spans="1:12">
      <c r="A45" s="2" t="s">
        <v>377</v>
      </c>
      <c r="B45" s="3" t="s">
        <v>378</v>
      </c>
      <c r="D45" s="20">
        <v>6.6503659898074535E-4</v>
      </c>
      <c r="E45" s="20">
        <v>0.68829659984560643</v>
      </c>
      <c r="F45" s="20">
        <v>0.15977902305208755</v>
      </c>
      <c r="G45" s="20">
        <v>4.0384556398574599E-2</v>
      </c>
      <c r="H45" s="20">
        <v>0</v>
      </c>
      <c r="I45" s="20">
        <v>0.48813302039494433</v>
      </c>
      <c r="J45" s="20">
        <v>3.0545109504233506E-3</v>
      </c>
      <c r="K45" s="20">
        <v>0.30798385260498945</v>
      </c>
      <c r="L45" s="20">
        <v>0</v>
      </c>
    </row>
    <row r="46" spans="1:12">
      <c r="A46" s="2" t="s">
        <v>379</v>
      </c>
      <c r="B46" s="3" t="s">
        <v>380</v>
      </c>
      <c r="D46" s="20">
        <v>2.0000331268675425E-3</v>
      </c>
      <c r="E46" s="20">
        <v>0.69403175463500277</v>
      </c>
      <c r="F46" s="20">
        <v>0.14713344506437853</v>
      </c>
      <c r="G46" s="20">
        <v>3.7532453851079554E-2</v>
      </c>
      <c r="H46" s="20">
        <v>0</v>
      </c>
      <c r="I46" s="20">
        <v>0.50936585571954474</v>
      </c>
      <c r="J46" s="20">
        <v>2.8620872721152311E-3</v>
      </c>
      <c r="K46" s="20">
        <v>0.30110612496601424</v>
      </c>
      <c r="L46" s="20">
        <v>0</v>
      </c>
    </row>
    <row r="47" spans="1:12">
      <c r="A47" s="2" t="s">
        <v>381</v>
      </c>
      <c r="B47" s="3" t="s">
        <v>382</v>
      </c>
      <c r="D47" s="20">
        <v>4.0805009333082458E-8</v>
      </c>
      <c r="E47" s="20">
        <v>0.87261639182905959</v>
      </c>
      <c r="F47" s="20">
        <v>0.23506485210088934</v>
      </c>
      <c r="G47" s="20">
        <v>0.63691760269635278</v>
      </c>
      <c r="H47" s="20">
        <v>0</v>
      </c>
      <c r="I47" s="20">
        <v>6.3393703181743931E-4</v>
      </c>
      <c r="J47" s="20">
        <v>4.7951497013426582E-2</v>
      </c>
      <c r="K47" s="20">
        <v>7.9432070352504297E-2</v>
      </c>
      <c r="L47" s="20">
        <v>0</v>
      </c>
    </row>
    <row r="48" spans="1:12">
      <c r="A48" s="2" t="s">
        <v>383</v>
      </c>
      <c r="B48" s="3" t="s">
        <v>384</v>
      </c>
      <c r="D48" s="20">
        <v>1.1766037855788947E-2</v>
      </c>
      <c r="E48" s="20">
        <v>0.91113112922036321</v>
      </c>
      <c r="F48" s="20">
        <v>6.2820943718023357E-3</v>
      </c>
      <c r="G48" s="20">
        <v>2.1086282062799792E-3</v>
      </c>
      <c r="H48" s="20">
        <v>0</v>
      </c>
      <c r="I48" s="20">
        <v>0.90274040664228095</v>
      </c>
      <c r="J48" s="20">
        <v>5.5857057293559457E-4</v>
      </c>
      <c r="K48" s="20">
        <v>7.6544262350912079E-2</v>
      </c>
      <c r="L48" s="20">
        <v>0</v>
      </c>
    </row>
    <row r="49" spans="1:12">
      <c r="A49" s="2" t="s">
        <v>385</v>
      </c>
      <c r="B49" s="3" t="s">
        <v>386</v>
      </c>
      <c r="D49" s="20">
        <v>2.1967720131402566E-2</v>
      </c>
      <c r="E49" s="20">
        <v>0.87621687004677606</v>
      </c>
      <c r="F49" s="20">
        <v>1.1201062019835575E-2</v>
      </c>
      <c r="G49" s="20">
        <v>3.5904985632714817E-3</v>
      </c>
      <c r="H49" s="20">
        <v>0</v>
      </c>
      <c r="I49" s="20">
        <v>0.86142530946366902</v>
      </c>
      <c r="J49" s="20">
        <v>6.4176688187598163E-4</v>
      </c>
      <c r="K49" s="20">
        <v>0.10117364293994556</v>
      </c>
      <c r="L49" s="20">
        <v>0</v>
      </c>
    </row>
    <row r="50" spans="1:12">
      <c r="A50" s="2" t="s">
        <v>387</v>
      </c>
      <c r="B50" s="3" t="s">
        <v>388</v>
      </c>
      <c r="D50" s="20">
        <v>6.5439955120824983E-3</v>
      </c>
      <c r="E50" s="20">
        <v>0.74467143751509279</v>
      </c>
      <c r="F50" s="20">
        <v>0.55784970494775843</v>
      </c>
      <c r="G50" s="20">
        <v>0.11199864361582368</v>
      </c>
      <c r="H50" s="20">
        <v>0</v>
      </c>
      <c r="I50" s="20">
        <v>7.4823088951510686E-2</v>
      </c>
      <c r="J50" s="20">
        <v>8.057239910202867E-3</v>
      </c>
      <c r="K50" s="20">
        <v>0.24072732706262204</v>
      </c>
      <c r="L50" s="20">
        <v>0</v>
      </c>
    </row>
    <row r="51" spans="1:12">
      <c r="A51" s="2" t="s">
        <v>295</v>
      </c>
      <c r="B51" s="3" t="s">
        <v>296</v>
      </c>
      <c r="D51" s="20">
        <v>6.5524570560979267E-2</v>
      </c>
      <c r="E51" s="20">
        <v>0.90446198987221094</v>
      </c>
      <c r="F51" s="20">
        <v>1.0126943761902896E-3</v>
      </c>
      <c r="G51" s="20">
        <v>3.8884270314474401E-4</v>
      </c>
      <c r="H51" s="20">
        <v>0</v>
      </c>
      <c r="I51" s="20">
        <v>0.90306045279287595</v>
      </c>
      <c r="J51" s="20">
        <v>4.4103873274012816E-4</v>
      </c>
      <c r="K51" s="20">
        <v>2.9572400834069566E-2</v>
      </c>
      <c r="L51" s="20">
        <v>0</v>
      </c>
    </row>
    <row r="52" spans="1:12">
      <c r="A52" s="2" t="s">
        <v>389</v>
      </c>
      <c r="B52" s="3" t="s">
        <v>390</v>
      </c>
      <c r="D52" s="20">
        <v>6.8881013505882688E-2</v>
      </c>
      <c r="E52" s="20">
        <v>0.76530005721542205</v>
      </c>
      <c r="F52" s="20">
        <v>3.3602666643094976E-2</v>
      </c>
      <c r="G52" s="20">
        <v>9.8054899501581992E-3</v>
      </c>
      <c r="H52" s="20">
        <v>0</v>
      </c>
      <c r="I52" s="20">
        <v>0.7218919006221689</v>
      </c>
      <c r="J52" s="20">
        <v>1.0095478162831233E-3</v>
      </c>
      <c r="K52" s="20">
        <v>0.16480938146241203</v>
      </c>
      <c r="L52" s="20">
        <v>0</v>
      </c>
    </row>
    <row r="53" spans="1:12">
      <c r="A53" s="2" t="s">
        <v>391</v>
      </c>
      <c r="B53" s="3" t="s">
        <v>392</v>
      </c>
      <c r="D53" s="20">
        <v>1.961929803065155E-3</v>
      </c>
      <c r="E53" s="20">
        <v>0.66405467599922319</v>
      </c>
      <c r="F53" s="20">
        <v>0.23086477786264967</v>
      </c>
      <c r="G53" s="20">
        <v>5.5725405155135688E-2</v>
      </c>
      <c r="H53" s="20">
        <v>0</v>
      </c>
      <c r="I53" s="20">
        <v>0.37746449298143786</v>
      </c>
      <c r="J53" s="20">
        <v>4.0958899566470065E-3</v>
      </c>
      <c r="K53" s="20">
        <v>0.3298875042410645</v>
      </c>
      <c r="L53" s="20">
        <v>0</v>
      </c>
    </row>
    <row r="54" spans="1:12">
      <c r="A54" s="2" t="s">
        <v>393</v>
      </c>
      <c r="B54" s="3" t="s">
        <v>394</v>
      </c>
      <c r="D54" s="20">
        <v>1.882439244282837E-4</v>
      </c>
      <c r="E54" s="20">
        <v>0.86807412972397113</v>
      </c>
      <c r="F54" s="20">
        <v>0.28092810077613234</v>
      </c>
      <c r="G54" s="20">
        <v>0.58626064099414532</v>
      </c>
      <c r="H54" s="20">
        <v>0</v>
      </c>
      <c r="I54" s="20">
        <v>8.8538795369345132E-4</v>
      </c>
      <c r="J54" s="20">
        <v>4.3996466902170614E-2</v>
      </c>
      <c r="K54" s="20">
        <v>8.7741159449429867E-2</v>
      </c>
      <c r="L54" s="20">
        <v>0</v>
      </c>
    </row>
    <row r="55" spans="1:12">
      <c r="A55" s="2" t="s">
        <v>395</v>
      </c>
      <c r="B55" s="3" t="s">
        <v>396</v>
      </c>
      <c r="D55" s="20">
        <v>0.13238046458314776</v>
      </c>
      <c r="E55" s="20">
        <v>0.59921867497206016</v>
      </c>
      <c r="F55" s="20">
        <v>0.38132749085649181</v>
      </c>
      <c r="G55" s="20">
        <v>8.226094061493365E-2</v>
      </c>
      <c r="H55" s="20">
        <v>0</v>
      </c>
      <c r="I55" s="20">
        <v>0.13563024350063468</v>
      </c>
      <c r="J55" s="20">
        <v>5.9147655825298844E-3</v>
      </c>
      <c r="K55" s="20">
        <v>0.26248609486226221</v>
      </c>
      <c r="L55" s="20">
        <v>0</v>
      </c>
    </row>
    <row r="56" spans="1:12">
      <c r="A56" s="2" t="s">
        <v>397</v>
      </c>
      <c r="B56" s="3" t="s">
        <v>398</v>
      </c>
      <c r="D56" s="20">
        <v>0.60209551673484729</v>
      </c>
      <c r="E56" s="20">
        <v>0.31798142394029749</v>
      </c>
      <c r="F56" s="20">
        <v>0.2537111818154974</v>
      </c>
      <c r="G56" s="20">
        <v>4.8198682124824692E-2</v>
      </c>
      <c r="H56" s="20">
        <v>0</v>
      </c>
      <c r="I56" s="20">
        <v>1.6071559999975372E-2</v>
      </c>
      <c r="J56" s="20">
        <v>3.478286525983107E-3</v>
      </c>
      <c r="K56" s="20">
        <v>7.6444772798872226E-2</v>
      </c>
      <c r="L56" s="20">
        <v>0</v>
      </c>
    </row>
    <row r="57" spans="1:12">
      <c r="A57" s="2" t="s">
        <v>399</v>
      </c>
      <c r="B57" s="3" t="s">
        <v>400</v>
      </c>
      <c r="D57" s="20">
        <v>0.76548572952744232</v>
      </c>
      <c r="E57" s="20">
        <v>0.16611726636640853</v>
      </c>
      <c r="F57" s="20">
        <v>0.11319084803954324</v>
      </c>
      <c r="G57" s="20">
        <v>2.3840033925535898E-2</v>
      </c>
      <c r="H57" s="20">
        <v>0</v>
      </c>
      <c r="I57" s="20">
        <v>2.908638440132939E-2</v>
      </c>
      <c r="J57" s="20">
        <v>1.7133331826798871E-3</v>
      </c>
      <c r="K57" s="20">
        <v>6.6683670923469218E-2</v>
      </c>
      <c r="L57" s="20">
        <v>0</v>
      </c>
    </row>
    <row r="58" spans="1:12">
      <c r="A58" s="2" t="s">
        <v>297</v>
      </c>
      <c r="B58" s="3" t="s">
        <v>298</v>
      </c>
      <c r="D58" s="20">
        <v>0.93157389708107763</v>
      </c>
      <c r="E58" s="20">
        <v>6.0461694921327108E-2</v>
      </c>
      <c r="F58" s="20">
        <v>9.8785118667763026E-4</v>
      </c>
      <c r="G58" s="20">
        <v>3.1087591838206637E-4</v>
      </c>
      <c r="H58" s="20">
        <v>0</v>
      </c>
      <c r="I58" s="20">
        <v>5.9162967816267412E-2</v>
      </c>
      <c r="J58" s="20">
        <v>4.8518704118676063E-5</v>
      </c>
      <c r="K58" s="20">
        <v>7.9158892934763931E-3</v>
      </c>
      <c r="L58" s="20">
        <v>0</v>
      </c>
    </row>
    <row r="59" spans="1:12">
      <c r="A59" s="2" t="s">
        <v>401</v>
      </c>
      <c r="B59" s="3" t="s">
        <v>402</v>
      </c>
      <c r="D59" s="20">
        <v>0.90857278146762255</v>
      </c>
      <c r="E59" s="20">
        <v>6.4366812289634909E-2</v>
      </c>
      <c r="F59" s="20">
        <v>4.3234848072886738E-2</v>
      </c>
      <c r="G59" s="20">
        <v>9.1564998489160609E-3</v>
      </c>
      <c r="H59" s="20">
        <v>0</v>
      </c>
      <c r="I59" s="20">
        <v>1.197546436783211E-2</v>
      </c>
      <c r="J59" s="20">
        <v>6.5808425705715407E-4</v>
      </c>
      <c r="K59" s="20">
        <v>2.6402321985685307E-2</v>
      </c>
      <c r="L59" s="20">
        <v>0</v>
      </c>
    </row>
    <row r="60" spans="1:12">
      <c r="A60" s="2" t="s">
        <v>299</v>
      </c>
      <c r="B60" s="3" t="s">
        <v>300</v>
      </c>
      <c r="D60" s="20">
        <v>0.9980308810965316</v>
      </c>
      <c r="E60" s="20">
        <v>1.315482565822622E-3</v>
      </c>
      <c r="F60" s="20">
        <v>7.0830155351673553E-4</v>
      </c>
      <c r="G60" s="20">
        <v>1.5940933487061976E-4</v>
      </c>
      <c r="H60" s="20">
        <v>0</v>
      </c>
      <c r="I60" s="20">
        <v>4.477716774352667E-4</v>
      </c>
      <c r="J60" s="20">
        <v>1.1501281185074892E-5</v>
      </c>
      <c r="K60" s="20">
        <v>6.4213505646048717E-4</v>
      </c>
      <c r="L60" s="20">
        <v>0</v>
      </c>
    </row>
    <row r="61" spans="1:12">
      <c r="A61" s="2" t="s">
        <v>403</v>
      </c>
      <c r="B61" s="3" t="s">
        <v>404</v>
      </c>
      <c r="D61" s="20">
        <v>4.4529159561740314E-44</v>
      </c>
      <c r="E61" s="20">
        <v>0.66131970066742696</v>
      </c>
      <c r="F61" s="20">
        <v>0.30741051130620894</v>
      </c>
      <c r="G61" s="20">
        <v>7.1123688079530067E-2</v>
      </c>
      <c r="H61" s="20">
        <v>0</v>
      </c>
      <c r="I61" s="20">
        <v>0.282785501281688</v>
      </c>
      <c r="J61" s="20">
        <v>5.1564464024777016E-3</v>
      </c>
      <c r="K61" s="20">
        <v>0.3335238529300954</v>
      </c>
      <c r="L61" s="20">
        <v>0</v>
      </c>
    </row>
    <row r="62" spans="1:12">
      <c r="A62" s="2" t="s">
        <v>405</v>
      </c>
      <c r="B62" s="3" t="s">
        <v>406</v>
      </c>
      <c r="D62" s="20">
        <v>1.0565282459402829E-7</v>
      </c>
      <c r="E62" s="20">
        <v>0.86177468978751637</v>
      </c>
      <c r="F62" s="20">
        <v>0.55087787128952104</v>
      </c>
      <c r="G62" s="20">
        <v>0.30707954081910127</v>
      </c>
      <c r="H62" s="20">
        <v>0</v>
      </c>
      <c r="I62" s="20">
        <v>3.8172776788941076E-3</v>
      </c>
      <c r="J62" s="20">
        <v>2.2676917128567519E-2</v>
      </c>
      <c r="K62" s="20">
        <v>0.11554828743109143</v>
      </c>
      <c r="L62" s="20">
        <v>0</v>
      </c>
    </row>
    <row r="63" spans="1:12">
      <c r="A63" s="2" t="s">
        <v>407</v>
      </c>
      <c r="B63" s="3" t="s">
        <v>408</v>
      </c>
      <c r="D63" s="20">
        <v>2.5099117818824414E-5</v>
      </c>
      <c r="E63" s="20">
        <v>0.88106114034467042</v>
      </c>
      <c r="F63" s="20">
        <v>0.16781573218164494</v>
      </c>
      <c r="G63" s="20">
        <v>0.7128993643428666</v>
      </c>
      <c r="H63" s="20">
        <v>0</v>
      </c>
      <c r="I63" s="20">
        <v>3.4604382015891402E-4</v>
      </c>
      <c r="J63" s="20">
        <v>5.396948776969044E-2</v>
      </c>
      <c r="K63" s="20">
        <v>6.4944272767820235E-2</v>
      </c>
      <c r="L63" s="20">
        <v>0</v>
      </c>
    </row>
    <row r="64" spans="1:12">
      <c r="A64" s="2" t="s">
        <v>409</v>
      </c>
      <c r="B64" s="3" t="s">
        <v>410</v>
      </c>
      <c r="D64" s="20">
        <v>3.1051429460952241E-6</v>
      </c>
      <c r="E64" s="20">
        <v>0.89483723580556696</v>
      </c>
      <c r="F64" s="20">
        <v>9.0355753662459792E-2</v>
      </c>
      <c r="G64" s="20">
        <v>0.80436167182027107</v>
      </c>
      <c r="H64" s="20">
        <v>0</v>
      </c>
      <c r="I64" s="20">
        <v>1.1981032283608394E-4</v>
      </c>
      <c r="J64" s="20">
        <v>6.1451350660389405E-2</v>
      </c>
      <c r="K64" s="20">
        <v>4.370830839109778E-2</v>
      </c>
      <c r="L64" s="20">
        <v>0</v>
      </c>
    </row>
    <row r="65" spans="1:12">
      <c r="A65" s="2" t="s">
        <v>301</v>
      </c>
      <c r="B65" s="3" t="s">
        <v>302</v>
      </c>
      <c r="D65" s="20">
        <v>3.834650119740396E-7</v>
      </c>
      <c r="E65" s="20">
        <v>0.90709044030407493</v>
      </c>
      <c r="F65" s="20">
        <v>4.1898643172215928E-2</v>
      </c>
      <c r="G65" s="20">
        <v>0.86515817243444393</v>
      </c>
      <c r="H65" s="20">
        <v>0</v>
      </c>
      <c r="I65" s="20">
        <v>3.3624697415052177E-5</v>
      </c>
      <c r="J65" s="20">
        <v>6.6787072776444412E-2</v>
      </c>
      <c r="K65" s="20">
        <v>2.6122103454468703E-2</v>
      </c>
      <c r="L65" s="20">
        <v>0</v>
      </c>
    </row>
    <row r="66" spans="1:12">
      <c r="A66" s="2" t="s">
        <v>303</v>
      </c>
      <c r="B66" s="3" t="s">
        <v>304</v>
      </c>
      <c r="D66" s="20">
        <v>3.7023292334879058E-13</v>
      </c>
      <c r="E66" s="20">
        <v>0.90066458506219316</v>
      </c>
      <c r="F66" s="20">
        <v>6.5290388244846301E-2</v>
      </c>
      <c r="G66" s="20">
        <v>0.83530447195319424</v>
      </c>
      <c r="H66" s="20">
        <v>0</v>
      </c>
      <c r="I66" s="20">
        <v>6.9724864152601634E-5</v>
      </c>
      <c r="J66" s="20">
        <v>6.4101781069106828E-2</v>
      </c>
      <c r="K66" s="20">
        <v>3.5233633868329728E-2</v>
      </c>
      <c r="L66" s="20">
        <v>0</v>
      </c>
    </row>
    <row r="67" spans="1:12">
      <c r="A67" s="2" t="s">
        <v>411</v>
      </c>
      <c r="B67" s="3" t="s">
        <v>412</v>
      </c>
      <c r="D67" s="20">
        <v>4.6536360273184887E-3</v>
      </c>
      <c r="E67" s="20">
        <v>0.84410922046852244</v>
      </c>
      <c r="F67" s="20">
        <v>2.5308512937764378E-2</v>
      </c>
      <c r="G67" s="20">
        <v>7.6061026679734179E-3</v>
      </c>
      <c r="H67" s="20">
        <v>0</v>
      </c>
      <c r="I67" s="20">
        <v>0.81119460486278461</v>
      </c>
      <c r="J67" s="20">
        <v>8.9705076162640727E-4</v>
      </c>
      <c r="K67" s="20">
        <v>0.15034009274253265</v>
      </c>
      <c r="L67" s="20">
        <v>0</v>
      </c>
    </row>
    <row r="68" spans="1:12">
      <c r="A68" s="2" t="s">
        <v>413</v>
      </c>
      <c r="B68" s="3" t="s">
        <v>414</v>
      </c>
      <c r="D68" s="20">
        <v>9.9818756364542169E-3</v>
      </c>
      <c r="E68" s="20">
        <v>0.79645022748815231</v>
      </c>
      <c r="F68" s="20">
        <v>4.4206524237919639E-2</v>
      </c>
      <c r="G68" s="20">
        <v>1.2664321437705864E-2</v>
      </c>
      <c r="H68" s="20">
        <v>0</v>
      </c>
      <c r="I68" s="20">
        <v>0.7395793818125268</v>
      </c>
      <c r="J68" s="20">
        <v>1.2168494582272349E-3</v>
      </c>
      <c r="K68" s="20">
        <v>0.19235104741716613</v>
      </c>
      <c r="L68" s="20">
        <v>0</v>
      </c>
    </row>
    <row r="69" spans="1:12">
      <c r="A69" s="2" t="s">
        <v>415</v>
      </c>
      <c r="B69" s="3" t="s">
        <v>416</v>
      </c>
      <c r="D69" s="20">
        <v>1.2136605134968315E-3</v>
      </c>
      <c r="E69" s="20">
        <v>0.86238574775303301</v>
      </c>
      <c r="F69" s="20">
        <v>0.35113283041165982</v>
      </c>
      <c r="G69" s="20">
        <v>0.50987884416114959</v>
      </c>
      <c r="H69" s="20">
        <v>0</v>
      </c>
      <c r="I69" s="20">
        <v>1.3740731802236036E-3</v>
      </c>
      <c r="J69" s="20">
        <v>3.809468276109855E-2</v>
      </c>
      <c r="K69" s="20">
        <v>9.8305908972371805E-2</v>
      </c>
      <c r="L69" s="20">
        <v>0</v>
      </c>
    </row>
    <row r="70" spans="1:12">
      <c r="A70" s="2" t="s">
        <v>417</v>
      </c>
      <c r="B70" s="3" t="s">
        <v>418</v>
      </c>
      <c r="D70" s="20">
        <v>3.1658296932759828E-3</v>
      </c>
      <c r="E70" s="20">
        <v>0.82871431922354355</v>
      </c>
      <c r="F70" s="20">
        <v>0.67914383555707147</v>
      </c>
      <c r="G70" s="20">
        <v>0.12412444465159775</v>
      </c>
      <c r="H70" s="20">
        <v>0</v>
      </c>
      <c r="I70" s="20">
        <v>2.5446039014874376E-2</v>
      </c>
      <c r="J70" s="20">
        <v>8.9832972615286125E-3</v>
      </c>
      <c r="K70" s="20">
        <v>0.15913655382165182</v>
      </c>
      <c r="L70" s="20">
        <v>0</v>
      </c>
    </row>
    <row r="71" spans="1:12">
      <c r="A71" s="2" t="s">
        <v>419</v>
      </c>
      <c r="B71" s="3" t="s">
        <v>420</v>
      </c>
      <c r="D71" s="20">
        <v>2.4505479632615654E-2</v>
      </c>
      <c r="E71" s="20">
        <v>0.79165211076551512</v>
      </c>
      <c r="F71" s="20">
        <v>4.0025560475731255E-2</v>
      </c>
      <c r="G71" s="20">
        <v>1.1551356235961889E-2</v>
      </c>
      <c r="H71" s="20">
        <v>0</v>
      </c>
      <c r="I71" s="20">
        <v>0.74007519405382194</v>
      </c>
      <c r="J71" s="20">
        <v>1.1394393055090069E-3</v>
      </c>
      <c r="K71" s="20">
        <v>0.18270297029636029</v>
      </c>
      <c r="L71" s="20">
        <v>0</v>
      </c>
    </row>
    <row r="72" spans="1:12">
      <c r="A72" s="2" t="s">
        <v>421</v>
      </c>
      <c r="B72" s="3" t="s">
        <v>422</v>
      </c>
      <c r="D72" s="20">
        <v>1.3268546845979421E-2</v>
      </c>
      <c r="E72" s="20">
        <v>0.81007015810766569</v>
      </c>
      <c r="F72" s="20">
        <v>0.65871503618044258</v>
      </c>
      <c r="G72" s="20">
        <v>0.12195318086627216</v>
      </c>
      <c r="H72" s="20">
        <v>0</v>
      </c>
      <c r="I72" s="20">
        <v>2.9401941060950988E-2</v>
      </c>
      <c r="J72" s="20">
        <v>8.8173174669096445E-3</v>
      </c>
      <c r="K72" s="20">
        <v>0.16784397757944511</v>
      </c>
      <c r="L72" s="20">
        <v>0</v>
      </c>
    </row>
    <row r="73" spans="1:12">
      <c r="A73" s="2" t="s">
        <v>423</v>
      </c>
      <c r="B73" s="3" t="s">
        <v>424</v>
      </c>
      <c r="D73" s="20">
        <v>1.2965120452746517E-2</v>
      </c>
      <c r="E73" s="20">
        <v>0.65418207719113508</v>
      </c>
      <c r="F73" s="20">
        <v>0.32051677984428006</v>
      </c>
      <c r="G73" s="20">
        <v>7.3476138854384393E-2</v>
      </c>
      <c r="H73" s="20">
        <v>0</v>
      </c>
      <c r="I73" s="20">
        <v>0.26018915849247065</v>
      </c>
      <c r="J73" s="20">
        <v>5.3168658457865819E-3</v>
      </c>
      <c r="K73" s="20">
        <v>0.3275359365103318</v>
      </c>
      <c r="L73" s="20">
        <v>0</v>
      </c>
    </row>
    <row r="74" spans="1:12">
      <c r="A74" s="2" t="s">
        <v>425</v>
      </c>
      <c r="B74" s="3" t="s">
        <v>426</v>
      </c>
      <c r="D74" s="20">
        <v>4.8852073768072182E-3</v>
      </c>
      <c r="E74" s="20">
        <v>0.82437210482171974</v>
      </c>
      <c r="F74" s="20">
        <v>0.6741510559592957</v>
      </c>
      <c r="G74" s="20">
        <v>0.12366670072077396</v>
      </c>
      <c r="H74" s="20">
        <v>0</v>
      </c>
      <c r="I74" s="20">
        <v>2.6554348141650131E-2</v>
      </c>
      <c r="J74" s="20">
        <v>8.9475728000309035E-3</v>
      </c>
      <c r="K74" s="20">
        <v>0.16179511500144189</v>
      </c>
      <c r="L74" s="20">
        <v>0</v>
      </c>
    </row>
    <row r="75" spans="1:12">
      <c r="A75" s="2" t="s">
        <v>427</v>
      </c>
      <c r="B75" s="3" t="s">
        <v>428</v>
      </c>
      <c r="D75" s="20">
        <v>5.4753735477497292E-10</v>
      </c>
      <c r="E75" s="20">
        <v>0.99411425830417322</v>
      </c>
      <c r="F75" s="20">
        <v>0.98943663298695328</v>
      </c>
      <c r="G75" s="20">
        <v>3.8180199623955182E-4</v>
      </c>
      <c r="H75" s="20">
        <v>0</v>
      </c>
      <c r="I75" s="20">
        <v>4.2958233209804287E-3</v>
      </c>
      <c r="J75" s="20">
        <v>5.8026124795990024E-3</v>
      </c>
      <c r="K75" s="20">
        <v>8.3128668690375608E-5</v>
      </c>
      <c r="L75" s="20">
        <v>0</v>
      </c>
    </row>
    <row r="76" spans="1:12">
      <c r="A76" s="2" t="s">
        <v>429</v>
      </c>
      <c r="B76" s="3" t="s">
        <v>430</v>
      </c>
      <c r="D76" s="20">
        <v>1.375351652938042E-11</v>
      </c>
      <c r="E76" s="20">
        <v>0.99411425883481519</v>
      </c>
      <c r="F76" s="20">
        <v>0.98943663351509836</v>
      </c>
      <c r="G76" s="20">
        <v>3.8180199644335141E-4</v>
      </c>
      <c r="H76" s="20">
        <v>0</v>
      </c>
      <c r="I76" s="20">
        <v>4.2958233232734695E-3</v>
      </c>
      <c r="J76" s="20">
        <v>5.8026124826963442E-3</v>
      </c>
      <c r="K76" s="20">
        <v>8.3128668734748344E-5</v>
      </c>
      <c r="L76" s="20">
        <v>0</v>
      </c>
    </row>
    <row r="77" spans="1:12">
      <c r="A77" s="2" t="s">
        <v>431</v>
      </c>
      <c r="B77" s="3" t="s">
        <v>432</v>
      </c>
      <c r="D77" s="20">
        <v>2.3603000777048352E-2</v>
      </c>
      <c r="E77" s="20">
        <v>0.70648190285687074</v>
      </c>
      <c r="F77" s="20">
        <v>0.50215921366220084</v>
      </c>
      <c r="G77" s="20">
        <v>0.10383337987637167</v>
      </c>
      <c r="H77" s="20">
        <v>0</v>
      </c>
      <c r="I77" s="20">
        <v>0.10048930931829821</v>
      </c>
      <c r="J77" s="20">
        <v>7.4632565908057469E-3</v>
      </c>
      <c r="K77" s="20">
        <v>0.26245183977527509</v>
      </c>
      <c r="L77" s="20">
        <v>0</v>
      </c>
    </row>
    <row r="78" spans="1:12">
      <c r="A78" s="2" t="s">
        <v>433</v>
      </c>
      <c r="B78" s="3" t="s">
        <v>434</v>
      </c>
      <c r="D78" s="20">
        <v>3.3252969403929612E-2</v>
      </c>
      <c r="E78" s="20">
        <v>0.68217517472969347</v>
      </c>
      <c r="F78" s="20">
        <v>0.12673735746448692</v>
      </c>
      <c r="G78" s="20">
        <v>3.2749162863611223E-2</v>
      </c>
      <c r="H78" s="20">
        <v>0</v>
      </c>
      <c r="I78" s="20">
        <v>0.52268865440159529</v>
      </c>
      <c r="J78" s="20">
        <v>2.530474186505868E-3</v>
      </c>
      <c r="K78" s="20">
        <v>0.28204138167987119</v>
      </c>
      <c r="L78" s="20">
        <v>0</v>
      </c>
    </row>
    <row r="79" spans="1:12">
      <c r="A79" s="2" t="s">
        <v>435</v>
      </c>
      <c r="B79" s="3" t="s">
        <v>436</v>
      </c>
      <c r="D79" s="20">
        <v>7.7662870495596023E-3</v>
      </c>
      <c r="E79" s="20">
        <v>0.65914857071402599</v>
      </c>
      <c r="F79" s="20">
        <v>0.23576951675706673</v>
      </c>
      <c r="G79" s="20">
        <v>5.6700019560561671E-2</v>
      </c>
      <c r="H79" s="20">
        <v>0</v>
      </c>
      <c r="I79" s="20">
        <v>0.3666790343963976</v>
      </c>
      <c r="J79" s="20">
        <v>4.1609330082394364E-3</v>
      </c>
      <c r="K79" s="20">
        <v>0.32892420922817495</v>
      </c>
      <c r="L79" s="20">
        <v>0</v>
      </c>
    </row>
    <row r="80" spans="1:12">
      <c r="A80" s="2" t="s">
        <v>437</v>
      </c>
      <c r="B80" s="3" t="s">
        <v>438</v>
      </c>
      <c r="D80" s="20">
        <v>1.9497975934460466E-10</v>
      </c>
      <c r="E80" s="20">
        <v>0.98868942284700001</v>
      </c>
      <c r="F80" s="20">
        <v>0.98506244516341335</v>
      </c>
      <c r="G80" s="20">
        <v>7.3015316363975061E-4</v>
      </c>
      <c r="H80" s="20">
        <v>0</v>
      </c>
      <c r="I80" s="20">
        <v>2.8968245199468942E-3</v>
      </c>
      <c r="J80" s="20">
        <v>1.1209808038522468E-2</v>
      </c>
      <c r="K80" s="20">
        <v>1.007689194979063E-4</v>
      </c>
      <c r="L80" s="20">
        <v>0</v>
      </c>
    </row>
    <row r="81" spans="1:12">
      <c r="A81" s="2" t="s">
        <v>440</v>
      </c>
      <c r="B81" s="3" t="s">
        <v>441</v>
      </c>
      <c r="D81" s="20">
        <v>1.8480811528256381E-13</v>
      </c>
      <c r="E81" s="20">
        <v>0.97055718883027242</v>
      </c>
      <c r="F81" s="20">
        <v>9.1242095923959601E-4</v>
      </c>
      <c r="G81" s="20">
        <v>3.548875862652299E-4</v>
      </c>
      <c r="H81" s="20">
        <v>0</v>
      </c>
      <c r="I81" s="20">
        <v>0.96928988028476759</v>
      </c>
      <c r="J81" s="20">
        <v>4.691458742258887E-4</v>
      </c>
      <c r="K81" s="20">
        <v>2.8973665295316805E-2</v>
      </c>
      <c r="L81" s="20">
        <v>0</v>
      </c>
    </row>
    <row r="82" spans="1:12">
      <c r="A82" s="2" t="s">
        <v>442</v>
      </c>
      <c r="B82" s="3" t="s">
        <v>443</v>
      </c>
      <c r="D82" s="20">
        <v>8.2361584177618097E-5</v>
      </c>
      <c r="E82" s="20">
        <v>0.78638398739647741</v>
      </c>
      <c r="F82" s="20">
        <v>5.4953948995705729E-2</v>
      </c>
      <c r="G82" s="20">
        <v>1.5455905783369464E-2</v>
      </c>
      <c r="H82" s="20">
        <v>0</v>
      </c>
      <c r="I82" s="20">
        <v>0.71597413261740217</v>
      </c>
      <c r="J82" s="20">
        <v>1.4012086311089918E-3</v>
      </c>
      <c r="K82" s="20">
        <v>0.21213244238823586</v>
      </c>
      <c r="L82" s="20">
        <v>0</v>
      </c>
    </row>
    <row r="83" spans="1:12">
      <c r="A83" s="2" t="s">
        <v>444</v>
      </c>
      <c r="B83" s="3" t="s">
        <v>445</v>
      </c>
      <c r="D83" s="20">
        <v>5.0282931187298034E-4</v>
      </c>
      <c r="E83" s="20">
        <v>0.70653537804279432</v>
      </c>
      <c r="F83" s="20">
        <v>0.47917571698530953</v>
      </c>
      <c r="G83" s="20">
        <v>0.10110912609702905</v>
      </c>
      <c r="H83" s="20">
        <v>0</v>
      </c>
      <c r="I83" s="20">
        <v>0.12625053496045571</v>
      </c>
      <c r="J83" s="20">
        <v>7.266564050168056E-3</v>
      </c>
      <c r="K83" s="20">
        <v>0.28569522859516466</v>
      </c>
      <c r="L83" s="20">
        <v>0</v>
      </c>
    </row>
    <row r="84" spans="1:12">
      <c r="A84" s="2" t="s">
        <v>446</v>
      </c>
      <c r="B84" s="3" t="s">
        <v>447</v>
      </c>
      <c r="D84" s="20">
        <v>5.6665743121107481E-15</v>
      </c>
      <c r="E84" s="20">
        <v>0.93738813922398945</v>
      </c>
      <c r="F84" s="20">
        <v>4.0831450058859452E-3</v>
      </c>
      <c r="G84" s="20">
        <v>1.418046129415479E-3</v>
      </c>
      <c r="H84" s="20">
        <v>0</v>
      </c>
      <c r="I84" s="20">
        <v>0.93188694808868799</v>
      </c>
      <c r="J84" s="20">
        <v>5.2452999387615838E-4</v>
      </c>
      <c r="K84" s="20">
        <v>6.2087330782128719E-2</v>
      </c>
      <c r="L84" s="20">
        <v>0</v>
      </c>
    </row>
    <row r="85" spans="1:12">
      <c r="A85" s="2" t="s">
        <v>448</v>
      </c>
      <c r="B85" s="3" t="s">
        <v>449</v>
      </c>
      <c r="D85" s="20">
        <v>3.9862914593293412E-8</v>
      </c>
      <c r="E85" s="20">
        <v>0.98745641136891404</v>
      </c>
      <c r="F85" s="20">
        <v>1.6758813348717605E-4</v>
      </c>
      <c r="G85" s="20">
        <v>7.3950109159552567E-5</v>
      </c>
      <c r="H85" s="20">
        <v>0</v>
      </c>
      <c r="I85" s="20">
        <v>0.98721487312626732</v>
      </c>
      <c r="J85" s="20">
        <v>4.5841533224288066E-4</v>
      </c>
      <c r="K85" s="20">
        <v>1.2085133435928269E-2</v>
      </c>
      <c r="L85" s="20">
        <v>0</v>
      </c>
    </row>
    <row r="86" spans="1:12">
      <c r="A86" s="2" t="s">
        <v>450</v>
      </c>
      <c r="B86" s="3" t="s">
        <v>451</v>
      </c>
      <c r="D86" s="20">
        <v>1.4256449557646789E-8</v>
      </c>
      <c r="E86" s="20">
        <v>0.93887592952842724</v>
      </c>
      <c r="F86" s="20">
        <v>3.8912183087679189E-3</v>
      </c>
      <c r="G86" s="20">
        <v>1.3563792961262459E-3</v>
      </c>
      <c r="H86" s="20">
        <v>0</v>
      </c>
      <c r="I86" s="20">
        <v>0.93362833192353312</v>
      </c>
      <c r="J86" s="20">
        <v>5.2110376529973155E-4</v>
      </c>
      <c r="K86" s="20">
        <v>6.0602952449823416E-2</v>
      </c>
      <c r="L86" s="20">
        <v>0</v>
      </c>
    </row>
    <row r="87" spans="1:12">
      <c r="A87" s="2" t="s">
        <v>452</v>
      </c>
      <c r="B87" s="3" t="s">
        <v>453</v>
      </c>
      <c r="D87" s="20">
        <v>4.6933591069039161E-8</v>
      </c>
      <c r="E87" s="20">
        <v>0.87580705366593226</v>
      </c>
      <c r="F87" s="20">
        <v>0.20718485221294583</v>
      </c>
      <c r="G87" s="20">
        <v>0.66811858904049748</v>
      </c>
      <c r="H87" s="20">
        <v>0</v>
      </c>
      <c r="I87" s="20">
        <v>5.036124124889542E-4</v>
      </c>
      <c r="J87" s="20">
        <v>5.0408221485776457E-2</v>
      </c>
      <c r="K87" s="20">
        <v>7.37846779147001E-2</v>
      </c>
      <c r="L87" s="20">
        <v>0</v>
      </c>
    </row>
    <row r="88" spans="1:12">
      <c r="A88" s="2" t="s">
        <v>454</v>
      </c>
      <c r="B88" s="3" t="s">
        <v>455</v>
      </c>
      <c r="D88" s="20">
        <v>3.9826795109598599E-5</v>
      </c>
      <c r="E88" s="20">
        <v>0.72847856178215342</v>
      </c>
      <c r="F88" s="20">
        <v>0.10234098078587009</v>
      </c>
      <c r="G88" s="20">
        <v>2.7135956231755781E-2</v>
      </c>
      <c r="H88" s="20">
        <v>0</v>
      </c>
      <c r="I88" s="20">
        <v>0.59900162476452756</v>
      </c>
      <c r="J88" s="20">
        <v>2.1683367661126554E-3</v>
      </c>
      <c r="K88" s="20">
        <v>0.2693132746566243</v>
      </c>
      <c r="L88" s="20">
        <v>0</v>
      </c>
    </row>
    <row r="89" spans="1:12">
      <c r="A89" s="2" t="s">
        <v>456</v>
      </c>
      <c r="B89" s="3" t="s">
        <v>457</v>
      </c>
      <c r="D89" s="20">
        <v>2.715604688824047E-17</v>
      </c>
      <c r="E89" s="20">
        <v>0.77545832043851814</v>
      </c>
      <c r="F89" s="20">
        <v>6.2078435707668737E-2</v>
      </c>
      <c r="G89" s="20">
        <v>1.7267772574057365E-2</v>
      </c>
      <c r="H89" s="20">
        <v>0</v>
      </c>
      <c r="I89" s="20">
        <v>0.69611211215679203</v>
      </c>
      <c r="J89" s="20">
        <v>1.5190404506329931E-3</v>
      </c>
      <c r="K89" s="20">
        <v>0.22302263911084874</v>
      </c>
      <c r="L89" s="20">
        <v>0</v>
      </c>
    </row>
    <row r="90" spans="1:12">
      <c r="A90" s="2" t="s">
        <v>458</v>
      </c>
      <c r="B90" s="3" t="s">
        <v>459</v>
      </c>
      <c r="D90" s="20">
        <v>4.1994180370575947E-29</v>
      </c>
      <c r="E90" s="20">
        <v>0.88231579907651836</v>
      </c>
      <c r="F90" s="20">
        <v>1.4772817209461987E-2</v>
      </c>
      <c r="G90" s="20">
        <v>4.6404369848606066E-3</v>
      </c>
      <c r="H90" s="20">
        <v>0</v>
      </c>
      <c r="I90" s="20">
        <v>0.86290254488219575</v>
      </c>
      <c r="J90" s="20">
        <v>7.1500349107494197E-4</v>
      </c>
      <c r="K90" s="20">
        <v>0.11696919743240662</v>
      </c>
      <c r="L90" s="20">
        <v>0</v>
      </c>
    </row>
    <row r="91" spans="1:12">
      <c r="A91" s="2" t="s">
        <v>460</v>
      </c>
      <c r="B91" s="3" t="s">
        <v>461</v>
      </c>
      <c r="D91" s="20">
        <v>4.9324495740841136E-8</v>
      </c>
      <c r="E91" s="20">
        <v>0.86086499511830339</v>
      </c>
      <c r="F91" s="20">
        <v>0.52147905388077787</v>
      </c>
      <c r="G91" s="20">
        <v>0.33607207255657506</v>
      </c>
      <c r="H91" s="20">
        <v>0</v>
      </c>
      <c r="I91" s="20">
        <v>3.3138686809504971E-3</v>
      </c>
      <c r="J91" s="20">
        <v>2.4861580392951072E-2</v>
      </c>
      <c r="K91" s="20">
        <v>0.11427337516424971</v>
      </c>
      <c r="L91" s="20">
        <v>0</v>
      </c>
    </row>
    <row r="92" spans="1:12">
      <c r="A92" s="2" t="s">
        <v>462</v>
      </c>
      <c r="B92" s="3" t="s">
        <v>463</v>
      </c>
      <c r="D92" s="20">
        <v>4.4130750454353927E-9</v>
      </c>
      <c r="E92" s="20">
        <v>0.6824213342507397</v>
      </c>
      <c r="F92" s="20">
        <v>0.41554257598878147</v>
      </c>
      <c r="G92" s="20">
        <v>9.0805276057066037E-2</v>
      </c>
      <c r="H92" s="20">
        <v>0</v>
      </c>
      <c r="I92" s="20">
        <v>0.17607348220489213</v>
      </c>
      <c r="J92" s="20">
        <v>6.5333110452618784E-3</v>
      </c>
      <c r="K92" s="20">
        <v>0.31104535029092328</v>
      </c>
      <c r="L92" s="20">
        <v>0</v>
      </c>
    </row>
    <row r="93" spans="1:12">
      <c r="A93" s="2" t="s">
        <v>464</v>
      </c>
      <c r="B93" s="3" t="s">
        <v>465</v>
      </c>
      <c r="D93" s="20">
        <v>1.9554591383829644E-4</v>
      </c>
      <c r="E93" s="20">
        <v>0.80217708819730826</v>
      </c>
      <c r="F93" s="20">
        <v>0.64198216077520465</v>
      </c>
      <c r="G93" s="20">
        <v>0.12151181714309217</v>
      </c>
      <c r="H93" s="20">
        <v>0</v>
      </c>
      <c r="I93" s="20">
        <v>3.8683110279011501E-2</v>
      </c>
      <c r="J93" s="20">
        <v>8.7712097394778577E-3</v>
      </c>
      <c r="K93" s="20">
        <v>0.18885615614937554</v>
      </c>
      <c r="L93" s="20">
        <v>0</v>
      </c>
    </row>
    <row r="94" spans="1:12">
      <c r="A94" s="2" t="s">
        <v>466</v>
      </c>
      <c r="B94" s="3" t="s">
        <v>467</v>
      </c>
      <c r="D94" s="20">
        <v>1.8333802202092744E-18</v>
      </c>
      <c r="E94" s="20">
        <v>0.99930378865802494</v>
      </c>
      <c r="F94" s="20">
        <v>0.10500230322470362</v>
      </c>
      <c r="G94" s="20">
        <v>1.379867290667152E-5</v>
      </c>
      <c r="H94" s="20">
        <v>0</v>
      </c>
      <c r="I94" s="20">
        <v>0.89428768676041459</v>
      </c>
      <c r="J94" s="20">
        <v>5.3678871892033967E-4</v>
      </c>
      <c r="K94" s="20">
        <v>1.5942262305477804E-4</v>
      </c>
      <c r="L94" s="20">
        <v>0</v>
      </c>
    </row>
    <row r="95" spans="1:12">
      <c r="A95" s="2" t="s">
        <v>468</v>
      </c>
      <c r="B95" s="3" t="s">
        <v>469</v>
      </c>
      <c r="D95" s="20">
        <v>2.0016411911320377E-18</v>
      </c>
      <c r="E95" s="20">
        <v>0.87350532660902169</v>
      </c>
      <c r="F95" s="20">
        <v>0.69400155658241724</v>
      </c>
      <c r="G95" s="20">
        <v>0.17169434841047657</v>
      </c>
      <c r="H95" s="20">
        <v>0</v>
      </c>
      <c r="I95" s="20">
        <v>7.8094216161279303E-3</v>
      </c>
      <c r="J95" s="20">
        <v>1.2556663258338784E-2</v>
      </c>
      <c r="K95" s="20">
        <v>0.11393801013263949</v>
      </c>
      <c r="L95" s="20">
        <v>0</v>
      </c>
    </row>
    <row r="96" spans="1:12">
      <c r="A96" s="2" t="s">
        <v>470</v>
      </c>
      <c r="B96" s="163">
        <v>354656</v>
      </c>
      <c r="D96" s="20">
        <v>3.6843166449939589E-10</v>
      </c>
      <c r="E96" s="20">
        <v>0.96943852232931338</v>
      </c>
      <c r="F96" s="20">
        <v>9.8227063960457171E-4</v>
      </c>
      <c r="G96" s="20">
        <v>3.7995023582891867E-4</v>
      </c>
      <c r="H96" s="20">
        <v>0</v>
      </c>
      <c r="I96" s="20">
        <v>0.96807630145387991</v>
      </c>
      <c r="J96" s="20">
        <v>4.7028826746213541E-4</v>
      </c>
      <c r="K96" s="20">
        <v>3.0091189034792774E-2</v>
      </c>
      <c r="L96" s="20">
        <v>0</v>
      </c>
    </row>
    <row r="97" spans="1:12">
      <c r="A97" s="2" t="s">
        <v>472</v>
      </c>
      <c r="B97" s="3" t="s">
        <v>473</v>
      </c>
      <c r="D97" s="20">
        <v>5.6619593657479406E-10</v>
      </c>
      <c r="E97" s="20">
        <v>0.93663181681475327</v>
      </c>
      <c r="F97" s="20">
        <v>4.1825482830080852E-3</v>
      </c>
      <c r="G97" s="20">
        <v>1.4498948875271598E-3</v>
      </c>
      <c r="H97" s="20">
        <v>0</v>
      </c>
      <c r="I97" s="20">
        <v>0.93099937364421803</v>
      </c>
      <c r="J97" s="20">
        <v>5.2630551623155059E-4</v>
      </c>
      <c r="K97" s="20">
        <v>6.2841877102819368E-2</v>
      </c>
      <c r="L97" s="20">
        <v>0</v>
      </c>
    </row>
    <row r="98" spans="1:12">
      <c r="A98" s="2" t="s">
        <v>474</v>
      </c>
      <c r="B98" s="3" t="s">
        <v>475</v>
      </c>
      <c r="D98" s="20">
        <v>4.6411003250660789E-20</v>
      </c>
      <c r="E98" s="20">
        <v>0.85222360352142312</v>
      </c>
      <c r="F98" s="20">
        <v>0.70810094080695629</v>
      </c>
      <c r="G98" s="20">
        <v>0.12588985310202366</v>
      </c>
      <c r="H98" s="20">
        <v>0</v>
      </c>
      <c r="I98" s="20">
        <v>1.8232809612443182E-2</v>
      </c>
      <c r="J98" s="20">
        <v>9.131669354605099E-3</v>
      </c>
      <c r="K98" s="20">
        <v>0.13864472712397169</v>
      </c>
      <c r="L98" s="20">
        <v>0</v>
      </c>
    </row>
    <row r="99" spans="1:12">
      <c r="A99" s="2" t="s">
        <v>476</v>
      </c>
      <c r="B99" s="3" t="s">
        <v>477</v>
      </c>
      <c r="D99" s="20">
        <v>1.7399800643053614E-7</v>
      </c>
      <c r="E99" s="20">
        <v>0.99117393048186153</v>
      </c>
      <c r="F99" s="20">
        <v>8.2493263940889298E-5</v>
      </c>
      <c r="G99" s="20">
        <v>3.8363130811418221E-5</v>
      </c>
      <c r="H99" s="20">
        <v>0</v>
      </c>
      <c r="I99" s="20">
        <v>0.99105307408710919</v>
      </c>
      <c r="J99" s="20">
        <v>4.5779914656803288E-4</v>
      </c>
      <c r="K99" s="20">
        <v>8.368096373564074E-3</v>
      </c>
      <c r="L99" s="20">
        <v>0</v>
      </c>
    </row>
    <row r="100" spans="1:12">
      <c r="A100" s="2" t="s">
        <v>478</v>
      </c>
      <c r="B100" s="3" t="s">
        <v>479</v>
      </c>
      <c r="D100" s="20">
        <v>5.0925406748901613E-11</v>
      </c>
      <c r="E100" s="20">
        <v>0.67005441941480648</v>
      </c>
      <c r="F100" s="20">
        <v>0.20989820342355844</v>
      </c>
      <c r="G100" s="20">
        <v>5.1322083240166294E-2</v>
      </c>
      <c r="H100" s="20">
        <v>0</v>
      </c>
      <c r="I100" s="20">
        <v>0.40883413275108171</v>
      </c>
      <c r="J100" s="20">
        <v>3.7959376910170696E-3</v>
      </c>
      <c r="K100" s="20">
        <v>0.32614964284325104</v>
      </c>
      <c r="L100" s="20">
        <v>0</v>
      </c>
    </row>
    <row r="101" spans="1:12">
      <c r="A101" s="2" t="s">
        <v>480</v>
      </c>
      <c r="B101" s="3" t="s">
        <v>481</v>
      </c>
      <c r="D101" s="20">
        <v>4.6814094276654694E-11</v>
      </c>
      <c r="E101" s="20">
        <v>0.98553033025813785</v>
      </c>
      <c r="F101" s="20">
        <v>2.2297226231239451E-4</v>
      </c>
      <c r="G101" s="20">
        <v>9.6326636424414971E-5</v>
      </c>
      <c r="H101" s="20">
        <v>0</v>
      </c>
      <c r="I101" s="20">
        <v>0.98521103135940102</v>
      </c>
      <c r="J101" s="20">
        <v>4.5899575370107331E-4</v>
      </c>
      <c r="K101" s="20">
        <v>1.4010673941347317E-2</v>
      </c>
      <c r="L101" s="20">
        <v>0</v>
      </c>
    </row>
    <row r="102" spans="1:12">
      <c r="A102" s="2" t="s">
        <v>482</v>
      </c>
      <c r="B102" s="3" t="s">
        <v>483</v>
      </c>
      <c r="D102" s="20">
        <v>2.9425855001779965E-27</v>
      </c>
      <c r="E102" s="20">
        <v>0.9959838936302926</v>
      </c>
      <c r="F102" s="20">
        <v>1.5914877697625286E-5</v>
      </c>
      <c r="G102" s="20">
        <v>8.357932528720567E-6</v>
      </c>
      <c r="H102" s="20">
        <v>0</v>
      </c>
      <c r="I102" s="20">
        <v>0.99595962082006628</v>
      </c>
      <c r="J102" s="20">
        <v>4.5806091945155194E-4</v>
      </c>
      <c r="K102" s="20">
        <v>3.5580454502558475E-3</v>
      </c>
      <c r="L102" s="20">
        <v>0</v>
      </c>
    </row>
    <row r="103" spans="1:12">
      <c r="A103" s="2" t="s">
        <v>484</v>
      </c>
      <c r="B103" s="3" t="s">
        <v>485</v>
      </c>
      <c r="D103" s="20">
        <v>2.347005114007275E-13</v>
      </c>
      <c r="E103" s="20">
        <v>0.99144014020578186</v>
      </c>
      <c r="F103" s="20">
        <v>7.7515446111259715E-5</v>
      </c>
      <c r="G103" s="20">
        <v>3.6214609464777212E-5</v>
      </c>
      <c r="H103" s="20">
        <v>0</v>
      </c>
      <c r="I103" s="20">
        <v>0.99132641015020584</v>
      </c>
      <c r="J103" s="20">
        <v>4.5778148001033973E-4</v>
      </c>
      <c r="K103" s="20">
        <v>8.1020783139730389E-3</v>
      </c>
      <c r="L103" s="20">
        <v>0</v>
      </c>
    </row>
    <row r="104" spans="1:12">
      <c r="A104" s="2" t="s">
        <v>486</v>
      </c>
      <c r="B104" s="3" t="s">
        <v>487</v>
      </c>
      <c r="D104" s="20">
        <v>2.8882427785543852E-9</v>
      </c>
      <c r="E104" s="20">
        <v>0.95406068462175875</v>
      </c>
      <c r="F104" s="20">
        <v>2.2024593981946269E-3</v>
      </c>
      <c r="G104" s="20">
        <v>8.0168446218051629E-4</v>
      </c>
      <c r="H104" s="20">
        <v>0</v>
      </c>
      <c r="I104" s="20">
        <v>0.95105654076138357</v>
      </c>
      <c r="J104" s="20">
        <v>4.9117428147599522E-4</v>
      </c>
      <c r="K104" s="20">
        <v>4.544813820852249E-2</v>
      </c>
      <c r="L104" s="20">
        <v>0</v>
      </c>
    </row>
    <row r="105" spans="1:12">
      <c r="A105" s="2" t="s">
        <v>488</v>
      </c>
      <c r="B105" s="3" t="s">
        <v>489</v>
      </c>
      <c r="D105" s="20">
        <v>2.3402137436231556E-16</v>
      </c>
      <c r="E105" s="20">
        <v>0.995274908339571</v>
      </c>
      <c r="F105" s="20">
        <v>2.2569905486594176E-5</v>
      </c>
      <c r="G105" s="20">
        <v>1.1551151922736251E-5</v>
      </c>
      <c r="H105" s="20">
        <v>0</v>
      </c>
      <c r="I105" s="20">
        <v>0.9952407872821617</v>
      </c>
      <c r="J105" s="20">
        <v>4.5794149539868693E-4</v>
      </c>
      <c r="K105" s="20">
        <v>4.2671501650301457E-3</v>
      </c>
      <c r="L105" s="20">
        <v>0</v>
      </c>
    </row>
    <row r="106" spans="1:12">
      <c r="A106" s="2" t="s">
        <v>490</v>
      </c>
      <c r="B106" s="3" t="s">
        <v>491</v>
      </c>
      <c r="D106" s="20">
        <v>1.271454854824348E-8</v>
      </c>
      <c r="E106" s="20">
        <v>0.85419799796191953</v>
      </c>
      <c r="F106" s="20">
        <v>2.3258149582225465E-2</v>
      </c>
      <c r="G106" s="20">
        <v>7.0415896792478524E-3</v>
      </c>
      <c r="H106" s="20">
        <v>0</v>
      </c>
      <c r="I106" s="20">
        <v>0.8238982587004462</v>
      </c>
      <c r="J106" s="20">
        <v>8.636285453007134E-4</v>
      </c>
      <c r="K106" s="20">
        <v>0.14493836077823122</v>
      </c>
      <c r="L106" s="20">
        <v>0</v>
      </c>
    </row>
    <row r="107" spans="1:12">
      <c r="A107" s="2" t="s">
        <v>492</v>
      </c>
      <c r="B107" s="3" t="s">
        <v>493</v>
      </c>
      <c r="D107" s="20">
        <v>2.1809905688470603E-16</v>
      </c>
      <c r="E107" s="20">
        <v>0.86870086684750103</v>
      </c>
      <c r="F107" s="20">
        <v>0.72866515592957026</v>
      </c>
      <c r="G107" s="20">
        <v>0.12648049536209438</v>
      </c>
      <c r="H107" s="20">
        <v>0</v>
      </c>
      <c r="I107" s="20">
        <v>1.3555215555836412E-2</v>
      </c>
      <c r="J107" s="20">
        <v>9.1933626555770215E-3</v>
      </c>
      <c r="K107" s="20">
        <v>0.12210577049692159</v>
      </c>
      <c r="L107" s="20">
        <v>0</v>
      </c>
    </row>
    <row r="108" spans="1:12">
      <c r="A108" s="2" t="s">
        <v>291</v>
      </c>
      <c r="B108" s="3" t="s">
        <v>494</v>
      </c>
      <c r="D108" s="20">
        <v>2.9334672786058134E-10</v>
      </c>
      <c r="E108" s="20">
        <v>0.68384500802559767</v>
      </c>
      <c r="F108" s="20">
        <v>0.17031600561254739</v>
      </c>
      <c r="G108" s="20">
        <v>4.2731783413252199E-2</v>
      </c>
      <c r="H108" s="20">
        <v>0</v>
      </c>
      <c r="I108" s="20">
        <v>0.47079721899979809</v>
      </c>
      <c r="J108" s="20">
        <v>3.2131392149774471E-3</v>
      </c>
      <c r="K108" s="20">
        <v>0.3129418524660782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3.6279200628431226E-9</v>
      </c>
      <c r="E2" s="14">
        <v>3.0900844591906435E-5</v>
      </c>
      <c r="F2" s="14">
        <v>1.4747959088780841E-6</v>
      </c>
      <c r="G2" s="14">
        <v>4.2956360612631707E-7</v>
      </c>
      <c r="H2" s="14">
        <v>0</v>
      </c>
      <c r="I2" s="14">
        <v>4.3899264779049341E-8</v>
      </c>
      <c r="J2" s="14">
        <v>7.1472687082472783E-6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1.3844196942973363E-7</v>
      </c>
      <c r="E3" s="14">
        <v>2.5269718812649448E-8</v>
      </c>
      <c r="F3" s="14">
        <v>9.370051625312066E-6</v>
      </c>
      <c r="G3" s="14">
        <v>2.5388529016551534E-5</v>
      </c>
      <c r="H3" s="14">
        <v>0</v>
      </c>
      <c r="I3" s="14">
        <v>1.9114214588489914E-6</v>
      </c>
      <c r="J3" s="14">
        <v>3.1662862110450297E-6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1.7589660154131832E-16</v>
      </c>
      <c r="E4" s="14">
        <v>1.4095811688522884E-5</v>
      </c>
      <c r="F4" s="14">
        <v>1.0016861374558175E-5</v>
      </c>
      <c r="G4" s="14">
        <v>2.3912623107993003E-6</v>
      </c>
      <c r="H4" s="14">
        <v>0</v>
      </c>
      <c r="I4" s="14">
        <v>1.7497195882319246E-7</v>
      </c>
      <c r="J4" s="14">
        <v>1.3321092667120552E-5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4.7532933006227153E-9</v>
      </c>
      <c r="E5" s="14">
        <v>2.7388437315805957E-7</v>
      </c>
      <c r="F5" s="14">
        <v>2.677126099371619E-5</v>
      </c>
      <c r="G5" s="14">
        <v>7.7689867972676827E-6</v>
      </c>
      <c r="H5" s="14">
        <v>0</v>
      </c>
      <c r="I5" s="14">
        <v>5.6924499802295529E-7</v>
      </c>
      <c r="J5" s="14">
        <v>4.6118695445344942E-6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4.5129206033494314E-10</v>
      </c>
      <c r="E6" s="14">
        <v>1.1306555881367188E-8</v>
      </c>
      <c r="F6" s="14">
        <v>5.979046181203118E-6</v>
      </c>
      <c r="G6" s="14">
        <v>2.9364828125304329E-5</v>
      </c>
      <c r="H6" s="14">
        <v>0</v>
      </c>
      <c r="I6" s="14">
        <v>2.2270147353139047E-6</v>
      </c>
      <c r="J6" s="14">
        <v>2.4173531102369582E-6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6.6596965653213003E-10</v>
      </c>
      <c r="E7" s="14">
        <v>2.2616587781887369E-8</v>
      </c>
      <c r="F7" s="14">
        <v>8.8334154565982384E-6</v>
      </c>
      <c r="G7" s="14">
        <v>2.6111042532526916E-5</v>
      </c>
      <c r="H7" s="14">
        <v>0</v>
      </c>
      <c r="I7" s="14">
        <v>1.9679202118565129E-6</v>
      </c>
      <c r="J7" s="14">
        <v>3.064339241579908E-6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6.3045490853327116E-9</v>
      </c>
      <c r="E8" s="14">
        <v>5.0497127115729512E-8</v>
      </c>
      <c r="F8" s="14">
        <v>1.3474983598751538E-5</v>
      </c>
      <c r="G8" s="14">
        <v>2.1038937362121497E-5</v>
      </c>
      <c r="H8" s="14">
        <v>0</v>
      </c>
      <c r="I8" s="14">
        <v>1.5732826374020686E-6</v>
      </c>
      <c r="J8" s="14">
        <v>3.8559947255238402E-6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4.0317132414029197E-9</v>
      </c>
      <c r="E9" s="14">
        <v>2.3602732022560442E-6</v>
      </c>
      <c r="F9" s="14">
        <v>2.3755482175392548E-5</v>
      </c>
      <c r="G9" s="14">
        <v>4.6650833251489465E-6</v>
      </c>
      <c r="H9" s="14">
        <v>0</v>
      </c>
      <c r="I9" s="14">
        <v>3.3596643731152501E-7</v>
      </c>
      <c r="J9" s="14">
        <v>8.8791631466495366E-6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6.1027314528927235E-11</v>
      </c>
      <c r="E10" s="14">
        <v>2.5452878246521529E-7</v>
      </c>
      <c r="F10" s="14">
        <v>2.6205863490273005E-5</v>
      </c>
      <c r="G10" s="14">
        <v>8.2964830408072533E-6</v>
      </c>
      <c r="H10" s="14">
        <v>0</v>
      </c>
      <c r="I10" s="14">
        <v>6.0852338724748387E-7</v>
      </c>
      <c r="J10" s="14">
        <v>4.6345402718925215E-6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3.1746186172354578E-9</v>
      </c>
      <c r="E11" s="14">
        <v>2.2454541900574491E-7</v>
      </c>
      <c r="F11" s="14">
        <v>2.520958948751951E-5</v>
      </c>
      <c r="G11" s="14">
        <v>9.2270171763257845E-6</v>
      </c>
      <c r="H11" s="14">
        <v>0</v>
      </c>
      <c r="I11" s="14">
        <v>6.7794705292017319E-7</v>
      </c>
      <c r="J11" s="14">
        <v>4.6577262456115524E-6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2.1089601198748888E-9</v>
      </c>
      <c r="E12" s="14">
        <v>1.5145409071051811E-6</v>
      </c>
      <c r="F12" s="14">
        <v>2.5771671221793148E-5</v>
      </c>
      <c r="G12" s="14">
        <v>4.8689816481523175E-6</v>
      </c>
      <c r="H12" s="14">
        <v>0</v>
      </c>
      <c r="I12" s="14">
        <v>3.5150802334001367E-7</v>
      </c>
      <c r="J12" s="14">
        <v>7.4911892394894664E-6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6.2749745075731165E-9</v>
      </c>
      <c r="E13" s="14">
        <v>2.2644597537763473E-6</v>
      </c>
      <c r="F13" s="14">
        <v>2.3959965076636121E-5</v>
      </c>
      <c r="G13" s="14">
        <v>4.6879366696724819E-6</v>
      </c>
      <c r="H13" s="14">
        <v>0</v>
      </c>
      <c r="I13" s="14">
        <v>3.376812776874086E-7</v>
      </c>
      <c r="J13" s="14">
        <v>8.7436822477200791E-6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2.1081955041442452E-9</v>
      </c>
      <c r="E14" s="14">
        <v>1.4847848357334304E-7</v>
      </c>
      <c r="F14" s="14">
        <v>2.1801435870034828E-5</v>
      </c>
      <c r="G14" s="14">
        <v>1.2510672432811316E-5</v>
      </c>
      <c r="H14" s="14">
        <v>0</v>
      </c>
      <c r="I14" s="14">
        <v>9.2420061451486843E-7</v>
      </c>
      <c r="J14" s="14">
        <v>4.613104403561504E-6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3.4580204492672514E-12</v>
      </c>
      <c r="E15" s="14">
        <v>2.3918844628563861E-7</v>
      </c>
      <c r="F15" s="14">
        <v>2.5715902593180481E-5</v>
      </c>
      <c r="G15" s="14">
        <v>8.7538142600885908E-6</v>
      </c>
      <c r="H15" s="14">
        <v>0</v>
      </c>
      <c r="I15" s="14">
        <v>6.426220397138672E-7</v>
      </c>
      <c r="J15" s="14">
        <v>4.6484692027109786E-6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1.6382899342437993E-8</v>
      </c>
      <c r="E16" s="14">
        <v>5.2254464742481833E-8</v>
      </c>
      <c r="F16" s="14">
        <v>1.370455625195436E-5</v>
      </c>
      <c r="G16" s="14">
        <v>2.0785502736228781E-5</v>
      </c>
      <c r="H16" s="14">
        <v>0</v>
      </c>
      <c r="I16" s="14">
        <v>1.5537789267579082E-6</v>
      </c>
      <c r="J16" s="14">
        <v>3.8875247209740323E-6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1.2206386254499939E-9</v>
      </c>
      <c r="E17" s="14">
        <v>2.6732510683587369E-7</v>
      </c>
      <c r="F17" s="14">
        <v>2.6586509508332141E-5</v>
      </c>
      <c r="G17" s="14">
        <v>7.9424936952899185E-6</v>
      </c>
      <c r="H17" s="14">
        <v>0</v>
      </c>
      <c r="I17" s="14">
        <v>5.8215813911529632E-7</v>
      </c>
      <c r="J17" s="14">
        <v>4.6202929118013235E-6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1.2118506915976581E-7</v>
      </c>
      <c r="E18" s="14">
        <v>2.8278850737409781E-6</v>
      </c>
      <c r="F18" s="14">
        <v>2.2726017142097636E-5</v>
      </c>
      <c r="G18" s="14">
        <v>4.5375234793329952E-6</v>
      </c>
      <c r="H18" s="14">
        <v>0</v>
      </c>
      <c r="I18" s="14">
        <v>3.2650963124167726E-7</v>
      </c>
      <c r="J18" s="14">
        <v>9.4608796044269567E-6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1.2118249689684318E-11</v>
      </c>
      <c r="E19" s="14">
        <v>2.3620687676264381E-7</v>
      </c>
      <c r="F19" s="14">
        <v>2.5616164973714736E-5</v>
      </c>
      <c r="G19" s="14">
        <v>8.84727785697586E-6</v>
      </c>
      <c r="H19" s="14">
        <v>0</v>
      </c>
      <c r="I19" s="14">
        <v>6.4959564128009628E-7</v>
      </c>
      <c r="J19" s="14">
        <v>4.6507425330169756E-6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9.4988228323079775E-10</v>
      </c>
      <c r="E20" s="14">
        <v>2.2647612625010159E-6</v>
      </c>
      <c r="F20" s="14">
        <v>2.3963155302693927E-5</v>
      </c>
      <c r="G20" s="14">
        <v>4.6885608599696341E-6</v>
      </c>
      <c r="H20" s="14">
        <v>0</v>
      </c>
      <c r="I20" s="14">
        <v>3.3772623933939203E-7</v>
      </c>
      <c r="J20" s="14">
        <v>8.7448464532128089E-6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1.7667396792456076E-8</v>
      </c>
      <c r="E21" s="14">
        <v>1.6806032673468009E-7</v>
      </c>
      <c r="F21" s="14">
        <v>2.2826891674379584E-5</v>
      </c>
      <c r="G21" s="14">
        <v>1.1495882950986968E-5</v>
      </c>
      <c r="H21" s="14">
        <v>0</v>
      </c>
      <c r="I21" s="14">
        <v>8.4789592677009282E-7</v>
      </c>
      <c r="J21" s="14">
        <v>4.6436017243362219E-6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7.8370148110863246E-8</v>
      </c>
      <c r="E22" s="14">
        <v>2.2431757849066894E-5</v>
      </c>
      <c r="F22" s="14">
        <v>4.7998192418407158E-6</v>
      </c>
      <c r="G22" s="14">
        <v>1.2517581790995023E-6</v>
      </c>
      <c r="H22" s="14">
        <v>0</v>
      </c>
      <c r="I22" s="14">
        <v>9.7771983352948413E-8</v>
      </c>
      <c r="J22" s="14">
        <v>1.1340522598529079E-5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3.3413712485243685E-9</v>
      </c>
      <c r="E23" s="14">
        <v>2.8377711677269423E-5</v>
      </c>
      <c r="F23" s="14">
        <v>2.2898073560153212E-6</v>
      </c>
      <c r="G23" s="14">
        <v>6.4164453784499542E-7</v>
      </c>
      <c r="H23" s="14">
        <v>0</v>
      </c>
      <c r="I23" s="14">
        <v>5.7567857493637276E-8</v>
      </c>
      <c r="J23" s="14">
        <v>8.6299272001281075E-6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2.8811055244796182E-9</v>
      </c>
      <c r="E24" s="14">
        <v>6.9255107187329132E-6</v>
      </c>
      <c r="F24" s="14">
        <v>1.6758431945890329E-5</v>
      </c>
      <c r="G24" s="14">
        <v>3.6553497345435937E-6</v>
      </c>
      <c r="H24" s="14">
        <v>0</v>
      </c>
      <c r="I24" s="14">
        <v>2.6296820060357637E-7</v>
      </c>
      <c r="J24" s="14">
        <v>1.2394858294705116E-5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5.2645265884811467E-7</v>
      </c>
      <c r="E25" s="14">
        <v>8.2404696461918084E-7</v>
      </c>
      <c r="F25" s="14">
        <v>2.7544414064244947E-5</v>
      </c>
      <c r="G25" s="14">
        <v>4.9514123286692225E-6</v>
      </c>
      <c r="H25" s="14">
        <v>0</v>
      </c>
      <c r="I25" s="14">
        <v>3.588303144482732E-7</v>
      </c>
      <c r="J25" s="14">
        <v>5.7948436691702654E-6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1.4190102523577092E-8</v>
      </c>
      <c r="E26" s="14">
        <v>1.8223767827284945E-7</v>
      </c>
      <c r="F26" s="14">
        <v>2.3499560942346961E-5</v>
      </c>
      <c r="G26" s="14">
        <v>1.0848140554315061E-5</v>
      </c>
      <c r="H26" s="14">
        <v>0</v>
      </c>
      <c r="I26" s="14">
        <v>7.9928144213606317E-7</v>
      </c>
      <c r="J26" s="14">
        <v>4.6565892804054998E-6</v>
      </c>
      <c r="K26" s="14">
        <v>0</v>
      </c>
    </row>
    <row r="27" spans="1:13">
      <c r="A27" s="2" t="s">
        <v>353</v>
      </c>
      <c r="B27" s="3" t="s">
        <v>354</v>
      </c>
      <c r="D27" s="14">
        <v>9.6016179933931254E-8</v>
      </c>
      <c r="E27" s="14">
        <v>2.7795664682214684E-8</v>
      </c>
      <c r="F27" s="14">
        <v>9.8700337605250427E-6</v>
      </c>
      <c r="G27" s="14">
        <v>2.4872199558662274E-5</v>
      </c>
      <c r="H27" s="14">
        <v>0</v>
      </c>
      <c r="I27" s="14">
        <v>1.8708815779876338E-6</v>
      </c>
      <c r="J27" s="14">
        <v>3.2630732582089087E-6</v>
      </c>
      <c r="K27" s="14">
        <v>0</v>
      </c>
    </row>
    <row r="28" spans="1:13">
      <c r="A28" s="2" t="s">
        <v>355</v>
      </c>
      <c r="B28" s="3" t="s">
        <v>356</v>
      </c>
      <c r="D28" s="14">
        <v>5.2963705981953539E-9</v>
      </c>
      <c r="E28" s="14">
        <v>1.0002556347135214E-7</v>
      </c>
      <c r="F28" s="14">
        <v>1.8554642066403197E-5</v>
      </c>
      <c r="G28" s="14">
        <v>1.5752450959905721E-5</v>
      </c>
      <c r="H28" s="14">
        <v>0</v>
      </c>
      <c r="I28" s="14">
        <v>1.1692284142189645E-6</v>
      </c>
      <c r="J28" s="14">
        <v>4.4183566254025664E-6</v>
      </c>
      <c r="K28" s="14">
        <v>0</v>
      </c>
    </row>
    <row r="29" spans="1:13">
      <c r="A29" s="2" t="s">
        <v>357</v>
      </c>
      <c r="B29" s="3" t="s">
        <v>358</v>
      </c>
      <c r="D29" s="14">
        <v>1.0718156011828638E-6</v>
      </c>
      <c r="E29" s="14">
        <v>1.5067899498651312E-7</v>
      </c>
      <c r="F29" s="14">
        <v>2.155729620705158E-5</v>
      </c>
      <c r="G29" s="14">
        <v>1.1843766714314762E-5</v>
      </c>
      <c r="H29" s="14">
        <v>0</v>
      </c>
      <c r="I29" s="14">
        <v>8.744737425036551E-7</v>
      </c>
      <c r="J29" s="14">
        <v>4.5019687399606307E-6</v>
      </c>
      <c r="K29" s="14">
        <v>0</v>
      </c>
    </row>
    <row r="30" spans="1:13">
      <c r="A30" s="2" t="s">
        <v>359</v>
      </c>
      <c r="B30" s="3" t="s">
        <v>360</v>
      </c>
      <c r="D30" s="14">
        <v>5.2963705981953539E-9</v>
      </c>
      <c r="E30" s="14">
        <v>1.0002556347135214E-7</v>
      </c>
      <c r="F30" s="14">
        <v>1.8554642066403197E-5</v>
      </c>
      <c r="G30" s="14">
        <v>1.5752450959905721E-5</v>
      </c>
      <c r="H30" s="14">
        <v>0</v>
      </c>
      <c r="I30" s="14">
        <v>1.1692284142189645E-6</v>
      </c>
      <c r="J30" s="14">
        <v>4.4183566254025664E-6</v>
      </c>
      <c r="K30" s="14">
        <v>0</v>
      </c>
    </row>
    <row r="31" spans="1:13">
      <c r="A31" s="2" t="s">
        <v>283</v>
      </c>
      <c r="B31" s="3" t="s">
        <v>284</v>
      </c>
      <c r="D31" s="14">
        <v>1.0482401617527416E-12</v>
      </c>
      <c r="E31" s="14">
        <v>3.9013367217316363E-5</v>
      </c>
      <c r="F31" s="14">
        <v>2.4006840658617165E-8</v>
      </c>
      <c r="G31" s="14">
        <v>9.6345307079545534E-9</v>
      </c>
      <c r="H31" s="14">
        <v>0</v>
      </c>
      <c r="I31" s="14">
        <v>1.8568059833803934E-8</v>
      </c>
      <c r="J31" s="14">
        <v>9.3442230324310429E-7</v>
      </c>
      <c r="K31" s="14">
        <v>0</v>
      </c>
    </row>
    <row r="32" spans="1:13">
      <c r="A32" s="2" t="s">
        <v>361</v>
      </c>
      <c r="B32" s="3" t="s">
        <v>362</v>
      </c>
      <c r="D32" s="14">
        <v>8.5079222283398104E-13</v>
      </c>
      <c r="E32" s="14">
        <v>1.7318182877625728E-5</v>
      </c>
      <c r="F32" s="14">
        <v>7.7853083154780684E-6</v>
      </c>
      <c r="G32" s="14">
        <v>1.9195281158610865E-6</v>
      </c>
      <c r="H32" s="14">
        <v>0</v>
      </c>
      <c r="I32" s="14">
        <v>1.4460289637599701E-7</v>
      </c>
      <c r="J32" s="14">
        <v>1.2832376943866904E-5</v>
      </c>
      <c r="K32" s="14">
        <v>0</v>
      </c>
    </row>
    <row r="33" spans="1:11">
      <c r="A33" s="2" t="s">
        <v>364</v>
      </c>
      <c r="B33" s="3" t="s">
        <v>365</v>
      </c>
      <c r="D33" s="14">
        <v>4.8264466085246163E-15</v>
      </c>
      <c r="E33" s="14">
        <v>3.9811111220877576E-5</v>
      </c>
      <c r="F33" s="14">
        <v>1.6801415584011096E-7</v>
      </c>
      <c r="G33" s="14">
        <v>5.1377527086819218E-11</v>
      </c>
      <c r="H33" s="14">
        <v>0</v>
      </c>
      <c r="I33" s="14">
        <v>1.8539294950372495E-8</v>
      </c>
      <c r="J33" s="14">
        <v>2.2839459784079466E-9</v>
      </c>
      <c r="K33" s="14">
        <v>0</v>
      </c>
    </row>
    <row r="34" spans="1:11">
      <c r="A34" s="2" t="s">
        <v>285</v>
      </c>
      <c r="B34" s="3" t="s">
        <v>286</v>
      </c>
      <c r="D34" s="14">
        <v>1.4346184496879221E-14</v>
      </c>
      <c r="E34" s="14">
        <v>2.1888841962253685E-5</v>
      </c>
      <c r="F34" s="14">
        <v>1.8072754949388295E-5</v>
      </c>
      <c r="G34" s="14">
        <v>1.4842220084308733E-9</v>
      </c>
      <c r="H34" s="14">
        <v>0</v>
      </c>
      <c r="I34" s="14">
        <v>2.9138280509790888E-8</v>
      </c>
      <c r="J34" s="14">
        <v>7.7805714936114486E-9</v>
      </c>
      <c r="K34" s="14">
        <v>0</v>
      </c>
    </row>
    <row r="35" spans="1:11">
      <c r="A35" s="2" t="s">
        <v>287</v>
      </c>
      <c r="B35" s="3" t="s">
        <v>288</v>
      </c>
      <c r="D35" s="14">
        <v>4.1784519113927411E-16</v>
      </c>
      <c r="E35" s="14">
        <v>1.2957231018787831E-5</v>
      </c>
      <c r="F35" s="14">
        <v>2.6985705489401171E-5</v>
      </c>
      <c r="G35" s="14">
        <v>5.2259000473289506E-9</v>
      </c>
      <c r="H35" s="14">
        <v>0</v>
      </c>
      <c r="I35" s="14">
        <v>3.3006576336283385E-8</v>
      </c>
      <c r="J35" s="14">
        <v>1.883101500954839E-8</v>
      </c>
      <c r="K35" s="14">
        <v>0</v>
      </c>
    </row>
    <row r="36" spans="1:11">
      <c r="A36" s="2" t="s">
        <v>366</v>
      </c>
      <c r="B36" s="3" t="s">
        <v>305</v>
      </c>
      <c r="D36" s="14">
        <v>7.3660457355834074E-13</v>
      </c>
      <c r="E36" s="14">
        <v>4.3218935404539156E-6</v>
      </c>
      <c r="F36" s="14">
        <v>3.5611940508673961E-5</v>
      </c>
      <c r="G36" s="14">
        <v>1.019617833163675E-8</v>
      </c>
      <c r="H36" s="14">
        <v>0</v>
      </c>
      <c r="I36" s="14">
        <v>3.4923981509733846E-8</v>
      </c>
      <c r="J36" s="14">
        <v>2.1045054426175858E-8</v>
      </c>
      <c r="K36" s="14">
        <v>0</v>
      </c>
    </row>
    <row r="37" spans="1:11">
      <c r="A37" s="2" t="s">
        <v>289</v>
      </c>
      <c r="B37" s="3" t="s">
        <v>290</v>
      </c>
      <c r="D37" s="14">
        <v>1.6734526383746608E-19</v>
      </c>
      <c r="E37" s="14">
        <v>8.3075367769794531E-6</v>
      </c>
      <c r="F37" s="14">
        <v>2.7824915035831452E-5</v>
      </c>
      <c r="G37" s="14">
        <v>9.4995568880937936E-7</v>
      </c>
      <c r="H37" s="14">
        <v>0</v>
      </c>
      <c r="I37" s="14">
        <v>9.3909243183335416E-8</v>
      </c>
      <c r="J37" s="14">
        <v>2.823683255196217E-6</v>
      </c>
      <c r="K37" s="14">
        <v>0</v>
      </c>
    </row>
    <row r="38" spans="1:11">
      <c r="A38" s="2" t="s">
        <v>291</v>
      </c>
      <c r="B38" s="3" t="s">
        <v>292</v>
      </c>
      <c r="D38" s="14">
        <v>4.8291622032054061E-17</v>
      </c>
      <c r="E38" s="14">
        <v>2.4511823808297515E-5</v>
      </c>
      <c r="F38" s="14">
        <v>1.5371533665601902E-5</v>
      </c>
      <c r="G38" s="14">
        <v>1.2842046799779353E-8</v>
      </c>
      <c r="H38" s="14">
        <v>0</v>
      </c>
      <c r="I38" s="14">
        <v>2.8543483247674003E-8</v>
      </c>
      <c r="J38" s="14">
        <v>7.5256996004836024E-8</v>
      </c>
      <c r="K38" s="14">
        <v>0</v>
      </c>
    </row>
    <row r="39" spans="1:11">
      <c r="A39" s="2" t="s">
        <v>367</v>
      </c>
      <c r="B39" s="3" t="s">
        <v>368</v>
      </c>
      <c r="D39" s="14">
        <v>5.7657087137696399E-10</v>
      </c>
      <c r="E39" s="14">
        <v>4.1070060103306531E-7</v>
      </c>
      <c r="F39" s="14">
        <v>2.9650151224948944E-5</v>
      </c>
      <c r="G39" s="14">
        <v>5.1787204488421656E-6</v>
      </c>
      <c r="H39" s="14">
        <v>0</v>
      </c>
      <c r="I39" s="14">
        <v>3.7721821342229703E-7</v>
      </c>
      <c r="J39" s="14">
        <v>4.3826329408821575E-6</v>
      </c>
      <c r="K39" s="14">
        <v>0</v>
      </c>
    </row>
    <row r="40" spans="1:11">
      <c r="A40" s="2" t="s">
        <v>369</v>
      </c>
      <c r="B40" s="3" t="s">
        <v>370</v>
      </c>
      <c r="D40" s="14">
        <v>3.5194553157033427E-17</v>
      </c>
      <c r="E40" s="14">
        <v>3.8371031339667412E-8</v>
      </c>
      <c r="F40" s="14">
        <v>3.5009430544319939E-5</v>
      </c>
      <c r="G40" s="14">
        <v>2.5328263962383396E-6</v>
      </c>
      <c r="H40" s="14">
        <v>0</v>
      </c>
      <c r="I40" s="14">
        <v>2.3092388797962935E-6</v>
      </c>
      <c r="J40" s="14">
        <v>1.1013314827057764E-7</v>
      </c>
      <c r="K40" s="14">
        <v>0</v>
      </c>
    </row>
    <row r="41" spans="1:11">
      <c r="A41" s="2" t="s">
        <v>371</v>
      </c>
      <c r="B41" s="3" t="s">
        <v>372</v>
      </c>
      <c r="D41" s="14">
        <v>3.2708986250303918E-6</v>
      </c>
      <c r="E41" s="14">
        <v>3.6527481107835521E-5</v>
      </c>
      <c r="F41" s="14">
        <v>1.1182561598418812E-9</v>
      </c>
      <c r="G41" s="14">
        <v>5.5980510489636188E-10</v>
      </c>
      <c r="H41" s="14">
        <v>0</v>
      </c>
      <c r="I41" s="14">
        <v>1.6816426908378835E-8</v>
      </c>
      <c r="J41" s="14">
        <v>1.8312577896097477E-7</v>
      </c>
      <c r="K41" s="14">
        <v>0</v>
      </c>
    </row>
    <row r="42" spans="1:11">
      <c r="A42" s="2" t="s">
        <v>293</v>
      </c>
      <c r="B42" s="3" t="s">
        <v>294</v>
      </c>
      <c r="D42" s="14">
        <v>6.9943810502817266E-13</v>
      </c>
      <c r="E42" s="14">
        <v>2.0937360428569457E-5</v>
      </c>
      <c r="F42" s="14">
        <v>5.6107834029414782E-6</v>
      </c>
      <c r="G42" s="14">
        <v>1.4391930696399045E-6</v>
      </c>
      <c r="H42" s="14">
        <v>0</v>
      </c>
      <c r="I42" s="14">
        <v>1.10340556198365E-7</v>
      </c>
      <c r="J42" s="14">
        <v>1.1902321843212697E-5</v>
      </c>
      <c r="K42" s="14">
        <v>0</v>
      </c>
    </row>
    <row r="43" spans="1:11">
      <c r="A43" s="2" t="s">
        <v>373</v>
      </c>
      <c r="B43" s="3" t="s">
        <v>374</v>
      </c>
      <c r="D43" s="14">
        <v>1.722494663538733E-12</v>
      </c>
      <c r="E43" s="14">
        <v>3.520758153721449E-7</v>
      </c>
      <c r="F43" s="14">
        <v>3.9527356261890183E-5</v>
      </c>
      <c r="G43" s="14">
        <v>3.3374878204648666E-8</v>
      </c>
      <c r="H43" s="14">
        <v>0</v>
      </c>
      <c r="I43" s="14">
        <v>7.034394404097635E-8</v>
      </c>
      <c r="J43" s="14">
        <v>1.6847377997380289E-8</v>
      </c>
      <c r="K43" s="14">
        <v>0</v>
      </c>
    </row>
    <row r="44" spans="1:11">
      <c r="A44" s="2" t="s">
        <v>375</v>
      </c>
      <c r="B44" s="3" t="s">
        <v>376</v>
      </c>
      <c r="D44" s="14">
        <v>3.4038289386778323E-6</v>
      </c>
      <c r="E44" s="14">
        <v>3.046353985367555E-5</v>
      </c>
      <c r="F44" s="14">
        <v>7.78111692026559E-7</v>
      </c>
      <c r="G44" s="14">
        <v>2.3732172506327277E-7</v>
      </c>
      <c r="H44" s="14">
        <v>0</v>
      </c>
      <c r="I44" s="14">
        <v>3.0333786223941638E-8</v>
      </c>
      <c r="J44" s="14">
        <v>5.0868640043328465E-6</v>
      </c>
      <c r="K44" s="14">
        <v>0</v>
      </c>
    </row>
    <row r="45" spans="1:11">
      <c r="A45" s="2" t="s">
        <v>377</v>
      </c>
      <c r="B45" s="3" t="s">
        <v>378</v>
      </c>
      <c r="D45" s="14">
        <v>2.6601463959229816E-8</v>
      </c>
      <c r="E45" s="14">
        <v>1.9525320815797776E-5</v>
      </c>
      <c r="F45" s="14">
        <v>6.3911609220835024E-6</v>
      </c>
      <c r="G45" s="14">
        <v>1.6153822559429841E-6</v>
      </c>
      <c r="H45" s="14">
        <v>0</v>
      </c>
      <c r="I45" s="14">
        <v>1.2218043801693404E-7</v>
      </c>
      <c r="J45" s="14">
        <v>1.2319354104199579E-5</v>
      </c>
      <c r="K45" s="14">
        <v>0</v>
      </c>
    </row>
    <row r="46" spans="1:11">
      <c r="A46" s="2" t="s">
        <v>379</v>
      </c>
      <c r="B46" s="3" t="s">
        <v>380</v>
      </c>
      <c r="D46" s="14">
        <v>8.0001325074701706E-8</v>
      </c>
      <c r="E46" s="14">
        <v>2.0374634228781793E-5</v>
      </c>
      <c r="F46" s="14">
        <v>5.8853378025751421E-6</v>
      </c>
      <c r="G46" s="14">
        <v>1.5012981540431824E-6</v>
      </c>
      <c r="H46" s="14">
        <v>0</v>
      </c>
      <c r="I46" s="14">
        <v>1.1448349088460926E-7</v>
      </c>
      <c r="J46" s="14">
        <v>1.2044244998640572E-5</v>
      </c>
      <c r="K46" s="14">
        <v>0</v>
      </c>
    </row>
    <row r="47" spans="1:11">
      <c r="A47" s="2" t="s">
        <v>381</v>
      </c>
      <c r="B47" s="3" t="s">
        <v>382</v>
      </c>
      <c r="D47" s="14">
        <v>1.6322003733232985E-12</v>
      </c>
      <c r="E47" s="14">
        <v>2.5357481272697577E-8</v>
      </c>
      <c r="F47" s="14">
        <v>9.4025940840355759E-6</v>
      </c>
      <c r="G47" s="14">
        <v>2.5476704107854115E-5</v>
      </c>
      <c r="H47" s="14">
        <v>0</v>
      </c>
      <c r="I47" s="14">
        <v>1.9180598805370634E-6</v>
      </c>
      <c r="J47" s="14">
        <v>3.1772828141001724E-6</v>
      </c>
      <c r="K47" s="14">
        <v>0</v>
      </c>
    </row>
    <row r="48" spans="1:11">
      <c r="A48" s="2" t="s">
        <v>383</v>
      </c>
      <c r="B48" s="3" t="s">
        <v>384</v>
      </c>
      <c r="D48" s="14">
        <v>4.7064151423155787E-7</v>
      </c>
      <c r="E48" s="14">
        <v>3.6109616265691245E-5</v>
      </c>
      <c r="F48" s="14">
        <v>2.5128377487209341E-7</v>
      </c>
      <c r="G48" s="14">
        <v>8.4345128251199181E-8</v>
      </c>
      <c r="H48" s="14">
        <v>0</v>
      </c>
      <c r="I48" s="14">
        <v>2.2342822917423784E-8</v>
      </c>
      <c r="J48" s="14">
        <v>3.0617704940364834E-6</v>
      </c>
      <c r="K48" s="14">
        <v>0</v>
      </c>
    </row>
    <row r="49" spans="1:11">
      <c r="A49" s="2" t="s">
        <v>385</v>
      </c>
      <c r="B49" s="3" t="s">
        <v>386</v>
      </c>
      <c r="D49" s="14">
        <v>8.7870880525610276E-7</v>
      </c>
      <c r="E49" s="14">
        <v>3.4457012378546768E-5</v>
      </c>
      <c r="F49" s="14">
        <v>4.4804248079342304E-7</v>
      </c>
      <c r="G49" s="14">
        <v>1.4361994253085928E-7</v>
      </c>
      <c r="H49" s="14">
        <v>0</v>
      </c>
      <c r="I49" s="14">
        <v>2.5670675275039269E-8</v>
      </c>
      <c r="J49" s="14">
        <v>4.046945717597823E-6</v>
      </c>
      <c r="K49" s="14">
        <v>0</v>
      </c>
    </row>
    <row r="50" spans="1:11">
      <c r="A50" s="2" t="s">
        <v>387</v>
      </c>
      <c r="B50" s="3" t="s">
        <v>388</v>
      </c>
      <c r="D50" s="14">
        <v>2.6175982048329997E-7</v>
      </c>
      <c r="E50" s="14">
        <v>2.9929235580604276E-6</v>
      </c>
      <c r="F50" s="14">
        <v>2.231398819791034E-5</v>
      </c>
      <c r="G50" s="14">
        <v>4.4799457446329471E-6</v>
      </c>
      <c r="H50" s="14">
        <v>0</v>
      </c>
      <c r="I50" s="14">
        <v>3.2228959640811469E-7</v>
      </c>
      <c r="J50" s="14">
        <v>9.6290930825048833E-6</v>
      </c>
      <c r="K50" s="14">
        <v>0</v>
      </c>
    </row>
    <row r="51" spans="1:11">
      <c r="A51" s="2" t="s">
        <v>295</v>
      </c>
      <c r="B51" s="3" t="s">
        <v>296</v>
      </c>
      <c r="D51" s="14">
        <v>2.6209828224391706E-6</v>
      </c>
      <c r="E51" s="14">
        <v>3.6122418111715041E-5</v>
      </c>
      <c r="F51" s="14">
        <v>4.0507775047611589E-8</v>
      </c>
      <c r="G51" s="14">
        <v>1.555370812578976E-8</v>
      </c>
      <c r="H51" s="14">
        <v>0</v>
      </c>
      <c r="I51" s="14">
        <v>1.7641549309605129E-8</v>
      </c>
      <c r="J51" s="14">
        <v>1.1828960333627828E-6</v>
      </c>
      <c r="K51" s="14">
        <v>0</v>
      </c>
    </row>
    <row r="52" spans="1:11">
      <c r="A52" s="2" t="s">
        <v>389</v>
      </c>
      <c r="B52" s="3" t="s">
        <v>390</v>
      </c>
      <c r="D52" s="14">
        <v>2.7552405402353079E-6</v>
      </c>
      <c r="E52" s="14">
        <v>2.8875676024886759E-5</v>
      </c>
      <c r="F52" s="14">
        <v>1.3441066657237993E-6</v>
      </c>
      <c r="G52" s="14">
        <v>3.92219598006328E-7</v>
      </c>
      <c r="H52" s="14">
        <v>0</v>
      </c>
      <c r="I52" s="14">
        <v>4.0381912651324935E-8</v>
      </c>
      <c r="J52" s="14">
        <v>6.592375258496482E-6</v>
      </c>
      <c r="K52" s="14">
        <v>0</v>
      </c>
    </row>
    <row r="53" spans="1:11">
      <c r="A53" s="2" t="s">
        <v>391</v>
      </c>
      <c r="B53" s="3" t="s">
        <v>392</v>
      </c>
      <c r="D53" s="14">
        <v>7.8477192122606209E-8</v>
      </c>
      <c r="E53" s="14">
        <v>1.5098579719257516E-5</v>
      </c>
      <c r="F53" s="14">
        <v>9.2345911145059881E-6</v>
      </c>
      <c r="G53" s="14">
        <v>2.2290162062054278E-6</v>
      </c>
      <c r="H53" s="14">
        <v>0</v>
      </c>
      <c r="I53" s="14">
        <v>1.6383559826588029E-7</v>
      </c>
      <c r="J53" s="14">
        <v>1.3195500169642582E-5</v>
      </c>
      <c r="K53" s="14">
        <v>0</v>
      </c>
    </row>
    <row r="54" spans="1:11">
      <c r="A54" s="2" t="s">
        <v>393</v>
      </c>
      <c r="B54" s="3" t="s">
        <v>394</v>
      </c>
      <c r="D54" s="14">
        <v>7.5297569771313484E-9</v>
      </c>
      <c r="E54" s="14">
        <v>3.5415518147738053E-8</v>
      </c>
      <c r="F54" s="14">
        <v>1.1237124031045296E-5</v>
      </c>
      <c r="G54" s="14">
        <v>2.3450425639765818E-5</v>
      </c>
      <c r="H54" s="14">
        <v>0</v>
      </c>
      <c r="I54" s="14">
        <v>1.7598586760868246E-6</v>
      </c>
      <c r="J54" s="14">
        <v>3.509646377977195E-6</v>
      </c>
      <c r="K54" s="14">
        <v>0</v>
      </c>
    </row>
    <row r="55" spans="1:11">
      <c r="A55" s="2" t="s">
        <v>395</v>
      </c>
      <c r="B55" s="3" t="s">
        <v>396</v>
      </c>
      <c r="D55" s="14">
        <v>5.2952185833259102E-6</v>
      </c>
      <c r="E55" s="14">
        <v>5.4252097400253876E-6</v>
      </c>
      <c r="F55" s="14">
        <v>1.5253099634259674E-5</v>
      </c>
      <c r="G55" s="14">
        <v>3.2904376245973467E-6</v>
      </c>
      <c r="H55" s="14">
        <v>0</v>
      </c>
      <c r="I55" s="14">
        <v>2.365906233011954E-7</v>
      </c>
      <c r="J55" s="14">
        <v>1.049944379449049E-5</v>
      </c>
      <c r="K55" s="14">
        <v>0</v>
      </c>
    </row>
    <row r="56" spans="1:11">
      <c r="A56" s="2" t="s">
        <v>397</v>
      </c>
      <c r="B56" s="3" t="s">
        <v>398</v>
      </c>
      <c r="D56" s="14">
        <v>2.4083820669393895E-5</v>
      </c>
      <c r="E56" s="14">
        <v>6.42862399999015E-7</v>
      </c>
      <c r="F56" s="14">
        <v>1.0148447272619898E-5</v>
      </c>
      <c r="G56" s="14">
        <v>1.9279472849929879E-6</v>
      </c>
      <c r="H56" s="14">
        <v>0</v>
      </c>
      <c r="I56" s="14">
        <v>1.3913146103932428E-7</v>
      </c>
      <c r="J56" s="14">
        <v>3.0577909119548894E-6</v>
      </c>
      <c r="K56" s="14">
        <v>0</v>
      </c>
    </row>
    <row r="57" spans="1:11">
      <c r="A57" s="2" t="s">
        <v>399</v>
      </c>
      <c r="B57" s="3" t="s">
        <v>400</v>
      </c>
      <c r="D57" s="14">
        <v>3.0619429181097697E-5</v>
      </c>
      <c r="E57" s="14">
        <v>1.1634553760531757E-6</v>
      </c>
      <c r="F57" s="14">
        <v>4.5276339215817297E-6</v>
      </c>
      <c r="G57" s="14">
        <v>9.5360135702143609E-7</v>
      </c>
      <c r="H57" s="14">
        <v>0</v>
      </c>
      <c r="I57" s="14">
        <v>6.8533327307195481E-8</v>
      </c>
      <c r="J57" s="14">
        <v>2.6673468369387691E-6</v>
      </c>
      <c r="K57" s="14">
        <v>0</v>
      </c>
    </row>
    <row r="58" spans="1:11">
      <c r="A58" s="2" t="s">
        <v>297</v>
      </c>
      <c r="B58" s="3" t="s">
        <v>298</v>
      </c>
      <c r="D58" s="14">
        <v>3.7262955883243114E-5</v>
      </c>
      <c r="E58" s="14">
        <v>2.3665187126506969E-6</v>
      </c>
      <c r="F58" s="14">
        <v>3.9514047467105217E-8</v>
      </c>
      <c r="G58" s="14">
        <v>1.2435036735282656E-8</v>
      </c>
      <c r="H58" s="14">
        <v>0</v>
      </c>
      <c r="I58" s="14">
        <v>1.9407481647470427E-9</v>
      </c>
      <c r="J58" s="14">
        <v>3.1663557173905576E-7</v>
      </c>
      <c r="K58" s="14">
        <v>0</v>
      </c>
    </row>
    <row r="59" spans="1:11">
      <c r="A59" s="2" t="s">
        <v>401</v>
      </c>
      <c r="B59" s="3" t="s">
        <v>402</v>
      </c>
      <c r="D59" s="14">
        <v>3.6342911258704906E-5</v>
      </c>
      <c r="E59" s="14">
        <v>4.7901857471328446E-7</v>
      </c>
      <c r="F59" s="14">
        <v>1.7293939229154697E-6</v>
      </c>
      <c r="G59" s="14">
        <v>3.6625999395664248E-7</v>
      </c>
      <c r="H59" s="14">
        <v>0</v>
      </c>
      <c r="I59" s="14">
        <v>2.6323370282286163E-8</v>
      </c>
      <c r="J59" s="14">
        <v>1.0560928794274124E-6</v>
      </c>
      <c r="K59" s="14">
        <v>0</v>
      </c>
    </row>
    <row r="60" spans="1:11">
      <c r="A60" s="2" t="s">
        <v>299</v>
      </c>
      <c r="B60" s="3" t="s">
        <v>300</v>
      </c>
      <c r="D60" s="14">
        <v>3.9921235243861269E-5</v>
      </c>
      <c r="E60" s="14">
        <v>1.791086709741067E-8</v>
      </c>
      <c r="F60" s="14">
        <v>2.8332062140669427E-8</v>
      </c>
      <c r="G60" s="14">
        <v>6.3763733948247919E-9</v>
      </c>
      <c r="H60" s="14">
        <v>0</v>
      </c>
      <c r="I60" s="14">
        <v>4.6005124740299576E-10</v>
      </c>
      <c r="J60" s="14">
        <v>2.5685402258419489E-8</v>
      </c>
      <c r="K60" s="14">
        <v>0</v>
      </c>
    </row>
    <row r="61" spans="1:11">
      <c r="A61" s="2" t="s">
        <v>403</v>
      </c>
      <c r="B61" s="3" t="s">
        <v>404</v>
      </c>
      <c r="D61" s="14">
        <v>1.7811663824696127E-48</v>
      </c>
      <c r="E61" s="14">
        <v>1.1311420051267521E-5</v>
      </c>
      <c r="F61" s="14">
        <v>1.2296420452248357E-5</v>
      </c>
      <c r="G61" s="14">
        <v>2.844947523181203E-6</v>
      </c>
      <c r="H61" s="14">
        <v>0</v>
      </c>
      <c r="I61" s="14">
        <v>2.0625785609910807E-7</v>
      </c>
      <c r="J61" s="14">
        <v>1.3340954117203817E-5</v>
      </c>
      <c r="K61" s="14">
        <v>0</v>
      </c>
    </row>
    <row r="62" spans="1:11">
      <c r="A62" s="2" t="s">
        <v>405</v>
      </c>
      <c r="B62" s="3" t="s">
        <v>406</v>
      </c>
      <c r="D62" s="14">
        <v>4.2261129837611317E-12</v>
      </c>
      <c r="E62" s="14">
        <v>1.5269110715576432E-7</v>
      </c>
      <c r="F62" s="14">
        <v>2.2035114851580843E-5</v>
      </c>
      <c r="G62" s="14">
        <v>1.2283181632764052E-5</v>
      </c>
      <c r="H62" s="14">
        <v>0</v>
      </c>
      <c r="I62" s="14">
        <v>9.070766851427009E-7</v>
      </c>
      <c r="J62" s="14">
        <v>4.6219314972436575E-6</v>
      </c>
      <c r="K62" s="14">
        <v>0</v>
      </c>
    </row>
    <row r="63" spans="1:11">
      <c r="A63" s="2" t="s">
        <v>407</v>
      </c>
      <c r="B63" s="3" t="s">
        <v>408</v>
      </c>
      <c r="D63" s="14">
        <v>1.0039647127529766E-9</v>
      </c>
      <c r="E63" s="14">
        <v>1.3841752806356562E-8</v>
      </c>
      <c r="F63" s="14">
        <v>6.7126292872657989E-6</v>
      </c>
      <c r="G63" s="14">
        <v>2.8515974573714668E-5</v>
      </c>
      <c r="H63" s="14">
        <v>0</v>
      </c>
      <c r="I63" s="14">
        <v>2.1587795107876178E-6</v>
      </c>
      <c r="J63" s="14">
        <v>2.5977709107128101E-6</v>
      </c>
      <c r="K63" s="14">
        <v>0</v>
      </c>
    </row>
    <row r="64" spans="1:11">
      <c r="A64" s="2" t="s">
        <v>409</v>
      </c>
      <c r="B64" s="3" t="s">
        <v>410</v>
      </c>
      <c r="D64" s="14">
        <v>1.2420571784380899E-10</v>
      </c>
      <c r="E64" s="14">
        <v>4.7924129134433576E-9</v>
      </c>
      <c r="F64" s="14">
        <v>3.614230146498392E-6</v>
      </c>
      <c r="G64" s="14">
        <v>3.2174466872810845E-5</v>
      </c>
      <c r="H64" s="14">
        <v>0</v>
      </c>
      <c r="I64" s="14">
        <v>2.4580540264155765E-6</v>
      </c>
      <c r="J64" s="14">
        <v>1.7483323356439114E-6</v>
      </c>
      <c r="K64" s="14">
        <v>0</v>
      </c>
    </row>
    <row r="65" spans="1:11">
      <c r="A65" s="2" t="s">
        <v>301</v>
      </c>
      <c r="B65" s="3" t="s">
        <v>302</v>
      </c>
      <c r="D65" s="14">
        <v>1.5338600478961584E-11</v>
      </c>
      <c r="E65" s="14">
        <v>1.3449878966020871E-9</v>
      </c>
      <c r="F65" s="14">
        <v>1.6759457268886375E-6</v>
      </c>
      <c r="G65" s="14">
        <v>3.4606326897377759E-5</v>
      </c>
      <c r="H65" s="14">
        <v>0</v>
      </c>
      <c r="I65" s="14">
        <v>2.6714829110577767E-6</v>
      </c>
      <c r="J65" s="14">
        <v>1.0448841381787481E-6</v>
      </c>
      <c r="K65" s="14">
        <v>0</v>
      </c>
    </row>
    <row r="66" spans="1:11">
      <c r="A66" s="2" t="s">
        <v>303</v>
      </c>
      <c r="B66" s="3" t="s">
        <v>304</v>
      </c>
      <c r="D66" s="14">
        <v>1.4809316933951625E-17</v>
      </c>
      <c r="E66" s="14">
        <v>2.7889945661040655E-9</v>
      </c>
      <c r="F66" s="14">
        <v>2.6116155297938524E-6</v>
      </c>
      <c r="G66" s="14">
        <v>3.3412178878127776E-5</v>
      </c>
      <c r="H66" s="14">
        <v>0</v>
      </c>
      <c r="I66" s="14">
        <v>2.5640712427642734E-6</v>
      </c>
      <c r="J66" s="14">
        <v>1.4093453547331892E-6</v>
      </c>
      <c r="K66" s="14">
        <v>0</v>
      </c>
    </row>
    <row r="67" spans="1:11">
      <c r="A67" s="2" t="s">
        <v>411</v>
      </c>
      <c r="B67" s="3" t="s">
        <v>412</v>
      </c>
      <c r="D67" s="14">
        <v>1.8614544109273956E-7</v>
      </c>
      <c r="E67" s="14">
        <v>3.2447784194511386E-5</v>
      </c>
      <c r="F67" s="14">
        <v>1.0123405175105753E-6</v>
      </c>
      <c r="G67" s="14">
        <v>3.0424410671893679E-7</v>
      </c>
      <c r="H67" s="14">
        <v>0</v>
      </c>
      <c r="I67" s="14">
        <v>3.5882030465056292E-8</v>
      </c>
      <c r="J67" s="14">
        <v>6.013603709701307E-6</v>
      </c>
      <c r="K67" s="14">
        <v>0</v>
      </c>
    </row>
    <row r="68" spans="1:11">
      <c r="A68" s="2" t="s">
        <v>413</v>
      </c>
      <c r="B68" s="3" t="s">
        <v>414</v>
      </c>
      <c r="D68" s="14">
        <v>3.9927502545816877E-7</v>
      </c>
      <c r="E68" s="14">
        <v>2.9583175272501077E-5</v>
      </c>
      <c r="F68" s="14">
        <v>1.7682609695167859E-6</v>
      </c>
      <c r="G68" s="14">
        <v>5.0657285750823454E-7</v>
      </c>
      <c r="H68" s="14">
        <v>0</v>
      </c>
      <c r="I68" s="14">
        <v>4.8673978329089402E-8</v>
      </c>
      <c r="J68" s="14">
        <v>7.6940418966866454E-6</v>
      </c>
      <c r="K68" s="14">
        <v>0</v>
      </c>
    </row>
    <row r="69" spans="1:11">
      <c r="A69" s="2" t="s">
        <v>415</v>
      </c>
      <c r="B69" s="3" t="s">
        <v>416</v>
      </c>
      <c r="D69" s="14">
        <v>4.8546420539873262E-8</v>
      </c>
      <c r="E69" s="14">
        <v>5.4962927208944156E-8</v>
      </c>
      <c r="F69" s="14">
        <v>1.4045313216466393E-5</v>
      </c>
      <c r="G69" s="14">
        <v>2.0395153766445988E-5</v>
      </c>
      <c r="H69" s="14">
        <v>0</v>
      </c>
      <c r="I69" s="14">
        <v>1.5237873104439423E-6</v>
      </c>
      <c r="J69" s="14">
        <v>3.9322363588948727E-6</v>
      </c>
      <c r="K69" s="14">
        <v>0</v>
      </c>
    </row>
    <row r="70" spans="1:11">
      <c r="A70" s="2" t="s">
        <v>417</v>
      </c>
      <c r="B70" s="3" t="s">
        <v>418</v>
      </c>
      <c r="D70" s="14">
        <v>1.2663318773103931E-7</v>
      </c>
      <c r="E70" s="14">
        <v>1.017841560594975E-6</v>
      </c>
      <c r="F70" s="14">
        <v>2.7165753422282863E-5</v>
      </c>
      <c r="G70" s="14">
        <v>4.9649777860639107E-6</v>
      </c>
      <c r="H70" s="14">
        <v>0</v>
      </c>
      <c r="I70" s="14">
        <v>3.5933189046114449E-7</v>
      </c>
      <c r="J70" s="14">
        <v>6.3654621528660736E-6</v>
      </c>
      <c r="K70" s="14">
        <v>0</v>
      </c>
    </row>
    <row r="71" spans="1:11">
      <c r="A71" s="2" t="s">
        <v>419</v>
      </c>
      <c r="B71" s="3" t="s">
        <v>420</v>
      </c>
      <c r="D71" s="14">
        <v>9.8021918530462627E-7</v>
      </c>
      <c r="E71" s="14">
        <v>2.960300776215288E-5</v>
      </c>
      <c r="F71" s="14">
        <v>1.6010224190292503E-6</v>
      </c>
      <c r="G71" s="14">
        <v>4.620542494384756E-7</v>
      </c>
      <c r="H71" s="14">
        <v>0</v>
      </c>
      <c r="I71" s="14">
        <v>4.5577572220360282E-8</v>
      </c>
      <c r="J71" s="14">
        <v>7.3081188118544124E-6</v>
      </c>
      <c r="K71" s="14">
        <v>0</v>
      </c>
    </row>
    <row r="72" spans="1:11">
      <c r="A72" s="2" t="s">
        <v>421</v>
      </c>
      <c r="B72" s="3" t="s">
        <v>422</v>
      </c>
      <c r="D72" s="14">
        <v>5.3074187383917695E-7</v>
      </c>
      <c r="E72" s="14">
        <v>1.1760776424380398E-6</v>
      </c>
      <c r="F72" s="14">
        <v>2.6348601447217706E-5</v>
      </c>
      <c r="G72" s="14">
        <v>4.8781272346508866E-6</v>
      </c>
      <c r="H72" s="14">
        <v>0</v>
      </c>
      <c r="I72" s="14">
        <v>3.5269269867638578E-7</v>
      </c>
      <c r="J72" s="14">
        <v>6.7137591031778053E-6</v>
      </c>
      <c r="K72" s="14">
        <v>0</v>
      </c>
    </row>
    <row r="73" spans="1:11">
      <c r="A73" s="2" t="s">
        <v>423</v>
      </c>
      <c r="B73" s="3" t="s">
        <v>424</v>
      </c>
      <c r="D73" s="14">
        <v>5.1860481810986071E-7</v>
      </c>
      <c r="E73" s="14">
        <v>1.0407566339698827E-5</v>
      </c>
      <c r="F73" s="14">
        <v>1.2820671193771204E-5</v>
      </c>
      <c r="G73" s="14">
        <v>2.9390455541753761E-6</v>
      </c>
      <c r="H73" s="14">
        <v>0</v>
      </c>
      <c r="I73" s="14">
        <v>2.126746338314633E-7</v>
      </c>
      <c r="J73" s="14">
        <v>1.3101437460413274E-5</v>
      </c>
      <c r="K73" s="14">
        <v>0</v>
      </c>
    </row>
    <row r="74" spans="1:11">
      <c r="A74" s="2" t="s">
        <v>425</v>
      </c>
      <c r="B74" s="3" t="s">
        <v>426</v>
      </c>
      <c r="D74" s="14">
        <v>1.9540829507228874E-7</v>
      </c>
      <c r="E74" s="14">
        <v>1.0621739256660054E-6</v>
      </c>
      <c r="F74" s="14">
        <v>2.696604223837183E-5</v>
      </c>
      <c r="G74" s="14">
        <v>4.9466680288309589E-6</v>
      </c>
      <c r="H74" s="14">
        <v>0</v>
      </c>
      <c r="I74" s="14">
        <v>3.5790291200123616E-7</v>
      </c>
      <c r="J74" s="14">
        <v>6.4718046000576755E-6</v>
      </c>
      <c r="K74" s="14">
        <v>0</v>
      </c>
    </row>
    <row r="75" spans="1:11">
      <c r="A75" s="2" t="s">
        <v>427</v>
      </c>
      <c r="B75" s="3" t="s">
        <v>428</v>
      </c>
      <c r="D75" s="14">
        <v>2.1901494190998916E-14</v>
      </c>
      <c r="E75" s="14">
        <v>1.7183293283921715E-7</v>
      </c>
      <c r="F75" s="14">
        <v>3.9577465319478137E-5</v>
      </c>
      <c r="G75" s="14">
        <v>1.5272079849582074E-8</v>
      </c>
      <c r="H75" s="14">
        <v>0</v>
      </c>
      <c r="I75" s="14">
        <v>2.3210449918396013E-7</v>
      </c>
      <c r="J75" s="14">
        <v>3.3251467476150245E-9</v>
      </c>
      <c r="K75" s="14">
        <v>0</v>
      </c>
    </row>
    <row r="76" spans="1:11">
      <c r="A76" s="2" t="s">
        <v>429</v>
      </c>
      <c r="B76" s="3" t="s">
        <v>430</v>
      </c>
      <c r="D76" s="14">
        <v>5.5014066117521685E-16</v>
      </c>
      <c r="E76" s="14">
        <v>1.7183293293093878E-7</v>
      </c>
      <c r="F76" s="14">
        <v>3.9577465340603938E-5</v>
      </c>
      <c r="G76" s="14">
        <v>1.5272079857734059E-8</v>
      </c>
      <c r="H76" s="14">
        <v>0</v>
      </c>
      <c r="I76" s="14">
        <v>2.3210449930785382E-7</v>
      </c>
      <c r="J76" s="14">
        <v>3.3251467493899337E-9</v>
      </c>
      <c r="K76" s="14">
        <v>0</v>
      </c>
    </row>
    <row r="77" spans="1:11">
      <c r="A77" s="2" t="s">
        <v>431</v>
      </c>
      <c r="B77" s="3" t="s">
        <v>432</v>
      </c>
      <c r="D77" s="14">
        <v>9.4412003108193415E-7</v>
      </c>
      <c r="E77" s="14">
        <v>4.0195723727319285E-6</v>
      </c>
      <c r="F77" s="14">
        <v>2.0086368546488033E-5</v>
      </c>
      <c r="G77" s="14">
        <v>4.153335195054867E-6</v>
      </c>
      <c r="H77" s="14">
        <v>0</v>
      </c>
      <c r="I77" s="14">
        <v>2.9853026363222991E-7</v>
      </c>
      <c r="J77" s="14">
        <v>1.0498073591011005E-5</v>
      </c>
      <c r="K77" s="14">
        <v>0</v>
      </c>
    </row>
    <row r="78" spans="1:11">
      <c r="A78" s="2" t="s">
        <v>433</v>
      </c>
      <c r="B78" s="3" t="s">
        <v>434</v>
      </c>
      <c r="D78" s="14">
        <v>1.3301187761571847E-6</v>
      </c>
      <c r="E78" s="14">
        <v>2.0907546176063813E-5</v>
      </c>
      <c r="F78" s="14">
        <v>5.069494298579477E-6</v>
      </c>
      <c r="G78" s="14">
        <v>1.3099665145444491E-6</v>
      </c>
      <c r="H78" s="14">
        <v>0</v>
      </c>
      <c r="I78" s="14">
        <v>1.0121896746023473E-7</v>
      </c>
      <c r="J78" s="14">
        <v>1.1281655267194848E-5</v>
      </c>
      <c r="K78" s="14">
        <v>0</v>
      </c>
    </row>
    <row r="79" spans="1:11">
      <c r="A79" s="2" t="s">
        <v>435</v>
      </c>
      <c r="B79" s="3" t="s">
        <v>436</v>
      </c>
      <c r="D79" s="14">
        <v>3.1065148198238412E-7</v>
      </c>
      <c r="E79" s="14">
        <v>1.4667161375855906E-5</v>
      </c>
      <c r="F79" s="14">
        <v>9.4307806702826701E-6</v>
      </c>
      <c r="G79" s="14">
        <v>2.2680007824224668E-6</v>
      </c>
      <c r="H79" s="14">
        <v>0</v>
      </c>
      <c r="I79" s="14">
        <v>1.6643732032957747E-7</v>
      </c>
      <c r="J79" s="14">
        <v>1.3156968369126998E-5</v>
      </c>
      <c r="K79" s="14">
        <v>0</v>
      </c>
    </row>
    <row r="80" spans="1:11">
      <c r="A80" s="2" t="s">
        <v>437</v>
      </c>
      <c r="B80" s="3" t="s">
        <v>438</v>
      </c>
      <c r="D80" s="14">
        <v>7.7991903737841874E-15</v>
      </c>
      <c r="E80" s="14">
        <v>1.1587298079787579E-7</v>
      </c>
      <c r="F80" s="14">
        <v>3.9402497806536539E-5</v>
      </c>
      <c r="G80" s="14">
        <v>2.9206126545590029E-8</v>
      </c>
      <c r="H80" s="14">
        <v>0</v>
      </c>
      <c r="I80" s="14">
        <v>4.4839232154089873E-7</v>
      </c>
      <c r="J80" s="14">
        <v>4.0307567799162525E-9</v>
      </c>
      <c r="K80" s="14">
        <v>0</v>
      </c>
    </row>
    <row r="81" spans="1:11">
      <c r="A81" s="2" t="s">
        <v>440</v>
      </c>
      <c r="B81" s="3" t="s">
        <v>441</v>
      </c>
      <c r="D81" s="14">
        <v>7.3923246113025529E-18</v>
      </c>
      <c r="E81" s="14">
        <v>3.8771595211390705E-5</v>
      </c>
      <c r="F81" s="14">
        <v>3.6496838369583842E-8</v>
      </c>
      <c r="G81" s="14">
        <v>1.4195503450609197E-8</v>
      </c>
      <c r="H81" s="14">
        <v>0</v>
      </c>
      <c r="I81" s="14">
        <v>1.876583496903555E-8</v>
      </c>
      <c r="J81" s="14">
        <v>1.1589466118126724E-6</v>
      </c>
      <c r="K81" s="14">
        <v>0</v>
      </c>
    </row>
    <row r="82" spans="1:11">
      <c r="A82" s="2" t="s">
        <v>442</v>
      </c>
      <c r="B82" s="3" t="s">
        <v>443</v>
      </c>
      <c r="D82" s="14">
        <v>3.2944633671047245E-9</v>
      </c>
      <c r="E82" s="14">
        <v>2.863896530469609E-5</v>
      </c>
      <c r="F82" s="14">
        <v>2.1981579598282293E-6</v>
      </c>
      <c r="G82" s="14">
        <v>6.1823623133477854E-7</v>
      </c>
      <c r="H82" s="14">
        <v>0</v>
      </c>
      <c r="I82" s="14">
        <v>5.6048345244359682E-8</v>
      </c>
      <c r="J82" s="14">
        <v>8.4852976955294359E-6</v>
      </c>
      <c r="K82" s="14">
        <v>0</v>
      </c>
    </row>
    <row r="83" spans="1:11">
      <c r="A83" s="2" t="s">
        <v>444</v>
      </c>
      <c r="B83" s="3" t="s">
        <v>445</v>
      </c>
      <c r="D83" s="14">
        <v>2.0113172474919219E-8</v>
      </c>
      <c r="E83" s="14">
        <v>5.0500213984182291E-6</v>
      </c>
      <c r="F83" s="14">
        <v>1.9167028679412382E-5</v>
      </c>
      <c r="G83" s="14">
        <v>4.0443650438811626E-6</v>
      </c>
      <c r="H83" s="14">
        <v>0</v>
      </c>
      <c r="I83" s="14">
        <v>2.9066256200672228E-7</v>
      </c>
      <c r="J83" s="14">
        <v>1.1427809143806586E-5</v>
      </c>
      <c r="K83" s="14">
        <v>0</v>
      </c>
    </row>
    <row r="84" spans="1:11">
      <c r="A84" s="2" t="s">
        <v>446</v>
      </c>
      <c r="B84" s="3" t="s">
        <v>447</v>
      </c>
      <c r="D84" s="14">
        <v>2.2666297248442996E-19</v>
      </c>
      <c r="E84" s="14">
        <v>3.7275477923547523E-5</v>
      </c>
      <c r="F84" s="14">
        <v>1.6332580023543782E-7</v>
      </c>
      <c r="G84" s="14">
        <v>5.6721845176619171E-8</v>
      </c>
      <c r="H84" s="14">
        <v>0</v>
      </c>
      <c r="I84" s="14">
        <v>2.0981199755046335E-8</v>
      </c>
      <c r="J84" s="14">
        <v>2.4834932312851491E-6</v>
      </c>
      <c r="K84" s="14">
        <v>0</v>
      </c>
    </row>
    <row r="85" spans="1:11">
      <c r="A85" s="2" t="s">
        <v>448</v>
      </c>
      <c r="B85" s="3" t="s">
        <v>449</v>
      </c>
      <c r="D85" s="14">
        <v>1.5945165837317367E-12</v>
      </c>
      <c r="E85" s="14">
        <v>3.9488594925050696E-5</v>
      </c>
      <c r="F85" s="14">
        <v>6.7035253394870424E-9</v>
      </c>
      <c r="G85" s="14">
        <v>2.9580043663821032E-9</v>
      </c>
      <c r="H85" s="14">
        <v>0</v>
      </c>
      <c r="I85" s="14">
        <v>1.8336613289715228E-8</v>
      </c>
      <c r="J85" s="14">
        <v>4.8340533743713082E-7</v>
      </c>
      <c r="K85" s="14">
        <v>0</v>
      </c>
    </row>
    <row r="86" spans="1:11">
      <c r="A86" s="2" t="s">
        <v>450</v>
      </c>
      <c r="B86" s="3" t="s">
        <v>451</v>
      </c>
      <c r="D86" s="14">
        <v>5.702579823058716E-13</v>
      </c>
      <c r="E86" s="14">
        <v>3.7345133276941332E-5</v>
      </c>
      <c r="F86" s="14">
        <v>1.5564873235071677E-7</v>
      </c>
      <c r="G86" s="14">
        <v>5.4255171845049841E-8</v>
      </c>
      <c r="H86" s="14">
        <v>0</v>
      </c>
      <c r="I86" s="14">
        <v>2.0844150611989265E-8</v>
      </c>
      <c r="J86" s="14">
        <v>2.4241180979929366E-6</v>
      </c>
      <c r="K86" s="14">
        <v>0</v>
      </c>
    </row>
    <row r="87" spans="1:11">
      <c r="A87" s="2" t="s">
        <v>452</v>
      </c>
      <c r="B87" s="3" t="s">
        <v>453</v>
      </c>
      <c r="D87" s="14">
        <v>1.8773436427615665E-12</v>
      </c>
      <c r="E87" s="14">
        <v>2.0144496499558169E-8</v>
      </c>
      <c r="F87" s="14">
        <v>8.2873940885178346E-6</v>
      </c>
      <c r="G87" s="14">
        <v>2.6724743561619903E-5</v>
      </c>
      <c r="H87" s="14">
        <v>0</v>
      </c>
      <c r="I87" s="14">
        <v>2.0163288594310583E-6</v>
      </c>
      <c r="J87" s="14">
        <v>2.951387116588004E-6</v>
      </c>
      <c r="K87" s="14">
        <v>0</v>
      </c>
    </row>
    <row r="88" spans="1:11">
      <c r="A88" s="2" t="s">
        <v>454</v>
      </c>
      <c r="B88" s="3" t="s">
        <v>455</v>
      </c>
      <c r="D88" s="14">
        <v>1.593071804383944E-9</v>
      </c>
      <c r="E88" s="14">
        <v>2.3960064990581104E-5</v>
      </c>
      <c r="F88" s="14">
        <v>4.0936392314348038E-6</v>
      </c>
      <c r="G88" s="14">
        <v>1.0854382492702312E-6</v>
      </c>
      <c r="H88" s="14">
        <v>0</v>
      </c>
      <c r="I88" s="14">
        <v>8.6733470644506229E-8</v>
      </c>
      <c r="J88" s="14">
        <v>1.0772530986264973E-5</v>
      </c>
      <c r="K88" s="14">
        <v>0</v>
      </c>
    </row>
    <row r="89" spans="1:11">
      <c r="A89" s="2" t="s">
        <v>456</v>
      </c>
      <c r="B89" s="3" t="s">
        <v>457</v>
      </c>
      <c r="D89" s="14">
        <v>1.086241875529619E-21</v>
      </c>
      <c r="E89" s="14">
        <v>2.7844484486271681E-5</v>
      </c>
      <c r="F89" s="14">
        <v>2.4831374283067498E-6</v>
      </c>
      <c r="G89" s="14">
        <v>6.9071090296229461E-7</v>
      </c>
      <c r="H89" s="14">
        <v>0</v>
      </c>
      <c r="I89" s="14">
        <v>6.0761618025319736E-8</v>
      </c>
      <c r="J89" s="14">
        <v>8.9209055644339501E-6</v>
      </c>
      <c r="K89" s="14">
        <v>0</v>
      </c>
    </row>
    <row r="90" spans="1:11">
      <c r="A90" s="2" t="s">
        <v>458</v>
      </c>
      <c r="B90" s="3" t="s">
        <v>459</v>
      </c>
      <c r="D90" s="14">
        <v>1.6797672148230379E-33</v>
      </c>
      <c r="E90" s="14">
        <v>3.4516101795287836E-5</v>
      </c>
      <c r="F90" s="14">
        <v>5.9091268837847952E-7</v>
      </c>
      <c r="G90" s="14">
        <v>1.8561747939442428E-7</v>
      </c>
      <c r="H90" s="14">
        <v>0</v>
      </c>
      <c r="I90" s="14">
        <v>2.8600139642997685E-8</v>
      </c>
      <c r="J90" s="14">
        <v>4.6787678972962658E-6</v>
      </c>
      <c r="K90" s="14">
        <v>0</v>
      </c>
    </row>
    <row r="91" spans="1:11">
      <c r="A91" s="2" t="s">
        <v>460</v>
      </c>
      <c r="B91" s="3" t="s">
        <v>461</v>
      </c>
      <c r="D91" s="14">
        <v>1.9729798296336455E-12</v>
      </c>
      <c r="E91" s="14">
        <v>1.325547472380199E-7</v>
      </c>
      <c r="F91" s="14">
        <v>2.0859162155231118E-5</v>
      </c>
      <c r="G91" s="14">
        <v>1.3442882902263004E-5</v>
      </c>
      <c r="H91" s="14">
        <v>0</v>
      </c>
      <c r="I91" s="14">
        <v>9.94463215718043E-7</v>
      </c>
      <c r="J91" s="14">
        <v>4.5709350065699887E-6</v>
      </c>
      <c r="K91" s="14">
        <v>0</v>
      </c>
    </row>
    <row r="92" spans="1:11">
      <c r="A92" s="2" t="s">
        <v>462</v>
      </c>
      <c r="B92" s="3" t="s">
        <v>463</v>
      </c>
      <c r="D92" s="14">
        <v>1.7652300181741572E-13</v>
      </c>
      <c r="E92" s="14">
        <v>7.0429392881956859E-6</v>
      </c>
      <c r="F92" s="14">
        <v>1.662170303955126E-5</v>
      </c>
      <c r="G92" s="14">
        <v>3.6322110422826419E-6</v>
      </c>
      <c r="H92" s="14">
        <v>0</v>
      </c>
      <c r="I92" s="14">
        <v>2.613324418104752E-7</v>
      </c>
      <c r="J92" s="14">
        <v>1.2441814011636932E-5</v>
      </c>
      <c r="K92" s="14">
        <v>0</v>
      </c>
    </row>
    <row r="93" spans="1:11">
      <c r="A93" s="2" t="s">
        <v>464</v>
      </c>
      <c r="B93" s="3" t="s">
        <v>465</v>
      </c>
      <c r="D93" s="14">
        <v>7.8218365535318582E-9</v>
      </c>
      <c r="E93" s="14">
        <v>1.5473244111604601E-6</v>
      </c>
      <c r="F93" s="14">
        <v>2.567928643100819E-5</v>
      </c>
      <c r="G93" s="14">
        <v>4.8604726857236874E-6</v>
      </c>
      <c r="H93" s="14">
        <v>0</v>
      </c>
      <c r="I93" s="14">
        <v>3.5084838957911434E-7</v>
      </c>
      <c r="J93" s="14">
        <v>7.5542462459750226E-6</v>
      </c>
      <c r="K93" s="14">
        <v>0</v>
      </c>
    </row>
    <row r="94" spans="1:11">
      <c r="A94" s="2" t="s">
        <v>466</v>
      </c>
      <c r="B94" s="3" t="s">
        <v>467</v>
      </c>
      <c r="D94" s="14">
        <v>7.3335208808370991E-23</v>
      </c>
      <c r="E94" s="14">
        <v>3.5771507470416587E-5</v>
      </c>
      <c r="F94" s="14">
        <v>4.2000921289881453E-6</v>
      </c>
      <c r="G94" s="14">
        <v>5.5194691626686076E-10</v>
      </c>
      <c r="H94" s="14">
        <v>0</v>
      </c>
      <c r="I94" s="14">
        <v>2.1471548756813586E-8</v>
      </c>
      <c r="J94" s="14">
        <v>6.3769049221911218E-9</v>
      </c>
      <c r="K94" s="14">
        <v>0</v>
      </c>
    </row>
    <row r="95" spans="1:11">
      <c r="A95" s="2" t="s">
        <v>468</v>
      </c>
      <c r="B95" s="3" t="s">
        <v>469</v>
      </c>
      <c r="D95" s="14">
        <v>8.0065647645281523E-23</v>
      </c>
      <c r="E95" s="14">
        <v>3.1237686464511723E-7</v>
      </c>
      <c r="F95" s="14">
        <v>2.776006226329669E-5</v>
      </c>
      <c r="G95" s="14">
        <v>6.8677739364190636E-6</v>
      </c>
      <c r="H95" s="14">
        <v>0</v>
      </c>
      <c r="I95" s="14">
        <v>5.0226653033355138E-7</v>
      </c>
      <c r="J95" s="14">
        <v>4.55752040530558E-6</v>
      </c>
      <c r="K95" s="14">
        <v>0</v>
      </c>
    </row>
    <row r="96" spans="1:11">
      <c r="A96" s="2" t="s">
        <v>470</v>
      </c>
      <c r="B96" s="163">
        <v>354656</v>
      </c>
      <c r="D96" s="14">
        <v>1.4737266579975838E-14</v>
      </c>
      <c r="E96" s="14">
        <v>3.8723052058155199E-5</v>
      </c>
      <c r="F96" s="14">
        <v>3.9290825584182872E-8</v>
      </c>
      <c r="G96" s="14">
        <v>1.5198009433156749E-8</v>
      </c>
      <c r="H96" s="14">
        <v>0</v>
      </c>
      <c r="I96" s="14">
        <v>1.8811530698485417E-8</v>
      </c>
      <c r="J96" s="14">
        <v>1.2036475613917111E-6</v>
      </c>
      <c r="K96" s="14">
        <v>0</v>
      </c>
    </row>
    <row r="97" spans="1:11">
      <c r="A97" s="2" t="s">
        <v>472</v>
      </c>
      <c r="B97" s="3" t="s">
        <v>473</v>
      </c>
      <c r="D97" s="14">
        <v>2.2647837462991763E-14</v>
      </c>
      <c r="E97" s="14">
        <v>3.7239974945768723E-5</v>
      </c>
      <c r="F97" s="14">
        <v>1.6730193132032342E-7</v>
      </c>
      <c r="G97" s="14">
        <v>5.7995795501086404E-8</v>
      </c>
      <c r="H97" s="14">
        <v>0</v>
      </c>
      <c r="I97" s="14">
        <v>2.1052220649262026E-8</v>
      </c>
      <c r="J97" s="14">
        <v>2.5136750841127752E-6</v>
      </c>
      <c r="K97" s="14">
        <v>0</v>
      </c>
    </row>
    <row r="98" spans="1:11">
      <c r="A98" s="2" t="s">
        <v>474</v>
      </c>
      <c r="B98" s="3" t="s">
        <v>475</v>
      </c>
      <c r="D98" s="14">
        <v>1.8564401300264319E-24</v>
      </c>
      <c r="E98" s="14">
        <v>7.2931238449772734E-7</v>
      </c>
      <c r="F98" s="14">
        <v>2.8324037632278253E-5</v>
      </c>
      <c r="G98" s="14">
        <v>5.0355941240809467E-6</v>
      </c>
      <c r="H98" s="14">
        <v>0</v>
      </c>
      <c r="I98" s="14">
        <v>3.6526677418420398E-7</v>
      </c>
      <c r="J98" s="14">
        <v>5.5457890849588677E-6</v>
      </c>
      <c r="K98" s="14">
        <v>0</v>
      </c>
    </row>
    <row r="99" spans="1:11">
      <c r="A99" s="2" t="s">
        <v>476</v>
      </c>
      <c r="B99" s="3" t="s">
        <v>477</v>
      </c>
      <c r="D99" s="14">
        <v>6.9599202572214461E-12</v>
      </c>
      <c r="E99" s="14">
        <v>3.964212296348437E-5</v>
      </c>
      <c r="F99" s="14">
        <v>3.2997305576355726E-9</v>
      </c>
      <c r="G99" s="14">
        <v>1.534525232456729E-9</v>
      </c>
      <c r="H99" s="14">
        <v>0</v>
      </c>
      <c r="I99" s="14">
        <v>1.8311965862721318E-8</v>
      </c>
      <c r="J99" s="14">
        <v>3.3472385494256299E-7</v>
      </c>
      <c r="K99" s="14">
        <v>0</v>
      </c>
    </row>
    <row r="100" spans="1:11">
      <c r="A100" s="2" t="s">
        <v>478</v>
      </c>
      <c r="B100" s="3" t="s">
        <v>479</v>
      </c>
      <c r="D100" s="14">
        <v>2.0370162699560648E-15</v>
      </c>
      <c r="E100" s="14">
        <v>1.635336531004327E-5</v>
      </c>
      <c r="F100" s="14">
        <v>8.3959281369423376E-6</v>
      </c>
      <c r="G100" s="14">
        <v>2.052883329606652E-6</v>
      </c>
      <c r="H100" s="14">
        <v>0</v>
      </c>
      <c r="I100" s="14">
        <v>1.518375076406828E-7</v>
      </c>
      <c r="J100" s="14">
        <v>1.3045985713730044E-5</v>
      </c>
      <c r="K100" s="14">
        <v>0</v>
      </c>
    </row>
    <row r="101" spans="1:11">
      <c r="A101" s="2" t="s">
        <v>480</v>
      </c>
      <c r="B101" s="3" t="s">
        <v>481</v>
      </c>
      <c r="D101" s="14">
        <v>1.872563771066188E-15</v>
      </c>
      <c r="E101" s="14">
        <v>3.9408441254376041E-5</v>
      </c>
      <c r="F101" s="14">
        <v>8.9188904924957812E-9</v>
      </c>
      <c r="G101" s="14">
        <v>3.8530654569765993E-9</v>
      </c>
      <c r="H101" s="14">
        <v>0</v>
      </c>
      <c r="I101" s="14">
        <v>1.8359830148042935E-8</v>
      </c>
      <c r="J101" s="14">
        <v>5.6042695765389273E-7</v>
      </c>
      <c r="K101" s="14">
        <v>0</v>
      </c>
    </row>
    <row r="102" spans="1:11">
      <c r="A102" s="2" t="s">
        <v>482</v>
      </c>
      <c r="B102" s="3" t="s">
        <v>483</v>
      </c>
      <c r="D102" s="14">
        <v>1.1770342000711989E-31</v>
      </c>
      <c r="E102" s="14">
        <v>3.9838384832802656E-5</v>
      </c>
      <c r="F102" s="14">
        <v>6.3659510790501154E-10</v>
      </c>
      <c r="G102" s="14">
        <v>3.3431730114882267E-10</v>
      </c>
      <c r="H102" s="14">
        <v>0</v>
      </c>
      <c r="I102" s="14">
        <v>1.8322436778062079E-8</v>
      </c>
      <c r="J102" s="14">
        <v>1.4232181801023393E-7</v>
      </c>
      <c r="K102" s="14">
        <v>0</v>
      </c>
    </row>
    <row r="103" spans="1:11">
      <c r="A103" s="2" t="s">
        <v>484</v>
      </c>
      <c r="B103" s="3" t="s">
        <v>485</v>
      </c>
      <c r="D103" s="14">
        <v>9.3880204560291008E-18</v>
      </c>
      <c r="E103" s="14">
        <v>3.9653056406008243E-5</v>
      </c>
      <c r="F103" s="14">
        <v>3.1006178444503887E-9</v>
      </c>
      <c r="G103" s="14">
        <v>1.4485843785910887E-9</v>
      </c>
      <c r="H103" s="14">
        <v>0</v>
      </c>
      <c r="I103" s="14">
        <v>1.8311259200413591E-8</v>
      </c>
      <c r="J103" s="14">
        <v>3.2408313255892158E-7</v>
      </c>
      <c r="K103" s="14">
        <v>0</v>
      </c>
    </row>
    <row r="104" spans="1:11">
      <c r="A104" s="2" t="s">
        <v>486</v>
      </c>
      <c r="B104" s="3" t="s">
        <v>487</v>
      </c>
      <c r="D104" s="14">
        <v>1.1552971114217543E-13</v>
      </c>
      <c r="E104" s="14">
        <v>3.804226163045535E-5</v>
      </c>
      <c r="F104" s="14">
        <v>8.8098375927785081E-8</v>
      </c>
      <c r="G104" s="14">
        <v>3.206737848722065E-8</v>
      </c>
      <c r="H104" s="14">
        <v>0</v>
      </c>
      <c r="I104" s="14">
        <v>1.9646971259039812E-8</v>
      </c>
      <c r="J104" s="14">
        <v>1.8179255283408999E-6</v>
      </c>
      <c r="K104" s="14">
        <v>0</v>
      </c>
    </row>
    <row r="105" spans="1:11">
      <c r="A105" s="2" t="s">
        <v>488</v>
      </c>
      <c r="B105" s="3" t="s">
        <v>489</v>
      </c>
      <c r="D105" s="14">
        <v>9.3608549744926222E-21</v>
      </c>
      <c r="E105" s="14">
        <v>3.9809631491286472E-5</v>
      </c>
      <c r="F105" s="14">
        <v>9.0279621946376718E-10</v>
      </c>
      <c r="G105" s="14">
        <v>4.6204607690945004E-10</v>
      </c>
      <c r="H105" s="14">
        <v>0</v>
      </c>
      <c r="I105" s="14">
        <v>1.8317659815947479E-8</v>
      </c>
      <c r="J105" s="14">
        <v>1.7068600660120585E-7</v>
      </c>
      <c r="K105" s="14">
        <v>0</v>
      </c>
    </row>
    <row r="106" spans="1:11">
      <c r="A106" s="2" t="s">
        <v>490</v>
      </c>
      <c r="B106" s="3" t="s">
        <v>491</v>
      </c>
      <c r="D106" s="14">
        <v>5.0858194192973923E-13</v>
      </c>
      <c r="E106" s="14">
        <v>3.2955930348017848E-5</v>
      </c>
      <c r="F106" s="14">
        <v>9.3032598328901858E-7</v>
      </c>
      <c r="G106" s="14">
        <v>2.8166358716991411E-7</v>
      </c>
      <c r="H106" s="14">
        <v>0</v>
      </c>
      <c r="I106" s="14">
        <v>3.4545141812028534E-8</v>
      </c>
      <c r="J106" s="14">
        <v>5.7975344311292488E-6</v>
      </c>
      <c r="K106" s="14">
        <v>0</v>
      </c>
    </row>
    <row r="107" spans="1:11">
      <c r="A107" s="2" t="s">
        <v>492</v>
      </c>
      <c r="B107" s="3" t="s">
        <v>493</v>
      </c>
      <c r="D107" s="14">
        <v>8.7239622753882426E-21</v>
      </c>
      <c r="E107" s="14">
        <v>5.4220862223345659E-7</v>
      </c>
      <c r="F107" s="14">
        <v>2.9146606237182811E-5</v>
      </c>
      <c r="G107" s="14">
        <v>5.059219814483776E-6</v>
      </c>
      <c r="H107" s="14">
        <v>0</v>
      </c>
      <c r="I107" s="14">
        <v>3.6773450622308091E-7</v>
      </c>
      <c r="J107" s="14">
        <v>4.8842308198768636E-6</v>
      </c>
      <c r="K107" s="14">
        <v>0</v>
      </c>
    </row>
    <row r="108" spans="1:11">
      <c r="A108" s="2" t="s">
        <v>291</v>
      </c>
      <c r="B108" s="3" t="s">
        <v>494</v>
      </c>
      <c r="D108" s="14">
        <v>1.1733869114423255E-14</v>
      </c>
      <c r="E108" s="14">
        <v>1.8831888759991925E-5</v>
      </c>
      <c r="F108" s="14">
        <v>6.8126402245018958E-6</v>
      </c>
      <c r="G108" s="14">
        <v>1.7092713365300881E-6</v>
      </c>
      <c r="H108" s="14">
        <v>0</v>
      </c>
      <c r="I108" s="14">
        <v>1.285255685990979E-7</v>
      </c>
      <c r="J108" s="14">
        <v>1.2517674098643129E-5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08"/>
  <sheetViews>
    <sheetView tabSelected="1" topLeftCell="A100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4.3899264779049341E-8</v>
      </c>
      <c r="B2">
        <f>'Mass Balance'!E2</f>
        <v>3.0900844591906435E-5</v>
      </c>
      <c r="C2">
        <f>SUM('Mass Balance'!E2:H2)</f>
        <v>3.2805204106910838E-5</v>
      </c>
      <c r="D2">
        <f>Concentrations!F2/Concentrations!E2</f>
        <v>0.94563593622416298</v>
      </c>
    </row>
    <row r="3" spans="1:4">
      <c r="A3">
        <f>'Mass Balance'!I3</f>
        <v>1.9114214588489914E-6</v>
      </c>
      <c r="B3">
        <f>'Mass Balance'!E3</f>
        <v>2.5269718812649448E-8</v>
      </c>
      <c r="C3">
        <f>SUM('Mass Balance'!E3:H3)</f>
        <v>3.4783850360676252E-5</v>
      </c>
      <c r="D3">
        <f>Concentrations!F3/Concentrations!E3</f>
        <v>7.2932166972692746E-4</v>
      </c>
    </row>
    <row r="4" spans="1:4">
      <c r="A4">
        <f>'Mass Balance'!I4</f>
        <v>1.7497195882319246E-7</v>
      </c>
      <c r="B4">
        <f>'Mass Balance'!E4</f>
        <v>1.4095811688522884E-5</v>
      </c>
      <c r="C4">
        <f>SUM('Mass Balance'!E4:H4)</f>
        <v>2.6503935373880361E-5</v>
      </c>
      <c r="D4">
        <f>Concentrations!F4/Concentrations!E4</f>
        <v>0.53391987495413595</v>
      </c>
    </row>
    <row r="5" spans="1:4">
      <c r="A5">
        <f>'Mass Balance'!I5</f>
        <v>5.6924499802295529E-7</v>
      </c>
      <c r="B5">
        <f>'Mass Balance'!E5</f>
        <v>2.7388437315805957E-7</v>
      </c>
      <c r="C5">
        <f>SUM('Mass Balance'!E5:H5)</f>
        <v>3.4814132164141931E-5</v>
      </c>
      <c r="D5">
        <f>Concentrations!F5/Concentrations!E5</f>
        <v>7.8978347458445244E-3</v>
      </c>
    </row>
    <row r="6" spans="1:4">
      <c r="A6">
        <f>'Mass Balance'!I6</f>
        <v>2.2270147353139047E-6</v>
      </c>
      <c r="B6">
        <f>'Mass Balance'!E6</f>
        <v>1.1306555881367188E-8</v>
      </c>
      <c r="C6">
        <f>SUM('Mass Balance'!E6:H6)</f>
        <v>3.5355180862388816E-5</v>
      </c>
      <c r="D6">
        <f>Concentrations!F6/Concentrations!E6</f>
        <v>3.2105070844138669E-4</v>
      </c>
    </row>
    <row r="7" spans="1:4">
      <c r="A7">
        <f>'Mass Balance'!I7</f>
        <v>1.9679202118565129E-6</v>
      </c>
      <c r="B7">
        <f>'Mass Balance'!E7</f>
        <v>2.2616587781887369E-8</v>
      </c>
      <c r="C7">
        <f>SUM('Mass Balance'!E7:H7)</f>
        <v>3.496707457690704E-5</v>
      </c>
      <c r="D7">
        <f>Concentrations!F7/Concentrations!E7</f>
        <v>6.4932802139476564E-4</v>
      </c>
    </row>
    <row r="8" spans="1:4">
      <c r="A8">
        <f>'Mass Balance'!I8</f>
        <v>1.5732826374020686E-6</v>
      </c>
      <c r="B8">
        <f>'Mass Balance'!E8</f>
        <v>5.0497127115729512E-8</v>
      </c>
      <c r="C8">
        <f>SUM('Mass Balance'!E8:H8)</f>
        <v>3.4564418087988766E-5</v>
      </c>
      <c r="D8">
        <f>Concentrations!F8/Concentrations!E8</f>
        <v>1.4666746427414962E-3</v>
      </c>
    </row>
    <row r="9" spans="1:4">
      <c r="A9">
        <f>'Mass Balance'!I9</f>
        <v>3.3596643731152501E-7</v>
      </c>
      <c r="B9">
        <f>'Mass Balance'!E9</f>
        <v>2.3602732022560442E-6</v>
      </c>
      <c r="C9">
        <f>SUM('Mass Balance'!E9:H9)</f>
        <v>3.078083870279754E-5</v>
      </c>
      <c r="D9">
        <f>Concentrations!F9/Concentrations!E9</f>
        <v>7.6980049987451268E-2</v>
      </c>
    </row>
    <row r="10" spans="1:4">
      <c r="A10">
        <f>'Mass Balance'!I10</f>
        <v>6.0852338724748387E-7</v>
      </c>
      <c r="B10">
        <f>'Mass Balance'!E10</f>
        <v>2.5452878246521529E-7</v>
      </c>
      <c r="C10">
        <f>SUM('Mass Balance'!E10:H10)</f>
        <v>3.4756875313545472E-5</v>
      </c>
      <c r="D10">
        <f>Concentrations!F10/Concentrations!E10</f>
        <v>7.3517805761136139E-3</v>
      </c>
    </row>
    <row r="11" spans="1:4">
      <c r="A11">
        <f>'Mass Balance'!I11</f>
        <v>6.7794705292017319E-7</v>
      </c>
      <c r="B11">
        <f>'Mass Balance'!E11</f>
        <v>2.2454541900574491E-7</v>
      </c>
      <c r="C11">
        <f>SUM('Mass Balance'!E11:H11)</f>
        <v>3.4661152082851038E-5</v>
      </c>
      <c r="D11">
        <f>Concentrations!F11/Concentrations!E11</f>
        <v>6.5036560878853995E-3</v>
      </c>
    </row>
    <row r="12" spans="1:4">
      <c r="A12">
        <f>'Mass Balance'!I12</f>
        <v>3.5150802334001367E-7</v>
      </c>
      <c r="B12">
        <f>'Mass Balance'!E12</f>
        <v>1.5145409071051811E-6</v>
      </c>
      <c r="C12">
        <f>SUM('Mass Balance'!E12:H12)</f>
        <v>3.2155193777050646E-5</v>
      </c>
      <c r="D12">
        <f>Concentrations!F12/Concentrations!E12</f>
        <v>4.7285309840487087E-2</v>
      </c>
    </row>
    <row r="13" spans="1:4">
      <c r="A13">
        <f>'Mass Balance'!I13</f>
        <v>3.376812776874086E-7</v>
      </c>
      <c r="B13">
        <f>'Mass Balance'!E13</f>
        <v>2.2644597537763473E-6</v>
      </c>
      <c r="C13">
        <f>SUM('Mass Balance'!E13:H13)</f>
        <v>3.0912361500084951E-5</v>
      </c>
      <c r="D13">
        <f>Concentrations!F13/Concentrations!E13</f>
        <v>7.3540873690213074E-2</v>
      </c>
    </row>
    <row r="14" spans="1:4">
      <c r="A14">
        <f>'Mass Balance'!I14</f>
        <v>9.2420061451486843E-7</v>
      </c>
      <c r="B14">
        <f>'Mass Balance'!E14</f>
        <v>1.4847848357334304E-7</v>
      </c>
      <c r="C14">
        <f>SUM('Mass Balance'!E14:H14)</f>
        <v>3.4460586786419488E-5</v>
      </c>
      <c r="D14">
        <f>Concentrations!F14/Concentrations!E14</f>
        <v>4.3255089750456246E-3</v>
      </c>
    </row>
    <row r="15" spans="1:4">
      <c r="A15">
        <f>'Mass Balance'!I15</f>
        <v>6.426220397138672E-7</v>
      </c>
      <c r="B15">
        <f>'Mass Balance'!E15</f>
        <v>2.3918844628563861E-7</v>
      </c>
      <c r="C15">
        <f>SUM('Mass Balance'!E15:H15)</f>
        <v>3.4708905299554709E-5</v>
      </c>
      <c r="D15">
        <f>Concentrations!F15/Concentrations!E15</f>
        <v>6.9182403118300565E-3</v>
      </c>
    </row>
    <row r="16" spans="1:4">
      <c r="A16">
        <f>'Mass Balance'!I16</f>
        <v>1.5537789267579082E-6</v>
      </c>
      <c r="B16">
        <f>'Mass Balance'!E16</f>
        <v>5.2254464742481833E-8</v>
      </c>
      <c r="C16">
        <f>SUM('Mass Balance'!E16:H16)</f>
        <v>3.4542313452925625E-5</v>
      </c>
      <c r="D16">
        <f>Concentrations!F16/Concentrations!E16</f>
        <v>1.5186872432767799E-3</v>
      </c>
    </row>
    <row r="17" spans="1:4">
      <c r="A17">
        <f>'Mass Balance'!I17</f>
        <v>5.8215813911529632E-7</v>
      </c>
      <c r="B17">
        <f>'Mass Balance'!E17</f>
        <v>2.6732510683587369E-7</v>
      </c>
      <c r="C17">
        <f>SUM('Mass Balance'!E17:H17)</f>
        <v>3.4796328310457932E-5</v>
      </c>
      <c r="D17">
        <f>Concentrations!F17/Concentrations!E17</f>
        <v>7.7126334484831222E-3</v>
      </c>
    </row>
    <row r="18" spans="1:4">
      <c r="A18">
        <f>'Mass Balance'!I18</f>
        <v>3.2650963124167726E-7</v>
      </c>
      <c r="B18">
        <f>'Mass Balance'!E18</f>
        <v>2.8278850737409781E-6</v>
      </c>
      <c r="C18">
        <f>SUM('Mass Balance'!E18:H18)</f>
        <v>3.0091425695171608E-5</v>
      </c>
      <c r="D18">
        <f>Concentrations!F18/Concentrations!E18</f>
        <v>9.4344231965447375E-2</v>
      </c>
    </row>
    <row r="19" spans="1:4">
      <c r="A19">
        <f>'Mass Balance'!I19</f>
        <v>6.4959564128009628E-7</v>
      </c>
      <c r="B19">
        <f>'Mass Balance'!E19</f>
        <v>2.3620687676264381E-7</v>
      </c>
      <c r="C19">
        <f>SUM('Mass Balance'!E19:H19)</f>
        <v>3.4699649707453244E-5</v>
      </c>
      <c r="D19">
        <f>Concentrations!F19/Concentrations!E19</f>
        <v>6.8338243025118008E-3</v>
      </c>
    </row>
    <row r="20" spans="1:4">
      <c r="A20">
        <f>'Mass Balance'!I20</f>
        <v>3.3772623933939203E-7</v>
      </c>
      <c r="B20">
        <f>'Mass Balance'!E20</f>
        <v>2.2647612625010159E-6</v>
      </c>
      <c r="C20">
        <f>SUM('Mass Balance'!E20:H20)</f>
        <v>3.0916477425164574E-5</v>
      </c>
      <c r="D20">
        <f>Concentrations!F20/Concentrations!E20</f>
        <v>7.3540873690213074E-2</v>
      </c>
    </row>
    <row r="21" spans="1:4">
      <c r="A21">
        <f>'Mass Balance'!I21</f>
        <v>8.4789592677009282E-7</v>
      </c>
      <c r="B21">
        <f>'Mass Balance'!E21</f>
        <v>1.6806032673468009E-7</v>
      </c>
      <c r="C21">
        <f>SUM('Mass Balance'!E21:H21)</f>
        <v>3.449083495210123E-5</v>
      </c>
      <c r="D21">
        <f>Concentrations!F21/Concentrations!E21</f>
        <v>4.8916779614992965E-3</v>
      </c>
    </row>
    <row r="22" spans="1:4">
      <c r="A22">
        <f>'Mass Balance'!I22</f>
        <v>9.7771983352948413E-8</v>
      </c>
      <c r="B22">
        <f>'Mass Balance'!E22</f>
        <v>2.2431757849066894E-5</v>
      </c>
      <c r="C22">
        <f>SUM('Mass Balance'!E22:H22)</f>
        <v>2.8483335270007112E-5</v>
      </c>
      <c r="D22">
        <f>Concentrations!F22/Concentrations!E22</f>
        <v>0.79062187913500215</v>
      </c>
    </row>
    <row r="23" spans="1:4">
      <c r="A23">
        <f>'Mass Balance'!I23</f>
        <v>5.7567857493637276E-8</v>
      </c>
      <c r="B23">
        <f>'Mass Balance'!E23</f>
        <v>2.8377711677269423E-5</v>
      </c>
      <c r="C23">
        <f>SUM('Mass Balance'!E23:H23)</f>
        <v>3.1309163571129739E-5</v>
      </c>
      <c r="D23">
        <f>Concentrations!F23/Concentrations!E23</f>
        <v>0.90991802583642012</v>
      </c>
    </row>
    <row r="24" spans="1:4">
      <c r="A24">
        <f>'Mass Balance'!I24</f>
        <v>2.6296820060357637E-7</v>
      </c>
      <c r="B24">
        <f>'Mass Balance'!E24</f>
        <v>6.9255107187329132E-6</v>
      </c>
      <c r="C24">
        <f>SUM('Mass Balance'!E24:H24)</f>
        <v>2.7339292399166837E-5</v>
      </c>
      <c r="D24">
        <f>Concentrations!F24/Concentrations!E24</f>
        <v>0.25430851284398492</v>
      </c>
    </row>
    <row r="25" spans="1:4">
      <c r="A25">
        <f>'Mass Balance'!I25</f>
        <v>3.588303144482732E-7</v>
      </c>
      <c r="B25">
        <f>'Mass Balance'!E25</f>
        <v>8.2404696461918084E-7</v>
      </c>
      <c r="C25">
        <f>SUM('Mass Balance'!E25:H25)</f>
        <v>3.3319873357533351E-5</v>
      </c>
      <c r="D25">
        <f>Concentrations!F25/Concentrations!E25</f>
        <v>2.4828185657071931E-2</v>
      </c>
    </row>
    <row r="26" spans="1:4">
      <c r="A26">
        <f>'Mass Balance'!I26</f>
        <v>7.9928144213606317E-7</v>
      </c>
      <c r="B26">
        <f>'Mass Balance'!E26</f>
        <v>1.8223767827284945E-7</v>
      </c>
      <c r="C26">
        <f>SUM('Mass Balance'!E26:H26)</f>
        <v>3.4529939174934871E-5</v>
      </c>
      <c r="D26">
        <f>Concentrations!F26/Concentrations!E26</f>
        <v>5.2983265655727274E-3</v>
      </c>
    </row>
    <row r="27" spans="1:4">
      <c r="A27">
        <f>'Mass Balance'!I27</f>
        <v>1.8708815779876338E-6</v>
      </c>
      <c r="B27">
        <f>'Mass Balance'!E27</f>
        <v>2.7795664682214684E-8</v>
      </c>
      <c r="C27">
        <f>SUM('Mass Balance'!E27:H27)</f>
        <v>3.4770028983869532E-5</v>
      </c>
      <c r="D27">
        <f>Concentrations!F27/Concentrations!E27</f>
        <v>8.0254311530271677E-4</v>
      </c>
    </row>
    <row r="28" spans="1:4">
      <c r="A28">
        <f>'Mass Balance'!I28</f>
        <v>1.1692284142189645E-6</v>
      </c>
      <c r="B28">
        <f>'Mass Balance'!E28</f>
        <v>1.0002556347135214E-7</v>
      </c>
      <c r="C28">
        <f>SUM('Mass Balance'!E28:H28)</f>
        <v>3.4407118589780273E-5</v>
      </c>
      <c r="D28">
        <f>Concentrations!F28/Concentrations!E28</f>
        <v>2.918495745467104E-3</v>
      </c>
    </row>
    <row r="29" spans="1:4">
      <c r="A29">
        <f>'Mass Balance'!I29</f>
        <v>8.744737425036551E-7</v>
      </c>
      <c r="B29">
        <f>'Mass Balance'!E29</f>
        <v>1.5067899498651312E-7</v>
      </c>
      <c r="C29">
        <f>SUM('Mass Balance'!E29:H29)</f>
        <v>3.3551741916352855E-5</v>
      </c>
      <c r="D29">
        <f>Concentrations!F29/Concentrations!E29</f>
        <v>4.5085200424820797E-3</v>
      </c>
    </row>
    <row r="30" spans="1:4">
      <c r="A30">
        <f>'Mass Balance'!I30</f>
        <v>1.1692284142189645E-6</v>
      </c>
      <c r="B30">
        <f>'Mass Balance'!E30</f>
        <v>1.0002556347135214E-7</v>
      </c>
      <c r="C30">
        <f>SUM('Mass Balance'!E30:H30)</f>
        <v>3.4407118589780273E-5</v>
      </c>
      <c r="D30">
        <f>Concentrations!F30/Concentrations!E30</f>
        <v>2.918495745467104E-3</v>
      </c>
    </row>
    <row r="31" spans="1:4">
      <c r="A31">
        <f>'Mass Balance'!I31</f>
        <v>1.8568059833803934E-8</v>
      </c>
      <c r="B31">
        <f>'Mass Balance'!E31</f>
        <v>3.9013367217316363E-5</v>
      </c>
      <c r="C31">
        <f>SUM('Mass Balance'!E31:H31)</f>
        <v>3.9047008588682934E-5</v>
      </c>
      <c r="D31">
        <f>Concentrations!F31/Concentrations!E31</f>
        <v>1.0030487243621815</v>
      </c>
    </row>
    <row r="32" spans="1:4">
      <c r="A32">
        <f>'Mass Balance'!I32</f>
        <v>1.4460289637599701E-7</v>
      </c>
      <c r="B32">
        <f>'Mass Balance'!E32</f>
        <v>1.7318182877625728E-5</v>
      </c>
      <c r="C32">
        <f>SUM('Mass Balance'!E32:H32)</f>
        <v>2.7023019308964884E-5</v>
      </c>
      <c r="D32">
        <f>Concentrations!F32/Concentrations!E32</f>
        <v>0.64337593466145504</v>
      </c>
    </row>
    <row r="33" spans="1:4">
      <c r="A33">
        <f>'Mass Balance'!I33</f>
        <v>1.8539294950372495E-8</v>
      </c>
      <c r="B33">
        <f>'Mass Balance'!E33</f>
        <v>3.9811111220877576E-5</v>
      </c>
      <c r="C33">
        <f>SUM('Mass Balance'!E33:H33)</f>
        <v>3.997917675424477E-5</v>
      </c>
      <c r="D33">
        <f>Concentrations!F33/Concentrations!E33</f>
        <v>0.99969337789726764</v>
      </c>
    </row>
    <row r="34" spans="1:4">
      <c r="A34">
        <f>'Mass Balance'!I34</f>
        <v>2.9138280509790888E-8</v>
      </c>
      <c r="B34">
        <f>'Mass Balance'!E34</f>
        <v>2.1888841962253685E-5</v>
      </c>
      <c r="C34">
        <f>SUM('Mass Balance'!E34:H34)</f>
        <v>3.9963081133650413E-5</v>
      </c>
      <c r="D34">
        <f>Concentrations!F34/Concentrations!E34</f>
        <v>0.54987019915558155</v>
      </c>
    </row>
    <row r="35" spans="1:4">
      <c r="A35">
        <f>'Mass Balance'!I35</f>
        <v>3.3006576336283385E-8</v>
      </c>
      <c r="B35">
        <f>'Mass Balance'!E35</f>
        <v>1.2957231018787831E-5</v>
      </c>
      <c r="C35">
        <f>SUM('Mass Balance'!E35:H35)</f>
        <v>3.9948162408236332E-5</v>
      </c>
      <c r="D35">
        <f>Concentrations!F35/Concentrations!E35</f>
        <v>0.32562051399863756</v>
      </c>
    </row>
    <row r="36" spans="1:4">
      <c r="A36">
        <f>'Mass Balance'!I36</f>
        <v>3.4923981509733846E-8</v>
      </c>
      <c r="B36">
        <f>'Mass Balance'!E36</f>
        <v>4.3218935404539156E-6</v>
      </c>
      <c r="C36">
        <f>SUM('Mass Balance'!E36:H36)</f>
        <v>3.9944030227459515E-5</v>
      </c>
      <c r="D36">
        <f>Concentrations!F36/Concentrations!E36</f>
        <v>0.10862218771257093</v>
      </c>
    </row>
    <row r="37" spans="1:4">
      <c r="A37">
        <f>'Mass Balance'!I37</f>
        <v>9.3909243183335416E-8</v>
      </c>
      <c r="B37">
        <f>'Mass Balance'!E37</f>
        <v>8.3075367769794531E-6</v>
      </c>
      <c r="C37">
        <f>SUM('Mass Balance'!E37:H37)</f>
        <v>3.7082407501620286E-5</v>
      </c>
      <c r="D37">
        <f>Concentrations!F37/Concentrations!E37</f>
        <v>0.22490582970047907</v>
      </c>
    </row>
    <row r="38" spans="1:4">
      <c r="A38">
        <f>'Mass Balance'!I38</f>
        <v>2.8543483247674003E-8</v>
      </c>
      <c r="B38">
        <f>'Mass Balance'!E38</f>
        <v>2.4511823808297515E-5</v>
      </c>
      <c r="C38">
        <f>SUM('Mass Balance'!E38:H38)</f>
        <v>3.9896199520699196E-5</v>
      </c>
      <c r="D38">
        <f>Concentrations!F38/Concentrations!E38</f>
        <v>0.61679445598249327</v>
      </c>
    </row>
    <row r="39" spans="1:4">
      <c r="A39">
        <f>'Mass Balance'!I39</f>
        <v>3.7721821342229703E-7</v>
      </c>
      <c r="B39">
        <f>'Mass Balance'!E39</f>
        <v>4.1070060103306531E-7</v>
      </c>
      <c r="C39">
        <f>SUM('Mass Balance'!E39:H39)</f>
        <v>3.5239572274824174E-5</v>
      </c>
      <c r="D39">
        <f>Concentrations!F39/Concentrations!E39</f>
        <v>1.1700140373438878E-2</v>
      </c>
    </row>
    <row r="40" spans="1:4">
      <c r="A40">
        <f>'Mass Balance'!I40</f>
        <v>2.3092388797962935E-6</v>
      </c>
      <c r="B40">
        <f>'Mass Balance'!E40</f>
        <v>3.8371031339667412E-8</v>
      </c>
      <c r="C40">
        <f>SUM('Mass Balance'!E40:H40)</f>
        <v>3.7580627971897948E-5</v>
      </c>
      <c r="D40">
        <f>Concentrations!F40/Concentrations!E40</f>
        <v>1.0250281720648683E-3</v>
      </c>
    </row>
    <row r="41" spans="1:4">
      <c r="A41">
        <f>'Mass Balance'!I41</f>
        <v>1.6816426908378835E-8</v>
      </c>
      <c r="B41">
        <f>'Mass Balance'!E41</f>
        <v>3.6527481107835521E-5</v>
      </c>
      <c r="C41">
        <f>SUM('Mass Balance'!E41:H41)</f>
        <v>3.6529159169100259E-5</v>
      </c>
      <c r="D41">
        <f>Concentrations!F41/Concentrations!E41</f>
        <v>1.0038675396339611</v>
      </c>
    </row>
    <row r="42" spans="1:4">
      <c r="A42">
        <f>'Mass Balance'!I42</f>
        <v>1.10340556198365E-7</v>
      </c>
      <c r="B42">
        <f>'Mass Balance'!E42</f>
        <v>2.0937360428569457E-5</v>
      </c>
      <c r="C42">
        <f>SUM('Mass Balance'!E42:H42)</f>
        <v>2.7987336901150838E-5</v>
      </c>
      <c r="D42">
        <f>Concentrations!F42/Concentrations!E42</f>
        <v>0.75102901537292643</v>
      </c>
    </row>
    <row r="43" spans="1:4">
      <c r="A43">
        <f>'Mass Balance'!I43</f>
        <v>7.034394404097635E-8</v>
      </c>
      <c r="B43">
        <f>'Mass Balance'!E43</f>
        <v>3.520758153721449E-7</v>
      </c>
      <c r="C43">
        <f>SUM('Mass Balance'!E43:H43)</f>
        <v>3.9912806955466979E-5</v>
      </c>
      <c r="D43">
        <f>Concentrations!F43/Concentrations!E43</f>
        <v>8.855646753836037E-3</v>
      </c>
    </row>
    <row r="44" spans="1:4">
      <c r="A44">
        <f>'Mass Balance'!I44</f>
        <v>3.0333786223941638E-8</v>
      </c>
      <c r="B44">
        <f>'Mass Balance'!E44</f>
        <v>3.046353985367555E-5</v>
      </c>
      <c r="C44">
        <f>SUM('Mass Balance'!E44:H44)</f>
        <v>3.1478973270765385E-5</v>
      </c>
      <c r="D44">
        <f>Concentrations!F44/Concentrations!E44</f>
        <v>0.97152989827926495</v>
      </c>
    </row>
    <row r="45" spans="1:4">
      <c r="A45">
        <f>'Mass Balance'!I45</f>
        <v>1.2218043801693404E-7</v>
      </c>
      <c r="B45">
        <f>'Mass Balance'!E45</f>
        <v>1.9525320815797776E-5</v>
      </c>
      <c r="C45">
        <f>SUM('Mass Balance'!E45:H45)</f>
        <v>2.7531863993824264E-5</v>
      </c>
      <c r="D45">
        <f>Concentrations!F45/Concentrations!E45</f>
        <v>0.71196546040949049</v>
      </c>
    </row>
    <row r="46" spans="1:4">
      <c r="A46">
        <f>'Mass Balance'!I46</f>
        <v>1.1448349088460926E-7</v>
      </c>
      <c r="B46">
        <f>'Mass Balance'!E46</f>
        <v>2.0374634228781793E-5</v>
      </c>
      <c r="C46">
        <f>SUM('Mass Balance'!E46:H46)</f>
        <v>2.7761270185400119E-5</v>
      </c>
      <c r="D46">
        <f>Concentrations!F46/Concentrations!E46</f>
        <v>0.73679530590858944</v>
      </c>
    </row>
    <row r="47" spans="1:4">
      <c r="A47">
        <f>'Mass Balance'!I47</f>
        <v>1.9180598805370634E-6</v>
      </c>
      <c r="B47">
        <f>'Mass Balance'!E47</f>
        <v>2.5357481272697577E-8</v>
      </c>
      <c r="C47">
        <f>SUM('Mass Balance'!E47:H47)</f>
        <v>3.4904655673162387E-5</v>
      </c>
      <c r="D47">
        <f>Concentrations!F47/Concentrations!E47</f>
        <v>7.2932166972692735E-4</v>
      </c>
    </row>
    <row r="48" spans="1:4">
      <c r="A48">
        <f>'Mass Balance'!I48</f>
        <v>2.2342822917423784E-8</v>
      </c>
      <c r="B48">
        <f>'Mass Balance'!E48</f>
        <v>3.6109616265691245E-5</v>
      </c>
      <c r="C48">
        <f>SUM('Mass Balance'!E48:H48)</f>
        <v>3.6445245168814538E-5</v>
      </c>
      <c r="D48">
        <f>Concentrations!F48/Concentrations!E48</f>
        <v>0.99466848831057531</v>
      </c>
    </row>
    <row r="49" spans="1:4">
      <c r="A49">
        <f>'Mass Balance'!I49</f>
        <v>2.5670675275039269E-8</v>
      </c>
      <c r="B49">
        <f>'Mass Balance'!E49</f>
        <v>3.4457012378546768E-5</v>
      </c>
      <c r="C49">
        <f>SUM('Mass Balance'!E49:H49)</f>
        <v>3.5048674801871052E-5</v>
      </c>
      <c r="D49">
        <f>Concentrations!F49/Concentrations!E49</f>
        <v>0.98696642602903817</v>
      </c>
    </row>
    <row r="50" spans="1:4">
      <c r="A50">
        <f>'Mass Balance'!I50</f>
        <v>3.2228959640811469E-7</v>
      </c>
      <c r="B50">
        <f>'Mass Balance'!E50</f>
        <v>2.9929235580604276E-6</v>
      </c>
      <c r="C50">
        <f>SUM('Mass Balance'!E50:H50)</f>
        <v>2.9786857500603712E-5</v>
      </c>
      <c r="D50">
        <f>Concentrations!F50/Concentrations!E50</f>
        <v>0.1008712259839544</v>
      </c>
    </row>
    <row r="51" spans="1:4">
      <c r="A51">
        <f>'Mass Balance'!I51</f>
        <v>1.7641549309605129E-8</v>
      </c>
      <c r="B51">
        <f>'Mass Balance'!E51</f>
        <v>3.6122418111715041E-5</v>
      </c>
      <c r="C51">
        <f>SUM('Mass Balance'!E51:H51)</f>
        <v>3.6178479594888446E-5</v>
      </c>
      <c r="D51">
        <f>Concentrations!F51/Concentrations!E51</f>
        <v>1.0023580115112072</v>
      </c>
    </row>
    <row r="52" spans="1:4">
      <c r="A52">
        <f>'Mass Balance'!I52</f>
        <v>4.0381912651324935E-8</v>
      </c>
      <c r="B52">
        <f>'Mass Balance'!E52</f>
        <v>2.8875676024886759E-5</v>
      </c>
      <c r="C52">
        <f>SUM('Mass Balance'!E52:H52)</f>
        <v>3.0612002288616885E-5</v>
      </c>
      <c r="D52">
        <f>Concentrations!F52/Concentrations!E52</f>
        <v>0.94697123184535292</v>
      </c>
    </row>
    <row r="53" spans="1:4">
      <c r="A53">
        <f>'Mass Balance'!I53</f>
        <v>1.6383559826588029E-7</v>
      </c>
      <c r="B53">
        <f>'Mass Balance'!E53</f>
        <v>1.5098579719257516E-5</v>
      </c>
      <c r="C53">
        <f>SUM('Mass Balance'!E53:H53)</f>
        <v>2.6562187039968929E-5</v>
      </c>
      <c r="D53">
        <f>Concentrations!F53/Concentrations!E53</f>
        <v>0.57064843187288916</v>
      </c>
    </row>
    <row r="54" spans="1:4">
      <c r="A54">
        <f>'Mass Balance'!I54</f>
        <v>1.7598586760868246E-6</v>
      </c>
      <c r="B54">
        <f>'Mass Balance'!E54</f>
        <v>3.5415518147738053E-8</v>
      </c>
      <c r="C54">
        <f>SUM('Mass Balance'!E54:H54)</f>
        <v>3.4722965188958851E-5</v>
      </c>
      <c r="D54">
        <f>Concentrations!F54/Concentrations!E54</f>
        <v>1.0239368137133337E-3</v>
      </c>
    </row>
    <row r="55" spans="1:4">
      <c r="A55">
        <f>'Mass Balance'!I55</f>
        <v>2.365906233011954E-7</v>
      </c>
      <c r="B55">
        <f>'Mass Balance'!E55</f>
        <v>5.4252097400253876E-6</v>
      </c>
      <c r="C55">
        <f>SUM('Mass Balance'!E55:H55)</f>
        <v>2.3968746998882409E-5</v>
      </c>
      <c r="D55">
        <f>Concentrations!F55/Concentrations!E55</f>
        <v>0.22723099168919017</v>
      </c>
    </row>
    <row r="56" spans="1:4">
      <c r="A56">
        <f>'Mass Balance'!I56</f>
        <v>1.3913146103932428E-7</v>
      </c>
      <c r="B56">
        <f>'Mass Balance'!E56</f>
        <v>6.42862399999015E-7</v>
      </c>
      <c r="C56">
        <f>SUM('Mass Balance'!E56:H56)</f>
        <v>1.2719256957611901E-5</v>
      </c>
      <c r="D56">
        <f>Concentrations!F56/Concentrations!E56</f>
        <v>5.0740255117251006E-2</v>
      </c>
    </row>
    <row r="57" spans="1:4">
      <c r="A57">
        <f>'Mass Balance'!I57</f>
        <v>6.8533327307195481E-8</v>
      </c>
      <c r="B57">
        <f>'Mass Balance'!E57</f>
        <v>1.1634553760531757E-6</v>
      </c>
      <c r="C57">
        <f>SUM('Mass Balance'!E57:H57)</f>
        <v>6.6446906546563416E-6</v>
      </c>
      <c r="D57">
        <f>Concentrations!F57/Concentrations!E57</f>
        <v>0.17578075519766789</v>
      </c>
    </row>
    <row r="58" spans="1:4">
      <c r="A58">
        <f>'Mass Balance'!I58</f>
        <v>1.9407481647470427E-9</v>
      </c>
      <c r="B58">
        <f>'Mass Balance'!E58</f>
        <v>2.3665187126506969E-6</v>
      </c>
      <c r="C58">
        <f>SUM('Mass Balance'!E58:H58)</f>
        <v>2.4184677968530849E-6</v>
      </c>
      <c r="D58">
        <f>Concentrations!F58/Concentrations!E58</f>
        <v>0.98234942729794872</v>
      </c>
    </row>
    <row r="59" spans="1:4">
      <c r="A59">
        <f>'Mass Balance'!I59</f>
        <v>2.6323370282286163E-8</v>
      </c>
      <c r="B59">
        <f>'Mass Balance'!E59</f>
        <v>4.7901857471328446E-7</v>
      </c>
      <c r="C59">
        <f>SUM('Mass Balance'!E59:H59)</f>
        <v>2.5746724915853967E-6</v>
      </c>
      <c r="D59">
        <f>Concentrations!F59/Concentrations!E59</f>
        <v>0.18677843130853478</v>
      </c>
    </row>
    <row r="60" spans="1:4">
      <c r="A60">
        <f>'Mass Balance'!I60</f>
        <v>4.6005124740299576E-10</v>
      </c>
      <c r="B60">
        <f>'Mass Balance'!E60</f>
        <v>1.791086709741067E-8</v>
      </c>
      <c r="C60">
        <f>SUM('Mass Balance'!E60:H60)</f>
        <v>5.2619302632904891E-8</v>
      </c>
      <c r="D60">
        <f>Concentrations!F60/Concentrations!E60</f>
        <v>0.34171802338874785</v>
      </c>
    </row>
    <row r="61" spans="1:4">
      <c r="A61">
        <f>'Mass Balance'!I61</f>
        <v>2.0625785609910807E-7</v>
      </c>
      <c r="B61">
        <f>'Mass Balance'!E61</f>
        <v>1.1311420051267521E-5</v>
      </c>
      <c r="C61">
        <f>SUM('Mass Balance'!E61:H61)</f>
        <v>2.6452788026697082E-5</v>
      </c>
      <c r="D61">
        <f>Concentrations!F61/Concentrations!E61</f>
        <v>0.4292813694373403</v>
      </c>
    </row>
    <row r="62" spans="1:4">
      <c r="A62">
        <f>'Mass Balance'!I62</f>
        <v>9.070766851427009E-7</v>
      </c>
      <c r="B62">
        <f>'Mass Balance'!E62</f>
        <v>1.5269110715576432E-7</v>
      </c>
      <c r="C62">
        <f>SUM('Mass Balance'!E62:H62)</f>
        <v>3.4470987591500658E-5</v>
      </c>
      <c r="D62">
        <f>Concentrations!F62/Concentrations!E62</f>
        <v>4.4468899351751282E-3</v>
      </c>
    </row>
    <row r="63" spans="1:4">
      <c r="A63">
        <f>'Mass Balance'!I63</f>
        <v>2.1587795107876178E-6</v>
      </c>
      <c r="B63">
        <f>'Mass Balance'!E63</f>
        <v>1.3841752806356562E-8</v>
      </c>
      <c r="C63">
        <f>SUM('Mass Balance'!E63:H63)</f>
        <v>3.5242445613786823E-5</v>
      </c>
      <c r="D63">
        <f>Concentrations!F63/Concentrations!E63</f>
        <v>3.9429513012256986E-4</v>
      </c>
    </row>
    <row r="64" spans="1:4">
      <c r="A64">
        <f>'Mass Balance'!I64</f>
        <v>2.4580540264155765E-6</v>
      </c>
      <c r="B64">
        <f>'Mass Balance'!E64</f>
        <v>4.7924129134433576E-9</v>
      </c>
      <c r="C64">
        <f>SUM('Mass Balance'!E64:H64)</f>
        <v>3.5793489432222683E-5</v>
      </c>
      <c r="D64">
        <f>Concentrations!F64/Concentrations!E64</f>
        <v>1.3441463378141346E-4</v>
      </c>
    </row>
    <row r="65" spans="1:4">
      <c r="A65">
        <f>'Mass Balance'!I65</f>
        <v>2.6714829110577767E-6</v>
      </c>
      <c r="B65">
        <f>'Mass Balance'!E65</f>
        <v>1.3449878966020871E-9</v>
      </c>
      <c r="C65">
        <f>SUM('Mass Balance'!E65:H65)</f>
        <v>3.6283617612162996E-5</v>
      </c>
      <c r="D65">
        <f>Concentrations!F65/Concentrations!E65</f>
        <v>3.7213811818105853E-5</v>
      </c>
    </row>
    <row r="66" spans="1:4">
      <c r="A66">
        <f>'Mass Balance'!I66</f>
        <v>2.5640712427642734E-6</v>
      </c>
      <c r="B66">
        <f>'Mass Balance'!E66</f>
        <v>2.7889945661040655E-9</v>
      </c>
      <c r="C66">
        <f>SUM('Mass Balance'!E66:H66)</f>
        <v>3.6026583402487734E-5</v>
      </c>
      <c r="D66">
        <f>Concentrations!F66/Concentrations!E66</f>
        <v>7.7717881346988244E-5</v>
      </c>
    </row>
    <row r="67" spans="1:4">
      <c r="A67">
        <f>'Mass Balance'!I67</f>
        <v>3.5882030465056292E-8</v>
      </c>
      <c r="B67">
        <f>'Mass Balance'!E67</f>
        <v>3.2447784194511386E-5</v>
      </c>
      <c r="C67">
        <f>SUM('Mass Balance'!E67:H67)</f>
        <v>3.3764368818740899E-5</v>
      </c>
      <c r="D67">
        <f>Concentrations!F67/Concentrations!E67</f>
        <v>0.96476773687511463</v>
      </c>
    </row>
    <row r="68" spans="1:4">
      <c r="A68">
        <f>'Mass Balance'!I68</f>
        <v>4.8673978329089402E-8</v>
      </c>
      <c r="B68">
        <f>'Mass Balance'!E68</f>
        <v>2.9583175272501077E-5</v>
      </c>
      <c r="C68">
        <f>SUM('Mass Balance'!E68:H68)</f>
        <v>3.1858009099526097E-5</v>
      </c>
      <c r="D68">
        <f>Concentrations!F68/Concentrations!E68</f>
        <v>0.9322288025193527</v>
      </c>
    </row>
    <row r="69" spans="1:4">
      <c r="A69">
        <f>'Mass Balance'!I69</f>
        <v>1.5237873104439423E-6</v>
      </c>
      <c r="B69">
        <f>'Mass Balance'!E69</f>
        <v>5.4962927208944156E-8</v>
      </c>
      <c r="C69">
        <f>SUM('Mass Balance'!E69:H69)</f>
        <v>3.4495429910121324E-5</v>
      </c>
      <c r="D69">
        <f>Concentrations!F69/Concentrations!E69</f>
        <v>1.5995751726402131E-3</v>
      </c>
    </row>
    <row r="70" spans="1:4">
      <c r="A70">
        <f>'Mass Balance'!I70</f>
        <v>3.5933189046114449E-7</v>
      </c>
      <c r="B70">
        <f>'Mass Balance'!E70</f>
        <v>1.017841560594975E-6</v>
      </c>
      <c r="C70">
        <f>SUM('Mass Balance'!E70:H70)</f>
        <v>3.3148572768941747E-5</v>
      </c>
      <c r="D70">
        <f>Concentrations!F70/Concentrations!E70</f>
        <v>3.0825612024579736E-2</v>
      </c>
    </row>
    <row r="71" spans="1:4">
      <c r="A71">
        <f>'Mass Balance'!I71</f>
        <v>4.5577572220360282E-8</v>
      </c>
      <c r="B71">
        <f>'Mass Balance'!E71</f>
        <v>2.960300776215288E-5</v>
      </c>
      <c r="C71">
        <f>SUM('Mass Balance'!E71:H71)</f>
        <v>3.1666084430620608E-5</v>
      </c>
      <c r="D71">
        <f>Concentrations!F71/Concentrations!E71</f>
        <v>0.93850769095966746</v>
      </c>
    </row>
    <row r="72" spans="1:4">
      <c r="A72">
        <f>'Mass Balance'!I72</f>
        <v>3.5269269867638578E-7</v>
      </c>
      <c r="B72">
        <f>'Mass Balance'!E72</f>
        <v>1.1760776424380398E-6</v>
      </c>
      <c r="C72">
        <f>SUM('Mass Balance'!E72:H72)</f>
        <v>3.2402806324306632E-5</v>
      </c>
      <c r="D72">
        <f>Concentrations!F72/Concentrations!E72</f>
        <v>3.6437597259925146E-2</v>
      </c>
    </row>
    <row r="73" spans="1:4">
      <c r="A73">
        <f>'Mass Balance'!I73</f>
        <v>2.126746338314633E-7</v>
      </c>
      <c r="B73">
        <f>'Mass Balance'!E73</f>
        <v>1.0407566339698827E-5</v>
      </c>
      <c r="C73">
        <f>SUM('Mass Balance'!E73:H73)</f>
        <v>2.6167283087645406E-5</v>
      </c>
      <c r="D73">
        <f>Concentrations!F73/Concentrations!E73</f>
        <v>0.39928860591166571</v>
      </c>
    </row>
    <row r="74" spans="1:4">
      <c r="A74">
        <f>'Mass Balance'!I74</f>
        <v>3.5790291200123616E-7</v>
      </c>
      <c r="B74">
        <f>'Mass Balance'!E74</f>
        <v>1.0621739256660054E-6</v>
      </c>
      <c r="C74">
        <f>SUM('Mass Balance'!E74:H74)</f>
        <v>3.2974884192868797E-5</v>
      </c>
      <c r="D74">
        <f>Concentrations!F74/Concentrations!E74</f>
        <v>3.2337669598745421E-2</v>
      </c>
    </row>
    <row r="75" spans="1:4">
      <c r="A75">
        <f>'Mass Balance'!I75</f>
        <v>2.3210449918396013E-7</v>
      </c>
      <c r="B75">
        <f>'Mass Balance'!E75</f>
        <v>1.7183293283921715E-7</v>
      </c>
      <c r="C75">
        <f>SUM('Mass Balance'!E75:H75)</f>
        <v>3.9764570332166938E-5</v>
      </c>
      <c r="D75">
        <f>Concentrations!F75/Concentrations!E75</f>
        <v>4.3381690424097383E-3</v>
      </c>
    </row>
    <row r="76" spans="1:4">
      <c r="A76">
        <f>'Mass Balance'!I76</f>
        <v>2.3210449930785382E-7</v>
      </c>
      <c r="B76">
        <f>'Mass Balance'!E76</f>
        <v>1.7183293293093878E-7</v>
      </c>
      <c r="C76">
        <f>SUM('Mass Balance'!E76:H76)</f>
        <v>3.9764570353392608E-5</v>
      </c>
      <c r="D76">
        <f>Concentrations!F76/Concentrations!E76</f>
        <v>4.3381690424097383E-3</v>
      </c>
    </row>
    <row r="77" spans="1:4">
      <c r="A77">
        <f>'Mass Balance'!I77</f>
        <v>2.9853026363222991E-7</v>
      </c>
      <c r="B77">
        <f>'Mass Balance'!E77</f>
        <v>4.0195723727319285E-6</v>
      </c>
      <c r="C77">
        <f>SUM('Mass Balance'!E77:H77)</f>
        <v>2.8259276114274828E-5</v>
      </c>
      <c r="D77">
        <f>Concentrations!F77/Concentrations!E77</f>
        <v>0.14279571719987916</v>
      </c>
    </row>
    <row r="78" spans="1:4">
      <c r="A78">
        <f>'Mass Balance'!I78</f>
        <v>1.0121896746023473E-7</v>
      </c>
      <c r="B78">
        <f>'Mass Balance'!E78</f>
        <v>2.0907546176063813E-5</v>
      </c>
      <c r="C78">
        <f>SUM('Mass Balance'!E78:H78)</f>
        <v>2.7287006989187737E-5</v>
      </c>
      <c r="D78">
        <f>Concentrations!F78/Concentrations!E78</f>
        <v>0.76920752608869414</v>
      </c>
    </row>
    <row r="79" spans="1:4">
      <c r="A79">
        <f>'Mass Balance'!I79</f>
        <v>1.6643732032957747E-7</v>
      </c>
      <c r="B79">
        <f>'Mass Balance'!E79</f>
        <v>1.4667161375855906E-5</v>
      </c>
      <c r="C79">
        <f>SUM('Mass Balance'!E79:H79)</f>
        <v>2.6365942828561042E-5</v>
      </c>
      <c r="D79">
        <f>Concentrations!F79/Concentrations!E79</f>
        <v>0.55846907165029591</v>
      </c>
    </row>
    <row r="80" spans="1:4">
      <c r="A80">
        <f>'Mass Balance'!I80</f>
        <v>4.4839232154089873E-7</v>
      </c>
      <c r="B80">
        <f>'Mass Balance'!E80</f>
        <v>1.1587298079787579E-7</v>
      </c>
      <c r="C80">
        <f>SUM('Mass Balance'!E80:H80)</f>
        <v>3.9547576913880003E-5</v>
      </c>
      <c r="D80">
        <f>Concentrations!F80/Concentrations!E80</f>
        <v>2.9414309795428046E-3</v>
      </c>
    </row>
    <row r="81" spans="1:4">
      <c r="A81">
        <f>'Mass Balance'!I81</f>
        <v>1.876583496903555E-8</v>
      </c>
      <c r="B81">
        <f>'Mass Balance'!E81</f>
        <v>3.8771595211390705E-5</v>
      </c>
      <c r="C81">
        <f>SUM('Mass Balance'!E81:H81)</f>
        <v>3.88222875532109E-5</v>
      </c>
      <c r="D81">
        <f>Concentrations!F81/Concentrations!E81</f>
        <v>1.0026027931264743</v>
      </c>
    </row>
    <row r="82" spans="1:4">
      <c r="A82">
        <f>'Mass Balance'!I82</f>
        <v>5.6048345244359682E-8</v>
      </c>
      <c r="B82">
        <f>'Mass Balance'!E82</f>
        <v>2.863896530469609E-5</v>
      </c>
      <c r="C82">
        <f>SUM('Mass Balance'!E82:H82)</f>
        <v>3.1455359495859096E-5</v>
      </c>
      <c r="D82">
        <f>Concentrations!F82/Concentrations!E82</f>
        <v>0.9140270164622144</v>
      </c>
    </row>
    <row r="83" spans="1:4">
      <c r="A83">
        <f>'Mass Balance'!I83</f>
        <v>2.9066256200672228E-7</v>
      </c>
      <c r="B83">
        <f>'Mass Balance'!E83</f>
        <v>5.0500213984182291E-6</v>
      </c>
      <c r="C83">
        <f>SUM('Mass Balance'!E83:H83)</f>
        <v>2.8261415121711771E-5</v>
      </c>
      <c r="D83">
        <f>Concentrations!F83/Concentrations!E83</f>
        <v>0.17938894525213361</v>
      </c>
    </row>
    <row r="84" spans="1:4">
      <c r="A84">
        <f>'Mass Balance'!I84</f>
        <v>2.0981199755046335E-8</v>
      </c>
      <c r="B84">
        <f>'Mass Balance'!E84</f>
        <v>3.7275477923547523E-5</v>
      </c>
      <c r="C84">
        <f>SUM('Mass Balance'!E84:H84)</f>
        <v>3.7495525568959575E-5</v>
      </c>
      <c r="D84">
        <f>Concentrations!F84/Concentrations!E84</f>
        <v>0.99802205172041059</v>
      </c>
    </row>
    <row r="85" spans="1:4">
      <c r="A85">
        <f>'Mass Balance'!I85</f>
        <v>1.8336613289715228E-8</v>
      </c>
      <c r="B85">
        <f>'Mass Balance'!E85</f>
        <v>3.9488594925050696E-5</v>
      </c>
      <c r="C85">
        <f>SUM('Mass Balance'!E85:H85)</f>
        <v>3.9498256454756567E-5</v>
      </c>
      <c r="D85">
        <f>Concentrations!F85/Concentrations!E85</f>
        <v>1.0036680932087843</v>
      </c>
    </row>
    <row r="86" spans="1:4">
      <c r="A86">
        <f>'Mass Balance'!I86</f>
        <v>2.0844150611989265E-8</v>
      </c>
      <c r="B86">
        <f>'Mass Balance'!E86</f>
        <v>3.7345133276941332E-5</v>
      </c>
      <c r="C86">
        <f>SUM('Mass Balance'!E86:H86)</f>
        <v>3.7555037181137098E-5</v>
      </c>
      <c r="D86">
        <f>Concentrations!F86/Concentrations!E86</f>
        <v>0.9983025482944875</v>
      </c>
    </row>
    <row r="87" spans="1:4">
      <c r="A87">
        <f>'Mass Balance'!I87</f>
        <v>2.0163288594310583E-6</v>
      </c>
      <c r="B87">
        <f>'Mass Balance'!E87</f>
        <v>2.0144496499558169E-8</v>
      </c>
      <c r="C87">
        <f>SUM('Mass Balance'!E87:H87)</f>
        <v>3.5032282146637298E-5</v>
      </c>
      <c r="D87">
        <f>Concentrations!F87/Concentrations!E87</f>
        <v>5.7727712584221215E-4</v>
      </c>
    </row>
    <row r="88" spans="1:4">
      <c r="A88">
        <f>'Mass Balance'!I88</f>
        <v>8.6733470644506229E-8</v>
      </c>
      <c r="B88">
        <f>'Mass Balance'!E88</f>
        <v>2.3960064990581104E-5</v>
      </c>
      <c r="C88">
        <f>SUM('Mass Balance'!E88:H88)</f>
        <v>2.9139142471286139E-5</v>
      </c>
      <c r="D88">
        <f>Concentrations!F88/Concentrations!E88</f>
        <v>0.82548196091787929</v>
      </c>
    </row>
    <row r="89" spans="1:4">
      <c r="A89">
        <f>'Mass Balance'!I89</f>
        <v>6.0761618025319736E-8</v>
      </c>
      <c r="B89">
        <f>'Mass Balance'!E89</f>
        <v>2.7844484486271681E-5</v>
      </c>
      <c r="C89">
        <f>SUM('Mass Balance'!E89:H89)</f>
        <v>3.1018332817540725E-5</v>
      </c>
      <c r="D89">
        <f>Concentrations!F89/Concentrations!E89</f>
        <v>0.90119151188221702</v>
      </c>
    </row>
    <row r="90" spans="1:4">
      <c r="A90">
        <f>'Mass Balance'!I90</f>
        <v>2.8600139642997685E-8</v>
      </c>
      <c r="B90">
        <f>'Mass Balance'!E90</f>
        <v>3.4516101795287836E-5</v>
      </c>
      <c r="C90">
        <f>SUM('Mass Balance'!E90:H90)</f>
        <v>3.529263196306074E-5</v>
      </c>
      <c r="D90">
        <f>Concentrations!F90/Concentrations!E90</f>
        <v>0.98182493204176779</v>
      </c>
    </row>
    <row r="91" spans="1:4">
      <c r="A91">
        <f>'Mass Balance'!I91</f>
        <v>9.94463215718043E-7</v>
      </c>
      <c r="B91">
        <f>'Mass Balance'!E91</f>
        <v>1.325547472380199E-7</v>
      </c>
      <c r="C91">
        <f>SUM('Mass Balance'!E91:H91)</f>
        <v>3.4434599804732143E-5</v>
      </c>
      <c r="D91">
        <f>Concentrations!F91/Concentrations!E91</f>
        <v>3.8645293340741375E-3</v>
      </c>
    </row>
    <row r="92" spans="1:4">
      <c r="A92">
        <f>'Mass Balance'!I92</f>
        <v>2.613324418104752E-7</v>
      </c>
      <c r="B92">
        <f>'Mass Balance'!E92</f>
        <v>7.0429392881956859E-6</v>
      </c>
      <c r="C92">
        <f>SUM('Mass Balance'!E92:H92)</f>
        <v>2.7296853370029586E-5</v>
      </c>
      <c r="D92">
        <f>Concentrations!F92/Concentrations!E92</f>
        <v>0.25902263682185789</v>
      </c>
    </row>
    <row r="93" spans="1:4">
      <c r="A93">
        <f>'Mass Balance'!I93</f>
        <v>3.5084838957911434E-7</v>
      </c>
      <c r="B93">
        <f>'Mass Balance'!E93</f>
        <v>1.5473244111604601E-6</v>
      </c>
      <c r="C93">
        <f>SUM('Mass Balance'!E93:H93)</f>
        <v>3.2087083527892339E-5</v>
      </c>
      <c r="D93">
        <f>Concentrations!F93/Concentrations!E93</f>
        <v>4.8411383565722318E-2</v>
      </c>
    </row>
    <row r="94" spans="1:4">
      <c r="A94">
        <f>'Mass Balance'!I94</f>
        <v>2.1471548756813586E-8</v>
      </c>
      <c r="B94">
        <f>'Mass Balance'!E94</f>
        <v>3.5771507470416587E-5</v>
      </c>
      <c r="C94">
        <f>SUM('Mass Balance'!E94:H94)</f>
        <v>3.9972151546321E-5</v>
      </c>
      <c r="D94">
        <f>Concentrations!F94/Concentrations!E94</f>
        <v>0.89841310742128688</v>
      </c>
    </row>
    <row r="95" spans="1:4">
      <c r="A95">
        <f>'Mass Balance'!I95</f>
        <v>5.0226653033355138E-7</v>
      </c>
      <c r="B95">
        <f>'Mass Balance'!E95</f>
        <v>3.1237686464511723E-7</v>
      </c>
      <c r="C95">
        <f>SUM('Mass Balance'!E95:H95)</f>
        <v>3.4940213064360874E-5</v>
      </c>
      <c r="D95">
        <f>Concentrations!F95/Concentrations!E95</f>
        <v>8.9753144885108549E-3</v>
      </c>
    </row>
    <row r="96" spans="1:4">
      <c r="A96">
        <f>'Mass Balance'!I96</f>
        <v>1.8811530698485417E-8</v>
      </c>
      <c r="B96">
        <f>'Mass Balance'!E96</f>
        <v>3.8723052058155199E-5</v>
      </c>
      <c r="C96">
        <f>SUM('Mass Balance'!E96:H96)</f>
        <v>3.8777540893172535E-5</v>
      </c>
      <c r="D96">
        <f>Concentrations!F96/Concentrations!E96</f>
        <v>1.0025029928797253</v>
      </c>
    </row>
    <row r="97" spans="1:4">
      <c r="A97">
        <f>'Mass Balance'!I97</f>
        <v>2.1052220649262026E-8</v>
      </c>
      <c r="B97">
        <f>'Mass Balance'!E97</f>
        <v>3.7239974945768723E-5</v>
      </c>
      <c r="C97">
        <f>SUM('Mass Balance'!E97:H97)</f>
        <v>3.7465272672590136E-5</v>
      </c>
      <c r="D97">
        <f>Concentrations!F97/Concentrations!E97</f>
        <v>0.99787661392795635</v>
      </c>
    </row>
    <row r="98" spans="1:4">
      <c r="A98">
        <f>'Mass Balance'!I98</f>
        <v>3.6526677418420398E-7</v>
      </c>
      <c r="B98">
        <f>'Mass Balance'!E98</f>
        <v>7.2931238449772734E-7</v>
      </c>
      <c r="C98">
        <f>SUM('Mass Balance'!E98:H98)</f>
        <v>3.4088944140856929E-5</v>
      </c>
      <c r="D98">
        <f>Concentrations!F98/Concentrations!E98</f>
        <v>2.1478126749584537E-2</v>
      </c>
    </row>
    <row r="99" spans="1:4">
      <c r="A99">
        <f>'Mass Balance'!I99</f>
        <v>1.8311965862721318E-8</v>
      </c>
      <c r="B99">
        <f>'Mass Balance'!E99</f>
        <v>3.964212296348437E-5</v>
      </c>
      <c r="C99">
        <f>SUM('Mass Balance'!E99:H99)</f>
        <v>3.9646957219274459E-5</v>
      </c>
      <c r="D99">
        <f>Concentrations!F99/Concentrations!E99</f>
        <v>1.0037912472179731</v>
      </c>
    </row>
    <row r="100" spans="1:4">
      <c r="A100">
        <f>'Mass Balance'!I100</f>
        <v>1.518375076406828E-7</v>
      </c>
      <c r="B100">
        <f>'Mass Balance'!E100</f>
        <v>1.635336531004327E-5</v>
      </c>
      <c r="C100">
        <f>SUM('Mass Balance'!E100:H100)</f>
        <v>2.6802176776592258E-5</v>
      </c>
      <c r="D100">
        <f>Concentrations!F100/Concentrations!E100</f>
        <v>0.6125385601891854</v>
      </c>
    </row>
    <row r="101" spans="1:4">
      <c r="A101">
        <f>'Mass Balance'!I101</f>
        <v>1.8359830148042935E-8</v>
      </c>
      <c r="B101">
        <f>'Mass Balance'!E101</f>
        <v>3.9408441254376041E-5</v>
      </c>
      <c r="C101">
        <f>SUM('Mass Balance'!E101:H101)</f>
        <v>3.9421213210325515E-5</v>
      </c>
      <c r="D101">
        <f>Concentrations!F101/Concentrations!E101</f>
        <v>1.003588402145003</v>
      </c>
    </row>
    <row r="102" spans="1:4">
      <c r="A102">
        <f>'Mass Balance'!I102</f>
        <v>1.8322436778062079E-8</v>
      </c>
      <c r="B102">
        <f>'Mass Balance'!E102</f>
        <v>3.9838384832802656E-5</v>
      </c>
      <c r="C102">
        <f>SUM('Mass Balance'!E102:H102)</f>
        <v>3.9839355745211713E-5</v>
      </c>
      <c r="D102">
        <f>Concentrations!F102/Concentrations!E102</f>
        <v>1.0038891909364549</v>
      </c>
    </row>
    <row r="103" spans="1:4">
      <c r="A103">
        <f>'Mass Balance'!I103</f>
        <v>1.8311259200413591E-8</v>
      </c>
      <c r="B103">
        <f>'Mass Balance'!E103</f>
        <v>3.9653056406008243E-5</v>
      </c>
      <c r="C103">
        <f>SUM('Mass Balance'!E103:H103)</f>
        <v>3.9657605608231284E-5</v>
      </c>
      <c r="D103">
        <f>Concentrations!F103/Concentrations!E103</f>
        <v>1.0037984960831403</v>
      </c>
    </row>
    <row r="104" spans="1:4">
      <c r="A104">
        <f>'Mass Balance'!I104</f>
        <v>1.9646971259039812E-8</v>
      </c>
      <c r="B104">
        <f>'Mass Balance'!E104</f>
        <v>3.804226163045535E-5</v>
      </c>
      <c r="C104">
        <f>SUM('Mass Balance'!E104:H104)</f>
        <v>3.8162427384870351E-5</v>
      </c>
      <c r="D104">
        <f>Concentrations!F104/Concentrations!E104</f>
        <v>1.0007525362272784</v>
      </c>
    </row>
    <row r="105" spans="1:4">
      <c r="A105">
        <f>'Mass Balance'!I105</f>
        <v>1.8317659815947479E-8</v>
      </c>
      <c r="B105">
        <f>'Mass Balance'!E105</f>
        <v>3.9809631491286472E-5</v>
      </c>
      <c r="C105">
        <f>SUM('Mass Balance'!E105:H105)</f>
        <v>3.9810996333582843E-5</v>
      </c>
      <c r="D105">
        <f>Concentrations!F105/Concentrations!E105</f>
        <v>1.0038792397804066</v>
      </c>
    </row>
    <row r="106" spans="1:4">
      <c r="A106">
        <f>'Mass Balance'!I106</f>
        <v>3.4545141812028534E-8</v>
      </c>
      <c r="B106">
        <f>'Mass Balance'!E106</f>
        <v>3.2955930348017848E-5</v>
      </c>
      <c r="C106">
        <f>SUM('Mass Balance'!E106:H106)</f>
        <v>3.4167919918476782E-5</v>
      </c>
      <c r="D106">
        <f>Concentrations!F106/Concentrations!E106</f>
        <v>0.96830326910358977</v>
      </c>
    </row>
    <row r="107" spans="1:4">
      <c r="A107">
        <f>'Mass Balance'!I107</f>
        <v>3.6773450622308091E-7</v>
      </c>
      <c r="B107">
        <f>'Mass Balance'!E107</f>
        <v>5.4220862223345659E-7</v>
      </c>
      <c r="C107">
        <f>SUM('Mass Balance'!E107:H107)</f>
        <v>3.4748034673900043E-5</v>
      </c>
      <c r="D107">
        <f>Concentrations!F107/Concentrations!E107</f>
        <v>1.5665077058658026E-2</v>
      </c>
    </row>
    <row r="108" spans="1:4">
      <c r="A108">
        <f>'Mass Balance'!I108</f>
        <v>1.285255685990979E-7</v>
      </c>
      <c r="B108">
        <f>'Mass Balance'!E108</f>
        <v>1.8831888759991925E-5</v>
      </c>
      <c r="C108">
        <f>SUM('Mass Balance'!E108:H108)</f>
        <v>2.735380032102391E-5</v>
      </c>
      <c r="D108">
        <f>Concentrations!F108/Concentrations!E108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0.77348173589444258</v>
      </c>
      <c r="M2" s="115">
        <v>2.0629353749553259</v>
      </c>
      <c r="N2" s="115">
        <v>52.896473667352247</v>
      </c>
      <c r="O2" s="115">
        <v>1.1288295457373438</v>
      </c>
      <c r="P2" s="115">
        <v>1.158605271497164</v>
      </c>
      <c r="Q2" s="111">
        <v>1.1288295457373438</v>
      </c>
      <c r="R2" s="68">
        <v>1.158605271497164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6.3389491335998451E-4</v>
      </c>
      <c r="M3" s="115">
        <v>89.822436975986449</v>
      </c>
      <c r="N3" s="115">
        <v>3494.11166715644</v>
      </c>
      <c r="O3" s="115">
        <v>21.073241840108984</v>
      </c>
      <c r="P3" s="115">
        <v>9.026756073592404</v>
      </c>
      <c r="Q3" s="111">
        <v>21.073241840108984</v>
      </c>
      <c r="R3" s="68">
        <v>9.026756073592404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0.35346976584294976</v>
      </c>
      <c r="M4" s="115">
        <v>8.2223664860522767</v>
      </c>
      <c r="N4" s="115">
        <v>301.8745218342371</v>
      </c>
      <c r="O4" s="115">
        <v>3.2536125252105812</v>
      </c>
      <c r="P4" s="115">
        <v>3.047974263273542</v>
      </c>
      <c r="Q4" s="111">
        <v>3.2536125252105812</v>
      </c>
      <c r="R4" s="68">
        <v>3.0479742632735425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6.8700720223433855E-3</v>
      </c>
      <c r="M5" s="115">
        <v>26.750234869499781</v>
      </c>
      <c r="N5" s="115">
        <v>1031.9618078929695</v>
      </c>
      <c r="O5" s="115">
        <v>9.0896216171648287</v>
      </c>
      <c r="P5" s="115">
        <v>7.6644384578176927</v>
      </c>
      <c r="Q5" s="111">
        <v>9.0896216171648287</v>
      </c>
      <c r="R5" s="68">
        <v>7.6644384578176936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2.8363057726168002E-4</v>
      </c>
      <c r="M6" s="115">
        <v>104.65294808805943</v>
      </c>
      <c r="N6" s="115">
        <v>4079.6856839008606</v>
      </c>
      <c r="O6" s="115">
        <v>23.905298074488449</v>
      </c>
      <c r="P6" s="115">
        <v>9.469600518059984</v>
      </c>
      <c r="Q6" s="111">
        <v>23.905298074488453</v>
      </c>
      <c r="R6" s="68">
        <v>9.4696005180599858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5.6734182292890033E-4</v>
      </c>
      <c r="M7" s="115">
        <v>92.47745356468576</v>
      </c>
      <c r="N7" s="115">
        <v>3598.5161280703387</v>
      </c>
      <c r="O7" s="115">
        <v>21.592485496661531</v>
      </c>
      <c r="P7" s="115">
        <v>9.1220097414553365</v>
      </c>
      <c r="Q7" s="111">
        <v>21.592485496661531</v>
      </c>
      <c r="R7" s="68">
        <v>9.1220097414553365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1.2667125047165606E-3</v>
      </c>
      <c r="M8" s="115">
        <v>73.932454765134807</v>
      </c>
      <c r="N8" s="115">
        <v>2870.2719174348167</v>
      </c>
      <c r="O8" s="115">
        <v>18.057248402777525</v>
      </c>
      <c r="P8" s="115">
        <v>8.637455235450858</v>
      </c>
      <c r="Q8" s="111">
        <v>18.057248402777525</v>
      </c>
      <c r="R8" s="68">
        <v>8.637455235450858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5.9201304727113158E-2</v>
      </c>
      <c r="M9" s="115">
        <v>15.787896490203243</v>
      </c>
      <c r="N9" s="115">
        <v>603.47411508063442</v>
      </c>
      <c r="O9" s="115">
        <v>6.3408091595166214</v>
      </c>
      <c r="P9" s="115">
        <v>6.2244472998212546</v>
      </c>
      <c r="Q9" s="111">
        <v>6.3408091595166214</v>
      </c>
      <c r="R9" s="68">
        <v>6.2244472998212546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6.3845734752377981E-3</v>
      </c>
      <c r="M10" s="115">
        <v>28.596023836817853</v>
      </c>
      <c r="N10" s="115">
        <v>1103.5531914006797</v>
      </c>
      <c r="O10" s="115">
        <v>9.438425768373703</v>
      </c>
      <c r="P10" s="115">
        <v>7.6940851155902603</v>
      </c>
      <c r="Q10" s="111">
        <v>9.438425768373703</v>
      </c>
      <c r="R10" s="68">
        <v>7.6940851155902603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5.6324942008766686E-3</v>
      </c>
      <c r="M11" s="115">
        <v>31.858414140985584</v>
      </c>
      <c r="N11" s="115">
        <v>1230.1570796172368</v>
      </c>
      <c r="O11" s="115">
        <v>10.054637196795641</v>
      </c>
      <c r="P11" s="115">
        <v>7.7469639773726016</v>
      </c>
      <c r="Q11" s="111">
        <v>10.054637196795642</v>
      </c>
      <c r="R11" s="68">
        <v>7.7469639773726025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3.7988880062647612E-2</v>
      </c>
      <c r="M12" s="115">
        <v>16.518234179511921</v>
      </c>
      <c r="N12" s="115">
        <v>632.90332739431835</v>
      </c>
      <c r="O12" s="115">
        <v>6.7163007445791001</v>
      </c>
      <c r="P12" s="115">
        <v>6.677736836732147</v>
      </c>
      <c r="Q12" s="111">
        <v>6.7163007445791001</v>
      </c>
      <c r="R12" s="68">
        <v>6.677736836732147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5.6798164571661119E-2</v>
      </c>
      <c r="M13" s="115">
        <v>15.868481094333111</v>
      </c>
      <c r="N13" s="115">
        <v>606.7097543593917</v>
      </c>
      <c r="O13" s="115">
        <v>6.3802919129115976</v>
      </c>
      <c r="P13" s="115">
        <v>6.2707487849070427</v>
      </c>
      <c r="Q13" s="111">
        <v>6.3802919129115976</v>
      </c>
      <c r="R13" s="68">
        <v>6.2707487849070427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3.7244726733671823E-3</v>
      </c>
      <c r="M14" s="115">
        <v>43.430480005397953</v>
      </c>
      <c r="N14" s="115">
        <v>1679.88632352786</v>
      </c>
      <c r="O14" s="115">
        <v>12.248483902032456</v>
      </c>
      <c r="P14" s="115">
        <v>7.9587989766048741</v>
      </c>
      <c r="Q14" s="111">
        <v>12.248483902032456</v>
      </c>
      <c r="R14" s="68">
        <v>7.958798976604875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5.9997889346550034E-3</v>
      </c>
      <c r="M15" s="115">
        <v>30.198404121892256</v>
      </c>
      <c r="N15" s="115">
        <v>1165.7262302324209</v>
      </c>
      <c r="O15" s="115">
        <v>9.7411191693086465</v>
      </c>
      <c r="P15" s="115">
        <v>7.7199537412360968</v>
      </c>
      <c r="Q15" s="111">
        <v>9.7411191693086465</v>
      </c>
      <c r="R15" s="68">
        <v>7.7199537412360977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1.3107941699078171E-3</v>
      </c>
      <c r="M16" s="115">
        <v>73.015927009300185</v>
      </c>
      <c r="N16" s="115">
        <v>2834.3910924049442</v>
      </c>
      <c r="O16" s="115">
        <v>17.88146100722528</v>
      </c>
      <c r="P16" s="115">
        <v>8.613173880277488</v>
      </c>
      <c r="Q16" s="111">
        <v>17.88146100722528</v>
      </c>
      <c r="R16" s="68">
        <v>8.6131738802774898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6.7055453544832373E-3</v>
      </c>
      <c r="M17" s="115">
        <v>27.357055409553396</v>
      </c>
      <c r="N17" s="115">
        <v>1055.4948534405266</v>
      </c>
      <c r="O17" s="115">
        <v>9.2044537324542333</v>
      </c>
      <c r="P17" s="115">
        <v>7.6744250664157727</v>
      </c>
      <c r="Q17" s="111">
        <v>9.204453732454235</v>
      </c>
      <c r="R17" s="68">
        <v>7.6744250664157736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7.0929580923686592E-2</v>
      </c>
      <c r="M18" s="115">
        <v>15.343497708725435</v>
      </c>
      <c r="N18" s="115">
        <v>585.75786227714559</v>
      </c>
      <c r="O18" s="115">
        <v>6.1325233923955009</v>
      </c>
      <c r="P18" s="115">
        <v>5.9877309414250677</v>
      </c>
      <c r="Q18" s="111">
        <v>6.1325233923955018</v>
      </c>
      <c r="R18" s="68">
        <v>5.9877309414250677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5.9250015523670437E-3</v>
      </c>
      <c r="M19" s="115">
        <v>30.526110962410538</v>
      </c>
      <c r="N19" s="115">
        <v>1178.4438877709226</v>
      </c>
      <c r="O19" s="115">
        <v>9.8030531696301129</v>
      </c>
      <c r="P19" s="115">
        <v>7.7253346050367222</v>
      </c>
      <c r="Q19" s="111">
        <v>9.8030531696301129</v>
      </c>
      <c r="R19" s="68">
        <v>7.7253346050367231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5.6805727144647863E-2</v>
      </c>
      <c r="M20" s="115">
        <v>15.870593953918799</v>
      </c>
      <c r="N20" s="115">
        <v>606.79053666694892</v>
      </c>
      <c r="O20" s="115">
        <v>6.3811414372515483</v>
      </c>
      <c r="P20" s="115">
        <v>6.2715837237774279</v>
      </c>
      <c r="Q20" s="111">
        <v>6.3811414372515483</v>
      </c>
      <c r="R20" s="68">
        <v>6.2715837237774279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4.2156555656986732E-3</v>
      </c>
      <c r="M21" s="115">
        <v>39.844733400850231</v>
      </c>
      <c r="N21" s="115">
        <v>1540.4286045189331</v>
      </c>
      <c r="O21" s="115">
        <v>11.566210476308628</v>
      </c>
      <c r="P21" s="115">
        <v>7.8871308835263712</v>
      </c>
      <c r="Q21" s="111">
        <v>11.566210476308628</v>
      </c>
      <c r="R21" s="68">
        <v>7.8871308835263712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0.56225674727309127</v>
      </c>
      <c r="M22" s="115">
        <v>4.5945480898941922</v>
      </c>
      <c r="N22" s="115">
        <v>156.28585718663945</v>
      </c>
      <c r="O22" s="115">
        <v>1.9588898402753803</v>
      </c>
      <c r="P22" s="115">
        <v>1.8630108766337066</v>
      </c>
      <c r="Q22" s="111">
        <v>1.9588898402753805</v>
      </c>
      <c r="R22" s="68">
        <v>1.8630108766337068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0.71075332763971366</v>
      </c>
      <c r="M23" s="115">
        <v>2.7052564611671652</v>
      </c>
      <c r="N23" s="115">
        <v>79.395107826869648</v>
      </c>
      <c r="O23" s="115">
        <v>1.33074280551711</v>
      </c>
      <c r="P23" s="115">
        <v>1.3232721526354729</v>
      </c>
      <c r="Q23" s="111">
        <v>1.3307428055171102</v>
      </c>
      <c r="R23" s="68">
        <v>1.3232721526354732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0.17369542921676218</v>
      </c>
      <c r="M24" s="115">
        <v>12.357528223852272</v>
      </c>
      <c r="N24" s="115">
        <v>466.68965786557891</v>
      </c>
      <c r="O24" s="115">
        <v>4.8484151014354184</v>
      </c>
      <c r="P24" s="115">
        <v>4.6114639287958363</v>
      </c>
      <c r="Q24" s="111">
        <v>4.8484151014354193</v>
      </c>
      <c r="R24" s="68">
        <v>4.6114639287958372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2.066968830555414E-2</v>
      </c>
      <c r="M25" s="115">
        <v>16.862326806779755</v>
      </c>
      <c r="N25" s="115">
        <v>647.63205299602726</v>
      </c>
      <c r="O25" s="115">
        <v>6.9760259419128055</v>
      </c>
      <c r="P25" s="115">
        <v>7.0522442592478178</v>
      </c>
      <c r="Q25" s="111">
        <v>6.9760259419128055</v>
      </c>
      <c r="R25" s="68">
        <v>7.0522442592478178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4.5712732511984109E-3</v>
      </c>
      <c r="M26" s="115">
        <v>37.560218145491696</v>
      </c>
      <c r="N26" s="115">
        <v>1451.6253534636462</v>
      </c>
      <c r="O26" s="115">
        <v>11.133276672547375</v>
      </c>
      <c r="P26" s="115">
        <v>7.8453289845842864</v>
      </c>
      <c r="Q26" s="111">
        <v>11.133276672547375</v>
      </c>
      <c r="R26" s="68">
        <v>7.8453289845842873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6.9725751547385735E-4</v>
      </c>
      <c r="M27" s="115">
        <v>87.91736738663694</v>
      </c>
      <c r="N27" s="115">
        <v>3419.1128471309544</v>
      </c>
      <c r="O27" s="115">
        <v>20.714576773925984</v>
      </c>
      <c r="P27" s="115">
        <v>8.9823924989443018</v>
      </c>
      <c r="Q27" s="111">
        <v>20.714576773925987</v>
      </c>
      <c r="R27" s="68">
        <v>8.9823924989443018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2.509090209939537E-3</v>
      </c>
      <c r="M28" s="115">
        <v>54.944944277206979</v>
      </c>
      <c r="N28" s="115">
        <v>2128.3712190733499</v>
      </c>
      <c r="O28" s="115">
        <v>14.438184650243873</v>
      </c>
      <c r="P28" s="115">
        <v>8.1964565040973998</v>
      </c>
      <c r="Q28" s="111">
        <v>14.438184650243873</v>
      </c>
      <c r="R28" s="68">
        <v>8.1964565040973998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3.7796669590204907E-3</v>
      </c>
      <c r="M29" s="115">
        <v>41.09369090712665</v>
      </c>
      <c r="N29" s="115">
        <v>1589.2385305125858</v>
      </c>
      <c r="O29" s="115">
        <v>11.697715782203408</v>
      </c>
      <c r="P29" s="115">
        <v>7.7230718069768729</v>
      </c>
      <c r="Q29" s="111">
        <v>11.697715782203408</v>
      </c>
      <c r="R29" s="68">
        <v>7.7230718069768729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2.509090209939537E-3</v>
      </c>
      <c r="M30" s="115">
        <v>54.944944277206979</v>
      </c>
      <c r="N30" s="115">
        <v>2128.3712190733499</v>
      </c>
      <c r="O30" s="115">
        <v>14.438184650243873</v>
      </c>
      <c r="P30" s="115">
        <v>8.1964565040973998</v>
      </c>
      <c r="Q30" s="111">
        <v>14.438184650243873</v>
      </c>
      <c r="R30" s="68">
        <v>8.1964565040973998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0.97269878455411951</v>
      </c>
      <c r="M31" s="115">
        <v>0.87255920271635035</v>
      </c>
      <c r="N31" s="115">
        <v>1.1398030284953125</v>
      </c>
      <c r="O31" s="115">
        <v>0.81330589698537858</v>
      </c>
      <c r="P31" s="115">
        <v>0.94130708751072878</v>
      </c>
      <c r="Q31" s="111">
        <v>0.8133058969853787</v>
      </c>
      <c r="R31" s="68">
        <v>0.94130708751072889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0.43856295281361618</v>
      </c>
      <c r="M32" s="115">
        <v>6.7952488898494829</v>
      </c>
      <c r="N32" s="115">
        <v>242.22858980859269</v>
      </c>
      <c r="O32" s="115">
        <v>2.4803621390990265</v>
      </c>
      <c r="P32" s="115">
        <v>2.2783732550920033</v>
      </c>
      <c r="Q32" s="111">
        <v>2.4803621390990265</v>
      </c>
      <c r="R32" s="68">
        <v>2.2783732550920033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0.9924875978150679</v>
      </c>
      <c r="M33" s="115">
        <v>0.87120746947239169</v>
      </c>
      <c r="N33" s="115">
        <v>0.59108743415209819</v>
      </c>
      <c r="O33" s="115">
        <v>0.84186294640900527</v>
      </c>
      <c r="P33" s="115">
        <v>0.98967369214323797</v>
      </c>
      <c r="Q33" s="111">
        <v>0.84186294640900527</v>
      </c>
      <c r="R33" s="68">
        <v>0.98967369214323808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0.54854489547212548</v>
      </c>
      <c r="M34" s="115">
        <v>1.3692800991443086</v>
      </c>
      <c r="N34" s="115">
        <v>44.988960618483539</v>
      </c>
      <c r="O34" s="115">
        <v>2.6254312456194864</v>
      </c>
      <c r="P34" s="115">
        <v>4.2920987578826386</v>
      </c>
      <c r="Q34" s="111">
        <v>2.6254312456194868</v>
      </c>
      <c r="R34" s="68">
        <v>4.2920987578826386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0.32514757088639901</v>
      </c>
      <c r="M35" s="115">
        <v>1.5510609180584298</v>
      </c>
      <c r="N35" s="115">
        <v>63.656041609146897</v>
      </c>
      <c r="O35" s="115">
        <v>3.5049429250380744</v>
      </c>
      <c r="P35" s="115">
        <v>5.9325265257063204</v>
      </c>
      <c r="Q35" s="111">
        <v>3.5049429250380744</v>
      </c>
      <c r="R35" s="68">
        <v>5.9325265257063213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0.10856093910419935</v>
      </c>
      <c r="M36" s="115">
        <v>1.64116454463035</v>
      </c>
      <c r="N36" s="115">
        <v>77.347237525450979</v>
      </c>
      <c r="O36" s="115">
        <v>4.3452066545823191</v>
      </c>
      <c r="P36" s="115">
        <v>7.5162121664044852</v>
      </c>
      <c r="Q36" s="111">
        <v>4.34520665458232</v>
      </c>
      <c r="R36" s="68">
        <v>7.5162121664044852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0.20841833071457366</v>
      </c>
      <c r="M37" s="115">
        <v>4.4130283450815524</v>
      </c>
      <c r="N37" s="115">
        <v>174.58538277524025</v>
      </c>
      <c r="O37" s="115">
        <v>4.092101298355769</v>
      </c>
      <c r="P37" s="115">
        <v>6.113720553902712</v>
      </c>
      <c r="Q37" s="111">
        <v>4.0921012983557699</v>
      </c>
      <c r="R37" s="68">
        <v>6.113720553902712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0.61399603730859076</v>
      </c>
      <c r="M38" s="115">
        <v>1.3413290999846808</v>
      </c>
      <c r="N38" s="115">
        <v>40.285061703944621</v>
      </c>
      <c r="O38" s="115">
        <v>2.3635722044984586</v>
      </c>
      <c r="P38" s="115">
        <v>3.7940187923670838</v>
      </c>
      <c r="Q38" s="111">
        <v>2.3635722044984591</v>
      </c>
      <c r="R38" s="68">
        <v>3.7940187923670838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1.0301809211552779E-2</v>
      </c>
      <c r="M39" s="115">
        <v>17.72641980367937</v>
      </c>
      <c r="N39" s="115">
        <v>682.37280356011559</v>
      </c>
      <c r="O39" s="115">
        <v>7.3936476729323521</v>
      </c>
      <c r="P39" s="115">
        <v>7.542549714857592</v>
      </c>
      <c r="Q39" s="111">
        <v>7.3936476729323521</v>
      </c>
      <c r="R39" s="68">
        <v>7.542549714857592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9.6417678693349468E-4</v>
      </c>
      <c r="M40" s="115">
        <v>108.51686465208147</v>
      </c>
      <c r="N40" s="115">
        <v>5349.6667716953516</v>
      </c>
      <c r="O40" s="115">
        <v>18.881959024964921</v>
      </c>
      <c r="P40" s="115">
        <v>12.381725382308744</v>
      </c>
      <c r="Q40" s="111">
        <v>18.881959024964921</v>
      </c>
      <c r="R40" s="68">
        <v>12.381725382308744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0.9105389716738379</v>
      </c>
      <c r="M41" s="115">
        <v>0.79024562539374232</v>
      </c>
      <c r="N41" s="115">
        <v>6.4422280698444356E-2</v>
      </c>
      <c r="O41" s="115">
        <v>0.75274286250514988</v>
      </c>
      <c r="P41" s="115">
        <v>0.87469167730608721</v>
      </c>
      <c r="Q41" s="111">
        <v>0.75274286250514999</v>
      </c>
      <c r="R41" s="68">
        <v>0.87469167730608721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0.52486006836165444</v>
      </c>
      <c r="M42" s="115">
        <v>5.1851765130810623</v>
      </c>
      <c r="N42" s="115">
        <v>180.06043719798436</v>
      </c>
      <c r="O42" s="115">
        <v>2.1635744731112094</v>
      </c>
      <c r="P42" s="115">
        <v>2.0451138337896131</v>
      </c>
      <c r="Q42" s="111">
        <v>2.1635744731112099</v>
      </c>
      <c r="R42" s="68">
        <v>2.0451138337896131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8.8474654377474447E-3</v>
      </c>
      <c r="M43" s="115">
        <v>3.3056364680909942</v>
      </c>
      <c r="N43" s="115">
        <v>164.33630295817071</v>
      </c>
      <c r="O43" s="115">
        <v>4.945293870513952</v>
      </c>
      <c r="P43" s="115">
        <v>8.3116574180902933</v>
      </c>
      <c r="Q43" s="111">
        <v>4.945293870513952</v>
      </c>
      <c r="R43" s="68">
        <v>8.3116574180902933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0.76188429273512981</v>
      </c>
      <c r="M44" s="115">
        <v>1.4254598789446258</v>
      </c>
      <c r="N44" s="115">
        <v>29.056060946496508</v>
      </c>
      <c r="O44" s="115">
        <v>0.89488051708224403</v>
      </c>
      <c r="P44" s="115">
        <v>0.95294710277281791</v>
      </c>
      <c r="Q44" s="111">
        <v>0.89488051708224403</v>
      </c>
      <c r="R44" s="68">
        <v>0.95294710277281791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0.48950586428193676</v>
      </c>
      <c r="M45" s="115">
        <v>5.7415619368859971</v>
      </c>
      <c r="N45" s="115">
        <v>202.47646473412266</v>
      </c>
      <c r="O45" s="115">
        <v>2.358031674529629</v>
      </c>
      <c r="P45" s="115">
        <v>2.2198938866945777</v>
      </c>
      <c r="Q45" s="111">
        <v>2.358031674529629</v>
      </c>
      <c r="R45" s="68">
        <v>2.2198938866945777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0.5107711950688324</v>
      </c>
      <c r="M46" s="115">
        <v>5.3798632934496835</v>
      </c>
      <c r="N46" s="115">
        <v>187.96032699144467</v>
      </c>
      <c r="O46" s="115">
        <v>2.2307177175877664</v>
      </c>
      <c r="P46" s="115">
        <v>2.1050577816043146</v>
      </c>
      <c r="Q46" s="111">
        <v>2.2307177175877664</v>
      </c>
      <c r="R46" s="68">
        <v>2.1050577816043146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6.3609644862125609E-4</v>
      </c>
      <c r="M47" s="115">
        <v>90.134392882380808</v>
      </c>
      <c r="N47" s="115">
        <v>3506.2468174470323</v>
      </c>
      <c r="O47" s="115">
        <v>21.146429814964932</v>
      </c>
      <c r="P47" s="115">
        <v>9.058106256993586</v>
      </c>
      <c r="Q47" s="111">
        <v>21.146429814964936</v>
      </c>
      <c r="R47" s="68">
        <v>9.058106256993586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0.9015292129039969</v>
      </c>
      <c r="M48" s="115">
        <v>1.049944685969163</v>
      </c>
      <c r="N48" s="115">
        <v>10.203736718512983</v>
      </c>
      <c r="O48" s="115">
        <v>0.83554408826087467</v>
      </c>
      <c r="P48" s="115">
        <v>0.93854097390846103</v>
      </c>
      <c r="Q48" s="111">
        <v>0.83554408826087478</v>
      </c>
      <c r="R48" s="68">
        <v>0.93854097390846103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0.86093512524661031</v>
      </c>
      <c r="M49" s="115">
        <v>1.2063287253307928</v>
      </c>
      <c r="N49" s="115">
        <v>17.474871460245765</v>
      </c>
      <c r="O49" s="115">
        <v>0.86864256272200768</v>
      </c>
      <c r="P49" s="115">
        <v>0.95538489870688137</v>
      </c>
      <c r="Q49" s="111">
        <v>0.86864256272200779</v>
      </c>
      <c r="R49" s="68">
        <v>0.95538489870688137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7.5068898205216242E-2</v>
      </c>
      <c r="M50" s="115">
        <v>15.145187801133211</v>
      </c>
      <c r="N50" s="115">
        <v>577.92568401981589</v>
      </c>
      <c r="O50" s="115">
        <v>6.0439074152441465</v>
      </c>
      <c r="P50" s="115">
        <v>5.8907610392245537</v>
      </c>
      <c r="Q50" s="111">
        <v>6.0439074152441465</v>
      </c>
      <c r="R50" s="68">
        <v>5.8907610392245537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0.90075535140062646</v>
      </c>
      <c r="M51" s="115">
        <v>0.82902017432354935</v>
      </c>
      <c r="N51" s="115">
        <v>1.8502618153500332</v>
      </c>
      <c r="O51" s="115">
        <v>0.76008461705083352</v>
      </c>
      <c r="P51" s="115">
        <v>0.87708095281517351</v>
      </c>
      <c r="Q51" s="111">
        <v>0.76008461705083363</v>
      </c>
      <c r="R51" s="68">
        <v>0.87708095281517351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0.72276656631704872</v>
      </c>
      <c r="M52" s="115">
        <v>1.8976462712088786</v>
      </c>
      <c r="N52" s="115">
        <v>48.286811803547067</v>
      </c>
      <c r="O52" s="115">
        <v>1.0440045316550384</v>
      </c>
      <c r="P52" s="115">
        <v>1.0731887386410748</v>
      </c>
      <c r="Q52" s="111">
        <v>1.0440045316550384</v>
      </c>
      <c r="R52" s="68">
        <v>1.0731887386410748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0.37860213099599965</v>
      </c>
      <c r="M53" s="115">
        <v>7.6990412718928711</v>
      </c>
      <c r="N53" s="115">
        <v>281.00397758200592</v>
      </c>
      <c r="O53" s="115">
        <v>3.0606783918155123</v>
      </c>
      <c r="P53" s="115">
        <v>2.8666058818049978</v>
      </c>
      <c r="Q53" s="111">
        <v>3.0606783918155123</v>
      </c>
      <c r="R53" s="68">
        <v>2.8666058818049978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8.8839861351239506E-4</v>
      </c>
      <c r="M54" s="115">
        <v>82.700125755959803</v>
      </c>
      <c r="N54" s="115">
        <v>3214.0303325593195</v>
      </c>
      <c r="O54" s="115">
        <v>19.729022934465775</v>
      </c>
      <c r="P54" s="115">
        <v>8.859404060555697</v>
      </c>
      <c r="Q54" s="111">
        <v>19.729022934465775</v>
      </c>
      <c r="R54" s="68">
        <v>8.859404060555697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0.13606869849152628</v>
      </c>
      <c r="M55" s="115">
        <v>11.117980418289257</v>
      </c>
      <c r="N55" s="115">
        <v>420.68100596362797</v>
      </c>
      <c r="O55" s="115">
        <v>4.3680797746499245</v>
      </c>
      <c r="P55" s="115">
        <v>4.1667525321082692</v>
      </c>
      <c r="Q55" s="111">
        <v>4.3680797746499245</v>
      </c>
      <c r="R55" s="68">
        <v>4.1667525321082692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1.6124738387601808E-2</v>
      </c>
      <c r="M56" s="115">
        <v>6.5381325676374207</v>
      </c>
      <c r="N56" s="115">
        <v>250.43463780468858</v>
      </c>
      <c r="O56" s="115">
        <v>2.6535358129185886</v>
      </c>
      <c r="P56" s="115">
        <v>2.6334576409400272</v>
      </c>
      <c r="Q56" s="111">
        <v>2.6535358129185886</v>
      </c>
      <c r="R56" s="68">
        <v>2.6334576409400272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2.9181038616654179E-2</v>
      </c>
      <c r="M57" s="115">
        <v>3.2205510952629459</v>
      </c>
      <c r="N57" s="115">
        <v>122.28300474751488</v>
      </c>
      <c r="O57" s="115">
        <v>1.2704779110160038</v>
      </c>
      <c r="P57" s="115">
        <v>1.2201490967204163</v>
      </c>
      <c r="Q57" s="111">
        <v>1.2704779110160038</v>
      </c>
      <c r="R57" s="68">
        <v>1.2201490967204163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5.9149865590082076E-2</v>
      </c>
      <c r="M58" s="115">
        <v>9.1200571651646745E-2</v>
      </c>
      <c r="N58" s="115">
        <v>1.5165136156575219</v>
      </c>
      <c r="O58" s="115">
        <v>6.2596210946072192E-2</v>
      </c>
      <c r="P58" s="115">
        <v>6.8106135062623321E-2</v>
      </c>
      <c r="Q58" s="111">
        <v>6.2596210946072206E-2</v>
      </c>
      <c r="R58" s="68">
        <v>6.8106135062623321E-2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1.2014381229976518E-2</v>
      </c>
      <c r="M59" s="115">
        <v>1.2370004831901393</v>
      </c>
      <c r="N59" s="115">
        <v>46.934124949064667</v>
      </c>
      <c r="O59" s="115">
        <v>0.48746754431570799</v>
      </c>
      <c r="P59" s="115">
        <v>0.46740488405815517</v>
      </c>
      <c r="Q59" s="111">
        <v>0.48746754431570805</v>
      </c>
      <c r="R59" s="68">
        <v>0.46740488405815517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4.4919515145487327E-4</v>
      </c>
      <c r="M60" s="115">
        <v>2.1618949596005441E-2</v>
      </c>
      <c r="N60" s="115">
        <v>0.81091060912462587</v>
      </c>
      <c r="O60" s="115">
        <v>8.4681477172918358E-3</v>
      </c>
      <c r="P60" s="115">
        <v>7.9955030938878621E-3</v>
      </c>
      <c r="Q60" s="111">
        <v>8.4681477172918358E-3</v>
      </c>
      <c r="R60" s="68">
        <v>7.9955030938878638E-3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0.2836701591296753</v>
      </c>
      <c r="M61" s="115">
        <v>9.6925684257099647</v>
      </c>
      <c r="N61" s="115">
        <v>360.55664276790304</v>
      </c>
      <c r="O61" s="115">
        <v>3.8046954280988805</v>
      </c>
      <c r="P61" s="115">
        <v>3.5748392403593172</v>
      </c>
      <c r="Q61" s="111">
        <v>3.8046954280988809</v>
      </c>
      <c r="R61" s="68">
        <v>3.5748392403593172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3.8301405711465238E-3</v>
      </c>
      <c r="M62" s="115">
        <v>42.625784076254739</v>
      </c>
      <c r="N62" s="115">
        <v>1648.5803352247838</v>
      </c>
      <c r="O62" s="115">
        <v>12.095868433405455</v>
      </c>
      <c r="P62" s="115">
        <v>7.9434765324089716</v>
      </c>
      <c r="Q62" s="111">
        <v>12.095868433405457</v>
      </c>
      <c r="R62" s="68">
        <v>7.9434765324089716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3.4722611350730562E-4</v>
      </c>
      <c r="M63" s="115">
        <v>101.4464055821249</v>
      </c>
      <c r="N63" s="115">
        <v>3952.6418091066244</v>
      </c>
      <c r="O63" s="115">
        <v>23.297326156311637</v>
      </c>
      <c r="P63" s="115">
        <v>9.3754169970759111</v>
      </c>
      <c r="Q63" s="111">
        <v>23.297326156311641</v>
      </c>
      <c r="R63" s="68">
        <v>9.3754169970759129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1.2022167272322253E-4</v>
      </c>
      <c r="M64" s="115">
        <v>115.51005763231093</v>
      </c>
      <c r="N64" s="115">
        <v>4512.4312762092204</v>
      </c>
      <c r="O64" s="115">
        <v>25.951799776214674</v>
      </c>
      <c r="P64" s="115">
        <v>9.8042185845821486</v>
      </c>
      <c r="Q64" s="111">
        <v>25.951799776214674</v>
      </c>
      <c r="R64" s="68">
        <v>9.8042185845821503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3.3740777975741532E-5</v>
      </c>
      <c r="M65" s="115">
        <v>125.53961048203838</v>
      </c>
      <c r="N65" s="115">
        <v>4918.749971311081</v>
      </c>
      <c r="O65" s="115">
        <v>27.805390510591646</v>
      </c>
      <c r="P65" s="115">
        <v>10.141674811396099</v>
      </c>
      <c r="Q65" s="111">
        <v>27.80539051059165</v>
      </c>
      <c r="R65" s="68">
        <v>10.141674811396099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6.996482271574809E-5</v>
      </c>
      <c r="M66" s="115">
        <v>120.49206967877225</v>
      </c>
      <c r="N66" s="115">
        <v>4713.0716171151826</v>
      </c>
      <c r="O66" s="115">
        <v>26.879812408544421</v>
      </c>
      <c r="P66" s="115">
        <v>9.9677167193439473</v>
      </c>
      <c r="Q66" s="111">
        <v>26.879812408544421</v>
      </c>
      <c r="R66" s="68">
        <v>9.9677167193439473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0.81174016535326043</v>
      </c>
      <c r="M67" s="115">
        <v>1.6861856421549011</v>
      </c>
      <c r="N67" s="115">
        <v>37.318262554986006</v>
      </c>
      <c r="O67" s="115">
        <v>1.0130232261395853</v>
      </c>
      <c r="P67" s="115">
        <v>1.0666511449172642</v>
      </c>
      <c r="Q67" s="111">
        <v>1.0130232261395855</v>
      </c>
      <c r="R67" s="68">
        <v>1.0666511449172644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0.74070220305993606</v>
      </c>
      <c r="M68" s="115">
        <v>2.287311011705329</v>
      </c>
      <c r="N68" s="115">
        <v>62.508799408195408</v>
      </c>
      <c r="O68" s="115">
        <v>1.1935763049934491</v>
      </c>
      <c r="P68" s="115">
        <v>1.2082700439560214</v>
      </c>
      <c r="Q68" s="111">
        <v>1.1935763049934491</v>
      </c>
      <c r="R68" s="68">
        <v>1.2082700439560214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1.3787341016034309E-3</v>
      </c>
      <c r="M69" s="115">
        <v>71.606546543418347</v>
      </c>
      <c r="N69" s="115">
        <v>2779.2411106516338</v>
      </c>
      <c r="O69" s="115">
        <v>17.60950030063773</v>
      </c>
      <c r="P69" s="115">
        <v>8.5732212783941311</v>
      </c>
      <c r="Q69" s="111">
        <v>17.60950030063773</v>
      </c>
      <c r="R69" s="68">
        <v>8.5732212783941311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2.5530548896762848E-2</v>
      </c>
      <c r="M70" s="115">
        <v>16.88589710813649</v>
      </c>
      <c r="N70" s="115">
        <v>648.06199146697475</v>
      </c>
      <c r="O70" s="115">
        <v>6.9444963640361177</v>
      </c>
      <c r="P70" s="115">
        <v>6.9814977819813775</v>
      </c>
      <c r="Q70" s="111">
        <v>6.9444963640361177</v>
      </c>
      <c r="R70" s="68">
        <v>6.9814977819813784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0.74111046079197129</v>
      </c>
      <c r="M71" s="115">
        <v>2.1418032058439982</v>
      </c>
      <c r="N71" s="115">
        <v>56.962915575782446</v>
      </c>
      <c r="O71" s="115">
        <v>1.1411669855958904</v>
      </c>
      <c r="P71" s="115">
        <v>1.1623067913665244</v>
      </c>
      <c r="Q71" s="111">
        <v>1.1411669855958904</v>
      </c>
      <c r="R71" s="68">
        <v>1.1623067913665244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2.949947658839434E-2</v>
      </c>
      <c r="M72" s="115">
        <v>16.573905012988057</v>
      </c>
      <c r="N72" s="115">
        <v>635.70022475170356</v>
      </c>
      <c r="O72" s="115">
        <v>6.7855122086839268</v>
      </c>
      <c r="P72" s="115">
        <v>6.792303951824711</v>
      </c>
      <c r="Q72" s="111">
        <v>6.7855122086839277</v>
      </c>
      <c r="R72" s="68">
        <v>6.792303951824711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0.26100796563692125</v>
      </c>
      <c r="M73" s="115">
        <v>9.9941087326815463</v>
      </c>
      <c r="N73" s="115">
        <v>372.91131306902935</v>
      </c>
      <c r="O73" s="115">
        <v>3.9185272843001568</v>
      </c>
      <c r="P73" s="115">
        <v>3.6870528381949823</v>
      </c>
      <c r="Q73" s="111">
        <v>3.9185272843001568</v>
      </c>
      <c r="R73" s="68">
        <v>3.6870528381949823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2.6642510488235235E-2</v>
      </c>
      <c r="M74" s="115">
        <v>16.818745864719745</v>
      </c>
      <c r="N74" s="115">
        <v>645.37480539515877</v>
      </c>
      <c r="O74" s="115">
        <v>6.9079074446715989</v>
      </c>
      <c r="P74" s="115">
        <v>6.9361556265757134</v>
      </c>
      <c r="Q74" s="111">
        <v>6.9079074446715998</v>
      </c>
      <c r="R74" s="68">
        <v>6.9361556265757134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4.3183792162183876E-3</v>
      </c>
      <c r="M75" s="115">
        <v>10.907166315035722</v>
      </c>
      <c r="N75" s="115">
        <v>547.11523794586333</v>
      </c>
      <c r="O75" s="115">
        <v>5.9523181480342453</v>
      </c>
      <c r="P75" s="115">
        <v>8.6849314439337402</v>
      </c>
      <c r="Q75" s="111">
        <v>5.9523181480342453</v>
      </c>
      <c r="R75" s="68">
        <v>8.6849314439337402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4.3183792185234699E-3</v>
      </c>
      <c r="M76" s="115">
        <v>10.907166320857792</v>
      </c>
      <c r="N76" s="115">
        <v>547.11523823790458</v>
      </c>
      <c r="O76" s="115">
        <v>5.9523181512114967</v>
      </c>
      <c r="P76" s="115">
        <v>8.6849314485696159</v>
      </c>
      <c r="Q76" s="111">
        <v>5.9523181512114967</v>
      </c>
      <c r="R76" s="68">
        <v>8.6849314485696159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0.10081768243058596</v>
      </c>
      <c r="M77" s="115">
        <v>14.028677802266444</v>
      </c>
      <c r="N77" s="115">
        <v>533.82169945624776</v>
      </c>
      <c r="O77" s="115">
        <v>5.5562706244963351</v>
      </c>
      <c r="P77" s="115">
        <v>5.3657109117911812</v>
      </c>
      <c r="Q77" s="111">
        <v>5.5562706244963351</v>
      </c>
      <c r="R77" s="68">
        <v>5.3657109117911812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0.52408696518998776</v>
      </c>
      <c r="M78" s="115">
        <v>4.7565304257629109</v>
      </c>
      <c r="N78" s="115">
        <v>163.74175301192616</v>
      </c>
      <c r="O78" s="115">
        <v>2.0028109233182838</v>
      </c>
      <c r="P78" s="115">
        <v>1.8979202639257526</v>
      </c>
      <c r="Q78" s="111">
        <v>2.0028109233182838</v>
      </c>
      <c r="R78" s="68">
        <v>1.8979202639257526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0.36778863849112969</v>
      </c>
      <c r="M79" s="115">
        <v>7.8213026470666112</v>
      </c>
      <c r="N79" s="115">
        <v>286.05032223215005</v>
      </c>
      <c r="O79" s="115">
        <v>3.1041188854547239</v>
      </c>
      <c r="P79" s="115">
        <v>2.9073461905903857</v>
      </c>
      <c r="Q79" s="111">
        <v>3.1041188854547239</v>
      </c>
      <c r="R79" s="68">
        <v>2.9073461905903857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2.9120403068682004E-3</v>
      </c>
      <c r="M80" s="115">
        <v>21.071067741583587</v>
      </c>
      <c r="N80" s="115">
        <v>1057.1937505392052</v>
      </c>
      <c r="O80" s="115">
        <v>7.2823398237428139</v>
      </c>
      <c r="P80" s="115">
        <v>9.1374478104403316</v>
      </c>
      <c r="Q80" s="111">
        <v>7.2823398237428147</v>
      </c>
      <c r="R80" s="68">
        <v>9.1374478104403316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0.96676561922199222</v>
      </c>
      <c r="M81" s="115">
        <v>0.88185314704114437</v>
      </c>
      <c r="N81" s="115">
        <v>1.685970769932311</v>
      </c>
      <c r="O81" s="115">
        <v>0.81316199698978286</v>
      </c>
      <c r="P81" s="115">
        <v>0.93930319133396378</v>
      </c>
      <c r="Q81" s="111">
        <v>0.81316199698978298</v>
      </c>
      <c r="R81" s="68">
        <v>0.93930319133396389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0.71725969740709195</v>
      </c>
      <c r="M82" s="115">
        <v>2.633850810355248</v>
      </c>
      <c r="N82" s="115">
        <v>76.463415665457191</v>
      </c>
      <c r="O82" s="115">
        <v>1.3078941197834697</v>
      </c>
      <c r="P82" s="115">
        <v>1.3043301996758168</v>
      </c>
      <c r="Q82" s="111">
        <v>1.3078941197834699</v>
      </c>
      <c r="R82" s="68">
        <v>1.3043301996758168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0.12666119789874755</v>
      </c>
      <c r="M83" s="115">
        <v>13.658954981518905</v>
      </c>
      <c r="N83" s="115">
        <v>518.50098927350757</v>
      </c>
      <c r="O83" s="115">
        <v>5.3863864566081148</v>
      </c>
      <c r="P83" s="115">
        <v>5.1702238458067686</v>
      </c>
      <c r="Q83" s="111">
        <v>5.3863864566081148</v>
      </c>
      <c r="R83" s="68">
        <v>5.1702238458067695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0.93021607903567805</v>
      </c>
      <c r="M84" s="115">
        <v>0.98595863510556103</v>
      </c>
      <c r="N84" s="115">
        <v>6.8328138851799967</v>
      </c>
      <c r="O84" s="115">
        <v>0.82873173683023016</v>
      </c>
      <c r="P84" s="115">
        <v>0.94094692278357828</v>
      </c>
      <c r="Q84" s="111">
        <v>0.82873173683023016</v>
      </c>
      <c r="R84" s="68">
        <v>0.94094692278357839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0.98440312068881242</v>
      </c>
      <c r="M85" s="115">
        <v>0.8616829553437606</v>
      </c>
      <c r="N85" s="115">
        <v>0.34581836409444017</v>
      </c>
      <c r="O85" s="115">
        <v>0.81613825993262479</v>
      </c>
      <c r="P85" s="115">
        <v>0.94735053881705011</v>
      </c>
      <c r="Q85" s="111">
        <v>0.81613825993262479</v>
      </c>
      <c r="R85" s="68">
        <v>0.94735053881705023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0.9319149391260878</v>
      </c>
      <c r="M86" s="115">
        <v>0.97951835582656321</v>
      </c>
      <c r="N86" s="115">
        <v>6.5326649526803191</v>
      </c>
      <c r="O86" s="115">
        <v>0.82743600129472428</v>
      </c>
      <c r="P86" s="115">
        <v>0.9403743455095378</v>
      </c>
      <c r="Q86" s="111">
        <v>0.82743600129472428</v>
      </c>
      <c r="R86" s="68">
        <v>0.9403743455095378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5.0532989673537844E-4</v>
      </c>
      <c r="M87" s="115">
        <v>94.752296025895618</v>
      </c>
      <c r="N87" s="115">
        <v>3688.1857700844648</v>
      </c>
      <c r="O87" s="115">
        <v>22.025445338499853</v>
      </c>
      <c r="P87" s="115">
        <v>9.1851163297559957</v>
      </c>
      <c r="Q87" s="111">
        <v>22.025445338499853</v>
      </c>
      <c r="R87" s="68">
        <v>9.1851163297559975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0.60048251009072162</v>
      </c>
      <c r="M88" s="115">
        <v>4.0758209889335637</v>
      </c>
      <c r="N88" s="115">
        <v>135.23975106931778</v>
      </c>
      <c r="O88" s="115">
        <v>1.7830654081590411</v>
      </c>
      <c r="P88" s="115">
        <v>1.7090703883589526</v>
      </c>
      <c r="Q88" s="111">
        <v>1.7830654081590411</v>
      </c>
      <c r="R88" s="68">
        <v>1.7090703883589526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0.69746737540321802</v>
      </c>
      <c r="M89" s="115">
        <v>2.8553391929191601</v>
      </c>
      <c r="N89" s="115">
        <v>85.545181630305251</v>
      </c>
      <c r="O89" s="115">
        <v>1.379082325087839</v>
      </c>
      <c r="P89" s="115">
        <v>1.3635769031200764</v>
      </c>
      <c r="Q89" s="111">
        <v>1.3790823250878392</v>
      </c>
      <c r="R89" s="68">
        <v>1.3635769031200764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0.86274206594006175</v>
      </c>
      <c r="M90" s="115">
        <v>1.3439915245769589</v>
      </c>
      <c r="N90" s="115">
        <v>22.642173405706497</v>
      </c>
      <c r="O90" s="115">
        <v>0.9178504219020801</v>
      </c>
      <c r="P90" s="115">
        <v>0.99748601972182438</v>
      </c>
      <c r="Q90" s="111">
        <v>0.91785042190208022</v>
      </c>
      <c r="R90" s="68">
        <v>0.99748601972182438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3.3250466885106568E-3</v>
      </c>
      <c r="M91" s="115">
        <v>46.732293971712551</v>
      </c>
      <c r="N91" s="115">
        <v>1808.3881681957539</v>
      </c>
      <c r="O91" s="115">
        <v>12.876113030928675</v>
      </c>
      <c r="P91" s="115">
        <v>8.0249439302425287</v>
      </c>
      <c r="Q91" s="111">
        <v>12.876113030928675</v>
      </c>
      <c r="R91" s="68">
        <v>8.0249439302425287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0.17664022899473447</v>
      </c>
      <c r="M92" s="115">
        <v>12.280659859514811</v>
      </c>
      <c r="N92" s="115">
        <v>463.62870365251194</v>
      </c>
      <c r="O92" s="115">
        <v>4.8173261174138116</v>
      </c>
      <c r="P92" s="115">
        <v>4.5797325969011204</v>
      </c>
      <c r="Q92" s="111">
        <v>4.8173261174138116</v>
      </c>
      <c r="R92" s="68">
        <v>4.5797325969011204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3.8811156656153208E-2</v>
      </c>
      <c r="M93" s="115">
        <v>16.48723635240199</v>
      </c>
      <c r="N93" s="115">
        <v>631.65181467410378</v>
      </c>
      <c r="O93" s="115">
        <v>6.6995902893283272</v>
      </c>
      <c r="P93" s="115">
        <v>6.6570423868627202</v>
      </c>
      <c r="Q93" s="111">
        <v>6.6995902893283281</v>
      </c>
      <c r="R93" s="68">
        <v>6.6570423868627202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0.8933847029321953</v>
      </c>
      <c r="M94" s="115">
        <v>1.0090013513540219</v>
      </c>
      <c r="N94" s="115">
        <v>11.873561313590631</v>
      </c>
      <c r="O94" s="115">
        <v>1.2469068480589096</v>
      </c>
      <c r="P94" s="115">
        <v>1.734537841408297</v>
      </c>
      <c r="Q94" s="111">
        <v>1.2469068480589098</v>
      </c>
      <c r="R94" s="68">
        <v>1.7345378414082973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7.83557942608748E-3</v>
      </c>
      <c r="M95" s="115">
        <v>23.602750485599223</v>
      </c>
      <c r="N95" s="115">
        <v>909.94518765270686</v>
      </c>
      <c r="O95" s="115">
        <v>8.497056719795955</v>
      </c>
      <c r="P95" s="115">
        <v>7.6188594200561299</v>
      </c>
      <c r="Q95" s="111">
        <v>8.4970567197959568</v>
      </c>
      <c r="R95" s="68">
        <v>7.6188594200561299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0.96557575706817445</v>
      </c>
      <c r="M96" s="115">
        <v>0.88400050274837494</v>
      </c>
      <c r="N96" s="115">
        <v>1.8062836507968458</v>
      </c>
      <c r="O96" s="115">
        <v>0.81323118071328859</v>
      </c>
      <c r="P96" s="115">
        <v>0.93898304483569106</v>
      </c>
      <c r="Q96" s="111">
        <v>0.81323118071328859</v>
      </c>
      <c r="R96" s="68">
        <v>0.93898304483569106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0.92935018534513048</v>
      </c>
      <c r="M97" s="115">
        <v>0.98929608314201256</v>
      </c>
      <c r="N97" s="115">
        <v>6.9878850313107126</v>
      </c>
      <c r="O97" s="115">
        <v>0.82941204290184412</v>
      </c>
      <c r="P97" s="115">
        <v>0.94125627685756152</v>
      </c>
      <c r="Q97" s="111">
        <v>0.82941204290184412</v>
      </c>
      <c r="R97" s="68">
        <v>0.94125627685756152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1.8293500109771082E-2</v>
      </c>
      <c r="M98" s="115">
        <v>17.164792019934399</v>
      </c>
      <c r="N98" s="115">
        <v>659.55339380089345</v>
      </c>
      <c r="O98" s="115">
        <v>7.1297872216073603</v>
      </c>
      <c r="P98" s="115">
        <v>7.2344206120468977</v>
      </c>
      <c r="Q98" s="111">
        <v>7.1297872216073603</v>
      </c>
      <c r="R98" s="68">
        <v>7.2344206120468986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0.98819931588170296</v>
      </c>
      <c r="M99" s="115">
        <v>0.86052471159404686</v>
      </c>
      <c r="N99" s="115">
        <v>0.1782269090498847</v>
      </c>
      <c r="O99" s="115">
        <v>0.81785337839031202</v>
      </c>
      <c r="P99" s="115">
        <v>0.94994880365843981</v>
      </c>
      <c r="Q99" s="111">
        <v>0.81785337839031202</v>
      </c>
      <c r="R99" s="68">
        <v>0.94994880365843992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0.4100471982459547</v>
      </c>
      <c r="M100" s="115">
        <v>7.1352212237162975</v>
      </c>
      <c r="N100" s="115">
        <v>258.38274593195138</v>
      </c>
      <c r="O100" s="115">
        <v>2.8559324101924894</v>
      </c>
      <c r="P100" s="115">
        <v>2.6758969235690007</v>
      </c>
      <c r="Q100" s="111">
        <v>2.8559324101924894</v>
      </c>
      <c r="R100" s="68">
        <v>2.6758969235690007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0.98242441750174869</v>
      </c>
      <c r="M101" s="115">
        <v>0.8627739731223184</v>
      </c>
      <c r="N101" s="115">
        <v>0.4516537581387452</v>
      </c>
      <c r="O101" s="115">
        <v>0.81540672208384646</v>
      </c>
      <c r="P101" s="115">
        <v>0.94612475831492504</v>
      </c>
      <c r="Q101" s="111">
        <v>0.81540672208384646</v>
      </c>
      <c r="R101" s="68">
        <v>0.94612475831492515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0.99306557550678243</v>
      </c>
      <c r="M102" s="115">
        <v>0.86101676588637588</v>
      </c>
      <c r="N102" s="115">
        <v>3.8243540679094919E-2</v>
      </c>
      <c r="O102" s="115">
        <v>0.82070179496211815</v>
      </c>
      <c r="P102" s="115">
        <v>0.95378245943055584</v>
      </c>
      <c r="Q102" s="111">
        <v>0.82070179496211826</v>
      </c>
      <c r="R102" s="68">
        <v>0.95378245943055595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0.98846999173989003</v>
      </c>
      <c r="M103" s="115">
        <v>0.8604915037788341</v>
      </c>
      <c r="N103" s="115">
        <v>0.16814851599682978</v>
      </c>
      <c r="O103" s="115">
        <v>0.81799201422638335</v>
      </c>
      <c r="P103" s="115">
        <v>0.95014685681827649</v>
      </c>
      <c r="Q103" s="111">
        <v>0.81799201422638346</v>
      </c>
      <c r="R103" s="68">
        <v>0.9501468568182766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0.94892517119793451</v>
      </c>
      <c r="M104" s="115">
        <v>0.92325992758645736</v>
      </c>
      <c r="N104" s="115">
        <v>3.8402783067239286</v>
      </c>
      <c r="O104" s="115">
        <v>0.81742171640918537</v>
      </c>
      <c r="P104" s="115">
        <v>0.93722940919075814</v>
      </c>
      <c r="Q104" s="111">
        <v>0.81742171640918537</v>
      </c>
      <c r="R104" s="68">
        <v>0.93722940919075814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0.9923515915484471</v>
      </c>
      <c r="M105" s="115">
        <v>0.86079228458399815</v>
      </c>
      <c r="N105" s="115">
        <v>5.3025470216500309E-2</v>
      </c>
      <c r="O105" s="115">
        <v>0.82023445143992435</v>
      </c>
      <c r="P105" s="115">
        <v>0.95318253721552582</v>
      </c>
      <c r="Q105" s="111">
        <v>0.82023445143992446</v>
      </c>
      <c r="R105" s="68">
        <v>0.95318253721552582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0.82433593703074048</v>
      </c>
      <c r="M106" s="115">
        <v>1.6233619272569801</v>
      </c>
      <c r="N106" s="115">
        <v>34.516753995344942</v>
      </c>
      <c r="O106" s="115">
        <v>0.99704222024225664</v>
      </c>
      <c r="P106" s="115">
        <v>1.055848470170365</v>
      </c>
      <c r="Q106" s="111">
        <v>0.99704222024225664</v>
      </c>
      <c r="R106" s="68">
        <v>1.055848470170365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1.3600416157054825E-2</v>
      </c>
      <c r="M107" s="115">
        <v>17.280756871385382</v>
      </c>
      <c r="N107" s="115">
        <v>664.63436145915523</v>
      </c>
      <c r="O107" s="115">
        <v>7.2420935283848049</v>
      </c>
      <c r="P107" s="115">
        <v>7.4075065407570388</v>
      </c>
      <c r="Q107" s="111">
        <v>7.2420935283848058</v>
      </c>
      <c r="R107" s="68">
        <v>7.4075065407570388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0.47213977154088482</v>
      </c>
      <c r="M108" s="115">
        <v>6.0397353664989621</v>
      </c>
      <c r="N108" s="115">
        <v>214.44219853431875</v>
      </c>
      <c r="O108" s="115">
        <v>2.4635557552137031</v>
      </c>
      <c r="P108" s="115">
        <v>2.3156205195011799</v>
      </c>
      <c r="Q108" s="111">
        <v>2.4635557552137035</v>
      </c>
      <c r="R108" s="68">
        <v>2.3156205195011799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2024-10-28T23:30:16Z</dcterms:modified>
</cp:coreProperties>
</file>