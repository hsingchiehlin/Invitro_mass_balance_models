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718DD6C0-2A75-436C-84F0-95D56D64F32F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<sst xmlns="http://schemas.openxmlformats.org/spreadsheetml/2006/main" count="3131" uniqueCount="515">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</sst>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1.4392E-2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1.4392E-2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3.5980000000000002E-4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3.428894E-4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8.1321380454671291E-8</v>
      </c>
      <c r="J2" s="67" t="s">
        <v>231</v>
      </c>
      <c r="K2" s="68">
        <v>1.0972504883645308E-3</v>
      </c>
      <c r="L2" s="67" t="s">
        <v>231</v>
      </c>
      <c r="M2" s="68">
        <v>1.1398821798434926E-3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7.2924112074746912E-6</v>
      </c>
      <c r="J3" s="67" t="s">
        <v>231</v>
      </c>
      <c r="K3" s="68">
        <v>0.21302570267291152</v>
      </c>
      <c r="L3" s="67" t="s">
        <v>231</v>
      </c>
      <c r="M3" s="68">
        <v>0.22385892032961449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9.156712674765896E-15</v>
      </c>
      <c r="J4" s="67" t="s">
        <v>231</v>
      </c>
      <c r="K4" s="68">
        <v>3.0103468737274017E-3</v>
      </c>
      <c r="L4" s="67" t="s">
        <v>231</v>
      </c>
      <c r="M4" s="68">
        <v>3.0571687262257313E-3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1.2031471885733348E-10</v>
      </c>
      <c r="J5" s="67" t="s">
        <v>231</v>
      </c>
      <c r="K5" s="68">
        <v>4.1982178664908484E-2</v>
      </c>
      <c r="L5" s="67" t="s">
        <v>231</v>
      </c>
      <c r="M5" s="68">
        <v>4.4336352755005019E-2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3.4355846049604882E-7</v>
      </c>
      <c r="J6" s="67" t="s">
        <v>231</v>
      </c>
      <c r="K6" s="68">
        <v>5.929531372399964E-2</v>
      </c>
      <c r="L6" s="67" t="s">
        <v>231</v>
      </c>
      <c r="M6" s="68">
        <v>6.2628363299574219E-2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1.5386114426363752E-6</v>
      </c>
      <c r="J7" s="67" t="s">
        <v>231</v>
      </c>
      <c r="K7" s="68">
        <v>7.7667799275509333E-2</v>
      </c>
      <c r="L7" s="67" t="s">
        <v>231</v>
      </c>
      <c r="M7" s="68">
        <v>8.20352636447617E-2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5.190153946849106E-9</v>
      </c>
      <c r="J8" s="67" t="s">
        <v>231</v>
      </c>
      <c r="K8" s="68">
        <v>6.5009203161373874E-2</v>
      </c>
      <c r="L8" s="67" t="s">
        <v>231</v>
      </c>
      <c r="M8" s="68">
        <v>6.8666042343835276E-2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4.1467474430285033E-7</v>
      </c>
      <c r="J9" s="67" t="s">
        <v>231</v>
      </c>
      <c r="K9" s="68">
        <v>3.6954414740537435E-2</v>
      </c>
      <c r="L9" s="67" t="s">
        <v>231</v>
      </c>
      <c r="M9" s="68">
        <v>3.9023853346353075E-2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1.7009190992785668E-4</v>
      </c>
      <c r="J10" s="67" t="s">
        <v>231</v>
      </c>
      <c r="K10" s="68">
        <v>0.52842992110595621</v>
      </c>
      <c r="L10" s="67" t="s">
        <v>231</v>
      </c>
      <c r="M10" s="68">
        <v>0.55789509111006175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1.8868818724464221E-9</v>
      </c>
      <c r="J11" s="67" t="s">
        <v>231</v>
      </c>
      <c r="K11" s="68">
        <v>1.8001046947802315</v>
      </c>
      <c r="L11" s="67" t="s">
        <v>232</v>
      </c>
      <c r="M11" s="68">
        <v>1.9010801990385628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2.4046100638006307E-8</v>
      </c>
      <c r="J12" s="67" t="s">
        <v>231</v>
      </c>
      <c r="K12" s="68">
        <v>7.5061792741973159E-5</v>
      </c>
      <c r="L12" s="67" t="s">
        <v>231</v>
      </c>
      <c r="M12" s="68">
        <v>6.1606754304582777E-5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8.9138452707517599E-4</v>
      </c>
      <c r="J13" s="67" t="s">
        <v>231</v>
      </c>
      <c r="K13" s="68">
        <v>0.16112130095034466</v>
      </c>
      <c r="L13" s="67" t="s">
        <v>231</v>
      </c>
      <c r="M13" s="68">
        <v>0.17009127277264835</v>
      </c>
      <c r="N13" s="67" t="s">
        <v>231</v>
      </c>
      <c r="P13" s="109" t="s">
        <v>192</v>
      </c>
      <c r="Q13" s="103">
        <f>COUNTIF(J2:J50000,"Yes")</f>
        <v>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8.8615499178046266E-9</v>
      </c>
      <c r="J14" s="67" t="s">
        <v>231</v>
      </c>
      <c r="K14" s="68">
        <v>0.15038822964911427</v>
      </c>
      <c r="L14" s="67" t="s">
        <v>231</v>
      </c>
      <c r="M14" s="68">
        <v>0.15885405286248924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1.0560472134354797E-6</v>
      </c>
      <c r="J15" s="67" t="s">
        <v>231</v>
      </c>
      <c r="K15" s="68">
        <v>2.7286593282343546E-2</v>
      </c>
      <c r="L15" s="67" t="s">
        <v>231</v>
      </c>
      <c r="M15" s="68">
        <v>2.8792631522639556E-2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7.7513332994263119E-5</v>
      </c>
      <c r="J16" s="67" t="s">
        <v>231</v>
      </c>
      <c r="K16" s="68">
        <v>0.1799295609242442</v>
      </c>
      <c r="L16" s="67" t="s">
        <v>231</v>
      </c>
      <c r="M16" s="68">
        <v>0.18994861064267041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1.7520854400993187E-6</v>
      </c>
      <c r="J17" s="67" t="s">
        <v>231</v>
      </c>
      <c r="K17" s="68">
        <v>0.16777929600720873</v>
      </c>
      <c r="L17" s="67" t="s">
        <v>231</v>
      </c>
      <c r="M17" s="68">
        <v>0.17712066247303801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1.1536283718139224E-3</v>
      </c>
      <c r="J18" s="67" t="s">
        <v>231</v>
      </c>
      <c r="K18" s="68">
        <v>1.5468472900059809</v>
      </c>
      <c r="L18" s="67" t="s">
        <v>232</v>
      </c>
      <c r="M18" s="68">
        <v>1.6331366718076534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1.7998531292848574E-6</v>
      </c>
      <c r="J19" s="67" t="s">
        <v>231</v>
      </c>
      <c r="K19" s="68">
        <v>9.6532506178977542E-3</v>
      </c>
      <c r="L19" s="67" t="s">
        <v>231</v>
      </c>
      <c r="M19" s="68">
        <v>1.0173979581960845E-2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5.0028264510652013E-6</v>
      </c>
      <c r="J20" s="67" t="s">
        <v>231</v>
      </c>
      <c r="K20" s="68">
        <v>1.6480456311657569E-2</v>
      </c>
      <c r="L20" s="67" t="s">
        <v>231</v>
      </c>
      <c r="M20" s="68">
        <v>1.7382406723944751E-2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1.8745240864630766E-6</v>
      </c>
      <c r="J21" s="67" t="s">
        <v>231</v>
      </c>
      <c r="K21" s="68">
        <v>0.19319808784721706</v>
      </c>
      <c r="L21" s="67" t="s">
        <v>231</v>
      </c>
      <c r="M21" s="68">
        <v>0.2039941372488196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4.0213980255471733E-8</v>
      </c>
      <c r="J22" s="67" t="s">
        <v>231</v>
      </c>
      <c r="K22" s="68">
        <v>1.7685023687985782E-3</v>
      </c>
      <c r="L22" s="67" t="s">
        <v>231</v>
      </c>
      <c r="M22" s="68">
        <v>1.8499003582330008E-3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1.0589296612044714E-5</v>
      </c>
      <c r="J23" s="67" t="s">
        <v>231</v>
      </c>
      <c r="K23" s="68">
        <v>4.5055022187959023E-2</v>
      </c>
      <c r="L23" s="67" t="s">
        <v>231</v>
      </c>
      <c r="M23" s="68">
        <v>4.755205016884019E-2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1.417026862733689E-4</v>
      </c>
      <c r="J24" s="67" t="s">
        <v>231</v>
      </c>
      <c r="K24" s="68">
        <v>0.24382354813198001</v>
      </c>
      <c r="L24" s="67" t="s">
        <v>231</v>
      </c>
      <c r="M24" s="68">
        <v>0.25740644988506911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4.1234516190771732E-4</v>
      </c>
      <c r="J25" s="67" t="s">
        <v>231</v>
      </c>
      <c r="K25" s="68">
        <v>1.4840338415409216</v>
      </c>
      <c r="L25" s="67" t="s">
        <v>232</v>
      </c>
      <c r="M25" s="68">
        <v>1.566815922122488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1.4986965910348168E-4</v>
      </c>
      <c r="J26" s="67" t="s">
        <v>231</v>
      </c>
      <c r="K26" s="68">
        <v>0.35031845568899805</v>
      </c>
      <c r="L26" s="67" t="s">
        <v>231</v>
      </c>
      <c r="M26" s="68">
        <v>0.36984398557963544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4.6863700236843588E-5</v>
      </c>
      <c r="J27" s="67" t="s">
        <v>231</v>
      </c>
      <c r="K27" s="68">
        <v>0.21925926502382781</v>
      </c>
      <c r="L27" s="67" t="s">
        <v>231</v>
      </c>
      <c r="M27" s="68">
        <v>0.23148314326205022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2.2988018482592241E-5</v>
      </c>
      <c r="J28" s="67" t="s">
        <v>231</v>
      </c>
      <c r="K28" s="68">
        <v>0.11137610684700809</v>
      </c>
      <c r="L28" s="67" t="s">
        <v>231</v>
      </c>
      <c r="M28" s="68">
        <v>0.11758420374571221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2.5833305052416232E-7</v>
      </c>
      <c r="J29" s="67" t="s">
        <v>231</v>
      </c>
      <c r="K29" s="68">
        <v>1.4368684589861893E-3</v>
      </c>
      <c r="L29" s="67" t="s">
        <v>231</v>
      </c>
      <c r="M29" s="68">
        <v>1.515803145258439E-3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5.6574289239459472E-6</v>
      </c>
      <c r="J30" s="67" t="s">
        <v>231</v>
      </c>
      <c r="K30" s="68">
        <v>4.378463800943079E-2</v>
      </c>
      <c r="L30" s="67" t="s">
        <v>231</v>
      </c>
      <c r="M30" s="68">
        <v>4.6225158275113434E-2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8.9687530840457978E-8</v>
      </c>
      <c r="J31" s="67" t="s">
        <v>231</v>
      </c>
      <c r="K31" s="68">
        <v>7.6790161320573378E-4</v>
      </c>
      <c r="L31" s="67" t="s">
        <v>231</v>
      </c>
      <c r="M31" s="68">
        <v>8.1069588586250916E-4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8.2201068179529386E-5</v>
      </c>
      <c r="J32" s="67" t="s">
        <v>231</v>
      </c>
      <c r="K32" s="68">
        <v>0.14088582198355382</v>
      </c>
      <c r="L32" s="67" t="s">
        <v>231</v>
      </c>
      <c r="M32" s="68">
        <v>0.14872714846252866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2.8556775210341821E-5</v>
      </c>
      <c r="J33" s="67" t="s">
        <v>231</v>
      </c>
      <c r="K33" s="68">
        <v>7.3337960148263867E-2</v>
      </c>
      <c r="L33" s="67" t="s">
        <v>231</v>
      </c>
      <c r="M33" s="68">
        <v>7.7411519653856703E-2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7.043206525577056E-5</v>
      </c>
      <c r="J34" s="67" t="s">
        <v>231</v>
      </c>
      <c r="K34" s="68">
        <v>0.383567173836946</v>
      </c>
      <c r="L34" s="67" t="s">
        <v>231</v>
      </c>
      <c r="M34" s="68">
        <v>0.40494519201889584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3.3222130007512138E-4</v>
      </c>
      <c r="J35" s="67" t="s">
        <v>231</v>
      </c>
      <c r="K35" s="68">
        <v>0.50623842291597054</v>
      </c>
      <c r="L35" s="67" t="s">
        <v>231</v>
      </c>
      <c r="M35" s="68">
        <v>0.53446392823775046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5.5864545082686529E-4</v>
      </c>
      <c r="J36" s="67" t="s">
        <v>231</v>
      </c>
      <c r="K36" s="68">
        <v>0.93234172090250933</v>
      </c>
      <c r="L36" s="67" t="s">
        <v>231</v>
      </c>
      <c r="M36" s="68">
        <v>0.98433717979969471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2.5319584493007204E-4</v>
      </c>
      <c r="J37" s="67" t="s">
        <v>231</v>
      </c>
      <c r="K37" s="68">
        <v>1.528710660510652</v>
      </c>
      <c r="L37" s="67" t="s">
        <v>232</v>
      </c>
      <c r="M37" s="68">
        <v>1.6139873613141356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1.7166734170930784E-4</v>
      </c>
      <c r="J38" s="67" t="s">
        <v>231</v>
      </c>
      <c r="K38" s="68">
        <v>1.1885687548694128</v>
      </c>
      <c r="L38" s="67" t="s">
        <v>232</v>
      </c>
      <c r="M38" s="68">
        <v>1.2548600212867931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1.1790293792662594E-4</v>
      </c>
      <c r="J39" s="67" t="s">
        <v>231</v>
      </c>
      <c r="K39" s="68">
        <v>0.99049009183980308</v>
      </c>
      <c r="L39" s="67" t="s">
        <v>231</v>
      </c>
      <c r="M39" s="68">
        <v>1.0457299332297878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1.7166734170930784E-4</v>
      </c>
      <c r="J40" s="67" t="s">
        <v>231</v>
      </c>
      <c r="K40" s="68">
        <v>1.1885687548694128</v>
      </c>
      <c r="L40" s="67" t="s">
        <v>232</v>
      </c>
      <c r="M40" s="68">
        <v>1.2548600212867931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8.4417921410588752E-9</v>
      </c>
      <c r="J41" s="67" t="s">
        <v>231</v>
      </c>
      <c r="K41" s="68">
        <v>5.1931680397700707E-3</v>
      </c>
      <c r="L41" s="67" t="s">
        <v>231</v>
      </c>
      <c r="M41" s="68">
        <v>5.4675670985089454E-3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4.5543471726853255E-4</v>
      </c>
      <c r="J42" s="67" t="s">
        <v>231</v>
      </c>
      <c r="K42" s="68">
        <v>1.5443490515388394</v>
      </c>
      <c r="L42" s="67" t="s">
        <v>232</v>
      </c>
      <c r="M42" s="68">
        <v>1.630499071520948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1.5874444320253919E-3</v>
      </c>
      <c r="J43" s="67" t="s">
        <v>231</v>
      </c>
      <c r="K43" s="68">
        <v>0.26030202479869585</v>
      </c>
      <c r="L43" s="67" t="s">
        <v>231</v>
      </c>
      <c r="M43" s="68">
        <v>0.27480403481399651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1.144959551592319E-3</v>
      </c>
      <c r="J44" s="67" t="s">
        <v>231</v>
      </c>
      <c r="K44" s="68">
        <v>0.73083061266874327</v>
      </c>
      <c r="L44" s="67" t="s">
        <v>231</v>
      </c>
      <c r="M44" s="68">
        <v>0.77158502777657401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1.1368696621694794E-3</v>
      </c>
      <c r="J45" s="67" t="s">
        <v>231</v>
      </c>
      <c r="K45" s="68">
        <v>1.6551264522693017</v>
      </c>
      <c r="L45" s="67" t="s">
        <v>232</v>
      </c>
      <c r="M45" s="68">
        <v>1.7474644402324753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1.7820704446070784E-4</v>
      </c>
      <c r="J46" s="67" t="s">
        <v>231</v>
      </c>
      <c r="K46" s="68">
        <v>1.5655330762358006</v>
      </c>
      <c r="L46" s="67" t="s">
        <v>232</v>
      </c>
      <c r="M46" s="68">
        <v>1.6528659883330246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3.8794255981639789E-4</v>
      </c>
      <c r="J47" s="142" t="s">
        <v>231</v>
      </c>
      <c r="K47" s="143">
        <v>1.4022002638111581</v>
      </c>
      <c r="L47" s="142" t="s">
        <v>232</v>
      </c>
      <c r="M47" s="143">
        <v>1.480414024317132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1.808258840332539E-4</v>
      </c>
      <c r="J48" s="142" t="s">
        <v>231</v>
      </c>
      <c r="K48" s="143">
        <v>0.47742814374101272</v>
      </c>
      <c r="L48" s="142" t="s">
        <v>231</v>
      </c>
      <c r="M48" s="143">
        <v>0.5040436927171027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6.7686723406980558E-4</v>
      </c>
      <c r="J49" s="142" t="s">
        <v>231</v>
      </c>
      <c r="K49" s="143">
        <v>0.76808334755423524</v>
      </c>
      <c r="L49" s="142" t="s">
        <v>231</v>
      </c>
      <c r="M49" s="143">
        <v>0.81091574688943802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1.6156774926513894E-4</v>
      </c>
      <c r="J50" s="142" t="s">
        <v>231</v>
      </c>
      <c r="K50" s="143">
        <v>0.83091589134812449</v>
      </c>
      <c r="L50" s="142" t="s">
        <v>231</v>
      </c>
      <c r="M50" s="143">
        <v>0.87725324852199138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3.8520800701665966E-4</v>
      </c>
      <c r="J51" s="142" t="s">
        <v>231</v>
      </c>
      <c r="K51" s="143">
        <v>0.49670944052721533</v>
      </c>
      <c r="L51" s="142" t="s">
        <v>231</v>
      </c>
      <c r="M51" s="143">
        <v>0.52440162491427367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8.4198825236463572E-3</v>
      </c>
      <c r="J52" s="142" t="s">
        <v>231</v>
      </c>
      <c r="K52" s="143">
        <v>0.47956331430434257</v>
      </c>
      <c r="L52" s="142" t="s">
        <v>231</v>
      </c>
      <c r="M52" s="143">
        <v>0.50629806330652527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1.3918429597852909E-3</v>
      </c>
      <c r="J53" s="142" t="s">
        <v>231</v>
      </c>
      <c r="K53" s="143">
        <v>1.0269508637126961</v>
      </c>
      <c r="L53" s="142" t="s">
        <v>232</v>
      </c>
      <c r="M53" s="143">
        <v>1.0842245240356951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7.8689718356502673E-4</v>
      </c>
      <c r="J54" s="67" t="s">
        <v>231</v>
      </c>
      <c r="K54" s="68">
        <v>0.79941024414952955</v>
      </c>
      <c r="L54" s="67" t="s">
        <v>231</v>
      </c>
      <c r="M54" s="68">
        <v>0.84399011870420648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4.1061920620818104E-4</v>
      </c>
      <c r="J55" s="67" t="s">
        <v>231</v>
      </c>
      <c r="K55" s="68">
        <v>1.3931074699553974</v>
      </c>
      <c r="L55" s="67" t="s">
        <v>232</v>
      </c>
      <c r="M55" s="68">
        <v>1.4708136923990072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4.7950492610435548E-4</v>
      </c>
      <c r="J56" s="67" t="s">
        <v>231</v>
      </c>
      <c r="K56" s="68">
        <v>0.74321920765889982</v>
      </c>
      <c r="L56" s="67" t="s">
        <v>231</v>
      </c>
      <c r="M56" s="68">
        <v>0.78466466171422489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1.3511845698269578E-3</v>
      </c>
      <c r="J57" s="67" t="s">
        <v>231</v>
      </c>
      <c r="K57" s="68">
        <v>0.46566921651845122</v>
      </c>
      <c r="L57" s="67" t="s">
        <v>231</v>
      </c>
      <c r="M57" s="68">
        <v>0.49162846616135752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4.7694144502711039E-3</v>
      </c>
      <c r="J58" s="67" t="s">
        <v>231</v>
      </c>
      <c r="K58" s="68">
        <v>0.80570491748294959</v>
      </c>
      <c r="L58" s="67" t="s">
        <v>231</v>
      </c>
      <c r="M58" s="68">
        <v>0.85063592538646371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8.7122484424926076E-4</v>
      </c>
      <c r="J59" s="67" t="s">
        <v>231</v>
      </c>
      <c r="K59" s="68">
        <v>0.47961659832020864</v>
      </c>
      <c r="L59" s="67" t="s">
        <v>231</v>
      </c>
      <c r="M59" s="68">
        <v>0.50635431780563622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2.0695420807787927E-3</v>
      </c>
      <c r="J60" s="67" t="s">
        <v>231</v>
      </c>
      <c r="K60" s="68">
        <v>0.97026555100373801</v>
      </c>
      <c r="L60" s="67" t="s">
        <v>231</v>
      </c>
      <c r="M60" s="68">
        <v>1.0243767195315312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1.9887322361673631E-5</v>
      </c>
      <c r="J61" s="67" t="s">
        <v>231</v>
      </c>
      <c r="K61" s="68">
        <v>0.60748710836921838</v>
      </c>
      <c r="L61" s="67" t="s">
        <v>231</v>
      </c>
      <c r="M61" s="68">
        <v>0.62632417641698435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1.0872036530032153E-4</v>
      </c>
      <c r="J62" s="67" t="s">
        <v>231</v>
      </c>
      <c r="K62" s="68">
        <v>0.37465470365928966</v>
      </c>
      <c r="L62" s="67" t="s">
        <v>231</v>
      </c>
      <c r="M62" s="68">
        <v>0.39553551497046996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1.6228839070614551E-6</v>
      </c>
      <c r="J63" s="67" t="s">
        <v>231</v>
      </c>
      <c r="K63" s="68">
        <v>0.10487375136667001</v>
      </c>
      <c r="L63" s="67" t="s">
        <v>231</v>
      </c>
      <c r="M63" s="68">
        <v>0.10743618570171461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1.0523000725097227E-7</v>
      </c>
      <c r="J64" s="67" t="s">
        <v>231</v>
      </c>
      <c r="K64" s="68">
        <v>2.1513529681910564E-3</v>
      </c>
      <c r="L64" s="67" t="s">
        <v>231</v>
      </c>
      <c r="M64" s="68">
        <v>2.2534693014739171E-3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2.0082224753153744E-8</v>
      </c>
      <c r="J65" s="67" t="s">
        <v>231</v>
      </c>
      <c r="K65" s="68">
        <v>9.359584060840434E-3</v>
      </c>
      <c r="L65" s="67" t="s">
        <v>231</v>
      </c>
      <c r="M65" s="68">
        <v>9.5485772630042164E-3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1.1135989481056279E-7</v>
      </c>
      <c r="J66" s="67" t="s">
        <v>231</v>
      </c>
      <c r="K66" s="68">
        <v>0.66383961720225604</v>
      </c>
      <c r="L66" s="67" t="s">
        <v>231</v>
      </c>
      <c r="M66" s="68">
        <v>0.67845797367655225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1.9795484680871495E-8</v>
      </c>
      <c r="J67" s="67" t="s">
        <v>231</v>
      </c>
      <c r="K67" s="68">
        <v>7.7989122394200904E-3</v>
      </c>
      <c r="L67" s="67" t="s">
        <v>231</v>
      </c>
      <c r="M67" s="68">
        <v>7.9543394886905944E-3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6.4478346583850656E-9</v>
      </c>
      <c r="J68" s="67" t="s">
        <v>231</v>
      </c>
      <c r="K68" s="68">
        <v>1.0530635450724814E-3</v>
      </c>
      <c r="L68" s="67" t="s">
        <v>231</v>
      </c>
      <c r="M68" s="68">
        <v>1.0583558092586882E-3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2.7589496834429798E-5</v>
      </c>
      <c r="J69" s="67" t="s">
        <v>231</v>
      </c>
      <c r="K69" s="68">
        <v>0.68038984537184943</v>
      </c>
      <c r="L69" s="67" t="s">
        <v>231</v>
      </c>
      <c r="M69" s="68">
        <v>0.71833071180057173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2.2278380189775352E-14</v>
      </c>
      <c r="J70" s="67" t="s">
        <v>231</v>
      </c>
      <c r="K70" s="68">
        <v>3.5339252566187114E-3</v>
      </c>
      <c r="L70" s="67" t="s">
        <v>231</v>
      </c>
      <c r="M70" s="68">
        <v>3.7145927681568975E-3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1.8853959218317235E-10</v>
      </c>
      <c r="J71" s="67" t="s">
        <v>231</v>
      </c>
      <c r="K71" s="68">
        <v>6.2970168442327123E-3</v>
      </c>
      <c r="L71" s="67" t="s">
        <v>231</v>
      </c>
      <c r="M71" s="68">
        <v>6.6338127057527976E-3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2.3699027247312293E-14</v>
      </c>
      <c r="J72" s="67" t="s">
        <v>231</v>
      </c>
      <c r="K72" s="68">
        <v>0.50822819175737799</v>
      </c>
      <c r="L72" s="67" t="s">
        <v>231</v>
      </c>
      <c r="M72" s="68">
        <v>0.53685124785106597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1.5294600367123657E-11</v>
      </c>
      <c r="J73" s="67" t="s">
        <v>231</v>
      </c>
      <c r="K73" s="68">
        <v>7.0741228611260962E-2</v>
      </c>
      <c r="L73" s="67" t="s">
        <v>231</v>
      </c>
      <c r="M73" s="68">
        <v>7.4724659925952383E-2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1.7767074716972652E-11</v>
      </c>
      <c r="J74" s="67" t="s">
        <v>231</v>
      </c>
      <c r="K74" s="68">
        <v>5.7680245964561389E-3</v>
      </c>
      <c r="L74" s="67" t="s">
        <v>231</v>
      </c>
      <c r="M74" s="68">
        <v>6.0749282377555152E-3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9.472562779478365E-14</v>
      </c>
      <c r="J75" s="67" t="s">
        <v>231</v>
      </c>
      <c r="K75" s="68">
        <v>7.104474075608451E-2</v>
      </c>
      <c r="L75" s="67" t="s">
        <v>231</v>
      </c>
      <c r="M75" s="68">
        <v>7.5045143344585064E-2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8.2234270247276916E-9</v>
      </c>
      <c r="J76" s="67" t="s">
        <v>231</v>
      </c>
      <c r="K76" s="68">
        <v>4.9776003528420112E-2</v>
      </c>
      <c r="L76" s="67" t="s">
        <v>231</v>
      </c>
      <c r="M76" s="68">
        <v>5.2571010745379981E-2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6.4300127793933535E-8</v>
      </c>
      <c r="J77" s="67" t="s">
        <v>231</v>
      </c>
      <c r="K77" s="68">
        <v>7.0836568343004738E-2</v>
      </c>
      <c r="L77" s="67" t="s">
        <v>231</v>
      </c>
      <c r="M77" s="68">
        <v>7.4825335709157018E-2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2.4128463582886041E-13</v>
      </c>
      <c r="J78" s="67" t="s">
        <v>231</v>
      </c>
      <c r="K78" s="68">
        <v>0.43873047077780319</v>
      </c>
      <c r="L78" s="67" t="s">
        <v>231</v>
      </c>
      <c r="M78" s="68">
        <v>0.4634394444751006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1.3274228620439923E-16</v>
      </c>
      <c r="J79" s="67" t="s">
        <v>231</v>
      </c>
      <c r="K79" s="68">
        <v>0.43873029488596543</v>
      </c>
      <c r="L79" s="67" t="s">
        <v>231</v>
      </c>
      <c r="M79" s="68">
        <v>0.4634392588200586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2.0187038186479224E-14</v>
      </c>
      <c r="J80" s="67" t="s">
        <v>231</v>
      </c>
      <c r="K80" s="68">
        <v>6.8189880372324069E-2</v>
      </c>
      <c r="L80" s="67" t="s">
        <v>231</v>
      </c>
      <c r="M80" s="68">
        <v>7.2027203270706122E-2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6.9608793373529329E-11</v>
      </c>
      <c r="J81" s="67" t="s">
        <v>231</v>
      </c>
      <c r="K81" s="68">
        <v>1.9770553480428162E-2</v>
      </c>
      <c r="L81" s="67" t="s">
        <v>231</v>
      </c>
      <c r="M81" s="68">
        <v>2.0868868173351384E-2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1.3747232200339392E-15</v>
      </c>
      <c r="J82" s="67" t="s">
        <v>231</v>
      </c>
      <c r="K82" s="68">
        <v>3.6981482229931577E-2</v>
      </c>
      <c r="L82" s="67" t="s">
        <v>231</v>
      </c>
      <c r="M82" s="68">
        <v>3.9052868580373219E-2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1.2505507877431569E-14</v>
      </c>
      <c r="J83" s="67" t="s">
        <v>231</v>
      </c>
      <c r="K83" s="68">
        <v>0.74196508723122423</v>
      </c>
      <c r="L83" s="67" t="s">
        <v>231</v>
      </c>
      <c r="M83" s="68">
        <v>0.78375210067168022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3.0070997529593968E-2</v>
      </c>
      <c r="J84" s="67" t="s">
        <v>232</v>
      </c>
      <c r="K84" s="68">
        <v>0.30555474214582817</v>
      </c>
      <c r="L84" s="67" t="s">
        <v>231</v>
      </c>
      <c r="M84" s="68">
        <v>0.32258092284183232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1.1444773566156966E-6</v>
      </c>
      <c r="J85" s="67" t="s">
        <v>231</v>
      </c>
      <c r="K85" s="68">
        <v>2.1920258190861004</v>
      </c>
      <c r="L85" s="67" t="s">
        <v>232</v>
      </c>
      <c r="M85" s="68">
        <v>2.24015358798014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1.1207801546147099E-4</v>
      </c>
      <c r="J86" s="67" t="s">
        <v>231</v>
      </c>
      <c r="K86" s="68">
        <v>1.6326699601436547</v>
      </c>
      <c r="L86" s="67" t="s">
        <v>232</v>
      </c>
      <c r="M86" s="68">
        <v>1.7237531176389396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7.4967241176309286E-5</v>
      </c>
      <c r="J87" s="67" t="s">
        <v>231</v>
      </c>
      <c r="K87" s="68">
        <v>1.7259337967912094</v>
      </c>
      <c r="L87" s="67" t="s">
        <v>232</v>
      </c>
      <c r="M87" s="68">
        <v>1.8222306927095122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1.0885745604324182E-4</v>
      </c>
      <c r="J88" s="67" t="s">
        <v>231</v>
      </c>
      <c r="K88" s="68">
        <v>1.7853555487139015</v>
      </c>
      <c r="L88" s="67" t="s">
        <v>232</v>
      </c>
      <c r="M88" s="68">
        <v>1.8849803127025448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3.5647274517738721E-8</v>
      </c>
      <c r="J89" s="67" t="s">
        <v>231</v>
      </c>
      <c r="K89" s="68">
        <v>2.6723462380638376</v>
      </c>
      <c r="L89" s="67" t="s">
        <v>232</v>
      </c>
      <c r="M89" s="68">
        <v>2.7322898197040977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1.9096309088107283E-5</v>
      </c>
      <c r="J90" s="67" t="s">
        <v>231</v>
      </c>
      <c r="K90" s="68">
        <v>1.4197758925561358E-3</v>
      </c>
      <c r="L90" s="67" t="s">
        <v>231</v>
      </c>
      <c r="M90" s="68">
        <v>1.4804284004863767E-3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3.2515601040671053E-5</v>
      </c>
      <c r="J91" s="67" t="s">
        <v>231</v>
      </c>
      <c r="K91" s="68">
        <v>7.0696771185346036E-2</v>
      </c>
      <c r="L91" s="67" t="s">
        <v>231</v>
      </c>
      <c r="M91" s="68">
        <v>7.4623001225687866E-2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2.3588267172565106E-5</v>
      </c>
      <c r="J92" s="67" t="s">
        <v>231</v>
      </c>
      <c r="K92" s="68">
        <v>0.41996646461523196</v>
      </c>
      <c r="L92" s="67" t="s">
        <v>231</v>
      </c>
      <c r="M92" s="68">
        <v>0.44337526478752898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1.2895785739636394E-8</v>
      </c>
      <c r="J93" s="67" t="s">
        <v>231</v>
      </c>
      <c r="K93" s="68">
        <v>6.0647109960474614E-4</v>
      </c>
      <c r="L93" s="67" t="s">
        <v>231</v>
      </c>
      <c r="M93" s="68">
        <v>6.2175003576925205E-4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2.1145162654328375E-18</v>
      </c>
      <c r="J94" s="67" t="s">
        <v>231</v>
      </c>
      <c r="K94" s="68">
        <v>1.6622918270595171E-4</v>
      </c>
      <c r="L94" s="67" t="s">
        <v>231</v>
      </c>
      <c r="M94" s="68">
        <v>1.5149121006313701E-4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2.2693269549359563E-6</v>
      </c>
      <c r="J95" s="67" t="s">
        <v>231</v>
      </c>
      <c r="K95" s="68">
        <v>6.0556775078951519E-3</v>
      </c>
      <c r="L95" s="67" t="s">
        <v>231</v>
      </c>
      <c r="M95" s="68">
        <v>6.3650772839755239E-3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1.2961045568803077E-3</v>
      </c>
      <c r="J96" s="67" t="s">
        <v>231</v>
      </c>
      <c r="K96" s="68">
        <v>1.5832014776590988</v>
      </c>
      <c r="L96" s="67" t="s">
        <v>232</v>
      </c>
      <c r="M96" s="68">
        <v>1.6715211907286653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9.4353105556919213E-5</v>
      </c>
      <c r="J97" s="67" t="s">
        <v>231</v>
      </c>
      <c r="K97" s="68">
        <v>0.12272103384529379</v>
      </c>
      <c r="L97" s="67" t="s">
        <v>231</v>
      </c>
      <c r="M97" s="68">
        <v>0.12954914224532588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2.6111595584355781E-5</v>
      </c>
      <c r="J98" s="67" t="s">
        <v>231</v>
      </c>
      <c r="K98" s="68">
        <v>7.8862582326829037E-2</v>
      </c>
      <c r="L98" s="67" t="s">
        <v>231</v>
      </c>
      <c r="M98" s="68">
        <v>8.324430935184747E-2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1.7481748111103096E-6</v>
      </c>
      <c r="J99" s="67" t="s">
        <v>231</v>
      </c>
      <c r="K99" s="68">
        <v>2.1313375314246562E-2</v>
      </c>
      <c r="L99" s="67" t="s">
        <v>231</v>
      </c>
      <c r="M99" s="68">
        <v>2.2484617291491957E-2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1.4176006199366036E-3</v>
      </c>
      <c r="J100" s="67" t="s">
        <v>231</v>
      </c>
      <c r="K100" s="68">
        <v>1.0763052317162978</v>
      </c>
      <c r="L100" s="67" t="s">
        <v>232</v>
      </c>
      <c r="M100" s="68">
        <v>1.1363325131487474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1.6010160165325513E-2</v>
      </c>
      <c r="J101" s="67" t="s">
        <v>232</v>
      </c>
      <c r="K101" s="68">
        <v>0.3813831896086457</v>
      </c>
      <c r="L101" s="67" t="s">
        <v>231</v>
      </c>
      <c r="M101" s="68">
        <v>0.40263936614383339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4.6660545986917656E-3</v>
      </c>
      <c r="J102" s="67" t="s">
        <v>231</v>
      </c>
      <c r="K102" s="68">
        <v>0.49589577285689285</v>
      </c>
      <c r="L102" s="67" t="s">
        <v>231</v>
      </c>
      <c r="M102" s="68">
        <v>0.52354251524265527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1.5491457801043418E-9</v>
      </c>
      <c r="J103" s="67" t="s">
        <v>231</v>
      </c>
      <c r="K103" s="68">
        <v>1.1202213829097224E-2</v>
      </c>
      <c r="L103" s="67" t="s">
        <v>231</v>
      </c>
      <c r="M103" s="68">
        <v>1.1816214859585502E-2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2.3706623280699252E-7</v>
      </c>
      <c r="J104" s="67" t="s">
        <v>231</v>
      </c>
      <c r="K104" s="68">
        <v>0.10267733767091169</v>
      </c>
      <c r="L104" s="67" t="s">
        <v>231</v>
      </c>
      <c r="M104" s="68">
        <v>0.10845725328534522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9.7149040759874373E-8</v>
      </c>
      <c r="J105" s="67" t="s">
        <v>231</v>
      </c>
      <c r="K105" s="68">
        <v>1.7280959562234958E-3</v>
      </c>
      <c r="L105" s="67" t="s">
        <v>231</v>
      </c>
      <c r="M105" s="68">
        <v>1.8060099050222083E-3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3.3145851639874549E-8</v>
      </c>
      <c r="J106" s="67" t="s">
        <v>231</v>
      </c>
      <c r="K106" s="68">
        <v>6.5055419322385191E-3</v>
      </c>
      <c r="L106" s="67" t="s">
        <v>231</v>
      </c>
      <c r="M106" s="68">
        <v>6.84147573809556E-3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6.8985106227305438E-6</v>
      </c>
      <c r="J107" s="67" t="s">
        <v>231</v>
      </c>
      <c r="K107" s="68">
        <v>0.53809601687994157</v>
      </c>
      <c r="L107" s="67" t="s">
        <v>231</v>
      </c>
      <c r="M107" s="68">
        <v>0.5654924021833666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2.6568075611106079E-10</v>
      </c>
      <c r="J108" s="67" t="s">
        <v>231</v>
      </c>
      <c r="K108" s="68">
        <v>9.468129366193339E-5</v>
      </c>
      <c r="L108" s="67" t="s">
        <v>231</v>
      </c>
      <c r="M108" s="68">
        <v>7.8411178811966283E-5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2.52446883766824E-6</v>
      </c>
      <c r="J109" s="67" t="s">
        <v>231</v>
      </c>
      <c r="K109" s="68">
        <v>0.23290261378417573</v>
      </c>
      <c r="L109" s="67" t="s">
        <v>231</v>
      </c>
      <c r="M109" s="68">
        <v>0.23811061316125504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5.8451052225888444E-6</v>
      </c>
      <c r="J110" s="67" t="s">
        <v>231</v>
      </c>
      <c r="K110" s="68">
        <v>2.2882891685922413E-4</v>
      </c>
      <c r="L110" s="67" t="s">
        <v>231</v>
      </c>
      <c r="M110" s="68">
        <v>2.2276321074314522E-4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8.1484673825098684E-14</v>
      </c>
      <c r="J111" s="67" t="s">
        <v>231</v>
      </c>
      <c r="K111" s="68">
        <v>2.1019675638260474E-5</v>
      </c>
      <c r="L111" s="67" t="s">
        <v>231</v>
      </c>
      <c r="M111" s="68">
        <v>3.2456506749254975E-6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9.1914853770475068E-9</v>
      </c>
      <c r="J112" s="67" t="s">
        <v>231</v>
      </c>
      <c r="K112" s="68">
        <v>1.7714086544131223E-4</v>
      </c>
      <c r="L112" s="67" t="s">
        <v>231</v>
      </c>
      <c r="M112" s="68">
        <v>1.6821480462573304E-4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4.2142966853791743E-7</v>
      </c>
      <c r="J113" s="67" t="s">
        <v>231</v>
      </c>
      <c r="K113" s="68">
        <v>3.6517081004179596E-3</v>
      </c>
      <c r="L113" s="67" t="s">
        <v>231</v>
      </c>
      <c r="M113" s="68">
        <v>3.837117317636249E-3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5.718469645503696E-8</v>
      </c>
      <c r="J114" s="67" t="s">
        <v>231</v>
      </c>
      <c r="K114" s="68">
        <v>6.7406401986292057E-5</v>
      </c>
      <c r="L114" s="67" t="s">
        <v>231</v>
      </c>
      <c r="M114" s="68">
        <v>5.2293329055270271E-5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4.7436717688396823E-11</v>
      </c>
      <c r="J115" s="67" t="s">
        <v>231</v>
      </c>
      <c r="K115" s="68">
        <v>3.2322050791912206E-3</v>
      </c>
      <c r="L115" s="67" t="s">
        <v>231</v>
      </c>
      <c r="M115" s="68">
        <v>3.3958232858596507E-3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4.6963946680656605E-6</v>
      </c>
      <c r="J116" s="67" t="s">
        <v>231</v>
      </c>
      <c r="K116" s="68">
        <v>1.4077130340155153</v>
      </c>
      <c r="L116" s="67" t="s">
        <v>232</v>
      </c>
      <c r="M116" s="68">
        <v>1.4388790784495542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6.2915603578066572E-5</v>
      </c>
      <c r="J117" s="67" t="s">
        <v>231</v>
      </c>
      <c r="K117" s="68">
        <v>0.18986388922119887</v>
      </c>
      <c r="L117" s="67" t="s">
        <v>231</v>
      </c>
      <c r="M117" s="68">
        <v>0.20043703485945152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0.97624300325805213</v>
      </c>
      <c r="F2" s="14">
        <v>0.9792192990854941</v>
      </c>
      <c r="G2" s="14">
        <v>2.9119804297229072E-10</v>
      </c>
      <c r="H2" s="14">
        <v>0.17059251197838041</v>
      </c>
      <c r="I2" s="14">
        <v>0.6338947209687642</v>
      </c>
      <c r="J2" s="14">
        <v>0</v>
      </c>
      <c r="K2" s="14">
        <v>1.0212217027727224</v>
      </c>
      <c r="L2" s="14">
        <v>0.9792192990854941</v>
      </c>
      <c r="M2" s="14">
        <v>0.80344943489964793</v>
      </c>
      <c r="N2" s="14">
        <v>1.0972504883645309</v>
      </c>
      <c r="O2" s="14">
        <v>213.07507233550822</v>
      </c>
      <c r="P2" s="8">
        <v>1.0972504883645309</v>
      </c>
      <c r="Q2" s="54">
        <v>1.5769471370676993E-2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0.64483352430810048</v>
      </c>
      <c r="F3" s="14">
        <v>0.43336412831207466</v>
      </c>
      <c r="G3" s="14">
        <v>2.0516790003350609E-10</v>
      </c>
      <c r="H3" s="14">
        <v>48.742752928843863</v>
      </c>
      <c r="I3" s="14">
        <v>109.6376863394562</v>
      </c>
      <c r="J3" s="14">
        <v>0</v>
      </c>
      <c r="K3" s="14">
        <v>2.3075283224177676</v>
      </c>
      <c r="L3" s="14">
        <v>0.43336412831207471</v>
      </c>
      <c r="M3" s="14">
        <v>0.35557526728005728</v>
      </c>
      <c r="N3" s="14">
        <v>213.02570267291151</v>
      </c>
      <c r="O3" s="14">
        <v>54553.752197505906</v>
      </c>
      <c r="P3" s="8">
        <v>213.02570267291154</v>
      </c>
      <c r="Q3" s="54">
        <v>0.18800087134842564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0.99889624778608566</v>
      </c>
      <c r="F4" s="14">
        <v>1.0023820855951378</v>
      </c>
      <c r="G4" s="14">
        <v>1.5099472798786647E-19</v>
      </c>
      <c r="H4" s="14">
        <v>0.11976593150756711</v>
      </c>
      <c r="I4" s="14">
        <v>1.2212105677565019E-3</v>
      </c>
      <c r="J4" s="14">
        <v>0</v>
      </c>
      <c r="K4" s="14">
        <v>0.99762357525202239</v>
      </c>
      <c r="L4" s="14">
        <v>1.0023820855951378</v>
      </c>
      <c r="M4" s="14">
        <v>0.82245450123081054</v>
      </c>
      <c r="N4" s="14">
        <v>3.0103468737274017</v>
      </c>
      <c r="O4" s="14">
        <v>891.51422665436996</v>
      </c>
      <c r="P4" s="8">
        <v>3.0103468737274017</v>
      </c>
      <c r="Q4" s="54">
        <v>1.3924850904518057E-5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0.98470952445754345</v>
      </c>
      <c r="F5" s="14">
        <v>0.5414630967689984</v>
      </c>
      <c r="G5" s="14">
        <v>2.4782703740769584E-12</v>
      </c>
      <c r="H5" s="14">
        <v>126.56944122021606</v>
      </c>
      <c r="I5" s="14">
        <v>9.3014304687032534E-2</v>
      </c>
      <c r="J5" s="14">
        <v>0</v>
      </c>
      <c r="K5" s="14">
        <v>1.8468479310356853</v>
      </c>
      <c r="L5" s="14">
        <v>0.54146309676899851</v>
      </c>
      <c r="M5" s="14">
        <v>0.44427047089896327</v>
      </c>
      <c r="N5" s="14">
        <v>41.982178664908481</v>
      </c>
      <c r="O5" s="14">
        <v>9279.7407720913707</v>
      </c>
      <c r="P5" s="8">
        <v>41.982178664908481</v>
      </c>
      <c r="Q5" s="54">
        <v>1.2506901915017551E-4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0.97797523998604241</v>
      </c>
      <c r="F6" s="14">
        <v>0.31842807678755042</v>
      </c>
      <c r="G6" s="14">
        <v>2.0201599832563328E-13</v>
      </c>
      <c r="H6" s="14">
        <v>187.7549319322828</v>
      </c>
      <c r="I6" s="14">
        <v>0.50413342762312174</v>
      </c>
      <c r="J6" s="14">
        <v>0</v>
      </c>
      <c r="K6" s="14">
        <v>3.1404265920532577</v>
      </c>
      <c r="L6" s="14">
        <v>0.31842807678755042</v>
      </c>
      <c r="M6" s="14">
        <v>0.26127023700418511</v>
      </c>
      <c r="N6" s="14">
        <v>59.295313723999641</v>
      </c>
      <c r="O6" s="14">
        <v>13653.338938088156</v>
      </c>
      <c r="P6" s="8">
        <v>59.295313723999641</v>
      </c>
      <c r="Q6" s="54">
        <v>4.6595662956979512E-4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0.96843300301441326</v>
      </c>
      <c r="F7" s="14">
        <v>0.10502950946195161</v>
      </c>
      <c r="G7" s="14">
        <v>1.7502434096162856E-9</v>
      </c>
      <c r="H7" s="14">
        <v>245.0142463393133</v>
      </c>
      <c r="I7" s="14">
        <v>4.6179375576533994</v>
      </c>
      <c r="J7" s="14">
        <v>0</v>
      </c>
      <c r="K7" s="14">
        <v>9.5211336806468054</v>
      </c>
      <c r="L7" s="14">
        <v>0.10502950946195162</v>
      </c>
      <c r="M7" s="14">
        <v>8.6176712513531303E-2</v>
      </c>
      <c r="N7" s="14">
        <v>77.667799275509324</v>
      </c>
      <c r="O7" s="14">
        <v>16021.313634552065</v>
      </c>
      <c r="P7" s="8">
        <v>77.667799275509338</v>
      </c>
      <c r="Q7" s="54">
        <v>2.4448265669375076E-3</v>
      </c>
    </row>
    <row r="8" spans="1:20">
      <c r="A8" s="2" t="s">
        <v>289</v>
      </c>
      <c r="B8" s="16" t="s">
        <v>290</v>
      </c>
      <c r="D8" s="14">
        <v>1</v>
      </c>
      <c r="E8" s="14">
        <v>0.97626991271600039</v>
      </c>
      <c r="F8" s="14">
        <v>0.22531507745777507</v>
      </c>
      <c r="G8" s="14">
        <v>1.249009900267143E-19</v>
      </c>
      <c r="H8" s="14">
        <v>213.65361944480435</v>
      </c>
      <c r="I8" s="14">
        <v>0.30081289891375501</v>
      </c>
      <c r="J8" s="14">
        <v>0</v>
      </c>
      <c r="K8" s="14">
        <v>4.4382293954003318</v>
      </c>
      <c r="L8" s="14">
        <v>0.2253150774577751</v>
      </c>
      <c r="M8" s="14">
        <v>0.18487102105410447</v>
      </c>
      <c r="N8" s="14">
        <v>65.009203161373875</v>
      </c>
      <c r="O8" s="14">
        <v>22650.506565485884</v>
      </c>
      <c r="P8" s="8">
        <v>65.009203161373875</v>
      </c>
      <c r="Q8" s="54">
        <v>2.2934879091253348E-4</v>
      </c>
    </row>
    <row r="9" spans="1:20">
      <c r="A9" s="2" t="s">
        <v>291</v>
      </c>
      <c r="B9" s="16" t="s">
        <v>292</v>
      </c>
      <c r="D9" s="14">
        <v>1</v>
      </c>
      <c r="E9" s="14">
        <v>0.98585995817555272</v>
      </c>
      <c r="F9" s="14">
        <v>0.60817990577139225</v>
      </c>
      <c r="G9" s="14">
        <v>5.2894943085982588E-15</v>
      </c>
      <c r="H9" s="14">
        <v>107.97720138326973</v>
      </c>
      <c r="I9" s="14">
        <v>0.37893579453547882</v>
      </c>
      <c r="J9" s="14">
        <v>0</v>
      </c>
      <c r="K9" s="14">
        <v>1.6442503123013212</v>
      </c>
      <c r="L9" s="14">
        <v>0.60817990577139236</v>
      </c>
      <c r="M9" s="14">
        <v>0.49901161268542737</v>
      </c>
      <c r="N9" s="14">
        <v>36.954414740537437</v>
      </c>
      <c r="O9" s="14">
        <v>11394.154696949907</v>
      </c>
      <c r="P9" s="8">
        <v>36.954414740537437</v>
      </c>
      <c r="Q9" s="54">
        <v>5.6959429521994493E-4</v>
      </c>
    </row>
    <row r="10" spans="1:20">
      <c r="A10" s="2" t="s">
        <v>367</v>
      </c>
      <c r="B10" s="16" t="s">
        <v>368</v>
      </c>
      <c r="D10" s="14">
        <v>1</v>
      </c>
      <c r="E10" s="14">
        <v>0.72028018563941199</v>
      </c>
      <c r="F10" s="14">
        <v>8.4273792801877329E-3</v>
      </c>
      <c r="G10" s="14">
        <v>1.3094262042522955E-7</v>
      </c>
      <c r="H10" s="14">
        <v>172.24734643756594</v>
      </c>
      <c r="I10" s="14">
        <v>278.55419986494246</v>
      </c>
      <c r="J10" s="14">
        <v>0</v>
      </c>
      <c r="K10" s="14">
        <v>118.66085134567759</v>
      </c>
      <c r="L10" s="14">
        <v>8.4273792801877329E-3</v>
      </c>
      <c r="M10" s="14">
        <v>6.9146646993940349E-3</v>
      </c>
      <c r="N10" s="14">
        <v>528.42992110595628</v>
      </c>
      <c r="O10" s="14">
        <v>147083.18424063185</v>
      </c>
      <c r="P10" s="8">
        <v>528.42992110595628</v>
      </c>
      <c r="Q10" s="54">
        <v>6.0465787139808096E-2</v>
      </c>
    </row>
    <row r="11" spans="1:20">
      <c r="A11" s="2" t="s">
        <v>369</v>
      </c>
      <c r="B11" s="16" t="s">
        <v>370</v>
      </c>
      <c r="D11" s="14">
        <v>1</v>
      </c>
      <c r="E11" s="14">
        <v>0.34597524793714263</v>
      </c>
      <c r="F11" s="14">
        <v>2.1982746652599735E-4</v>
      </c>
      <c r="G11" s="14">
        <v>2.3685255112742934E-14</v>
      </c>
      <c r="H11" s="14">
        <v>56.783473440867638</v>
      </c>
      <c r="I11" s="14">
        <v>384.12974866227211</v>
      </c>
      <c r="J11" s="14">
        <v>0</v>
      </c>
      <c r="K11" s="14">
        <v>4549.0220844706746</v>
      </c>
      <c r="L11" s="14">
        <v>2.1982746652599735E-4</v>
      </c>
      <c r="M11" s="14">
        <v>1.8036843628458084E-4</v>
      </c>
      <c r="N11" s="14">
        <v>1800.1046947802315</v>
      </c>
      <c r="O11" s="14">
        <v>732462.60030607611</v>
      </c>
      <c r="P11" s="8">
        <v>1800.1046947802315</v>
      </c>
      <c r="Q11" s="54">
        <v>4.2842809431890387E-3</v>
      </c>
    </row>
    <row r="12" spans="1:20">
      <c r="A12" s="2" t="s">
        <v>371</v>
      </c>
      <c r="B12" s="16" t="s">
        <v>372</v>
      </c>
      <c r="D12" s="14">
        <v>1</v>
      </c>
      <c r="E12" s="14">
        <v>0.92081951917443527</v>
      </c>
      <c r="F12" s="14">
        <v>0.92438442786202302</v>
      </c>
      <c r="G12" s="14">
        <v>8.3285313203661454E-4</v>
      </c>
      <c r="H12" s="14">
        <v>7.3563317993445504E-3</v>
      </c>
      <c r="I12" s="14">
        <v>3.3760653122779254E-2</v>
      </c>
      <c r="J12" s="14">
        <v>0</v>
      </c>
      <c r="K12" s="14">
        <v>1.08180100168159</v>
      </c>
      <c r="L12" s="14">
        <v>0.92438442786202313</v>
      </c>
      <c r="M12" s="14">
        <v>0.75845742306078989</v>
      </c>
      <c r="N12" s="14">
        <v>7.5061792741973166E-2</v>
      </c>
      <c r="O12" s="14">
        <v>10.522912724497218</v>
      </c>
      <c r="P12" s="8">
        <v>7.5061792741973166E-2</v>
      </c>
      <c r="Q12" s="54">
        <v>2.8327669037375922E-3</v>
      </c>
    </row>
    <row r="13" spans="1:20">
      <c r="A13" s="2" t="s">
        <v>293</v>
      </c>
      <c r="B13" s="16" t="s">
        <v>294</v>
      </c>
      <c r="D13" s="14">
        <v>1</v>
      </c>
      <c r="E13" s="14">
        <v>0.66094499007010943</v>
      </c>
      <c r="F13" s="14">
        <v>0.49638886510802294</v>
      </c>
      <c r="G13" s="14">
        <v>1.8353145964837023E-10</v>
      </c>
      <c r="H13" s="14">
        <v>37.6601487389485</v>
      </c>
      <c r="I13" s="14">
        <v>89.441526291334853</v>
      </c>
      <c r="J13" s="14">
        <v>0</v>
      </c>
      <c r="K13" s="14">
        <v>2.0145496208549774</v>
      </c>
      <c r="L13" s="14">
        <v>0.49638886510802294</v>
      </c>
      <c r="M13" s="14">
        <v>0.40728706382113283</v>
      </c>
      <c r="N13" s="14">
        <v>161.12130095034465</v>
      </c>
      <c r="O13" s="14">
        <v>53228.032981955861</v>
      </c>
      <c r="P13" s="8">
        <v>161.12130095034468</v>
      </c>
      <c r="Q13" s="54">
        <v>0.18973139579783443</v>
      </c>
    </row>
    <row r="14" spans="1:20">
      <c r="A14" s="2" t="s">
        <v>373</v>
      </c>
      <c r="B14" s="16" t="s">
        <v>374</v>
      </c>
      <c r="D14" s="14">
        <v>1</v>
      </c>
      <c r="E14" s="14">
        <v>0.94515053618590206</v>
      </c>
      <c r="F14" s="14">
        <v>8.363936528568601E-3</v>
      </c>
      <c r="G14" s="14">
        <v>9.0184871556652453E-10</v>
      </c>
      <c r="H14" s="14">
        <v>265.84636621136303</v>
      </c>
      <c r="I14" s="14">
        <v>3.856186182728421</v>
      </c>
      <c r="J14" s="14">
        <v>0</v>
      </c>
      <c r="K14" s="14">
        <v>119.56092643509568</v>
      </c>
      <c r="L14" s="14">
        <v>8.363936528568601E-3</v>
      </c>
      <c r="M14" s="14">
        <v>6.8626099216905377E-3</v>
      </c>
      <c r="N14" s="14">
        <v>150.38822964911429</v>
      </c>
      <c r="O14" s="14">
        <v>40054.401084745092</v>
      </c>
      <c r="P14" s="8">
        <v>150.38822964911429</v>
      </c>
      <c r="Q14" s="54">
        <v>4.9929589347447168E-4</v>
      </c>
    </row>
    <row r="15" spans="1:20">
      <c r="A15" s="2" t="s">
        <v>375</v>
      </c>
      <c r="B15" s="16" t="s">
        <v>376</v>
      </c>
      <c r="D15" s="14">
        <v>1</v>
      </c>
      <c r="E15" s="14">
        <v>0.77983942813612328</v>
      </c>
      <c r="F15" s="14">
        <v>0.75763732029124797</v>
      </c>
      <c r="G15" s="14">
        <v>9.3693582915371884E-4</v>
      </c>
      <c r="H15" s="14">
        <v>5.4787484316312742</v>
      </c>
      <c r="I15" s="14">
        <v>15.471717611703165</v>
      </c>
      <c r="J15" s="14">
        <v>0</v>
      </c>
      <c r="K15" s="14">
        <v>1.3198927418406261</v>
      </c>
      <c r="L15" s="14">
        <v>0.75763732029124797</v>
      </c>
      <c r="M15" s="14">
        <v>0.62164142129896893</v>
      </c>
      <c r="N15" s="14">
        <v>27.286593282343546</v>
      </c>
      <c r="O15" s="14">
        <v>4076.6170363821261</v>
      </c>
      <c r="P15" s="8">
        <v>27.286593282343549</v>
      </c>
      <c r="Q15" s="54">
        <v>8.5062575909512037E-2</v>
      </c>
    </row>
    <row r="16" spans="1:20">
      <c r="A16" s="2" t="s">
        <v>377</v>
      </c>
      <c r="B16" s="16" t="s">
        <v>378</v>
      </c>
      <c r="D16" s="14">
        <v>1</v>
      </c>
      <c r="E16" s="14">
        <v>0.64570952985783581</v>
      </c>
      <c r="F16" s="14">
        <v>0.45972288271602979</v>
      </c>
      <c r="G16" s="14">
        <v>6.9320966468757101E-6</v>
      </c>
      <c r="H16" s="14">
        <v>42.602601645592927</v>
      </c>
      <c r="I16" s="14">
        <v>99.699571573505523</v>
      </c>
      <c r="J16" s="14">
        <v>0</v>
      </c>
      <c r="K16" s="14">
        <v>2.1752234609076413</v>
      </c>
      <c r="L16" s="14">
        <v>0.45972288271602979</v>
      </c>
      <c r="M16" s="14">
        <v>0.37720262526850246</v>
      </c>
      <c r="N16" s="14">
        <v>179.92956092424421</v>
      </c>
      <c r="O16" s="14">
        <v>39987.545619804034</v>
      </c>
      <c r="P16" s="8">
        <v>179.92956092424421</v>
      </c>
      <c r="Q16" s="54">
        <v>0.19502634966079652</v>
      </c>
    </row>
    <row r="17" spans="1:21">
      <c r="A17" s="2" t="s">
        <v>379</v>
      </c>
      <c r="B17" s="16" t="s">
        <v>380</v>
      </c>
      <c r="D17" s="14">
        <v>1</v>
      </c>
      <c r="E17" s="14">
        <v>0.65400697118318973</v>
      </c>
      <c r="F17" s="14">
        <v>0.48186926639926836</v>
      </c>
      <c r="G17" s="14">
        <v>2.0941014407372195E-5</v>
      </c>
      <c r="H17" s="14">
        <v>39.406623803182576</v>
      </c>
      <c r="I17" s="14">
        <v>93.073575639301936</v>
      </c>
      <c r="J17" s="14">
        <v>0</v>
      </c>
      <c r="K17" s="14">
        <v>2.0752516703802764</v>
      </c>
      <c r="L17" s="14">
        <v>0.48186926639926836</v>
      </c>
      <c r="M17" s="14">
        <v>0.3953737330805997</v>
      </c>
      <c r="N17" s="14">
        <v>167.77929600720873</v>
      </c>
      <c r="O17" s="14">
        <v>21569.706294686752</v>
      </c>
      <c r="P17" s="8">
        <v>167.77929600720873</v>
      </c>
      <c r="Q17" s="54">
        <v>0.19152540910130833</v>
      </c>
    </row>
    <row r="18" spans="1:21">
      <c r="A18" s="2" t="s">
        <v>381</v>
      </c>
      <c r="B18" s="16" t="s">
        <v>382</v>
      </c>
      <c r="D18" s="14">
        <v>1</v>
      </c>
      <c r="E18" s="14">
        <v>0.40644652362327371</v>
      </c>
      <c r="F18" s="14">
        <v>2.9643025726363106E-4</v>
      </c>
      <c r="G18" s="14">
        <v>2.1117914081458556E-10</v>
      </c>
      <c r="H18" s="14">
        <v>31.118777751947142</v>
      </c>
      <c r="I18" s="14">
        <v>780.69195086124796</v>
      </c>
      <c r="J18" s="14">
        <v>0</v>
      </c>
      <c r="K18" s="14">
        <v>3373.4747904315559</v>
      </c>
      <c r="L18" s="14">
        <v>2.9643025726363106E-4</v>
      </c>
      <c r="M18" s="14">
        <v>2.4322102608480929E-4</v>
      </c>
      <c r="N18" s="14">
        <v>1546.847290005981</v>
      </c>
      <c r="O18" s="14">
        <v>605265.87610644032</v>
      </c>
      <c r="P18" s="8">
        <v>1546.847290005981</v>
      </c>
      <c r="Q18" s="54">
        <v>2.4973516637854874E-2</v>
      </c>
    </row>
    <row r="19" spans="1:21">
      <c r="A19" s="2" t="s">
        <v>383</v>
      </c>
      <c r="B19" s="16" t="s">
        <v>384</v>
      </c>
      <c r="D19" s="14">
        <v>1</v>
      </c>
      <c r="E19" s="14">
        <v>0.90847399936910778</v>
      </c>
      <c r="F19" s="14">
        <v>0.90363045962193289</v>
      </c>
      <c r="G19" s="14">
        <v>1.3035249537356674E-4</v>
      </c>
      <c r="H19" s="14">
        <v>1.7802904481629058</v>
      </c>
      <c r="I19" s="14">
        <v>5.5328389951280439</v>
      </c>
      <c r="J19" s="14">
        <v>0</v>
      </c>
      <c r="K19" s="14">
        <v>1.1066470694429522</v>
      </c>
      <c r="L19" s="14">
        <v>0.90363045962193289</v>
      </c>
      <c r="M19" s="14">
        <v>0.74142879211979595</v>
      </c>
      <c r="N19" s="14">
        <v>9.6532506178977542</v>
      </c>
      <c r="O19" s="14">
        <v>899.00723004481779</v>
      </c>
      <c r="P19" s="8">
        <v>9.6532506178977542</v>
      </c>
      <c r="Q19" s="54">
        <v>5.1516699620592417E-2</v>
      </c>
    </row>
    <row r="20" spans="1:21">
      <c r="A20" s="2" t="s">
        <v>385</v>
      </c>
      <c r="B20" s="16" t="s">
        <v>386</v>
      </c>
      <c r="D20" s="14">
        <v>1</v>
      </c>
      <c r="E20" s="14">
        <v>0.87158054628235315</v>
      </c>
      <c r="F20" s="14">
        <v>0.86022073676073074</v>
      </c>
      <c r="G20" s="14">
        <v>2.4279424886727429E-4</v>
      </c>
      <c r="H20" s="14">
        <v>3.1667217692975003</v>
      </c>
      <c r="I20" s="14">
        <v>9.3986846545106708</v>
      </c>
      <c r="J20" s="14">
        <v>0</v>
      </c>
      <c r="K20" s="14">
        <v>1.1624923200126815</v>
      </c>
      <c r="L20" s="14">
        <v>0.86022073676073074</v>
      </c>
      <c r="M20" s="14">
        <v>0.70581111451217959</v>
      </c>
      <c r="N20" s="14">
        <v>16.480456311657569</v>
      </c>
      <c r="O20" s="14">
        <v>1831.3083053513892</v>
      </c>
      <c r="P20" s="8">
        <v>16.480456311657569</v>
      </c>
      <c r="Q20" s="54">
        <v>6.7930854618594091E-2</v>
      </c>
    </row>
    <row r="21" spans="1:21">
      <c r="A21" s="2" t="s">
        <v>387</v>
      </c>
      <c r="B21" s="16" t="s">
        <v>388</v>
      </c>
      <c r="D21" s="14">
        <v>1</v>
      </c>
      <c r="E21" s="14">
        <v>0.8648769338945218</v>
      </c>
      <c r="F21" s="14">
        <v>9.9156624746780622E-2</v>
      </c>
      <c r="G21" s="14">
        <v>1.9269366149078852E-5</v>
      </c>
      <c r="H21" s="14">
        <v>209.29638882158915</v>
      </c>
      <c r="I21" s="14">
        <v>78.206439220460112</v>
      </c>
      <c r="J21" s="14">
        <v>0</v>
      </c>
      <c r="K21" s="14">
        <v>10.085054856937006</v>
      </c>
      <c r="L21" s="14">
        <v>9.9156624746780622E-2</v>
      </c>
      <c r="M21" s="14">
        <v>8.1358010604733508E-2</v>
      </c>
      <c r="N21" s="14">
        <v>193.19808784721704</v>
      </c>
      <c r="O21" s="14">
        <v>38146.962445433004</v>
      </c>
      <c r="P21" s="8">
        <v>193.19808784721707</v>
      </c>
      <c r="Q21" s="54">
        <v>4.3116402022626885E-2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0.90428529908141997</v>
      </c>
      <c r="F22" s="14">
        <v>0.90641761422606926</v>
      </c>
      <c r="G22" s="14">
        <v>7.2790855595685161E-4</v>
      </c>
      <c r="H22" s="14">
        <v>0.28777186837974389</v>
      </c>
      <c r="I22" s="14">
        <v>1.0230703709009805</v>
      </c>
      <c r="J22" s="14">
        <v>0</v>
      </c>
      <c r="K22" s="14">
        <v>1.1032442268388998</v>
      </c>
      <c r="L22" s="14">
        <v>0.90641761422606926</v>
      </c>
      <c r="M22" s="14">
        <v>0.74371565247248983</v>
      </c>
      <c r="N22" s="14">
        <v>1.7685023687985781</v>
      </c>
      <c r="O22" s="14">
        <v>102.71461757982142</v>
      </c>
      <c r="P22" s="8">
        <v>1.7685023687985784</v>
      </c>
      <c r="Q22" s="54">
        <v>1.9957471017864555E-2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0.75365478389796603</v>
      </c>
      <c r="F23" s="14">
        <v>0.7136893990940002</v>
      </c>
      <c r="G23" s="14">
        <v>7.5369864348566527E-4</v>
      </c>
      <c r="H23" s="14">
        <v>9.4052262204676644</v>
      </c>
      <c r="I23" s="14">
        <v>25.411272692895846</v>
      </c>
      <c r="J23" s="14">
        <v>0</v>
      </c>
      <c r="K23" s="14">
        <v>1.4011697543349522</v>
      </c>
      <c r="L23" s="14">
        <v>0.71368939909400031</v>
      </c>
      <c r="M23" s="14">
        <v>0.58558215195662722</v>
      </c>
      <c r="N23" s="14">
        <v>45.055022187959025</v>
      </c>
      <c r="O23" s="14">
        <v>4827.6456274398097</v>
      </c>
      <c r="P23" s="8">
        <v>45.055022187959025</v>
      </c>
      <c r="Q23" s="54">
        <v>0.1095535403134402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0.6082901678096585</v>
      </c>
      <c r="F24" s="14">
        <v>0.34711983038427824</v>
      </c>
      <c r="G24" s="14">
        <v>1.9968613567374208E-5</v>
      </c>
      <c r="H24" s="14">
        <v>60.10622114622052</v>
      </c>
      <c r="I24" s="14">
        <v>134.33110760865287</v>
      </c>
      <c r="J24" s="14">
        <v>0</v>
      </c>
      <c r="K24" s="14">
        <v>2.8808495293770804</v>
      </c>
      <c r="L24" s="14">
        <v>0.34711983038427824</v>
      </c>
      <c r="M24" s="14">
        <v>0.28481182083030032</v>
      </c>
      <c r="N24" s="14">
        <v>243.82354813198</v>
      </c>
      <c r="O24" s="14">
        <v>39504.291268343404</v>
      </c>
      <c r="P24" s="8">
        <v>243.82354813198003</v>
      </c>
      <c r="Q24" s="54">
        <v>0.20397483743718922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0.42317969256720989</v>
      </c>
      <c r="F25" s="14">
        <v>4.3330926603545706E-4</v>
      </c>
      <c r="G25" s="14">
        <v>1.0196390599925768E-6</v>
      </c>
      <c r="H25" s="14">
        <v>38.924045920051469</v>
      </c>
      <c r="I25" s="14">
        <v>752.09923512870546</v>
      </c>
      <c r="J25" s="14">
        <v>0</v>
      </c>
      <c r="K25" s="14">
        <v>2307.820483853146</v>
      </c>
      <c r="L25" s="14">
        <v>4.3330926603545706E-4</v>
      </c>
      <c r="M25" s="14">
        <v>3.5553025278209252E-4</v>
      </c>
      <c r="N25" s="14">
        <v>1484.0338415409217</v>
      </c>
      <c r="O25" s="14">
        <v>346358.65827723569</v>
      </c>
      <c r="P25" s="8">
        <v>1484.0338415409217</v>
      </c>
      <c r="Q25" s="54">
        <v>2.8871885518402852E-2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0.52680634457876108</v>
      </c>
      <c r="F26" s="14">
        <v>0.11970672810678912</v>
      </c>
      <c r="G26" s="14">
        <v>1.2931444739534815E-3</v>
      </c>
      <c r="H26" s="14">
        <v>95.283688483897024</v>
      </c>
      <c r="I26" s="14">
        <v>190.31618847126373</v>
      </c>
      <c r="J26" s="14">
        <v>0</v>
      </c>
      <c r="K26" s="14">
        <v>8.3537493323508976</v>
      </c>
      <c r="L26" s="14">
        <v>0.11970672810678912</v>
      </c>
      <c r="M26" s="14">
        <v>9.8219370411620474E-2</v>
      </c>
      <c r="N26" s="14">
        <v>350.31845568899803</v>
      </c>
      <c r="O26" s="14">
        <v>44900.316465658878</v>
      </c>
      <c r="P26" s="8">
        <v>350.31845568899809</v>
      </c>
      <c r="Q26" s="54">
        <v>0.15576709887575371</v>
      </c>
    </row>
    <row r="27" spans="1:21">
      <c r="A27" s="2" t="s">
        <v>397</v>
      </c>
      <c r="B27" s="16" t="s">
        <v>398</v>
      </c>
      <c r="D27" s="14">
        <v>1</v>
      </c>
      <c r="E27" s="14">
        <v>0.29391836591729065</v>
      </c>
      <c r="F27" s="14">
        <v>1.4913492870288859E-2</v>
      </c>
      <c r="G27" s="14">
        <v>6.1836921237561019E-3</v>
      </c>
      <c r="H27" s="14">
        <v>66.65294927348512</v>
      </c>
      <c r="I27" s="14">
        <v>117.24019758888761</v>
      </c>
      <c r="J27" s="14">
        <v>0</v>
      </c>
      <c r="K27" s="14">
        <v>67.05337298898182</v>
      </c>
      <c r="L27" s="14">
        <v>1.491349287028886E-2</v>
      </c>
      <c r="M27" s="14">
        <v>1.2236520900072011E-2</v>
      </c>
      <c r="N27" s="14">
        <v>219.25926502382779</v>
      </c>
      <c r="O27" s="14">
        <v>39784.593638573555</v>
      </c>
      <c r="P27" s="8">
        <v>219.25926502382782</v>
      </c>
      <c r="Q27" s="54">
        <v>4.7695405087633709E-2</v>
      </c>
    </row>
    <row r="28" spans="1:21">
      <c r="A28" s="2" t="s">
        <v>399</v>
      </c>
      <c r="B28" s="16" t="s">
        <v>400</v>
      </c>
      <c r="D28" s="14">
        <v>1</v>
      </c>
      <c r="E28" s="14">
        <v>0.15973410642336613</v>
      </c>
      <c r="F28" s="14">
        <v>2.8078181857923951E-2</v>
      </c>
      <c r="G28" s="14">
        <v>8.1785717911801795E-3</v>
      </c>
      <c r="H28" s="14">
        <v>30.934918954803027</v>
      </c>
      <c r="I28" s="14">
        <v>60.326225523731964</v>
      </c>
      <c r="J28" s="14">
        <v>0</v>
      </c>
      <c r="K28" s="14">
        <v>35.614841625430593</v>
      </c>
      <c r="L28" s="14">
        <v>2.8078181857923951E-2</v>
      </c>
      <c r="M28" s="14">
        <v>2.3038148214426603E-2</v>
      </c>
      <c r="N28" s="14">
        <v>111.37610684700809</v>
      </c>
      <c r="O28" s="14">
        <v>16372.287706510189</v>
      </c>
      <c r="P28" s="8">
        <v>111.37610684700809</v>
      </c>
      <c r="Q28" s="54">
        <v>4.3281883660633479E-2</v>
      </c>
    </row>
    <row r="29" spans="1:21">
      <c r="A29" s="2" t="s">
        <v>297</v>
      </c>
      <c r="B29" s="16" t="s">
        <v>298</v>
      </c>
      <c r="D29" s="14">
        <v>1</v>
      </c>
      <c r="E29" s="14">
        <v>6.0433369264322474E-2</v>
      </c>
      <c r="F29" s="14">
        <v>5.9366685686492636E-2</v>
      </c>
      <c r="G29" s="14">
        <v>1.0345971829778616E-2</v>
      </c>
      <c r="H29" s="14">
        <v>0.28063562669643477</v>
      </c>
      <c r="I29" s="14">
        <v>0.81771125352979968</v>
      </c>
      <c r="J29" s="14">
        <v>0</v>
      </c>
      <c r="K29" s="14">
        <v>16.844464002603473</v>
      </c>
      <c r="L29" s="14">
        <v>5.9366685686492636E-2</v>
      </c>
      <c r="M29" s="14">
        <v>4.8710365605767213E-2</v>
      </c>
      <c r="N29" s="14">
        <v>1.4368684589861893</v>
      </c>
      <c r="O29" s="14">
        <v>122.03323822169708</v>
      </c>
      <c r="P29" s="8">
        <v>1.4368684589861893</v>
      </c>
      <c r="Q29" s="54">
        <v>5.3407220292397539E-3</v>
      </c>
    </row>
    <row r="30" spans="1:21">
      <c r="A30" s="2" t="s">
        <v>401</v>
      </c>
      <c r="B30" s="16" t="s">
        <v>402</v>
      </c>
      <c r="D30" s="14">
        <v>1</v>
      </c>
      <c r="E30" s="14">
        <v>6.339451495009038E-2</v>
      </c>
      <c r="F30" s="14">
        <v>1.1840728055943333E-2</v>
      </c>
      <c r="G30" s="14">
        <v>9.9427585823464257E-3</v>
      </c>
      <c r="H30" s="14">
        <v>12.102592394813524</v>
      </c>
      <c r="I30" s="14">
        <v>23.732067648653771</v>
      </c>
      <c r="J30" s="14">
        <v>0</v>
      </c>
      <c r="K30" s="14">
        <v>84.454266264316402</v>
      </c>
      <c r="L30" s="14">
        <v>1.1840728055943335E-2</v>
      </c>
      <c r="M30" s="14">
        <v>9.7153173699015064E-3</v>
      </c>
      <c r="N30" s="14">
        <v>43.784638009430786</v>
      </c>
      <c r="O30" s="14">
        <v>7260.8065211039084</v>
      </c>
      <c r="P30" s="8">
        <v>43.784638009430793</v>
      </c>
      <c r="Q30" s="54">
        <v>1.7552362420983285E-2</v>
      </c>
    </row>
    <row r="31" spans="1:21">
      <c r="A31" s="2" t="s">
        <v>299</v>
      </c>
      <c r="B31" s="16" t="s">
        <v>300</v>
      </c>
      <c r="D31" s="14">
        <v>1</v>
      </c>
      <c r="E31" s="14">
        <v>1.3151342355571002E-3</v>
      </c>
      <c r="F31" s="14">
        <v>4.4940507146544407E-4</v>
      </c>
      <c r="G31" s="14">
        <v>1.1086295663780754E-2</v>
      </c>
      <c r="H31" s="14">
        <v>0.2012602320344864</v>
      </c>
      <c r="I31" s="14">
        <v>0.41938716955821059</v>
      </c>
      <c r="J31" s="14">
        <v>0</v>
      </c>
      <c r="K31" s="14">
        <v>2225.1640301680318</v>
      </c>
      <c r="L31" s="14">
        <v>4.4940507146544413E-4</v>
      </c>
      <c r="M31" s="14">
        <v>3.6873686113739689E-4</v>
      </c>
      <c r="N31" s="14">
        <v>0.76790161320573369</v>
      </c>
      <c r="O31" s="14">
        <v>63.075438508718968</v>
      </c>
      <c r="P31" s="8">
        <v>0.7679016132057338</v>
      </c>
      <c r="Q31" s="54">
        <v>4.3332639102691283E-4</v>
      </c>
    </row>
    <row r="32" spans="1:21">
      <c r="A32" s="2" t="s">
        <v>343</v>
      </c>
      <c r="B32" s="16" t="s">
        <v>344</v>
      </c>
      <c r="D32" s="14">
        <v>1</v>
      </c>
      <c r="E32" s="14">
        <v>0.67764372760091218</v>
      </c>
      <c r="F32" s="14">
        <v>0.53575995729988068</v>
      </c>
      <c r="G32" s="14">
        <v>2.0716612322044929E-5</v>
      </c>
      <c r="H32" s="14">
        <v>32.455645516224052</v>
      </c>
      <c r="I32" s="14">
        <v>78.369562458649128</v>
      </c>
      <c r="J32" s="14">
        <v>0</v>
      </c>
      <c r="K32" s="14">
        <v>1.8665075401300852</v>
      </c>
      <c r="L32" s="14">
        <v>0.5357599572998808</v>
      </c>
      <c r="M32" s="14">
        <v>0.43959104496455215</v>
      </c>
      <c r="N32" s="14">
        <v>140.8858219835538</v>
      </c>
      <c r="O32" s="14">
        <v>23133.451969699534</v>
      </c>
      <c r="P32" s="8">
        <v>140.8858219835538</v>
      </c>
      <c r="Q32" s="54">
        <v>0.18211571451478417</v>
      </c>
    </row>
    <row r="33" spans="1:17">
      <c r="A33" s="2" t="s">
        <v>345</v>
      </c>
      <c r="B33" s="16" t="s">
        <v>346</v>
      </c>
      <c r="D33" s="14">
        <v>1</v>
      </c>
      <c r="E33" s="14">
        <v>0.7631735750071228</v>
      </c>
      <c r="F33" s="14">
        <v>0.69442539274100434</v>
      </c>
      <c r="G33" s="14">
        <v>9.0496978814703593E-7</v>
      </c>
      <c r="H33" s="14">
        <v>15.863740356413725</v>
      </c>
      <c r="I33" s="14">
        <v>41.158805650457779</v>
      </c>
      <c r="J33" s="14">
        <v>0</v>
      </c>
      <c r="K33" s="14">
        <v>1.440039506696098</v>
      </c>
      <c r="L33" s="14">
        <v>0.69442539274100434</v>
      </c>
      <c r="M33" s="14">
        <v>0.56977603474399408</v>
      </c>
      <c r="N33" s="14">
        <v>73.337960148263861</v>
      </c>
      <c r="O33" s="14">
        <v>11085.766056011566</v>
      </c>
      <c r="P33" s="8">
        <v>73.337960148263875</v>
      </c>
      <c r="Q33" s="54">
        <v>0.14199163626415415</v>
      </c>
    </row>
    <row r="34" spans="1:17">
      <c r="A34" s="2" t="s">
        <v>347</v>
      </c>
      <c r="B34" s="16" t="s">
        <v>348</v>
      </c>
      <c r="D34" s="14">
        <v>1</v>
      </c>
      <c r="E34" s="14">
        <v>0.59305551471156237</v>
      </c>
      <c r="F34" s="14">
        <v>0.15081906598022143</v>
      </c>
      <c r="G34" s="14">
        <v>6.9442401995852394E-7</v>
      </c>
      <c r="H34" s="14">
        <v>103.32281904290235</v>
      </c>
      <c r="I34" s="14">
        <v>208.66682962529094</v>
      </c>
      <c r="J34" s="14">
        <v>0</v>
      </c>
      <c r="K34" s="14">
        <v>6.6304614307261458</v>
      </c>
      <c r="L34" s="14">
        <v>0.15081906598022143</v>
      </c>
      <c r="M34" s="14">
        <v>0.12374704363677169</v>
      </c>
      <c r="N34" s="14">
        <v>383.56717383694598</v>
      </c>
      <c r="O34" s="14">
        <v>67603.714388761728</v>
      </c>
      <c r="P34" s="8">
        <v>383.56717383694604</v>
      </c>
      <c r="Q34" s="54">
        <v>0.18149029963657307</v>
      </c>
    </row>
    <row r="35" spans="1:17">
      <c r="A35" s="2" t="s">
        <v>349</v>
      </c>
      <c r="B35" s="16" t="s">
        <v>350</v>
      </c>
      <c r="D35" s="14">
        <v>1</v>
      </c>
      <c r="E35" s="14">
        <v>0.68743780981300795</v>
      </c>
      <c r="F35" s="14">
        <v>1.7067833569728269E-2</v>
      </c>
      <c r="G35" s="14">
        <v>1.2068321938596619E-4</v>
      </c>
      <c r="H35" s="14">
        <v>161.51705946271349</v>
      </c>
      <c r="I35" s="14">
        <v>268.82866176857056</v>
      </c>
      <c r="J35" s="14">
        <v>0</v>
      </c>
      <c r="K35" s="14">
        <v>58.589744030174572</v>
      </c>
      <c r="L35" s="14">
        <v>1.7067833569728269E-2</v>
      </c>
      <c r="M35" s="14">
        <v>1.4004157443962044E-2</v>
      </c>
      <c r="N35" s="14">
        <v>506.2384229159706</v>
      </c>
      <c r="O35" s="14">
        <v>97349.648726741143</v>
      </c>
      <c r="P35" s="8">
        <v>506.2384229159706</v>
      </c>
      <c r="Q35" s="54">
        <v>8.0700378217034963E-2</v>
      </c>
    </row>
    <row r="36" spans="1:17">
      <c r="A36" s="2" t="s">
        <v>351</v>
      </c>
      <c r="B36" s="16" t="s">
        <v>352</v>
      </c>
      <c r="D36" s="14">
        <v>1</v>
      </c>
      <c r="E36" s="14">
        <v>0.58536286351383282</v>
      </c>
      <c r="F36" s="14">
        <v>3.1014436102550632E-3</v>
      </c>
      <c r="G36" s="14">
        <v>2.6728363994421208E-6</v>
      </c>
      <c r="H36" s="14">
        <v>113.22540670183726</v>
      </c>
      <c r="I36" s="14">
        <v>483.95063060948382</v>
      </c>
      <c r="J36" s="14">
        <v>0</v>
      </c>
      <c r="K36" s="14">
        <v>322.43049549360006</v>
      </c>
      <c r="L36" s="14">
        <v>3.1014436102550637E-3</v>
      </c>
      <c r="M36" s="14">
        <v>2.5447344822142797E-3</v>
      </c>
      <c r="N36" s="14">
        <v>932.34172090250934</v>
      </c>
      <c r="O36" s="14">
        <v>207324.82847709098</v>
      </c>
      <c r="P36" s="8">
        <v>932.34172090250934</v>
      </c>
      <c r="Q36" s="54">
        <v>5.3284520269908868E-2</v>
      </c>
    </row>
    <row r="37" spans="1:17">
      <c r="A37" s="2" t="s">
        <v>353</v>
      </c>
      <c r="B37" s="16" t="s">
        <v>354</v>
      </c>
      <c r="D37" s="14">
        <v>1</v>
      </c>
      <c r="E37" s="14">
        <v>0.41032856943857271</v>
      </c>
      <c r="F37" s="14">
        <v>3.2930636841493926E-4</v>
      </c>
      <c r="G37" s="14">
        <v>1.2590083697122586E-5</v>
      </c>
      <c r="H37" s="14">
        <v>33.105498326300292</v>
      </c>
      <c r="I37" s="14">
        <v>772.42674086013005</v>
      </c>
      <c r="J37" s="14">
        <v>0</v>
      </c>
      <c r="K37" s="14">
        <v>3036.6858825516538</v>
      </c>
      <c r="L37" s="14">
        <v>3.2930636841493931E-4</v>
      </c>
      <c r="M37" s="14">
        <v>2.7019587528445769E-4</v>
      </c>
      <c r="N37" s="14">
        <v>1528.7106605106519</v>
      </c>
      <c r="O37" s="14">
        <v>361371.91303811298</v>
      </c>
      <c r="P37" s="8">
        <v>1528.7106605106521</v>
      </c>
      <c r="Q37" s="54">
        <v>2.5993053479443851E-2</v>
      </c>
    </row>
    <row r="38" spans="1:17">
      <c r="A38" s="2" t="s">
        <v>355</v>
      </c>
      <c r="B38" s="16" t="s">
        <v>356</v>
      </c>
      <c r="D38" s="14">
        <v>1</v>
      </c>
      <c r="E38" s="14">
        <v>0.50714975351887737</v>
      </c>
      <c r="F38" s="14">
        <v>1.4801143979595339E-3</v>
      </c>
      <c r="G38" s="14">
        <v>8.674086944506835E-7</v>
      </c>
      <c r="H38" s="14">
        <v>77.731184065676345</v>
      </c>
      <c r="I38" s="14">
        <v>611.01581890055581</v>
      </c>
      <c r="J38" s="14">
        <v>0</v>
      </c>
      <c r="K38" s="14">
        <v>675.62345274026563</v>
      </c>
      <c r="L38" s="14">
        <v>1.4801143979595341E-3</v>
      </c>
      <c r="M38" s="14">
        <v>1.2144338635257977E-3</v>
      </c>
      <c r="N38" s="14">
        <v>1188.5687548694127</v>
      </c>
      <c r="O38" s="14">
        <v>307126.16625825624</v>
      </c>
      <c r="P38" s="8">
        <v>1188.5687548694127</v>
      </c>
      <c r="Q38" s="54">
        <v>4.3959470645209907E-2</v>
      </c>
    </row>
    <row r="39" spans="1:17">
      <c r="A39" s="2" t="s">
        <v>357</v>
      </c>
      <c r="B39" s="16" t="s">
        <v>358</v>
      </c>
      <c r="D39" s="14">
        <v>1</v>
      </c>
      <c r="E39" s="14">
        <v>0.55193194980325322</v>
      </c>
      <c r="F39" s="14">
        <v>2.4883962577741804E-3</v>
      </c>
      <c r="G39" s="14">
        <v>1.9590613078392078E-4</v>
      </c>
      <c r="H39" s="14">
        <v>100.79048605192239</v>
      </c>
      <c r="I39" s="14">
        <v>512.71581101149127</v>
      </c>
      <c r="J39" s="14">
        <v>0</v>
      </c>
      <c r="K39" s="14">
        <v>401.86525633762187</v>
      </c>
      <c r="L39" s="14">
        <v>2.4883962577741804E-3</v>
      </c>
      <c r="M39" s="14">
        <v>2.041729129503715E-3</v>
      </c>
      <c r="N39" s="14">
        <v>990.49009183980297</v>
      </c>
      <c r="O39" s="14">
        <v>234141.95281001102</v>
      </c>
      <c r="P39" s="8">
        <v>990.49009183980309</v>
      </c>
      <c r="Q39" s="54">
        <v>4.9989260283007091E-2</v>
      </c>
    </row>
    <row r="40" spans="1:17">
      <c r="A40" s="2" t="s">
        <v>359</v>
      </c>
      <c r="B40" s="16" t="s">
        <v>360</v>
      </c>
      <c r="D40" s="14">
        <v>1</v>
      </c>
      <c r="E40" s="14">
        <v>0.50714975351887737</v>
      </c>
      <c r="F40" s="14">
        <v>1.4801143979595339E-3</v>
      </c>
      <c r="G40" s="14">
        <v>8.674086944506835E-7</v>
      </c>
      <c r="H40" s="14">
        <v>77.731184065676345</v>
      </c>
      <c r="I40" s="14">
        <v>611.01581890055581</v>
      </c>
      <c r="J40" s="14">
        <v>0</v>
      </c>
      <c r="K40" s="14">
        <v>675.62345274026563</v>
      </c>
      <c r="L40" s="14">
        <v>1.4801143979595341E-3</v>
      </c>
      <c r="M40" s="14">
        <v>1.2144338635257977E-3</v>
      </c>
      <c r="N40" s="14">
        <v>1188.5687548694127</v>
      </c>
      <c r="O40" s="14">
        <v>307126.16625825624</v>
      </c>
      <c r="P40" s="8">
        <v>1188.5687548694127</v>
      </c>
      <c r="Q40" s="54">
        <v>4.3959470645209907E-2</v>
      </c>
    </row>
    <row r="41" spans="1:17">
      <c r="A41" s="2" t="s">
        <v>313</v>
      </c>
      <c r="B41" s="16" t="s">
        <v>314</v>
      </c>
      <c r="D41" s="14">
        <v>1</v>
      </c>
      <c r="E41" s="14">
        <v>0.99795145085128012</v>
      </c>
      <c r="F41" s="14">
        <v>0.95620948934755889</v>
      </c>
      <c r="G41" s="14">
        <v>6.224205580972163E-10</v>
      </c>
      <c r="H41" s="14">
        <v>12.920313432355879</v>
      </c>
      <c r="I41" s="14">
        <v>2.8467885771022036E-2</v>
      </c>
      <c r="J41" s="14">
        <v>0</v>
      </c>
      <c r="K41" s="14">
        <v>1.0457959381707458</v>
      </c>
      <c r="L41" s="14">
        <v>0.95620948934755889</v>
      </c>
      <c r="M41" s="14">
        <v>0.78456988600967204</v>
      </c>
      <c r="N41" s="14">
        <v>5.1931680397700708</v>
      </c>
      <c r="O41" s="14">
        <v>956.11416780206787</v>
      </c>
      <c r="P41" s="8">
        <v>5.1931680397700708</v>
      </c>
      <c r="Q41" s="54">
        <v>1.2149410735810061E-4</v>
      </c>
    </row>
    <row r="42" spans="1:17">
      <c r="A42" s="2" t="s">
        <v>315</v>
      </c>
      <c r="B42" s="16" t="s">
        <v>316</v>
      </c>
      <c r="D42" s="14">
        <v>1</v>
      </c>
      <c r="E42" s="14">
        <v>0.40579009144233902</v>
      </c>
      <c r="F42" s="14">
        <v>2.9595150704936926E-4</v>
      </c>
      <c r="G42" s="14">
        <v>1.7945230601695727E-5</v>
      </c>
      <c r="H42" s="14">
        <v>31.068519314587082</v>
      </c>
      <c r="I42" s="14">
        <v>779.43109293737257</v>
      </c>
      <c r="J42" s="14">
        <v>0</v>
      </c>
      <c r="K42" s="14">
        <v>3378.9319404722091</v>
      </c>
      <c r="L42" s="14">
        <v>2.9595150704936926E-4</v>
      </c>
      <c r="M42" s="14">
        <v>2.4282821153400749E-4</v>
      </c>
      <c r="N42" s="14">
        <v>1544.3490515388394</v>
      </c>
      <c r="O42" s="14">
        <v>563548.41239703796</v>
      </c>
      <c r="P42" s="8">
        <v>1544.3490515388394</v>
      </c>
      <c r="Q42" s="54">
        <v>2.4933183115387867E-2</v>
      </c>
    </row>
    <row r="43" spans="1:17">
      <c r="A43" s="2" t="s">
        <v>317</v>
      </c>
      <c r="B43" s="16" t="s">
        <v>318</v>
      </c>
      <c r="D43" s="14">
        <v>1</v>
      </c>
      <c r="E43" s="14">
        <v>0.6031801172666641</v>
      </c>
      <c r="F43" s="14">
        <v>0.32204985278583842</v>
      </c>
      <c r="G43" s="14">
        <v>4.4478649532115667E-14</v>
      </c>
      <c r="H43" s="14">
        <v>64.792256458206211</v>
      </c>
      <c r="I43" s="14">
        <v>143.21228553782444</v>
      </c>
      <c r="J43" s="14">
        <v>0</v>
      </c>
      <c r="K43" s="14">
        <v>3.1051093218943189</v>
      </c>
      <c r="L43" s="14">
        <v>0.32204985278583842</v>
      </c>
      <c r="M43" s="14">
        <v>0.26424190421078042</v>
      </c>
      <c r="N43" s="14">
        <v>260.30202479869581</v>
      </c>
      <c r="O43" s="14">
        <v>82599.038509122154</v>
      </c>
      <c r="P43" s="8">
        <v>260.30202479869581</v>
      </c>
      <c r="Q43" s="54">
        <v>0.20463516958956446</v>
      </c>
    </row>
    <row r="44" spans="1:17">
      <c r="A44" s="2" t="s">
        <v>307</v>
      </c>
      <c r="B44" s="16" t="s">
        <v>308</v>
      </c>
      <c r="D44" s="14">
        <v>1</v>
      </c>
      <c r="E44" s="14">
        <v>0.65075235651726704</v>
      </c>
      <c r="F44" s="14">
        <v>5.1395345722422756E-3</v>
      </c>
      <c r="G44" s="14">
        <v>9.8721621374716088E-7</v>
      </c>
      <c r="H44" s="14">
        <v>142.22757056744754</v>
      </c>
      <c r="I44" s="14">
        <v>382.15624637393108</v>
      </c>
      <c r="J44" s="14">
        <v>0</v>
      </c>
      <c r="K44" s="14">
        <v>194.57014753842193</v>
      </c>
      <c r="L44" s="14">
        <v>5.1395345722422764E-3</v>
      </c>
      <c r="M44" s="14">
        <v>4.2169881165247877E-3</v>
      </c>
      <c r="N44" s="14">
        <v>730.83061266874324</v>
      </c>
      <c r="O44" s="14">
        <v>256221.90449553466</v>
      </c>
      <c r="P44" s="8">
        <v>730.83061266874324</v>
      </c>
      <c r="Q44" s="54">
        <v>5.8189009220065264E-2</v>
      </c>
    </row>
    <row r="45" spans="1:17">
      <c r="A45" s="2" t="s">
        <v>319</v>
      </c>
      <c r="B45" s="16" t="s">
        <v>320</v>
      </c>
      <c r="D45" s="14">
        <v>1</v>
      </c>
      <c r="E45" s="14">
        <v>0.37859486074389415</v>
      </c>
      <c r="F45" s="14">
        <v>1.2154814825409536E-4</v>
      </c>
      <c r="G45" s="14">
        <v>5.3695369413341709E-8</v>
      </c>
      <c r="H45" s="14">
        <v>18.197358325774726</v>
      </c>
      <c r="I45" s="14">
        <v>827.49526554088266</v>
      </c>
      <c r="J45" s="14">
        <v>0</v>
      </c>
      <c r="K45" s="14">
        <v>8227.1923872464813</v>
      </c>
      <c r="L45" s="14">
        <v>1.2154814825409536E-4</v>
      </c>
      <c r="M45" s="14">
        <v>9.9730255642485244E-5</v>
      </c>
      <c r="N45" s="14">
        <v>1655.1264522693016</v>
      </c>
      <c r="O45" s="14">
        <v>586725.7760649448</v>
      </c>
      <c r="P45" s="8">
        <v>1655.1264522693018</v>
      </c>
      <c r="Q45" s="54">
        <v>1.7472921173795751E-2</v>
      </c>
    </row>
    <row r="46" spans="1:17">
      <c r="A46" s="2" t="s">
        <v>321</v>
      </c>
      <c r="B46" s="16" t="s">
        <v>322</v>
      </c>
      <c r="D46" s="14">
        <v>1</v>
      </c>
      <c r="E46" s="14">
        <v>0.40152583886477111</v>
      </c>
      <c r="F46" s="14">
        <v>2.6072197848893528E-4</v>
      </c>
      <c r="G46" s="14">
        <v>8.4970100280230148E-8</v>
      </c>
      <c r="H46" s="14">
        <v>28.829535367200833</v>
      </c>
      <c r="I46" s="14">
        <v>789.03235802337826</v>
      </c>
      <c r="J46" s="14">
        <v>0</v>
      </c>
      <c r="K46" s="14">
        <v>3835.5032659528501</v>
      </c>
      <c r="L46" s="14">
        <v>2.6072197848893528E-4</v>
      </c>
      <c r="M46" s="14">
        <v>2.1392238335017142E-4</v>
      </c>
      <c r="N46" s="14">
        <v>1565.5330762358008</v>
      </c>
      <c r="O46" s="14">
        <v>554965.82019482902</v>
      </c>
      <c r="P46" s="8">
        <v>1565.5330762358008</v>
      </c>
      <c r="Q46" s="54">
        <v>2.3751706272679821E-2</v>
      </c>
    </row>
    <row r="47" spans="1:17">
      <c r="A47" s="2" t="s">
        <v>323</v>
      </c>
      <c r="B47" s="16" t="s">
        <v>324</v>
      </c>
      <c r="D47" s="14">
        <v>1</v>
      </c>
      <c r="E47" s="14">
        <v>0.44568642581388251</v>
      </c>
      <c r="F47" s="14">
        <v>6.5367697935531045E-4</v>
      </c>
      <c r="G47" s="14">
        <v>9.032577121031843E-7</v>
      </c>
      <c r="H47" s="14">
        <v>49.383650529015725</v>
      </c>
      <c r="I47" s="14">
        <v>713.90489765151221</v>
      </c>
      <c r="J47" s="14">
        <v>0</v>
      </c>
      <c r="K47" s="14">
        <v>1529.8075832290299</v>
      </c>
      <c r="L47" s="14">
        <v>6.5367697935531045E-4</v>
      </c>
      <c r="M47" s="14">
        <v>5.3634196156103226E-4</v>
      </c>
      <c r="N47" s="14">
        <v>1402.2002638111583</v>
      </c>
      <c r="O47" s="14">
        <v>448760.17243012309</v>
      </c>
      <c r="P47" s="8">
        <v>1402.2002638111583</v>
      </c>
      <c r="Q47" s="54">
        <v>3.3561422599122211E-2</v>
      </c>
    </row>
    <row r="48" spans="1:17">
      <c r="A48" s="2" t="s">
        <v>325</v>
      </c>
      <c r="B48" s="16" t="s">
        <v>326</v>
      </c>
      <c r="D48" s="14">
        <v>1</v>
      </c>
      <c r="E48" s="14">
        <v>0.64273210801322156</v>
      </c>
      <c r="F48" s="14">
        <v>4.9477549803397719E-2</v>
      </c>
      <c r="G48" s="14">
        <v>9.3539850683369891E-7</v>
      </c>
      <c r="H48" s="14">
        <v>140.98346644666452</v>
      </c>
      <c r="I48" s="14">
        <v>256.34529774745522</v>
      </c>
      <c r="J48" s="14">
        <v>0</v>
      </c>
      <c r="K48" s="14">
        <v>20.211186770031365</v>
      </c>
      <c r="L48" s="14">
        <v>4.9477549803397726E-2</v>
      </c>
      <c r="M48" s="14">
        <v>4.059632961368783E-2</v>
      </c>
      <c r="N48" s="14">
        <v>477.42814374101272</v>
      </c>
      <c r="O48" s="14">
        <v>145305.25554757722</v>
      </c>
      <c r="P48" s="8">
        <v>477.42814374101272</v>
      </c>
      <c r="Q48" s="54">
        <v>0.12514841550212419</v>
      </c>
    </row>
    <row r="49" spans="1:17">
      <c r="A49" s="2" t="s">
        <v>275</v>
      </c>
      <c r="B49" s="16" t="s">
        <v>276</v>
      </c>
      <c r="D49" s="14">
        <v>1</v>
      </c>
      <c r="E49" s="14">
        <v>0.63850337537090629</v>
      </c>
      <c r="F49" s="14">
        <v>4.6941367128348101E-3</v>
      </c>
      <c r="G49" s="14">
        <v>1.2456734887390145E-8</v>
      </c>
      <c r="H49" s="14">
        <v>136.82823785056971</v>
      </c>
      <c r="I49" s="14">
        <v>401.08175322944339</v>
      </c>
      <c r="J49" s="14">
        <v>0</v>
      </c>
      <c r="K49" s="14">
        <v>213.03171619731023</v>
      </c>
      <c r="L49" s="14">
        <v>4.6941367128348101E-3</v>
      </c>
      <c r="M49" s="14">
        <v>3.8515391728809619E-3</v>
      </c>
      <c r="N49" s="14">
        <v>768.08334755423516</v>
      </c>
      <c r="O49" s="14">
        <v>284567.19943536859</v>
      </c>
      <c r="P49" s="8">
        <v>768.08334755423527</v>
      </c>
      <c r="Q49" s="54">
        <v>5.7468902674234455E-2</v>
      </c>
    </row>
    <row r="50" spans="1:17">
      <c r="A50" s="2" t="s">
        <v>327</v>
      </c>
      <c r="B50" s="16" t="s">
        <v>328</v>
      </c>
      <c r="D50" s="14">
        <v>1</v>
      </c>
      <c r="E50" s="14">
        <v>0.61794157766536761</v>
      </c>
      <c r="F50" s="14">
        <v>4.018879503540876E-3</v>
      </c>
      <c r="G50" s="14">
        <v>6.2885927806668871E-7</v>
      </c>
      <c r="H50" s="14">
        <v>127.73943329296338</v>
      </c>
      <c r="I50" s="14">
        <v>432.89458753610796</v>
      </c>
      <c r="J50" s="14">
        <v>0</v>
      </c>
      <c r="K50" s="14">
        <v>248.82557417283581</v>
      </c>
      <c r="L50" s="14">
        <v>4.0188795035408769E-3</v>
      </c>
      <c r="M50" s="14">
        <v>3.2974906326552894E-3</v>
      </c>
      <c r="N50" s="14">
        <v>830.91589134812455</v>
      </c>
      <c r="O50" s="14">
        <v>316504.17217341415</v>
      </c>
      <c r="P50" s="8">
        <v>830.91589134812455</v>
      </c>
      <c r="Q50" s="54">
        <v>5.6050843922472025E-2</v>
      </c>
    </row>
    <row r="51" spans="1:17">
      <c r="A51" s="2" t="s">
        <v>329</v>
      </c>
      <c r="B51" s="16" t="s">
        <v>330</v>
      </c>
      <c r="D51" s="14">
        <v>1</v>
      </c>
      <c r="E51" s="14">
        <v>0.66606680421246245</v>
      </c>
      <c r="F51" s="14">
        <v>3.149517521164933E-2</v>
      </c>
      <c r="G51" s="14">
        <v>4.8539189068705061E-7</v>
      </c>
      <c r="H51" s="14">
        <v>151.72740451016961</v>
      </c>
      <c r="I51" s="14">
        <v>265.41239411388801</v>
      </c>
      <c r="J51" s="14">
        <v>0</v>
      </c>
      <c r="K51" s="14">
        <v>31.750894963433108</v>
      </c>
      <c r="L51" s="14">
        <v>3.149517521164933E-2</v>
      </c>
      <c r="M51" s="14">
        <v>2.5841791261158278E-2</v>
      </c>
      <c r="N51" s="14">
        <v>496.70944052721529</v>
      </c>
      <c r="O51" s="14">
        <v>136297.07048066787</v>
      </c>
      <c r="P51" s="8">
        <v>496.70944052721535</v>
      </c>
      <c r="Q51" s="54">
        <v>0.10474208132558664</v>
      </c>
    </row>
    <row r="52" spans="1:17">
      <c r="A52" s="2" t="s">
        <v>277</v>
      </c>
      <c r="B52" s="16" t="s">
        <v>278</v>
      </c>
      <c r="D52" s="14">
        <v>1</v>
      </c>
      <c r="E52" s="14">
        <v>0.64490757925301234</v>
      </c>
      <c r="F52" s="14">
        <v>4.7427066827706865E-2</v>
      </c>
      <c r="G52" s="14">
        <v>1.4545704275554122E-6</v>
      </c>
      <c r="H52" s="14">
        <v>142.07127111614676</v>
      </c>
      <c r="I52" s="14">
        <v>257.37326791467348</v>
      </c>
      <c r="J52" s="14">
        <v>0</v>
      </c>
      <c r="K52" s="14">
        <v>21.085006239850376</v>
      </c>
      <c r="L52" s="14">
        <v>4.7427066827706865E-2</v>
      </c>
      <c r="M52" s="14">
        <v>3.8913908332133484E-2</v>
      </c>
      <c r="N52" s="14">
        <v>479.56331430434255</v>
      </c>
      <c r="O52" s="14">
        <v>195148.69948986612</v>
      </c>
      <c r="P52" s="8">
        <v>479.56331430434255</v>
      </c>
      <c r="Q52" s="54">
        <v>0.1231298745222185</v>
      </c>
    </row>
    <row r="53" spans="1:17">
      <c r="A53" s="2" t="s">
        <v>331</v>
      </c>
      <c r="B53" s="16" t="s">
        <v>332</v>
      </c>
      <c r="D53" s="14">
        <v>1</v>
      </c>
      <c r="E53" s="14">
        <v>0.55603484567979433</v>
      </c>
      <c r="F53" s="14">
        <v>2.4051337154260589E-3</v>
      </c>
      <c r="G53" s="14">
        <v>3.779616306706663E-7</v>
      </c>
      <c r="H53" s="14">
        <v>99.981402908545945</v>
      </c>
      <c r="I53" s="14">
        <v>531.22242143214851</v>
      </c>
      <c r="J53" s="14">
        <v>0</v>
      </c>
      <c r="K53" s="14">
        <v>415.77729902757375</v>
      </c>
      <c r="L53" s="14">
        <v>2.4051337154260589E-3</v>
      </c>
      <c r="M53" s="14">
        <v>1.9734122135070813E-3</v>
      </c>
      <c r="N53" s="14">
        <v>1026.950863712696</v>
      </c>
      <c r="O53" s="14">
        <v>391175.85349680303</v>
      </c>
      <c r="P53" s="8">
        <v>1026.950863712696</v>
      </c>
      <c r="Q53" s="54">
        <v>5.0243096481491709E-2</v>
      </c>
    </row>
    <row r="54" spans="1:17">
      <c r="A54" s="2" t="s">
        <v>333</v>
      </c>
      <c r="B54" s="16" t="s">
        <v>334</v>
      </c>
      <c r="D54" s="14">
        <v>1</v>
      </c>
      <c r="E54" s="14">
        <v>0.62823440753374082</v>
      </c>
      <c r="F54" s="14">
        <v>4.3462766034785983E-3</v>
      </c>
      <c r="G54" s="14">
        <v>6.954499010926881E-10</v>
      </c>
      <c r="H54" s="14">
        <v>132.29315138576607</v>
      </c>
      <c r="I54" s="14">
        <v>416.96013320866837</v>
      </c>
      <c r="J54" s="14">
        <v>0</v>
      </c>
      <c r="K54" s="14">
        <v>230.08199689813509</v>
      </c>
      <c r="L54" s="14">
        <v>4.3462766034785983E-3</v>
      </c>
      <c r="M54" s="14">
        <v>3.5661199531541901E-3</v>
      </c>
      <c r="N54" s="14">
        <v>799.4102441495296</v>
      </c>
      <c r="O54" s="14">
        <v>307357.25067061116</v>
      </c>
      <c r="P54" s="8">
        <v>799.4102441495296</v>
      </c>
      <c r="Q54" s="54">
        <v>5.6792963720767954E-2</v>
      </c>
    </row>
    <row r="55" spans="1:17">
      <c r="A55" s="2" t="s">
        <v>335</v>
      </c>
      <c r="B55" s="16" t="s">
        <v>336</v>
      </c>
      <c r="D55" s="14">
        <v>1</v>
      </c>
      <c r="E55" s="14">
        <v>0.44811483258114698</v>
      </c>
      <c r="F55" s="14">
        <v>6.8054627976409782E-4</v>
      </c>
      <c r="G55" s="14">
        <v>2.3614902233637129E-6</v>
      </c>
      <c r="H55" s="14">
        <v>50.530973390364096</v>
      </c>
      <c r="I55" s="14">
        <v>709.60200675353383</v>
      </c>
      <c r="J55" s="14">
        <v>0</v>
      </c>
      <c r="K55" s="14">
        <v>1469.4077827398255</v>
      </c>
      <c r="L55" s="14">
        <v>6.8054627976409782E-4</v>
      </c>
      <c r="M55" s="14">
        <v>5.5838822254644226E-4</v>
      </c>
      <c r="N55" s="14">
        <v>1393.1074699553974</v>
      </c>
      <c r="O55" s="14">
        <v>520074.88068374892</v>
      </c>
      <c r="P55" s="8">
        <v>1393.1074699553974</v>
      </c>
      <c r="Q55" s="54">
        <v>3.4041981785938868E-2</v>
      </c>
    </row>
    <row r="56" spans="1:17">
      <c r="A56" s="2" t="s">
        <v>337</v>
      </c>
      <c r="B56" s="16" t="s">
        <v>338</v>
      </c>
      <c r="D56" s="14">
        <v>1</v>
      </c>
      <c r="E56" s="14">
        <v>0.64669782836039735</v>
      </c>
      <c r="F56" s="14">
        <v>4.9877433020737985E-3</v>
      </c>
      <c r="G56" s="14">
        <v>2.5206502033724457E-7</v>
      </c>
      <c r="H56" s="14">
        <v>140.43782476962301</v>
      </c>
      <c r="I56" s="14">
        <v>388.45549107202856</v>
      </c>
      <c r="J56" s="14">
        <v>0</v>
      </c>
      <c r="K56" s="14">
        <v>200.49147268349216</v>
      </c>
      <c r="L56" s="14">
        <v>4.9877433020737985E-3</v>
      </c>
      <c r="M56" s="14">
        <v>4.0924433793515522E-3</v>
      </c>
      <c r="N56" s="14">
        <v>743.21920765889979</v>
      </c>
      <c r="O56" s="14">
        <v>289350.10192576284</v>
      </c>
      <c r="P56" s="8">
        <v>743.21920765889979</v>
      </c>
      <c r="Q56" s="54">
        <v>5.7961720038667577E-2</v>
      </c>
    </row>
    <row r="57" spans="1:17">
      <c r="A57" s="2" t="s">
        <v>279</v>
      </c>
      <c r="B57" s="16" t="s">
        <v>280</v>
      </c>
      <c r="D57" s="14">
        <v>1</v>
      </c>
      <c r="E57" s="14">
        <v>0.63139576998652969</v>
      </c>
      <c r="F57" s="14">
        <v>5.9568548985611418E-2</v>
      </c>
      <c r="G57" s="14">
        <v>2.8253061124126399E-5</v>
      </c>
      <c r="H57" s="14">
        <v>135.53049401817682</v>
      </c>
      <c r="I57" s="14">
        <v>250.54987599665918</v>
      </c>
      <c r="J57" s="14">
        <v>0</v>
      </c>
      <c r="K57" s="14">
        <v>16.787382218115578</v>
      </c>
      <c r="L57" s="14">
        <v>5.9568548985611425E-2</v>
      </c>
      <c r="M57" s="14">
        <v>4.8875994442694172E-2</v>
      </c>
      <c r="N57" s="14">
        <v>465.66921651845121</v>
      </c>
      <c r="O57" s="14">
        <v>135430.57824006115</v>
      </c>
      <c r="P57" s="8">
        <v>465.66921651845126</v>
      </c>
      <c r="Q57" s="54">
        <v>0.1339967275260481</v>
      </c>
    </row>
    <row r="58" spans="1:17">
      <c r="A58" s="2" t="s">
        <v>339</v>
      </c>
      <c r="B58" s="16" t="s">
        <v>340</v>
      </c>
      <c r="D58" s="14">
        <v>1</v>
      </c>
      <c r="E58" s="14">
        <v>0.62618103725154572</v>
      </c>
      <c r="F58" s="14">
        <v>4.2792111901416617E-3</v>
      </c>
      <c r="G58" s="14">
        <v>2.4298094022833429E-9</v>
      </c>
      <c r="H58" s="14">
        <v>131.38437533873841</v>
      </c>
      <c r="I58" s="14">
        <v>420.14663670129096</v>
      </c>
      <c r="J58" s="14">
        <v>0</v>
      </c>
      <c r="K58" s="14">
        <v>233.68792881823049</v>
      </c>
      <c r="L58" s="14">
        <v>4.2792111901416617E-3</v>
      </c>
      <c r="M58" s="14">
        <v>3.5110927815112337E-3</v>
      </c>
      <c r="N58" s="14">
        <v>805.70491748294955</v>
      </c>
      <c r="O58" s="14">
        <v>278491.90472798154</v>
      </c>
      <c r="P58" s="8">
        <v>805.70491748294967</v>
      </c>
      <c r="Q58" s="54">
        <v>5.6650127459788951E-2</v>
      </c>
    </row>
    <row r="59" spans="1:17">
      <c r="A59" s="2" t="s">
        <v>281</v>
      </c>
      <c r="B59" s="16" t="s">
        <v>282</v>
      </c>
      <c r="D59" s="14">
        <v>1</v>
      </c>
      <c r="E59" s="14">
        <v>0.64497923457913942</v>
      </c>
      <c r="F59" s="14">
        <v>4.7432336422994804E-2</v>
      </c>
      <c r="G59" s="14">
        <v>2.2018260487701873E-7</v>
      </c>
      <c r="H59" s="14">
        <v>142.08705657687418</v>
      </c>
      <c r="I59" s="14">
        <v>257.40186451679466</v>
      </c>
      <c r="J59" s="14">
        <v>0</v>
      </c>
      <c r="K59" s="14">
        <v>21.08266375668579</v>
      </c>
      <c r="L59" s="14">
        <v>4.7432336422994811E-2</v>
      </c>
      <c r="M59" s="14">
        <v>3.8918232035067238E-2</v>
      </c>
      <c r="N59" s="14">
        <v>479.61659832020865</v>
      </c>
      <c r="O59" s="14">
        <v>139693.13042674397</v>
      </c>
      <c r="P59" s="8">
        <v>479.61659832020865</v>
      </c>
      <c r="Q59" s="54">
        <v>0.1231435554147971</v>
      </c>
    </row>
    <row r="60" spans="1:17">
      <c r="A60" s="2" t="s">
        <v>341</v>
      </c>
      <c r="B60" s="16" t="s">
        <v>342</v>
      </c>
      <c r="D60" s="14">
        <v>1</v>
      </c>
      <c r="E60" s="14">
        <v>0.57340548368307531</v>
      </c>
      <c r="F60" s="14">
        <v>2.8049149675353443E-3</v>
      </c>
      <c r="G60" s="14">
        <v>3.2635343457561744E-6</v>
      </c>
      <c r="H60" s="14">
        <v>107.85982217049195</v>
      </c>
      <c r="I60" s="14">
        <v>502.94080281944883</v>
      </c>
      <c r="J60" s="14">
        <v>0</v>
      </c>
      <c r="K60" s="14">
        <v>356.51704653232031</v>
      </c>
      <c r="L60" s="14">
        <v>2.8049149675353443E-3</v>
      </c>
      <c r="M60" s="14">
        <v>2.3014327308627501E-3</v>
      </c>
      <c r="N60" s="14">
        <v>970.26555100373798</v>
      </c>
      <c r="O60" s="14">
        <v>325310.63394053321</v>
      </c>
      <c r="P60" s="8">
        <v>970.26555100373798</v>
      </c>
      <c r="Q60" s="54">
        <v>5.2109495757896772E-2</v>
      </c>
    </row>
    <row r="61" spans="1:17">
      <c r="A61" s="2" t="s">
        <v>483</v>
      </c>
      <c r="B61" s="16" t="s">
        <v>484</v>
      </c>
      <c r="D61" s="14">
        <v>1</v>
      </c>
      <c r="E61" s="14">
        <v>0.62746832536277042</v>
      </c>
      <c r="F61" s="14">
        <v>0.21877815881776913</v>
      </c>
      <c r="G61" s="14">
        <v>6.6700945115942384E-16</v>
      </c>
      <c r="H61" s="14">
        <v>99.776046988156153</v>
      </c>
      <c r="I61" s="14">
        <v>153.92370420054704</v>
      </c>
      <c r="J61" s="14">
        <v>0</v>
      </c>
      <c r="K61" s="14">
        <v>4.570840185344772</v>
      </c>
      <c r="L61" s="14">
        <v>0.21877815881776916</v>
      </c>
      <c r="M61" s="14">
        <v>0.1795074793099796</v>
      </c>
      <c r="N61" s="14">
        <v>607.48710836921839</v>
      </c>
      <c r="O61" s="14">
        <v>283058.61814463732</v>
      </c>
      <c r="P61" s="8">
        <v>607.48710836921839</v>
      </c>
      <c r="Q61" s="54">
        <v>0.10392152380599917</v>
      </c>
    </row>
    <row r="62" spans="1:17">
      <c r="A62" s="2" t="s">
        <v>485</v>
      </c>
      <c r="B62" s="16" t="s">
        <v>486</v>
      </c>
      <c r="D62" s="14">
        <v>1</v>
      </c>
      <c r="E62" s="14">
        <v>0.59145866915219092</v>
      </c>
      <c r="F62" s="14">
        <v>0.16176534365906234</v>
      </c>
      <c r="G62" s="14">
        <v>1.9761229975886421E-9</v>
      </c>
      <c r="H62" s="14">
        <v>100.2733408380373</v>
      </c>
      <c r="I62" s="14">
        <v>204.00586606394376</v>
      </c>
      <c r="J62" s="14">
        <v>0</v>
      </c>
      <c r="K62" s="14">
        <v>6.1817938093563871</v>
      </c>
      <c r="L62" s="14">
        <v>0.16176534365906234</v>
      </c>
      <c r="M62" s="14">
        <v>0.13272846447226064</v>
      </c>
      <c r="N62" s="14">
        <v>374.65470365928968</v>
      </c>
      <c r="O62" s="14">
        <v>121534.23932003697</v>
      </c>
      <c r="P62" s="8">
        <v>374.65470365928968</v>
      </c>
      <c r="Q62" s="54">
        <v>0.18477476366858572</v>
      </c>
    </row>
    <row r="63" spans="1:17">
      <c r="A63" s="2" t="s">
        <v>487</v>
      </c>
      <c r="B63" s="16" t="s">
        <v>488</v>
      </c>
      <c r="D63" s="14">
        <v>1</v>
      </c>
      <c r="E63" s="14">
        <v>0.92371809499523361</v>
      </c>
      <c r="F63" s="14">
        <v>0.89239197110365387</v>
      </c>
      <c r="G63" s="14">
        <v>7.6600121199194762E-15</v>
      </c>
      <c r="H63" s="14">
        <v>8.7391856385198654</v>
      </c>
      <c r="I63" s="14">
        <v>10.67651052937347</v>
      </c>
      <c r="J63" s="14">
        <v>0</v>
      </c>
      <c r="K63" s="14">
        <v>1.1205838156110519</v>
      </c>
      <c r="L63" s="14">
        <v>0.89239197110365387</v>
      </c>
      <c r="M63" s="14">
        <v>0.73220761229054809</v>
      </c>
      <c r="N63" s="14">
        <v>104.87375136667001</v>
      </c>
      <c r="O63" s="14">
        <v>46308.053653466814</v>
      </c>
      <c r="P63" s="8">
        <v>104.87375136667002</v>
      </c>
      <c r="Q63" s="54">
        <v>2.6020122252085755E-2</v>
      </c>
    </row>
    <row r="64" spans="1:17">
      <c r="A64" s="2" t="s">
        <v>489</v>
      </c>
      <c r="B64" s="16" t="s">
        <v>490</v>
      </c>
      <c r="D64" s="14">
        <v>1</v>
      </c>
      <c r="E64" s="14">
        <v>0.99488703179199345</v>
      </c>
      <c r="F64" s="14">
        <v>0.98642842759763538</v>
      </c>
      <c r="G64" s="14">
        <v>1.4642653247755864E-16</v>
      </c>
      <c r="H64" s="14">
        <v>3.4541848861231621</v>
      </c>
      <c r="I64" s="14">
        <v>0.39708598202372142</v>
      </c>
      <c r="J64" s="14">
        <v>0</v>
      </c>
      <c r="K64" s="14">
        <v>1.0137582940866952</v>
      </c>
      <c r="L64" s="14">
        <v>0.98642842759763549</v>
      </c>
      <c r="M64" s="14">
        <v>0.8093645248438599</v>
      </c>
      <c r="N64" s="14">
        <v>2.1513529681910564</v>
      </c>
      <c r="O64" s="14">
        <v>863.61762202093576</v>
      </c>
      <c r="P64" s="8">
        <v>2.1513529681910564</v>
      </c>
      <c r="Q64" s="54">
        <v>2.9287652017758493E-3</v>
      </c>
    </row>
    <row r="65" spans="1:17">
      <c r="A65" s="2" t="s">
        <v>491</v>
      </c>
      <c r="B65" s="16" t="s">
        <v>492</v>
      </c>
      <c r="D65" s="14">
        <v>1</v>
      </c>
      <c r="E65" s="14">
        <v>0.99470120532645234</v>
      </c>
      <c r="F65" s="14">
        <v>0.99692768206384108</v>
      </c>
      <c r="G65" s="14">
        <v>2.43582461430874E-14</v>
      </c>
      <c r="H65" s="14">
        <v>0.45169944943797796</v>
      </c>
      <c r="I65" s="14">
        <v>0.18601788280643947</v>
      </c>
      <c r="J65" s="14">
        <v>0</v>
      </c>
      <c r="K65" s="14">
        <v>1.0030817861630632</v>
      </c>
      <c r="L65" s="14">
        <v>0.99692768206384108</v>
      </c>
      <c r="M65" s="14">
        <v>0.81797916313338159</v>
      </c>
      <c r="N65" s="14">
        <v>9.3595840608404348</v>
      </c>
      <c r="O65" s="14">
        <v>2595.9742351147029</v>
      </c>
      <c r="P65" s="8">
        <v>9.3595840608404348</v>
      </c>
      <c r="Q65" s="54">
        <v>1.3035710202288114E-3</v>
      </c>
    </row>
    <row r="66" spans="1:17">
      <c r="A66" s="2" t="s">
        <v>493</v>
      </c>
      <c r="B66" s="16" t="s">
        <v>494</v>
      </c>
      <c r="D66" s="14">
        <v>1</v>
      </c>
      <c r="E66" s="14">
        <v>0.74791155804700815</v>
      </c>
      <c r="F66" s="14">
        <v>0.5926211624153308</v>
      </c>
      <c r="G66" s="14">
        <v>2.4458754024732749E-13</v>
      </c>
      <c r="H66" s="14">
        <v>43.698123104815309</v>
      </c>
      <c r="I66" s="14">
        <v>10.139983261197635</v>
      </c>
      <c r="J66" s="14">
        <v>0</v>
      </c>
      <c r="K66" s="14">
        <v>1.6874186468878798</v>
      </c>
      <c r="L66" s="14">
        <v>0.5926211624153308</v>
      </c>
      <c r="M66" s="14">
        <v>0.48624566376177897</v>
      </c>
      <c r="N66" s="14">
        <v>663.83961720225602</v>
      </c>
      <c r="O66" s="14">
        <v>215362.84861275592</v>
      </c>
      <c r="P66" s="8">
        <v>663.83961720225602</v>
      </c>
      <c r="Q66" s="54">
        <v>8.9362896715849283E-3</v>
      </c>
    </row>
    <row r="67" spans="1:17">
      <c r="A67" s="2" t="s">
        <v>495</v>
      </c>
      <c r="B67" s="16" t="s">
        <v>496</v>
      </c>
      <c r="D67" s="14">
        <v>1</v>
      </c>
      <c r="E67" s="14">
        <v>0.9950211824642341</v>
      </c>
      <c r="F67" s="14">
        <v>0.99749565219466119</v>
      </c>
      <c r="G67" s="14">
        <v>1.9039673640092722E-14</v>
      </c>
      <c r="H67" s="14">
        <v>0.38110159097761481</v>
      </c>
      <c r="I67" s="14">
        <v>0.19289337471812384</v>
      </c>
      <c r="J67" s="14">
        <v>0</v>
      </c>
      <c r="K67" s="14">
        <v>1.0025106353093658</v>
      </c>
      <c r="L67" s="14">
        <v>0.99749565219466119</v>
      </c>
      <c r="M67" s="14">
        <v>0.81844518262571953</v>
      </c>
      <c r="N67" s="14">
        <v>7.7989122394200905</v>
      </c>
      <c r="O67" s="14">
        <v>2444.3350740790447</v>
      </c>
      <c r="P67" s="8">
        <v>7.7989122394200905</v>
      </c>
      <c r="Q67" s="54">
        <v>1.4666190144585862E-3</v>
      </c>
    </row>
    <row r="68" spans="1:17">
      <c r="A68" s="2" t="s">
        <v>497</v>
      </c>
      <c r="B68" s="16" t="s">
        <v>498</v>
      </c>
      <c r="D68" s="14">
        <v>1</v>
      </c>
      <c r="E68" s="14">
        <v>0.99874033371049231</v>
      </c>
      <c r="F68" s="14">
        <v>1.0024760471098875</v>
      </c>
      <c r="G68" s="14">
        <v>1.727532659862017E-13</v>
      </c>
      <c r="H68" s="14">
        <v>4.5473729357349009E-2</v>
      </c>
      <c r="I68" s="14">
        <v>3.248540338708971E-2</v>
      </c>
      <c r="J68" s="14">
        <v>0</v>
      </c>
      <c r="K68" s="14">
        <v>0.99753006855672433</v>
      </c>
      <c r="L68" s="14">
        <v>1.0024760471098875</v>
      </c>
      <c r="M68" s="14">
        <v>0.82253159665366271</v>
      </c>
      <c r="N68" s="14">
        <v>1.0530635450724815</v>
      </c>
      <c r="O68" s="14">
        <v>286.81238713594104</v>
      </c>
      <c r="P68" s="8">
        <v>1.0530635450724815</v>
      </c>
      <c r="Q68" s="54">
        <v>5.9452245704892464E-4</v>
      </c>
    </row>
    <row r="69" spans="1:17">
      <c r="A69" s="2" t="s">
        <v>499</v>
      </c>
      <c r="B69" s="16" t="s">
        <v>500</v>
      </c>
      <c r="D69" s="14">
        <v>1</v>
      </c>
      <c r="E69" s="14">
        <v>0.66773203618708987</v>
      </c>
      <c r="F69" s="14">
        <v>5.8102180984667138E-3</v>
      </c>
      <c r="G69" s="14">
        <v>6.4592623242927842E-14</v>
      </c>
      <c r="H69" s="14">
        <v>149.63887512482174</v>
      </c>
      <c r="I69" s="14">
        <v>356.46065895706687</v>
      </c>
      <c r="J69" s="14">
        <v>0</v>
      </c>
      <c r="K69" s="14">
        <v>172.11057882042238</v>
      </c>
      <c r="L69" s="14">
        <v>5.8102180984667138E-3</v>
      </c>
      <c r="M69" s="14">
        <v>4.7672839497919384E-3</v>
      </c>
      <c r="N69" s="14">
        <v>680.38984537184945</v>
      </c>
      <c r="O69" s="14">
        <v>292288.6736732928</v>
      </c>
      <c r="P69" s="8">
        <v>680.38984537184945</v>
      </c>
      <c r="Q69" s="54">
        <v>5.9037995773556215E-2</v>
      </c>
    </row>
    <row r="70" spans="1:17">
      <c r="A70" s="2" t="s">
        <v>501</v>
      </c>
      <c r="B70" s="16" t="s">
        <v>411</v>
      </c>
      <c r="D70" s="14">
        <v>1</v>
      </c>
      <c r="E70" s="14">
        <v>0.99867173546436339</v>
      </c>
      <c r="F70" s="14">
        <v>0.97224420158486835</v>
      </c>
      <c r="G70" s="14">
        <v>3.0938827380493592E-15</v>
      </c>
      <c r="H70" s="14">
        <v>8.5876702837014953</v>
      </c>
      <c r="I70" s="14">
        <v>7.5567073109625823E-3</v>
      </c>
      <c r="J70" s="14">
        <v>0</v>
      </c>
      <c r="K70" s="14">
        <v>1.0285481758285486</v>
      </c>
      <c r="L70" s="14">
        <v>0.97224420158486835</v>
      </c>
      <c r="M70" s="14">
        <v>0.7977263674003845</v>
      </c>
      <c r="N70" s="14">
        <v>3.5339252566187112</v>
      </c>
      <c r="O70" s="14">
        <v>1060.5309695112753</v>
      </c>
      <c r="P70" s="8">
        <v>3.5339252566187116</v>
      </c>
      <c r="Q70" s="54">
        <v>3.8311803918095525E-5</v>
      </c>
    </row>
    <row r="71" spans="1:17">
      <c r="A71" s="2" t="s">
        <v>502</v>
      </c>
      <c r="B71" s="16" t="s">
        <v>412</v>
      </c>
      <c r="D71" s="14">
        <v>1</v>
      </c>
      <c r="E71" s="14">
        <v>0.99765665180788532</v>
      </c>
      <c r="F71" s="14">
        <v>0.94506696867850348</v>
      </c>
      <c r="G71" s="14">
        <v>1.4117267294473989E-10</v>
      </c>
      <c r="H71" s="14">
        <v>15.992729227334454</v>
      </c>
      <c r="I71" s="14">
        <v>1.3457070064652452E-2</v>
      </c>
      <c r="J71" s="14">
        <v>0</v>
      </c>
      <c r="K71" s="14">
        <v>1.0581260726933563</v>
      </c>
      <c r="L71" s="14">
        <v>0.94506696867850348</v>
      </c>
      <c r="M71" s="14">
        <v>0.77542744780071216</v>
      </c>
      <c r="N71" s="14">
        <v>6.2970168442327124</v>
      </c>
      <c r="O71" s="14">
        <v>2066.3660774349646</v>
      </c>
      <c r="P71" s="8">
        <v>6.2970168442327132</v>
      </c>
      <c r="Q71" s="54">
        <v>5.2426457563087431E-5</v>
      </c>
    </row>
    <row r="72" spans="1:17">
      <c r="A72" s="2" t="s">
        <v>503</v>
      </c>
      <c r="B72" s="16" t="s">
        <v>413</v>
      </c>
      <c r="D72" s="14">
        <v>1</v>
      </c>
      <c r="E72" s="14">
        <v>0.81706746204166203</v>
      </c>
      <c r="F72" s="14">
        <v>3.1959345789843549E-3</v>
      </c>
      <c r="G72" s="14">
        <v>1.5658362629935235E-12</v>
      </c>
      <c r="H72" s="14">
        <v>231.21599840439671</v>
      </c>
      <c r="I72" s="14">
        <v>0.98320449476592375</v>
      </c>
      <c r="J72" s="14">
        <v>0</v>
      </c>
      <c r="K72" s="14">
        <v>312.8975187964557</v>
      </c>
      <c r="L72" s="14">
        <v>3.1959345789843549E-3</v>
      </c>
      <c r="M72" s="14">
        <v>2.6222643220566635E-3</v>
      </c>
      <c r="N72" s="14">
        <v>508.228191757378</v>
      </c>
      <c r="O72" s="14">
        <v>235858.53923076397</v>
      </c>
      <c r="P72" s="8">
        <v>508.228191757378</v>
      </c>
      <c r="Q72" s="54">
        <v>4.8623235598003582E-5</v>
      </c>
    </row>
    <row r="73" spans="1:17">
      <c r="A73" s="2" t="s">
        <v>504</v>
      </c>
      <c r="B73" s="16" t="s">
        <v>414</v>
      </c>
      <c r="D73" s="14">
        <v>1</v>
      </c>
      <c r="E73" s="14">
        <v>0.97447769918361415</v>
      </c>
      <c r="F73" s="14">
        <v>3.532871660561121E-2</v>
      </c>
      <c r="G73" s="14">
        <v>2.4381270169422658E-12</v>
      </c>
      <c r="H73" s="14">
        <v>266.94873119822228</v>
      </c>
      <c r="I73" s="14">
        <v>0.14287420787661045</v>
      </c>
      <c r="J73" s="14">
        <v>0</v>
      </c>
      <c r="K73" s="14">
        <v>28.305585259815842</v>
      </c>
      <c r="L73" s="14">
        <v>3.5328716605611217E-2</v>
      </c>
      <c r="M73" s="14">
        <v>2.8987211974904004E-2</v>
      </c>
      <c r="N73" s="14">
        <v>70.741228611260965</v>
      </c>
      <c r="O73" s="14">
        <v>22216.282845366506</v>
      </c>
      <c r="P73" s="8">
        <v>70.741228611260965</v>
      </c>
      <c r="Q73" s="54">
        <v>4.6984416270337579E-5</v>
      </c>
    </row>
    <row r="74" spans="1:17">
      <c r="A74" s="2" t="s">
        <v>505</v>
      </c>
      <c r="B74" s="16" t="s">
        <v>415</v>
      </c>
      <c r="D74" s="14">
        <v>1</v>
      </c>
      <c r="E74" s="14">
        <v>0.99785074908355187</v>
      </c>
      <c r="F74" s="14">
        <v>0.95035325344296406</v>
      </c>
      <c r="G74" s="14">
        <v>1.7455549773386291E-11</v>
      </c>
      <c r="H74" s="14">
        <v>14.551409606899549</v>
      </c>
      <c r="I74" s="14">
        <v>1.2297902354188843E-2</v>
      </c>
      <c r="J74" s="14">
        <v>0</v>
      </c>
      <c r="K74" s="14">
        <v>1.052240307882542</v>
      </c>
      <c r="L74" s="14">
        <v>0.95035325344296406</v>
      </c>
      <c r="M74" s="14">
        <v>0.77976484444995198</v>
      </c>
      <c r="N74" s="14">
        <v>5.7680245964561383</v>
      </c>
      <c r="O74" s="14">
        <v>1234.5879846254718</v>
      </c>
      <c r="P74" s="8">
        <v>5.7680245964561392</v>
      </c>
      <c r="Q74" s="54">
        <v>4.989201455950485E-5</v>
      </c>
    </row>
    <row r="75" spans="1:17">
      <c r="A75" s="2" t="s">
        <v>506</v>
      </c>
      <c r="B75" s="16" t="s">
        <v>416</v>
      </c>
      <c r="D75" s="14">
        <v>1</v>
      </c>
      <c r="E75" s="14">
        <v>0.9743629375380598</v>
      </c>
      <c r="F75" s="14">
        <v>4.1793284686219997E-2</v>
      </c>
      <c r="G75" s="14">
        <v>1.0462006154820282E-11</v>
      </c>
      <c r="H75" s="14">
        <v>265.08582503055374</v>
      </c>
      <c r="I75" s="14">
        <v>0.14371843515903293</v>
      </c>
      <c r="J75" s="14">
        <v>0</v>
      </c>
      <c r="K75" s="14">
        <v>23.927288977353772</v>
      </c>
      <c r="L75" s="14">
        <v>4.1793284686219997E-2</v>
      </c>
      <c r="M75" s="14">
        <v>3.4291390085043512E-2</v>
      </c>
      <c r="N75" s="14">
        <v>71.044740756084522</v>
      </c>
      <c r="O75" s="14">
        <v>29417.495804871916</v>
      </c>
      <c r="P75" s="8">
        <v>71.044740756084522</v>
      </c>
      <c r="Q75" s="54">
        <v>5.0735562516298564E-5</v>
      </c>
    </row>
    <row r="76" spans="1:17">
      <c r="A76" s="2" t="s">
        <v>507</v>
      </c>
      <c r="B76" s="16" t="s">
        <v>417</v>
      </c>
      <c r="D76" s="14">
        <v>1</v>
      </c>
      <c r="E76" s="14">
        <v>0.98191488895892243</v>
      </c>
      <c r="F76" s="14">
        <v>0.44165759726188009</v>
      </c>
      <c r="G76" s="14">
        <v>2.4357558755581142E-10</v>
      </c>
      <c r="H76" s="14">
        <v>154.03013832835057</v>
      </c>
      <c r="I76" s="14">
        <v>0.10371310457741074</v>
      </c>
      <c r="J76" s="14">
        <v>0</v>
      </c>
      <c r="K76" s="14">
        <v>2.2641974375616858</v>
      </c>
      <c r="L76" s="14">
        <v>0.44165759726188014</v>
      </c>
      <c r="M76" s="14">
        <v>0.36238005855337263</v>
      </c>
      <c r="N76" s="14">
        <v>49.776003528420112</v>
      </c>
      <c r="O76" s="14">
        <v>21312.591430763641</v>
      </c>
      <c r="P76" s="8">
        <v>49.776003528420119</v>
      </c>
      <c r="Q76" s="54">
        <v>1.1858605858075954E-4</v>
      </c>
    </row>
    <row r="77" spans="1:17">
      <c r="A77" s="2" t="s">
        <v>508</v>
      </c>
      <c r="B77" s="16" t="s">
        <v>418</v>
      </c>
      <c r="D77" s="14">
        <v>1</v>
      </c>
      <c r="E77" s="14">
        <v>0.9744416232033285</v>
      </c>
      <c r="F77" s="14">
        <v>3.7070466601904842E-2</v>
      </c>
      <c r="G77" s="14">
        <v>7.5480732459178198E-11</v>
      </c>
      <c r="H77" s="14">
        <v>266.44529302818233</v>
      </c>
      <c r="I77" s="14">
        <v>0.14356083702090822</v>
      </c>
      <c r="J77" s="14">
        <v>0</v>
      </c>
      <c r="K77" s="14">
        <v>26.9756518238326</v>
      </c>
      <c r="L77" s="14">
        <v>3.7070466601904849E-2</v>
      </c>
      <c r="M77" s="14">
        <v>3.0416317846862925E-2</v>
      </c>
      <c r="N77" s="14">
        <v>70.836568343004743</v>
      </c>
      <c r="O77" s="14">
        <v>37414.458667408238</v>
      </c>
      <c r="P77" s="8">
        <v>70.836568343004743</v>
      </c>
      <c r="Q77" s="54">
        <v>4.8176581675031276E-5</v>
      </c>
    </row>
    <row r="78" spans="1:17">
      <c r="A78" s="2" t="s">
        <v>509</v>
      </c>
      <c r="B78" s="16" t="s">
        <v>419</v>
      </c>
      <c r="D78" s="14">
        <v>1</v>
      </c>
      <c r="E78" s="14">
        <v>0.84207435877217884</v>
      </c>
      <c r="F78" s="14">
        <v>3.6530608689193185E-3</v>
      </c>
      <c r="G78" s="14">
        <v>6.4876195611823767E-12</v>
      </c>
      <c r="H78" s="14">
        <v>238.20831039345734</v>
      </c>
      <c r="I78" s="14">
        <v>0.85110449318631276</v>
      </c>
      <c r="J78" s="14">
        <v>0</v>
      </c>
      <c r="K78" s="14">
        <v>273.7430434045379</v>
      </c>
      <c r="L78" s="14">
        <v>3.6530608689193185E-3</v>
      </c>
      <c r="M78" s="14">
        <v>2.9973364429483011E-3</v>
      </c>
      <c r="N78" s="14">
        <v>438.73047077780319</v>
      </c>
      <c r="O78" s="14">
        <v>247483.47126105102</v>
      </c>
      <c r="P78" s="8">
        <v>438.73047077780325</v>
      </c>
      <c r="Q78" s="54">
        <v>4.7531649205115213E-5</v>
      </c>
    </row>
    <row r="79" spans="1:17">
      <c r="A79" s="2" t="s">
        <v>510</v>
      </c>
      <c r="B79" s="16" t="s">
        <v>420</v>
      </c>
      <c r="D79" s="14">
        <v>1</v>
      </c>
      <c r="E79" s="14">
        <v>0.8420744337753141</v>
      </c>
      <c r="F79" s="14">
        <v>3.6530614163361535E-3</v>
      </c>
      <c r="G79" s="14">
        <v>1.6296166806461823E-16</v>
      </c>
      <c r="H79" s="14">
        <v>238.20834608934197</v>
      </c>
      <c r="I79" s="14">
        <v>0.85096992858557963</v>
      </c>
      <c r="J79" s="14">
        <v>0</v>
      </c>
      <c r="K79" s="14">
        <v>273.74300238372456</v>
      </c>
      <c r="L79" s="14">
        <v>3.6530614163361539E-3</v>
      </c>
      <c r="M79" s="14">
        <v>2.9973368921038142E-3</v>
      </c>
      <c r="N79" s="14">
        <v>438.73029488596546</v>
      </c>
      <c r="O79" s="14">
        <v>219422.18238131789</v>
      </c>
      <c r="P79" s="8">
        <v>438.73029488596546</v>
      </c>
      <c r="Q79" s="54">
        <v>4.7524134173237598E-5</v>
      </c>
    </row>
    <row r="80" spans="1:17">
      <c r="A80" s="2" t="s">
        <v>511</v>
      </c>
      <c r="B80" s="16" t="s">
        <v>421</v>
      </c>
      <c r="D80" s="14">
        <v>1</v>
      </c>
      <c r="E80" s="14">
        <v>0.97533094614195193</v>
      </c>
      <c r="F80" s="14">
        <v>0.16326025321521329</v>
      </c>
      <c r="G80" s="14">
        <v>2.1271050157647645E-11</v>
      </c>
      <c r="H80" s="14">
        <v>230.97260139970362</v>
      </c>
      <c r="I80" s="14">
        <v>0.13985771883030432</v>
      </c>
      <c r="J80" s="14">
        <v>0</v>
      </c>
      <c r="K80" s="14">
        <v>6.12518956883999</v>
      </c>
      <c r="L80" s="14">
        <v>0.16326025321521331</v>
      </c>
      <c r="M80" s="14">
        <v>0.13395503776308251</v>
      </c>
      <c r="N80" s="14">
        <v>68.189880372324069</v>
      </c>
      <c r="O80" s="14">
        <v>24825.207848348298</v>
      </c>
      <c r="P80" s="8">
        <v>68.189880372324069</v>
      </c>
      <c r="Q80" s="54">
        <v>9.0674765341802432E-5</v>
      </c>
    </row>
    <row r="81" spans="1:17">
      <c r="A81" s="2" t="s">
        <v>512</v>
      </c>
      <c r="B81" s="16" t="s">
        <v>422</v>
      </c>
      <c r="D81" s="14">
        <v>1</v>
      </c>
      <c r="E81" s="14">
        <v>0.99275019293223243</v>
      </c>
      <c r="F81" s="14">
        <v>0.80212639842037992</v>
      </c>
      <c r="G81" s="14">
        <v>2.8306832519811325E-11</v>
      </c>
      <c r="H81" s="14">
        <v>55.063372762955495</v>
      </c>
      <c r="I81" s="14">
        <v>4.166666913662901E-2</v>
      </c>
      <c r="J81" s="14">
        <v>0</v>
      </c>
      <c r="K81" s="14">
        <v>1.2466863102489716</v>
      </c>
      <c r="L81" s="14">
        <v>0.80212639842038003</v>
      </c>
      <c r="M81" s="14">
        <v>0.65814470990392182</v>
      </c>
      <c r="N81" s="14">
        <v>19.770553480428163</v>
      </c>
      <c r="O81" s="14">
        <v>5220.4146465070562</v>
      </c>
      <c r="P81" s="8">
        <v>19.770553480428163</v>
      </c>
      <c r="Q81" s="54">
        <v>9.2042580078861814E-5</v>
      </c>
    </row>
    <row r="82" spans="1:17">
      <c r="A82" s="2" t="s">
        <v>513</v>
      </c>
      <c r="B82" s="16" t="s">
        <v>423</v>
      </c>
      <c r="D82" s="14">
        <v>1</v>
      </c>
      <c r="E82" s="14">
        <v>0.98652374076700278</v>
      </c>
      <c r="F82" s="14">
        <v>0.60277758305747675</v>
      </c>
      <c r="G82" s="14">
        <v>7.0818313564609514E-15</v>
      </c>
      <c r="H82" s="14">
        <v>109.7279063529941</v>
      </c>
      <c r="I82" s="14">
        <v>7.7263491954904825E-2</v>
      </c>
      <c r="J82" s="14">
        <v>0</v>
      </c>
      <c r="K82" s="14">
        <v>1.6589867110314334</v>
      </c>
      <c r="L82" s="14">
        <v>0.60277758305747675</v>
      </c>
      <c r="M82" s="14">
        <v>0.49457900689865969</v>
      </c>
      <c r="N82" s="14">
        <v>36.981482229931572</v>
      </c>
      <c r="O82" s="14">
        <v>14796.660855017923</v>
      </c>
      <c r="P82" s="8">
        <v>36.981482229931579</v>
      </c>
      <c r="Q82" s="54">
        <v>1.1496730007056861E-4</v>
      </c>
    </row>
    <row r="83" spans="1:17">
      <c r="A83" s="2" t="s">
        <v>514</v>
      </c>
      <c r="B83" s="16" t="s">
        <v>424</v>
      </c>
      <c r="D83" s="14">
        <v>1</v>
      </c>
      <c r="E83" s="14">
        <v>0.73296625382387182</v>
      </c>
      <c r="F83" s="14">
        <v>2.1559695940794356E-3</v>
      </c>
      <c r="G83" s="14">
        <v>2.0219531923063755E-12</v>
      </c>
      <c r="H83" s="14">
        <v>207.55950755822374</v>
      </c>
      <c r="I83" s="14">
        <v>1.4245201810621864</v>
      </c>
      <c r="J83" s="14">
        <v>0</v>
      </c>
      <c r="K83" s="14">
        <v>463.82843373400357</v>
      </c>
      <c r="L83" s="14">
        <v>2.1559695940794356E-3</v>
      </c>
      <c r="M83" s="14">
        <v>1.768973051942177E-3</v>
      </c>
      <c r="N83" s="14">
        <v>741.96508723122417</v>
      </c>
      <c r="O83" s="14">
        <v>381429.41204382776</v>
      </c>
      <c r="P83" s="8">
        <v>741.96508723122429</v>
      </c>
      <c r="Q83" s="54">
        <v>5.0427635641570687E-5</v>
      </c>
    </row>
    <row r="84" spans="1:17">
      <c r="A84" s="2" t="s">
        <v>403</v>
      </c>
      <c r="B84" s="16" t="s">
        <v>404</v>
      </c>
      <c r="D84" s="14">
        <v>1</v>
      </c>
      <c r="E84" s="14">
        <v>0.59166603532002271</v>
      </c>
      <c r="F84" s="14">
        <v>0.25399120589174107</v>
      </c>
      <c r="G84" s="14">
        <v>4.4265682808074479E-46</v>
      </c>
      <c r="H84" s="14">
        <v>78.169742259940392</v>
      </c>
      <c r="I84" s="14">
        <v>167.45412520514671</v>
      </c>
      <c r="J84" s="14">
        <v>0</v>
      </c>
      <c r="K84" s="14">
        <v>3.9371441876858957</v>
      </c>
      <c r="L84" s="14">
        <v>0.25399120589174107</v>
      </c>
      <c r="M84" s="14">
        <v>0.20839978443417356</v>
      </c>
      <c r="N84" s="14">
        <v>305.55474214582819</v>
      </c>
      <c r="O84" s="14">
        <v>367463.18845199439</v>
      </c>
      <c r="P84" s="8">
        <v>305.55474214582819</v>
      </c>
      <c r="Q84" s="54">
        <v>0.20141687370773814</v>
      </c>
    </row>
    <row r="85" spans="1:17">
      <c r="A85" s="2" t="s">
        <v>405</v>
      </c>
      <c r="B85" s="16" t="s">
        <v>406</v>
      </c>
      <c r="D85" s="14">
        <v>1</v>
      </c>
      <c r="E85" s="14">
        <v>0.20764862028973238</v>
      </c>
      <c r="F85" s="14">
        <v>1.1885730915764213E-2</v>
      </c>
      <c r="G85" s="14">
        <v>3.6048982232090958E-11</v>
      </c>
      <c r="H85" s="14">
        <v>52.888007446479953</v>
      </c>
      <c r="I85" s="14">
        <v>25.600156072829268</v>
      </c>
      <c r="J85" s="14">
        <v>0</v>
      </c>
      <c r="K85" s="14">
        <v>84.134497666751471</v>
      </c>
      <c r="L85" s="14">
        <v>1.1885730915764213E-2</v>
      </c>
      <c r="M85" s="14">
        <v>9.7522422163845365E-3</v>
      </c>
      <c r="N85" s="14">
        <v>2192.0258190861005</v>
      </c>
      <c r="O85" s="14">
        <v>698949.35267379403</v>
      </c>
      <c r="P85" s="8">
        <v>2192.0258190861005</v>
      </c>
      <c r="Q85" s="54">
        <v>2.4708285621092068E-3</v>
      </c>
    </row>
    <row r="86" spans="1:17">
      <c r="A86" s="2" t="s">
        <v>407</v>
      </c>
      <c r="B86" s="16" t="s">
        <v>408</v>
      </c>
      <c r="D86" s="14">
        <v>1</v>
      </c>
      <c r="E86" s="14">
        <v>0.38423210623350379</v>
      </c>
      <c r="F86" s="14">
        <v>1.5150084832460845E-4</v>
      </c>
      <c r="G86" s="14">
        <v>1.2161959485905434E-7</v>
      </c>
      <c r="H86" s="14">
        <v>20.800561787222694</v>
      </c>
      <c r="I86" s="14">
        <v>818.14868264189977</v>
      </c>
      <c r="J86" s="14">
        <v>0</v>
      </c>
      <c r="K86" s="14">
        <v>6600.623105801903</v>
      </c>
      <c r="L86" s="14">
        <v>1.5150084832460845E-4</v>
      </c>
      <c r="M86" s="14">
        <v>1.2430644605034122E-4</v>
      </c>
      <c r="N86" s="14">
        <v>1632.6699601436546</v>
      </c>
      <c r="O86" s="14">
        <v>793134.73993818602</v>
      </c>
      <c r="P86" s="8">
        <v>1632.6699601436549</v>
      </c>
      <c r="Q86" s="54">
        <v>1.9117550031708473E-2</v>
      </c>
    </row>
    <row r="87" spans="1:17">
      <c r="A87" s="2" t="s">
        <v>409</v>
      </c>
      <c r="B87" s="16" t="s">
        <v>410</v>
      </c>
      <c r="D87" s="14">
        <v>1</v>
      </c>
      <c r="E87" s="14">
        <v>0.36135727643348609</v>
      </c>
      <c r="F87" s="14">
        <v>4.8571705976056016E-5</v>
      </c>
      <c r="G87" s="14">
        <v>1.3932589613194905E-8</v>
      </c>
      <c r="H87" s="14">
        <v>10.37058743471346</v>
      </c>
      <c r="I87" s="14">
        <v>854.79215591882303</v>
      </c>
      <c r="J87" s="14">
        <v>0</v>
      </c>
      <c r="K87" s="14">
        <v>20588.117709782757</v>
      </c>
      <c r="L87" s="14">
        <v>4.8571705976056023E-5</v>
      </c>
      <c r="M87" s="14">
        <v>3.9853084753353965E-5</v>
      </c>
      <c r="N87" s="14">
        <v>1725.9337967912095</v>
      </c>
      <c r="O87" s="14">
        <v>974617.55571002816</v>
      </c>
      <c r="P87" s="8">
        <v>1725.9337967912095</v>
      </c>
      <c r="Q87" s="54">
        <v>1.1914080444880844E-2</v>
      </c>
    </row>
    <row r="88" spans="1:17">
      <c r="A88" s="2" t="s">
        <v>301</v>
      </c>
      <c r="B88" s="16" t="s">
        <v>302</v>
      </c>
      <c r="D88" s="14">
        <v>1</v>
      </c>
      <c r="E88" s="14">
        <v>0.34761832412435228</v>
      </c>
      <c r="F88" s="14">
        <v>1.2936202898488973E-5</v>
      </c>
      <c r="G88" s="14">
        <v>1.6328087022950205E-9</v>
      </c>
      <c r="H88" s="14">
        <v>4.5635920895787088</v>
      </c>
      <c r="I88" s="14">
        <v>872.4970945894039</v>
      </c>
      <c r="J88" s="14">
        <v>0</v>
      </c>
      <c r="K88" s="14">
        <v>77302.436259468843</v>
      </c>
      <c r="L88" s="14">
        <v>1.2936202898488974E-5</v>
      </c>
      <c r="M88" s="14">
        <v>1.0614154478210204E-5</v>
      </c>
      <c r="N88" s="14">
        <v>1785.3555487139015</v>
      </c>
      <c r="O88" s="14">
        <v>1149019.1240412928</v>
      </c>
      <c r="P88" s="8">
        <v>1785.3555487139017</v>
      </c>
      <c r="Q88" s="54">
        <v>6.7571566845318516E-3</v>
      </c>
    </row>
    <row r="89" spans="1:17">
      <c r="A89" s="2" t="s">
        <v>303</v>
      </c>
      <c r="B89" s="16" t="s">
        <v>304</v>
      </c>
      <c r="D89" s="14">
        <v>1</v>
      </c>
      <c r="E89" s="14">
        <v>3.7354526369672646E-2</v>
      </c>
      <c r="F89" s="14">
        <v>9.0902760208416824E-5</v>
      </c>
      <c r="G89" s="14">
        <v>1.3090352234815337E-16</v>
      </c>
      <c r="H89" s="14">
        <v>2.9413427744569201</v>
      </c>
      <c r="I89" s="14">
        <v>70.829362018777374</v>
      </c>
      <c r="J89" s="14">
        <v>0</v>
      </c>
      <c r="K89" s="14">
        <v>11000.766068128793</v>
      </c>
      <c r="L89" s="14">
        <v>9.0902760208416824E-5</v>
      </c>
      <c r="M89" s="14">
        <v>7.4585714751006013E-5</v>
      </c>
      <c r="N89" s="14">
        <v>2672.3462380638375</v>
      </c>
      <c r="O89" s="14">
        <v>1724491.7508849748</v>
      </c>
      <c r="P89" s="8">
        <v>2672.346238063838</v>
      </c>
      <c r="Q89" s="54">
        <v>7.6632559308905995E-4</v>
      </c>
    </row>
    <row r="90" spans="1:17">
      <c r="A90" s="2" t="s">
        <v>425</v>
      </c>
      <c r="B90" s="16" t="s">
        <v>426</v>
      </c>
      <c r="D90" s="14">
        <v>1</v>
      </c>
      <c r="E90" s="14">
        <v>0.97437831719210799</v>
      </c>
      <c r="F90" s="14">
        <v>0.97696327844828612</v>
      </c>
      <c r="G90" s="14">
        <v>1.7795684336903506E-15</v>
      </c>
      <c r="H90" s="14">
        <v>0.26036238430847347</v>
      </c>
      <c r="I90" s="14">
        <v>0.80940361993053411</v>
      </c>
      <c r="J90" s="14">
        <v>0</v>
      </c>
      <c r="K90" s="14">
        <v>1.0235799257350831</v>
      </c>
      <c r="L90" s="14">
        <v>0.97696327844828623</v>
      </c>
      <c r="M90" s="14">
        <v>0.80159836996681888</v>
      </c>
      <c r="N90" s="14">
        <v>1.4197758925561359</v>
      </c>
      <c r="O90" s="14">
        <v>393.64706397011423</v>
      </c>
      <c r="P90" s="8">
        <v>1.4197758925561359</v>
      </c>
      <c r="Q90" s="54">
        <v>1.6949822023073331E-2</v>
      </c>
    </row>
    <row r="91" spans="1:17">
      <c r="A91" s="2" t="s">
        <v>427</v>
      </c>
      <c r="B91" s="16" t="s">
        <v>428</v>
      </c>
      <c r="D91" s="14">
        <v>1</v>
      </c>
      <c r="E91" s="14">
        <v>0.76745634163265264</v>
      </c>
      <c r="F91" s="14">
        <v>0.70147583020749937</v>
      </c>
      <c r="G91" s="14">
        <v>8.9310228275648342E-7</v>
      </c>
      <c r="H91" s="14">
        <v>15.24307939614156</v>
      </c>
      <c r="I91" s="14">
        <v>39.694458563814976</v>
      </c>
      <c r="J91" s="14">
        <v>0</v>
      </c>
      <c r="K91" s="14">
        <v>1.4255658669012099</v>
      </c>
      <c r="L91" s="14">
        <v>0.70147583020749948</v>
      </c>
      <c r="M91" s="14">
        <v>0.57556091868525328</v>
      </c>
      <c r="N91" s="14">
        <v>70.696771185346037</v>
      </c>
      <c r="O91" s="14">
        <v>11678.399632107312</v>
      </c>
      <c r="P91" s="8">
        <v>70.696771185346037</v>
      </c>
      <c r="Q91" s="54">
        <v>0.13974294210035293</v>
      </c>
    </row>
    <row r="92" spans="1:17">
      <c r="A92" s="2" t="s">
        <v>429</v>
      </c>
      <c r="B92" s="16" t="s">
        <v>430</v>
      </c>
      <c r="D92" s="14">
        <v>1</v>
      </c>
      <c r="E92" s="14">
        <v>0.60416530884618436</v>
      </c>
      <c r="F92" s="14">
        <v>0.10838057751184654</v>
      </c>
      <c r="G92" s="14">
        <v>4.77749178040221E-6</v>
      </c>
      <c r="H92" s="14">
        <v>116.4585720811954</v>
      </c>
      <c r="I92" s="14">
        <v>227.52474254534775</v>
      </c>
      <c r="J92" s="14">
        <v>0</v>
      </c>
      <c r="K92" s="14">
        <v>9.226745446071229</v>
      </c>
      <c r="L92" s="14">
        <v>0.10838057751184656</v>
      </c>
      <c r="M92" s="14">
        <v>8.8926263848470091E-2</v>
      </c>
      <c r="N92" s="14">
        <v>419.96646461523193</v>
      </c>
      <c r="O92" s="14">
        <v>75694.755582249403</v>
      </c>
      <c r="P92" s="8">
        <v>419.96646461523198</v>
      </c>
      <c r="Q92" s="54">
        <v>0.16490302847438776</v>
      </c>
    </row>
    <row r="93" spans="1:17">
      <c r="A93" s="2" t="s">
        <v>431</v>
      </c>
      <c r="B93" s="16" t="s">
        <v>432</v>
      </c>
      <c r="D93" s="14">
        <v>1</v>
      </c>
      <c r="E93" s="14">
        <v>0.99962882227303451</v>
      </c>
      <c r="F93" s="14">
        <v>0.99915961305464673</v>
      </c>
      <c r="G93" s="14">
        <v>1.3390219329651794E-19</v>
      </c>
      <c r="H93" s="14">
        <v>1.239438182832302</v>
      </c>
      <c r="I93" s="14">
        <v>9.1940827444209044E-3</v>
      </c>
      <c r="J93" s="14">
        <v>0</v>
      </c>
      <c r="K93" s="14">
        <v>1.0008410937895937</v>
      </c>
      <c r="L93" s="14">
        <v>0.99915961305464684</v>
      </c>
      <c r="M93" s="14">
        <v>0.81981046251133771</v>
      </c>
      <c r="N93" s="14">
        <v>0.60647109960474621</v>
      </c>
      <c r="O93" s="14">
        <v>235.85054592528974</v>
      </c>
      <c r="P93" s="8">
        <v>0.60647109960474621</v>
      </c>
      <c r="Q93" s="54">
        <v>1.0325436209608868E-4</v>
      </c>
    </row>
    <row r="94" spans="1:17">
      <c r="A94" s="2" t="s">
        <v>433</v>
      </c>
      <c r="B94" s="16" t="s">
        <v>434</v>
      </c>
      <c r="D94" s="14">
        <v>1</v>
      </c>
      <c r="E94" s="14">
        <v>0.99993631990374299</v>
      </c>
      <c r="F94" s="14">
        <v>1.0038326629889196</v>
      </c>
      <c r="G94" s="14">
        <v>2.8306085257952564E-20</v>
      </c>
      <c r="H94" s="14">
        <v>4.8244890276072788E-3</v>
      </c>
      <c r="I94" s="14">
        <v>6.2331643797404354E-5</v>
      </c>
      <c r="J94" s="14">
        <v>0</v>
      </c>
      <c r="K94" s="14">
        <v>0.99618197023246102</v>
      </c>
      <c r="L94" s="14">
        <v>1.0038326629889196</v>
      </c>
      <c r="M94" s="14">
        <v>0.82364469998240852</v>
      </c>
      <c r="N94" s="14">
        <v>0.16622918270595172</v>
      </c>
      <c r="O94" s="14">
        <v>29.794918708214787</v>
      </c>
      <c r="P94" s="8">
        <v>0.16622918270595172</v>
      </c>
      <c r="Q94" s="54">
        <v>2.6128145157694803E-6</v>
      </c>
    </row>
    <row r="95" spans="1:17">
      <c r="A95" s="2" t="s">
        <v>435</v>
      </c>
      <c r="B95" s="16" t="s">
        <v>436</v>
      </c>
      <c r="D95" s="14">
        <v>1</v>
      </c>
      <c r="E95" s="14">
        <v>0.9400247756443757</v>
      </c>
      <c r="F95" s="14">
        <v>0.93866093453872446</v>
      </c>
      <c r="G95" s="14">
        <v>1.5106673030458958E-10</v>
      </c>
      <c r="H95" s="14">
        <v>1.0600138357536089</v>
      </c>
      <c r="I95" s="14">
        <v>3.4041163503725702</v>
      </c>
      <c r="J95" s="14">
        <v>0</v>
      </c>
      <c r="K95" s="14">
        <v>1.0653474148164255</v>
      </c>
      <c r="L95" s="14">
        <v>0.93866093453872446</v>
      </c>
      <c r="M95" s="14">
        <v>0.77017129678902341</v>
      </c>
      <c r="N95" s="14">
        <v>6.0556775078951519</v>
      </c>
      <c r="O95" s="14">
        <v>1581.0768405363451</v>
      </c>
      <c r="P95" s="8">
        <v>6.0556775078951528</v>
      </c>
      <c r="Q95" s="54">
        <v>3.9012555144787527E-2</v>
      </c>
    </row>
    <row r="96" spans="1:17">
      <c r="A96" s="2" t="s">
        <v>437</v>
      </c>
      <c r="B96" s="166" t="s">
        <v>438</v>
      </c>
      <c r="D96" s="14">
        <v>1</v>
      </c>
      <c r="E96" s="14">
        <v>0.39692416284083143</v>
      </c>
      <c r="F96" s="14">
        <v>2.2913523990208132E-4</v>
      </c>
      <c r="G96" s="14">
        <v>2.3634171053005268E-10</v>
      </c>
      <c r="H96" s="14">
        <v>26.687745455972617</v>
      </c>
      <c r="I96" s="14">
        <v>796.83620328803829</v>
      </c>
      <c r="J96" s="14">
        <v>0</v>
      </c>
      <c r="K96" s="14">
        <v>4364.234852863925</v>
      </c>
      <c r="L96" s="14">
        <v>2.2913523990208132E-4</v>
      </c>
      <c r="M96" s="14">
        <v>1.8800546433965772E-4</v>
      </c>
      <c r="N96" s="14">
        <v>1583.2014776590986</v>
      </c>
      <c r="O96" s="14">
        <v>659086.77514948277</v>
      </c>
      <c r="P96" s="8">
        <v>1583.2014776590988</v>
      </c>
      <c r="Q96" s="54">
        <v>2.2571948853002892E-2</v>
      </c>
    </row>
    <row r="97" spans="1:17">
      <c r="A97" s="2" t="s">
        <v>439</v>
      </c>
      <c r="B97" s="16" t="s">
        <v>440</v>
      </c>
      <c r="D97" s="14">
        <v>1</v>
      </c>
      <c r="E97" s="14">
        <v>0.69782569160908092</v>
      </c>
      <c r="F97" s="14">
        <v>0.57604252028833935</v>
      </c>
      <c r="G97" s="14">
        <v>4.238996222168681E-7</v>
      </c>
      <c r="H97" s="14">
        <v>27.863427730208631</v>
      </c>
      <c r="I97" s="14">
        <v>68.405608831230225</v>
      </c>
      <c r="J97" s="14">
        <v>0</v>
      </c>
      <c r="K97" s="14">
        <v>1.7359829609443549</v>
      </c>
      <c r="L97" s="14">
        <v>0.57604252028833935</v>
      </c>
      <c r="M97" s="14">
        <v>0.47264288789658249</v>
      </c>
      <c r="N97" s="14">
        <v>122.72103384529379</v>
      </c>
      <c r="O97" s="14">
        <v>23472.852143589345</v>
      </c>
      <c r="P97" s="8">
        <v>122.72103384529379</v>
      </c>
      <c r="Q97" s="54">
        <v>0.1741372623769836</v>
      </c>
    </row>
    <row r="98" spans="1:17">
      <c r="A98" s="2" t="s">
        <v>441</v>
      </c>
      <c r="B98" s="16" t="s">
        <v>442</v>
      </c>
      <c r="D98" s="14">
        <v>1</v>
      </c>
      <c r="E98" s="14">
        <v>0.75460114860729555</v>
      </c>
      <c r="F98" s="14">
        <v>0.68004014998146622</v>
      </c>
      <c r="G98" s="14">
        <v>2.936182474773501E-19</v>
      </c>
      <c r="H98" s="14">
        <v>17.169377697060327</v>
      </c>
      <c r="I98" s="14">
        <v>44.21928593994744</v>
      </c>
      <c r="J98" s="14">
        <v>0</v>
      </c>
      <c r="K98" s="14">
        <v>1.4705014108758931</v>
      </c>
      <c r="L98" s="14">
        <v>0.68004014998146622</v>
      </c>
      <c r="M98" s="14">
        <v>0.55797294305979306</v>
      </c>
      <c r="N98" s="14">
        <v>78.862582326829042</v>
      </c>
      <c r="O98" s="14">
        <v>30950.409059987323</v>
      </c>
      <c r="P98" s="8">
        <v>78.862582326829042</v>
      </c>
      <c r="Q98" s="54">
        <v>0.14649126363327014</v>
      </c>
    </row>
    <row r="99" spans="1:17">
      <c r="A99" s="2" t="s">
        <v>443</v>
      </c>
      <c r="B99" s="16" t="s">
        <v>444</v>
      </c>
      <c r="D99" s="14">
        <v>1</v>
      </c>
      <c r="E99" s="14">
        <v>0.87617618313410373</v>
      </c>
      <c r="F99" s="14">
        <v>0.86025162146225675</v>
      </c>
      <c r="G99" s="14">
        <v>4.6335514272588528E-31</v>
      </c>
      <c r="H99" s="14">
        <v>4.1695146093939339</v>
      </c>
      <c r="I99" s="14">
        <v>12.126701029641582</v>
      </c>
      <c r="J99" s="14">
        <v>0</v>
      </c>
      <c r="K99" s="14">
        <v>1.1624505842839314</v>
      </c>
      <c r="L99" s="14">
        <v>0.86025162146225687</v>
      </c>
      <c r="M99" s="14">
        <v>0.70583645540978168</v>
      </c>
      <c r="N99" s="14">
        <v>21.31337531424656</v>
      </c>
      <c r="O99" s="14">
        <v>16644.467317907711</v>
      </c>
      <c r="P99" s="8">
        <v>21.31337531424656</v>
      </c>
      <c r="Q99" s="54">
        <v>7.8404803488785479E-2</v>
      </c>
    </row>
    <row r="100" spans="1:17">
      <c r="A100" s="2" t="s">
        <v>445</v>
      </c>
      <c r="B100" s="16" t="s">
        <v>446</v>
      </c>
      <c r="D100" s="14">
        <v>1</v>
      </c>
      <c r="E100" s="14">
        <v>0.54093966140054661</v>
      </c>
      <c r="F100" s="14">
        <v>2.0904771894465438E-3</v>
      </c>
      <c r="G100" s="14">
        <v>3.4437682739139252E-10</v>
      </c>
      <c r="H100" s="14">
        <v>93.133394662060169</v>
      </c>
      <c r="I100" s="14">
        <v>555.72841565363933</v>
      </c>
      <c r="J100" s="14">
        <v>0</v>
      </c>
      <c r="K100" s="14">
        <v>478.35968029134585</v>
      </c>
      <c r="L100" s="14">
        <v>2.0904771894465438E-3</v>
      </c>
      <c r="M100" s="14">
        <v>1.7152365339408893E-3</v>
      </c>
      <c r="N100" s="14">
        <v>1076.3052317162976</v>
      </c>
      <c r="O100" s="14">
        <v>329779.92299787357</v>
      </c>
      <c r="P100" s="8">
        <v>1076.3052317162978</v>
      </c>
      <c r="Q100" s="54">
        <v>4.8468837532960211E-2</v>
      </c>
    </row>
    <row r="101" spans="1:17">
      <c r="A101" s="2" t="s">
        <v>447</v>
      </c>
      <c r="B101" s="16" t="s">
        <v>448</v>
      </c>
      <c r="D101" s="14">
        <v>1</v>
      </c>
      <c r="E101" s="14">
        <v>0.59265030681035191</v>
      </c>
      <c r="F101" s="14">
        <v>0.15350984518330041</v>
      </c>
      <c r="G101" s="14">
        <v>4.2583830193832558E-11</v>
      </c>
      <c r="H101" s="14">
        <v>102.56902652998323</v>
      </c>
      <c r="I101" s="14">
        <v>207.52642490637126</v>
      </c>
      <c r="J101" s="14">
        <v>0</v>
      </c>
      <c r="K101" s="14">
        <v>6.5142401701072465</v>
      </c>
      <c r="L101" s="14">
        <v>0.15350984518330041</v>
      </c>
      <c r="M101" s="14">
        <v>0.125954827972898</v>
      </c>
      <c r="N101" s="14">
        <v>381.38318960864569</v>
      </c>
      <c r="O101" s="14">
        <v>128457.48592398403</v>
      </c>
      <c r="P101" s="8">
        <v>381.38318960864569</v>
      </c>
      <c r="Q101" s="54">
        <v>0.18233641197174108</v>
      </c>
    </row>
    <row r="102" spans="1:17">
      <c r="A102" s="2" t="s">
        <v>449</v>
      </c>
      <c r="B102" s="16" t="s">
        <v>450</v>
      </c>
      <c r="D102" s="14">
        <v>1</v>
      </c>
      <c r="E102" s="14">
        <v>0.66488182360646042</v>
      </c>
      <c r="F102" s="14">
        <v>3.2187848988489282E-2</v>
      </c>
      <c r="G102" s="14">
        <v>1.8008620360841916E-6</v>
      </c>
      <c r="H102" s="14">
        <v>151.2348761953107</v>
      </c>
      <c r="I102" s="14">
        <v>265.03859821812296</v>
      </c>
      <c r="J102" s="14">
        <v>0</v>
      </c>
      <c r="K102" s="14">
        <v>31.067624318655479</v>
      </c>
      <c r="L102" s="14">
        <v>3.2187848988489288E-2</v>
      </c>
      <c r="M102" s="14">
        <v>2.641013009505546E-2</v>
      </c>
      <c r="N102" s="14">
        <v>495.89577285689285</v>
      </c>
      <c r="O102" s="14">
        <v>230636.16499801227</v>
      </c>
      <c r="P102" s="8">
        <v>495.89577285689285</v>
      </c>
      <c r="Q102" s="54">
        <v>0.10565963982205781</v>
      </c>
    </row>
    <row r="103" spans="1:17">
      <c r="A103" s="2" t="s">
        <v>451</v>
      </c>
      <c r="B103" s="16" t="s">
        <v>452</v>
      </c>
      <c r="D103" s="14">
        <v>1</v>
      </c>
      <c r="E103" s="14">
        <v>0.99585211981833643</v>
      </c>
      <c r="F103" s="14">
        <v>0.89468982839355482</v>
      </c>
      <c r="G103" s="14">
        <v>4.8703895440301947E-21</v>
      </c>
      <c r="H103" s="14">
        <v>29.740789965793308</v>
      </c>
      <c r="I103" s="14">
        <v>2.6723253010129171E-2</v>
      </c>
      <c r="J103" s="14">
        <v>0</v>
      </c>
      <c r="K103" s="14">
        <v>1.117705788379793</v>
      </c>
      <c r="L103" s="14">
        <v>0.89468982839355493</v>
      </c>
      <c r="M103" s="14">
        <v>0.73409300419691181</v>
      </c>
      <c r="N103" s="14">
        <v>11.202213829097225</v>
      </c>
      <c r="O103" s="14">
        <v>3705.0202018356163</v>
      </c>
      <c r="P103" s="8">
        <v>11.202213829097225</v>
      </c>
      <c r="Q103" s="54">
        <v>7.9193461019268278E-5</v>
      </c>
    </row>
    <row r="104" spans="1:17">
      <c r="A104" s="2" t="s">
        <v>453</v>
      </c>
      <c r="B104" s="16" t="s">
        <v>454</v>
      </c>
      <c r="D104" s="14">
        <v>1</v>
      </c>
      <c r="E104" s="14">
        <v>0.96238863536090147</v>
      </c>
      <c r="F104" s="14">
        <v>1.0739672314433141E-2</v>
      </c>
      <c r="G104" s="14">
        <v>1.2080752672337922E-22</v>
      </c>
      <c r="H104" s="14">
        <v>270.20353750465915</v>
      </c>
      <c r="I104" s="14">
        <v>2.6492216542793035</v>
      </c>
      <c r="J104" s="14">
        <v>0</v>
      </c>
      <c r="K104" s="14">
        <v>93.112710585786772</v>
      </c>
      <c r="L104" s="14">
        <v>1.0739672314433143E-2</v>
      </c>
      <c r="M104" s="14">
        <v>8.811901133992394E-3</v>
      </c>
      <c r="N104" s="14">
        <v>102.6773376709117</v>
      </c>
      <c r="O104" s="14">
        <v>50722.604809430377</v>
      </c>
      <c r="P104" s="8">
        <v>102.6773376709117</v>
      </c>
      <c r="Q104" s="54">
        <v>4.5093951794556711E-4</v>
      </c>
    </row>
    <row r="105" spans="1:17">
      <c r="A105" s="2" t="s">
        <v>455</v>
      </c>
      <c r="B105" s="166">
        <v>354656</v>
      </c>
      <c r="D105" s="14">
        <v>1</v>
      </c>
      <c r="E105" s="14">
        <v>0.96929160204957687</v>
      </c>
      <c r="F105" s="14">
        <v>0.9717177320278847</v>
      </c>
      <c r="G105" s="14">
        <v>4.0930647552146304E-12</v>
      </c>
      <c r="H105" s="14">
        <v>0.27913874903157326</v>
      </c>
      <c r="I105" s="14">
        <v>0.99971750957135719</v>
      </c>
      <c r="J105" s="14">
        <v>0</v>
      </c>
      <c r="K105" s="14">
        <v>1.0291054357041451</v>
      </c>
      <c r="L105" s="14">
        <v>0.9717177320278847</v>
      </c>
      <c r="M105" s="14">
        <v>0.79729439912887934</v>
      </c>
      <c r="N105" s="14">
        <v>1.7280959562234957</v>
      </c>
      <c r="O105" s="14">
        <v>340.76324160771111</v>
      </c>
      <c r="P105" s="8">
        <v>1.7280959562234959</v>
      </c>
      <c r="Q105" s="54">
        <v>2.0308474343473673E-2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0.9371747403727777</v>
      </c>
      <c r="F106" s="14">
        <v>0.93538410615717715</v>
      </c>
      <c r="G106" s="14">
        <v>6.0550005176156769E-12</v>
      </c>
      <c r="H106" s="14">
        <v>1.1487121692975313</v>
      </c>
      <c r="I106" s="14">
        <v>3.6723861015454875</v>
      </c>
      <c r="J106" s="14">
        <v>0</v>
      </c>
      <c r="K106" s="14">
        <v>1.0690795293799498</v>
      </c>
      <c r="L106" s="14">
        <v>0.93538410615717715</v>
      </c>
      <c r="M106" s="14">
        <v>0.76748265910196389</v>
      </c>
      <c r="N106" s="14">
        <v>6.5055419322385193</v>
      </c>
      <c r="O106" s="14">
        <v>1042.057706705966</v>
      </c>
      <c r="P106" s="8">
        <v>6.5055419322385193</v>
      </c>
      <c r="Q106" s="54">
        <v>4.0827081439160702E-2</v>
      </c>
    </row>
    <row r="107" spans="1:17">
      <c r="A107" s="2" t="s">
        <v>459</v>
      </c>
      <c r="B107" s="16" t="s">
        <v>460</v>
      </c>
      <c r="D107" s="14">
        <v>1</v>
      </c>
      <c r="E107" s="14">
        <v>0.69514089133553569</v>
      </c>
      <c r="F107" s="14">
        <v>1.7014740473477338E-2</v>
      </c>
      <c r="G107" s="14">
        <v>4.1377265182020088E-22</v>
      </c>
      <c r="H107" s="14">
        <v>164.04478298420381</v>
      </c>
      <c r="I107" s="14">
        <v>265.83504388078285</v>
      </c>
      <c r="J107" s="14">
        <v>0</v>
      </c>
      <c r="K107" s="14">
        <v>58.772568500754097</v>
      </c>
      <c r="L107" s="14">
        <v>1.7014740473477338E-2</v>
      </c>
      <c r="M107" s="14">
        <v>1.3960594558488155E-2</v>
      </c>
      <c r="N107" s="14">
        <v>538.09601687994166</v>
      </c>
      <c r="O107" s="14">
        <v>285960.36625050736</v>
      </c>
      <c r="P107" s="8">
        <v>538.09601687994166</v>
      </c>
      <c r="Q107" s="54">
        <v>7.5095209208966354E-2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0.99991034295193193</v>
      </c>
      <c r="F108" s="14">
        <v>1.0038145661650333</v>
      </c>
      <c r="G108" s="14">
        <v>1.2230110380900393E-11</v>
      </c>
      <c r="H108" s="14">
        <v>2.499046082572157E-3</v>
      </c>
      <c r="I108" s="14">
        <v>6.7065236697375183E-4</v>
      </c>
      <c r="J108" s="14">
        <v>0</v>
      </c>
      <c r="K108" s="14">
        <v>0.99619992945549052</v>
      </c>
      <c r="L108" s="14">
        <v>1.0038145661650333</v>
      </c>
      <c r="M108" s="14">
        <v>0.82362985153840984</v>
      </c>
      <c r="N108" s="14">
        <v>9.4681293661933397E-2</v>
      </c>
      <c r="O108" s="14">
        <v>12.229035889375316</v>
      </c>
      <c r="P108" s="8">
        <v>9.4681293661933397E-2</v>
      </c>
      <c r="Q108" s="54">
        <v>3.7522992081509856E-5</v>
      </c>
    </row>
    <row r="109" spans="1:17">
      <c r="A109" s="2" t="s">
        <v>463</v>
      </c>
      <c r="B109" s="16" t="s">
        <v>464</v>
      </c>
      <c r="D109" s="14">
        <v>1</v>
      </c>
      <c r="E109" s="14">
        <v>0.89949606001598204</v>
      </c>
      <c r="F109" s="14">
        <v>0.84728410651646813</v>
      </c>
      <c r="G109" s="14">
        <v>2.8622220432752659E-14</v>
      </c>
      <c r="H109" s="14">
        <v>15.031337567638742</v>
      </c>
      <c r="I109" s="14">
        <v>6.9177572694143166</v>
      </c>
      <c r="J109" s="14">
        <v>0</v>
      </c>
      <c r="K109" s="14">
        <v>1.180241659567308</v>
      </c>
      <c r="L109" s="14">
        <v>0.84728410651646813</v>
      </c>
      <c r="M109" s="14">
        <v>0.6951966093967622</v>
      </c>
      <c r="N109" s="14">
        <v>232.90261378417571</v>
      </c>
      <c r="O109" s="14">
        <v>69824.203612495883</v>
      </c>
      <c r="P109" s="8">
        <v>232.90261378417574</v>
      </c>
      <c r="Q109" s="54">
        <v>1.1276266190779692E-2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0.99366130303451783</v>
      </c>
      <c r="F110" s="14">
        <v>0.99728126626081814</v>
      </c>
      <c r="G110" s="14">
        <v>2.3217970636913507E-13</v>
      </c>
      <c r="H110" s="14">
        <v>6.3899529583927694E-2</v>
      </c>
      <c r="I110" s="14">
        <v>0.11319462421755963</v>
      </c>
      <c r="J110" s="14">
        <v>0</v>
      </c>
      <c r="K110" s="14">
        <v>1.0027261454026659</v>
      </c>
      <c r="L110" s="14">
        <v>0.99728126626081814</v>
      </c>
      <c r="M110" s="14">
        <v>0.8182692789670013</v>
      </c>
      <c r="N110" s="14">
        <v>0.22882891685922413</v>
      </c>
      <c r="O110" s="14">
        <v>54.497894839192817</v>
      </c>
      <c r="P110" s="8">
        <v>0.22882891685922416</v>
      </c>
      <c r="Q110" s="54">
        <v>4.2230459027026894E-3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0.99998681715736359</v>
      </c>
      <c r="F111" s="14">
        <v>1.0038843678008758</v>
      </c>
      <c r="G111" s="14">
        <v>4.127487614839705E-32</v>
      </c>
      <c r="H111" s="14">
        <v>4.5415457300608331E-3</v>
      </c>
      <c r="I111" s="14">
        <v>3.474059526026527E-5</v>
      </c>
      <c r="J111" s="14">
        <v>0</v>
      </c>
      <c r="K111" s="14">
        <v>0.99613066213055501</v>
      </c>
      <c r="L111" s="14">
        <v>1.0038843678008758</v>
      </c>
      <c r="M111" s="14">
        <v>0.82368712378061859</v>
      </c>
      <c r="N111" s="14">
        <v>2.1019675638260474E-2</v>
      </c>
      <c r="O111" s="14">
        <v>9.67808925412427</v>
      </c>
      <c r="P111" s="8">
        <v>2.1019675638260474E-2</v>
      </c>
      <c r="Q111" s="54">
        <v>3.7934752556536213E-6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0.99183099234708261</v>
      </c>
      <c r="F112" s="14">
        <v>0.9955984584866503</v>
      </c>
      <c r="G112" s="14">
        <v>2.6088115177879323E-15</v>
      </c>
      <c r="H112" s="14">
        <v>2.2040133233050888E-2</v>
      </c>
      <c r="I112" s="14">
        <v>9.5339174288256723E-2</v>
      </c>
      <c r="J112" s="14">
        <v>0</v>
      </c>
      <c r="K112" s="14">
        <v>1.0044210007316003</v>
      </c>
      <c r="L112" s="14">
        <v>0.9955984584866503</v>
      </c>
      <c r="M112" s="14">
        <v>0.81688853518829652</v>
      </c>
      <c r="N112" s="14">
        <v>0.17714086544131225</v>
      </c>
      <c r="O112" s="14">
        <v>36.358162631829337</v>
      </c>
      <c r="P112" s="8">
        <v>0.17714086544131225</v>
      </c>
      <c r="Q112" s="54">
        <v>5.4710588492753315E-3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0.95327538335653728</v>
      </c>
      <c r="F113" s="14">
        <v>0.95399275761708568</v>
      </c>
      <c r="G113" s="14">
        <v>3.2065171375512375E-11</v>
      </c>
      <c r="H113" s="14">
        <v>0.62546797457350156</v>
      </c>
      <c r="I113" s="14">
        <v>2.1079594315960808</v>
      </c>
      <c r="J113" s="14">
        <v>0</v>
      </c>
      <c r="K113" s="14">
        <v>1.0482259870586781</v>
      </c>
      <c r="L113" s="14">
        <v>0.9539927576170858</v>
      </c>
      <c r="M113" s="14">
        <v>0.78275105762481889</v>
      </c>
      <c r="N113" s="14">
        <v>3.6517081004179595</v>
      </c>
      <c r="O113" s="14">
        <v>551.99219645917867</v>
      </c>
      <c r="P113" s="8">
        <v>3.6517081004179595</v>
      </c>
      <c r="Q113" s="54">
        <v>3.0652242198570212E-2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0.99577304741822614</v>
      </c>
      <c r="F114" s="14">
        <v>0.99963607078564665</v>
      </c>
      <c r="G114" s="14">
        <v>2.5609510541950132E-18</v>
      </c>
      <c r="H114" s="14">
        <v>6.4180326006856902E-3</v>
      </c>
      <c r="I114" s="14">
        <v>2.9938644810214913E-2</v>
      </c>
      <c r="J114" s="14">
        <v>0</v>
      </c>
      <c r="K114" s="14">
        <v>1.0003640617070442</v>
      </c>
      <c r="L114" s="14">
        <v>0.99963607078564676</v>
      </c>
      <c r="M114" s="14">
        <v>0.82020139607962317</v>
      </c>
      <c r="N114" s="14">
        <v>6.7406401986292053E-2</v>
      </c>
      <c r="O114" s="14">
        <v>22.875036578068073</v>
      </c>
      <c r="P114" s="8">
        <v>6.7406401986292067E-2</v>
      </c>
      <c r="Q114" s="54">
        <v>2.8368223368788561E-3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0.99876944869370832</v>
      </c>
      <c r="F115" s="14">
        <v>0.97514717737316425</v>
      </c>
      <c r="G115" s="14">
        <v>1.3228912984699692E-14</v>
      </c>
      <c r="H115" s="14">
        <v>7.7934574388052642</v>
      </c>
      <c r="I115" s="14">
        <v>8.6432213766254318E-3</v>
      </c>
      <c r="J115" s="14">
        <v>0</v>
      </c>
      <c r="K115" s="14">
        <v>1.02548622731369</v>
      </c>
      <c r="L115" s="14">
        <v>0.97514717737316436</v>
      </c>
      <c r="M115" s="14">
        <v>0.8001082590346813</v>
      </c>
      <c r="N115" s="14">
        <v>3.2322050791912207</v>
      </c>
      <c r="O115" s="14">
        <v>621.00356186500926</v>
      </c>
      <c r="P115" s="8">
        <v>3.2322050791912207</v>
      </c>
      <c r="Q115" s="54">
        <v>4.5632644385394137E-5</v>
      </c>
    </row>
    <row r="116" spans="1:17">
      <c r="A116" s="2" t="s">
        <v>477</v>
      </c>
      <c r="B116" s="16" t="s">
        <v>478</v>
      </c>
      <c r="D116" s="14">
        <v>1</v>
      </c>
      <c r="E116" s="14">
        <v>0.48397378263491331</v>
      </c>
      <c r="F116" s="14">
        <v>6.6750924757466482E-2</v>
      </c>
      <c r="G116" s="14">
        <v>1.8545418839223481E-19</v>
      </c>
      <c r="H116" s="14">
        <v>115.85110821944025</v>
      </c>
      <c r="I116" s="14">
        <v>25.980369798007356</v>
      </c>
      <c r="J116" s="14">
        <v>0</v>
      </c>
      <c r="K116" s="14">
        <v>14.981065859887494</v>
      </c>
      <c r="L116" s="14">
        <v>6.6750924757466482E-2</v>
      </c>
      <c r="M116" s="14">
        <v>5.4769133763501253E-2</v>
      </c>
      <c r="N116" s="14">
        <v>1407.7130340155154</v>
      </c>
      <c r="O116" s="14">
        <v>639946.34526345332</v>
      </c>
      <c r="P116" s="8">
        <v>1407.7130340155154</v>
      </c>
      <c r="Q116" s="54">
        <v>6.4334707152554236E-3</v>
      </c>
    </row>
    <row r="117" spans="1:17">
      <c r="A117" s="2" t="s">
        <v>291</v>
      </c>
      <c r="B117" s="16" t="s">
        <v>479</v>
      </c>
      <c r="D117" s="14">
        <v>1</v>
      </c>
      <c r="E117" s="14">
        <v>0.63918327012559828</v>
      </c>
      <c r="F117" s="14">
        <v>0.44177177936048817</v>
      </c>
      <c r="G117" s="14">
        <v>3.0465370010592903E-12</v>
      </c>
      <c r="H117" s="14">
        <v>45.245768534018779</v>
      </c>
      <c r="I117" s="14">
        <v>105.10784699915105</v>
      </c>
      <c r="J117" s="14">
        <v>0</v>
      </c>
      <c r="K117" s="14">
        <v>2.2636122240483689</v>
      </c>
      <c r="L117" s="14">
        <v>0.44177177936048823</v>
      </c>
      <c r="M117" s="14">
        <v>0.36247374496528056</v>
      </c>
      <c r="N117" s="14">
        <v>189.86388922119886</v>
      </c>
      <c r="O117" s="14">
        <v>58540.732963572242</v>
      </c>
      <c r="P117" s="8">
        <v>189.86388922119889</v>
      </c>
      <c r="Q117" s="54">
        <v>0.19743999902443757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2.6207823867506159E-8</v>
      </c>
      <c r="E2" s="20">
        <v>0.97624300325805202</v>
      </c>
      <c r="F2" s="20">
        <v>6.0021269414473359E-4</v>
      </c>
      <c r="G2" s="20">
        <v>2.4087999396813035E-4</v>
      </c>
      <c r="H2" s="20">
        <v>0</v>
      </c>
      <c r="I2" s="20">
        <v>0.97540191056993919</v>
      </c>
      <c r="J2" s="20">
        <v>3.9479072571355816E-4</v>
      </c>
      <c r="K2" s="20">
        <v>2.3362179808410356E-2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1.8465111003015546E-8</v>
      </c>
      <c r="E3" s="20">
        <v>0.64483352430810048</v>
      </c>
      <c r="F3" s="20">
        <v>0.17149650190484422</v>
      </c>
      <c r="G3" s="20">
        <v>4.1662320808993354E-2</v>
      </c>
      <c r="H3" s="20">
        <v>0</v>
      </c>
      <c r="I3" s="20">
        <v>0.43167470159426286</v>
      </c>
      <c r="J3" s="20">
        <v>7.6646647821713557E-2</v>
      </c>
      <c r="K3" s="20">
        <v>0.27851980940507498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1.3589525518907981E-17</v>
      </c>
      <c r="E4" s="20">
        <v>0.99889624778608554</v>
      </c>
      <c r="F4" s="20">
        <v>4.2138445341622402E-4</v>
      </c>
      <c r="G4" s="20">
        <v>4.6406001574747073E-7</v>
      </c>
      <c r="H4" s="20">
        <v>0</v>
      </c>
      <c r="I4" s="20">
        <v>0.99847439927265358</v>
      </c>
      <c r="J4" s="20">
        <v>1.0831228051671191E-3</v>
      </c>
      <c r="K4" s="20">
        <v>2.0629408747434159E-5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2.2304433366692626E-10</v>
      </c>
      <c r="E5" s="20">
        <v>0.98470952445754334</v>
      </c>
      <c r="F5" s="20">
        <v>0.44532192198920811</v>
      </c>
      <c r="G5" s="20">
        <v>3.5345435781072362E-5</v>
      </c>
      <c r="H5" s="20">
        <v>0</v>
      </c>
      <c r="I5" s="20">
        <v>0.53935225703255418</v>
      </c>
      <c r="J5" s="20">
        <v>1.5105187883634073E-2</v>
      </c>
      <c r="K5" s="20">
        <v>1.852874357780378E-4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1.8181439849306995E-11</v>
      </c>
      <c r="E6" s="20">
        <v>0.9779752399860423</v>
      </c>
      <c r="F6" s="20">
        <v>0.66059695251054373</v>
      </c>
      <c r="G6" s="20">
        <v>1.9157070249678626E-4</v>
      </c>
      <c r="H6" s="20">
        <v>0</v>
      </c>
      <c r="I6" s="20">
        <v>0.31718671677300181</v>
      </c>
      <c r="J6" s="20">
        <v>2.1334453877895069E-2</v>
      </c>
      <c r="K6" s="20">
        <v>6.9030611788117803E-4</v>
      </c>
      <c r="L6" s="20">
        <v>0</v>
      </c>
    </row>
    <row r="7" spans="1:14">
      <c r="A7" s="2" t="s">
        <v>366</v>
      </c>
      <c r="B7" s="3" t="s">
        <v>305</v>
      </c>
      <c r="D7" s="20">
        <v>1.5752190686546568E-7</v>
      </c>
      <c r="E7" s="20">
        <v>0.96843300301441315</v>
      </c>
      <c r="F7" s="20">
        <v>0.86205812432023976</v>
      </c>
      <c r="G7" s="20">
        <v>1.7548162719082916E-3</v>
      </c>
      <c r="H7" s="20">
        <v>0</v>
      </c>
      <c r="I7" s="20">
        <v>0.10462006242226514</v>
      </c>
      <c r="J7" s="20">
        <v>2.7944874179328255E-2</v>
      </c>
      <c r="K7" s="20">
        <v>3.6219652843518632E-3</v>
      </c>
      <c r="L7" s="20">
        <v>0</v>
      </c>
    </row>
    <row r="8" spans="1:14">
      <c r="A8" s="2" t="s">
        <v>289</v>
      </c>
      <c r="B8" s="3" t="s">
        <v>290</v>
      </c>
      <c r="D8" s="20">
        <v>1.1241089102404287E-17</v>
      </c>
      <c r="E8" s="20">
        <v>0.97626991271600039</v>
      </c>
      <c r="F8" s="20">
        <v>0.75171889465459951</v>
      </c>
      <c r="G8" s="20">
        <v>1.1430890158722688E-4</v>
      </c>
      <c r="H8" s="20">
        <v>0</v>
      </c>
      <c r="I8" s="20">
        <v>0.22443670915981367</v>
      </c>
      <c r="J8" s="20">
        <v>2.3390311297462319E-2</v>
      </c>
      <c r="K8" s="20">
        <v>3.3977598653708662E-4</v>
      </c>
      <c r="L8" s="20">
        <v>0</v>
      </c>
    </row>
    <row r="9" spans="1:14">
      <c r="A9" s="2" t="s">
        <v>291</v>
      </c>
      <c r="B9" s="3" t="s">
        <v>292</v>
      </c>
      <c r="D9" s="20">
        <v>4.7605448777384327E-13</v>
      </c>
      <c r="E9" s="20">
        <v>0.98585995817555272</v>
      </c>
      <c r="F9" s="20">
        <v>0.37990698534689621</v>
      </c>
      <c r="G9" s="20">
        <v>1.4399560192348196E-4</v>
      </c>
      <c r="H9" s="20">
        <v>0</v>
      </c>
      <c r="I9" s="20">
        <v>0.60580897722673299</v>
      </c>
      <c r="J9" s="20">
        <v>1.3296198423645371E-2</v>
      </c>
      <c r="K9" s="20">
        <v>8.4384340032584435E-4</v>
      </c>
      <c r="L9" s="20">
        <v>0</v>
      </c>
    </row>
    <row r="10" spans="1:14">
      <c r="A10" s="2" t="s">
        <v>367</v>
      </c>
      <c r="B10" s="3" t="s">
        <v>368</v>
      </c>
      <c r="D10" s="20">
        <v>1.1784835838270658E-5</v>
      </c>
      <c r="E10" s="20">
        <v>0.72028018563941199</v>
      </c>
      <c r="F10" s="20">
        <v>0.60603506370593196</v>
      </c>
      <c r="G10" s="20">
        <v>0.10585059594867813</v>
      </c>
      <c r="H10" s="20">
        <v>0</v>
      </c>
      <c r="I10" s="20">
        <v>8.3945259848018476E-3</v>
      </c>
      <c r="J10" s="20">
        <v>0.19012908561392305</v>
      </c>
      <c r="K10" s="20">
        <v>8.9578943910826811E-2</v>
      </c>
      <c r="L10" s="20">
        <v>0</v>
      </c>
    </row>
    <row r="11" spans="1:14">
      <c r="A11" s="2" t="s">
        <v>369</v>
      </c>
      <c r="B11" s="3" t="s">
        <v>370</v>
      </c>
      <c r="D11" s="20">
        <v>2.1316729601468639E-12</v>
      </c>
      <c r="E11" s="20">
        <v>0.34597524793714257</v>
      </c>
      <c r="F11" s="20">
        <v>0.19978697295434869</v>
      </c>
      <c r="G11" s="20">
        <v>0.1459693044916634</v>
      </c>
      <c r="H11" s="20">
        <v>0</v>
      </c>
      <c r="I11" s="20">
        <v>2.1897049113049239E-4</v>
      </c>
      <c r="J11" s="20">
        <v>0.64767766918192726</v>
      </c>
      <c r="K11" s="20">
        <v>6.347082878798576E-3</v>
      </c>
      <c r="L11" s="20">
        <v>0</v>
      </c>
    </row>
    <row r="12" spans="1:14">
      <c r="A12" s="2" t="s">
        <v>371</v>
      </c>
      <c r="B12" s="3" t="s">
        <v>372</v>
      </c>
      <c r="D12" s="20">
        <v>7.4956781883295298E-2</v>
      </c>
      <c r="E12" s="20">
        <v>0.92081951917443516</v>
      </c>
      <c r="F12" s="20">
        <v>2.5882517802813865E-5</v>
      </c>
      <c r="G12" s="20">
        <v>1.2829048186656114E-5</v>
      </c>
      <c r="H12" s="20">
        <v>0</v>
      </c>
      <c r="I12" s="20">
        <v>0.92078080760844572</v>
      </c>
      <c r="J12" s="20">
        <v>2.7007233028561942E-5</v>
      </c>
      <c r="K12" s="20">
        <v>4.1966917092408776E-3</v>
      </c>
      <c r="L12" s="20">
        <v>0</v>
      </c>
    </row>
    <row r="13" spans="1:14">
      <c r="A13" s="2" t="s">
        <v>293</v>
      </c>
      <c r="B13" s="3" t="s">
        <v>294</v>
      </c>
      <c r="D13" s="20">
        <v>1.6517831368353319E-8</v>
      </c>
      <c r="E13" s="20">
        <v>0.66094499007010943</v>
      </c>
      <c r="F13" s="20">
        <v>0.13250346732311638</v>
      </c>
      <c r="G13" s="20">
        <v>3.3987779990707241E-2</v>
      </c>
      <c r="H13" s="20">
        <v>0</v>
      </c>
      <c r="I13" s="20">
        <v>0.49445374275628579</v>
      </c>
      <c r="J13" s="20">
        <v>5.7971444081934005E-2</v>
      </c>
      <c r="K13" s="20">
        <v>0.28108354933012514</v>
      </c>
      <c r="L13" s="20">
        <v>0</v>
      </c>
    </row>
    <row r="14" spans="1:14">
      <c r="A14" s="2" t="s">
        <v>373</v>
      </c>
      <c r="B14" s="3" t="s">
        <v>374</v>
      </c>
      <c r="D14" s="20">
        <v>8.1166384400987201E-8</v>
      </c>
      <c r="E14" s="20">
        <v>0.94515053618590195</v>
      </c>
      <c r="F14" s="20">
        <v>0.93535385487805955</v>
      </c>
      <c r="G14" s="20">
        <v>1.4653507494367998E-3</v>
      </c>
      <c r="H14" s="20">
        <v>0</v>
      </c>
      <c r="I14" s="20">
        <v>8.3313305584056287E-3</v>
      </c>
      <c r="J14" s="20">
        <v>5.410968502775132E-2</v>
      </c>
      <c r="K14" s="20">
        <v>7.3969761996218021E-4</v>
      </c>
      <c r="L14" s="20">
        <v>0</v>
      </c>
    </row>
    <row r="15" spans="1:14">
      <c r="A15" s="2" t="s">
        <v>375</v>
      </c>
      <c r="B15" s="3" t="s">
        <v>376</v>
      </c>
      <c r="D15" s="20">
        <v>8.4324224623834682E-2</v>
      </c>
      <c r="E15" s="20">
        <v>0.77983942813612328</v>
      </c>
      <c r="F15" s="20">
        <v>1.9276428481851474E-2</v>
      </c>
      <c r="G15" s="20">
        <v>5.8792526924472026E-3</v>
      </c>
      <c r="H15" s="20">
        <v>0</v>
      </c>
      <c r="I15" s="20">
        <v>0.75468374696182461</v>
      </c>
      <c r="J15" s="20">
        <v>9.8177162629872073E-3</v>
      </c>
      <c r="K15" s="20">
        <v>0.12601863097705487</v>
      </c>
      <c r="L15" s="20">
        <v>0</v>
      </c>
    </row>
    <row r="16" spans="1:14">
      <c r="A16" s="2" t="s">
        <v>377</v>
      </c>
      <c r="B16" s="3" t="s">
        <v>378</v>
      </c>
      <c r="D16" s="20">
        <v>6.2388869821881378E-4</v>
      </c>
      <c r="E16" s="20">
        <v>0.64570952985783581</v>
      </c>
      <c r="F16" s="20">
        <v>0.14989299362985414</v>
      </c>
      <c r="G16" s="20">
        <v>3.7885837197932093E-2</v>
      </c>
      <c r="H16" s="20">
        <v>0</v>
      </c>
      <c r="I16" s="20">
        <v>0.45793069903004957</v>
      </c>
      <c r="J16" s="20">
        <v>6.4738656020543073E-2</v>
      </c>
      <c r="K16" s="20">
        <v>0.28892792542340223</v>
      </c>
      <c r="L16" s="20">
        <v>0</v>
      </c>
    </row>
    <row r="17" spans="1:12">
      <c r="A17" s="2" t="s">
        <v>379</v>
      </c>
      <c r="B17" s="3" t="s">
        <v>380</v>
      </c>
      <c r="D17" s="20">
        <v>1.8846912966634971E-3</v>
      </c>
      <c r="E17" s="20">
        <v>0.65400697118318973</v>
      </c>
      <c r="F17" s="20">
        <v>0.13864826518911758</v>
      </c>
      <c r="G17" s="20">
        <v>3.5367958742934733E-2</v>
      </c>
      <c r="H17" s="20">
        <v>0</v>
      </c>
      <c r="I17" s="20">
        <v>0.47999074725113738</v>
      </c>
      <c r="J17" s="20">
        <v>6.03669907033937E-2</v>
      </c>
      <c r="K17" s="20">
        <v>0.28374134681675306</v>
      </c>
      <c r="L17" s="20">
        <v>0</v>
      </c>
    </row>
    <row r="18" spans="1:12">
      <c r="A18" s="2" t="s">
        <v>381</v>
      </c>
      <c r="B18" s="3" t="s">
        <v>382</v>
      </c>
      <c r="D18" s="20">
        <v>1.9006122673312698E-8</v>
      </c>
      <c r="E18" s="20">
        <v>0.40644652362327371</v>
      </c>
      <c r="F18" s="20">
        <v>0.10948830764245081</v>
      </c>
      <c r="G18" s="20">
        <v>0.29666294132727417</v>
      </c>
      <c r="H18" s="20">
        <v>0</v>
      </c>
      <c r="I18" s="20">
        <v>2.9527465354871449E-4</v>
      </c>
      <c r="J18" s="20">
        <v>0.55655565494415193</v>
      </c>
      <c r="K18" s="20">
        <v>3.6997802426451669E-2</v>
      </c>
      <c r="L18" s="20">
        <v>0</v>
      </c>
    </row>
    <row r="19" spans="1:12">
      <c r="A19" s="2" t="s">
        <v>383</v>
      </c>
      <c r="B19" s="3" t="s">
        <v>384</v>
      </c>
      <c r="D19" s="20">
        <v>1.1731724583621005E-2</v>
      </c>
      <c r="E19" s="20">
        <v>0.90847399936910778</v>
      </c>
      <c r="F19" s="20">
        <v>6.263773912816367E-3</v>
      </c>
      <c r="G19" s="20">
        <v>2.1024788181486565E-3</v>
      </c>
      <c r="H19" s="20">
        <v>0</v>
      </c>
      <c r="I19" s="20">
        <v>0.90010774663814275</v>
      </c>
      <c r="J19" s="20">
        <v>3.4732395723196118E-3</v>
      </c>
      <c r="K19" s="20">
        <v>7.6321036474951739E-2</v>
      </c>
      <c r="L19" s="20">
        <v>0</v>
      </c>
    </row>
    <row r="20" spans="1:12">
      <c r="A20" s="2" t="s">
        <v>385</v>
      </c>
      <c r="B20" s="3" t="s">
        <v>386</v>
      </c>
      <c r="D20" s="20">
        <v>2.1851482398054681E-2</v>
      </c>
      <c r="E20" s="20">
        <v>0.87158054628235315</v>
      </c>
      <c r="F20" s="20">
        <v>1.1141793873096323E-2</v>
      </c>
      <c r="G20" s="20">
        <v>3.5715001687140545E-3</v>
      </c>
      <c r="H20" s="20">
        <v>0</v>
      </c>
      <c r="I20" s="20">
        <v>0.85686725224054272</v>
      </c>
      <c r="J20" s="20">
        <v>5.9296681809343924E-3</v>
      </c>
      <c r="K20" s="20">
        <v>0.10063830313865792</v>
      </c>
      <c r="L20" s="20">
        <v>0</v>
      </c>
    </row>
    <row r="21" spans="1:12">
      <c r="A21" s="2" t="s">
        <v>387</v>
      </c>
      <c r="B21" s="3" t="s">
        <v>388</v>
      </c>
      <c r="D21" s="20">
        <v>1.7342429534170966E-3</v>
      </c>
      <c r="E21" s="20">
        <v>0.86487693389452169</v>
      </c>
      <c r="F21" s="20">
        <v>0.73638841442987912</v>
      </c>
      <c r="G21" s="20">
        <v>2.9718446903774842E-2</v>
      </c>
      <c r="H21" s="20">
        <v>0</v>
      </c>
      <c r="I21" s="20">
        <v>9.8770072560867769E-2</v>
      </c>
      <c r="J21" s="20">
        <v>6.9512672007428694E-2</v>
      </c>
      <c r="K21" s="20">
        <v>6.3876151144632423E-2</v>
      </c>
      <c r="L21" s="20">
        <v>0</v>
      </c>
    </row>
    <row r="22" spans="1:12">
      <c r="A22" s="2" t="s">
        <v>295</v>
      </c>
      <c r="B22" s="3" t="s">
        <v>296</v>
      </c>
      <c r="D22" s="20">
        <v>6.5511770036116634E-2</v>
      </c>
      <c r="E22" s="20">
        <v>0.90428529908141986</v>
      </c>
      <c r="F22" s="20">
        <v>1.0124965417072907E-3</v>
      </c>
      <c r="G22" s="20">
        <v>3.8876674094237259E-4</v>
      </c>
      <c r="H22" s="20">
        <v>0</v>
      </c>
      <c r="I22" s="20">
        <v>0.90288403579877019</v>
      </c>
      <c r="J22" s="20">
        <v>6.3630715229372843E-4</v>
      </c>
      <c r="K22" s="20">
        <v>2.9566623730169713E-2</v>
      </c>
      <c r="L22" s="20">
        <v>0</v>
      </c>
    </row>
    <row r="23" spans="1:12">
      <c r="A23" s="2" t="s">
        <v>389</v>
      </c>
      <c r="B23" s="3" t="s">
        <v>390</v>
      </c>
      <c r="D23" s="20">
        <v>6.7832877913709871E-2</v>
      </c>
      <c r="E23" s="20">
        <v>0.75365478389796592</v>
      </c>
      <c r="F23" s="20">
        <v>3.3091347934093428E-2</v>
      </c>
      <c r="G23" s="20">
        <v>9.6562836233004216E-3</v>
      </c>
      <c r="H23" s="20">
        <v>0</v>
      </c>
      <c r="I23" s="20">
        <v>0.71090715234057211</v>
      </c>
      <c r="J23" s="20">
        <v>1.6210796983227659E-2</v>
      </c>
      <c r="K23" s="20">
        <v>0.16230154120509657</v>
      </c>
      <c r="L23" s="20">
        <v>0</v>
      </c>
    </row>
    <row r="24" spans="1:12">
      <c r="A24" s="2" t="s">
        <v>391</v>
      </c>
      <c r="B24" s="3" t="s">
        <v>392</v>
      </c>
      <c r="D24" s="20">
        <v>1.7971752210636785E-3</v>
      </c>
      <c r="E24" s="20">
        <v>0.6082901678096585</v>
      </c>
      <c r="F24" s="20">
        <v>0.21147772848086227</v>
      </c>
      <c r="G24" s="20">
        <v>5.1045820891288098E-2</v>
      </c>
      <c r="H24" s="20">
        <v>0</v>
      </c>
      <c r="I24" s="20">
        <v>0.34576661843750811</v>
      </c>
      <c r="J24" s="20">
        <v>8.7727712617886408E-2</v>
      </c>
      <c r="K24" s="20">
        <v>0.30218494435139143</v>
      </c>
      <c r="L24" s="20">
        <v>0</v>
      </c>
    </row>
    <row r="25" spans="1:12">
      <c r="A25" s="2" t="s">
        <v>393</v>
      </c>
      <c r="B25" s="3" t="s">
        <v>394</v>
      </c>
      <c r="D25" s="20">
        <v>9.17675153993319E-5</v>
      </c>
      <c r="E25" s="20">
        <v>0.42317969256720983</v>
      </c>
      <c r="F25" s="20">
        <v>0.13695036316510906</v>
      </c>
      <c r="G25" s="20">
        <v>0.28579770934890802</v>
      </c>
      <c r="H25" s="20">
        <v>0</v>
      </c>
      <c r="I25" s="20">
        <v>4.3162005319274439E-4</v>
      </c>
      <c r="J25" s="20">
        <v>0.53395537618642364</v>
      </c>
      <c r="K25" s="20">
        <v>4.2773163730967192E-2</v>
      </c>
      <c r="L25" s="20">
        <v>0</v>
      </c>
    </row>
    <row r="26" spans="1:12">
      <c r="A26" s="2" t="s">
        <v>395</v>
      </c>
      <c r="B26" s="3" t="s">
        <v>396</v>
      </c>
      <c r="D26" s="20">
        <v>0.11638300265581332</v>
      </c>
      <c r="E26" s="20">
        <v>0.52680634457876108</v>
      </c>
      <c r="F26" s="20">
        <v>0.33524612956174321</v>
      </c>
      <c r="G26" s="20">
        <v>7.2320151619080217E-2</v>
      </c>
      <c r="H26" s="20">
        <v>0</v>
      </c>
      <c r="I26" s="20">
        <v>0.11924006339793761</v>
      </c>
      <c r="J26" s="20">
        <v>0.1260445803569015</v>
      </c>
      <c r="K26" s="20">
        <v>0.23076607240852404</v>
      </c>
      <c r="L26" s="20">
        <v>0</v>
      </c>
    </row>
    <row r="27" spans="1:12">
      <c r="A27" s="2" t="s">
        <v>397</v>
      </c>
      <c r="B27" s="3" t="s">
        <v>398</v>
      </c>
      <c r="D27" s="20">
        <v>0.55653229113804903</v>
      </c>
      <c r="E27" s="20">
        <v>0.29391836591729059</v>
      </c>
      <c r="F27" s="20">
        <v>0.23451173672382999</v>
      </c>
      <c r="G27" s="20">
        <v>4.4551275083777292E-2</v>
      </c>
      <c r="H27" s="20">
        <v>0</v>
      </c>
      <c r="I27" s="20">
        <v>1.4855354109683324E-2</v>
      </c>
      <c r="J27" s="20">
        <v>7.888948355557325E-2</v>
      </c>
      <c r="K27" s="20">
        <v>7.0659859389086976E-2</v>
      </c>
      <c r="L27" s="20">
        <v>0</v>
      </c>
    </row>
    <row r="28" spans="1:12">
      <c r="A28" s="2" t="s">
        <v>399</v>
      </c>
      <c r="B28" s="3" t="s">
        <v>400</v>
      </c>
      <c r="D28" s="20">
        <v>0.73607146120621603</v>
      </c>
      <c r="E28" s="20">
        <v>0.15973410642336611</v>
      </c>
      <c r="F28" s="20">
        <v>0.10884141885057895</v>
      </c>
      <c r="G28" s="20">
        <v>2.2923965699018146E-2</v>
      </c>
      <c r="H28" s="20">
        <v>0</v>
      </c>
      <c r="I28" s="20">
        <v>2.7968721873769021E-2</v>
      </c>
      <c r="J28" s="20">
        <v>4.0073123243553506E-2</v>
      </c>
      <c r="K28" s="20">
        <v>6.4121309126864409E-2</v>
      </c>
      <c r="L28" s="20">
        <v>0</v>
      </c>
    </row>
    <row r="29" spans="1:12">
      <c r="A29" s="2" t="s">
        <v>297</v>
      </c>
      <c r="B29" s="3" t="s">
        <v>298</v>
      </c>
      <c r="D29" s="20">
        <v>0.93113746468007541</v>
      </c>
      <c r="E29" s="20">
        <v>6.0433369264322467E-2</v>
      </c>
      <c r="F29" s="20">
        <v>9.8738838896873598E-4</v>
      </c>
      <c r="G29" s="20">
        <v>3.107302763413239E-4</v>
      </c>
      <c r="H29" s="20">
        <v>0</v>
      </c>
      <c r="I29" s="20">
        <v>5.9135250599012409E-2</v>
      </c>
      <c r="J29" s="20">
        <v>5.1698527154323091E-4</v>
      </c>
      <c r="K29" s="20">
        <v>7.9121807840588955E-3</v>
      </c>
      <c r="L29" s="20">
        <v>0</v>
      </c>
    </row>
    <row r="30" spans="1:12">
      <c r="A30" s="2" t="s">
        <v>401</v>
      </c>
      <c r="B30" s="3" t="s">
        <v>402</v>
      </c>
      <c r="D30" s="20">
        <v>0.89484827241117826</v>
      </c>
      <c r="E30" s="20">
        <v>6.3394514950090367E-2</v>
      </c>
      <c r="F30" s="20">
        <v>4.2581761081911897E-2</v>
      </c>
      <c r="G30" s="20">
        <v>9.0181857064884317E-3</v>
      </c>
      <c r="H30" s="20">
        <v>0</v>
      </c>
      <c r="I30" s="20">
        <v>1.1794568161690043E-2</v>
      </c>
      <c r="J30" s="20">
        <v>1.5753712755793195E-2</v>
      </c>
      <c r="K30" s="20">
        <v>2.6003499882938201E-2</v>
      </c>
      <c r="L30" s="20">
        <v>0</v>
      </c>
    </row>
    <row r="31" spans="1:12">
      <c r="A31" s="2" t="s">
        <v>299</v>
      </c>
      <c r="B31" s="3" t="s">
        <v>300</v>
      </c>
      <c r="D31" s="20">
        <v>0.99776660974026787</v>
      </c>
      <c r="E31" s="20">
        <v>1.3151342355571E-3</v>
      </c>
      <c r="F31" s="20">
        <v>7.0811400039013685E-4</v>
      </c>
      <c r="G31" s="20">
        <v>1.5936712443212001E-4</v>
      </c>
      <c r="H31" s="20">
        <v>0</v>
      </c>
      <c r="I31" s="20">
        <v>4.4765311073484323E-4</v>
      </c>
      <c r="J31" s="20">
        <v>2.7629100043142298E-4</v>
      </c>
      <c r="K31" s="20">
        <v>6.4196502374357458E-4</v>
      </c>
      <c r="L31" s="20">
        <v>0</v>
      </c>
    </row>
    <row r="32" spans="1:12">
      <c r="A32" s="2" t="s">
        <v>343</v>
      </c>
      <c r="B32" s="3" t="s">
        <v>344</v>
      </c>
      <c r="D32" s="20">
        <v>1.8644951089840434E-3</v>
      </c>
      <c r="E32" s="20">
        <v>0.67764372760091218</v>
      </c>
      <c r="F32" s="20">
        <v>0.1141919431842827</v>
      </c>
      <c r="G32" s="20">
        <v>2.9780433734286665E-2</v>
      </c>
      <c r="H32" s="20">
        <v>0</v>
      </c>
      <c r="I32" s="20">
        <v>0.53367135068234284</v>
      </c>
      <c r="J32" s="20">
        <v>5.0690718749682652E-2</v>
      </c>
      <c r="K32" s="20">
        <v>0.26980105854042102</v>
      </c>
      <c r="L32" s="20">
        <v>0</v>
      </c>
    </row>
    <row r="33" spans="1:12">
      <c r="A33" s="2" t="s">
        <v>345</v>
      </c>
      <c r="B33" s="3" t="s">
        <v>346</v>
      </c>
      <c r="D33" s="20">
        <v>8.1447280933233214E-5</v>
      </c>
      <c r="E33" s="20">
        <v>0.76317357500712268</v>
      </c>
      <c r="F33" s="20">
        <v>5.5814984070006041E-2</v>
      </c>
      <c r="G33" s="20">
        <v>1.5640346147173956E-2</v>
      </c>
      <c r="H33" s="20">
        <v>0</v>
      </c>
      <c r="I33" s="20">
        <v>0.6917182447899427</v>
      </c>
      <c r="J33" s="20">
        <v>2.638699806134534E-2</v>
      </c>
      <c r="K33" s="20">
        <v>0.21035797965059874</v>
      </c>
      <c r="L33" s="20">
        <v>0</v>
      </c>
    </row>
    <row r="34" spans="1:12">
      <c r="A34" s="2" t="s">
        <v>347</v>
      </c>
      <c r="B34" s="3" t="s">
        <v>348</v>
      </c>
      <c r="D34" s="20">
        <v>6.249816179626715E-5</v>
      </c>
      <c r="E34" s="20">
        <v>0.59305551471156226</v>
      </c>
      <c r="F34" s="20">
        <v>0.36353100652054759</v>
      </c>
      <c r="G34" s="20">
        <v>7.9293395257610547E-2</v>
      </c>
      <c r="H34" s="20">
        <v>0</v>
      </c>
      <c r="I34" s="20">
        <v>0.15023111293340413</v>
      </c>
      <c r="J34" s="20">
        <v>0.13800746914653317</v>
      </c>
      <c r="K34" s="20">
        <v>0.26887451798010825</v>
      </c>
      <c r="L34" s="20">
        <v>0</v>
      </c>
    </row>
    <row r="35" spans="1:12">
      <c r="A35" s="2" t="s">
        <v>349</v>
      </c>
      <c r="B35" s="3" t="s">
        <v>350</v>
      </c>
      <c r="D35" s="20">
        <v>1.0861489744736956E-2</v>
      </c>
      <c r="E35" s="20">
        <v>0.68743780981300795</v>
      </c>
      <c r="F35" s="20">
        <v>0.5682816220136111</v>
      </c>
      <c r="G35" s="20">
        <v>0.10215489147205678</v>
      </c>
      <c r="H35" s="20">
        <v>0</v>
      </c>
      <c r="I35" s="20">
        <v>1.7001296327340036E-2</v>
      </c>
      <c r="J35" s="20">
        <v>0.18214458456516622</v>
      </c>
      <c r="K35" s="20">
        <v>0.11955611587708882</v>
      </c>
      <c r="L35" s="20">
        <v>0</v>
      </c>
    </row>
    <row r="36" spans="1:12">
      <c r="A36" s="2" t="s">
        <v>351</v>
      </c>
      <c r="B36" s="3" t="s">
        <v>352</v>
      </c>
      <c r="D36" s="20">
        <v>2.4055527594979084E-4</v>
      </c>
      <c r="E36" s="20">
        <v>0.58536286351383282</v>
      </c>
      <c r="F36" s="20">
        <v>0.39837227093974414</v>
      </c>
      <c r="G36" s="20">
        <v>0.18390123963160382</v>
      </c>
      <c r="H36" s="20">
        <v>0</v>
      </c>
      <c r="I36" s="20">
        <v>3.089352942484845E-3</v>
      </c>
      <c r="J36" s="20">
        <v>0.33545655118072282</v>
      </c>
      <c r="K36" s="20">
        <v>7.8940030029494623E-2</v>
      </c>
      <c r="L36" s="20">
        <v>0</v>
      </c>
    </row>
    <row r="37" spans="1:12">
      <c r="A37" s="2" t="s">
        <v>353</v>
      </c>
      <c r="B37" s="3" t="s">
        <v>354</v>
      </c>
      <c r="D37" s="20">
        <v>1.1331075327410327E-3</v>
      </c>
      <c r="E37" s="20">
        <v>0.41032856943857265</v>
      </c>
      <c r="F37" s="20">
        <v>0.11647838531125493</v>
      </c>
      <c r="G37" s="20">
        <v>0.2935221615268494</v>
      </c>
      <c r="H37" s="20">
        <v>0</v>
      </c>
      <c r="I37" s="20">
        <v>3.2802260046831046E-4</v>
      </c>
      <c r="J37" s="20">
        <v>0.55003009565173255</v>
      </c>
      <c r="K37" s="20">
        <v>3.8508227376953856E-2</v>
      </c>
      <c r="L37" s="20">
        <v>0</v>
      </c>
    </row>
    <row r="38" spans="1:12">
      <c r="A38" s="2" t="s">
        <v>355</v>
      </c>
      <c r="B38" s="3" t="s">
        <v>356</v>
      </c>
      <c r="D38" s="20">
        <v>7.8066782500561506E-5</v>
      </c>
      <c r="E38" s="20">
        <v>0.50714975351887737</v>
      </c>
      <c r="F38" s="20">
        <v>0.2734893980166756</v>
      </c>
      <c r="G38" s="20">
        <v>0.23218601118221119</v>
      </c>
      <c r="H38" s="20">
        <v>0</v>
      </c>
      <c r="I38" s="20">
        <v>1.4743443199905285E-3</v>
      </c>
      <c r="J38" s="20">
        <v>0.42764703800201465</v>
      </c>
      <c r="K38" s="20">
        <v>6.5125141696607269E-2</v>
      </c>
      <c r="L38" s="20">
        <v>0</v>
      </c>
    </row>
    <row r="39" spans="1:12">
      <c r="A39" s="2" t="s">
        <v>357</v>
      </c>
      <c r="B39" s="3" t="s">
        <v>358</v>
      </c>
      <c r="D39" s="20">
        <v>1.7631551770552867E-2</v>
      </c>
      <c r="E39" s="20">
        <v>0.55193194980325322</v>
      </c>
      <c r="F39" s="20">
        <v>0.35462124612508367</v>
      </c>
      <c r="G39" s="20">
        <v>0.19483200818436663</v>
      </c>
      <c r="H39" s="20">
        <v>0</v>
      </c>
      <c r="I39" s="20">
        <v>2.4786954938028731E-3</v>
      </c>
      <c r="J39" s="20">
        <v>0.3563783350439611</v>
      </c>
      <c r="K39" s="20">
        <v>7.4058163382232728E-2</v>
      </c>
      <c r="L39" s="20">
        <v>0</v>
      </c>
    </row>
    <row r="40" spans="1:12">
      <c r="A40" s="2" t="s">
        <v>359</v>
      </c>
      <c r="B40" s="3" t="s">
        <v>360</v>
      </c>
      <c r="D40" s="20">
        <v>7.8066782500561506E-5</v>
      </c>
      <c r="E40" s="20">
        <v>0.50714975351887737</v>
      </c>
      <c r="F40" s="20">
        <v>0.2734893980166756</v>
      </c>
      <c r="G40" s="20">
        <v>0.23218601118221119</v>
      </c>
      <c r="H40" s="20">
        <v>0</v>
      </c>
      <c r="I40" s="20">
        <v>1.4743443199905285E-3</v>
      </c>
      <c r="J40" s="20">
        <v>0.42764703800201465</v>
      </c>
      <c r="K40" s="20">
        <v>6.5125141696607269E-2</v>
      </c>
      <c r="L40" s="20">
        <v>0</v>
      </c>
    </row>
    <row r="41" spans="1:12">
      <c r="A41" s="2" t="s">
        <v>313</v>
      </c>
      <c r="B41" s="3" t="s">
        <v>314</v>
      </c>
      <c r="D41" s="20">
        <v>5.6017850228749457E-8</v>
      </c>
      <c r="E41" s="20">
        <v>0.99795145085128012</v>
      </c>
      <c r="F41" s="20">
        <v>4.5458830780400916E-2</v>
      </c>
      <c r="G41" s="20">
        <v>1.0817796592988373E-5</v>
      </c>
      <c r="H41" s="20">
        <v>0</v>
      </c>
      <c r="I41" s="20">
        <v>0.95248180227428625</v>
      </c>
      <c r="J41" s="20">
        <v>1.8685018607092715E-3</v>
      </c>
      <c r="K41" s="20">
        <v>1.7999127016014903E-4</v>
      </c>
      <c r="L41" s="20">
        <v>0</v>
      </c>
    </row>
    <row r="42" spans="1:12">
      <c r="A42" s="2" t="s">
        <v>315</v>
      </c>
      <c r="B42" s="3" t="s">
        <v>316</v>
      </c>
      <c r="D42" s="20">
        <v>1.6150707541526153E-3</v>
      </c>
      <c r="E42" s="20">
        <v>0.40579009144233896</v>
      </c>
      <c r="F42" s="20">
        <v>0.10931147835644317</v>
      </c>
      <c r="G42" s="20">
        <v>0.29618381531620153</v>
      </c>
      <c r="H42" s="20">
        <v>0</v>
      </c>
      <c r="I42" s="20">
        <v>2.9479776969428798E-4</v>
      </c>
      <c r="J42" s="20">
        <v>0.55565678874367441</v>
      </c>
      <c r="K42" s="20">
        <v>3.6938049059833881E-2</v>
      </c>
      <c r="L42" s="20">
        <v>0</v>
      </c>
    </row>
    <row r="43" spans="1:12">
      <c r="A43" s="2" t="s">
        <v>317</v>
      </c>
      <c r="B43" s="3" t="s">
        <v>318</v>
      </c>
      <c r="D43" s="20">
        <v>4.0030784578904095E-12</v>
      </c>
      <c r="E43" s="20">
        <v>0.60318011726666398</v>
      </c>
      <c r="F43" s="20">
        <v>0.22796507512255268</v>
      </c>
      <c r="G43" s="20">
        <v>5.4420668504373285E-2</v>
      </c>
      <c r="H43" s="20">
        <v>0</v>
      </c>
      <c r="I43" s="20">
        <v>0.32079437363973806</v>
      </c>
      <c r="J43" s="20">
        <v>9.3656668522570763E-2</v>
      </c>
      <c r="K43" s="20">
        <v>0.30316321420676218</v>
      </c>
      <c r="L43" s="20">
        <v>0</v>
      </c>
    </row>
    <row r="44" spans="1:12">
      <c r="A44" s="2" t="s">
        <v>307</v>
      </c>
      <c r="B44" s="3" t="s">
        <v>308</v>
      </c>
      <c r="D44" s="20">
        <v>8.8849459237244481E-5</v>
      </c>
      <c r="E44" s="20">
        <v>0.65075235651726704</v>
      </c>
      <c r="F44" s="20">
        <v>0.50041348428450738</v>
      </c>
      <c r="G44" s="20">
        <v>0.14521937362209381</v>
      </c>
      <c r="H44" s="20">
        <v>0</v>
      </c>
      <c r="I44" s="20">
        <v>5.1194986106658461E-3</v>
      </c>
      <c r="J44" s="20">
        <v>0.26295285443821381</v>
      </c>
      <c r="K44" s="20">
        <v>8.6205939585281874E-2</v>
      </c>
      <c r="L44" s="20">
        <v>0</v>
      </c>
    </row>
    <row r="45" spans="1:12">
      <c r="A45" s="2" t="s">
        <v>319</v>
      </c>
      <c r="B45" s="3" t="s">
        <v>320</v>
      </c>
      <c r="D45" s="20">
        <v>4.8325832472007527E-6</v>
      </c>
      <c r="E45" s="20">
        <v>0.37859486074389409</v>
      </c>
      <c r="F45" s="20">
        <v>6.4025585533405788E-2</v>
      </c>
      <c r="G45" s="20">
        <v>0.31444820090553538</v>
      </c>
      <c r="H45" s="20">
        <v>0</v>
      </c>
      <c r="I45" s="20">
        <v>1.2107430495294159E-4</v>
      </c>
      <c r="J45" s="20">
        <v>0.59551449752649466</v>
      </c>
      <c r="K45" s="20">
        <v>2.5885809146364073E-2</v>
      </c>
      <c r="L45" s="20">
        <v>0</v>
      </c>
    </row>
    <row r="46" spans="1:12">
      <c r="A46" s="2" t="s">
        <v>321</v>
      </c>
      <c r="B46" s="3" t="s">
        <v>322</v>
      </c>
      <c r="D46" s="20">
        <v>7.6473090252207127E-6</v>
      </c>
      <c r="E46" s="20">
        <v>0.40152583886477111</v>
      </c>
      <c r="F46" s="20">
        <v>0.10143383723595939</v>
      </c>
      <c r="G46" s="20">
        <v>0.29983229604888373</v>
      </c>
      <c r="H46" s="20">
        <v>0</v>
      </c>
      <c r="I46" s="20">
        <v>2.5970557992799402E-4</v>
      </c>
      <c r="J46" s="20">
        <v>0.5632788008296411</v>
      </c>
      <c r="K46" s="20">
        <v>3.5187712996562696E-2</v>
      </c>
      <c r="L46" s="20">
        <v>0</v>
      </c>
    </row>
    <row r="47" spans="1:12">
      <c r="A47" s="2" t="s">
        <v>323</v>
      </c>
      <c r="B47" s="3" t="s">
        <v>324</v>
      </c>
      <c r="D47" s="20">
        <v>8.1293194089286576E-5</v>
      </c>
      <c r="E47" s="20">
        <v>0.44568642581388251</v>
      </c>
      <c r="F47" s="20">
        <v>0.1737514360212889</v>
      </c>
      <c r="G47" s="20">
        <v>0.27128386110757463</v>
      </c>
      <c r="H47" s="20">
        <v>0</v>
      </c>
      <c r="I47" s="20">
        <v>6.5112868501899168E-4</v>
      </c>
      <c r="J47" s="20">
        <v>0.50451165491925465</v>
      </c>
      <c r="K47" s="20">
        <v>4.9720626072773652E-2</v>
      </c>
      <c r="L47" s="20">
        <v>0</v>
      </c>
    </row>
    <row r="48" spans="1:12">
      <c r="A48" s="2" t="s">
        <v>325</v>
      </c>
      <c r="B48" s="3" t="s">
        <v>326</v>
      </c>
      <c r="D48" s="20">
        <v>8.4185865615032894E-5</v>
      </c>
      <c r="E48" s="20">
        <v>0.64273210801322145</v>
      </c>
      <c r="F48" s="20">
        <v>0.49603622834594435</v>
      </c>
      <c r="G48" s="20">
        <v>9.7411213144032976E-2</v>
      </c>
      <c r="H48" s="20">
        <v>0</v>
      </c>
      <c r="I48" s="20">
        <v>4.9284666523244154E-2</v>
      </c>
      <c r="J48" s="20">
        <v>0.17177864611801635</v>
      </c>
      <c r="K48" s="20">
        <v>0.18540506000314697</v>
      </c>
      <c r="L48" s="20">
        <v>0</v>
      </c>
    </row>
    <row r="49" spans="1:12">
      <c r="A49" s="2" t="s">
        <v>275</v>
      </c>
      <c r="B49" s="3" t="s">
        <v>276</v>
      </c>
      <c r="D49" s="20">
        <v>1.1211061398651127E-6</v>
      </c>
      <c r="E49" s="20">
        <v>0.63850337537090629</v>
      </c>
      <c r="F49" s="20">
        <v>0.48141647205344434</v>
      </c>
      <c r="G49" s="20">
        <v>0.15241106622718847</v>
      </c>
      <c r="H49" s="20">
        <v>0</v>
      </c>
      <c r="I49" s="20">
        <v>4.6758370902734948E-3</v>
      </c>
      <c r="J49" s="20">
        <v>0.27635638845001381</v>
      </c>
      <c r="K49" s="20">
        <v>8.5139115072939933E-2</v>
      </c>
      <c r="L49" s="20">
        <v>0</v>
      </c>
    </row>
    <row r="50" spans="1:12">
      <c r="A50" s="2" t="s">
        <v>327</v>
      </c>
      <c r="B50" s="3" t="s">
        <v>328</v>
      </c>
      <c r="D50" s="20">
        <v>5.659733502600197E-5</v>
      </c>
      <c r="E50" s="20">
        <v>0.61794157766536761</v>
      </c>
      <c r="F50" s="20">
        <v>0.44943842209796236</v>
      </c>
      <c r="G50" s="20">
        <v>0.164499943263721</v>
      </c>
      <c r="H50" s="20">
        <v>0</v>
      </c>
      <c r="I50" s="20">
        <v>4.003212303684273E-3</v>
      </c>
      <c r="J50" s="20">
        <v>0.29896353770705519</v>
      </c>
      <c r="K50" s="20">
        <v>8.3038287292551152E-2</v>
      </c>
      <c r="L50" s="20">
        <v>0</v>
      </c>
    </row>
    <row r="51" spans="1:12">
      <c r="A51" s="2" t="s">
        <v>329</v>
      </c>
      <c r="B51" s="3" t="s">
        <v>330</v>
      </c>
      <c r="D51" s="20">
        <v>4.3685270161834553E-5</v>
      </c>
      <c r="E51" s="20">
        <v>0.66606680421246234</v>
      </c>
      <c r="F51" s="20">
        <v>0.53383770002858066</v>
      </c>
      <c r="G51" s="20">
        <v>0.10085670976327746</v>
      </c>
      <c r="H51" s="20">
        <v>0</v>
      </c>
      <c r="I51" s="20">
        <v>3.1372394420604237E-2</v>
      </c>
      <c r="J51" s="20">
        <v>0.17871605670169208</v>
      </c>
      <c r="K51" s="20">
        <v>0.1551734538156839</v>
      </c>
      <c r="L51" s="20">
        <v>0</v>
      </c>
    </row>
    <row r="52" spans="1:12">
      <c r="A52" s="2" t="s">
        <v>277</v>
      </c>
      <c r="B52" s="3" t="s">
        <v>278</v>
      </c>
      <c r="D52" s="20">
        <v>1.3091133847998706E-4</v>
      </c>
      <c r="E52" s="20">
        <v>0.64490757925301234</v>
      </c>
      <c r="F52" s="20">
        <v>0.49986356029505064</v>
      </c>
      <c r="G52" s="20">
        <v>9.7801841807575923E-2</v>
      </c>
      <c r="H52" s="20">
        <v>0</v>
      </c>
      <c r="I52" s="20">
        <v>4.7242177150385728E-2</v>
      </c>
      <c r="J52" s="20">
        <v>0.17254688048670244</v>
      </c>
      <c r="K52" s="20">
        <v>0.18241462892180518</v>
      </c>
      <c r="L52" s="20">
        <v>0</v>
      </c>
    </row>
    <row r="53" spans="1:12">
      <c r="A53" s="2" t="s">
        <v>331</v>
      </c>
      <c r="B53" s="3" t="s">
        <v>332</v>
      </c>
      <c r="D53" s="20">
        <v>3.4016546760359963E-5</v>
      </c>
      <c r="E53" s="20">
        <v>0.55603484567979422</v>
      </c>
      <c r="F53" s="20">
        <v>0.35177456799342799</v>
      </c>
      <c r="G53" s="20">
        <v>0.20186452014421644</v>
      </c>
      <c r="H53" s="20">
        <v>0</v>
      </c>
      <c r="I53" s="20">
        <v>2.3957575421498416E-3</v>
      </c>
      <c r="J53" s="20">
        <v>0.36949692076382801</v>
      </c>
      <c r="K53" s="20">
        <v>7.4434217009617346E-2</v>
      </c>
      <c r="L53" s="20">
        <v>0</v>
      </c>
    </row>
    <row r="54" spans="1:12">
      <c r="A54" s="2" t="s">
        <v>333</v>
      </c>
      <c r="B54" s="3" t="s">
        <v>334</v>
      </c>
      <c r="D54" s="20">
        <v>6.2590491098341929E-8</v>
      </c>
      <c r="E54" s="20">
        <v>0.62823440753374082</v>
      </c>
      <c r="F54" s="20">
        <v>0.46546022383567925</v>
      </c>
      <c r="G54" s="20">
        <v>0.15844485061929398</v>
      </c>
      <c r="H54" s="20">
        <v>0</v>
      </c>
      <c r="I54" s="20">
        <v>4.3293330787675969E-3</v>
      </c>
      <c r="J54" s="20">
        <v>0.28762780584500069</v>
      </c>
      <c r="K54" s="20">
        <v>8.4137724030767344E-2</v>
      </c>
      <c r="L54" s="20">
        <v>0</v>
      </c>
    </row>
    <row r="55" spans="1:12">
      <c r="A55" s="2" t="s">
        <v>335</v>
      </c>
      <c r="B55" s="3" t="s">
        <v>336</v>
      </c>
      <c r="D55" s="20">
        <v>2.1253412010273416E-4</v>
      </c>
      <c r="E55" s="20">
        <v>0.44811483258114693</v>
      </c>
      <c r="F55" s="20">
        <v>0.17778817677665701</v>
      </c>
      <c r="G55" s="20">
        <v>0.26964876256634285</v>
      </c>
      <c r="H55" s="20">
        <v>0</v>
      </c>
      <c r="I55" s="20">
        <v>6.7789323814706538E-4</v>
      </c>
      <c r="J55" s="20">
        <v>0.50124006768995188</v>
      </c>
      <c r="K55" s="20">
        <v>5.043256560879833E-2</v>
      </c>
      <c r="L55" s="20">
        <v>0</v>
      </c>
    </row>
    <row r="56" spans="1:12">
      <c r="A56" s="2" t="s">
        <v>337</v>
      </c>
      <c r="B56" s="3" t="s">
        <v>338</v>
      </c>
      <c r="D56" s="20">
        <v>2.2685851830352011E-5</v>
      </c>
      <c r="E56" s="20">
        <v>0.64669782836039735</v>
      </c>
      <c r="F56" s="20">
        <v>0.49411644266944149</v>
      </c>
      <c r="G56" s="20">
        <v>0.14761308660737085</v>
      </c>
      <c r="H56" s="20">
        <v>0</v>
      </c>
      <c r="I56" s="20">
        <v>4.9682990835849938E-3</v>
      </c>
      <c r="J56" s="20">
        <v>0.2674102709156721</v>
      </c>
      <c r="K56" s="20">
        <v>8.5869214872100127E-2</v>
      </c>
      <c r="L56" s="20">
        <v>0</v>
      </c>
    </row>
    <row r="57" spans="1:12">
      <c r="A57" s="2" t="s">
        <v>279</v>
      </c>
      <c r="B57" s="3" t="s">
        <v>280</v>
      </c>
      <c r="D57" s="20">
        <v>2.5427755011713754E-3</v>
      </c>
      <c r="E57" s="20">
        <v>0.63139576998652969</v>
      </c>
      <c r="F57" s="20">
        <v>0.47685049015355324</v>
      </c>
      <c r="G57" s="20">
        <v>9.5208952878730491E-2</v>
      </c>
      <c r="H57" s="20">
        <v>0</v>
      </c>
      <c r="I57" s="20">
        <v>5.9336326954245906E-2</v>
      </c>
      <c r="J57" s="20">
        <v>0.16754778410333873</v>
      </c>
      <c r="K57" s="20">
        <v>0.19851367040896017</v>
      </c>
      <c r="L57" s="20">
        <v>0</v>
      </c>
    </row>
    <row r="58" spans="1:12">
      <c r="A58" s="2" t="s">
        <v>339</v>
      </c>
      <c r="B58" s="3" t="s">
        <v>340</v>
      </c>
      <c r="D58" s="20">
        <v>2.1868284620550086E-7</v>
      </c>
      <c r="E58" s="20">
        <v>0.62618103725154572</v>
      </c>
      <c r="F58" s="20">
        <v>0.46226278619181715</v>
      </c>
      <c r="G58" s="20">
        <v>0.15965572194649055</v>
      </c>
      <c r="H58" s="20">
        <v>0</v>
      </c>
      <c r="I58" s="20">
        <v>4.2625291132380129E-3</v>
      </c>
      <c r="J58" s="20">
        <v>0.28989262931036525</v>
      </c>
      <c r="K58" s="20">
        <v>8.3926114755242892E-2</v>
      </c>
      <c r="L58" s="20">
        <v>0</v>
      </c>
    </row>
    <row r="59" spans="1:12">
      <c r="A59" s="2" t="s">
        <v>281</v>
      </c>
      <c r="B59" s="3" t="s">
        <v>282</v>
      </c>
      <c r="D59" s="20">
        <v>1.9816434438931682E-5</v>
      </c>
      <c r="E59" s="20">
        <v>0.64497923457913942</v>
      </c>
      <c r="F59" s="20">
        <v>0.49991909986007405</v>
      </c>
      <c r="G59" s="20">
        <v>9.7812708516381963E-2</v>
      </c>
      <c r="H59" s="20">
        <v>0</v>
      </c>
      <c r="I59" s="20">
        <v>4.72474262026834E-2</v>
      </c>
      <c r="J59" s="20">
        <v>0.17256605207561104</v>
      </c>
      <c r="K59" s="20">
        <v>0.18243489691081052</v>
      </c>
      <c r="L59" s="20">
        <v>0</v>
      </c>
    </row>
    <row r="60" spans="1:12">
      <c r="A60" s="2" t="s">
        <v>341</v>
      </c>
      <c r="B60" s="3" t="s">
        <v>342</v>
      </c>
      <c r="D60" s="20">
        <v>2.937180911180557E-4</v>
      </c>
      <c r="E60" s="20">
        <v>0.5734054836830752</v>
      </c>
      <c r="F60" s="20">
        <v>0.3794939983246588</v>
      </c>
      <c r="G60" s="20">
        <v>0.19111750507139055</v>
      </c>
      <c r="H60" s="20">
        <v>0</v>
      </c>
      <c r="I60" s="20">
        <v>2.7939802870259041E-3</v>
      </c>
      <c r="J60" s="20">
        <v>0.3491015452511449</v>
      </c>
      <c r="K60" s="20">
        <v>7.7199252974661889E-2</v>
      </c>
      <c r="L60" s="20">
        <v>0</v>
      </c>
    </row>
    <row r="61" spans="1:12">
      <c r="A61" s="2" t="s">
        <v>483</v>
      </c>
      <c r="B61" s="3" t="s">
        <v>484</v>
      </c>
      <c r="D61" s="20">
        <v>6.003085060434814E-14</v>
      </c>
      <c r="E61" s="20">
        <v>0.62746832536277031</v>
      </c>
      <c r="F61" s="20">
        <v>0.35105204372312854</v>
      </c>
      <c r="G61" s="20">
        <v>5.8491007596207865E-2</v>
      </c>
      <c r="H61" s="20">
        <v>0</v>
      </c>
      <c r="I61" s="20">
        <v>0.21792527404343393</v>
      </c>
      <c r="J61" s="20">
        <v>0.21857386159124478</v>
      </c>
      <c r="K61" s="20">
        <v>0.15395781304592471</v>
      </c>
      <c r="L61" s="20">
        <v>0</v>
      </c>
    </row>
    <row r="62" spans="1:12">
      <c r="A62" s="2" t="s">
        <v>485</v>
      </c>
      <c r="B62" s="3" t="s">
        <v>486</v>
      </c>
      <c r="D62" s="20">
        <v>1.7785106978297778E-7</v>
      </c>
      <c r="E62" s="20">
        <v>0.59145866915219081</v>
      </c>
      <c r="F62" s="20">
        <v>0.35280172240455043</v>
      </c>
      <c r="G62" s="20">
        <v>7.7522229104298623E-2</v>
      </c>
      <c r="H62" s="20">
        <v>0</v>
      </c>
      <c r="I62" s="20">
        <v>0.16113471764334181</v>
      </c>
      <c r="J62" s="20">
        <v>0.13480076237661243</v>
      </c>
      <c r="K62" s="20">
        <v>0.27374039062012701</v>
      </c>
      <c r="L62" s="20">
        <v>0</v>
      </c>
    </row>
    <row r="63" spans="1:12">
      <c r="A63" s="2" t="s">
        <v>487</v>
      </c>
      <c r="B63" s="3" t="s">
        <v>488</v>
      </c>
      <c r="D63" s="20">
        <v>6.8940109079275287E-13</v>
      </c>
      <c r="E63" s="20">
        <v>0.9237180949952335</v>
      </c>
      <c r="F63" s="20">
        <v>3.0747950750568291E-2</v>
      </c>
      <c r="G63" s="20">
        <v>4.0570740011619186E-3</v>
      </c>
      <c r="H63" s="20">
        <v>0</v>
      </c>
      <c r="I63" s="20">
        <v>0.8889130702435033</v>
      </c>
      <c r="J63" s="20">
        <v>3.7733575741727872E-2</v>
      </c>
      <c r="K63" s="20">
        <v>3.854832926234926E-2</v>
      </c>
      <c r="L63" s="20">
        <v>0</v>
      </c>
    </row>
    <row r="64" spans="1:12">
      <c r="A64" s="2" t="s">
        <v>489</v>
      </c>
      <c r="B64" s="3" t="s">
        <v>490</v>
      </c>
      <c r="D64" s="20">
        <v>1.3178387922980276E-14</v>
      </c>
      <c r="E64" s="20">
        <v>0.99488703179199345</v>
      </c>
      <c r="F64" s="20">
        <v>1.2153204103335731E-2</v>
      </c>
      <c r="G64" s="20">
        <v>1.5089267316901412E-4</v>
      </c>
      <c r="H64" s="20">
        <v>0</v>
      </c>
      <c r="I64" s="20">
        <v>0.98258293501548866</v>
      </c>
      <c r="J64" s="20">
        <v>7.7405679795514203E-4</v>
      </c>
      <c r="K64" s="20">
        <v>4.3389114100382958E-3</v>
      </c>
      <c r="L64" s="20">
        <v>0</v>
      </c>
    </row>
    <row r="65" spans="1:12">
      <c r="A65" s="2" t="s">
        <v>491</v>
      </c>
      <c r="B65" s="3" t="s">
        <v>492</v>
      </c>
      <c r="D65" s="20">
        <v>2.1922421528778655E-12</v>
      </c>
      <c r="E65" s="20">
        <v>0.99470120532645234</v>
      </c>
      <c r="F65" s="20">
        <v>1.5892593429025815E-3</v>
      </c>
      <c r="G65" s="20">
        <v>7.0686795466446992E-5</v>
      </c>
      <c r="H65" s="20">
        <v>0</v>
      </c>
      <c r="I65" s="20">
        <v>0.99304125918808328</v>
      </c>
      <c r="J65" s="20">
        <v>3.3675783450903881E-3</v>
      </c>
      <c r="K65" s="20">
        <v>1.9312163262649056E-3</v>
      </c>
      <c r="L65" s="20">
        <v>0</v>
      </c>
    </row>
    <row r="66" spans="1:12">
      <c r="A66" s="2" t="s">
        <v>493</v>
      </c>
      <c r="B66" s="3" t="s">
        <v>494</v>
      </c>
      <c r="D66" s="20">
        <v>2.2012878622259473E-11</v>
      </c>
      <c r="E66" s="20">
        <v>0.74791155804700815</v>
      </c>
      <c r="F66" s="20">
        <v>0.15374747633198216</v>
      </c>
      <c r="G66" s="20">
        <v>3.8531936392551011E-3</v>
      </c>
      <c r="H66" s="20">
        <v>0</v>
      </c>
      <c r="I66" s="20">
        <v>0.59031088807577092</v>
      </c>
      <c r="J66" s="20">
        <v>0.23884949426937171</v>
      </c>
      <c r="K66" s="20">
        <v>1.3238947661607301E-2</v>
      </c>
      <c r="L66" s="20">
        <v>0</v>
      </c>
    </row>
    <row r="67" spans="1:12">
      <c r="A67" s="2" t="s">
        <v>495</v>
      </c>
      <c r="B67" s="3" t="s">
        <v>496</v>
      </c>
      <c r="D67" s="20">
        <v>1.7135706276083447E-12</v>
      </c>
      <c r="E67" s="20">
        <v>0.99502118246423399</v>
      </c>
      <c r="F67" s="20">
        <v>1.3408678376956398E-3</v>
      </c>
      <c r="G67" s="20">
        <v>7.3299482392887047E-5</v>
      </c>
      <c r="H67" s="20">
        <v>0</v>
      </c>
      <c r="I67" s="20">
        <v>0.99360701514414551</v>
      </c>
      <c r="J67" s="20">
        <v>2.8060486237433484E-3</v>
      </c>
      <c r="K67" s="20">
        <v>2.1727689103090168E-3</v>
      </c>
      <c r="L67" s="20">
        <v>0</v>
      </c>
    </row>
    <row r="68" spans="1:12">
      <c r="A68" s="2" t="s">
        <v>497</v>
      </c>
      <c r="B68" s="3" t="s">
        <v>498</v>
      </c>
      <c r="D68" s="20">
        <v>1.5547793938758152E-11</v>
      </c>
      <c r="E68" s="20">
        <v>0.9987403337104922</v>
      </c>
      <c r="F68" s="20">
        <v>1.5999476937089674E-4</v>
      </c>
      <c r="G68" s="20">
        <v>1.2344453287094089E-5</v>
      </c>
      <c r="H68" s="20">
        <v>0</v>
      </c>
      <c r="I68" s="20">
        <v>0.99856799448783418</v>
      </c>
      <c r="J68" s="20">
        <v>3.7889226351707874E-4</v>
      </c>
      <c r="K68" s="20">
        <v>8.807740104428513E-4</v>
      </c>
      <c r="L68" s="20">
        <v>0</v>
      </c>
    </row>
    <row r="69" spans="1:12">
      <c r="A69" s="2" t="s">
        <v>499</v>
      </c>
      <c r="B69" s="3" t="s">
        <v>500</v>
      </c>
      <c r="D69" s="20">
        <v>5.8133360918635055E-12</v>
      </c>
      <c r="E69" s="20">
        <v>0.66773203618708976</v>
      </c>
      <c r="F69" s="20">
        <v>0.52648941823917272</v>
      </c>
      <c r="G69" s="20">
        <v>0.13545505040368541</v>
      </c>
      <c r="H69" s="20">
        <v>0</v>
      </c>
      <c r="I69" s="20">
        <v>5.7875675442316506E-3</v>
      </c>
      <c r="J69" s="20">
        <v>0.24480426636479141</v>
      </c>
      <c r="K69" s="20">
        <v>8.7463697442305519E-2</v>
      </c>
      <c r="L69" s="20">
        <v>0</v>
      </c>
    </row>
    <row r="70" spans="1:12">
      <c r="A70" s="2" t="s">
        <v>501</v>
      </c>
      <c r="B70" s="3" t="s">
        <v>411</v>
      </c>
      <c r="D70" s="20">
        <v>2.7844944642444231E-13</v>
      </c>
      <c r="E70" s="20">
        <v>0.99867173546436327</v>
      </c>
      <c r="F70" s="20">
        <v>3.0214859126175338E-2</v>
      </c>
      <c r="G70" s="20">
        <v>2.8715487781657809E-6</v>
      </c>
      <c r="H70" s="20">
        <v>0</v>
      </c>
      <c r="I70" s="20">
        <v>0.96845400478940979</v>
      </c>
      <c r="J70" s="20">
        <v>1.2715063073314122E-3</v>
      </c>
      <c r="K70" s="20">
        <v>5.6758228026808184E-5</v>
      </c>
      <c r="L70" s="20">
        <v>0</v>
      </c>
    </row>
    <row r="71" spans="1:12">
      <c r="A71" s="2" t="s">
        <v>502</v>
      </c>
      <c r="B71" s="3" t="s">
        <v>412</v>
      </c>
      <c r="D71" s="20">
        <v>1.2705540565026588E-8</v>
      </c>
      <c r="E71" s="20">
        <v>0.99765665180788532</v>
      </c>
      <c r="F71" s="20">
        <v>5.6268818513453535E-2</v>
      </c>
      <c r="G71" s="20">
        <v>5.113686624567931E-6</v>
      </c>
      <c r="H71" s="20">
        <v>0</v>
      </c>
      <c r="I71" s="20">
        <v>0.94138271960780717</v>
      </c>
      <c r="J71" s="20">
        <v>2.2656666605549297E-3</v>
      </c>
      <c r="K71" s="20">
        <v>7.7668826019388783E-5</v>
      </c>
      <c r="L71" s="20">
        <v>0</v>
      </c>
    </row>
    <row r="72" spans="1:12">
      <c r="A72" s="2" t="s">
        <v>503</v>
      </c>
      <c r="B72" s="3" t="s">
        <v>413</v>
      </c>
      <c r="D72" s="20">
        <v>1.4092526366941709E-10</v>
      </c>
      <c r="E72" s="20">
        <v>0.81706746204166203</v>
      </c>
      <c r="F72" s="20">
        <v>0.81351036878602934</v>
      </c>
      <c r="G72" s="20">
        <v>3.7361770801105102E-4</v>
      </c>
      <c r="H72" s="20">
        <v>0</v>
      </c>
      <c r="I72" s="20">
        <v>3.1834755476216423E-3</v>
      </c>
      <c r="J72" s="20">
        <v>0.18286050339430457</v>
      </c>
      <c r="K72" s="20">
        <v>7.2034423108153462E-5</v>
      </c>
      <c r="L72" s="20">
        <v>0</v>
      </c>
    </row>
    <row r="73" spans="1:12">
      <c r="A73" s="2" t="s">
        <v>504</v>
      </c>
      <c r="B73" s="3" t="s">
        <v>414</v>
      </c>
      <c r="D73" s="20">
        <v>2.1943143152480388E-10</v>
      </c>
      <c r="E73" s="20">
        <v>0.97447769918361415</v>
      </c>
      <c r="F73" s="20">
        <v>0.93923241584782513</v>
      </c>
      <c r="G73" s="20">
        <v>5.4292198993111974E-5</v>
      </c>
      <c r="H73" s="20">
        <v>0</v>
      </c>
      <c r="I73" s="20">
        <v>3.5190991136795899E-2</v>
      </c>
      <c r="J73" s="20">
        <v>2.5452694054331693E-2</v>
      </c>
      <c r="K73" s="20">
        <v>6.9606542622722333E-5</v>
      </c>
      <c r="L73" s="20">
        <v>0</v>
      </c>
    </row>
    <row r="74" spans="1:12">
      <c r="A74" s="2" t="s">
        <v>505</v>
      </c>
      <c r="B74" s="3" t="s">
        <v>415</v>
      </c>
      <c r="D74" s="20">
        <v>1.5709994796047661E-9</v>
      </c>
      <c r="E74" s="20">
        <v>0.99785074908355176</v>
      </c>
      <c r="F74" s="20">
        <v>5.1197679560915366E-2</v>
      </c>
      <c r="G74" s="20">
        <v>4.6732028945917594E-6</v>
      </c>
      <c r="H74" s="20">
        <v>0</v>
      </c>
      <c r="I74" s="20">
        <v>0.94664839631974185</v>
      </c>
      <c r="J74" s="20">
        <v>2.0753352498049187E-3</v>
      </c>
      <c r="K74" s="20">
        <v>7.3914095643710885E-5</v>
      </c>
      <c r="L74" s="20">
        <v>0</v>
      </c>
    </row>
    <row r="75" spans="1:12">
      <c r="A75" s="2" t="s">
        <v>506</v>
      </c>
      <c r="B75" s="3" t="s">
        <v>416</v>
      </c>
      <c r="D75" s="20">
        <v>9.4158055393382526E-10</v>
      </c>
      <c r="E75" s="20">
        <v>0.9743629375380598</v>
      </c>
      <c r="F75" s="20">
        <v>0.93267796678750015</v>
      </c>
      <c r="G75" s="20">
        <v>5.461300536043251E-5</v>
      </c>
      <c r="H75" s="20">
        <v>0</v>
      </c>
      <c r="I75" s="20">
        <v>4.1630357745199235E-2</v>
      </c>
      <c r="J75" s="20">
        <v>2.5561897724039211E-2</v>
      </c>
      <c r="K75" s="20">
        <v>7.5163796320442324E-5</v>
      </c>
      <c r="L75" s="20">
        <v>0</v>
      </c>
    </row>
    <row r="76" spans="1:12">
      <c r="A76" s="2" t="s">
        <v>507</v>
      </c>
      <c r="B76" s="3" t="s">
        <v>417</v>
      </c>
      <c r="D76" s="20">
        <v>2.1921802880023023E-8</v>
      </c>
      <c r="E76" s="20">
        <v>0.98191488895892232</v>
      </c>
      <c r="F76" s="20">
        <v>0.5419396386944686</v>
      </c>
      <c r="G76" s="20">
        <v>3.9410979739416078E-5</v>
      </c>
      <c r="H76" s="20">
        <v>0</v>
      </c>
      <c r="I76" s="20">
        <v>0.43993583928471436</v>
      </c>
      <c r="J76" s="20">
        <v>1.7909406069525555E-2</v>
      </c>
      <c r="K76" s="20">
        <v>1.756830497492734E-4</v>
      </c>
      <c r="L76" s="20">
        <v>0</v>
      </c>
    </row>
    <row r="77" spans="1:12">
      <c r="A77" s="2" t="s">
        <v>508</v>
      </c>
      <c r="B77" s="3" t="s">
        <v>418</v>
      </c>
      <c r="D77" s="20">
        <v>6.7932659213260368E-9</v>
      </c>
      <c r="E77" s="20">
        <v>0.9744416232033285</v>
      </c>
      <c r="F77" s="20">
        <v>0.93746111899035656</v>
      </c>
      <c r="G77" s="20">
        <v>5.4553118067945128E-5</v>
      </c>
      <c r="H77" s="20">
        <v>0</v>
      </c>
      <c r="I77" s="20">
        <v>3.6925951094903972E-2</v>
      </c>
      <c r="J77" s="20">
        <v>2.5486997289813105E-2</v>
      </c>
      <c r="K77" s="20">
        <v>7.1372713592638939E-5</v>
      </c>
      <c r="L77" s="20">
        <v>0</v>
      </c>
    </row>
    <row r="78" spans="1:12">
      <c r="A78" s="2" t="s">
        <v>509</v>
      </c>
      <c r="B78" s="3" t="s">
        <v>419</v>
      </c>
      <c r="D78" s="20">
        <v>5.838857605064138E-10</v>
      </c>
      <c r="E78" s="20">
        <v>0.84207435877217884</v>
      </c>
      <c r="F78" s="20">
        <v>0.83811211928834017</v>
      </c>
      <c r="G78" s="20">
        <v>3.234197074107988E-4</v>
      </c>
      <c r="H78" s="20">
        <v>0</v>
      </c>
      <c r="I78" s="20">
        <v>3.638819776427923E-3</v>
      </c>
      <c r="J78" s="20">
        <v>0.15785522338585359</v>
      </c>
      <c r="K78" s="20">
        <v>7.0417258081652159E-5</v>
      </c>
      <c r="L78" s="20">
        <v>0</v>
      </c>
    </row>
    <row r="79" spans="1:12">
      <c r="A79" s="2" t="s">
        <v>510</v>
      </c>
      <c r="B79" s="3" t="s">
        <v>420</v>
      </c>
      <c r="D79" s="20">
        <v>1.4666550125815639E-14</v>
      </c>
      <c r="E79" s="20">
        <v>0.84207443377531399</v>
      </c>
      <c r="F79" s="20">
        <v>0.83811224488074076</v>
      </c>
      <c r="G79" s="20">
        <v>3.2336857286252021E-4</v>
      </c>
      <c r="H79" s="20">
        <v>0</v>
      </c>
      <c r="I79" s="20">
        <v>3.6388203217107089E-3</v>
      </c>
      <c r="J79" s="20">
        <v>0.15785516009997036</v>
      </c>
      <c r="K79" s="20">
        <v>7.0406124701092744E-5</v>
      </c>
      <c r="L79" s="20">
        <v>0</v>
      </c>
    </row>
    <row r="80" spans="1:12">
      <c r="A80" s="2" t="s">
        <v>511</v>
      </c>
      <c r="B80" s="3" t="s">
        <v>421</v>
      </c>
      <c r="D80" s="20">
        <v>1.9143945141882881E-9</v>
      </c>
      <c r="E80" s="20">
        <v>0.97533094614195193</v>
      </c>
      <c r="F80" s="20">
        <v>0.81265400076471728</v>
      </c>
      <c r="G80" s="20">
        <v>5.3145933155515634E-5</v>
      </c>
      <c r="H80" s="20">
        <v>0</v>
      </c>
      <c r="I80" s="20">
        <v>0.16262379944407909</v>
      </c>
      <c r="J80" s="20">
        <v>2.45347189579622E-2</v>
      </c>
      <c r="K80" s="20">
        <v>1.3433298569155914E-4</v>
      </c>
      <c r="L80" s="20">
        <v>0</v>
      </c>
    </row>
    <row r="81" spans="1:12">
      <c r="A81" s="2" t="s">
        <v>512</v>
      </c>
      <c r="B81" s="3" t="s">
        <v>422</v>
      </c>
      <c r="D81" s="20">
        <v>2.5476149267830188E-9</v>
      </c>
      <c r="E81" s="20">
        <v>0.99275019293223243</v>
      </c>
      <c r="F81" s="20">
        <v>0.19373497072918261</v>
      </c>
      <c r="G81" s="20">
        <v>1.5833334271919022E-5</v>
      </c>
      <c r="H81" s="20">
        <v>0</v>
      </c>
      <c r="I81" s="20">
        <v>0.79899938886877786</v>
      </c>
      <c r="J81" s="20">
        <v>7.1134451422580521E-3</v>
      </c>
      <c r="K81" s="20">
        <v>1.3635937789461009E-4</v>
      </c>
      <c r="L81" s="20">
        <v>0</v>
      </c>
    </row>
    <row r="82" spans="1:12">
      <c r="A82" s="2" t="s">
        <v>513</v>
      </c>
      <c r="B82" s="3" t="s">
        <v>423</v>
      </c>
      <c r="D82" s="20">
        <v>6.3736482208148544E-13</v>
      </c>
      <c r="E82" s="20">
        <v>0.98652374076700267</v>
      </c>
      <c r="F82" s="20">
        <v>0.38606666571237441</v>
      </c>
      <c r="G82" s="20">
        <v>2.9360126942863827E-5</v>
      </c>
      <c r="H82" s="20">
        <v>0</v>
      </c>
      <c r="I82" s="20">
        <v>0.60042771492768543</v>
      </c>
      <c r="J82" s="20">
        <v>1.3305937306329379E-2</v>
      </c>
      <c r="K82" s="20">
        <v>1.7032192603047203E-4</v>
      </c>
      <c r="L82" s="20">
        <v>0</v>
      </c>
    </row>
    <row r="83" spans="1:12">
      <c r="A83" s="2" t="s">
        <v>514</v>
      </c>
      <c r="B83" s="3" t="s">
        <v>424</v>
      </c>
      <c r="D83" s="20">
        <v>1.8197578730757378E-10</v>
      </c>
      <c r="E83" s="20">
        <v>0.73296625382387182</v>
      </c>
      <c r="F83" s="20">
        <v>0.73027737139285431</v>
      </c>
      <c r="G83" s="20">
        <v>5.4131766880363078E-4</v>
      </c>
      <c r="H83" s="20">
        <v>0</v>
      </c>
      <c r="I83" s="20">
        <v>2.147564762213876E-3</v>
      </c>
      <c r="J83" s="20">
        <v>0.26695903838579443</v>
      </c>
      <c r="K83" s="20">
        <v>7.4707608357882504E-5</v>
      </c>
      <c r="L83" s="20">
        <v>0</v>
      </c>
    </row>
    <row r="84" spans="1:12">
      <c r="A84" s="2" t="s">
        <v>403</v>
      </c>
      <c r="B84" s="3" t="s">
        <v>404</v>
      </c>
      <c r="D84" s="20">
        <v>3.9839114527267024E-44</v>
      </c>
      <c r="E84" s="20">
        <v>0.59166603532002271</v>
      </c>
      <c r="F84" s="20">
        <v>0.27503242116737425</v>
      </c>
      <c r="G84" s="20">
        <v>6.3632567577955754E-2</v>
      </c>
      <c r="H84" s="20">
        <v>0</v>
      </c>
      <c r="I84" s="20">
        <v>0.25300104657469269</v>
      </c>
      <c r="J84" s="20">
        <v>0.10993859622406899</v>
      </c>
      <c r="K84" s="20">
        <v>0.29839536845590836</v>
      </c>
      <c r="L84" s="20">
        <v>0</v>
      </c>
    </row>
    <row r="85" spans="1:12">
      <c r="A85" s="2" t="s">
        <v>405</v>
      </c>
      <c r="B85" s="3" t="s">
        <v>406</v>
      </c>
      <c r="D85" s="20">
        <v>3.2444084008881863E-9</v>
      </c>
      <c r="E85" s="20">
        <v>0.20764862028973236</v>
      </c>
      <c r="F85" s="20">
        <v>0.18608116539969505</v>
      </c>
      <c r="G85" s="20">
        <v>9.7280593076751205E-3</v>
      </c>
      <c r="H85" s="20">
        <v>0</v>
      </c>
      <c r="I85" s="20">
        <v>1.1839395582362197E-2</v>
      </c>
      <c r="J85" s="20">
        <v>0.78869088970717882</v>
      </c>
      <c r="K85" s="20">
        <v>3.6604867586803062E-3</v>
      </c>
      <c r="L85" s="20">
        <v>0</v>
      </c>
    </row>
    <row r="86" spans="1:12">
      <c r="A86" s="2" t="s">
        <v>407</v>
      </c>
      <c r="B86" s="3" t="s">
        <v>408</v>
      </c>
      <c r="D86" s="20">
        <v>1.0945763537314889E-5</v>
      </c>
      <c r="E86" s="20">
        <v>0.38423210623350379</v>
      </c>
      <c r="F86" s="20">
        <v>7.3184696592164325E-2</v>
      </c>
      <c r="G86" s="20">
        <v>0.31089649940392194</v>
      </c>
      <c r="H86" s="20">
        <v>0</v>
      </c>
      <c r="I86" s="20">
        <v>1.5091023741749978E-4</v>
      </c>
      <c r="J86" s="20">
        <v>0.58743465165968689</v>
      </c>
      <c r="K86" s="20">
        <v>2.8322296343271814E-2</v>
      </c>
      <c r="L86" s="20">
        <v>0</v>
      </c>
    </row>
    <row r="87" spans="1:12">
      <c r="A87" s="2" t="s">
        <v>409</v>
      </c>
      <c r="B87" s="3" t="s">
        <v>410</v>
      </c>
      <c r="D87" s="20">
        <v>1.2539330651875413E-6</v>
      </c>
      <c r="E87" s="20">
        <v>0.36135727643348603</v>
      </c>
      <c r="F87" s="20">
        <v>3.6487874830295836E-2</v>
      </c>
      <c r="G87" s="20">
        <v>0.32482101924915274</v>
      </c>
      <c r="H87" s="20">
        <v>0</v>
      </c>
      <c r="I87" s="20">
        <v>4.8382354037478965E-5</v>
      </c>
      <c r="J87" s="20">
        <v>0.62099098008547715</v>
      </c>
      <c r="K87" s="20">
        <v>1.7650489547971621E-2</v>
      </c>
      <c r="L87" s="20">
        <v>0</v>
      </c>
    </row>
    <row r="88" spans="1:12">
      <c r="A88" s="2" t="s">
        <v>301</v>
      </c>
      <c r="B88" s="3" t="s">
        <v>302</v>
      </c>
      <c r="D88" s="20">
        <v>1.4695278320655183E-7</v>
      </c>
      <c r="E88" s="20">
        <v>0.34761832412435228</v>
      </c>
      <c r="F88" s="20">
        <v>1.6056542407973724E-2</v>
      </c>
      <c r="G88" s="20">
        <v>0.33154889594397347</v>
      </c>
      <c r="H88" s="20">
        <v>0</v>
      </c>
      <c r="I88" s="20">
        <v>1.2885772405109504E-5</v>
      </c>
      <c r="J88" s="20">
        <v>0.64237092642726179</v>
      </c>
      <c r="K88" s="20">
        <v>1.0010602495602743E-2</v>
      </c>
      <c r="L88" s="20">
        <v>0</v>
      </c>
    </row>
    <row r="89" spans="1:12">
      <c r="A89" s="2" t="s">
        <v>303</v>
      </c>
      <c r="B89" s="3" t="s">
        <v>304</v>
      </c>
      <c r="D89" s="20">
        <v>1.1781317011333801E-14</v>
      </c>
      <c r="E89" s="20">
        <v>3.7354526369672646E-2</v>
      </c>
      <c r="F89" s="20">
        <v>1.0348820417649226E-2</v>
      </c>
      <c r="G89" s="20">
        <v>2.69151575671354E-2</v>
      </c>
      <c r="H89" s="20">
        <v>0</v>
      </c>
      <c r="I89" s="20">
        <v>9.0548384888020341E-5</v>
      </c>
      <c r="J89" s="20">
        <v>0.96151017645536874</v>
      </c>
      <c r="K89" s="20">
        <v>1.1352971749467556E-3</v>
      </c>
      <c r="L89" s="20">
        <v>0</v>
      </c>
    </row>
    <row r="90" spans="1:12">
      <c r="A90" s="2" t="s">
        <v>425</v>
      </c>
      <c r="B90" s="3" t="s">
        <v>426</v>
      </c>
      <c r="D90" s="20">
        <v>1.6016115903213152E-13</v>
      </c>
      <c r="E90" s="20">
        <v>0.97437831719210788</v>
      </c>
      <c r="F90" s="20">
        <v>9.1605901295093296E-4</v>
      </c>
      <c r="G90" s="20">
        <v>3.0757337557360293E-4</v>
      </c>
      <c r="H90" s="20">
        <v>0</v>
      </c>
      <c r="I90" s="20">
        <v>0.97315468480358336</v>
      </c>
      <c r="J90" s="20">
        <v>5.1083536614169776E-4</v>
      </c>
      <c r="K90" s="20">
        <v>2.5110847441590121E-2</v>
      </c>
      <c r="L90" s="20">
        <v>0</v>
      </c>
    </row>
    <row r="91" spans="1:12">
      <c r="A91" s="2" t="s">
        <v>427</v>
      </c>
      <c r="B91" s="3" t="s">
        <v>428</v>
      </c>
      <c r="D91" s="20">
        <v>8.0379205448083497E-5</v>
      </c>
      <c r="E91" s="20">
        <v>0.76745634163265253</v>
      </c>
      <c r="F91" s="20">
        <v>5.3631250547384463E-2</v>
      </c>
      <c r="G91" s="20">
        <v>1.5083894254249689E-2</v>
      </c>
      <c r="H91" s="20">
        <v>0</v>
      </c>
      <c r="I91" s="20">
        <v>0.69874119683101843</v>
      </c>
      <c r="J91" s="20">
        <v>2.5436698272487505E-2</v>
      </c>
      <c r="K91" s="20">
        <v>0.20702658088941173</v>
      </c>
      <c r="L91" s="20">
        <v>0</v>
      </c>
    </row>
    <row r="92" spans="1:12">
      <c r="A92" s="2" t="s">
        <v>429</v>
      </c>
      <c r="B92" s="3" t="s">
        <v>430</v>
      </c>
      <c r="D92" s="20">
        <v>4.2997426023619881E-4</v>
      </c>
      <c r="E92" s="20">
        <v>0.60416530884618436</v>
      </c>
      <c r="F92" s="20">
        <v>0.40974784001047782</v>
      </c>
      <c r="G92" s="20">
        <v>8.6459402167232136E-2</v>
      </c>
      <c r="H92" s="20">
        <v>0</v>
      </c>
      <c r="I92" s="20">
        <v>0.10795806666847436</v>
      </c>
      <c r="J92" s="20">
        <v>0.15110393396856045</v>
      </c>
      <c r="K92" s="20">
        <v>0.24430078292501892</v>
      </c>
      <c r="L92" s="20">
        <v>0</v>
      </c>
    </row>
    <row r="93" spans="1:12">
      <c r="A93" s="2" t="s">
        <v>431</v>
      </c>
      <c r="B93" s="3" t="s">
        <v>432</v>
      </c>
      <c r="D93" s="20">
        <v>1.2051197396686614E-17</v>
      </c>
      <c r="E93" s="20">
        <v>0.99962882227303451</v>
      </c>
      <c r="F93" s="20">
        <v>4.3608393024771709E-3</v>
      </c>
      <c r="G93" s="20">
        <v>3.4937514428799441E-6</v>
      </c>
      <c r="H93" s="20">
        <v>0</v>
      </c>
      <c r="I93" s="20">
        <v>0.99526448921911448</v>
      </c>
      <c r="J93" s="20">
        <v>2.1820830163778767E-4</v>
      </c>
      <c r="K93" s="20">
        <v>1.5296942532753879E-4</v>
      </c>
      <c r="L93" s="20">
        <v>0</v>
      </c>
    </row>
    <row r="94" spans="1:12">
      <c r="A94" s="2" t="s">
        <v>433</v>
      </c>
      <c r="B94" s="3" t="s">
        <v>434</v>
      </c>
      <c r="D94" s="20">
        <v>2.5475476732157307E-18</v>
      </c>
      <c r="E94" s="20">
        <v>0.99993631990374299</v>
      </c>
      <c r="F94" s="20">
        <v>1.6974482194733446E-5</v>
      </c>
      <c r="G94" s="20">
        <v>2.3686024643013649E-8</v>
      </c>
      <c r="H94" s="20">
        <v>0</v>
      </c>
      <c r="I94" s="20">
        <v>0.99991932173552356</v>
      </c>
      <c r="J94" s="20">
        <v>5.9809259937601428E-5</v>
      </c>
      <c r="K94" s="20">
        <v>3.8708363196584898E-6</v>
      </c>
      <c r="L94" s="20">
        <v>0</v>
      </c>
    </row>
    <row r="95" spans="1:12">
      <c r="A95" s="2" t="s">
        <v>435</v>
      </c>
      <c r="B95" s="3" t="s">
        <v>436</v>
      </c>
      <c r="D95" s="20">
        <v>1.359600572741306E-8</v>
      </c>
      <c r="E95" s="20">
        <v>0.9400247756443757</v>
      </c>
      <c r="F95" s="20">
        <v>3.7295526797154971E-3</v>
      </c>
      <c r="G95" s="20">
        <v>1.2935642131415765E-3</v>
      </c>
      <c r="H95" s="20">
        <v>0</v>
      </c>
      <c r="I95" s="20">
        <v>0.93500165875151864</v>
      </c>
      <c r="J95" s="20">
        <v>2.1788327673406757E-3</v>
      </c>
      <c r="K95" s="20">
        <v>5.7796377992277811E-2</v>
      </c>
      <c r="L95" s="20">
        <v>0</v>
      </c>
    </row>
    <row r="96" spans="1:12">
      <c r="A96" s="2" t="s">
        <v>437</v>
      </c>
      <c r="B96" s="165" t="s">
        <v>438</v>
      </c>
      <c r="D96" s="20">
        <v>2.1270753947704738E-8</v>
      </c>
      <c r="E96" s="20">
        <v>0.39692416284083137</v>
      </c>
      <c r="F96" s="20">
        <v>9.3898163612294028E-2</v>
      </c>
      <c r="G96" s="20">
        <v>0.30279775724945451</v>
      </c>
      <c r="H96" s="20">
        <v>0</v>
      </c>
      <c r="I96" s="20">
        <v>2.2824197908284704E-4</v>
      </c>
      <c r="J96" s="20">
        <v>0.56963589166174367</v>
      </c>
      <c r="K96" s="20">
        <v>3.3439924226670949E-2</v>
      </c>
      <c r="L96" s="20">
        <v>0</v>
      </c>
    </row>
    <row r="97" spans="1:12">
      <c r="A97" s="2" t="s">
        <v>439</v>
      </c>
      <c r="B97" s="3" t="s">
        <v>440</v>
      </c>
      <c r="D97" s="20">
        <v>3.8150965999518121E-5</v>
      </c>
      <c r="E97" s="20">
        <v>0.69782569160908081</v>
      </c>
      <c r="F97" s="20">
        <v>9.803468412596604E-2</v>
      </c>
      <c r="G97" s="20">
        <v>2.5994131355867485E-2</v>
      </c>
      <c r="H97" s="20">
        <v>0</v>
      </c>
      <c r="I97" s="20">
        <v>0.57379687612724728</v>
      </c>
      <c r="J97" s="20">
        <v>4.4155027977536704E-2</v>
      </c>
      <c r="K97" s="20">
        <v>0.25798112944738311</v>
      </c>
      <c r="L97" s="20">
        <v>0</v>
      </c>
    </row>
    <row r="98" spans="1:12">
      <c r="A98" s="2" t="s">
        <v>441</v>
      </c>
      <c r="B98" s="3" t="s">
        <v>442</v>
      </c>
      <c r="D98" s="20">
        <v>2.6425642272961506E-17</v>
      </c>
      <c r="E98" s="20">
        <v>0.75460114860729555</v>
      </c>
      <c r="F98" s="20">
        <v>6.040873848933706E-2</v>
      </c>
      <c r="G98" s="20">
        <v>1.6803328657180025E-2</v>
      </c>
      <c r="H98" s="20">
        <v>0</v>
      </c>
      <c r="I98" s="20">
        <v>0.67738908146077847</v>
      </c>
      <c r="J98" s="20">
        <v>2.8374757121193091E-2</v>
      </c>
      <c r="K98" s="20">
        <v>0.21702409427151134</v>
      </c>
      <c r="L98" s="20">
        <v>0</v>
      </c>
    </row>
    <row r="99" spans="1:12">
      <c r="A99" s="2" t="s">
        <v>443</v>
      </c>
      <c r="B99" s="3" t="s">
        <v>444</v>
      </c>
      <c r="D99" s="20">
        <v>4.1701962845329672E-29</v>
      </c>
      <c r="E99" s="20">
        <v>0.87617618313410373</v>
      </c>
      <c r="F99" s="20">
        <v>1.4670020201691617E-2</v>
      </c>
      <c r="G99" s="20">
        <v>4.6081463912638013E-3</v>
      </c>
      <c r="H99" s="20">
        <v>0</v>
      </c>
      <c r="I99" s="20">
        <v>0.85689801654114828</v>
      </c>
      <c r="J99" s="20">
        <v>7.6685524380659112E-3</v>
      </c>
      <c r="K99" s="20">
        <v>0.11615526442783035</v>
      </c>
      <c r="L99" s="20">
        <v>0</v>
      </c>
    </row>
    <row r="100" spans="1:12">
      <c r="A100" s="2" t="s">
        <v>445</v>
      </c>
      <c r="B100" s="3" t="s">
        <v>446</v>
      </c>
      <c r="D100" s="20">
        <v>3.0993914465225321E-8</v>
      </c>
      <c r="E100" s="20">
        <v>0.54093966140054661</v>
      </c>
      <c r="F100" s="20">
        <v>0.32768053577899248</v>
      </c>
      <c r="G100" s="20">
        <v>0.21117679794838293</v>
      </c>
      <c r="H100" s="20">
        <v>0</v>
      </c>
      <c r="I100" s="20">
        <v>2.0823276731712055E-3</v>
      </c>
      <c r="J100" s="20">
        <v>0.38725462237152386</v>
      </c>
      <c r="K100" s="20">
        <v>7.1805685234015135E-2</v>
      </c>
      <c r="L100" s="20">
        <v>0</v>
      </c>
    </row>
    <row r="101" spans="1:12">
      <c r="A101" s="2" t="s">
        <v>447</v>
      </c>
      <c r="B101" s="3" t="s">
        <v>448</v>
      </c>
      <c r="D101" s="20">
        <v>3.8325447174449297E-9</v>
      </c>
      <c r="E101" s="20">
        <v>0.59265030681035191</v>
      </c>
      <c r="F101" s="20">
        <v>0.36087886294309296</v>
      </c>
      <c r="G101" s="20">
        <v>7.8860041464421077E-2</v>
      </c>
      <c r="H101" s="20">
        <v>0</v>
      </c>
      <c r="I101" s="20">
        <v>0.15291140240283782</v>
      </c>
      <c r="J101" s="20">
        <v>0.1372216716211907</v>
      </c>
      <c r="K101" s="20">
        <v>0.27012801773591272</v>
      </c>
      <c r="L101" s="20">
        <v>0</v>
      </c>
    </row>
    <row r="102" spans="1:12">
      <c r="A102" s="2" t="s">
        <v>449</v>
      </c>
      <c r="B102" s="3" t="s">
        <v>450</v>
      </c>
      <c r="D102" s="20">
        <v>1.6207758324757722E-4</v>
      </c>
      <c r="E102" s="20">
        <v>0.66488182360646031</v>
      </c>
      <c r="F102" s="20">
        <v>0.53210478840558106</v>
      </c>
      <c r="G102" s="20">
        <v>0.10071466732288671</v>
      </c>
      <c r="H102" s="20">
        <v>0</v>
      </c>
      <c r="I102" s="20">
        <v>3.2062367877992555E-2</v>
      </c>
      <c r="J102" s="20">
        <v>0.17842329907391005</v>
      </c>
      <c r="K102" s="20">
        <v>0.15653279973638196</v>
      </c>
      <c r="L102" s="20">
        <v>0</v>
      </c>
    </row>
    <row r="103" spans="1:12">
      <c r="A103" s="2" t="s">
        <v>451</v>
      </c>
      <c r="B103" s="3" t="s">
        <v>452</v>
      </c>
      <c r="D103" s="20">
        <v>4.383350589627175E-19</v>
      </c>
      <c r="E103" s="20">
        <v>0.99585211981833643</v>
      </c>
      <c r="F103" s="20">
        <v>0.10463999541564717</v>
      </c>
      <c r="G103" s="20">
        <v>1.0154836143849085E-5</v>
      </c>
      <c r="H103" s="20">
        <v>0</v>
      </c>
      <c r="I103" s="20">
        <v>0.8912019695665454</v>
      </c>
      <c r="J103" s="20">
        <v>4.0305565357091813E-3</v>
      </c>
      <c r="K103" s="20">
        <v>1.1732364595447153E-4</v>
      </c>
      <c r="L103" s="20">
        <v>0</v>
      </c>
    </row>
    <row r="104" spans="1:12">
      <c r="A104" s="2" t="s">
        <v>453</v>
      </c>
      <c r="B104" s="3" t="s">
        <v>454</v>
      </c>
      <c r="D104" s="20">
        <v>1.0872677405104128E-20</v>
      </c>
      <c r="E104" s="20">
        <v>0.96238863536090147</v>
      </c>
      <c r="F104" s="20">
        <v>0.95068412635639277</v>
      </c>
      <c r="G104" s="20">
        <v>1.0067042286261354E-3</v>
      </c>
      <c r="H104" s="20">
        <v>0</v>
      </c>
      <c r="I104" s="20">
        <v>1.0697804775882556E-2</v>
      </c>
      <c r="J104" s="20">
        <v>3.6943306093994023E-2</v>
      </c>
      <c r="K104" s="20">
        <v>6.6805854510454388E-4</v>
      </c>
      <c r="L104" s="20">
        <v>0</v>
      </c>
    </row>
    <row r="105" spans="1:12">
      <c r="A105" s="2" t="s">
        <v>455</v>
      </c>
      <c r="B105" s="165">
        <v>354656</v>
      </c>
      <c r="D105" s="20">
        <v>3.6837582796931669E-10</v>
      </c>
      <c r="E105" s="20">
        <v>0.96929160204957687</v>
      </c>
      <c r="F105" s="20">
        <v>9.8212177459268738E-4</v>
      </c>
      <c r="G105" s="20">
        <v>3.7989265363711568E-4</v>
      </c>
      <c r="H105" s="20">
        <v>0</v>
      </c>
      <c r="I105" s="20">
        <v>0.96792958762134707</v>
      </c>
      <c r="J105" s="20">
        <v>6.2176892504921374E-4</v>
      </c>
      <c r="K105" s="20">
        <v>3.0086628656998037E-2</v>
      </c>
      <c r="L105" s="20">
        <v>0</v>
      </c>
    </row>
    <row r="106" spans="1:12">
      <c r="A106" s="2" t="s">
        <v>457</v>
      </c>
      <c r="B106" s="3" t="s">
        <v>458</v>
      </c>
      <c r="D106" s="20">
        <v>5.4495004658541082E-10</v>
      </c>
      <c r="E106" s="20">
        <v>0.93717474037277759</v>
      </c>
      <c r="F106" s="20">
        <v>4.0416288964564328E-3</v>
      </c>
      <c r="G106" s="20">
        <v>1.3955067185872851E-3</v>
      </c>
      <c r="H106" s="20">
        <v>0</v>
      </c>
      <c r="I106" s="20">
        <v>0.93173760475773393</v>
      </c>
      <c r="J106" s="20">
        <v>2.3406939872194191E-3</v>
      </c>
      <c r="K106" s="20">
        <v>6.0484565095052893E-2</v>
      </c>
      <c r="L106" s="20">
        <v>0</v>
      </c>
    </row>
    <row r="107" spans="1:12">
      <c r="A107" s="2" t="s">
        <v>459</v>
      </c>
      <c r="B107" s="3" t="s">
        <v>460</v>
      </c>
      <c r="D107" s="20">
        <v>3.7239538663818075E-20</v>
      </c>
      <c r="E107" s="20">
        <v>0.69514089133553569</v>
      </c>
      <c r="F107" s="20">
        <v>0.57717516445162265</v>
      </c>
      <c r="G107" s="20">
        <v>0.10101731667469749</v>
      </c>
      <c r="H107" s="20">
        <v>0</v>
      </c>
      <c r="I107" s="20">
        <v>1.6948410209215531E-2</v>
      </c>
      <c r="J107" s="20">
        <v>0.19360694687340299</v>
      </c>
      <c r="K107" s="20">
        <v>0.11125216179106126</v>
      </c>
      <c r="L107" s="20">
        <v>0</v>
      </c>
    </row>
    <row r="108" spans="1:12">
      <c r="A108" s="2" t="s">
        <v>461</v>
      </c>
      <c r="B108" s="3" t="s">
        <v>462</v>
      </c>
      <c r="D108" s="20">
        <v>1.1007099342810351E-9</v>
      </c>
      <c r="E108" s="20">
        <v>0.99991034295193182</v>
      </c>
      <c r="F108" s="20">
        <v>8.7926437369218748E-6</v>
      </c>
      <c r="G108" s="20">
        <v>2.5484789945002568E-7</v>
      </c>
      <c r="H108" s="20">
        <v>0</v>
      </c>
      <c r="I108" s="20">
        <v>0.99990129546029549</v>
      </c>
      <c r="J108" s="20">
        <v>3.406632945956363E-5</v>
      </c>
      <c r="K108" s="20">
        <v>5.5589617898533127E-5</v>
      </c>
      <c r="L108" s="20">
        <v>0</v>
      </c>
    </row>
    <row r="109" spans="1:12">
      <c r="A109" s="2" t="s">
        <v>463</v>
      </c>
      <c r="B109" s="3" t="s">
        <v>464</v>
      </c>
      <c r="D109" s="20">
        <v>2.5759998389477392E-12</v>
      </c>
      <c r="E109" s="20">
        <v>0.89949606001598204</v>
      </c>
      <c r="F109" s="20">
        <v>5.288625809798015E-2</v>
      </c>
      <c r="G109" s="20">
        <v>2.6287477623774401E-3</v>
      </c>
      <c r="H109" s="20">
        <v>0</v>
      </c>
      <c r="I109" s="20">
        <v>0.84398105415562441</v>
      </c>
      <c r="J109" s="20">
        <v>8.3798360439546415E-2</v>
      </c>
      <c r="K109" s="20">
        <v>1.6705579541895842E-2</v>
      </c>
      <c r="L109" s="20">
        <v>0</v>
      </c>
    </row>
    <row r="110" spans="1:12">
      <c r="A110" s="2" t="s">
        <v>465</v>
      </c>
      <c r="B110" s="3" t="s">
        <v>466</v>
      </c>
      <c r="D110" s="20">
        <v>2.0896173573222152E-11</v>
      </c>
      <c r="E110" s="20">
        <v>0.99366130303451772</v>
      </c>
      <c r="F110" s="20">
        <v>2.248241048880912E-4</v>
      </c>
      <c r="G110" s="20">
        <v>4.3013957202672657E-5</v>
      </c>
      <c r="H110" s="20">
        <v>0</v>
      </c>
      <c r="I110" s="20">
        <v>0.99339346497242698</v>
      </c>
      <c r="J110" s="20">
        <v>8.2332644285948849E-5</v>
      </c>
      <c r="K110" s="20">
        <v>6.2563643003002807E-3</v>
      </c>
      <c r="L110" s="20">
        <v>0</v>
      </c>
    </row>
    <row r="111" spans="1:12">
      <c r="A111" s="2" t="s">
        <v>467</v>
      </c>
      <c r="B111" s="3" t="s">
        <v>468</v>
      </c>
      <c r="D111" s="20">
        <v>3.7147388533557344E-30</v>
      </c>
      <c r="E111" s="20">
        <v>0.99998681715736359</v>
      </c>
      <c r="F111" s="20">
        <v>1.5978974496646032E-5</v>
      </c>
      <c r="G111" s="20">
        <v>1.32014261989008E-8</v>
      </c>
      <c r="H111" s="20">
        <v>0</v>
      </c>
      <c r="I111" s="20">
        <v>0.99997082498144074</v>
      </c>
      <c r="J111" s="20">
        <v>7.5628792946461173E-6</v>
      </c>
      <c r="K111" s="20">
        <v>5.6199633417090694E-6</v>
      </c>
      <c r="L111" s="20">
        <v>0</v>
      </c>
    </row>
    <row r="112" spans="1:12">
      <c r="A112" s="2" t="s">
        <v>469</v>
      </c>
      <c r="B112" s="3" t="s">
        <v>470</v>
      </c>
      <c r="D112" s="20">
        <v>2.3479303660091388E-13</v>
      </c>
      <c r="E112" s="20">
        <v>0.9918309923470825</v>
      </c>
      <c r="F112" s="20">
        <v>7.7546004767166228E-5</v>
      </c>
      <c r="G112" s="20">
        <v>3.6228886229537556E-5</v>
      </c>
      <c r="H112" s="20">
        <v>0</v>
      </c>
      <c r="I112" s="20">
        <v>0.99171721745608576</v>
      </c>
      <c r="J112" s="20">
        <v>6.3735283385784144E-5</v>
      </c>
      <c r="K112" s="20">
        <v>8.1052723692967878E-3</v>
      </c>
      <c r="L112" s="20">
        <v>0</v>
      </c>
    </row>
    <row r="113" spans="1:12">
      <c r="A113" s="2" t="s">
        <v>471</v>
      </c>
      <c r="B113" s="3" t="s">
        <v>472</v>
      </c>
      <c r="D113" s="20">
        <v>2.8858654237961133E-9</v>
      </c>
      <c r="E113" s="20">
        <v>0.95327538335653716</v>
      </c>
      <c r="F113" s="20">
        <v>2.2006465217394079E-3</v>
      </c>
      <c r="G113" s="20">
        <v>8.0102458400651058E-4</v>
      </c>
      <c r="H113" s="20">
        <v>0</v>
      </c>
      <c r="I113" s="20">
        <v>0.95027371225079127</v>
      </c>
      <c r="J113" s="20">
        <v>1.3138845745303818E-3</v>
      </c>
      <c r="K113" s="20">
        <v>4.5410729183066982E-2</v>
      </c>
      <c r="L113" s="20">
        <v>0</v>
      </c>
    </row>
    <row r="114" spans="1:12">
      <c r="A114" s="2" t="s">
        <v>473</v>
      </c>
      <c r="B114" s="3" t="s">
        <v>474</v>
      </c>
      <c r="D114" s="20">
        <v>2.3048559487755116E-16</v>
      </c>
      <c r="E114" s="20">
        <v>0.99577304741822603</v>
      </c>
      <c r="F114" s="20">
        <v>2.2581205902252526E-5</v>
      </c>
      <c r="G114" s="20">
        <v>1.1376685027881666E-5</v>
      </c>
      <c r="H114" s="20">
        <v>0</v>
      </c>
      <c r="I114" s="20">
        <v>0.99573908952729595</v>
      </c>
      <c r="J114" s="20">
        <v>2.4252823434667881E-5</v>
      </c>
      <c r="K114" s="20">
        <v>4.2026997583390459E-3</v>
      </c>
      <c r="L114" s="20">
        <v>0</v>
      </c>
    </row>
    <row r="115" spans="1:12">
      <c r="A115" s="2" t="s">
        <v>475</v>
      </c>
      <c r="B115" s="3" t="s">
        <v>476</v>
      </c>
      <c r="D115" s="20">
        <v>1.1906021686229721E-12</v>
      </c>
      <c r="E115" s="20">
        <v>0.99876944869370821</v>
      </c>
      <c r="F115" s="20">
        <v>2.7420500652692439E-2</v>
      </c>
      <c r="G115" s="20">
        <v>3.2844241231176637E-6</v>
      </c>
      <c r="H115" s="20">
        <v>0</v>
      </c>
      <c r="I115" s="20">
        <v>0.97134566361689267</v>
      </c>
      <c r="J115" s="20">
        <v>1.1629473874930011E-3</v>
      </c>
      <c r="K115" s="20">
        <v>6.7603917607991323E-5</v>
      </c>
      <c r="L115" s="20">
        <v>0</v>
      </c>
    </row>
    <row r="116" spans="1:12">
      <c r="A116" s="2" t="s">
        <v>477</v>
      </c>
      <c r="B116" s="3" t="s">
        <v>478</v>
      </c>
      <c r="D116" s="20">
        <v>1.669087695530113E-17</v>
      </c>
      <c r="E116" s="20">
        <v>0.48397378263491325</v>
      </c>
      <c r="F116" s="20">
        <v>0.40761053915927847</v>
      </c>
      <c r="G116" s="20">
        <v>9.8725405232427954E-3</v>
      </c>
      <c r="H116" s="20">
        <v>0</v>
      </c>
      <c r="I116" s="20">
        <v>6.649070295239197E-2</v>
      </c>
      <c r="J116" s="20">
        <v>0.50649514963878239</v>
      </c>
      <c r="K116" s="20">
        <v>9.5310677263043316E-3</v>
      </c>
      <c r="L116" s="20">
        <v>0</v>
      </c>
    </row>
    <row r="117" spans="1:12">
      <c r="A117" s="2" t="s">
        <v>291</v>
      </c>
      <c r="B117" s="3" t="s">
        <v>479</v>
      </c>
      <c r="D117" s="20">
        <v>2.741883300953361E-10</v>
      </c>
      <c r="E117" s="20">
        <v>0.63918327012559817</v>
      </c>
      <c r="F117" s="20">
        <v>0.15919271201009164</v>
      </c>
      <c r="G117" s="20">
        <v>3.9940981859677399E-2</v>
      </c>
      <c r="H117" s="20">
        <v>0</v>
      </c>
      <c r="I117" s="20">
        <v>0.44004957625582919</v>
      </c>
      <c r="J117" s="20">
        <v>6.8313027341787347E-2</v>
      </c>
      <c r="K117" s="20">
        <v>0.29250370225842598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1.0483129547002465E-12</v>
      </c>
      <c r="E2" s="14">
        <v>3.9016076422797568E-5</v>
      </c>
      <c r="F2" s="14">
        <v>2.4008507765789347E-8</v>
      </c>
      <c r="G2" s="14">
        <v>9.6351997587252152E-9</v>
      </c>
      <c r="H2" s="14">
        <v>0</v>
      </c>
      <c r="I2" s="9">
        <v>1.5791629028542328E-8</v>
      </c>
      <c r="J2" s="14">
        <v>9.3448719233641431E-7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7.3860444012062192E-13</v>
      </c>
      <c r="E3" s="14">
        <v>1.7266988063770515E-5</v>
      </c>
      <c r="F3" s="14">
        <v>6.8598600761937696E-6</v>
      </c>
      <c r="G3" s="14">
        <v>1.6664928323597341E-6</v>
      </c>
      <c r="H3" s="14">
        <v>0</v>
      </c>
      <c r="I3" s="14">
        <v>3.0658659128685427E-6</v>
      </c>
      <c r="J3" s="14">
        <v>1.1140792376203E-5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5.4358102075631926E-22</v>
      </c>
      <c r="E4" s="14">
        <v>3.9938975970906146E-5</v>
      </c>
      <c r="F4" s="14">
        <v>1.6855378136648962E-8</v>
      </c>
      <c r="G4" s="14">
        <v>1.8562400629898832E-11</v>
      </c>
      <c r="H4" s="14">
        <v>0</v>
      </c>
      <c r="I4" s="14">
        <v>4.3324912206684765E-8</v>
      </c>
      <c r="J4" s="14">
        <v>8.2517634989736644E-10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8.9217733466770504E-15</v>
      </c>
      <c r="E5" s="14">
        <v>2.1574090281302169E-5</v>
      </c>
      <c r="F5" s="14">
        <v>1.7812876879568328E-5</v>
      </c>
      <c r="G5" s="14">
        <v>1.4138174312428946E-9</v>
      </c>
      <c r="H5" s="14">
        <v>0</v>
      </c>
      <c r="I5" s="14">
        <v>6.0420751534536299E-7</v>
      </c>
      <c r="J5" s="14">
        <v>7.4114974311215132E-9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7.2725759397227985E-16</v>
      </c>
      <c r="E6" s="14">
        <v>1.2687468670920074E-5</v>
      </c>
      <c r="F6" s="14">
        <v>2.6423878100421752E-5</v>
      </c>
      <c r="G6" s="14">
        <v>7.6628280998714515E-9</v>
      </c>
      <c r="H6" s="14">
        <v>0</v>
      </c>
      <c r="I6" s="14">
        <v>8.5337815511580286E-7</v>
      </c>
      <c r="J6" s="14">
        <v>2.7612244715247125E-8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6.3008762746186281E-12</v>
      </c>
      <c r="E7" s="14">
        <v>4.1848024968906059E-6</v>
      </c>
      <c r="F7" s="14">
        <v>3.4482324972809594E-5</v>
      </c>
      <c r="G7" s="14">
        <v>7.0192650876331671E-8</v>
      </c>
      <c r="H7" s="14">
        <v>0</v>
      </c>
      <c r="I7" s="14">
        <v>1.1177949671731303E-6</v>
      </c>
      <c r="J7" s="14">
        <v>1.4487861137407455E-7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4.4964356409617157E-22</v>
      </c>
      <c r="E8" s="14">
        <v>8.9774683663925488E-6</v>
      </c>
      <c r="F8" s="14">
        <v>3.0068755786183984E-5</v>
      </c>
      <c r="G8" s="14">
        <v>4.5723560634890755E-9</v>
      </c>
      <c r="H8" s="14">
        <v>0</v>
      </c>
      <c r="I8" s="14">
        <v>9.3561245189849289E-7</v>
      </c>
      <c r="J8" s="14">
        <v>1.3591039461483466E-8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1.904217951095373E-17</v>
      </c>
      <c r="E9" s="14">
        <v>2.4232359089069322E-5</v>
      </c>
      <c r="F9" s="14">
        <v>1.5196279413875849E-5</v>
      </c>
      <c r="G9" s="14">
        <v>5.7598240769392783E-9</v>
      </c>
      <c r="H9" s="14">
        <v>0</v>
      </c>
      <c r="I9" s="14">
        <v>5.3184793694581485E-7</v>
      </c>
      <c r="J9" s="14">
        <v>3.375373601303378E-8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4.7139343353082638E-10</v>
      </c>
      <c r="E10" s="14">
        <v>3.3578103939207399E-7</v>
      </c>
      <c r="F10" s="14">
        <v>2.4241402548237281E-5</v>
      </c>
      <c r="G10" s="14">
        <v>4.2340238379471256E-6</v>
      </c>
      <c r="H10" s="14">
        <v>0</v>
      </c>
      <c r="I10" s="14">
        <v>7.6051634245569224E-6</v>
      </c>
      <c r="J10" s="14">
        <v>3.583157756433073E-6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8.526691840587457E-17</v>
      </c>
      <c r="E11" s="14">
        <v>8.7588196452196972E-9</v>
      </c>
      <c r="F11" s="14">
        <v>7.991478918173948E-6</v>
      </c>
      <c r="G11" s="14">
        <v>5.8387721796665369E-6</v>
      </c>
      <c r="H11" s="14">
        <v>0</v>
      </c>
      <c r="I11" s="14">
        <v>2.5907106767277092E-5</v>
      </c>
      <c r="J11" s="14">
        <v>2.538833151519431E-7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2.9982712753318123E-6</v>
      </c>
      <c r="E12" s="14">
        <v>3.6831232304337835E-5</v>
      </c>
      <c r="F12" s="14">
        <v>1.0353007121125548E-9</v>
      </c>
      <c r="G12" s="14">
        <v>5.1316192746624459E-10</v>
      </c>
      <c r="H12" s="14">
        <v>0</v>
      </c>
      <c r="I12" s="14">
        <v>1.0802893211424777E-9</v>
      </c>
      <c r="J12" s="14">
        <v>1.6786766836963511E-7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6.6071325473413274E-13</v>
      </c>
      <c r="E13" s="14">
        <v>1.9778149710251435E-5</v>
      </c>
      <c r="F13" s="14">
        <v>5.3001386929246564E-6</v>
      </c>
      <c r="G13" s="14">
        <v>1.3595111996282898E-6</v>
      </c>
      <c r="H13" s="14">
        <v>0</v>
      </c>
      <c r="I13" s="14">
        <v>2.3188577632773602E-6</v>
      </c>
      <c r="J13" s="14">
        <v>1.1243341973205007E-5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3.2466553760394881E-12</v>
      </c>
      <c r="E14" s="14">
        <v>3.3325322233622521E-7</v>
      </c>
      <c r="F14" s="14">
        <v>3.7414154195122387E-5</v>
      </c>
      <c r="G14" s="14">
        <v>5.8614029977471995E-8</v>
      </c>
      <c r="H14" s="14">
        <v>0</v>
      </c>
      <c r="I14" s="14">
        <v>2.1643874011100528E-6</v>
      </c>
      <c r="J14" s="14">
        <v>2.9587904798487212E-8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3.3729689849533875E-6</v>
      </c>
      <c r="E15" s="14">
        <v>3.0187349878472986E-5</v>
      </c>
      <c r="F15" s="14">
        <v>7.7105713927405896E-7</v>
      </c>
      <c r="G15" s="14">
        <v>2.3517010769788813E-7</v>
      </c>
      <c r="H15" s="14">
        <v>0</v>
      </c>
      <c r="I15" s="14">
        <v>3.9270865051948832E-7</v>
      </c>
      <c r="J15" s="14">
        <v>5.0407452390821946E-6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2.4955547928752555E-8</v>
      </c>
      <c r="E16" s="14">
        <v>1.8317227961201986E-5</v>
      </c>
      <c r="F16" s="14">
        <v>5.9957197451941662E-6</v>
      </c>
      <c r="G16" s="14">
        <v>1.5154334879172839E-6</v>
      </c>
      <c r="H16" s="14">
        <v>0</v>
      </c>
      <c r="I16" s="14">
        <v>2.5895462408217231E-6</v>
      </c>
      <c r="J16" s="14">
        <v>1.1557117016936091E-5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7.5387651866539895E-8</v>
      </c>
      <c r="E17" s="14">
        <v>1.9199629890045498E-5</v>
      </c>
      <c r="F17" s="14">
        <v>5.5459306075647036E-6</v>
      </c>
      <c r="G17" s="14">
        <v>1.4147183497173894E-6</v>
      </c>
      <c r="H17" s="14">
        <v>0</v>
      </c>
      <c r="I17" s="14">
        <v>2.4146796281357482E-6</v>
      </c>
      <c r="J17" s="14">
        <v>1.1349653872670125E-5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7.6024490693250792E-13</v>
      </c>
      <c r="E18" s="14">
        <v>1.1810986141948582E-8</v>
      </c>
      <c r="F18" s="14">
        <v>4.379532305698033E-6</v>
      </c>
      <c r="G18" s="14">
        <v>1.1866517653090968E-5</v>
      </c>
      <c r="H18" s="14">
        <v>0</v>
      </c>
      <c r="I18" s="14">
        <v>2.2262226197766079E-5</v>
      </c>
      <c r="J18" s="14">
        <v>1.4799120970580668E-6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4.6926898334484022E-7</v>
      </c>
      <c r="E19" s="14">
        <v>3.6004309865525711E-5</v>
      </c>
      <c r="F19" s="14">
        <v>2.5055095651265473E-7</v>
      </c>
      <c r="G19" s="14">
        <v>8.4099152725946278E-8</v>
      </c>
      <c r="H19" s="14">
        <v>0</v>
      </c>
      <c r="I19" s="14">
        <v>1.3892958289278449E-7</v>
      </c>
      <c r="J19" s="14">
        <v>3.0528414589980696E-6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8.7405929592218739E-7</v>
      </c>
      <c r="E20" s="14">
        <v>3.4274690089621715E-5</v>
      </c>
      <c r="F20" s="14">
        <v>4.4567175492385296E-7</v>
      </c>
      <c r="G20" s="14">
        <v>1.4286000674856221E-7</v>
      </c>
      <c r="H20" s="14">
        <v>0</v>
      </c>
      <c r="I20" s="14">
        <v>2.3718672723737572E-7</v>
      </c>
      <c r="J20" s="14">
        <v>4.025532125546317E-6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6.9369718136683868E-8</v>
      </c>
      <c r="E21" s="14">
        <v>3.9508029024347109E-6</v>
      </c>
      <c r="F21" s="14">
        <v>2.945553657719517E-5</v>
      </c>
      <c r="G21" s="14">
        <v>1.1887378761509937E-6</v>
      </c>
      <c r="H21" s="14">
        <v>0</v>
      </c>
      <c r="I21" s="14">
        <v>2.7805068802971479E-6</v>
      </c>
      <c r="J21" s="14">
        <v>2.5550460457852975E-6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2.6204708014446656E-6</v>
      </c>
      <c r="E22" s="14">
        <v>3.6115361431950811E-5</v>
      </c>
      <c r="F22" s="14">
        <v>4.0499861668291629E-8</v>
      </c>
      <c r="G22" s="14">
        <v>1.5550669637694904E-8</v>
      </c>
      <c r="H22" s="14">
        <v>0</v>
      </c>
      <c r="I22" s="14">
        <v>2.545228609174914E-8</v>
      </c>
      <c r="J22" s="14">
        <v>1.1826649492067886E-6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2.7133151165483951E-6</v>
      </c>
      <c r="E23" s="14">
        <v>2.843628609362289E-5</v>
      </c>
      <c r="F23" s="14">
        <v>1.3236539173637371E-6</v>
      </c>
      <c r="G23" s="14">
        <v>3.8625134493201689E-7</v>
      </c>
      <c r="H23" s="14">
        <v>0</v>
      </c>
      <c r="I23" s="14">
        <v>6.4843187932910632E-7</v>
      </c>
      <c r="J23" s="14">
        <v>6.4920616482038637E-6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7.1887008842547143E-8</v>
      </c>
      <c r="E24" s="14">
        <v>1.3830664737500326E-5</v>
      </c>
      <c r="F24" s="14">
        <v>8.4591091392344912E-6</v>
      </c>
      <c r="G24" s="14">
        <v>2.0418328356515241E-6</v>
      </c>
      <c r="H24" s="14">
        <v>0</v>
      </c>
      <c r="I24" s="14">
        <v>3.5091085047154569E-6</v>
      </c>
      <c r="J24" s="14">
        <v>1.2087397774055659E-5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3.6707006159732761E-9</v>
      </c>
      <c r="E25" s="14">
        <v>1.7264802127709777E-8</v>
      </c>
      <c r="F25" s="14">
        <v>5.4780145266043634E-6</v>
      </c>
      <c r="G25" s="14">
        <v>1.1431908373956323E-5</v>
      </c>
      <c r="H25" s="14">
        <v>0</v>
      </c>
      <c r="I25" s="14">
        <v>2.1358215047456945E-5</v>
      </c>
      <c r="J25" s="14">
        <v>1.7109265492386878E-6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4.6553201062325334E-6</v>
      </c>
      <c r="E26" s="14">
        <v>4.7696025359175048E-6</v>
      </c>
      <c r="F26" s="14">
        <v>1.3409845182469731E-5</v>
      </c>
      <c r="G26" s="14">
        <v>2.8928060647632089E-6</v>
      </c>
      <c r="H26" s="14">
        <v>0</v>
      </c>
      <c r="I26" s="14">
        <v>5.0417832142760599E-6</v>
      </c>
      <c r="J26" s="14">
        <v>9.2306428963409637E-6</v>
      </c>
      <c r="K26" s="14">
        <v>0</v>
      </c>
    </row>
    <row r="27" spans="1:13">
      <c r="A27" s="2" t="s">
        <v>397</v>
      </c>
      <c r="B27" s="3" t="s">
        <v>398</v>
      </c>
      <c r="D27" s="14">
        <v>2.2261291645521964E-5</v>
      </c>
      <c r="E27" s="14">
        <v>5.9421416438733302E-7</v>
      </c>
      <c r="F27" s="14">
        <v>9.3804694689532009E-6</v>
      </c>
      <c r="G27" s="14">
        <v>1.7820510033510919E-6</v>
      </c>
      <c r="H27" s="14">
        <v>0</v>
      </c>
      <c r="I27" s="14">
        <v>3.1555793422229299E-6</v>
      </c>
      <c r="J27" s="14">
        <v>2.8263943755634795E-6</v>
      </c>
      <c r="K27" s="14">
        <v>0</v>
      </c>
    </row>
    <row r="28" spans="1:13">
      <c r="A28" s="2" t="s">
        <v>399</v>
      </c>
      <c r="B28" s="3" t="s">
        <v>400</v>
      </c>
      <c r="D28" s="14">
        <v>2.9442858448248644E-5</v>
      </c>
      <c r="E28" s="14">
        <v>1.1187488749507611E-6</v>
      </c>
      <c r="F28" s="14">
        <v>4.3536567540231587E-6</v>
      </c>
      <c r="G28" s="14">
        <v>9.1695862796072597E-7</v>
      </c>
      <c r="H28" s="14">
        <v>0</v>
      </c>
      <c r="I28" s="14">
        <v>1.6029249297421405E-6</v>
      </c>
      <c r="J28" s="14">
        <v>2.5648523650745767E-6</v>
      </c>
      <c r="K28" s="14">
        <v>0</v>
      </c>
    </row>
    <row r="29" spans="1:13">
      <c r="A29" s="2" t="s">
        <v>297</v>
      </c>
      <c r="B29" s="3" t="s">
        <v>298</v>
      </c>
      <c r="D29" s="14">
        <v>3.7245498587203018E-5</v>
      </c>
      <c r="E29" s="14">
        <v>2.3654100239604967E-6</v>
      </c>
      <c r="F29" s="14">
        <v>3.9495535558749445E-8</v>
      </c>
      <c r="G29" s="14">
        <v>1.2429211053652957E-8</v>
      </c>
      <c r="H29" s="14">
        <v>0</v>
      </c>
      <c r="I29" s="14">
        <v>2.0679410861729238E-8</v>
      </c>
      <c r="J29" s="14">
        <v>3.1648723136235584E-7</v>
      </c>
      <c r="K29" s="14">
        <v>0</v>
      </c>
    </row>
    <row r="30" spans="1:13">
      <c r="A30" s="2" t="s">
        <v>401</v>
      </c>
      <c r="B30" s="3" t="s">
        <v>402</v>
      </c>
      <c r="D30" s="14">
        <v>3.5793930896447133E-5</v>
      </c>
      <c r="E30" s="14">
        <v>4.7178272646760178E-7</v>
      </c>
      <c r="F30" s="14">
        <v>1.7032704432764759E-6</v>
      </c>
      <c r="G30" s="14">
        <v>3.6072742825953732E-7</v>
      </c>
      <c r="H30" s="14">
        <v>0</v>
      </c>
      <c r="I30" s="14">
        <v>6.3014851023172789E-7</v>
      </c>
      <c r="J30" s="14">
        <v>1.040139995317528E-6</v>
      </c>
      <c r="K30" s="14">
        <v>0</v>
      </c>
    </row>
    <row r="31" spans="1:13">
      <c r="A31" s="2" t="s">
        <v>299</v>
      </c>
      <c r="B31" s="3" t="s">
        <v>300</v>
      </c>
      <c r="D31" s="14">
        <v>3.9910664389610719E-5</v>
      </c>
      <c r="E31" s="14">
        <v>1.7906124429393729E-8</v>
      </c>
      <c r="F31" s="14">
        <v>2.8324560015605479E-8</v>
      </c>
      <c r="G31" s="14">
        <v>6.3746849772848012E-9</v>
      </c>
      <c r="H31" s="14">
        <v>0</v>
      </c>
      <c r="I31" s="14">
        <v>1.105164001725692E-8</v>
      </c>
      <c r="J31" s="14">
        <v>2.5678600949742984E-8</v>
      </c>
      <c r="K31" s="14">
        <v>0</v>
      </c>
    </row>
    <row r="32" spans="1:13">
      <c r="A32" s="2" t="s">
        <v>343</v>
      </c>
      <c r="B32" s="3" t="s">
        <v>344</v>
      </c>
      <c r="D32" s="14">
        <v>7.4579804359361735E-8</v>
      </c>
      <c r="E32" s="14">
        <v>2.1346854027293714E-5</v>
      </c>
      <c r="F32" s="14">
        <v>4.5676777273713084E-6</v>
      </c>
      <c r="G32" s="14">
        <v>1.1912173493714666E-6</v>
      </c>
      <c r="H32" s="14">
        <v>0</v>
      </c>
      <c r="I32" s="14">
        <v>2.0276287499873061E-6</v>
      </c>
      <c r="J32" s="14">
        <v>1.0792042341616842E-5</v>
      </c>
      <c r="K32" s="14">
        <v>0</v>
      </c>
    </row>
    <row r="33" spans="1:11">
      <c r="A33" s="2" t="s">
        <v>345</v>
      </c>
      <c r="B33" s="3" t="s">
        <v>346</v>
      </c>
      <c r="D33" s="14">
        <v>3.2578912373293291E-9</v>
      </c>
      <c r="E33" s="14">
        <v>2.7668729791597711E-5</v>
      </c>
      <c r="F33" s="14">
        <v>2.232599362800242E-6</v>
      </c>
      <c r="G33" s="14">
        <v>6.256138458869583E-7</v>
      </c>
      <c r="H33" s="14">
        <v>0</v>
      </c>
      <c r="I33" s="14">
        <v>1.0554799224538137E-6</v>
      </c>
      <c r="J33" s="14">
        <v>8.4143191860239498E-6</v>
      </c>
      <c r="K33" s="14">
        <v>0</v>
      </c>
    </row>
    <row r="34" spans="1:11">
      <c r="A34" s="2" t="s">
        <v>347</v>
      </c>
      <c r="B34" s="3" t="s">
        <v>348</v>
      </c>
      <c r="D34" s="14">
        <v>2.4999264718506866E-9</v>
      </c>
      <c r="E34" s="14">
        <v>6.0092445173361658E-6</v>
      </c>
      <c r="F34" s="14">
        <v>1.4541240260821907E-5</v>
      </c>
      <c r="G34" s="14">
        <v>3.1717358103044225E-6</v>
      </c>
      <c r="H34" s="14">
        <v>0</v>
      </c>
      <c r="I34" s="14">
        <v>5.5202987658613274E-6</v>
      </c>
      <c r="J34" s="14">
        <v>1.0754980719204332E-5</v>
      </c>
      <c r="K34" s="14">
        <v>0</v>
      </c>
    </row>
    <row r="35" spans="1:11">
      <c r="A35" s="2" t="s">
        <v>349</v>
      </c>
      <c r="B35" s="3" t="s">
        <v>350</v>
      </c>
      <c r="D35" s="14">
        <v>4.3445958978947825E-7</v>
      </c>
      <c r="E35" s="14">
        <v>6.8005185309360159E-7</v>
      </c>
      <c r="F35" s="14">
        <v>2.2731264880544446E-5</v>
      </c>
      <c r="G35" s="14">
        <v>4.0861956588822721E-6</v>
      </c>
      <c r="H35" s="14">
        <v>0</v>
      </c>
      <c r="I35" s="14">
        <v>7.2857833826066491E-6</v>
      </c>
      <c r="J35" s="14">
        <v>4.782244635083553E-6</v>
      </c>
      <c r="K35" s="14">
        <v>0</v>
      </c>
    </row>
    <row r="36" spans="1:11">
      <c r="A36" s="2" t="s">
        <v>351</v>
      </c>
      <c r="B36" s="3" t="s">
        <v>352</v>
      </c>
      <c r="D36" s="14">
        <v>9.6222110379916341E-9</v>
      </c>
      <c r="E36" s="14">
        <v>1.235741176993938E-7</v>
      </c>
      <c r="F36" s="14">
        <v>1.5934890837589768E-5</v>
      </c>
      <c r="G36" s="14">
        <v>7.3560495852641542E-6</v>
      </c>
      <c r="H36" s="14">
        <v>0</v>
      </c>
      <c r="I36" s="14">
        <v>1.3418262047228915E-5</v>
      </c>
      <c r="J36" s="14">
        <v>3.1576012011797854E-6</v>
      </c>
      <c r="K36" s="14">
        <v>0</v>
      </c>
    </row>
    <row r="37" spans="1:11">
      <c r="A37" s="2" t="s">
        <v>353</v>
      </c>
      <c r="B37" s="3" t="s">
        <v>354</v>
      </c>
      <c r="D37" s="14">
        <v>4.5324301309641307E-8</v>
      </c>
      <c r="E37" s="14">
        <v>1.3120904018732421E-8</v>
      </c>
      <c r="F37" s="14">
        <v>4.6591354124501973E-6</v>
      </c>
      <c r="G37" s="14">
        <v>1.1740886461073979E-5</v>
      </c>
      <c r="H37" s="14">
        <v>0</v>
      </c>
      <c r="I37" s="14">
        <v>2.2001203826069302E-5</v>
      </c>
      <c r="J37" s="14">
        <v>1.5403290950781543E-6</v>
      </c>
      <c r="K37" s="14">
        <v>0</v>
      </c>
    </row>
    <row r="38" spans="1:11">
      <c r="A38" s="2" t="s">
        <v>355</v>
      </c>
      <c r="B38" s="3" t="s">
        <v>356</v>
      </c>
      <c r="D38" s="14">
        <v>3.1226713000224604E-9</v>
      </c>
      <c r="E38" s="14">
        <v>5.8973772799621148E-8</v>
      </c>
      <c r="F38" s="14">
        <v>1.0939575920667025E-5</v>
      </c>
      <c r="G38" s="14">
        <v>9.2874404472884495E-6</v>
      </c>
      <c r="H38" s="14">
        <v>0</v>
      </c>
      <c r="I38" s="14">
        <v>1.7105881520080587E-5</v>
      </c>
      <c r="J38" s="14">
        <v>2.6050056678642908E-6</v>
      </c>
      <c r="K38" s="14">
        <v>0</v>
      </c>
    </row>
    <row r="39" spans="1:11">
      <c r="A39" s="2" t="s">
        <v>357</v>
      </c>
      <c r="B39" s="3" t="s">
        <v>358</v>
      </c>
      <c r="D39" s="14">
        <v>7.0526207082211472E-7</v>
      </c>
      <c r="E39" s="14">
        <v>9.9147819752114939E-8</v>
      </c>
      <c r="F39" s="14">
        <v>1.4184849845003349E-5</v>
      </c>
      <c r="G39" s="14">
        <v>7.7932803273746671E-6</v>
      </c>
      <c r="H39" s="14">
        <v>0</v>
      </c>
      <c r="I39" s="14">
        <v>1.4255133401758447E-5</v>
      </c>
      <c r="J39" s="14">
        <v>2.9623265352893094E-6</v>
      </c>
      <c r="K39" s="14">
        <v>0</v>
      </c>
    </row>
    <row r="40" spans="1:11">
      <c r="A40" s="2" t="s">
        <v>359</v>
      </c>
      <c r="B40" s="3" t="s">
        <v>360</v>
      </c>
      <c r="D40" s="14">
        <v>3.1226713000224604E-9</v>
      </c>
      <c r="E40" s="14">
        <v>5.8973772799621148E-8</v>
      </c>
      <c r="F40" s="14">
        <v>1.0939575920667025E-5</v>
      </c>
      <c r="G40" s="14">
        <v>9.2874404472884495E-6</v>
      </c>
      <c r="H40" s="14">
        <v>0</v>
      </c>
      <c r="I40" s="14">
        <v>1.7105881520080587E-5</v>
      </c>
      <c r="J40" s="14">
        <v>2.6050056678642908E-6</v>
      </c>
      <c r="K40" s="14">
        <v>0</v>
      </c>
    </row>
    <row r="41" spans="1:11">
      <c r="A41" s="2" t="s">
        <v>313</v>
      </c>
      <c r="B41" s="3" t="s">
        <v>314</v>
      </c>
      <c r="D41" s="14">
        <v>2.2407140091499782E-12</v>
      </c>
      <c r="E41" s="14">
        <v>3.8099272090971453E-5</v>
      </c>
      <c r="F41" s="14">
        <v>1.8183532312160367E-6</v>
      </c>
      <c r="G41" s="14">
        <v>4.3271186371953499E-10</v>
      </c>
      <c r="H41" s="14">
        <v>0</v>
      </c>
      <c r="I41" s="14">
        <v>7.4740074428370869E-8</v>
      </c>
      <c r="J41" s="14">
        <v>7.1996508064059624E-9</v>
      </c>
      <c r="K41" s="14">
        <v>0</v>
      </c>
    </row>
    <row r="42" spans="1:11">
      <c r="A42" s="2" t="s">
        <v>315</v>
      </c>
      <c r="B42" s="3" t="s">
        <v>316</v>
      </c>
      <c r="D42" s="14">
        <v>6.4602830166104608E-8</v>
      </c>
      <c r="E42" s="14">
        <v>1.1791910787771521E-8</v>
      </c>
      <c r="F42" s="14">
        <v>4.3724591342577278E-6</v>
      </c>
      <c r="G42" s="14">
        <v>1.1847352612648063E-5</v>
      </c>
      <c r="H42" s="14">
        <v>0</v>
      </c>
      <c r="I42" s="14">
        <v>2.2226271549746976E-5</v>
      </c>
      <c r="J42" s="14">
        <v>1.4775219623933554E-6</v>
      </c>
      <c r="K42" s="14">
        <v>0</v>
      </c>
    </row>
    <row r="43" spans="1:11">
      <c r="A43" s="2" t="s">
        <v>317</v>
      </c>
      <c r="B43" s="3" t="s">
        <v>318</v>
      </c>
      <c r="D43" s="14">
        <v>1.6012313831561641E-16</v>
      </c>
      <c r="E43" s="14">
        <v>1.2831774945589524E-5</v>
      </c>
      <c r="F43" s="14">
        <v>9.1186030049021076E-6</v>
      </c>
      <c r="G43" s="14">
        <v>2.1768267401749314E-6</v>
      </c>
      <c r="H43" s="14">
        <v>0</v>
      </c>
      <c r="I43" s="14">
        <v>3.7462667409028309E-6</v>
      </c>
      <c r="J43" s="14">
        <v>1.2126528568270487E-5</v>
      </c>
      <c r="K43" s="14">
        <v>0</v>
      </c>
    </row>
    <row r="44" spans="1:11">
      <c r="A44" s="2" t="s">
        <v>307</v>
      </c>
      <c r="B44" s="3" t="s">
        <v>308</v>
      </c>
      <c r="D44" s="14">
        <v>3.5539783694897794E-9</v>
      </c>
      <c r="E44" s="14">
        <v>2.0477994442663387E-7</v>
      </c>
      <c r="F44" s="14">
        <v>2.0016539371380295E-5</v>
      </c>
      <c r="G44" s="14">
        <v>5.8087749448837534E-6</v>
      </c>
      <c r="H44" s="14">
        <v>0</v>
      </c>
      <c r="I44" s="14">
        <v>1.0518114177528553E-5</v>
      </c>
      <c r="J44" s="14">
        <v>3.4482375834112755E-6</v>
      </c>
      <c r="K44" s="14">
        <v>0</v>
      </c>
    </row>
    <row r="45" spans="1:11">
      <c r="A45" s="2" t="s">
        <v>319</v>
      </c>
      <c r="B45" s="3" t="s">
        <v>320</v>
      </c>
      <c r="D45" s="14">
        <v>1.9330332988803013E-10</v>
      </c>
      <c r="E45" s="14">
        <v>4.8429721981176638E-9</v>
      </c>
      <c r="F45" s="14">
        <v>2.5610234213362317E-6</v>
      </c>
      <c r="G45" s="14">
        <v>1.2577928036221416E-5</v>
      </c>
      <c r="H45" s="14">
        <v>0</v>
      </c>
      <c r="I45" s="14">
        <v>2.3820579901059791E-5</v>
      </c>
      <c r="J45" s="14">
        <v>1.0354323658545631E-6</v>
      </c>
      <c r="K45" s="14">
        <v>0</v>
      </c>
    </row>
    <row r="46" spans="1:11">
      <c r="A46" s="2" t="s">
        <v>321</v>
      </c>
      <c r="B46" s="3" t="s">
        <v>322</v>
      </c>
      <c r="D46" s="14">
        <v>3.0589236100882853E-10</v>
      </c>
      <c r="E46" s="14">
        <v>1.0388223197119762E-8</v>
      </c>
      <c r="F46" s="14">
        <v>4.0573534894383765E-6</v>
      </c>
      <c r="G46" s="14">
        <v>1.199329184195535E-5</v>
      </c>
      <c r="H46" s="14">
        <v>0</v>
      </c>
      <c r="I46" s="14">
        <v>2.2531152033185644E-5</v>
      </c>
      <c r="J46" s="14">
        <v>1.407508519862508E-6</v>
      </c>
      <c r="K46" s="14">
        <v>0</v>
      </c>
    </row>
    <row r="47" spans="1:11">
      <c r="A47" s="2" t="s">
        <v>323</v>
      </c>
      <c r="B47" s="3" t="s">
        <v>324</v>
      </c>
      <c r="D47" s="14">
        <v>3.2517277635714634E-9</v>
      </c>
      <c r="E47" s="14">
        <v>2.6045147400759669E-8</v>
      </c>
      <c r="F47" s="14">
        <v>6.9500574408515573E-6</v>
      </c>
      <c r="G47" s="14">
        <v>1.0851354444302986E-5</v>
      </c>
      <c r="H47" s="14">
        <v>0</v>
      </c>
      <c r="I47" s="14">
        <v>2.018046619677019E-5</v>
      </c>
      <c r="J47" s="14">
        <v>1.9888250429109462E-6</v>
      </c>
      <c r="K47" s="14">
        <v>0</v>
      </c>
    </row>
    <row r="48" spans="1:11">
      <c r="A48" s="2" t="s">
        <v>325</v>
      </c>
      <c r="B48" s="3" t="s">
        <v>326</v>
      </c>
      <c r="D48" s="14">
        <v>3.367434624601316E-9</v>
      </c>
      <c r="E48" s="14">
        <v>1.9713866609297662E-6</v>
      </c>
      <c r="F48" s="14">
        <v>1.9841449133837775E-5</v>
      </c>
      <c r="G48" s="14">
        <v>3.8964485257613194E-6</v>
      </c>
      <c r="H48" s="14">
        <v>0</v>
      </c>
      <c r="I48" s="14">
        <v>6.8711458447206548E-6</v>
      </c>
      <c r="J48" s="14">
        <v>7.4162024001258789E-6</v>
      </c>
      <c r="K48" s="14">
        <v>0</v>
      </c>
    </row>
    <row r="49" spans="1:11">
      <c r="A49" s="2" t="s">
        <v>275</v>
      </c>
      <c r="B49" s="3" t="s">
        <v>276</v>
      </c>
      <c r="D49" s="14">
        <v>4.4844245594604513E-11</v>
      </c>
      <c r="E49" s="14">
        <v>1.8703348361093981E-7</v>
      </c>
      <c r="F49" s="14">
        <v>1.9256658882137774E-5</v>
      </c>
      <c r="G49" s="14">
        <v>6.0964426490875398E-6</v>
      </c>
      <c r="H49" s="14">
        <v>0</v>
      </c>
      <c r="I49" s="14">
        <v>1.1054255538000554E-5</v>
      </c>
      <c r="J49" s="14">
        <v>3.4055646029175978E-6</v>
      </c>
      <c r="K49" s="14">
        <v>0</v>
      </c>
    </row>
    <row r="50" spans="1:11">
      <c r="A50" s="2" t="s">
        <v>327</v>
      </c>
      <c r="B50" s="3" t="s">
        <v>328</v>
      </c>
      <c r="D50" s="14">
        <v>2.2638934010400791E-9</v>
      </c>
      <c r="E50" s="14">
        <v>1.6012849214737092E-7</v>
      </c>
      <c r="F50" s="14">
        <v>1.7977536883918495E-5</v>
      </c>
      <c r="G50" s="14">
        <v>6.5799977305488406E-6</v>
      </c>
      <c r="H50" s="14">
        <v>0</v>
      </c>
      <c r="I50" s="14">
        <v>1.1958541508282208E-5</v>
      </c>
      <c r="J50" s="14">
        <v>3.3215314917020462E-6</v>
      </c>
      <c r="K50" s="14">
        <v>0</v>
      </c>
    </row>
    <row r="51" spans="1:11">
      <c r="A51" s="2" t="s">
        <v>329</v>
      </c>
      <c r="B51" s="3" t="s">
        <v>330</v>
      </c>
      <c r="D51" s="14">
        <v>1.7474108064733824E-9</v>
      </c>
      <c r="E51" s="14">
        <v>1.2548957768241696E-6</v>
      </c>
      <c r="F51" s="14">
        <v>2.135350800114323E-5</v>
      </c>
      <c r="G51" s="14">
        <v>4.0342683905310985E-6</v>
      </c>
      <c r="H51" s="14">
        <v>0</v>
      </c>
      <c r="I51" s="14">
        <v>7.1486422680676831E-6</v>
      </c>
      <c r="J51" s="14">
        <v>6.2069381526273568E-6</v>
      </c>
      <c r="K51" s="14">
        <v>0</v>
      </c>
    </row>
    <row r="52" spans="1:11">
      <c r="A52" s="2" t="s">
        <v>277</v>
      </c>
      <c r="B52" s="3" t="s">
        <v>278</v>
      </c>
      <c r="D52" s="14">
        <v>5.2364535391994832E-9</v>
      </c>
      <c r="E52" s="14">
        <v>1.8896870860154294E-6</v>
      </c>
      <c r="F52" s="14">
        <v>1.9994542411802026E-5</v>
      </c>
      <c r="G52" s="14">
        <v>3.9120736723030375E-6</v>
      </c>
      <c r="H52" s="14">
        <v>0</v>
      </c>
      <c r="I52" s="14">
        <v>6.9018752194680983E-6</v>
      </c>
      <c r="J52" s="14">
        <v>7.2965851568722081E-6</v>
      </c>
      <c r="K52" s="14">
        <v>0</v>
      </c>
    </row>
    <row r="53" spans="1:11">
      <c r="A53" s="2" t="s">
        <v>331</v>
      </c>
      <c r="B53" s="3" t="s">
        <v>332</v>
      </c>
      <c r="D53" s="14">
        <v>1.3606618704143987E-9</v>
      </c>
      <c r="E53" s="14">
        <v>9.5830301685993679E-8</v>
      </c>
      <c r="F53" s="14">
        <v>1.4070982719737121E-5</v>
      </c>
      <c r="G53" s="14">
        <v>8.0745808057686573E-6</v>
      </c>
      <c r="H53" s="14">
        <v>0</v>
      </c>
      <c r="I53" s="14">
        <v>1.4779876830553122E-5</v>
      </c>
      <c r="J53" s="14">
        <v>2.977368680384694E-6</v>
      </c>
      <c r="K53" s="14">
        <v>0</v>
      </c>
    </row>
    <row r="54" spans="1:11">
      <c r="A54" s="2" t="s">
        <v>333</v>
      </c>
      <c r="B54" s="3" t="s">
        <v>334</v>
      </c>
      <c r="D54" s="14">
        <v>2.5036196439336771E-12</v>
      </c>
      <c r="E54" s="14">
        <v>1.7317332315070391E-7</v>
      </c>
      <c r="F54" s="14">
        <v>1.861840895342717E-5</v>
      </c>
      <c r="G54" s="14">
        <v>6.3377940247717589E-6</v>
      </c>
      <c r="H54" s="14">
        <v>0</v>
      </c>
      <c r="I54" s="14">
        <v>1.150511223380003E-5</v>
      </c>
      <c r="J54" s="14">
        <v>3.3655089612306937E-6</v>
      </c>
      <c r="K54" s="14">
        <v>0</v>
      </c>
    </row>
    <row r="55" spans="1:11">
      <c r="A55" s="2" t="s">
        <v>335</v>
      </c>
      <c r="B55" s="3" t="s">
        <v>336</v>
      </c>
      <c r="D55" s="14">
        <v>8.5013648041093671E-9</v>
      </c>
      <c r="E55" s="14">
        <v>2.7115729525882618E-8</v>
      </c>
      <c r="F55" s="14">
        <v>7.1115270710662812E-6</v>
      </c>
      <c r="G55" s="14">
        <v>1.0785950502653716E-5</v>
      </c>
      <c r="H55" s="14">
        <v>0</v>
      </c>
      <c r="I55" s="14">
        <v>2.0049602707598077E-5</v>
      </c>
      <c r="J55" s="14">
        <v>2.0173026243519332E-6</v>
      </c>
      <c r="K55" s="14">
        <v>0</v>
      </c>
    </row>
    <row r="56" spans="1:11">
      <c r="A56" s="2" t="s">
        <v>337</v>
      </c>
      <c r="B56" s="3" t="s">
        <v>338</v>
      </c>
      <c r="D56" s="14">
        <v>9.0743407321408055E-10</v>
      </c>
      <c r="E56" s="14">
        <v>1.9873196334339976E-7</v>
      </c>
      <c r="F56" s="14">
        <v>1.976465770677766E-5</v>
      </c>
      <c r="G56" s="14">
        <v>5.9045234642948348E-6</v>
      </c>
      <c r="H56" s="14">
        <v>0</v>
      </c>
      <c r="I56" s="14">
        <v>1.0696410836626885E-5</v>
      </c>
      <c r="J56" s="14">
        <v>3.4347685948840054E-6</v>
      </c>
      <c r="K56" s="14">
        <v>0</v>
      </c>
    </row>
    <row r="57" spans="1:11">
      <c r="A57" s="2" t="s">
        <v>279</v>
      </c>
      <c r="B57" s="3" t="s">
        <v>280</v>
      </c>
      <c r="D57" s="14">
        <v>1.0171102004685503E-7</v>
      </c>
      <c r="E57" s="14">
        <v>2.3734530781698365E-6</v>
      </c>
      <c r="F57" s="14">
        <v>1.9074019606142133E-5</v>
      </c>
      <c r="G57" s="14">
        <v>3.8083581151492197E-6</v>
      </c>
      <c r="H57" s="14">
        <v>0</v>
      </c>
      <c r="I57" s="14">
        <v>6.7019113641335503E-6</v>
      </c>
      <c r="J57" s="14">
        <v>7.9405468163584068E-6</v>
      </c>
      <c r="K57" s="14">
        <v>0</v>
      </c>
    </row>
    <row r="58" spans="1:11">
      <c r="A58" s="2" t="s">
        <v>339</v>
      </c>
      <c r="B58" s="3" t="s">
        <v>340</v>
      </c>
      <c r="D58" s="14">
        <v>8.7473138482200342E-12</v>
      </c>
      <c r="E58" s="14">
        <v>1.7050116452952054E-7</v>
      </c>
      <c r="F58" s="14">
        <v>1.8490511447672686E-5</v>
      </c>
      <c r="G58" s="14">
        <v>6.3862288778596228E-6</v>
      </c>
      <c r="H58" s="14">
        <v>0</v>
      </c>
      <c r="I58" s="14">
        <v>1.1595705172414612E-5</v>
      </c>
      <c r="J58" s="14">
        <v>3.357044590209716E-6</v>
      </c>
      <c r="K58" s="14">
        <v>0</v>
      </c>
    </row>
    <row r="59" spans="1:11">
      <c r="A59" s="2" t="s">
        <v>281</v>
      </c>
      <c r="B59" s="3" t="s">
        <v>282</v>
      </c>
      <c r="D59" s="14">
        <v>7.9265737755726735E-10</v>
      </c>
      <c r="E59" s="14">
        <v>1.8898970481073362E-6</v>
      </c>
      <c r="F59" s="14">
        <v>1.9996763994402965E-5</v>
      </c>
      <c r="G59" s="14">
        <v>3.9125083406552787E-6</v>
      </c>
      <c r="H59" s="14">
        <v>0</v>
      </c>
      <c r="I59" s="14">
        <v>6.9026420830244429E-6</v>
      </c>
      <c r="J59" s="14">
        <v>7.2973958764324218E-6</v>
      </c>
      <c r="K59" s="14">
        <v>0</v>
      </c>
    </row>
    <row r="60" spans="1:11">
      <c r="A60" s="2" t="s">
        <v>341</v>
      </c>
      <c r="B60" s="3" t="s">
        <v>342</v>
      </c>
      <c r="D60" s="14">
        <v>1.1748723644722229E-8</v>
      </c>
      <c r="E60" s="14">
        <v>1.1175921148103618E-7</v>
      </c>
      <c r="F60" s="14">
        <v>1.5179759932986354E-5</v>
      </c>
      <c r="G60" s="14">
        <v>7.6447002028556222E-6</v>
      </c>
      <c r="H60" s="14">
        <v>0</v>
      </c>
      <c r="I60" s="14">
        <v>1.3964061810045797E-5</v>
      </c>
      <c r="J60" s="14">
        <v>3.0879701189864759E-6</v>
      </c>
      <c r="K60" s="14">
        <v>0</v>
      </c>
    </row>
    <row r="61" spans="1:11">
      <c r="A61" s="2" t="s">
        <v>483</v>
      </c>
      <c r="B61" s="3" t="s">
        <v>484</v>
      </c>
      <c r="D61" s="14">
        <v>2.4012340241739256E-18</v>
      </c>
      <c r="E61" s="14">
        <v>8.7170109617373583E-6</v>
      </c>
      <c r="F61" s="14">
        <v>1.4042081748925145E-5</v>
      </c>
      <c r="G61" s="14">
        <v>2.3396403038483147E-6</v>
      </c>
      <c r="H61" s="14">
        <v>0</v>
      </c>
      <c r="I61" s="14">
        <v>8.7429544636497925E-6</v>
      </c>
      <c r="J61" s="14">
        <v>6.1583125218369888E-6</v>
      </c>
      <c r="K61" s="14">
        <v>0</v>
      </c>
    </row>
    <row r="62" spans="1:11">
      <c r="A62" s="2" t="s">
        <v>485</v>
      </c>
      <c r="B62" s="3" t="s">
        <v>486</v>
      </c>
      <c r="D62" s="14">
        <v>7.1140427913191113E-12</v>
      </c>
      <c r="E62" s="14">
        <v>6.4453887057336738E-6</v>
      </c>
      <c r="F62" s="14">
        <v>1.4112068896182018E-5</v>
      </c>
      <c r="G62" s="14">
        <v>3.1008891641719455E-6</v>
      </c>
      <c r="H62" s="14">
        <v>0</v>
      </c>
      <c r="I62" s="14">
        <v>5.3920304950644969E-6</v>
      </c>
      <c r="J62" s="14">
        <v>1.0949615624805082E-5</v>
      </c>
      <c r="K62" s="14">
        <v>0</v>
      </c>
    </row>
    <row r="63" spans="1:11">
      <c r="A63" s="2" t="s">
        <v>487</v>
      </c>
      <c r="B63" s="3" t="s">
        <v>488</v>
      </c>
      <c r="D63" s="14">
        <v>2.7576043631710116E-17</v>
      </c>
      <c r="E63" s="14">
        <v>3.5556522809740137E-5</v>
      </c>
      <c r="F63" s="14">
        <v>1.2299180300227317E-6</v>
      </c>
      <c r="G63" s="14">
        <v>1.6228296004647674E-7</v>
      </c>
      <c r="H63" s="14">
        <v>0</v>
      </c>
      <c r="I63" s="14">
        <v>1.509343029669115E-6</v>
      </c>
      <c r="J63" s="14">
        <v>1.5419331704939706E-6</v>
      </c>
      <c r="K63" s="14">
        <v>0</v>
      </c>
    </row>
    <row r="64" spans="1:11">
      <c r="A64" s="2" t="s">
        <v>489</v>
      </c>
      <c r="B64" s="3" t="s">
        <v>490</v>
      </c>
      <c r="D64" s="14">
        <v>5.2713551691921114E-19</v>
      </c>
      <c r="E64" s="14">
        <v>3.9303317400619547E-5</v>
      </c>
      <c r="F64" s="14">
        <v>4.8612816413342927E-7</v>
      </c>
      <c r="G64" s="14">
        <v>6.0357069267605661E-9</v>
      </c>
      <c r="H64" s="14">
        <v>0</v>
      </c>
      <c r="I64" s="14">
        <v>3.0962271918205685E-8</v>
      </c>
      <c r="J64" s="14">
        <v>1.7355645640153185E-7</v>
      </c>
      <c r="K64" s="14">
        <v>0</v>
      </c>
    </row>
    <row r="65" spans="1:11">
      <c r="A65" s="2" t="s">
        <v>491</v>
      </c>
      <c r="B65" s="3" t="s">
        <v>492</v>
      </c>
      <c r="D65" s="14">
        <v>8.768968611511463E-17</v>
      </c>
      <c r="E65" s="14">
        <v>3.9721650367523333E-5</v>
      </c>
      <c r="F65" s="14">
        <v>6.3570373716103275E-8</v>
      </c>
      <c r="G65" s="14">
        <v>2.8274718186578802E-9</v>
      </c>
      <c r="H65" s="14">
        <v>0</v>
      </c>
      <c r="I65" s="14">
        <v>1.3470313380361554E-7</v>
      </c>
      <c r="J65" s="14">
        <v>7.7248653050596234E-8</v>
      </c>
      <c r="K65" s="14">
        <v>0</v>
      </c>
    </row>
    <row r="66" spans="1:11">
      <c r="A66" s="2" t="s">
        <v>493</v>
      </c>
      <c r="B66" s="3" t="s">
        <v>494</v>
      </c>
      <c r="D66" s="14">
        <v>8.8051514489037895E-16</v>
      </c>
      <c r="E66" s="14">
        <v>2.3612435523030838E-5</v>
      </c>
      <c r="F66" s="14">
        <v>6.1498990532792871E-6</v>
      </c>
      <c r="G66" s="14">
        <v>1.5412774557020404E-7</v>
      </c>
      <c r="H66" s="14">
        <v>0</v>
      </c>
      <c r="I66" s="14">
        <v>9.5539797707748687E-6</v>
      </c>
      <c r="J66" s="14">
        <v>5.2955790646429207E-7</v>
      </c>
      <c r="K66" s="14">
        <v>0</v>
      </c>
    </row>
    <row r="67" spans="1:11">
      <c r="A67" s="2" t="s">
        <v>495</v>
      </c>
      <c r="B67" s="3" t="s">
        <v>496</v>
      </c>
      <c r="D67" s="14">
        <v>6.8542825104333791E-17</v>
      </c>
      <c r="E67" s="14">
        <v>3.9744280605765821E-5</v>
      </c>
      <c r="F67" s="14">
        <v>5.3634713507825595E-8</v>
      </c>
      <c r="G67" s="14">
        <v>2.9319792957154822E-9</v>
      </c>
      <c r="H67" s="14">
        <v>0</v>
      </c>
      <c r="I67" s="14">
        <v>1.1224194494973395E-7</v>
      </c>
      <c r="J67" s="14">
        <v>8.6910756412360671E-8</v>
      </c>
      <c r="K67" s="14">
        <v>0</v>
      </c>
    </row>
    <row r="68" spans="1:11">
      <c r="A68" s="2" t="s">
        <v>497</v>
      </c>
      <c r="B68" s="3" t="s">
        <v>498</v>
      </c>
      <c r="D68" s="14">
        <v>6.2191175755032613E-16</v>
      </c>
      <c r="E68" s="14">
        <v>3.9942719779513374E-5</v>
      </c>
      <c r="F68" s="14">
        <v>6.3997907748358701E-9</v>
      </c>
      <c r="G68" s="14">
        <v>4.9377813148376357E-10</v>
      </c>
      <c r="H68" s="14">
        <v>0</v>
      </c>
      <c r="I68" s="14">
        <v>1.515569054068315E-8</v>
      </c>
      <c r="J68" s="14">
        <v>3.523096041771406E-8</v>
      </c>
      <c r="K68" s="14">
        <v>0</v>
      </c>
    </row>
    <row r="69" spans="1:11">
      <c r="A69" s="2" t="s">
        <v>499</v>
      </c>
      <c r="B69" s="3" t="s">
        <v>500</v>
      </c>
      <c r="D69" s="14">
        <v>2.3253344367454025E-16</v>
      </c>
      <c r="E69" s="14">
        <v>2.3150270176926604E-7</v>
      </c>
      <c r="F69" s="14">
        <v>2.1059576729566911E-5</v>
      </c>
      <c r="G69" s="14">
        <v>5.4182020161474174E-6</v>
      </c>
      <c r="H69" s="14">
        <v>0</v>
      </c>
      <c r="I69" s="14">
        <v>9.7921706545916564E-6</v>
      </c>
      <c r="J69" s="14">
        <v>3.4985478976922208E-6</v>
      </c>
      <c r="K69" s="14">
        <v>0</v>
      </c>
    </row>
    <row r="70" spans="1:11">
      <c r="A70" s="2" t="s">
        <v>501</v>
      </c>
      <c r="B70" s="3" t="s">
        <v>411</v>
      </c>
      <c r="D70" s="14">
        <v>1.1137977856977692E-17</v>
      </c>
      <c r="E70" s="14">
        <v>3.8738160191576395E-5</v>
      </c>
      <c r="F70" s="14">
        <v>1.2085943650470137E-6</v>
      </c>
      <c r="G70" s="14">
        <v>1.1486195112663126E-10</v>
      </c>
      <c r="H70" s="14">
        <v>0</v>
      </c>
      <c r="I70" s="14">
        <v>5.0860252293256492E-8</v>
      </c>
      <c r="J70" s="14">
        <v>2.2703291210723273E-9</v>
      </c>
      <c r="K70" s="14">
        <v>0</v>
      </c>
    </row>
    <row r="71" spans="1:11">
      <c r="A71" s="2" t="s">
        <v>502</v>
      </c>
      <c r="B71" s="3" t="s">
        <v>412</v>
      </c>
      <c r="D71" s="14">
        <v>5.082216226010636E-13</v>
      </c>
      <c r="E71" s="14">
        <v>3.7655308784312292E-5</v>
      </c>
      <c r="F71" s="14">
        <v>2.2507527405381418E-6</v>
      </c>
      <c r="G71" s="14">
        <v>2.0454746498271726E-10</v>
      </c>
      <c r="H71" s="14">
        <v>0</v>
      </c>
      <c r="I71" s="14">
        <v>9.0626666422197207E-8</v>
      </c>
      <c r="J71" s="14">
        <v>3.1067530407755519E-9</v>
      </c>
      <c r="K71" s="14">
        <v>0</v>
      </c>
    </row>
    <row r="72" spans="1:11">
      <c r="A72" s="2" t="s">
        <v>503</v>
      </c>
      <c r="B72" s="3" t="s">
        <v>413</v>
      </c>
      <c r="D72" s="14">
        <v>5.6370105467766847E-15</v>
      </c>
      <c r="E72" s="14">
        <v>1.2733902190486571E-7</v>
      </c>
      <c r="F72" s="14">
        <v>3.2540414751441175E-5</v>
      </c>
      <c r="G72" s="14">
        <v>1.4944708320442042E-8</v>
      </c>
      <c r="H72" s="14">
        <v>0</v>
      </c>
      <c r="I72" s="14">
        <v>7.3144201357721837E-6</v>
      </c>
      <c r="J72" s="14">
        <v>2.8813769243261386E-9</v>
      </c>
      <c r="K72" s="14">
        <v>0</v>
      </c>
    </row>
    <row r="73" spans="1:11">
      <c r="A73" s="2" t="s">
        <v>504</v>
      </c>
      <c r="B73" s="3" t="s">
        <v>414</v>
      </c>
      <c r="D73" s="14">
        <v>8.7772572609921565E-15</v>
      </c>
      <c r="E73" s="14">
        <v>1.4076396454718361E-6</v>
      </c>
      <c r="F73" s="14">
        <v>3.7569296633913009E-5</v>
      </c>
      <c r="G73" s="14">
        <v>2.1716879597244794E-9</v>
      </c>
      <c r="H73" s="14">
        <v>0</v>
      </c>
      <c r="I73" s="14">
        <v>1.0181077621732678E-6</v>
      </c>
      <c r="J73" s="14">
        <v>2.7842617049088936E-9</v>
      </c>
      <c r="K73" s="14">
        <v>0</v>
      </c>
    </row>
    <row r="74" spans="1:11">
      <c r="A74" s="2" t="s">
        <v>505</v>
      </c>
      <c r="B74" s="3" t="s">
        <v>415</v>
      </c>
      <c r="D74" s="14">
        <v>6.2839979184190651E-14</v>
      </c>
      <c r="E74" s="14">
        <v>3.7865935852789676E-5</v>
      </c>
      <c r="F74" s="14">
        <v>2.0479071824366149E-6</v>
      </c>
      <c r="G74" s="14">
        <v>1.8692811578367039E-10</v>
      </c>
      <c r="H74" s="14">
        <v>0</v>
      </c>
      <c r="I74" s="14">
        <v>8.3013409992196744E-8</v>
      </c>
      <c r="J74" s="14">
        <v>2.9565638257484359E-9</v>
      </c>
      <c r="K74" s="14">
        <v>0</v>
      </c>
    </row>
    <row r="75" spans="1:11">
      <c r="A75" s="2" t="s">
        <v>506</v>
      </c>
      <c r="B75" s="3" t="s">
        <v>416</v>
      </c>
      <c r="D75" s="14">
        <v>3.7663222157353013E-14</v>
      </c>
      <c r="E75" s="14">
        <v>1.6652143098079696E-6</v>
      </c>
      <c r="F75" s="14">
        <v>3.7307118671500009E-5</v>
      </c>
      <c r="G75" s="14">
        <v>2.1845202144173005E-9</v>
      </c>
      <c r="H75" s="14">
        <v>0</v>
      </c>
      <c r="I75" s="14">
        <v>1.0224759089615685E-6</v>
      </c>
      <c r="J75" s="14">
        <v>3.006551852817693E-9</v>
      </c>
      <c r="K75" s="14">
        <v>0</v>
      </c>
    </row>
    <row r="76" spans="1:11">
      <c r="A76" s="2" t="s">
        <v>507</v>
      </c>
      <c r="B76" s="3" t="s">
        <v>417</v>
      </c>
      <c r="D76" s="14">
        <v>8.7687211520092109E-13</v>
      </c>
      <c r="E76" s="14">
        <v>1.7597433571388577E-5</v>
      </c>
      <c r="F76" s="14">
        <v>2.1677585547778744E-5</v>
      </c>
      <c r="G76" s="14">
        <v>1.5764391895766435E-9</v>
      </c>
      <c r="H76" s="14">
        <v>0</v>
      </c>
      <c r="I76" s="14">
        <v>7.1637624278102233E-7</v>
      </c>
      <c r="J76" s="14">
        <v>7.0273219899709362E-9</v>
      </c>
      <c r="K76" s="14">
        <v>0</v>
      </c>
    </row>
    <row r="77" spans="1:11">
      <c r="A77" s="2" t="s">
        <v>508</v>
      </c>
      <c r="B77" s="3" t="s">
        <v>418</v>
      </c>
      <c r="D77" s="14">
        <v>2.7173063685304152E-13</v>
      </c>
      <c r="E77" s="14">
        <v>1.4770380437961591E-6</v>
      </c>
      <c r="F77" s="14">
        <v>3.7498444759614262E-5</v>
      </c>
      <c r="G77" s="14">
        <v>2.1821247227178051E-9</v>
      </c>
      <c r="H77" s="14">
        <v>0</v>
      </c>
      <c r="I77" s="14">
        <v>1.0194798915925243E-6</v>
      </c>
      <c r="J77" s="14">
        <v>2.8549085437055575E-9</v>
      </c>
      <c r="K77" s="14">
        <v>0</v>
      </c>
    </row>
    <row r="78" spans="1:11">
      <c r="A78" s="2" t="s">
        <v>509</v>
      </c>
      <c r="B78" s="3" t="s">
        <v>419</v>
      </c>
      <c r="D78" s="14">
        <v>2.3355430420256553E-14</v>
      </c>
      <c r="E78" s="14">
        <v>1.4555279105711693E-7</v>
      </c>
      <c r="F78" s="14">
        <v>3.3524484771533611E-5</v>
      </c>
      <c r="G78" s="14">
        <v>1.2936788296431954E-8</v>
      </c>
      <c r="H78" s="14">
        <v>0</v>
      </c>
      <c r="I78" s="14">
        <v>6.3142089354341446E-6</v>
      </c>
      <c r="J78" s="14">
        <v>2.816690323266087E-9</v>
      </c>
      <c r="K78" s="14">
        <v>0</v>
      </c>
    </row>
    <row r="79" spans="1:11">
      <c r="A79" s="2" t="s">
        <v>510</v>
      </c>
      <c r="B79" s="3" t="s">
        <v>420</v>
      </c>
      <c r="D79" s="14">
        <v>5.8666200503262557E-19</v>
      </c>
      <c r="E79" s="14">
        <v>1.4555281286842838E-7</v>
      </c>
      <c r="F79" s="14">
        <v>3.3524489795229636E-5</v>
      </c>
      <c r="G79" s="14">
        <v>1.2934742914500811E-8</v>
      </c>
      <c r="H79" s="14">
        <v>0</v>
      </c>
      <c r="I79" s="14">
        <v>6.3142064039988154E-6</v>
      </c>
      <c r="J79" s="14">
        <v>2.8162449880437103E-9</v>
      </c>
      <c r="K79" s="14">
        <v>0</v>
      </c>
    </row>
    <row r="80" spans="1:11">
      <c r="A80" s="2" t="s">
        <v>511</v>
      </c>
      <c r="B80" s="3" t="s">
        <v>421</v>
      </c>
      <c r="D80" s="14">
        <v>7.6575780567531529E-14</v>
      </c>
      <c r="E80" s="14">
        <v>6.5049519777631641E-6</v>
      </c>
      <c r="F80" s="14">
        <v>3.2506160030588692E-5</v>
      </c>
      <c r="G80" s="14">
        <v>2.1258373262206259E-9</v>
      </c>
      <c r="H80" s="14">
        <v>0</v>
      </c>
      <c r="I80" s="14">
        <v>9.8138875831848812E-7</v>
      </c>
      <c r="J80" s="14">
        <v>5.3733194276623669E-9</v>
      </c>
      <c r="K80" s="14">
        <v>0</v>
      </c>
    </row>
    <row r="81" spans="1:11">
      <c r="A81" s="2" t="s">
        <v>512</v>
      </c>
      <c r="B81" s="3" t="s">
        <v>422</v>
      </c>
      <c r="D81" s="14">
        <v>1.0190459707132076E-13</v>
      </c>
      <c r="E81" s="14">
        <v>3.1959975554751121E-5</v>
      </c>
      <c r="F81" s="14">
        <v>7.7493988291673049E-6</v>
      </c>
      <c r="G81" s="14">
        <v>6.3333337087676093E-10</v>
      </c>
      <c r="H81" s="14">
        <v>0</v>
      </c>
      <c r="I81" s="14">
        <v>2.8453780569032212E-7</v>
      </c>
      <c r="J81" s="14">
        <v>5.4543751157844044E-9</v>
      </c>
      <c r="K81" s="14">
        <v>0</v>
      </c>
    </row>
    <row r="82" spans="1:11">
      <c r="A82" s="2" t="s">
        <v>513</v>
      </c>
      <c r="B82" s="3" t="s">
        <v>423</v>
      </c>
      <c r="D82" s="14">
        <v>2.5494592883259422E-17</v>
      </c>
      <c r="E82" s="14">
        <v>2.4017108597107419E-5</v>
      </c>
      <c r="F82" s="14">
        <v>1.5442666628494978E-5</v>
      </c>
      <c r="G82" s="14">
        <v>1.1744050777145532E-9</v>
      </c>
      <c r="H82" s="14">
        <v>0</v>
      </c>
      <c r="I82" s="14">
        <v>5.322374922531752E-7</v>
      </c>
      <c r="J82" s="14">
        <v>6.8128770412188814E-9</v>
      </c>
      <c r="K82" s="14">
        <v>0</v>
      </c>
    </row>
    <row r="83" spans="1:11">
      <c r="A83" s="2" t="s">
        <v>514</v>
      </c>
      <c r="B83" s="3" t="s">
        <v>424</v>
      </c>
      <c r="D83" s="14">
        <v>7.2790314923029524E-15</v>
      </c>
      <c r="E83" s="14">
        <v>8.5902590488555058E-8</v>
      </c>
      <c r="F83" s="14">
        <v>2.9211094855714177E-5</v>
      </c>
      <c r="G83" s="14">
        <v>2.1652706752145234E-8</v>
      </c>
      <c r="H83" s="14">
        <v>0</v>
      </c>
      <c r="I83" s="14">
        <v>1.0678361535431778E-5</v>
      </c>
      <c r="J83" s="14">
        <v>2.9883043343153005E-9</v>
      </c>
      <c r="K83" s="14">
        <v>0</v>
      </c>
    </row>
    <row r="84" spans="1:11">
      <c r="A84" s="2" t="s">
        <v>403</v>
      </c>
      <c r="B84" s="3" t="s">
        <v>404</v>
      </c>
      <c r="D84" s="14">
        <v>1.5935645810906812E-48</v>
      </c>
      <c r="E84" s="14">
        <v>1.0120041862987709E-5</v>
      </c>
      <c r="F84" s="14">
        <v>1.1001296846694971E-5</v>
      </c>
      <c r="G84" s="14">
        <v>2.5453027031182303E-6</v>
      </c>
      <c r="H84" s="14">
        <v>0</v>
      </c>
      <c r="I84" s="14">
        <v>4.3975438489627593E-6</v>
      </c>
      <c r="J84" s="14">
        <v>1.1935814738236336E-5</v>
      </c>
      <c r="K84" s="14">
        <v>0</v>
      </c>
    </row>
    <row r="85" spans="1:11">
      <c r="A85" s="2" t="s">
        <v>405</v>
      </c>
      <c r="B85" s="3" t="s">
        <v>406</v>
      </c>
      <c r="D85" s="14">
        <v>1.2977633603552745E-13</v>
      </c>
      <c r="E85" s="14">
        <v>4.7357582329448797E-7</v>
      </c>
      <c r="F85" s="14">
        <v>7.4432466159878026E-6</v>
      </c>
      <c r="G85" s="14">
        <v>3.8912237230700488E-7</v>
      </c>
      <c r="H85" s="14">
        <v>0</v>
      </c>
      <c r="I85" s="14">
        <v>3.1547635588287155E-5</v>
      </c>
      <c r="J85" s="14">
        <v>1.4641947034721227E-7</v>
      </c>
      <c r="K85" s="14">
        <v>0</v>
      </c>
    </row>
    <row r="86" spans="1:11">
      <c r="A86" s="2" t="s">
        <v>407</v>
      </c>
      <c r="B86" s="3" t="s">
        <v>408</v>
      </c>
      <c r="D86" s="14">
        <v>4.3783054149259562E-10</v>
      </c>
      <c r="E86" s="14">
        <v>6.036409496699992E-9</v>
      </c>
      <c r="F86" s="14">
        <v>2.9273878636865734E-6</v>
      </c>
      <c r="G86" s="14">
        <v>1.2435859976156878E-5</v>
      </c>
      <c r="H86" s="14">
        <v>0</v>
      </c>
      <c r="I86" s="14">
        <v>2.3497386066387479E-5</v>
      </c>
      <c r="J86" s="14">
        <v>1.1328918537308727E-6</v>
      </c>
      <c r="K86" s="14">
        <v>0</v>
      </c>
    </row>
    <row r="87" spans="1:11">
      <c r="A87" s="2" t="s">
        <v>409</v>
      </c>
      <c r="B87" s="3" t="s">
        <v>410</v>
      </c>
      <c r="D87" s="14">
        <v>5.0157322607501653E-11</v>
      </c>
      <c r="E87" s="14">
        <v>1.9352941614991587E-9</v>
      </c>
      <c r="F87" s="14">
        <v>1.4595149932118337E-6</v>
      </c>
      <c r="G87" s="14">
        <v>1.2992840769966112E-5</v>
      </c>
      <c r="H87" s="14">
        <v>0</v>
      </c>
      <c r="I87" s="14">
        <v>2.4839639203419088E-5</v>
      </c>
      <c r="J87" s="14">
        <v>7.0601958191886492E-7</v>
      </c>
      <c r="K87" s="14">
        <v>0</v>
      </c>
    </row>
    <row r="88" spans="1:11">
      <c r="A88" s="2" t="s">
        <v>301</v>
      </c>
      <c r="B88" s="3" t="s">
        <v>302</v>
      </c>
      <c r="D88" s="14">
        <v>5.8781113282620734E-12</v>
      </c>
      <c r="E88" s="14">
        <v>5.1543089620438015E-10</v>
      </c>
      <c r="F88" s="14">
        <v>6.4226169631894903E-7</v>
      </c>
      <c r="G88" s="14">
        <v>1.3261955837758939E-5</v>
      </c>
      <c r="H88" s="14">
        <v>0</v>
      </c>
      <c r="I88" s="14">
        <v>2.5694837057090473E-5</v>
      </c>
      <c r="J88" s="14">
        <v>4.0042409982410978E-7</v>
      </c>
      <c r="K88" s="14">
        <v>0</v>
      </c>
    </row>
    <row r="89" spans="1:11">
      <c r="A89" s="2" t="s">
        <v>303</v>
      </c>
      <c r="B89" s="3" t="s">
        <v>304</v>
      </c>
      <c r="D89" s="14">
        <v>4.7125268045335208E-19</v>
      </c>
      <c r="E89" s="14">
        <v>3.6219353955208139E-9</v>
      </c>
      <c r="F89" s="14">
        <v>4.1395281670596911E-7</v>
      </c>
      <c r="G89" s="14">
        <v>1.0766063026854161E-6</v>
      </c>
      <c r="H89" s="14">
        <v>0</v>
      </c>
      <c r="I89" s="14">
        <v>3.8460407058214753E-5</v>
      </c>
      <c r="J89" s="14">
        <v>4.5411886997870225E-8</v>
      </c>
      <c r="K89" s="14">
        <v>0</v>
      </c>
    </row>
    <row r="90" spans="1:11">
      <c r="A90" s="2" t="s">
        <v>425</v>
      </c>
      <c r="B90" s="3" t="s">
        <v>426</v>
      </c>
      <c r="D90" s="14">
        <v>6.4064463612852614E-18</v>
      </c>
      <c r="E90" s="14">
        <v>3.892618739214334E-5</v>
      </c>
      <c r="F90" s="14">
        <v>3.6642360518037317E-8</v>
      </c>
      <c r="G90" s="14">
        <v>1.2302935022944119E-8</v>
      </c>
      <c r="H90" s="14">
        <v>0</v>
      </c>
      <c r="I90" s="14">
        <v>2.0433414645667912E-8</v>
      </c>
      <c r="J90" s="14">
        <v>1.0044338976636049E-6</v>
      </c>
      <c r="K90" s="14">
        <v>0</v>
      </c>
    </row>
    <row r="91" spans="1:11">
      <c r="A91" s="2" t="s">
        <v>427</v>
      </c>
      <c r="B91" s="3" t="s">
        <v>428</v>
      </c>
      <c r="D91" s="14">
        <v>3.2151682179233404E-9</v>
      </c>
      <c r="E91" s="14">
        <v>2.7949647873240742E-5</v>
      </c>
      <c r="F91" s="14">
        <v>2.1452500218953785E-6</v>
      </c>
      <c r="G91" s="14">
        <v>6.0335577016998763E-7</v>
      </c>
      <c r="H91" s="14">
        <v>0</v>
      </c>
      <c r="I91" s="14">
        <v>1.0174679308995004E-6</v>
      </c>
      <c r="J91" s="14">
        <v>8.2810632355764711E-6</v>
      </c>
      <c r="K91" s="14">
        <v>0</v>
      </c>
    </row>
    <row r="92" spans="1:11">
      <c r="A92" s="2" t="s">
        <v>429</v>
      </c>
      <c r="B92" s="3" t="s">
        <v>430</v>
      </c>
      <c r="D92" s="14">
        <v>1.7198970409447956E-8</v>
      </c>
      <c r="E92" s="14">
        <v>4.3183226667389749E-6</v>
      </c>
      <c r="F92" s="14">
        <v>1.6389913600419114E-5</v>
      </c>
      <c r="G92" s="14">
        <v>3.4583760866892858E-6</v>
      </c>
      <c r="H92" s="14">
        <v>0</v>
      </c>
      <c r="I92" s="14">
        <v>6.0441573587424186E-6</v>
      </c>
      <c r="J92" s="14">
        <v>9.7720313170007579E-6</v>
      </c>
      <c r="K92" s="14">
        <v>0</v>
      </c>
    </row>
    <row r="93" spans="1:11">
      <c r="A93" s="2" t="s">
        <v>431</v>
      </c>
      <c r="B93" s="3" t="s">
        <v>432</v>
      </c>
      <c r="D93" s="14">
        <v>4.8204789586746466E-22</v>
      </c>
      <c r="E93" s="14">
        <v>3.9810579568764583E-5</v>
      </c>
      <c r="F93" s="14">
        <v>1.7443357209908684E-7</v>
      </c>
      <c r="G93" s="14">
        <v>1.3975005771519776E-10</v>
      </c>
      <c r="H93" s="14">
        <v>0</v>
      </c>
      <c r="I93" s="14">
        <v>8.7283320655115072E-9</v>
      </c>
      <c r="J93" s="14">
        <v>6.1187770131015517E-9</v>
      </c>
      <c r="K93" s="14">
        <v>0</v>
      </c>
    </row>
    <row r="94" spans="1:11">
      <c r="A94" s="2" t="s">
        <v>433</v>
      </c>
      <c r="B94" s="3" t="s">
        <v>434</v>
      </c>
      <c r="D94" s="14">
        <v>1.0190190692862924E-22</v>
      </c>
      <c r="E94" s="14">
        <v>3.9996772869420949E-5</v>
      </c>
      <c r="F94" s="14">
        <v>6.78979287789338E-10</v>
      </c>
      <c r="G94" s="14">
        <v>9.474409857205461E-13</v>
      </c>
      <c r="H94" s="14">
        <v>0</v>
      </c>
      <c r="I94" s="14">
        <v>2.3923703975040572E-9</v>
      </c>
      <c r="J94" s="14">
        <v>1.548334527863396E-10</v>
      </c>
      <c r="K94" s="14">
        <v>0</v>
      </c>
    </row>
    <row r="95" spans="1:11">
      <c r="A95" s="2" t="s">
        <v>435</v>
      </c>
      <c r="B95" s="3" t="s">
        <v>436</v>
      </c>
      <c r="D95" s="14">
        <v>5.4384022909652248E-13</v>
      </c>
      <c r="E95" s="14">
        <v>3.7400066350060748E-5</v>
      </c>
      <c r="F95" s="14">
        <v>1.491821071886199E-7</v>
      </c>
      <c r="G95" s="14">
        <v>5.1742568525663072E-8</v>
      </c>
      <c r="H95" s="14">
        <v>0</v>
      </c>
      <c r="I95" s="14">
        <v>8.7153310693627034E-8</v>
      </c>
      <c r="J95" s="14">
        <v>2.3118551196911126E-6</v>
      </c>
      <c r="K95" s="14">
        <v>0</v>
      </c>
    </row>
    <row r="96" spans="1:11">
      <c r="A96" s="2" t="s">
        <v>437</v>
      </c>
      <c r="B96" s="165" t="s">
        <v>438</v>
      </c>
      <c r="D96" s="14">
        <v>8.5083015790818967E-13</v>
      </c>
      <c r="E96" s="14">
        <v>9.1296791633138814E-9</v>
      </c>
      <c r="F96" s="14">
        <v>3.7559265444917615E-6</v>
      </c>
      <c r="G96" s="14">
        <v>1.2111910289978181E-5</v>
      </c>
      <c r="H96" s="14">
        <v>0</v>
      </c>
      <c r="I96" s="14">
        <v>2.2785435666469751E-5</v>
      </c>
      <c r="J96" s="14">
        <v>1.3375969690668381E-6</v>
      </c>
      <c r="K96" s="14">
        <v>0</v>
      </c>
    </row>
    <row r="97" spans="1:11">
      <c r="A97" s="2" t="s">
        <v>439</v>
      </c>
      <c r="B97" s="3" t="s">
        <v>440</v>
      </c>
      <c r="D97" s="14">
        <v>1.526038639980725E-9</v>
      </c>
      <c r="E97" s="14">
        <v>2.2951875045089896E-5</v>
      </c>
      <c r="F97" s="14">
        <v>3.9213873650386417E-6</v>
      </c>
      <c r="G97" s="14">
        <v>1.0397652542346994E-6</v>
      </c>
      <c r="H97" s="14">
        <v>0</v>
      </c>
      <c r="I97" s="14">
        <v>1.7662011191014683E-6</v>
      </c>
      <c r="J97" s="14">
        <v>1.0319245177895326E-5</v>
      </c>
      <c r="K97" s="14">
        <v>0</v>
      </c>
    </row>
    <row r="98" spans="1:11">
      <c r="A98" s="2" t="s">
        <v>441</v>
      </c>
      <c r="B98" s="3" t="s">
        <v>442</v>
      </c>
      <c r="D98" s="14">
        <v>1.0570256909184603E-21</v>
      </c>
      <c r="E98" s="14">
        <v>2.7095563258431139E-5</v>
      </c>
      <c r="F98" s="14">
        <v>2.4163495395734827E-6</v>
      </c>
      <c r="G98" s="14">
        <v>6.7213314628720108E-7</v>
      </c>
      <c r="H98" s="14">
        <v>0</v>
      </c>
      <c r="I98" s="14">
        <v>1.1349902848477238E-6</v>
      </c>
      <c r="J98" s="14">
        <v>8.6809637708604542E-6</v>
      </c>
      <c r="K98" s="14">
        <v>0</v>
      </c>
    </row>
    <row r="99" spans="1:11">
      <c r="A99" s="2" t="s">
        <v>443</v>
      </c>
      <c r="B99" s="3" t="s">
        <v>444</v>
      </c>
      <c r="D99" s="14">
        <v>1.668078513813187E-33</v>
      </c>
      <c r="E99" s="14">
        <v>3.4275920661645932E-5</v>
      </c>
      <c r="F99" s="14">
        <v>5.868008080676647E-7</v>
      </c>
      <c r="G99" s="14">
        <v>1.8432585565055207E-7</v>
      </c>
      <c r="H99" s="14">
        <v>0</v>
      </c>
      <c r="I99" s="14">
        <v>3.0674209752263647E-7</v>
      </c>
      <c r="J99" s="14">
        <v>4.6462105771132147E-6</v>
      </c>
      <c r="K99" s="14">
        <v>0</v>
      </c>
    </row>
    <row r="100" spans="1:11">
      <c r="A100" s="2" t="s">
        <v>445</v>
      </c>
      <c r="B100" s="3" t="s">
        <v>446</v>
      </c>
      <c r="D100" s="14">
        <v>1.239756578609013E-12</v>
      </c>
      <c r="E100" s="14">
        <v>8.3293106926848231E-8</v>
      </c>
      <c r="F100" s="14">
        <v>1.31072214311597E-5</v>
      </c>
      <c r="G100" s="14">
        <v>8.4470719179353171E-6</v>
      </c>
      <c r="H100" s="14">
        <v>0</v>
      </c>
      <c r="I100" s="14">
        <v>1.5490184894860956E-5</v>
      </c>
      <c r="J100" s="14">
        <v>2.8722274093606057E-6</v>
      </c>
      <c r="K100" s="14">
        <v>0</v>
      </c>
    </row>
    <row r="101" spans="1:11">
      <c r="A101" s="2" t="s">
        <v>447</v>
      </c>
      <c r="B101" s="3" t="s">
        <v>448</v>
      </c>
      <c r="D101" s="14">
        <v>1.5330178869779719E-13</v>
      </c>
      <c r="E101" s="14">
        <v>6.1164560961135141E-6</v>
      </c>
      <c r="F101" s="14">
        <v>1.443515451772372E-5</v>
      </c>
      <c r="G101" s="14">
        <v>3.1544016585768431E-6</v>
      </c>
      <c r="H101" s="14">
        <v>0</v>
      </c>
      <c r="I101" s="14">
        <v>5.4888668648476294E-6</v>
      </c>
      <c r="J101" s="14">
        <v>1.0805120709436511E-5</v>
      </c>
      <c r="K101" s="14">
        <v>0</v>
      </c>
    </row>
    <row r="102" spans="1:11">
      <c r="A102" s="2" t="s">
        <v>449</v>
      </c>
      <c r="B102" s="3" t="s">
        <v>450</v>
      </c>
      <c r="D102" s="14">
        <v>6.4831033299030894E-9</v>
      </c>
      <c r="E102" s="14">
        <v>1.2824947151197025E-6</v>
      </c>
      <c r="F102" s="14">
        <v>2.1284191536223247E-5</v>
      </c>
      <c r="G102" s="14">
        <v>4.0285866929154693E-6</v>
      </c>
      <c r="H102" s="14">
        <v>0</v>
      </c>
      <c r="I102" s="14">
        <v>7.1369319629564026E-6</v>
      </c>
      <c r="J102" s="14">
        <v>6.2613119894552784E-6</v>
      </c>
      <c r="K102" s="14">
        <v>0</v>
      </c>
    </row>
    <row r="103" spans="1:11">
      <c r="A103" s="2" t="s">
        <v>451</v>
      </c>
      <c r="B103" s="3" t="s">
        <v>452</v>
      </c>
      <c r="D103" s="14">
        <v>1.7533402358508702E-23</v>
      </c>
      <c r="E103" s="14">
        <v>3.5648078782661819E-5</v>
      </c>
      <c r="F103" s="14">
        <v>4.1855998166258866E-6</v>
      </c>
      <c r="G103" s="14">
        <v>4.0619344575396346E-10</v>
      </c>
      <c r="H103" s="14">
        <v>0</v>
      </c>
      <c r="I103" s="14">
        <v>1.6122226142836725E-7</v>
      </c>
      <c r="J103" s="14">
        <v>4.6929458381788615E-9</v>
      </c>
      <c r="K103" s="14">
        <v>0</v>
      </c>
    </row>
    <row r="104" spans="1:11">
      <c r="A104" s="2" t="s">
        <v>453</v>
      </c>
      <c r="B104" s="3" t="s">
        <v>454</v>
      </c>
      <c r="D104" s="14">
        <v>4.349070962041651E-25</v>
      </c>
      <c r="E104" s="14">
        <v>4.279121910353023E-7</v>
      </c>
      <c r="F104" s="14">
        <v>3.8027365054255712E-5</v>
      </c>
      <c r="G104" s="14">
        <v>4.0268169145045417E-8</v>
      </c>
      <c r="H104" s="14">
        <v>0</v>
      </c>
      <c r="I104" s="14">
        <v>1.477732243759761E-6</v>
      </c>
      <c r="J104" s="14">
        <v>2.6722341804181758E-8</v>
      </c>
      <c r="K104" s="14">
        <v>0</v>
      </c>
    </row>
    <row r="105" spans="1:11">
      <c r="A105" s="2" t="s">
        <v>455</v>
      </c>
      <c r="B105" s="165">
        <v>354656</v>
      </c>
      <c r="D105" s="14">
        <v>1.4735033118772668E-14</v>
      </c>
      <c r="E105" s="14">
        <v>3.8717183504853886E-5</v>
      </c>
      <c r="F105" s="14">
        <v>3.9284870983707493E-8</v>
      </c>
      <c r="G105" s="14">
        <v>1.519570614548463E-8</v>
      </c>
      <c r="H105" s="14">
        <v>0</v>
      </c>
      <c r="I105" s="14">
        <v>2.4870757001968554E-8</v>
      </c>
      <c r="J105" s="14">
        <v>1.2034651462799215E-6</v>
      </c>
      <c r="K105" s="14">
        <v>0</v>
      </c>
    </row>
    <row r="106" spans="1:11">
      <c r="A106" s="2" t="s">
        <v>457</v>
      </c>
      <c r="B106" s="3" t="s">
        <v>458</v>
      </c>
      <c r="D106" s="14">
        <v>2.1798001863416436E-14</v>
      </c>
      <c r="E106" s="14">
        <v>3.7269504190309361E-5</v>
      </c>
      <c r="F106" s="14">
        <v>1.6166515585825734E-7</v>
      </c>
      <c r="G106" s="14">
        <v>5.5820268743491414E-8</v>
      </c>
      <c r="H106" s="14">
        <v>0</v>
      </c>
      <c r="I106" s="14">
        <v>9.3627759488776771E-8</v>
      </c>
      <c r="J106" s="14">
        <v>2.4193826038021158E-6</v>
      </c>
      <c r="K106" s="14">
        <v>0</v>
      </c>
    </row>
    <row r="107" spans="1:11">
      <c r="A107" s="2" t="s">
        <v>459</v>
      </c>
      <c r="B107" s="3" t="s">
        <v>460</v>
      </c>
      <c r="D107" s="14">
        <v>1.4895815465527232E-24</v>
      </c>
      <c r="E107" s="14">
        <v>6.7793640836862126E-7</v>
      </c>
      <c r="F107" s="14">
        <v>2.3087006578064907E-5</v>
      </c>
      <c r="G107" s="14">
        <v>4.0406926669879E-6</v>
      </c>
      <c r="H107" s="14">
        <v>0</v>
      </c>
      <c r="I107" s="14">
        <v>7.7442778749361202E-6</v>
      </c>
      <c r="J107" s="14">
        <v>4.4500864716424513E-6</v>
      </c>
      <c r="K107" s="14">
        <v>0</v>
      </c>
    </row>
    <row r="108" spans="1:11">
      <c r="A108" s="2" t="s">
        <v>461</v>
      </c>
      <c r="B108" s="3" t="s">
        <v>462</v>
      </c>
      <c r="D108" s="14">
        <v>4.4028397371241414E-14</v>
      </c>
      <c r="E108" s="14">
        <v>3.9996051818411827E-5</v>
      </c>
      <c r="F108" s="14">
        <v>3.5170574947687507E-10</v>
      </c>
      <c r="G108" s="14">
        <v>1.0193915978001028E-11</v>
      </c>
      <c r="H108" s="14">
        <v>0</v>
      </c>
      <c r="I108" s="14">
        <v>1.3626531783825454E-9</v>
      </c>
      <c r="J108" s="14">
        <v>2.2235847159413252E-9</v>
      </c>
      <c r="K108" s="14">
        <v>0</v>
      </c>
    </row>
    <row r="109" spans="1:11">
      <c r="A109" s="2" t="s">
        <v>463</v>
      </c>
      <c r="B109" s="3" t="s">
        <v>464</v>
      </c>
      <c r="D109" s="14">
        <v>1.0303999355790958E-16</v>
      </c>
      <c r="E109" s="14">
        <v>3.375924216622498E-5</v>
      </c>
      <c r="F109" s="14">
        <v>2.1154503239192063E-6</v>
      </c>
      <c r="G109" s="14">
        <v>1.0514991049509762E-7</v>
      </c>
      <c r="H109" s="14">
        <v>0</v>
      </c>
      <c r="I109" s="14">
        <v>3.3519344175818573E-6</v>
      </c>
      <c r="J109" s="14">
        <v>6.6822318167583375E-7</v>
      </c>
      <c r="K109" s="14">
        <v>0</v>
      </c>
    </row>
    <row r="110" spans="1:11">
      <c r="A110" s="2" t="s">
        <v>465</v>
      </c>
      <c r="B110" s="3" t="s">
        <v>466</v>
      </c>
      <c r="D110" s="14">
        <v>8.3584694292888624E-16</v>
      </c>
      <c r="E110" s="14">
        <v>3.9735738598897082E-5</v>
      </c>
      <c r="F110" s="14">
        <v>8.9929641955236493E-9</v>
      </c>
      <c r="G110" s="14">
        <v>1.7205582881069063E-9</v>
      </c>
      <c r="H110" s="14">
        <v>0</v>
      </c>
      <c r="I110" s="14">
        <v>3.2933057714379539E-9</v>
      </c>
      <c r="J110" s="14">
        <v>2.5025457201201127E-7</v>
      </c>
      <c r="K110" s="14">
        <v>0</v>
      </c>
    </row>
    <row r="111" spans="1:11">
      <c r="A111" s="2" t="s">
        <v>467</v>
      </c>
      <c r="B111" s="3" t="s">
        <v>468</v>
      </c>
      <c r="D111" s="14">
        <v>1.4858955413422937E-34</v>
      </c>
      <c r="E111" s="14">
        <v>3.9998832999257631E-5</v>
      </c>
      <c r="F111" s="14">
        <v>6.3915897986584144E-10</v>
      </c>
      <c r="G111" s="14">
        <v>5.2805704795603205E-13</v>
      </c>
      <c r="H111" s="14">
        <v>0</v>
      </c>
      <c r="I111" s="14">
        <v>3.0251517178584473E-10</v>
      </c>
      <c r="J111" s="14">
        <v>2.247985336683628E-10</v>
      </c>
      <c r="K111" s="14">
        <v>0</v>
      </c>
    </row>
    <row r="112" spans="1:11">
      <c r="A112" s="2" t="s">
        <v>469</v>
      </c>
      <c r="B112" s="3" t="s">
        <v>470</v>
      </c>
      <c r="D112" s="14">
        <v>9.3917214640365556E-18</v>
      </c>
      <c r="E112" s="14">
        <v>3.9668688698243434E-5</v>
      </c>
      <c r="F112" s="14">
        <v>3.1018401906866496E-9</v>
      </c>
      <c r="G112" s="14">
        <v>1.4491554491815023E-9</v>
      </c>
      <c r="H112" s="14">
        <v>0</v>
      </c>
      <c r="I112" s="14">
        <v>2.549411335431366E-9</v>
      </c>
      <c r="J112" s="14">
        <v>3.2421089477187151E-7</v>
      </c>
      <c r="K112" s="14">
        <v>0</v>
      </c>
    </row>
    <row r="113" spans="1:11">
      <c r="A113" s="2" t="s">
        <v>471</v>
      </c>
      <c r="B113" s="3" t="s">
        <v>472</v>
      </c>
      <c r="D113" s="14">
        <v>1.1543461695184456E-13</v>
      </c>
      <c r="E113" s="14">
        <v>3.8010948490031657E-5</v>
      </c>
      <c r="F113" s="14">
        <v>8.8025860869576324E-8</v>
      </c>
      <c r="G113" s="14">
        <v>3.2040983360260424E-8</v>
      </c>
      <c r="H113" s="14">
        <v>0</v>
      </c>
      <c r="I113" s="14">
        <v>5.2555382981215274E-8</v>
      </c>
      <c r="J113" s="14">
        <v>1.8164291673226794E-6</v>
      </c>
      <c r="K113" s="14">
        <v>0</v>
      </c>
    </row>
    <row r="114" spans="1:11">
      <c r="A114" s="2" t="s">
        <v>473</v>
      </c>
      <c r="B114" s="3" t="s">
        <v>474</v>
      </c>
      <c r="D114" s="14">
        <v>9.2194237951020479E-21</v>
      </c>
      <c r="E114" s="14">
        <v>3.9829563581091837E-5</v>
      </c>
      <c r="F114" s="14">
        <v>9.0324823609010116E-10</v>
      </c>
      <c r="G114" s="14">
        <v>4.5506740111526669E-10</v>
      </c>
      <c r="H114" s="14">
        <v>0</v>
      </c>
      <c r="I114" s="14">
        <v>9.7011293738671532E-10</v>
      </c>
      <c r="J114" s="14">
        <v>1.6810799033356187E-7</v>
      </c>
      <c r="K114" s="14">
        <v>0</v>
      </c>
    </row>
    <row r="115" spans="1:11">
      <c r="A115" s="2" t="s">
        <v>475</v>
      </c>
      <c r="B115" s="3" t="s">
        <v>476</v>
      </c>
      <c r="D115" s="14">
        <v>4.7624086744918884E-17</v>
      </c>
      <c r="E115" s="14">
        <v>3.8853826544675709E-5</v>
      </c>
      <c r="F115" s="14">
        <v>1.0968200261076975E-6</v>
      </c>
      <c r="G115" s="14">
        <v>1.3137696492470657E-10</v>
      </c>
      <c r="H115" s="14">
        <v>0</v>
      </c>
      <c r="I115" s="14">
        <v>4.6517895499720054E-8</v>
      </c>
      <c r="J115" s="14">
        <v>2.704156704319653E-9</v>
      </c>
      <c r="K115" s="14">
        <v>0</v>
      </c>
    </row>
    <row r="116" spans="1:11">
      <c r="A116" s="2" t="s">
        <v>477</v>
      </c>
      <c r="B116" s="3" t="s">
        <v>478</v>
      </c>
      <c r="D116" s="14">
        <v>6.6763507821204528E-22</v>
      </c>
      <c r="E116" s="14">
        <v>2.6596281180956792E-6</v>
      </c>
      <c r="F116" s="14">
        <v>1.6304421566371142E-5</v>
      </c>
      <c r="G116" s="14">
        <v>3.9490162092971186E-7</v>
      </c>
      <c r="H116" s="14">
        <v>0</v>
      </c>
      <c r="I116" s="14">
        <v>2.0259805985551297E-5</v>
      </c>
      <c r="J116" s="14">
        <v>3.8124270905217334E-7</v>
      </c>
      <c r="K116" s="14">
        <v>0</v>
      </c>
    </row>
    <row r="117" spans="1:11">
      <c r="A117" s="2" t="s">
        <v>291</v>
      </c>
      <c r="B117" s="3" t="s">
        <v>479</v>
      </c>
      <c r="D117" s="14">
        <v>1.0967533203813444E-14</v>
      </c>
      <c r="E117" s="14">
        <v>1.7601983050233169E-5</v>
      </c>
      <c r="F117" s="14">
        <v>6.3677084804036666E-6</v>
      </c>
      <c r="G117" s="14">
        <v>1.5976392743870961E-6</v>
      </c>
      <c r="H117" s="14">
        <v>0</v>
      </c>
      <c r="I117" s="14">
        <v>2.7325210936714945E-6</v>
      </c>
      <c r="J117" s="14">
        <v>1.1700148090337041E-5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17"/>
  <sheetViews>
    <sheetView tabSelected="1" topLeftCell="A94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1.5791629028542328E-8</v>
      </c>
      <c r="B2">
        <f>'Mass Balance'!E2</f>
        <v>3.9016076422797568E-5</v>
      </c>
      <c r="C2">
        <f>SUM('Mass Balance'!E2:H2)</f>
        <v>3.9049720130322078E-5</v>
      </c>
      <c r="D2">
        <f>Concentrations!F2/Concentrations!E2</f>
        <v>1.0030487243621815</v>
      </c>
    </row>
    <row r="3" spans="1:4">
      <c r="A3" s="164">
        <f>'Mass Balance'!I3</f>
        <v>3.0658659128685427E-6</v>
      </c>
      <c r="B3">
        <f>'Mass Balance'!E3</f>
        <v>1.7266988063770515E-5</v>
      </c>
      <c r="C3">
        <f>SUM('Mass Balance'!E3:H3)</f>
        <v>2.579334097232402E-5</v>
      </c>
      <c r="D3">
        <f>Concentrations!F3/Concentrations!E3</f>
        <v>0.67205582832727218</v>
      </c>
    </row>
    <row r="4" spans="1:4">
      <c r="A4" s="164">
        <f>'Mass Balance'!I4</f>
        <v>4.3324912206684765E-8</v>
      </c>
      <c r="B4">
        <f>'Mass Balance'!E4</f>
        <v>3.9938975970906146E-5</v>
      </c>
      <c r="C4">
        <f>SUM('Mass Balance'!E4:H4)</f>
        <v>3.9955849911443428E-5</v>
      </c>
      <c r="D4">
        <f>Concentrations!F4/Concentrations!E4</f>
        <v>1.0034896895616316</v>
      </c>
    </row>
    <row r="5" spans="1:4">
      <c r="A5" s="164">
        <f>'Mass Balance'!I5</f>
        <v>6.0420751534536299E-7</v>
      </c>
      <c r="B5">
        <f>'Mass Balance'!E5</f>
        <v>2.1574090281302169E-5</v>
      </c>
      <c r="C5">
        <f>SUM('Mass Balance'!E5:H5)</f>
        <v>3.9388380978301738E-5</v>
      </c>
      <c r="D5">
        <f>Concentrations!F5/Concentrations!E5</f>
        <v>0.54987088407343221</v>
      </c>
    </row>
    <row r="6" spans="1:4">
      <c r="A6" s="164">
        <f>'Mass Balance'!I6</f>
        <v>8.5337815511580286E-7</v>
      </c>
      <c r="B6">
        <f>'Mass Balance'!E6</f>
        <v>1.2687468670920074E-5</v>
      </c>
      <c r="C6">
        <f>SUM('Mass Balance'!E6:H6)</f>
        <v>3.9119009599441694E-5</v>
      </c>
      <c r="D6">
        <f>Concentrations!F6/Concentrations!E6</f>
        <v>0.3255993237539378</v>
      </c>
    </row>
    <row r="7" spans="1:4">
      <c r="A7" s="164">
        <f>'Mass Balance'!I7</f>
        <v>1.1177949671731303E-6</v>
      </c>
      <c r="B7">
        <f>'Mass Balance'!E7</f>
        <v>4.1848024968906059E-6</v>
      </c>
      <c r="C7">
        <f>SUM('Mass Balance'!E7:H7)</f>
        <v>3.873732012057653E-5</v>
      </c>
      <c r="D7">
        <f>Concentrations!F7/Concentrations!E7</f>
        <v>0.10845304645239197</v>
      </c>
    </row>
    <row r="8" spans="1:4">
      <c r="A8" s="164">
        <f>'Mass Balance'!I8</f>
        <v>9.3561245189849289E-7</v>
      </c>
      <c r="B8">
        <f>'Mass Balance'!E8</f>
        <v>8.9774683663925488E-6</v>
      </c>
      <c r="C8">
        <f>SUM('Mass Balance'!E8:H8)</f>
        <v>3.9050796508640017E-5</v>
      </c>
      <c r="D8">
        <f>Concentrations!F8/Concentrations!E8</f>
        <v>0.23079178670061079</v>
      </c>
    </row>
    <row r="9" spans="1:4">
      <c r="A9" s="164">
        <f>'Mass Balance'!I9</f>
        <v>5.3184793694581485E-7</v>
      </c>
      <c r="B9">
        <f>'Mass Balance'!E9</f>
        <v>2.4232359089069322E-5</v>
      </c>
      <c r="C9">
        <f>SUM('Mass Balance'!E9:H9)</f>
        <v>3.9434398327022112E-5</v>
      </c>
      <c r="D9">
        <f>Concentrations!F9/Concentrations!E9</f>
        <v>0.61690293913234806</v>
      </c>
    </row>
    <row r="10" spans="1:4">
      <c r="A10" s="164">
        <f>'Mass Balance'!I10</f>
        <v>7.6051634245569224E-6</v>
      </c>
      <c r="B10">
        <f>'Mass Balance'!E10</f>
        <v>3.3578103939207399E-7</v>
      </c>
      <c r="C10">
        <f>SUM('Mass Balance'!E10:H10)</f>
        <v>2.881120742557648E-5</v>
      </c>
      <c r="D10">
        <f>Concentrations!F10/Concentrations!E10</f>
        <v>1.1700140373438877E-2</v>
      </c>
    </row>
    <row r="11" spans="1:4">
      <c r="A11" s="164">
        <f>'Mass Balance'!I11</f>
        <v>2.5907106767277092E-5</v>
      </c>
      <c r="B11">
        <f>'Mass Balance'!E11</f>
        <v>8.7588196452196972E-9</v>
      </c>
      <c r="C11">
        <f>SUM('Mass Balance'!E11:H11)</f>
        <v>1.3839009917485704E-5</v>
      </c>
      <c r="D11">
        <f>Concentrations!F11/Concentrations!E11</f>
        <v>6.3538495264243869E-4</v>
      </c>
    </row>
    <row r="12" spans="1:4">
      <c r="A12" s="164">
        <f>'Mass Balance'!I12</f>
        <v>1.0802893211424777E-9</v>
      </c>
      <c r="B12">
        <f>'Mass Balance'!E12</f>
        <v>3.6831232304337835E-5</v>
      </c>
      <c r="C12">
        <f>SUM('Mass Balance'!E12:H12)</f>
        <v>3.6832780766977413E-5</v>
      </c>
      <c r="D12">
        <f>Concentrations!F12/Concentrations!E12</f>
        <v>1.0038714521286254</v>
      </c>
    </row>
    <row r="13" spans="1:4">
      <c r="A13" s="164">
        <f>'Mass Balance'!I13</f>
        <v>2.3188577632773602E-6</v>
      </c>
      <c r="B13">
        <f>'Mass Balance'!E13</f>
        <v>1.9778149710251435E-5</v>
      </c>
      <c r="C13">
        <f>SUM('Mass Balance'!E13:H13)</f>
        <v>2.643779960280438E-5</v>
      </c>
      <c r="D13">
        <f>Concentrations!F13/Concentrations!E13</f>
        <v>0.75102901537292643</v>
      </c>
    </row>
    <row r="14" spans="1:4">
      <c r="A14" s="164">
        <f>'Mass Balance'!I14</f>
        <v>2.1643874011100528E-6</v>
      </c>
      <c r="B14">
        <f>'Mass Balance'!E14</f>
        <v>3.3325322233622521E-7</v>
      </c>
      <c r="C14">
        <f>SUM('Mass Balance'!E14:H14)</f>
        <v>3.7806021447436082E-5</v>
      </c>
      <c r="D14">
        <f>Concentrations!F14/Concentrations!E14</f>
        <v>8.8493168107598632E-3</v>
      </c>
    </row>
    <row r="15" spans="1:4">
      <c r="A15" s="164">
        <f>'Mass Balance'!I15</f>
        <v>3.9270865051948832E-7</v>
      </c>
      <c r="B15">
        <f>'Mass Balance'!E15</f>
        <v>3.0187349878472986E-5</v>
      </c>
      <c r="C15">
        <f>SUM('Mass Balance'!E15:H15)</f>
        <v>3.1193577125444932E-5</v>
      </c>
      <c r="D15">
        <f>Concentrations!F15/Concentrations!E15</f>
        <v>0.97152989827926495</v>
      </c>
    </row>
    <row r="16" spans="1:4">
      <c r="A16" s="164">
        <f>'Mass Balance'!I16</f>
        <v>2.5895462408217231E-6</v>
      </c>
      <c r="B16">
        <f>'Mass Balance'!E16</f>
        <v>1.8317227961201986E-5</v>
      </c>
      <c r="C16">
        <f>SUM('Mass Balance'!E16:H16)</f>
        <v>2.5828381194313434E-5</v>
      </c>
      <c r="D16">
        <f>Concentrations!F16/Concentrations!E16</f>
        <v>0.7119654604094906</v>
      </c>
    </row>
    <row r="17" spans="1:4">
      <c r="A17" s="164">
        <f>'Mass Balance'!I17</f>
        <v>2.4146796281357482E-6</v>
      </c>
      <c r="B17">
        <f>'Mass Balance'!E17</f>
        <v>1.9199629890045498E-5</v>
      </c>
      <c r="C17">
        <f>SUM('Mass Balance'!E17:H17)</f>
        <v>2.6160278847327593E-5</v>
      </c>
      <c r="D17">
        <f>Concentrations!F17/Concentrations!E17</f>
        <v>0.73679530590858955</v>
      </c>
    </row>
    <row r="18" spans="1:4">
      <c r="A18" s="164">
        <f>'Mass Balance'!I18</f>
        <v>2.2262226197766079E-5</v>
      </c>
      <c r="B18">
        <f>'Mass Balance'!E18</f>
        <v>1.1810986141948582E-8</v>
      </c>
      <c r="C18">
        <f>SUM('Mass Balance'!E18:H18)</f>
        <v>1.6257860944930951E-5</v>
      </c>
      <c r="D18">
        <f>Concentrations!F18/Concentrations!E18</f>
        <v>7.2932166972692746E-4</v>
      </c>
    </row>
    <row r="19" spans="1:4">
      <c r="A19" s="164">
        <f>'Mass Balance'!I19</f>
        <v>1.3892958289278449E-7</v>
      </c>
      <c r="B19">
        <f>'Mass Balance'!E19</f>
        <v>3.6004309865525711E-5</v>
      </c>
      <c r="C19">
        <f>SUM('Mass Balance'!E19:H19)</f>
        <v>3.6338959974764316E-5</v>
      </c>
      <c r="D19">
        <f>Concentrations!F19/Concentrations!E19</f>
        <v>0.99466848831057519</v>
      </c>
    </row>
    <row r="20" spans="1:4">
      <c r="A20" s="164">
        <f>'Mass Balance'!I20</f>
        <v>2.3718672723737572E-7</v>
      </c>
      <c r="B20">
        <f>'Mass Balance'!E20</f>
        <v>3.4274690089621715E-5</v>
      </c>
      <c r="C20">
        <f>SUM('Mass Balance'!E20:H20)</f>
        <v>3.4863221851294132E-5</v>
      </c>
      <c r="D20">
        <f>Concentrations!F20/Concentrations!E20</f>
        <v>0.98696642602903817</v>
      </c>
    </row>
    <row r="21" spans="1:4">
      <c r="A21" s="164">
        <f>'Mass Balance'!I21</f>
        <v>2.7805068802971479E-6</v>
      </c>
      <c r="B21">
        <f>'Mass Balance'!E21</f>
        <v>3.9508029024347109E-6</v>
      </c>
      <c r="C21">
        <f>SUM('Mass Balance'!E21:H21)</f>
        <v>3.4595077355780876E-5</v>
      </c>
      <c r="D21">
        <f>Concentrations!F21/Concentrations!E21</f>
        <v>0.1146482474683196</v>
      </c>
    </row>
    <row r="22" spans="1:4">
      <c r="A22" s="164">
        <f>'Mass Balance'!I22</f>
        <v>2.545228609174914E-8</v>
      </c>
      <c r="B22">
        <f>'Mass Balance'!E22</f>
        <v>3.6115361431950811E-5</v>
      </c>
      <c r="C22">
        <f>SUM('Mass Balance'!E22:H22)</f>
        <v>3.6171411963256798E-5</v>
      </c>
      <c r="D22">
        <f>Concentrations!F22/Concentrations!E22</f>
        <v>1.002358011511207</v>
      </c>
    </row>
    <row r="23" spans="1:4">
      <c r="A23" s="164">
        <f>'Mass Balance'!I23</f>
        <v>6.4843187932910632E-7</v>
      </c>
      <c r="B23">
        <f>'Mass Balance'!E23</f>
        <v>2.843628609362289E-5</v>
      </c>
      <c r="C23">
        <f>SUM('Mass Balance'!E23:H23)</f>
        <v>3.0146191355918642E-5</v>
      </c>
      <c r="D23">
        <f>Concentrations!F23/Concentrations!E23</f>
        <v>0.94697123184535303</v>
      </c>
    </row>
    <row r="24" spans="1:4">
      <c r="A24" s="164">
        <f>'Mass Balance'!I24</f>
        <v>3.5091085047154569E-6</v>
      </c>
      <c r="B24">
        <f>'Mass Balance'!E24</f>
        <v>1.3830664737500326E-5</v>
      </c>
      <c r="C24">
        <f>SUM('Mass Balance'!E24:H24)</f>
        <v>2.4331606712386343E-5</v>
      </c>
      <c r="D24">
        <f>Concentrations!F24/Concentrations!E24</f>
        <v>0.57064843187288916</v>
      </c>
    </row>
    <row r="25" spans="1:4">
      <c r="A25" s="164">
        <f>'Mass Balance'!I25</f>
        <v>2.1358215047456945E-5</v>
      </c>
      <c r="B25">
        <f>'Mass Balance'!E25</f>
        <v>1.7264802127709777E-8</v>
      </c>
      <c r="C25">
        <f>SUM('Mass Balance'!E25:H25)</f>
        <v>1.6927187702688396E-5</v>
      </c>
      <c r="D25">
        <f>Concentrations!F25/Concentrations!E25</f>
        <v>1.0239368137133337E-3</v>
      </c>
    </row>
    <row r="26" spans="1:4">
      <c r="A26" s="164">
        <f>'Mass Balance'!I26</f>
        <v>5.0417832142760599E-6</v>
      </c>
      <c r="B26">
        <f>'Mass Balance'!E26</f>
        <v>4.7696025359175048E-6</v>
      </c>
      <c r="C26">
        <f>SUM('Mass Balance'!E26:H26)</f>
        <v>2.1072253783150444E-5</v>
      </c>
      <c r="D26">
        <f>Concentrations!F26/Concentrations!E26</f>
        <v>0.22723099168919017</v>
      </c>
    </row>
    <row r="27" spans="1:4">
      <c r="A27" s="164">
        <f>'Mass Balance'!I27</f>
        <v>3.1555793422229299E-6</v>
      </c>
      <c r="B27">
        <f>'Mass Balance'!E27</f>
        <v>5.9421416438733302E-7</v>
      </c>
      <c r="C27">
        <f>SUM('Mass Balance'!E27:H27)</f>
        <v>1.1756734636691626E-5</v>
      </c>
      <c r="D27">
        <f>Concentrations!F27/Concentrations!E27</f>
        <v>5.0740255117250999E-2</v>
      </c>
    </row>
    <row r="28" spans="1:4">
      <c r="A28" s="164">
        <f>'Mass Balance'!I28</f>
        <v>1.6029249297421405E-6</v>
      </c>
      <c r="B28">
        <f>'Mass Balance'!E28</f>
        <v>1.1187488749507611E-6</v>
      </c>
      <c r="C28">
        <f>SUM('Mass Balance'!E28:H28)</f>
        <v>6.3893642569346451E-6</v>
      </c>
      <c r="D28">
        <f>Concentrations!F28/Concentrations!E28</f>
        <v>0.17578075519766789</v>
      </c>
    </row>
    <row r="29" spans="1:4">
      <c r="A29" s="164">
        <f>'Mass Balance'!I29</f>
        <v>2.0679410861729238E-8</v>
      </c>
      <c r="B29">
        <f>'Mass Balance'!E29</f>
        <v>2.3654100239604967E-6</v>
      </c>
      <c r="C29">
        <f>SUM('Mass Balance'!E29:H29)</f>
        <v>2.417334770572899E-6</v>
      </c>
      <c r="D29">
        <f>Concentrations!F29/Concentrations!E29</f>
        <v>0.98234942729794872</v>
      </c>
    </row>
    <row r="30" spans="1:4">
      <c r="A30" s="164">
        <f>'Mass Balance'!I30</f>
        <v>6.3014851023172789E-7</v>
      </c>
      <c r="B30">
        <f>'Mass Balance'!E30</f>
        <v>4.7178272646760178E-7</v>
      </c>
      <c r="C30">
        <f>SUM('Mass Balance'!E30:H30)</f>
        <v>2.5357805980036152E-6</v>
      </c>
      <c r="D30">
        <f>Concentrations!F30/Concentrations!E30</f>
        <v>0.18677843130853472</v>
      </c>
    </row>
    <row r="31" spans="1:4">
      <c r="A31" s="164">
        <f>'Mass Balance'!I31</f>
        <v>1.105164001725692E-8</v>
      </c>
      <c r="B31">
        <f>'Mass Balance'!E31</f>
        <v>1.7906124429393729E-8</v>
      </c>
      <c r="C31">
        <f>SUM('Mass Balance'!E31:H31)</f>
        <v>5.2605369422284003E-8</v>
      </c>
      <c r="D31">
        <f>Concentrations!F31/Concentrations!E31</f>
        <v>0.34171802338874774</v>
      </c>
    </row>
    <row r="32" spans="1:4">
      <c r="A32" s="164">
        <f>'Mass Balance'!I32</f>
        <v>2.0276287499873061E-6</v>
      </c>
      <c r="B32">
        <f>'Mass Balance'!E32</f>
        <v>2.1346854027293714E-5</v>
      </c>
      <c r="C32">
        <f>SUM('Mass Balance'!E32:H32)</f>
        <v>2.7105749104036491E-5</v>
      </c>
      <c r="D32">
        <f>Concentrations!F32/Concentrations!E32</f>
        <v>0.79062187913500215</v>
      </c>
    </row>
    <row r="33" spans="1:4">
      <c r="A33" s="164">
        <f>'Mass Balance'!I33</f>
        <v>1.0554799224538137E-6</v>
      </c>
      <c r="B33">
        <f>'Mass Balance'!E33</f>
        <v>2.7668729791597711E-5</v>
      </c>
      <c r="C33">
        <f>SUM('Mass Balance'!E33:H33)</f>
        <v>3.0526943000284913E-5</v>
      </c>
      <c r="D33">
        <f>Concentrations!F33/Concentrations!E33</f>
        <v>0.90991802583642023</v>
      </c>
    </row>
    <row r="34" spans="1:4">
      <c r="A34" s="164">
        <f>'Mass Balance'!I34</f>
        <v>5.5202987658613274E-6</v>
      </c>
      <c r="B34">
        <f>'Mass Balance'!E34</f>
        <v>6.0092445173361658E-6</v>
      </c>
      <c r="C34">
        <f>SUM('Mass Balance'!E34:H34)</f>
        <v>2.3722220588462495E-5</v>
      </c>
      <c r="D34">
        <f>Concentrations!F34/Concentrations!E34</f>
        <v>0.25430851284398492</v>
      </c>
    </row>
    <row r="35" spans="1:4">
      <c r="A35" s="164">
        <f>'Mass Balance'!I35</f>
        <v>7.2857833826066491E-6</v>
      </c>
      <c r="B35">
        <f>'Mass Balance'!E35</f>
        <v>6.8005185309360159E-7</v>
      </c>
      <c r="C35">
        <f>SUM('Mass Balance'!E35:H35)</f>
        <v>2.7497512392520318E-5</v>
      </c>
      <c r="D35">
        <f>Concentrations!F35/Concentrations!E35</f>
        <v>2.4828185657071934E-2</v>
      </c>
    </row>
    <row r="36" spans="1:4">
      <c r="A36" s="164">
        <f>'Mass Balance'!I36</f>
        <v>1.3418262047228915E-5</v>
      </c>
      <c r="B36">
        <f>'Mass Balance'!E36</f>
        <v>1.235741176993938E-7</v>
      </c>
      <c r="C36">
        <f>SUM('Mass Balance'!E36:H36)</f>
        <v>2.3414514540553316E-5</v>
      </c>
      <c r="D36">
        <f>Concentrations!F36/Concentrations!E36</f>
        <v>5.2983265655727274E-3</v>
      </c>
    </row>
    <row r="37" spans="1:4">
      <c r="A37" s="164">
        <f>'Mass Balance'!I37</f>
        <v>2.2001203826069302E-5</v>
      </c>
      <c r="B37">
        <f>'Mass Balance'!E37</f>
        <v>1.3120904018732421E-8</v>
      </c>
      <c r="C37">
        <f>SUM('Mass Balance'!E37:H37)</f>
        <v>1.6413142777542908E-5</v>
      </c>
      <c r="D37">
        <f>Concentrations!F37/Concentrations!E37</f>
        <v>8.0254311530271666E-4</v>
      </c>
    </row>
    <row r="38" spans="1:4">
      <c r="A38" s="164">
        <f>'Mass Balance'!I38</f>
        <v>1.7105881520080587E-5</v>
      </c>
      <c r="B38">
        <f>'Mass Balance'!E38</f>
        <v>5.8973772799621148E-8</v>
      </c>
      <c r="C38">
        <f>SUM('Mass Balance'!E38:H38)</f>
        <v>2.0285990140755098E-5</v>
      </c>
      <c r="D38">
        <f>Concentrations!F38/Concentrations!E38</f>
        <v>2.9184957454671035E-3</v>
      </c>
    </row>
    <row r="39" spans="1:4">
      <c r="A39" s="164">
        <f>'Mass Balance'!I39</f>
        <v>1.4255133401758447E-5</v>
      </c>
      <c r="B39">
        <f>'Mass Balance'!E39</f>
        <v>9.9147819752114939E-8</v>
      </c>
      <c r="C39">
        <f>SUM('Mass Balance'!E39:H39)</f>
        <v>2.2077277992130132E-5</v>
      </c>
      <c r="D39">
        <f>Concentrations!F39/Concentrations!E39</f>
        <v>4.5085200424820797E-3</v>
      </c>
    </row>
    <row r="40" spans="1:4">
      <c r="A40" s="164">
        <f>'Mass Balance'!I40</f>
        <v>1.7105881520080587E-5</v>
      </c>
      <c r="B40">
        <f>'Mass Balance'!E40</f>
        <v>5.8973772799621148E-8</v>
      </c>
      <c r="C40">
        <f>SUM('Mass Balance'!E40:H40)</f>
        <v>2.0285990140755098E-5</v>
      </c>
      <c r="D40">
        <f>Concentrations!F40/Concentrations!E40</f>
        <v>2.9184957454671035E-3</v>
      </c>
    </row>
    <row r="41" spans="1:4">
      <c r="A41" s="164">
        <f>'Mass Balance'!I41</f>
        <v>7.4740074428370869E-8</v>
      </c>
      <c r="B41">
        <f>'Mass Balance'!E41</f>
        <v>3.8099272090971453E-5</v>
      </c>
      <c r="C41">
        <f>SUM('Mass Balance'!E41:H41)</f>
        <v>3.9918058034051211E-5</v>
      </c>
      <c r="D41">
        <f>Concentrations!F41/Concentrations!E41</f>
        <v>0.95817235250460908</v>
      </c>
    </row>
    <row r="42" spans="1:4">
      <c r="A42" s="164">
        <f>'Mass Balance'!I42</f>
        <v>2.2226271549746976E-5</v>
      </c>
      <c r="B42">
        <f>'Mass Balance'!E42</f>
        <v>1.1791910787771521E-8</v>
      </c>
      <c r="C42">
        <f>SUM('Mass Balance'!E42:H42)</f>
        <v>1.6231603657693562E-5</v>
      </c>
      <c r="D42">
        <f>Concentrations!F42/Concentrations!E42</f>
        <v>7.2932166972692746E-4</v>
      </c>
    </row>
    <row r="43" spans="1:4">
      <c r="A43" s="164">
        <f>'Mass Balance'!I43</f>
        <v>3.7462667409028309E-6</v>
      </c>
      <c r="B43">
        <f>'Mass Balance'!E43</f>
        <v>1.2831774945589524E-5</v>
      </c>
      <c r="C43">
        <f>SUM('Mass Balance'!E43:H43)</f>
        <v>2.4127204690666561E-5</v>
      </c>
      <c r="D43">
        <f>Concentrations!F43/Concentrations!E43</f>
        <v>0.53391987495413606</v>
      </c>
    </row>
    <row r="44" spans="1:4">
      <c r="A44" s="164">
        <f>'Mass Balance'!I44</f>
        <v>1.0518114177528553E-5</v>
      </c>
      <c r="B44">
        <f>'Mass Balance'!E44</f>
        <v>2.0477994442663387E-7</v>
      </c>
      <c r="C44">
        <f>SUM('Mass Balance'!E44:H44)</f>
        <v>2.6030094260690683E-5</v>
      </c>
      <c r="D44">
        <f>Concentrations!F44/Concentrations!E44</f>
        <v>7.8978347458445244E-3</v>
      </c>
    </row>
    <row r="45" spans="1:4">
      <c r="A45" s="164">
        <f>'Mass Balance'!I45</f>
        <v>2.3820579901059791E-5</v>
      </c>
      <c r="B45">
        <f>'Mass Balance'!E45</f>
        <v>4.8429721981176638E-9</v>
      </c>
      <c r="C45">
        <f>SUM('Mass Balance'!E45:H45)</f>
        <v>1.5143794429755765E-5</v>
      </c>
      <c r="D45">
        <f>Concentrations!F45/Concentrations!E45</f>
        <v>3.2105070844138669E-4</v>
      </c>
    </row>
    <row r="46" spans="1:4">
      <c r="A46" s="164">
        <f>'Mass Balance'!I46</f>
        <v>2.2531152033185644E-5</v>
      </c>
      <c r="B46">
        <f>'Mass Balance'!E46</f>
        <v>1.0388223197119762E-8</v>
      </c>
      <c r="C46">
        <f>SUM('Mass Balance'!E46:H46)</f>
        <v>1.6061033554590846E-5</v>
      </c>
      <c r="D46">
        <f>Concentrations!F46/Concentrations!E46</f>
        <v>6.4932802139476553E-4</v>
      </c>
    </row>
    <row r="47" spans="1:4">
      <c r="A47" s="164">
        <f>'Mass Balance'!I47</f>
        <v>2.018046619677019E-5</v>
      </c>
      <c r="B47">
        <f>'Mass Balance'!E47</f>
        <v>2.6045147400759669E-8</v>
      </c>
      <c r="C47">
        <f>SUM('Mass Balance'!E47:H47)</f>
        <v>1.7827457032555302E-5</v>
      </c>
      <c r="D47">
        <f>Concentrations!F47/Concentrations!E47</f>
        <v>1.4666746427414962E-3</v>
      </c>
    </row>
    <row r="48" spans="1:4">
      <c r="A48" s="164">
        <f>'Mass Balance'!I48</f>
        <v>6.8711458447206548E-6</v>
      </c>
      <c r="B48">
        <f>'Mass Balance'!E48</f>
        <v>1.9713866609297662E-6</v>
      </c>
      <c r="C48">
        <f>SUM('Mass Balance'!E48:H48)</f>
        <v>2.5709284320528862E-5</v>
      </c>
      <c r="D48">
        <f>Concentrations!F48/Concentrations!E48</f>
        <v>7.6980049987451254E-2</v>
      </c>
    </row>
    <row r="49" spans="1:4">
      <c r="A49" s="164">
        <f>'Mass Balance'!I49</f>
        <v>1.1054255538000554E-5</v>
      </c>
      <c r="B49">
        <f>'Mass Balance'!E49</f>
        <v>1.8703348361093981E-7</v>
      </c>
      <c r="C49">
        <f>SUM('Mass Balance'!E49:H49)</f>
        <v>2.5540135014836255E-5</v>
      </c>
      <c r="D49">
        <f>Concentrations!F49/Concentrations!E49</f>
        <v>7.3517805761136165E-3</v>
      </c>
    </row>
    <row r="50" spans="1:4">
      <c r="A50" s="164">
        <f>'Mass Balance'!I50</f>
        <v>1.1958541508282208E-5</v>
      </c>
      <c r="B50">
        <f>'Mass Balance'!E50</f>
        <v>1.6012849214737092E-7</v>
      </c>
      <c r="C50">
        <f>SUM('Mass Balance'!E50:H50)</f>
        <v>2.4717663106614707E-5</v>
      </c>
      <c r="D50">
        <f>Concentrations!F50/Concentrations!E50</f>
        <v>6.5036560878853986E-3</v>
      </c>
    </row>
    <row r="51" spans="1:4">
      <c r="A51" s="164">
        <f>'Mass Balance'!I51</f>
        <v>7.1486422680676831E-6</v>
      </c>
      <c r="B51">
        <f>'Mass Balance'!E51</f>
        <v>1.2548957768241696E-6</v>
      </c>
      <c r="C51">
        <f>SUM('Mass Balance'!E51:H51)</f>
        <v>2.6642672168498497E-5</v>
      </c>
      <c r="D51">
        <f>Concentrations!F51/Concentrations!E51</f>
        <v>4.728530984048708E-2</v>
      </c>
    </row>
    <row r="52" spans="1:4">
      <c r="A52" s="164">
        <f>'Mass Balance'!I52</f>
        <v>6.9018752194680983E-6</v>
      </c>
      <c r="B52">
        <f>'Mass Balance'!E52</f>
        <v>1.8896870860154294E-6</v>
      </c>
      <c r="C52">
        <f>SUM('Mass Balance'!E52:H52)</f>
        <v>2.5796303170120493E-5</v>
      </c>
      <c r="D52">
        <f>Concentrations!F52/Concentrations!E52</f>
        <v>7.3540873690213088E-2</v>
      </c>
    </row>
    <row r="53" spans="1:4">
      <c r="A53" s="164">
        <f>'Mass Balance'!I53</f>
        <v>1.4779876830553122E-5</v>
      </c>
      <c r="B53">
        <f>'Mass Balance'!E53</f>
        <v>9.5830301685993679E-8</v>
      </c>
      <c r="C53">
        <f>SUM('Mass Balance'!E53:H53)</f>
        <v>2.2241393827191771E-5</v>
      </c>
      <c r="D53">
        <f>Concentrations!F53/Concentrations!E53</f>
        <v>4.3255089750456237E-3</v>
      </c>
    </row>
    <row r="54" spans="1:4">
      <c r="A54" s="164">
        <f>'Mass Balance'!I54</f>
        <v>1.150511223380003E-5</v>
      </c>
      <c r="B54">
        <f>'Mass Balance'!E54</f>
        <v>1.7317332315070391E-7</v>
      </c>
      <c r="C54">
        <f>SUM('Mass Balance'!E54:H54)</f>
        <v>2.5129376301349631E-5</v>
      </c>
      <c r="D54">
        <f>Concentrations!F54/Concentrations!E54</f>
        <v>6.9182403118300574E-3</v>
      </c>
    </row>
    <row r="55" spans="1:4">
      <c r="A55" s="164">
        <f>'Mass Balance'!I55</f>
        <v>2.0049602707598077E-5</v>
      </c>
      <c r="B55">
        <f>'Mass Balance'!E55</f>
        <v>2.7115729525882618E-8</v>
      </c>
      <c r="C55">
        <f>SUM('Mass Balance'!E55:H55)</f>
        <v>1.7924593303245881E-5</v>
      </c>
      <c r="D55">
        <f>Concentrations!F55/Concentrations!E55</f>
        <v>1.5186872432767797E-3</v>
      </c>
    </row>
    <row r="56" spans="1:4">
      <c r="A56" s="164">
        <f>'Mass Balance'!I56</f>
        <v>1.0696410836626885E-5</v>
      </c>
      <c r="B56">
        <f>'Mass Balance'!E56</f>
        <v>1.9873196334339976E-7</v>
      </c>
      <c r="C56">
        <f>SUM('Mass Balance'!E56:H56)</f>
        <v>2.5867913134415895E-5</v>
      </c>
      <c r="D56">
        <f>Concentrations!F56/Concentrations!E56</f>
        <v>7.712633448483123E-3</v>
      </c>
    </row>
    <row r="57" spans="1:4">
      <c r="A57" s="164">
        <f>'Mass Balance'!I57</f>
        <v>6.7019113641335503E-6</v>
      </c>
      <c r="B57">
        <f>'Mass Balance'!E57</f>
        <v>2.3734530781698365E-6</v>
      </c>
      <c r="C57">
        <f>SUM('Mass Balance'!E57:H57)</f>
        <v>2.525583079946119E-5</v>
      </c>
      <c r="D57">
        <f>Concentrations!F57/Concentrations!E57</f>
        <v>9.4344231965447389E-2</v>
      </c>
    </row>
    <row r="58" spans="1:4">
      <c r="A58" s="164">
        <f>'Mass Balance'!I58</f>
        <v>1.1595705172414612E-5</v>
      </c>
      <c r="B58">
        <f>'Mass Balance'!E58</f>
        <v>1.7050116452952054E-7</v>
      </c>
      <c r="C58">
        <f>SUM('Mass Balance'!E58:H58)</f>
        <v>2.504724149006183E-5</v>
      </c>
      <c r="D58">
        <f>Concentrations!F58/Concentrations!E58</f>
        <v>6.8338243025118026E-3</v>
      </c>
    </row>
    <row r="59" spans="1:4">
      <c r="A59" s="164">
        <f>'Mass Balance'!I59</f>
        <v>6.9026420830244429E-6</v>
      </c>
      <c r="B59">
        <f>'Mass Balance'!E59</f>
        <v>1.8898970481073362E-6</v>
      </c>
      <c r="C59">
        <f>SUM('Mass Balance'!E59:H59)</f>
        <v>2.579916938316558E-5</v>
      </c>
      <c r="D59">
        <f>Concentrations!F59/Concentrations!E59</f>
        <v>7.3540873690213074E-2</v>
      </c>
    </row>
    <row r="60" spans="1:4">
      <c r="A60" s="164">
        <f>'Mass Balance'!I60</f>
        <v>1.3964061810045797E-5</v>
      </c>
      <c r="B60">
        <f>'Mass Balance'!E60</f>
        <v>1.1175921148103618E-7</v>
      </c>
      <c r="C60">
        <f>SUM('Mass Balance'!E60:H60)</f>
        <v>2.2936219347323012E-5</v>
      </c>
      <c r="D60">
        <f>Concentrations!F60/Concentrations!E60</f>
        <v>4.8916779614992974E-3</v>
      </c>
    </row>
    <row r="61" spans="1:4">
      <c r="A61" s="164">
        <f>'Mass Balance'!I61</f>
        <v>8.7429544636497925E-6</v>
      </c>
      <c r="B61">
        <f>'Mass Balance'!E61</f>
        <v>8.7170109617373583E-6</v>
      </c>
      <c r="C61">
        <f>SUM('Mass Balance'!E61:H61)</f>
        <v>2.5098733014510817E-5</v>
      </c>
      <c r="D61">
        <f>Concentrations!F61/Concentrations!E61</f>
        <v>0.34866805219416086</v>
      </c>
    </row>
    <row r="62" spans="1:4">
      <c r="A62" s="164">
        <f>'Mass Balance'!I62</f>
        <v>5.3920304950644969E-6</v>
      </c>
      <c r="B62">
        <f>'Mass Balance'!E62</f>
        <v>6.4453887057336738E-6</v>
      </c>
      <c r="C62">
        <f>SUM('Mass Balance'!E62:H62)</f>
        <v>2.3658346766087635E-5</v>
      </c>
      <c r="D62">
        <f>Concentrations!F62/Concentrations!E62</f>
        <v>0.27350236304920533</v>
      </c>
    </row>
    <row r="63" spans="1:4">
      <c r="A63" s="164">
        <f>'Mass Balance'!I63</f>
        <v>1.509343029669115E-6</v>
      </c>
      <c r="B63">
        <f>'Mass Balance'!E63</f>
        <v>3.5556522809740137E-5</v>
      </c>
      <c r="C63">
        <f>SUM('Mass Balance'!E63:H63)</f>
        <v>3.6948723799809346E-5</v>
      </c>
      <c r="D63">
        <f>Concentrations!F63/Concentrations!E63</f>
        <v>0.96608692190690348</v>
      </c>
    </row>
    <row r="64" spans="1:4">
      <c r="A64" s="164">
        <f>'Mass Balance'!I64</f>
        <v>3.0962271918205685E-8</v>
      </c>
      <c r="B64">
        <f>'Mass Balance'!E64</f>
        <v>3.9303317400619547E-5</v>
      </c>
      <c r="C64">
        <f>SUM('Mass Balance'!E64:H64)</f>
        <v>3.9795481271679736E-5</v>
      </c>
      <c r="D64">
        <f>Concentrations!F64/Concentrations!E64</f>
        <v>0.99149792496629252</v>
      </c>
    </row>
    <row r="65" spans="1:4">
      <c r="A65" s="164">
        <f>'Mass Balance'!I65</f>
        <v>1.3470313380361554E-7</v>
      </c>
      <c r="B65">
        <f>'Mass Balance'!E65</f>
        <v>3.9721650367523333E-5</v>
      </c>
      <c r="C65">
        <f>SUM('Mass Balance'!E65:H65)</f>
        <v>3.9788048213058091E-5</v>
      </c>
      <c r="D65">
        <f>Concentrations!F65/Concentrations!E65</f>
        <v>1.0022383372267636</v>
      </c>
    </row>
    <row r="66" spans="1:4">
      <c r="A66" s="164">
        <f>'Mass Balance'!I66</f>
        <v>9.5539797707748687E-6</v>
      </c>
      <c r="B66">
        <f>'Mass Balance'!E66</f>
        <v>2.3612435523030838E-5</v>
      </c>
      <c r="C66">
        <f>SUM('Mass Balance'!E66:H66)</f>
        <v>2.991646232188033E-5</v>
      </c>
      <c r="D66">
        <f>Concentrations!F66/Concentrations!E66</f>
        <v>0.7923679692326443</v>
      </c>
    </row>
    <row r="67" spans="1:4">
      <c r="A67" s="164">
        <f>'Mass Balance'!I67</f>
        <v>1.1224194494973395E-7</v>
      </c>
      <c r="B67">
        <f>'Mass Balance'!E67</f>
        <v>3.9744280605765821E-5</v>
      </c>
      <c r="C67">
        <f>SUM('Mass Balance'!E67:H67)</f>
        <v>3.9800847298569365E-5</v>
      </c>
      <c r="D67">
        <f>Concentrations!F67/Concentrations!E67</f>
        <v>1.0024868513093348</v>
      </c>
    </row>
    <row r="68" spans="1:4">
      <c r="A68" s="164">
        <f>'Mass Balance'!I68</f>
        <v>1.515569054068315E-8</v>
      </c>
      <c r="B68">
        <f>'Mass Balance'!E68</f>
        <v>3.9942719779513374E-5</v>
      </c>
      <c r="C68">
        <f>SUM('Mass Balance'!E68:H68)</f>
        <v>3.9949613348419688E-5</v>
      </c>
      <c r="D68">
        <f>Concentrations!F68/Concentrations!E68</f>
        <v>1.0037404250867854</v>
      </c>
    </row>
    <row r="69" spans="1:4">
      <c r="A69" s="164">
        <f>'Mass Balance'!I69</f>
        <v>9.7921706545916564E-6</v>
      </c>
      <c r="B69">
        <f>'Mass Balance'!E69</f>
        <v>2.3150270176926604E-7</v>
      </c>
      <c r="C69">
        <f>SUM('Mass Balance'!E69:H69)</f>
        <v>2.6709281447483593E-5</v>
      </c>
      <c r="D69">
        <f>Concentrations!F69/Concentrations!E69</f>
        <v>8.7014218033396352E-3</v>
      </c>
    </row>
    <row r="70" spans="1:4">
      <c r="A70" s="164">
        <f>'Mass Balance'!I70</f>
        <v>5.0860252293256492E-8</v>
      </c>
      <c r="B70">
        <f>'Mass Balance'!E70</f>
        <v>3.8738160191576395E-5</v>
      </c>
      <c r="C70">
        <f>SUM('Mass Balance'!E70:H70)</f>
        <v>3.9946869418574535E-5</v>
      </c>
      <c r="D70">
        <f>Concentrations!F70/Concentrations!E70</f>
        <v>0.97353731667672894</v>
      </c>
    </row>
    <row r="71" spans="1:4">
      <c r="A71" s="164">
        <f>'Mass Balance'!I71</f>
        <v>9.0626666422197207E-8</v>
      </c>
      <c r="B71">
        <f>'Mass Balance'!E71</f>
        <v>3.7655308784312292E-5</v>
      </c>
      <c r="C71">
        <f>SUM('Mass Balance'!E71:H71)</f>
        <v>3.9906266072315419E-5</v>
      </c>
      <c r="D71">
        <f>Concentrations!F71/Concentrations!E71</f>
        <v>0.94728679146870576</v>
      </c>
    </row>
    <row r="72" spans="1:4">
      <c r="A72" s="164">
        <f>'Mass Balance'!I72</f>
        <v>7.3144201357721837E-6</v>
      </c>
      <c r="B72">
        <f>'Mass Balance'!E72</f>
        <v>1.2733902190486571E-7</v>
      </c>
      <c r="C72">
        <f>SUM('Mass Balance'!E72:H72)</f>
        <v>3.2682698481666477E-5</v>
      </c>
      <c r="D72">
        <f>Concentrations!F72/Concentrations!E72</f>
        <v>3.911469649028069E-3</v>
      </c>
    </row>
    <row r="73" spans="1:4">
      <c r="A73" s="164">
        <f>'Mass Balance'!I73</f>
        <v>1.0181077621732678E-6</v>
      </c>
      <c r="B73">
        <f>'Mass Balance'!E73</f>
        <v>1.4076396454718361E-6</v>
      </c>
      <c r="C73">
        <f>SUM('Mass Balance'!E73:H73)</f>
        <v>3.8979107967344572E-5</v>
      </c>
      <c r="D73">
        <f>Concentrations!F73/Concentrations!E73</f>
        <v>3.625400215439354E-2</v>
      </c>
    </row>
    <row r="74" spans="1:4">
      <c r="A74" s="164">
        <f>'Mass Balance'!I74</f>
        <v>8.3013409992196744E-8</v>
      </c>
      <c r="B74">
        <f>'Mass Balance'!E74</f>
        <v>3.7865935852789676E-5</v>
      </c>
      <c r="C74">
        <f>SUM('Mass Balance'!E74:H74)</f>
        <v>3.9914029963342074E-5</v>
      </c>
      <c r="D74">
        <f>Concentrations!F74/Concentrations!E74</f>
        <v>0.95240020044659934</v>
      </c>
    </row>
    <row r="75" spans="1:4">
      <c r="A75" s="164">
        <f>'Mass Balance'!I75</f>
        <v>1.0224759089615685E-6</v>
      </c>
      <c r="B75">
        <f>'Mass Balance'!E75</f>
        <v>1.6652143098079696E-6</v>
      </c>
      <c r="C75">
        <f>SUM('Mass Balance'!E75:H75)</f>
        <v>3.8974517501522398E-5</v>
      </c>
      <c r="D75">
        <f>Concentrations!F75/Concentrations!E75</f>
        <v>4.289293350157574E-2</v>
      </c>
    </row>
    <row r="76" spans="1:4">
      <c r="A76" s="164">
        <f>'Mass Balance'!I76</f>
        <v>7.1637624278102233E-7</v>
      </c>
      <c r="B76">
        <f>'Mass Balance'!E76</f>
        <v>1.7597433571388577E-5</v>
      </c>
      <c r="C76">
        <f>SUM('Mass Balance'!E76:H76)</f>
        <v>3.9276595558356898E-5</v>
      </c>
      <c r="D76">
        <f>Concentrations!F76/Concentrations!E76</f>
        <v>0.44979213802343765</v>
      </c>
    </row>
    <row r="77" spans="1:4">
      <c r="A77" s="164">
        <f>'Mass Balance'!I77</f>
        <v>1.0194798915925243E-6</v>
      </c>
      <c r="B77">
        <f>'Mass Balance'!E77</f>
        <v>1.4770380437961591E-6</v>
      </c>
      <c r="C77">
        <f>SUM('Mass Balance'!E77:H77)</f>
        <v>3.8977664928133139E-5</v>
      </c>
      <c r="D77">
        <f>Concentrations!F77/Concentrations!E77</f>
        <v>3.8042778263146566E-2</v>
      </c>
    </row>
    <row r="78" spans="1:4">
      <c r="A78" s="164">
        <f>'Mass Balance'!I78</f>
        <v>6.3142089354341446E-6</v>
      </c>
      <c r="B78">
        <f>'Mass Balance'!E78</f>
        <v>1.4555279105711693E-7</v>
      </c>
      <c r="C78">
        <f>SUM('Mass Balance'!E78:H78)</f>
        <v>3.3682974350887157E-5</v>
      </c>
      <c r="D78">
        <f>Concentrations!F78/Concentrations!E78</f>
        <v>4.3381689881233461E-3</v>
      </c>
    </row>
    <row r="79" spans="1:4">
      <c r="A79" s="164">
        <f>'Mass Balance'!I79</f>
        <v>6.3142064039988154E-6</v>
      </c>
      <c r="B79">
        <f>'Mass Balance'!E79</f>
        <v>1.4555281286842838E-7</v>
      </c>
      <c r="C79">
        <f>SUM('Mass Balance'!E79:H79)</f>
        <v>3.368297735101256E-5</v>
      </c>
      <c r="D79">
        <f>Concentrations!F79/Concentrations!E79</f>
        <v>4.3381692518061638E-3</v>
      </c>
    </row>
    <row r="80" spans="1:4">
      <c r="A80" s="164">
        <f>'Mass Balance'!I80</f>
        <v>9.8138875831848812E-7</v>
      </c>
      <c r="B80">
        <f>'Mass Balance'!E80</f>
        <v>6.5049519777631641E-6</v>
      </c>
      <c r="C80">
        <f>SUM('Mass Balance'!E80:H80)</f>
        <v>3.9013237845678076E-5</v>
      </c>
      <c r="D80">
        <f>Concentrations!F80/Concentrations!E80</f>
        <v>0.16738959617862059</v>
      </c>
    </row>
    <row r="81" spans="1:4">
      <c r="A81" s="164">
        <f>'Mass Balance'!I81</f>
        <v>2.8453780569032212E-7</v>
      </c>
      <c r="B81">
        <f>'Mass Balance'!E81</f>
        <v>3.1959975554751121E-5</v>
      </c>
      <c r="C81">
        <f>SUM('Mass Balance'!E81:H81)</f>
        <v>3.9710007717289302E-5</v>
      </c>
      <c r="D81">
        <f>Concentrations!F81/Concentrations!E81</f>
        <v>0.80798412745827086</v>
      </c>
    </row>
    <row r="82" spans="1:4">
      <c r="A82" s="164">
        <f>'Mass Balance'!I82</f>
        <v>5.322374922531752E-7</v>
      </c>
      <c r="B82">
        <f>'Mass Balance'!E82</f>
        <v>2.4017108597107419E-5</v>
      </c>
      <c r="C82">
        <f>SUM('Mass Balance'!E82:H82)</f>
        <v>3.9460949630680113E-5</v>
      </c>
      <c r="D82">
        <f>Concentrations!F82/Concentrations!E82</f>
        <v>0.61101173560083721</v>
      </c>
    </row>
    <row r="83" spans="1:4">
      <c r="A83" s="164">
        <f>'Mass Balance'!I83</f>
        <v>1.0678361535431778E-5</v>
      </c>
      <c r="B83">
        <f>'Mass Balance'!E83</f>
        <v>8.5902590488555058E-8</v>
      </c>
      <c r="C83">
        <f>SUM('Mass Balance'!E83:H83)</f>
        <v>2.9318650152954876E-5</v>
      </c>
      <c r="D83">
        <f>Concentrations!F83/Concentrations!E83</f>
        <v>2.9414309087652819E-3</v>
      </c>
    </row>
    <row r="84" spans="1:4">
      <c r="A84" s="164">
        <f>'Mass Balance'!I84</f>
        <v>4.3975438489627593E-6</v>
      </c>
      <c r="B84">
        <f>'Mass Balance'!E84</f>
        <v>1.0120041862987709E-5</v>
      </c>
      <c r="C84">
        <f>SUM('Mass Balance'!E84:H84)</f>
        <v>2.3666641412800911E-5</v>
      </c>
      <c r="D84">
        <f>Concentrations!F84/Concentrations!E84</f>
        <v>0.42928136943734024</v>
      </c>
    </row>
    <row r="85" spans="1:4">
      <c r="A85" s="164">
        <f>'Mass Balance'!I85</f>
        <v>3.1547635588287155E-5</v>
      </c>
      <c r="B85">
        <f>'Mass Balance'!E85</f>
        <v>4.7357582329448797E-7</v>
      </c>
      <c r="C85">
        <f>SUM('Mass Balance'!E85:H85)</f>
        <v>8.3059448115892939E-6</v>
      </c>
      <c r="D85">
        <f>Concentrations!F85/Concentrations!E85</f>
        <v>5.7239633469175176E-2</v>
      </c>
    </row>
    <row r="86" spans="1:4">
      <c r="A86" s="164">
        <f>'Mass Balance'!I86</f>
        <v>2.3497386066387479E-5</v>
      </c>
      <c r="B86">
        <f>'Mass Balance'!E86</f>
        <v>6.036409496699992E-9</v>
      </c>
      <c r="C86">
        <f>SUM('Mass Balance'!E86:H86)</f>
        <v>1.5369284249340152E-5</v>
      </c>
      <c r="D86">
        <f>Concentrations!F86/Concentrations!E86</f>
        <v>3.942951301225698E-4</v>
      </c>
    </row>
    <row r="87" spans="1:4">
      <c r="A87" s="164">
        <f>'Mass Balance'!I87</f>
        <v>2.4839639203419088E-5</v>
      </c>
      <c r="B87">
        <f>'Mass Balance'!E87</f>
        <v>1.9352941614991587E-9</v>
      </c>
      <c r="C87">
        <f>SUM('Mass Balance'!E87:H87)</f>
        <v>1.4454291057339445E-5</v>
      </c>
      <c r="D87">
        <f>Concentrations!F87/Concentrations!E87</f>
        <v>1.3441463378141344E-4</v>
      </c>
    </row>
    <row r="88" spans="1:4">
      <c r="A88" s="164">
        <f>'Mass Balance'!I88</f>
        <v>2.5694837057090473E-5</v>
      </c>
      <c r="B88">
        <f>'Mass Balance'!E88</f>
        <v>5.1543089620438015E-10</v>
      </c>
      <c r="C88">
        <f>SUM('Mass Balance'!E88:H88)</f>
        <v>1.3904732964974093E-5</v>
      </c>
      <c r="D88">
        <f>Concentrations!F88/Concentrations!E88</f>
        <v>3.7213811818105853E-5</v>
      </c>
    </row>
    <row r="89" spans="1:4">
      <c r="A89" s="164">
        <f>'Mass Balance'!I89</f>
        <v>3.8460407058214753E-5</v>
      </c>
      <c r="B89">
        <f>'Mass Balance'!E89</f>
        <v>3.6219353955208139E-9</v>
      </c>
      <c r="C89">
        <f>SUM('Mass Balance'!E89:H89)</f>
        <v>1.494181054786906E-6</v>
      </c>
      <c r="D89">
        <f>Concentrations!F89/Concentrations!E89</f>
        <v>2.4335139283741224E-3</v>
      </c>
    </row>
    <row r="90" spans="1:4">
      <c r="A90" s="164">
        <f>'Mass Balance'!I90</f>
        <v>2.0433414645667912E-8</v>
      </c>
      <c r="B90">
        <f>'Mass Balance'!E90</f>
        <v>3.892618739214334E-5</v>
      </c>
      <c r="C90">
        <f>SUM('Mass Balance'!E90:H90)</f>
        <v>3.8975132687684325E-5</v>
      </c>
      <c r="D90">
        <f>Concentrations!F90/Concentrations!E90</f>
        <v>1.0026529338867343</v>
      </c>
    </row>
    <row r="91" spans="1:4">
      <c r="A91" s="164">
        <f>'Mass Balance'!I91</f>
        <v>1.0174679308995004E-6</v>
      </c>
      <c r="B91">
        <f>'Mass Balance'!E91</f>
        <v>2.7949647873240742E-5</v>
      </c>
      <c r="C91">
        <f>SUM('Mass Balance'!E91:H91)</f>
        <v>3.069825366530611E-5</v>
      </c>
      <c r="D91">
        <f>Concentrations!F91/Concentrations!E91</f>
        <v>0.91402701646221429</v>
      </c>
    </row>
    <row r="92" spans="1:4">
      <c r="A92" s="164">
        <f>'Mass Balance'!I92</f>
        <v>6.0441573587424186E-6</v>
      </c>
      <c r="B92">
        <f>'Mass Balance'!E92</f>
        <v>4.3183226667389749E-6</v>
      </c>
      <c r="C92">
        <f>SUM('Mass Balance'!E92:H92)</f>
        <v>2.4166612353847376E-5</v>
      </c>
      <c r="D92">
        <f>Concentrations!F92/Concentrations!E92</f>
        <v>0.17938894525213359</v>
      </c>
    </row>
    <row r="93" spans="1:4">
      <c r="A93" s="164">
        <f>'Mass Balance'!I93</f>
        <v>8.7283320655115072E-9</v>
      </c>
      <c r="B93">
        <f>'Mass Balance'!E93</f>
        <v>3.9810579568764583E-5</v>
      </c>
      <c r="C93">
        <f>SUM('Mass Balance'!E93:H93)</f>
        <v>3.998515289092139E-5</v>
      </c>
      <c r="D93">
        <f>Concentrations!F93/Concentrations!E93</f>
        <v>0.99953061655693276</v>
      </c>
    </row>
    <row r="94" spans="1:4">
      <c r="A94" s="164">
        <f>'Mass Balance'!I94</f>
        <v>2.3923703975040572E-9</v>
      </c>
      <c r="B94">
        <f>'Mass Balance'!E94</f>
        <v>3.9996772869420949E-5</v>
      </c>
      <c r="C94">
        <f>SUM('Mass Balance'!E94:H94)</f>
        <v>3.9997452796149726E-5</v>
      </c>
      <c r="D94">
        <f>Concentrations!F94/Concentrations!E94</f>
        <v>1.0038965912204807</v>
      </c>
    </row>
    <row r="95" spans="1:4">
      <c r="A95" s="164">
        <f>'Mass Balance'!I95</f>
        <v>8.7153310693627034E-8</v>
      </c>
      <c r="B95">
        <f>'Mass Balance'!E95</f>
        <v>3.7400066350060748E-5</v>
      </c>
      <c r="C95">
        <f>SUM('Mass Balance'!E95:H95)</f>
        <v>3.7600991025775026E-5</v>
      </c>
      <c r="D95">
        <f>Concentrations!F95/Concentrations!E95</f>
        <v>0.99854914344707957</v>
      </c>
    </row>
    <row r="96" spans="1:4">
      <c r="A96" s="164">
        <f>'Mass Balance'!I96</f>
        <v>2.2785435666469751E-5</v>
      </c>
      <c r="B96">
        <f>'Mass Balance'!E96</f>
        <v>9.1296791633138814E-9</v>
      </c>
      <c r="C96">
        <f>SUM('Mass Balance'!E96:H96)</f>
        <v>1.5876966513633255E-5</v>
      </c>
      <c r="D96">
        <f>Concentrations!F96/Concentrations!E96</f>
        <v>5.7727712584221204E-4</v>
      </c>
    </row>
    <row r="97" spans="1:4">
      <c r="A97" s="164">
        <f>'Mass Balance'!I97</f>
        <v>1.7662011191014683E-6</v>
      </c>
      <c r="B97">
        <f>'Mass Balance'!E97</f>
        <v>2.2951875045089896E-5</v>
      </c>
      <c r="C97">
        <f>SUM('Mass Balance'!E97:H97)</f>
        <v>2.7913027664363237E-5</v>
      </c>
      <c r="D97">
        <f>Concentrations!F97/Concentrations!E97</f>
        <v>0.82548196091787918</v>
      </c>
    </row>
    <row r="98" spans="1:4">
      <c r="A98" s="164">
        <f>'Mass Balance'!I98</f>
        <v>1.1349902848477238E-6</v>
      </c>
      <c r="B98">
        <f>'Mass Balance'!E98</f>
        <v>2.7095563258431139E-5</v>
      </c>
      <c r="C98">
        <f>SUM('Mass Balance'!E98:H98)</f>
        <v>3.0184045944291822E-5</v>
      </c>
      <c r="D98">
        <f>Concentrations!F98/Concentrations!E98</f>
        <v>0.90119151188221702</v>
      </c>
    </row>
    <row r="99" spans="1:4">
      <c r="A99" s="164">
        <f>'Mass Balance'!I99</f>
        <v>3.0674209752263647E-7</v>
      </c>
      <c r="B99">
        <f>'Mass Balance'!E99</f>
        <v>3.4275920661645932E-5</v>
      </c>
      <c r="C99">
        <f>SUM('Mass Balance'!E99:H99)</f>
        <v>3.5047047325364146E-5</v>
      </c>
      <c r="D99">
        <f>Concentrations!F99/Concentrations!E99</f>
        <v>0.98182493204176768</v>
      </c>
    </row>
    <row r="100" spans="1:4">
      <c r="A100" s="164">
        <f>'Mass Balance'!I100</f>
        <v>1.5490184894860956E-5</v>
      </c>
      <c r="B100">
        <f>'Mass Balance'!E100</f>
        <v>8.3293106926848231E-8</v>
      </c>
      <c r="C100">
        <f>SUM('Mass Balance'!E100:H100)</f>
        <v>2.1637586456021864E-5</v>
      </c>
      <c r="D100">
        <f>Concentrations!F100/Concentrations!E100</f>
        <v>3.8645293340741375E-3</v>
      </c>
    </row>
    <row r="101" spans="1:4">
      <c r="A101" s="164">
        <f>'Mass Balance'!I101</f>
        <v>5.4888668648476294E-6</v>
      </c>
      <c r="B101">
        <f>'Mass Balance'!E101</f>
        <v>6.1164560961135141E-6</v>
      </c>
      <c r="C101">
        <f>SUM('Mass Balance'!E101:H101)</f>
        <v>2.3706012272414076E-5</v>
      </c>
      <c r="D101">
        <f>Concentrations!F101/Concentrations!E101</f>
        <v>0.25902263682185783</v>
      </c>
    </row>
    <row r="102" spans="1:4">
      <c r="A102" s="164">
        <f>'Mass Balance'!I102</f>
        <v>7.1369319629564026E-6</v>
      </c>
      <c r="B102">
        <f>'Mass Balance'!E102</f>
        <v>1.2824947151197025E-6</v>
      </c>
      <c r="C102">
        <f>SUM('Mass Balance'!E102:H102)</f>
        <v>2.6595272944258421E-5</v>
      </c>
      <c r="D102">
        <f>Concentrations!F102/Concentrations!E102</f>
        <v>4.8411383565722318E-2</v>
      </c>
    </row>
    <row r="103" spans="1:4">
      <c r="A103" s="164">
        <f>'Mass Balance'!I103</f>
        <v>1.6122226142836725E-7</v>
      </c>
      <c r="B103">
        <f>'Mass Balance'!E103</f>
        <v>3.5648078782661819E-5</v>
      </c>
      <c r="C103">
        <f>SUM('Mass Balance'!E103:H103)</f>
        <v>3.9834084792733461E-5</v>
      </c>
      <c r="D103">
        <f>Concentrations!F103/Concentrations!E103</f>
        <v>0.89841635177396051</v>
      </c>
    </row>
    <row r="104" spans="1:4">
      <c r="A104" s="164">
        <f>'Mass Balance'!I104</f>
        <v>1.477732243759761E-6</v>
      </c>
      <c r="B104">
        <f>'Mass Balance'!E104</f>
        <v>4.279121910353023E-7</v>
      </c>
      <c r="C104">
        <f>SUM('Mass Balance'!E104:H104)</f>
        <v>3.8495545414436058E-5</v>
      </c>
      <c r="D104">
        <f>Concentrations!F104/Concentrations!E104</f>
        <v>1.1159392286885953E-2</v>
      </c>
    </row>
    <row r="105" spans="1:4">
      <c r="A105" s="164">
        <f>'Mass Balance'!I105</f>
        <v>2.4870757001968554E-8</v>
      </c>
      <c r="B105">
        <f>'Mass Balance'!E105</f>
        <v>3.8717183504853886E-5</v>
      </c>
      <c r="C105">
        <f>SUM('Mass Balance'!E105:H105)</f>
        <v>3.8771664081983074E-5</v>
      </c>
      <c r="D105">
        <f>Concentrations!F105/Concentrations!E105</f>
        <v>1.0025029928797256</v>
      </c>
    </row>
    <row r="106" spans="1:4">
      <c r="A106" s="164">
        <f>'Mass Balance'!I106</f>
        <v>9.3627759488776771E-8</v>
      </c>
      <c r="B106">
        <f>'Mass Balance'!E106</f>
        <v>3.7269504190309361E-5</v>
      </c>
      <c r="C106">
        <f>SUM('Mass Balance'!E106:H106)</f>
        <v>3.7486989614911109E-5</v>
      </c>
      <c r="D106">
        <f>Concentrations!F106/Concentrations!E106</f>
        <v>0.99808932727434774</v>
      </c>
    </row>
    <row r="107" spans="1:4">
      <c r="A107" s="164">
        <f>'Mass Balance'!I107</f>
        <v>7.7442778749361202E-6</v>
      </c>
      <c r="B107">
        <f>'Mass Balance'!E107</f>
        <v>6.7793640836862126E-7</v>
      </c>
      <c r="C107">
        <f>SUM('Mass Balance'!E107:H107)</f>
        <v>2.7805635653421428E-5</v>
      </c>
      <c r="D107">
        <f>Concentrations!F107/Concentrations!E107</f>
        <v>2.447667902371253E-2</v>
      </c>
    </row>
    <row r="108" spans="1:4">
      <c r="A108" s="164">
        <f>'Mass Balance'!I108</f>
        <v>1.3626531783825454E-9</v>
      </c>
      <c r="B108">
        <f>'Mass Balance'!E108</f>
        <v>3.9996051818411827E-5</v>
      </c>
      <c r="C108">
        <f>SUM('Mass Balance'!E108:H108)</f>
        <v>3.9996413718077281E-5</v>
      </c>
      <c r="D108">
        <f>Concentrations!F108/Concentrations!E108</f>
        <v>1.003904573285616</v>
      </c>
    </row>
    <row r="109" spans="1:4">
      <c r="A109" s="164">
        <f>'Mass Balance'!I109</f>
        <v>3.3519344175818573E-6</v>
      </c>
      <c r="B109">
        <f>'Mass Balance'!E109</f>
        <v>3.375924216622498E-5</v>
      </c>
      <c r="C109">
        <f>SUM('Mass Balance'!E109:H109)</f>
        <v>3.5979842400639285E-5</v>
      </c>
      <c r="D109">
        <f>Concentrations!F109/Concentrations!E109</f>
        <v>0.94195421656589995</v>
      </c>
    </row>
    <row r="110" spans="1:4">
      <c r="A110" s="164">
        <f>'Mass Balance'!I110</f>
        <v>3.2933057714379539E-9</v>
      </c>
      <c r="B110">
        <f>'Mass Balance'!E110</f>
        <v>3.9735738598897082E-5</v>
      </c>
      <c r="C110">
        <f>SUM('Mass Balance'!E110:H110)</f>
        <v>3.9746452121380714E-5</v>
      </c>
      <c r="D110">
        <f>Concentrations!F110/Concentrations!E110</f>
        <v>1.0036430554508315</v>
      </c>
    </row>
    <row r="111" spans="1:4">
      <c r="A111" s="164">
        <f>'Mass Balance'!I111</f>
        <v>3.0251517178584473E-10</v>
      </c>
      <c r="B111">
        <f>'Mass Balance'!E111</f>
        <v>3.9998832999257631E-5</v>
      </c>
      <c r="C111">
        <f>SUM('Mass Balance'!E111:H111)</f>
        <v>3.9999472686294546E-5</v>
      </c>
      <c r="D111">
        <f>Concentrations!F111/Concentrations!E111</f>
        <v>1.0038976020249863</v>
      </c>
    </row>
    <row r="112" spans="1:4">
      <c r="A112" s="164">
        <f>'Mass Balance'!I112</f>
        <v>2.549411335431366E-9</v>
      </c>
      <c r="B112">
        <f>'Mass Balance'!E112</f>
        <v>3.9668688698243434E-5</v>
      </c>
      <c r="C112">
        <f>SUM('Mass Balance'!E112:H112)</f>
        <v>3.9673239693883304E-5</v>
      </c>
      <c r="D112">
        <f>Concentrations!F112/Concentrations!E112</f>
        <v>1.0037984960831405</v>
      </c>
    </row>
    <row r="113" spans="1:4">
      <c r="A113" s="164">
        <f>'Mass Balance'!I113</f>
        <v>5.2555382981215274E-8</v>
      </c>
      <c r="B113">
        <f>'Mass Balance'!E113</f>
        <v>3.8010948490031657E-5</v>
      </c>
      <c r="C113">
        <f>SUM('Mass Balance'!E113:H113)</f>
        <v>3.8131015334261494E-5</v>
      </c>
      <c r="D113">
        <f>Concentrations!F113/Concentrations!E113</f>
        <v>1.0007525362272782</v>
      </c>
    </row>
    <row r="114" spans="1:4">
      <c r="A114" s="164">
        <f>'Mass Balance'!I114</f>
        <v>9.7011293738671532E-10</v>
      </c>
      <c r="B114">
        <f>'Mass Balance'!E114</f>
        <v>3.9829563581091837E-5</v>
      </c>
      <c r="C114">
        <f>SUM('Mass Balance'!E114:H114)</f>
        <v>3.9830921896729037E-5</v>
      </c>
      <c r="D114">
        <f>Concentrations!F114/Concentrations!E114</f>
        <v>1.0038794214981379</v>
      </c>
    </row>
    <row r="115" spans="1:4">
      <c r="A115" s="164">
        <f>'Mass Balance'!I115</f>
        <v>4.6517895499720054E-8</v>
      </c>
      <c r="B115">
        <f>'Mass Balance'!E115</f>
        <v>3.8853826544675709E-5</v>
      </c>
      <c r="C115">
        <f>SUM('Mass Balance'!E115:H115)</f>
        <v>3.995077794774833E-5</v>
      </c>
      <c r="D115">
        <f>Concentrations!F115/Concentrations!E115</f>
        <v>0.97634862444837534</v>
      </c>
    </row>
    <row r="116" spans="1:4">
      <c r="A116" s="164">
        <f>'Mass Balance'!I116</f>
        <v>2.0259805985551297E-5</v>
      </c>
      <c r="B116">
        <f>'Mass Balance'!E116</f>
        <v>2.6596281180956792E-6</v>
      </c>
      <c r="C116">
        <f>SUM('Mass Balance'!E116:H116)</f>
        <v>1.9358951305396531E-5</v>
      </c>
      <c r="D116">
        <f>Concentrations!F116/Concentrations!E116</f>
        <v>0.13792260480320312</v>
      </c>
    </row>
    <row r="117" spans="1:4">
      <c r="A117" s="164">
        <f>'Mass Balance'!I117</f>
        <v>2.7325210936714945E-6</v>
      </c>
      <c r="B117">
        <f>'Mass Balance'!E117</f>
        <v>1.7601983050233169E-5</v>
      </c>
      <c r="C117">
        <f>SUM('Mass Balance'!E117:H117)</f>
        <v>2.5567330805023932E-5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0.97272420851948649</v>
      </c>
      <c r="M2" s="115">
        <v>1.0972504883645309</v>
      </c>
      <c r="N2" s="115">
        <v>1.1398821798434926</v>
      </c>
      <c r="O2" s="115">
        <v>0.81336237539140133</v>
      </c>
      <c r="P2" s="115">
        <v>0.94137245470415198</v>
      </c>
      <c r="Q2" s="111">
        <v>0.81336237539140133</v>
      </c>
      <c r="R2" s="68">
        <v>0.9413724547041521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0.43248924275074691</v>
      </c>
      <c r="M3" s="115">
        <v>213.02570267291151</v>
      </c>
      <c r="N3" s="115">
        <v>223.85892032961451</v>
      </c>
      <c r="O3" s="115">
        <v>2.2177764305267567</v>
      </c>
      <c r="P3" s="115">
        <v>2.0548209514101452</v>
      </c>
      <c r="Q3" s="111">
        <v>2.2177764305267567</v>
      </c>
      <c r="R3" s="68">
        <v>2.0548209514101456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1.0293334826422689</v>
      </c>
      <c r="M4" s="115">
        <v>3.0103468737274017</v>
      </c>
      <c r="N4" s="115">
        <v>3.057168726225731</v>
      </c>
      <c r="O4" s="115">
        <v>0.82730128687748261</v>
      </c>
      <c r="P4" s="115">
        <v>0.96159029029566812</v>
      </c>
      <c r="Q4" s="111">
        <v>0.82730128687748261</v>
      </c>
      <c r="R4" s="68">
        <v>0.96159029029566812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0.53787311131684978</v>
      </c>
      <c r="M5" s="115">
        <v>41.982178664908481</v>
      </c>
      <c r="N5" s="115">
        <v>44.336352755005024</v>
      </c>
      <c r="O5" s="115">
        <v>2.5876483750368879</v>
      </c>
      <c r="P5" s="115">
        <v>4.230374159001947</v>
      </c>
      <c r="Q5" s="111">
        <v>2.5876483750368879</v>
      </c>
      <c r="R5" s="68">
        <v>4.230374159001947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0.31631685551796002</v>
      </c>
      <c r="M6" s="115">
        <v>59.295313723999641</v>
      </c>
      <c r="N6" s="115">
        <v>62.628363299574211</v>
      </c>
      <c r="O6" s="115">
        <v>3.4335526151260476</v>
      </c>
      <c r="P6" s="115">
        <v>5.8093361966293235</v>
      </c>
      <c r="Q6" s="111">
        <v>3.433552615126048</v>
      </c>
      <c r="R6" s="68">
        <v>5.8093361966293235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0.10433314995663508</v>
      </c>
      <c r="M7" s="115">
        <v>77.667799275509324</v>
      </c>
      <c r="N7" s="115">
        <v>82.035263644761699</v>
      </c>
      <c r="O7" s="115">
        <v>4.2450264739853605</v>
      </c>
      <c r="P7" s="115">
        <v>7.2854909537266295</v>
      </c>
      <c r="Q7" s="111">
        <v>4.2450264739853605</v>
      </c>
      <c r="R7" s="68">
        <v>7.2854909537266304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0.22382120943568992</v>
      </c>
      <c r="M8" s="115">
        <v>65.009203161373875</v>
      </c>
      <c r="N8" s="115">
        <v>68.666042343835272</v>
      </c>
      <c r="O8" s="115">
        <v>3.7863772544400898</v>
      </c>
      <c r="P8" s="115">
        <v>6.4771985454855985</v>
      </c>
      <c r="Q8" s="111">
        <v>3.7863772544400898</v>
      </c>
      <c r="R8" s="68">
        <v>6.4771985454855985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0.60414756997294305</v>
      </c>
      <c r="M9" s="115">
        <v>36.954414740537437</v>
      </c>
      <c r="N9" s="115">
        <v>39.023853346353079</v>
      </c>
      <c r="O9" s="115">
        <v>2.3323384560352931</v>
      </c>
      <c r="P9" s="115">
        <v>3.7498944652635458</v>
      </c>
      <c r="Q9" s="111">
        <v>2.3323384560352931</v>
      </c>
      <c r="R9" s="68">
        <v>3.7498944652635458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8.3715040027668493E-3</v>
      </c>
      <c r="M10" s="115">
        <v>528.42992110595628</v>
      </c>
      <c r="N10" s="115">
        <v>557.8950911100618</v>
      </c>
      <c r="O10" s="115">
        <v>6.0449064215421906</v>
      </c>
      <c r="P10" s="115">
        <v>6.1666459132290656</v>
      </c>
      <c r="Q10" s="111">
        <v>6.0449064215421915</v>
      </c>
      <c r="R10" s="68">
        <v>6.1666459132290656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2.1836997652559159E-4</v>
      </c>
      <c r="M11" s="115">
        <v>1800.1046947802315</v>
      </c>
      <c r="N11" s="115">
        <v>1901.0801990385628</v>
      </c>
      <c r="O11" s="115">
        <v>7.7171500133686353</v>
      </c>
      <c r="P11" s="115">
        <v>3.5423347406663428</v>
      </c>
      <c r="Q11" s="111">
        <v>7.7171500133686362</v>
      </c>
      <c r="R11" s="68">
        <v>3.5423347406663432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0.92042823980300748</v>
      </c>
      <c r="M12" s="115">
        <v>7.5061792741973166E-2</v>
      </c>
      <c r="N12" s="115">
        <v>6.1606754304582775E-2</v>
      </c>
      <c r="O12" s="115">
        <v>0.75900707445602178</v>
      </c>
      <c r="P12" s="115">
        <v>0.88199305750604207</v>
      </c>
      <c r="Q12" s="111">
        <v>0.75900707445602178</v>
      </c>
      <c r="R12" s="68">
        <v>0.88199305750604207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0.49309769668879905</v>
      </c>
      <c r="M13" s="115">
        <v>161.12130095034465</v>
      </c>
      <c r="N13" s="115">
        <v>170.09127277264835</v>
      </c>
      <c r="O13" s="115">
        <v>2.0437867506967109</v>
      </c>
      <c r="P13" s="115">
        <v>1.9318847625130595</v>
      </c>
      <c r="Q13" s="111">
        <v>2.0437867506967113</v>
      </c>
      <c r="R13" s="68">
        <v>1.9318847625130595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8.3084826072370478E-3</v>
      </c>
      <c r="M14" s="115">
        <v>150.38822964911429</v>
      </c>
      <c r="N14" s="115">
        <v>158.85405286248923</v>
      </c>
      <c r="O14" s="115">
        <v>4.6980025220889932</v>
      </c>
      <c r="P14" s="115">
        <v>7.8708309111906427</v>
      </c>
      <c r="Q14" s="111">
        <v>4.6980025220889932</v>
      </c>
      <c r="R14" s="68">
        <v>7.8708309111906427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0.75261395823998312</v>
      </c>
      <c r="M15" s="115">
        <v>27.286593282343546</v>
      </c>
      <c r="N15" s="115">
        <v>28.792631522639553</v>
      </c>
      <c r="O15" s="115">
        <v>0.8867673093260422</v>
      </c>
      <c r="P15" s="115">
        <v>0.94430744901135832</v>
      </c>
      <c r="Q15" s="111">
        <v>0.8867673093260422</v>
      </c>
      <c r="R15" s="68">
        <v>0.94430744901135832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0.45667481871753673</v>
      </c>
      <c r="M16" s="115">
        <v>179.92956092424421</v>
      </c>
      <c r="N16" s="115">
        <v>189.94861064267042</v>
      </c>
      <c r="O16" s="115">
        <v>2.2121328571025209</v>
      </c>
      <c r="P16" s="115">
        <v>2.0825420875729597</v>
      </c>
      <c r="Q16" s="111">
        <v>2.2121328571025209</v>
      </c>
      <c r="R16" s="68">
        <v>2.0825420875729601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0.47867436648123041</v>
      </c>
      <c r="M17" s="115">
        <v>167.77929600720873</v>
      </c>
      <c r="N17" s="115">
        <v>177.12066247303801</v>
      </c>
      <c r="O17" s="115">
        <v>2.1020723162897688</v>
      </c>
      <c r="P17" s="115">
        <v>1.983659183774195</v>
      </c>
      <c r="Q17" s="111">
        <v>2.1020723162897688</v>
      </c>
      <c r="R17" s="68">
        <v>1.983659183774195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2.9446486415746404E-4</v>
      </c>
      <c r="M18" s="115">
        <v>1546.847290005981</v>
      </c>
      <c r="N18" s="115">
        <v>1633.1366718076533</v>
      </c>
      <c r="O18" s="115">
        <v>9.8495661619656261</v>
      </c>
      <c r="P18" s="115">
        <v>4.2190770575009751</v>
      </c>
      <c r="Q18" s="111">
        <v>9.8495661619656278</v>
      </c>
      <c r="R18" s="68">
        <v>4.2190770575009751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0.89763893770606951</v>
      </c>
      <c r="M19" s="115">
        <v>9.6532506178977542</v>
      </c>
      <c r="N19" s="115">
        <v>10.173979581960845</v>
      </c>
      <c r="O19" s="115">
        <v>0.83310739274279066</v>
      </c>
      <c r="P19" s="115">
        <v>0.93580390878312325</v>
      </c>
      <c r="Q19" s="111">
        <v>0.83310739274279078</v>
      </c>
      <c r="R19" s="68">
        <v>0.93580390878312336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0.8545171516532577</v>
      </c>
      <c r="M20" s="115">
        <v>16.480456311657569</v>
      </c>
      <c r="N20" s="115">
        <v>17.382406723944751</v>
      </c>
      <c r="O20" s="115">
        <v>0.86404631686780231</v>
      </c>
      <c r="P20" s="115">
        <v>0.95032967338371555</v>
      </c>
      <c r="Q20" s="111">
        <v>0.86404631686780231</v>
      </c>
      <c r="R20" s="68">
        <v>0.95032967338371555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9.8499197629337648E-2</v>
      </c>
      <c r="M21" s="115">
        <v>193.19808784721704</v>
      </c>
      <c r="N21" s="115">
        <v>203.99413724881961</v>
      </c>
      <c r="O21" s="115">
        <v>4.339300977375351</v>
      </c>
      <c r="P21" s="115">
        <v>6.3767048107502564</v>
      </c>
      <c r="Q21" s="111">
        <v>4.339300977375351</v>
      </c>
      <c r="R21" s="68">
        <v>6.3767048107502564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0.90040645781100093</v>
      </c>
      <c r="M22" s="115">
        <v>1.7685023687985781</v>
      </c>
      <c r="N22" s="115">
        <v>1.8499003582330007</v>
      </c>
      <c r="O22" s="115">
        <v>0.75993613104085345</v>
      </c>
      <c r="P22" s="115">
        <v>0.87690961103533527</v>
      </c>
      <c r="Q22" s="111">
        <v>0.75993613104085345</v>
      </c>
      <c r="R22" s="68">
        <v>0.87690961103533538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0.70895745112608821</v>
      </c>
      <c r="M23" s="115">
        <v>45.055022187959025</v>
      </c>
      <c r="N23" s="115">
        <v>47.552050168840189</v>
      </c>
      <c r="O23" s="115">
        <v>1.0281183207484013</v>
      </c>
      <c r="P23" s="115">
        <v>1.056858443007537</v>
      </c>
      <c r="Q23" s="111">
        <v>1.0281183207484015</v>
      </c>
      <c r="R23" s="68">
        <v>1.0568584430075372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0.34481835081269729</v>
      </c>
      <c r="M24" s="115">
        <v>243.82354813198</v>
      </c>
      <c r="N24" s="115">
        <v>257.40644988506915</v>
      </c>
      <c r="O24" s="115">
        <v>2.8036555420189999</v>
      </c>
      <c r="P24" s="115">
        <v>2.62588042206536</v>
      </c>
      <c r="Q24" s="111">
        <v>2.8036555420189999</v>
      </c>
      <c r="R24" s="68">
        <v>2.62588042206536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4.3043633700891662E-4</v>
      </c>
      <c r="M25" s="115">
        <v>1484.0338415409217</v>
      </c>
      <c r="N25" s="115">
        <v>1566.815922122488</v>
      </c>
      <c r="O25" s="115">
        <v>9.6177521874928313</v>
      </c>
      <c r="P25" s="115">
        <v>4.3188936961717657</v>
      </c>
      <c r="Q25" s="111">
        <v>9.6177521874928313</v>
      </c>
      <c r="R25" s="68">
        <v>4.3188936961717665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0.11891304715268453</v>
      </c>
      <c r="M26" s="115">
        <v>350.31845568899803</v>
      </c>
      <c r="N26" s="115">
        <v>369.84398557963544</v>
      </c>
      <c r="O26" s="115">
        <v>3.8402209994857728</v>
      </c>
      <c r="P26" s="115">
        <v>3.6632230634444163</v>
      </c>
      <c r="Q26" s="111">
        <v>3.8402209994857728</v>
      </c>
      <c r="R26" s="68">
        <v>3.6632230634444167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1.4814613289023648E-2</v>
      </c>
      <c r="M27" s="115">
        <v>219.25926502382779</v>
      </c>
      <c r="N27" s="115">
        <v>231.48314326205022</v>
      </c>
      <c r="O27" s="115">
        <v>2.4527310443847665</v>
      </c>
      <c r="P27" s="115">
        <v>2.4341722763114051</v>
      </c>
      <c r="Q27" s="111">
        <v>2.4527310443847665</v>
      </c>
      <c r="R27" s="68">
        <v>2.4341722763114055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2.7892017582362504E-2</v>
      </c>
      <c r="M28" s="115">
        <v>111.37610684700809</v>
      </c>
      <c r="N28" s="115">
        <v>117.5842037457122</v>
      </c>
      <c r="O28" s="115">
        <v>1.2216590020157201</v>
      </c>
      <c r="P28" s="115">
        <v>1.1732641039133103</v>
      </c>
      <c r="Q28" s="111">
        <v>1.2216590020157203</v>
      </c>
      <c r="R28" s="68">
        <v>1.1732641039133105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5.8973064338307297E-2</v>
      </c>
      <c r="M29" s="115">
        <v>1.4368684589861893</v>
      </c>
      <c r="N29" s="115">
        <v>1.5158031452584391</v>
      </c>
      <c r="O29" s="115">
        <v>6.2566885291153729E-2</v>
      </c>
      <c r="P29" s="115">
        <v>6.8074228067223908E-2</v>
      </c>
      <c r="Q29" s="111">
        <v>6.2566885291153743E-2</v>
      </c>
      <c r="R29" s="68">
        <v>6.8074228067223908E-2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1.1762221526866361E-2</v>
      </c>
      <c r="M30" s="115">
        <v>43.784638009430786</v>
      </c>
      <c r="N30" s="115">
        <v>46.225158275113429</v>
      </c>
      <c r="O30" s="115">
        <v>0.48010406957472274</v>
      </c>
      <c r="P30" s="115">
        <v>0.46034446722074956</v>
      </c>
      <c r="Q30" s="111">
        <v>0.48010406957472274</v>
      </c>
      <c r="R30" s="68">
        <v>0.46034446722074956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4.4642542013019514E-4</v>
      </c>
      <c r="M31" s="115">
        <v>0.76790161320573369</v>
      </c>
      <c r="N31" s="115">
        <v>0.81069588586250918</v>
      </c>
      <c r="O31" s="115">
        <v>8.4659054130458641E-3</v>
      </c>
      <c r="P31" s="115">
        <v>7.9933859425184439E-3</v>
      </c>
      <c r="Q31" s="111">
        <v>8.4659054130458659E-3</v>
      </c>
      <c r="R31" s="68">
        <v>7.9933859425184457E-3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0.53220774851556196</v>
      </c>
      <c r="M32" s="115">
        <v>140.8858219835538</v>
      </c>
      <c r="N32" s="115">
        <v>148.72714846252867</v>
      </c>
      <c r="O32" s="115">
        <v>1.8641488445653263</v>
      </c>
      <c r="P32" s="115">
        <v>1.7729070321795819</v>
      </c>
      <c r="Q32" s="111">
        <v>1.8641488445653265</v>
      </c>
      <c r="R32" s="68">
        <v>1.7729070321795821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0.68982118396083347</v>
      </c>
      <c r="M33" s="115">
        <v>73.337960148263861</v>
      </c>
      <c r="N33" s="115">
        <v>77.411519653856701</v>
      </c>
      <c r="O33" s="115">
        <v>1.2974958490912576</v>
      </c>
      <c r="P33" s="115">
        <v>1.2902118411945107</v>
      </c>
      <c r="Q33" s="111">
        <v>1.2974958490912576</v>
      </c>
      <c r="R33" s="68">
        <v>1.2902118411945107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0.14981910359530606</v>
      </c>
      <c r="M34" s="115">
        <v>383.56717383694598</v>
      </c>
      <c r="N34" s="115">
        <v>404.94519201889585</v>
      </c>
      <c r="O34" s="115">
        <v>4.2069549884981239</v>
      </c>
      <c r="P34" s="115">
        <v>4.0013531790591088</v>
      </c>
      <c r="Q34" s="111">
        <v>4.2069549884981239</v>
      </c>
      <c r="R34" s="68">
        <v>4.0013531790591088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1.6954670270945865E-2</v>
      </c>
      <c r="M35" s="115">
        <v>506.2384229159706</v>
      </c>
      <c r="N35" s="115">
        <v>534.46392823775045</v>
      </c>
      <c r="O35" s="115">
        <v>5.7570254763564677</v>
      </c>
      <c r="P35" s="115">
        <v>5.8199252990228922</v>
      </c>
      <c r="Q35" s="111">
        <v>5.7570254763564686</v>
      </c>
      <c r="R35" s="68">
        <v>5.8199252990228922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3.0808803984598396E-3</v>
      </c>
      <c r="M36" s="115">
        <v>932.34172090250934</v>
      </c>
      <c r="N36" s="115">
        <v>984.3371797996947</v>
      </c>
      <c r="O36" s="115">
        <v>7.5493984282077786</v>
      </c>
      <c r="P36" s="115">
        <v>5.3198636885614965</v>
      </c>
      <c r="Q36" s="111">
        <v>7.5493984282077795</v>
      </c>
      <c r="R36" s="68">
        <v>5.3198636885614974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3.2712299994912432E-4</v>
      </c>
      <c r="M37" s="115">
        <v>1528.7106605106519</v>
      </c>
      <c r="N37" s="115">
        <v>1613.9873613141356</v>
      </c>
      <c r="O37" s="115">
        <v>9.7782865330526398</v>
      </c>
      <c r="P37" s="115">
        <v>4.2401256161592071</v>
      </c>
      <c r="Q37" s="111">
        <v>9.7782865330526398</v>
      </c>
      <c r="R37" s="68">
        <v>4.2401256161592071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1.4703009350319008E-3</v>
      </c>
      <c r="M38" s="115">
        <v>1188.5687548694127</v>
      </c>
      <c r="N38" s="115">
        <v>1254.860021286793</v>
      </c>
      <c r="O38" s="115">
        <v>8.5125661046271066</v>
      </c>
      <c r="P38" s="115">
        <v>4.8325242753874464</v>
      </c>
      <c r="Q38" s="111">
        <v>8.5125661046271084</v>
      </c>
      <c r="R38" s="68">
        <v>4.8325242753874473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2.4718976771782235E-3</v>
      </c>
      <c r="M39" s="115">
        <v>990.49009183980297</v>
      </c>
      <c r="N39" s="115">
        <v>1045.7299332297878</v>
      </c>
      <c r="O39" s="115">
        <v>7.6971778049699937</v>
      </c>
      <c r="P39" s="115">
        <v>5.0818346081968606</v>
      </c>
      <c r="Q39" s="111">
        <v>7.6971778049699946</v>
      </c>
      <c r="R39" s="68">
        <v>5.0818346081968606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1.4703009350319008E-3</v>
      </c>
      <c r="M40" s="115">
        <v>1188.5687548694127</v>
      </c>
      <c r="N40" s="115">
        <v>1254.860021286793</v>
      </c>
      <c r="O40" s="115">
        <v>8.5125661046271066</v>
      </c>
      <c r="P40" s="115">
        <v>4.8325242753874464</v>
      </c>
      <c r="Q40" s="111">
        <v>8.5125661046271084</v>
      </c>
      <c r="R40" s="68">
        <v>4.8325242753874473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0.94986917222230927</v>
      </c>
      <c r="M41" s="115">
        <v>5.1931680397700708</v>
      </c>
      <c r="N41" s="115">
        <v>5.4675670985089448</v>
      </c>
      <c r="O41" s="115">
        <v>1.0071896720229094</v>
      </c>
      <c r="P41" s="115">
        <v>1.2934080386482867</v>
      </c>
      <c r="Q41" s="111">
        <v>1.0071896720229094</v>
      </c>
      <c r="R41" s="68">
        <v>1.2934080386482867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2.9398928815483423E-4</v>
      </c>
      <c r="M42" s="115">
        <v>1544.3490515388394</v>
      </c>
      <c r="N42" s="115">
        <v>1630.4990715209478</v>
      </c>
      <c r="O42" s="115">
        <v>9.8336586026160653</v>
      </c>
      <c r="P42" s="115">
        <v>4.212263029594677</v>
      </c>
      <c r="Q42" s="111">
        <v>9.8336586026160671</v>
      </c>
      <c r="R42" s="68">
        <v>4.212263029594677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0.31991459281360718</v>
      </c>
      <c r="M43" s="115">
        <v>260.30202479869581</v>
      </c>
      <c r="N43" s="115">
        <v>274.80403481399651</v>
      </c>
      <c r="O43" s="115">
        <v>2.9618460154122839</v>
      </c>
      <c r="P43" s="115">
        <v>2.7746482891879216</v>
      </c>
      <c r="Q43" s="111">
        <v>2.9618460154122839</v>
      </c>
      <c r="R43" s="68">
        <v>2.7746482891879216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5.1054583929290914E-3</v>
      </c>
      <c r="M44" s="115">
        <v>730.83061266874324</v>
      </c>
      <c r="N44" s="115">
        <v>771.58502777657395</v>
      </c>
      <c r="O44" s="115">
        <v>6.7961971986913614</v>
      </c>
      <c r="P44" s="115">
        <v>5.7306054498680208</v>
      </c>
      <c r="Q44" s="111">
        <v>6.7961971986913614</v>
      </c>
      <c r="R44" s="68">
        <v>5.7306054498680208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1.207422593222909E-4</v>
      </c>
      <c r="M45" s="115">
        <v>1655.1264522693016</v>
      </c>
      <c r="N45" s="115">
        <v>1747.4644402324752</v>
      </c>
      <c r="O45" s="115">
        <v>10.239430572598387</v>
      </c>
      <c r="P45" s="115">
        <v>4.056143401884432</v>
      </c>
      <c r="Q45" s="111">
        <v>10.239430572598387</v>
      </c>
      <c r="R45" s="68">
        <v>4.056143401884432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2.5899333859011645E-4</v>
      </c>
      <c r="M46" s="115">
        <v>1565.5330762358008</v>
      </c>
      <c r="N46" s="115">
        <v>1652.8659883330247</v>
      </c>
      <c r="O46" s="115">
        <v>9.9178337989397924</v>
      </c>
      <c r="P46" s="115">
        <v>4.1899102603103131</v>
      </c>
      <c r="Q46" s="111">
        <v>9.9178337989397924</v>
      </c>
      <c r="R46" s="68">
        <v>4.1899102603103131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6.4934296707180525E-4</v>
      </c>
      <c r="M47" s="115">
        <v>1402.2002638111583</v>
      </c>
      <c r="N47" s="115">
        <v>1480.4140243171321</v>
      </c>
      <c r="O47" s="115">
        <v>9.3134743135907296</v>
      </c>
      <c r="P47" s="115">
        <v>4.4549820479729076</v>
      </c>
      <c r="Q47" s="111">
        <v>9.3134743135907296</v>
      </c>
      <c r="R47" s="68">
        <v>4.4549820479729076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4.9149503261285837E-2</v>
      </c>
      <c r="M48" s="115">
        <v>477.42814374101272</v>
      </c>
      <c r="N48" s="115">
        <v>504.04369271710272</v>
      </c>
      <c r="O48" s="115">
        <v>5.2960761426364407</v>
      </c>
      <c r="P48" s="115">
        <v>5.1988864538219586</v>
      </c>
      <c r="Q48" s="111">
        <v>5.2960761426364407</v>
      </c>
      <c r="R48" s="68">
        <v>5.1988864538219586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4.6630136142254757E-3</v>
      </c>
      <c r="M49" s="115">
        <v>768.08334755423516</v>
      </c>
      <c r="N49" s="115">
        <v>810.91574688943808</v>
      </c>
      <c r="O49" s="115">
        <v>6.9355678920259107</v>
      </c>
      <c r="P49" s="115">
        <v>5.6537870822707141</v>
      </c>
      <c r="Q49" s="111">
        <v>6.9355678920259107</v>
      </c>
      <c r="R49" s="68">
        <v>5.6537870822707141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3.9922335009236285E-3</v>
      </c>
      <c r="M50" s="115">
        <v>830.91589134812455</v>
      </c>
      <c r="N50" s="115">
        <v>877.2532485219914</v>
      </c>
      <c r="O50" s="115">
        <v>7.1701925630046466</v>
      </c>
      <c r="P50" s="115">
        <v>5.5245378236148115</v>
      </c>
      <c r="Q50" s="111">
        <v>7.1701925630046466</v>
      </c>
      <c r="R50" s="68">
        <v>5.5245378236148124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3.12863556059658E-2</v>
      </c>
      <c r="M51" s="115">
        <v>496.70944052721529</v>
      </c>
      <c r="N51" s="115">
        <v>524.40162491427361</v>
      </c>
      <c r="O51" s="115">
        <v>5.5648925695659779</v>
      </c>
      <c r="P51" s="115">
        <v>5.5329398604196305</v>
      </c>
      <c r="Q51" s="111">
        <v>5.5648925695659788</v>
      </c>
      <c r="R51" s="68">
        <v>5.5329398604196305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4.7112615420874804E-2</v>
      </c>
      <c r="M52" s="115">
        <v>479.56331430434255</v>
      </c>
      <c r="N52" s="115">
        <v>506.29806330652525</v>
      </c>
      <c r="O52" s="115">
        <v>5.3243407010131945</v>
      </c>
      <c r="P52" s="115">
        <v>5.2329271821786323</v>
      </c>
      <c r="Q52" s="111">
        <v>5.3243407010131953</v>
      </c>
      <c r="R52" s="68">
        <v>5.2329271821786332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2.3891871828130551E-3</v>
      </c>
      <c r="M53" s="115">
        <v>1026.950863712696</v>
      </c>
      <c r="N53" s="115">
        <v>1084.2245240356951</v>
      </c>
      <c r="O53" s="115">
        <v>7.9053602870883593</v>
      </c>
      <c r="P53" s="115">
        <v>5.1367315225136938</v>
      </c>
      <c r="Q53" s="111">
        <v>7.9053602870883601</v>
      </c>
      <c r="R53" s="68">
        <v>5.1367315225136947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4.3174598898956165E-3</v>
      </c>
      <c r="M54" s="115">
        <v>799.4102441495296</v>
      </c>
      <c r="N54" s="115">
        <v>843.99011870420645</v>
      </c>
      <c r="O54" s="115">
        <v>7.0526064446344776</v>
      </c>
      <c r="P54" s="115">
        <v>5.5892751706871797</v>
      </c>
      <c r="Q54" s="111">
        <v>7.0526064446344776</v>
      </c>
      <c r="R54" s="68">
        <v>5.5892751706871797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6.7603411848714539E-4</v>
      </c>
      <c r="M55" s="115">
        <v>1393.1074699553974</v>
      </c>
      <c r="N55" s="115">
        <v>1470.8136923990071</v>
      </c>
      <c r="O55" s="115">
        <v>9.278993911602516</v>
      </c>
      <c r="P55" s="115">
        <v>4.4695222589683858</v>
      </c>
      <c r="Q55" s="111">
        <v>9.278993911602516</v>
      </c>
      <c r="R55" s="68">
        <v>4.4695222589683858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4.9546735305489673E-3</v>
      </c>
      <c r="M56" s="115">
        <v>743.21920765889979</v>
      </c>
      <c r="N56" s="115">
        <v>784.66466171422496</v>
      </c>
      <c r="O56" s="115">
        <v>6.8426762581532508</v>
      </c>
      <c r="P56" s="115">
        <v>5.7052387597734606</v>
      </c>
      <c r="Q56" s="111">
        <v>6.8426762581532516</v>
      </c>
      <c r="R56" s="68">
        <v>5.7052387597734615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5.9173596984747959E-2</v>
      </c>
      <c r="M57" s="115">
        <v>465.66921651845121</v>
      </c>
      <c r="N57" s="115">
        <v>491.62846616135755</v>
      </c>
      <c r="O57" s="115">
        <v>5.1470466949969227</v>
      </c>
      <c r="P57" s="115">
        <v>5.0255219231302535</v>
      </c>
      <c r="Q57" s="111">
        <v>5.1470466949969236</v>
      </c>
      <c r="R57" s="68">
        <v>5.0255219231302544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4.250839134221601E-3</v>
      </c>
      <c r="M58" s="115">
        <v>805.70491748294955</v>
      </c>
      <c r="N58" s="115">
        <v>850.63592538646367</v>
      </c>
      <c r="O58" s="115">
        <v>7.0761359883959116</v>
      </c>
      <c r="P58" s="115">
        <v>5.5763767955941113</v>
      </c>
      <c r="Q58" s="111">
        <v>7.0761359883959116</v>
      </c>
      <c r="R58" s="68">
        <v>5.5763767955941113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4.7117850077640029E-2</v>
      </c>
      <c r="M59" s="115">
        <v>479.61659832020865</v>
      </c>
      <c r="N59" s="115">
        <v>506.35431780563619</v>
      </c>
      <c r="O59" s="115">
        <v>5.3249322855775825</v>
      </c>
      <c r="P59" s="115">
        <v>5.233508609837263</v>
      </c>
      <c r="Q59" s="111">
        <v>5.3249322855775834</v>
      </c>
      <c r="R59" s="68">
        <v>5.2335086098372638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2.7863178022425328E-3</v>
      </c>
      <c r="M60" s="115">
        <v>970.26555100373798</v>
      </c>
      <c r="N60" s="115">
        <v>1024.3767195315311</v>
      </c>
      <c r="O60" s="115">
        <v>7.6914676281490975</v>
      </c>
      <c r="P60" s="115">
        <v>5.244899528145103</v>
      </c>
      <c r="Q60" s="111">
        <v>7.6914676281490975</v>
      </c>
      <c r="R60" s="68">
        <v>5.244899528145103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0.22260372539196208</v>
      </c>
      <c r="M61" s="115">
        <v>607.48710836921839</v>
      </c>
      <c r="N61" s="115">
        <v>626.32417641698441</v>
      </c>
      <c r="O61" s="115">
        <v>3.4645267604259367</v>
      </c>
      <c r="P61" s="115">
        <v>3.483800414910855</v>
      </c>
      <c r="Q61" s="111">
        <v>3.4645267604259367</v>
      </c>
      <c r="R61" s="68">
        <v>3.483800414910855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0.16069280509942316</v>
      </c>
      <c r="M62" s="115">
        <v>374.65470365928968</v>
      </c>
      <c r="N62" s="115">
        <v>395.53551497046999</v>
      </c>
      <c r="O62" s="115">
        <v>4.1120633774830306</v>
      </c>
      <c r="P62" s="115">
        <v>3.9038306881057383</v>
      </c>
      <c r="Q62" s="111">
        <v>4.1120633774830306</v>
      </c>
      <c r="R62" s="68">
        <v>3.9038306881057383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0.91382890253084115</v>
      </c>
      <c r="M63" s="115">
        <v>104.87375136667001</v>
      </c>
      <c r="N63" s="115">
        <v>107.43618570171461</v>
      </c>
      <c r="O63" s="115">
        <v>1.0217337940342357</v>
      </c>
      <c r="P63" s="115">
        <v>1.1437092126999127</v>
      </c>
      <c r="Q63" s="111">
        <v>1.0217337940342357</v>
      </c>
      <c r="R63" s="68">
        <v>1.1437092126999129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0.97988688599946128</v>
      </c>
      <c r="M64" s="115">
        <v>2.1513529681910564</v>
      </c>
      <c r="N64" s="115">
        <v>2.2534693014739173</v>
      </c>
      <c r="O64" s="115">
        <v>0.87378506520584232</v>
      </c>
      <c r="P64" s="115">
        <v>1.0446863821643431</v>
      </c>
      <c r="Q64" s="111">
        <v>0.87378506520584232</v>
      </c>
      <c r="R64" s="68">
        <v>1.0446863821643431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1.0233496923023564</v>
      </c>
      <c r="M65" s="115">
        <v>9.3595840608404348</v>
      </c>
      <c r="N65" s="115">
        <v>9.5485772630042156</v>
      </c>
      <c r="O65" s="115">
        <v>0.83302496582375929</v>
      </c>
      <c r="P65" s="115">
        <v>0.96749715381628976</v>
      </c>
      <c r="Q65" s="111">
        <v>0.83302496582375929</v>
      </c>
      <c r="R65" s="68">
        <v>0.96749715381628987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0.60842968314796841</v>
      </c>
      <c r="M66" s="115">
        <v>663.83961720225602</v>
      </c>
      <c r="N66" s="115">
        <v>678.45797367655223</v>
      </c>
      <c r="O66" s="115">
        <v>1.6206008076389378</v>
      </c>
      <c r="P66" s="115">
        <v>1.9760105854722521</v>
      </c>
      <c r="Q66" s="111">
        <v>1.6206008076389378</v>
      </c>
      <c r="R66" s="68">
        <v>1.9760105854722521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1.0237864800595937</v>
      </c>
      <c r="M67" s="115">
        <v>7.7989122394200905</v>
      </c>
      <c r="N67" s="115">
        <v>7.9543394886905947</v>
      </c>
      <c r="O67" s="115">
        <v>0.83160522068963905</v>
      </c>
      <c r="P67" s="115">
        <v>0.965701255309523</v>
      </c>
      <c r="Q67" s="111">
        <v>0.83160522068963905</v>
      </c>
      <c r="R67" s="68">
        <v>0.96570125530952311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1.0282269570602618</v>
      </c>
      <c r="M68" s="115">
        <v>1.0530635450724815</v>
      </c>
      <c r="N68" s="115">
        <v>1.0583558092586882</v>
      </c>
      <c r="O68" s="115">
        <v>0.82540432578167278</v>
      </c>
      <c r="P68" s="115">
        <v>0.95915941066566102</v>
      </c>
      <c r="Q68" s="111">
        <v>0.82540432578167289</v>
      </c>
      <c r="R68" s="68">
        <v>0.95915941066566102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5.7716951473629667E-3</v>
      </c>
      <c r="M69" s="115">
        <v>680.38984537184945</v>
      </c>
      <c r="N69" s="115">
        <v>718.33071180057163</v>
      </c>
      <c r="O69" s="115">
        <v>6.6086336777451926</v>
      </c>
      <c r="P69" s="115">
        <v>5.8374178478718175</v>
      </c>
      <c r="Q69" s="111">
        <v>6.6086336777451926</v>
      </c>
      <c r="R69" s="68">
        <v>5.8374178478718175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0.96579729528722291</v>
      </c>
      <c r="M70" s="115">
        <v>3.5339252566187112</v>
      </c>
      <c r="N70" s="115">
        <v>3.7145927681568978</v>
      </c>
      <c r="O70" s="115">
        <v>0.94631523816797081</v>
      </c>
      <c r="P70" s="115">
        <v>1.1813886250774432</v>
      </c>
      <c r="Q70" s="111">
        <v>0.94631523816797081</v>
      </c>
      <c r="R70" s="68">
        <v>1.1813886250774435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0.93880063229931765</v>
      </c>
      <c r="M71" s="115">
        <v>6.2970168442327124</v>
      </c>
      <c r="N71" s="115">
        <v>6.6338127057527974</v>
      </c>
      <c r="O71" s="115">
        <v>1.0502003328318767</v>
      </c>
      <c r="P71" s="115">
        <v>1.3729826678556931</v>
      </c>
      <c r="Q71" s="111">
        <v>1.0502003328318767</v>
      </c>
      <c r="R71" s="68">
        <v>1.3729826678556933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3.1747451556107822E-3</v>
      </c>
      <c r="M72" s="115">
        <v>508.228191757378</v>
      </c>
      <c r="N72" s="115">
        <v>536.85124785106598</v>
      </c>
      <c r="O72" s="115">
        <v>5.1241677469100182</v>
      </c>
      <c r="P72" s="115">
        <v>7.2239531082540829</v>
      </c>
      <c r="Q72" s="111">
        <v>5.1241677469100182</v>
      </c>
      <c r="R72" s="68">
        <v>7.2239531082540829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3.5094482992352877E-2</v>
      </c>
      <c r="M73" s="115">
        <v>70.741228611260965</v>
      </c>
      <c r="N73" s="115">
        <v>74.72465992595238</v>
      </c>
      <c r="O73" s="115">
        <v>4.4981921276828531</v>
      </c>
      <c r="P73" s="115">
        <v>7.8470394414901268</v>
      </c>
      <c r="Q73" s="111">
        <v>4.4981921276828531</v>
      </c>
      <c r="R73" s="68">
        <v>7.8470394414901268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0.94405182358271778</v>
      </c>
      <c r="M74" s="115">
        <v>5.7680245964561383</v>
      </c>
      <c r="N74" s="115">
        <v>6.0749282377555147</v>
      </c>
      <c r="O74" s="115">
        <v>1.0300020377576482</v>
      </c>
      <c r="P74" s="115">
        <v>1.3356966841666016</v>
      </c>
      <c r="Q74" s="111">
        <v>1.0300020377576482</v>
      </c>
      <c r="R74" s="68">
        <v>1.3356966841666018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4.1516190202697395E-2</v>
      </c>
      <c r="M75" s="115">
        <v>71.044740756084522</v>
      </c>
      <c r="N75" s="115">
        <v>75.045143344585057</v>
      </c>
      <c r="O75" s="115">
        <v>4.4745493938720182</v>
      </c>
      <c r="P75" s="115">
        <v>7.7994989967695636</v>
      </c>
      <c r="Q75" s="111">
        <v>4.4745493938720182</v>
      </c>
      <c r="R75" s="68">
        <v>7.7994989967695645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0.43872934337061104</v>
      </c>
      <c r="M76" s="115">
        <v>49.776003528420112</v>
      </c>
      <c r="N76" s="115">
        <v>52.571010745379979</v>
      </c>
      <c r="O76" s="115">
        <v>2.9667831247604886</v>
      </c>
      <c r="P76" s="115">
        <v>4.9392981137339937</v>
      </c>
      <c r="Q76" s="111">
        <v>2.9667831247604886</v>
      </c>
      <c r="R76" s="68">
        <v>4.9392981137339937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3.6824684975275787E-2</v>
      </c>
      <c r="M77" s="115">
        <v>70.836568343004743</v>
      </c>
      <c r="N77" s="115">
        <v>74.825335709157017</v>
      </c>
      <c r="O77" s="115">
        <v>4.4918378266391663</v>
      </c>
      <c r="P77" s="115">
        <v>7.8342005296514756</v>
      </c>
      <c r="Q77" s="111">
        <v>4.4918378266391663</v>
      </c>
      <c r="R77" s="68">
        <v>7.8342005296514765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3.6288406442773801E-3</v>
      </c>
      <c r="M78" s="115">
        <v>438.73047077780319</v>
      </c>
      <c r="N78" s="115">
        <v>463.43944447510063</v>
      </c>
      <c r="O78" s="115">
        <v>5.0419704277376534</v>
      </c>
      <c r="P78" s="115">
        <v>7.3566574259692894</v>
      </c>
      <c r="Q78" s="111">
        <v>5.0419704277376534</v>
      </c>
      <c r="R78" s="68">
        <v>7.3566574259692903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3.6288411880649684E-3</v>
      </c>
      <c r="M79" s="115">
        <v>438.73029488596546</v>
      </c>
      <c r="N79" s="115">
        <v>463.43925882005857</v>
      </c>
      <c r="O79" s="115">
        <v>5.0419698778876292</v>
      </c>
      <c r="P79" s="115">
        <v>7.3566582571951669</v>
      </c>
      <c r="Q79" s="111">
        <v>5.0419698778876292</v>
      </c>
      <c r="R79" s="68">
        <v>7.3566582571951669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0.16217781728449013</v>
      </c>
      <c r="M80" s="115">
        <v>68.189880372324069</v>
      </c>
      <c r="N80" s="115">
        <v>72.027203270706124</v>
      </c>
      <c r="O80" s="115">
        <v>4.0205884275004111</v>
      </c>
      <c r="P80" s="115">
        <v>6.9233591774574892</v>
      </c>
      <c r="Q80" s="111">
        <v>4.0205884275004111</v>
      </c>
      <c r="R80" s="68">
        <v>6.9233591774574892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0.79680810688588077</v>
      </c>
      <c r="M81" s="115">
        <v>19.770553480428163</v>
      </c>
      <c r="N81" s="115">
        <v>20.868868173351384</v>
      </c>
      <c r="O81" s="115">
        <v>1.5955782501533831</v>
      </c>
      <c r="P81" s="115">
        <v>2.383164003033476</v>
      </c>
      <c r="Q81" s="111">
        <v>1.5955782501533833</v>
      </c>
      <c r="R81" s="68">
        <v>2.3831640030334764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0.59878106670629405</v>
      </c>
      <c r="M82" s="115">
        <v>36.981482229931572</v>
      </c>
      <c r="N82" s="115">
        <v>39.052868580373222</v>
      </c>
      <c r="O82" s="115">
        <v>2.3545524086157221</v>
      </c>
      <c r="P82" s="115">
        <v>3.7954672026990233</v>
      </c>
      <c r="Q82" s="111">
        <v>2.3545524086157226</v>
      </c>
      <c r="R82" s="68">
        <v>3.7954672026990237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2.1416752612974628E-3</v>
      </c>
      <c r="M83" s="115">
        <v>741.96508723122417</v>
      </c>
      <c r="N83" s="115">
        <v>783.75210067168018</v>
      </c>
      <c r="O83" s="115">
        <v>5.3987728952938365</v>
      </c>
      <c r="P83" s="115">
        <v>6.7740593439209809</v>
      </c>
      <c r="Q83" s="111">
        <v>5.3987728952938365</v>
      </c>
      <c r="R83" s="68">
        <v>6.7740593439209817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0.25230718983138889</v>
      </c>
      <c r="M84" s="115">
        <v>305.55474214582819</v>
      </c>
      <c r="N84" s="115">
        <v>322.58092284183232</v>
      </c>
      <c r="O84" s="115">
        <v>3.403964916320477</v>
      </c>
      <c r="P84" s="115">
        <v>3.1983183899030903</v>
      </c>
      <c r="Q84" s="111">
        <v>3.403964916320477</v>
      </c>
      <c r="R84" s="68">
        <v>3.1983183899030903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1.2203812708583136E-2</v>
      </c>
      <c r="M85" s="115">
        <v>2192.0258190861005</v>
      </c>
      <c r="N85" s="115">
        <v>2240.1535879801399</v>
      </c>
      <c r="O85" s="115">
        <v>2.2244758655454779</v>
      </c>
      <c r="P85" s="115">
        <v>2.0040630585452628</v>
      </c>
      <c r="Q85" s="111">
        <v>2.2244758655454779</v>
      </c>
      <c r="R85" s="68">
        <v>2.0040630585452628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1.5049636687250865E-4</v>
      </c>
      <c r="M86" s="115">
        <v>1632.6699601436546</v>
      </c>
      <c r="N86" s="115">
        <v>1723.7531176389396</v>
      </c>
      <c r="O86" s="115">
        <v>10.159999446969898</v>
      </c>
      <c r="P86" s="115">
        <v>4.0886336426035514</v>
      </c>
      <c r="Q86" s="111">
        <v>10.159999446969898</v>
      </c>
      <c r="R86" s="68">
        <v>4.0886336426035514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4.8249665730620443E-5</v>
      </c>
      <c r="M87" s="115">
        <v>1725.9337967912095</v>
      </c>
      <c r="N87" s="115">
        <v>1822.2306927095124</v>
      </c>
      <c r="O87" s="115">
        <v>10.479974804845673</v>
      </c>
      <c r="P87" s="115">
        <v>3.9591845125820955</v>
      </c>
      <c r="Q87" s="111">
        <v>10.479974804845673</v>
      </c>
      <c r="R87" s="68">
        <v>3.9591845125820955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1.285043326849766E-5</v>
      </c>
      <c r="M88" s="115">
        <v>1785.3555487139015</v>
      </c>
      <c r="N88" s="115">
        <v>1884.980312702545</v>
      </c>
      <c r="O88" s="115">
        <v>10.655677561407122</v>
      </c>
      <c r="P88" s="115">
        <v>3.8865275667218731</v>
      </c>
      <c r="Q88" s="111">
        <v>10.655677561407124</v>
      </c>
      <c r="R88" s="68">
        <v>3.8865275667218735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9.3290654762775068E-5</v>
      </c>
      <c r="M89" s="115">
        <v>2672.3462380638375</v>
      </c>
      <c r="N89" s="115">
        <v>2732.2898197040977</v>
      </c>
      <c r="O89" s="115">
        <v>2.0873146631699329</v>
      </c>
      <c r="P89" s="115">
        <v>0.72025098843931301</v>
      </c>
      <c r="Q89" s="111">
        <v>2.0873146631699329</v>
      </c>
      <c r="R89" s="68">
        <v>0.72025098843931301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0.97048375951940979</v>
      </c>
      <c r="M90" s="115">
        <v>1.4197758925561359</v>
      </c>
      <c r="N90" s="115">
        <v>1.4804284004863766</v>
      </c>
      <c r="O90" s="115">
        <v>0.81374367479014198</v>
      </c>
      <c r="P90" s="115">
        <v>0.94110209445300363</v>
      </c>
      <c r="Q90" s="111">
        <v>0.81374367479014198</v>
      </c>
      <c r="R90" s="68">
        <v>0.94110209445300363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0.69682487432013762</v>
      </c>
      <c r="M91" s="115">
        <v>70.696771185346037</v>
      </c>
      <c r="N91" s="115">
        <v>74.623001225687872</v>
      </c>
      <c r="O91" s="115">
        <v>1.2764141341878708</v>
      </c>
      <c r="P91" s="115">
        <v>1.2729359948417915</v>
      </c>
      <c r="Q91" s="111">
        <v>1.2764141341878708</v>
      </c>
      <c r="R91" s="68">
        <v>1.2729359948417915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0.10766199138972406</v>
      </c>
      <c r="M92" s="115">
        <v>419.96646461523193</v>
      </c>
      <c r="N92" s="115">
        <v>443.37526478752898</v>
      </c>
      <c r="O92" s="115">
        <v>4.6059517162981143</v>
      </c>
      <c r="P92" s="115">
        <v>4.4211089545986688</v>
      </c>
      <c r="Q92" s="111">
        <v>4.6059517162981152</v>
      </c>
      <c r="R92" s="68">
        <v>4.4211089545986688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0.99253006445556924</v>
      </c>
      <c r="M93" s="115">
        <v>0.60647109960474621</v>
      </c>
      <c r="N93" s="115">
        <v>0.62175003576925203</v>
      </c>
      <c r="O93" s="115">
        <v>0.8426889560977302</v>
      </c>
      <c r="P93" s="115">
        <v>0.9910125947009133</v>
      </c>
      <c r="Q93" s="111">
        <v>0.8426889560977302</v>
      </c>
      <c r="R93" s="68">
        <v>0.99101259470091341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1.0272476237371917</v>
      </c>
      <c r="M94" s="115">
        <v>0.16622918270595172</v>
      </c>
      <c r="N94" s="115">
        <v>0.15149121006313701</v>
      </c>
      <c r="O94" s="115">
        <v>0.82514576375582127</v>
      </c>
      <c r="P94" s="115">
        <v>0.95907678714676481</v>
      </c>
      <c r="Q94" s="111">
        <v>0.82514576375582127</v>
      </c>
      <c r="R94" s="68">
        <v>0.95907678714676481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0.93394281952926816</v>
      </c>
      <c r="M95" s="115">
        <v>6.0556775078951519</v>
      </c>
      <c r="N95" s="115">
        <v>6.3650772839755243</v>
      </c>
      <c r="O95" s="115">
        <v>0.82003240950483591</v>
      </c>
      <c r="P95" s="115">
        <v>0.9328102792311983</v>
      </c>
      <c r="Q95" s="111">
        <v>0.82003240950483602</v>
      </c>
      <c r="R95" s="68">
        <v>0.9328102792311983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2.2761602655039064E-4</v>
      </c>
      <c r="M96" s="115">
        <v>1583.2014776590986</v>
      </c>
      <c r="N96" s="115">
        <v>1671.5211907286653</v>
      </c>
      <c r="O96" s="115">
        <v>9.9821432307340814</v>
      </c>
      <c r="P96" s="115">
        <v>4.1627828806853842</v>
      </c>
      <c r="Q96" s="111">
        <v>9.9821432307340814</v>
      </c>
      <c r="R96" s="68">
        <v>4.162782880685385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0.57222322739657738</v>
      </c>
      <c r="M97" s="115">
        <v>122.72103384529379</v>
      </c>
      <c r="N97" s="115">
        <v>129.54914224532587</v>
      </c>
      <c r="O97" s="115">
        <v>1.7080377061321139</v>
      </c>
      <c r="P97" s="115">
        <v>1.6371562436202967</v>
      </c>
      <c r="Q97" s="111">
        <v>1.7080377061321141</v>
      </c>
      <c r="R97" s="68">
        <v>1.6371562436202967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0.67553132065599086</v>
      </c>
      <c r="M98" s="115">
        <v>78.862582326829042</v>
      </c>
      <c r="N98" s="115">
        <v>83.244309351847477</v>
      </c>
      <c r="O98" s="115">
        <v>1.3419897357562898</v>
      </c>
      <c r="P98" s="115">
        <v>1.3269013565125183</v>
      </c>
      <c r="Q98" s="111">
        <v>1.3419897357562898</v>
      </c>
      <c r="R98" s="68">
        <v>1.3269013565125183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0.85454786269680483</v>
      </c>
      <c r="M99" s="115">
        <v>21.31337531424656</v>
      </c>
      <c r="N99" s="115">
        <v>22.484617291491954</v>
      </c>
      <c r="O99" s="115">
        <v>0.91146353742266784</v>
      </c>
      <c r="P99" s="115">
        <v>0.99054498899855059</v>
      </c>
      <c r="Q99" s="111">
        <v>0.91146353742266784</v>
      </c>
      <c r="R99" s="68">
        <v>0.9905449889985507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2.0766168948446679E-3</v>
      </c>
      <c r="M100" s="115">
        <v>1076.3052317162976</v>
      </c>
      <c r="N100" s="115">
        <v>1136.3325131487475</v>
      </c>
      <c r="O100" s="115">
        <v>8.0909321003911181</v>
      </c>
      <c r="P100" s="115">
        <v>5.0426146689670039</v>
      </c>
      <c r="Q100" s="111">
        <v>8.0909321003911181</v>
      </c>
      <c r="R100" s="68">
        <v>5.0426146689670048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0.15249204235412539</v>
      </c>
      <c r="M101" s="115">
        <v>381.38318960864569</v>
      </c>
      <c r="N101" s="115">
        <v>402.6393661438334</v>
      </c>
      <c r="O101" s="115">
        <v>4.1836174489260873</v>
      </c>
      <c r="P101" s="115">
        <v>3.977278834113291</v>
      </c>
      <c r="Q101" s="111">
        <v>4.1836174489260873</v>
      </c>
      <c r="R101" s="68">
        <v>3.9772788341132914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3.1974436809817999E-2</v>
      </c>
      <c r="M102" s="115">
        <v>495.89577285689285</v>
      </c>
      <c r="N102" s="115">
        <v>523.54251524265533</v>
      </c>
      <c r="O102" s="115">
        <v>5.5529332294879916</v>
      </c>
      <c r="P102" s="115">
        <v>5.5176675414021643</v>
      </c>
      <c r="Q102" s="111">
        <v>5.5529332294879916</v>
      </c>
      <c r="R102" s="68">
        <v>5.5176675414021652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0.88875771215089194</v>
      </c>
      <c r="M103" s="115">
        <v>11.202213829097225</v>
      </c>
      <c r="N103" s="115">
        <v>11.816214859585502</v>
      </c>
      <c r="O103" s="115">
        <v>1.2425162059269095</v>
      </c>
      <c r="P103" s="115">
        <v>1.7285352046321178</v>
      </c>
      <c r="Q103" s="111">
        <v>1.2425162059269095</v>
      </c>
      <c r="R103" s="68">
        <v>1.7285352046321178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1.066846697261334E-2</v>
      </c>
      <c r="M104" s="115">
        <v>102.6773376709117</v>
      </c>
      <c r="N104" s="115">
        <v>108.45725328534522</v>
      </c>
      <c r="O104" s="115">
        <v>4.6309367715657004</v>
      </c>
      <c r="P104" s="115">
        <v>7.9508337584496891</v>
      </c>
      <c r="Q104" s="111">
        <v>4.6309367715657004</v>
      </c>
      <c r="R104" s="68">
        <v>7.95083375844969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0.96527337310296402</v>
      </c>
      <c r="M105" s="115">
        <v>1.7280959562234957</v>
      </c>
      <c r="N105" s="115">
        <v>1.8060099050222083</v>
      </c>
      <c r="O105" s="115">
        <v>0.81310793395776071</v>
      </c>
      <c r="P105" s="115">
        <v>0.93884074014236862</v>
      </c>
      <c r="Q105" s="111">
        <v>0.81310793395776082</v>
      </c>
      <c r="R105" s="68">
        <v>0.93884074014236862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0.93038592129117237</v>
      </c>
      <c r="M106" s="115">
        <v>6.5055419322385193</v>
      </c>
      <c r="N106" s="115">
        <v>6.8414757380955598</v>
      </c>
      <c r="O106" s="115">
        <v>0.82133377687573372</v>
      </c>
      <c r="P106" s="115">
        <v>0.93277725441994097</v>
      </c>
      <c r="Q106" s="111">
        <v>0.82133377687573372</v>
      </c>
      <c r="R106" s="68">
        <v>0.93277725441994108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1.6980395350506484E-2</v>
      </c>
      <c r="M107" s="115">
        <v>538.09601687994166</v>
      </c>
      <c r="N107" s="115">
        <v>565.49240218336661</v>
      </c>
      <c r="O107" s="115">
        <v>5.310234631041105</v>
      </c>
      <c r="P107" s="115">
        <v>5.3433483278652396</v>
      </c>
      <c r="Q107" s="111">
        <v>5.310234631041105</v>
      </c>
      <c r="R107" s="68">
        <v>5.3433483278652396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1.0242174756842037</v>
      </c>
      <c r="M108" s="115">
        <v>9.4681293661933397E-2</v>
      </c>
      <c r="N108" s="115">
        <v>7.8411178811966284E-2</v>
      </c>
      <c r="O108" s="115">
        <v>0.825048124065618</v>
      </c>
      <c r="P108" s="115">
        <v>0.95896375006390511</v>
      </c>
      <c r="Q108" s="111">
        <v>0.82504812406561812</v>
      </c>
      <c r="R108" s="68">
        <v>0.95896375006390511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0.86953915629733258</v>
      </c>
      <c r="M109" s="115">
        <v>232.90261378417571</v>
      </c>
      <c r="N109" s="115">
        <v>238.11061316125503</v>
      </c>
      <c r="O109" s="115">
        <v>1.1188256017368841</v>
      </c>
      <c r="P109" s="115">
        <v>1.3010189942074339</v>
      </c>
      <c r="Q109" s="111">
        <v>1.1188256017368841</v>
      </c>
      <c r="R109" s="68">
        <v>1.3010189942074339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0.9906558873154917</v>
      </c>
      <c r="M110" s="115">
        <v>0.22882891685922413</v>
      </c>
      <c r="N110" s="115">
        <v>0.22276321074314523</v>
      </c>
      <c r="O110" s="115">
        <v>0.82117167469150032</v>
      </c>
      <c r="P110" s="115">
        <v>0.95406287961886471</v>
      </c>
      <c r="Q110" s="111">
        <v>0.82117167469150043</v>
      </c>
      <c r="R110" s="68">
        <v>0.95406287961886471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0.9970828798473137</v>
      </c>
      <c r="M111" s="115">
        <v>2.1019675638260474E-2</v>
      </c>
      <c r="N111" s="115">
        <v>3.2456506749254975E-3</v>
      </c>
      <c r="O111" s="115">
        <v>0.82509592255608932</v>
      </c>
      <c r="P111" s="115">
        <v>0.95907096247943513</v>
      </c>
      <c r="Q111" s="111">
        <v>0.82509592255608932</v>
      </c>
      <c r="R111" s="68">
        <v>0.95907096247943524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0.98898043473092101</v>
      </c>
      <c r="M112" s="115">
        <v>0.17714086544131225</v>
      </c>
      <c r="N112" s="115">
        <v>0.16821480462573302</v>
      </c>
      <c r="O112" s="115">
        <v>0.81831448849120469</v>
      </c>
      <c r="P112" s="115">
        <v>0.9505214300461271</v>
      </c>
      <c r="Q112" s="111">
        <v>0.81831448849120469</v>
      </c>
      <c r="R112" s="68">
        <v>0.9505214300461271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0.94766682202027597</v>
      </c>
      <c r="M113" s="115">
        <v>3.6517081004179595</v>
      </c>
      <c r="N113" s="115">
        <v>3.837117317636249</v>
      </c>
      <c r="O113" s="115">
        <v>0.81674888467168405</v>
      </c>
      <c r="P113" s="115">
        <v>0.9364579619938409</v>
      </c>
      <c r="Q113" s="111">
        <v>0.81674888467168405</v>
      </c>
      <c r="R113" s="68">
        <v>0.9364579619938409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0.99296326073390517</v>
      </c>
      <c r="M114" s="115">
        <v>6.7406401986292053E-2</v>
      </c>
      <c r="N114" s="115">
        <v>5.2293329055270274E-2</v>
      </c>
      <c r="O114" s="115">
        <v>0.82060752131230785</v>
      </c>
      <c r="P114" s="115">
        <v>0.95362049715590391</v>
      </c>
      <c r="Q114" s="111">
        <v>0.82060752131230796</v>
      </c>
      <c r="R114" s="68">
        <v>0.95362049715590391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0.96868094275559791</v>
      </c>
      <c r="M115" s="115">
        <v>3.2322050791912207</v>
      </c>
      <c r="N115" s="115">
        <v>3.3958232858596507</v>
      </c>
      <c r="O115" s="115">
        <v>0.93515641799267823</v>
      </c>
      <c r="P115" s="115">
        <v>1.16082285347365</v>
      </c>
      <c r="Q115" s="111">
        <v>0.93515641799267835</v>
      </c>
      <c r="R115" s="68">
        <v>1.16082285347365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6.852443884194992E-2</v>
      </c>
      <c r="M116" s="115">
        <v>1407.7130340155154</v>
      </c>
      <c r="N116" s="115">
        <v>1438.8790784495543</v>
      </c>
      <c r="O116" s="115">
        <v>2.8719284554058087</v>
      </c>
      <c r="P116" s="115">
        <v>3.7345414701987676</v>
      </c>
      <c r="Q116" s="111">
        <v>2.8719284554058087</v>
      </c>
      <c r="R116" s="68">
        <v>3.734541470198768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0.43884273547690922</v>
      </c>
      <c r="M117" s="115">
        <v>189.86388922119886</v>
      </c>
      <c r="N117" s="115">
        <v>200.4370348594515</v>
      </c>
      <c r="O117" s="115">
        <v>2.3026615757576603</v>
      </c>
      <c r="P117" s="115">
        <v>2.1643879514424964</v>
      </c>
      <c r="Q117" s="111">
        <v>2.3026615757576607</v>
      </c>
      <c r="R117" s="68">
        <v>2.1643879514424964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2025-02-02T14:06:58Z</dcterms:modified>
</cp:coreProperties>
</file>