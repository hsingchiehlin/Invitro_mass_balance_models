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075D0227-81F5-4674-9B88-7A7DF2ED8AAD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Extra dat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<sst xmlns="http://schemas.openxmlformats.org/spreadsheetml/2006/main" count="2915" uniqueCount="495">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</sst>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41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2.4415</v>
      </c>
      <c r="K5" s="136">
        <v>2.57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0.97659999999999991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0.48829999999999996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0.24414999999999998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5.1400000000000001E-2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4.1119999999999997E-2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1.4392E-2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7.9669999999999984E-3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5.1399999999999996E-3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5.9109999999999996E-3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3.0839999999999999E-3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5.1400000000000001E-2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0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0.95299999999999996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2.9000000000000001E-2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1.4392E-2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1.4392E-2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3.5980000000000002E-4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3.428894E-4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1.3440414997121454E-5</v>
      </c>
      <c r="J2" s="67" t="s">
        <v>231</v>
      </c>
      <c r="K2" s="68">
        <v>4.9283838565992548E-2</v>
      </c>
      <c r="L2" s="67" t="s">
        <v>231</v>
      </c>
      <c r="M2" s="68">
        <v>5.2015582344339756E-2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4.5543471726853255E-4</v>
      </c>
      <c r="J3" s="67" t="s">
        <v>231</v>
      </c>
      <c r="K3" s="68">
        <v>1.5443490515388394</v>
      </c>
      <c r="L3" s="67" t="s">
        <v>232</v>
      </c>
      <c r="M3" s="68">
        <v>1.630499071520948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1.5874444320253919E-3</v>
      </c>
      <c r="J4" s="67" t="s">
        <v>231</v>
      </c>
      <c r="K4" s="68">
        <v>0.26030202479869585</v>
      </c>
      <c r="L4" s="67" t="s">
        <v>231</v>
      </c>
      <c r="M4" s="68">
        <v>0.27480403481399651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1.144959551592319E-3</v>
      </c>
      <c r="J5" s="67" t="s">
        <v>231</v>
      </c>
      <c r="K5" s="68">
        <v>0.73083061266874327</v>
      </c>
      <c r="L5" s="67" t="s">
        <v>231</v>
      </c>
      <c r="M5" s="68">
        <v>0.77158502777657401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1.1368696621694794E-3</v>
      </c>
      <c r="J6" s="67" t="s">
        <v>231</v>
      </c>
      <c r="K6" s="68">
        <v>1.6551264522693017</v>
      </c>
      <c r="L6" s="67" t="s">
        <v>232</v>
      </c>
      <c r="M6" s="68">
        <v>1.7474644402324753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1.7820704446070784E-4</v>
      </c>
      <c r="J7" s="67" t="s">
        <v>231</v>
      </c>
      <c r="K7" s="68">
        <v>1.5655330762358006</v>
      </c>
      <c r="L7" s="67" t="s">
        <v>232</v>
      </c>
      <c r="M7" s="68">
        <v>1.6528659883330246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3.8794255981639789E-4</v>
      </c>
      <c r="J8" s="67" t="s">
        <v>231</v>
      </c>
      <c r="K8" s="68">
        <v>1.4022002638111581</v>
      </c>
      <c r="L8" s="67" t="s">
        <v>232</v>
      </c>
      <c r="M8" s="68">
        <v>1.480414024317132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1.808258840332539E-4</v>
      </c>
      <c r="J9" s="67" t="s">
        <v>231</v>
      </c>
      <c r="K9" s="68">
        <v>0.47742814374101272</v>
      </c>
      <c r="L9" s="67" t="s">
        <v>231</v>
      </c>
      <c r="M9" s="68">
        <v>0.5040436927171027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6.7686723406980558E-4</v>
      </c>
      <c r="J10" s="67" t="s">
        <v>231</v>
      </c>
      <c r="K10" s="68">
        <v>0.76808334755423524</v>
      </c>
      <c r="L10" s="67" t="s">
        <v>231</v>
      </c>
      <c r="M10" s="68">
        <v>0.81091574688943802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1.6156774926513894E-4</v>
      </c>
      <c r="J11" s="67" t="s">
        <v>231</v>
      </c>
      <c r="K11" s="68">
        <v>0.83091589134812449</v>
      </c>
      <c r="L11" s="67" t="s">
        <v>231</v>
      </c>
      <c r="M11" s="68">
        <v>0.87725324852199138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3.8520800701665966E-4</v>
      </c>
      <c r="J12" s="67" t="s">
        <v>231</v>
      </c>
      <c r="K12" s="68">
        <v>0.49670944052721533</v>
      </c>
      <c r="L12" s="67" t="s">
        <v>231</v>
      </c>
      <c r="M12" s="68">
        <v>0.52440162491427367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8.4198825236463572E-3</v>
      </c>
      <c r="J13" s="67" t="s">
        <v>231</v>
      </c>
      <c r="K13" s="68">
        <v>0.47956331430434257</v>
      </c>
      <c r="L13" s="67" t="s">
        <v>231</v>
      </c>
      <c r="M13" s="68">
        <v>0.50629806330652527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1.3918429597852909E-3</v>
      </c>
      <c r="J14" s="67" t="s">
        <v>231</v>
      </c>
      <c r="K14" s="68">
        <v>1.0269508637126961</v>
      </c>
      <c r="L14" s="67" t="s">
        <v>232</v>
      </c>
      <c r="M14" s="68">
        <v>1.0842245240356951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7.8689718356502673E-4</v>
      </c>
      <c r="J15" s="67" t="s">
        <v>231</v>
      </c>
      <c r="K15" s="68">
        <v>0.79941024414952955</v>
      </c>
      <c r="L15" s="67" t="s">
        <v>231</v>
      </c>
      <c r="M15" s="68">
        <v>0.84399011870420648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4.1061920620818104E-4</v>
      </c>
      <c r="J16" s="67" t="s">
        <v>231</v>
      </c>
      <c r="K16" s="68">
        <v>1.3931074699553974</v>
      </c>
      <c r="L16" s="67" t="s">
        <v>232</v>
      </c>
      <c r="M16" s="68">
        <v>1.4708136923990072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4.7950492610435548E-4</v>
      </c>
      <c r="J17" s="67" t="s">
        <v>231</v>
      </c>
      <c r="K17" s="68">
        <v>0.74321920765889982</v>
      </c>
      <c r="L17" s="67" t="s">
        <v>231</v>
      </c>
      <c r="M17" s="68">
        <v>0.78466466171422489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1.3511845698269578E-3</v>
      </c>
      <c r="J18" s="67" t="s">
        <v>231</v>
      </c>
      <c r="K18" s="68">
        <v>0.46566921651845122</v>
      </c>
      <c r="L18" s="67" t="s">
        <v>231</v>
      </c>
      <c r="M18" s="68">
        <v>0.49162846616135752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4.7694144502711039E-3</v>
      </c>
      <c r="J19" s="67" t="s">
        <v>231</v>
      </c>
      <c r="K19" s="68">
        <v>0.80570491748294959</v>
      </c>
      <c r="L19" s="67" t="s">
        <v>231</v>
      </c>
      <c r="M19" s="68">
        <v>0.85063592538646371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8.7122484424926076E-4</v>
      </c>
      <c r="J20" s="67" t="s">
        <v>231</v>
      </c>
      <c r="K20" s="68">
        <v>0.47961659832020864</v>
      </c>
      <c r="L20" s="67" t="s">
        <v>231</v>
      </c>
      <c r="M20" s="68">
        <v>0.50635431780563622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2.0695420807787927E-3</v>
      </c>
      <c r="J21" s="67" t="s">
        <v>231</v>
      </c>
      <c r="K21" s="68">
        <v>0.97026555100373801</v>
      </c>
      <c r="L21" s="67" t="s">
        <v>231</v>
      </c>
      <c r="M21" s="68">
        <v>1.0243767195315312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8.2201068179529386E-5</v>
      </c>
      <c r="J22" s="67" t="s">
        <v>231</v>
      </c>
      <c r="K22" s="68">
        <v>0.14088582198355382</v>
      </c>
      <c r="L22" s="67" t="s">
        <v>231</v>
      </c>
      <c r="M22" s="68">
        <v>0.14872714846252866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2.8556775210341821E-5</v>
      </c>
      <c r="J23" s="67" t="s">
        <v>231</v>
      </c>
      <c r="K23" s="68">
        <v>7.3337960148263867E-2</v>
      </c>
      <c r="L23" s="67" t="s">
        <v>231</v>
      </c>
      <c r="M23" s="68">
        <v>7.7411519653856703E-2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7.043206525577056E-5</v>
      </c>
      <c r="J24" s="67" t="s">
        <v>231</v>
      </c>
      <c r="K24" s="68">
        <v>0.383567173836946</v>
      </c>
      <c r="L24" s="67" t="s">
        <v>231</v>
      </c>
      <c r="M24" s="68">
        <v>0.40494519201889584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3.3222130007512138E-4</v>
      </c>
      <c r="J25" s="67" t="s">
        <v>231</v>
      </c>
      <c r="K25" s="68">
        <v>0.50623842291597054</v>
      </c>
      <c r="L25" s="67" t="s">
        <v>231</v>
      </c>
      <c r="M25" s="68">
        <v>0.53446392823775046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5.5864545082686529E-4</v>
      </c>
      <c r="J26" s="67" t="s">
        <v>231</v>
      </c>
      <c r="K26" s="68">
        <v>0.93234172090250933</v>
      </c>
      <c r="L26" s="67" t="s">
        <v>231</v>
      </c>
      <c r="M26" s="68">
        <v>0.98433717979969471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2.5319584493007204E-4</v>
      </c>
      <c r="J27" s="67" t="s">
        <v>231</v>
      </c>
      <c r="K27" s="68">
        <v>1.528710660510652</v>
      </c>
      <c r="L27" s="67" t="s">
        <v>232</v>
      </c>
      <c r="M27" s="68">
        <v>1.6139873613141356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1.7166734170930784E-4</v>
      </c>
      <c r="J28" s="67" t="s">
        <v>231</v>
      </c>
      <c r="K28" s="68">
        <v>1.1885687548694128</v>
      </c>
      <c r="L28" s="67" t="s">
        <v>232</v>
      </c>
      <c r="M28" s="68">
        <v>1.2548600212867931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1.1790293792662594E-4</v>
      </c>
      <c r="J29" s="67" t="s">
        <v>231</v>
      </c>
      <c r="K29" s="68">
        <v>0.99049009183980308</v>
      </c>
      <c r="L29" s="67" t="s">
        <v>231</v>
      </c>
      <c r="M29" s="68">
        <v>1.0457299332297878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1.7166734170930784E-4</v>
      </c>
      <c r="J30" s="67" t="s">
        <v>231</v>
      </c>
      <c r="K30" s="68">
        <v>1.1885687548694128</v>
      </c>
      <c r="L30" s="67" t="s">
        <v>232</v>
      </c>
      <c r="M30" s="68">
        <v>1.2548600212867931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8.1321380454671291E-8</v>
      </c>
      <c r="J31" s="67" t="s">
        <v>231</v>
      </c>
      <c r="K31" s="68">
        <v>1.0972504883645308E-3</v>
      </c>
      <c r="L31" s="67" t="s">
        <v>231</v>
      </c>
      <c r="M31" s="68">
        <v>1.1398821798434926E-3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7.7853032035474599E-6</v>
      </c>
      <c r="J32" s="67" t="s">
        <v>231</v>
      </c>
      <c r="K32" s="68">
        <v>0.21271839190703423</v>
      </c>
      <c r="L32" s="67" t="s">
        <v>231</v>
      </c>
      <c r="M32" s="68">
        <v>0.2245009509020249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8.1323091566953555E-8</v>
      </c>
      <c r="J33" s="67" t="s">
        <v>231</v>
      </c>
      <c r="K33" s="68">
        <v>5.7758545976802111E-4</v>
      </c>
      <c r="L33" s="67" t="s">
        <v>231</v>
      </c>
      <c r="M33" s="68">
        <v>5.9123862585189733E-4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1.9068192406523054E-10</v>
      </c>
      <c r="J34" s="67" t="s">
        <v>231</v>
      </c>
      <c r="K34" s="68">
        <v>4.1987162735911639E-2</v>
      </c>
      <c r="L34" s="67" t="s">
        <v>231</v>
      </c>
      <c r="M34" s="68">
        <v>4.4341614198173972E-2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1.933578881566405E-7</v>
      </c>
      <c r="J35" s="67" t="s">
        <v>231</v>
      </c>
      <c r="K35" s="68">
        <v>5.9036692017683058E-2</v>
      </c>
      <c r="L35" s="67" t="s">
        <v>231</v>
      </c>
      <c r="M35" s="68">
        <v>6.2355351469802346E-2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1.7540337874070241E-7</v>
      </c>
      <c r="J36" s="67" t="s">
        <v>231</v>
      </c>
      <c r="K36" s="68">
        <v>7.1406828790307617E-2</v>
      </c>
      <c r="L36" s="67" t="s">
        <v>231</v>
      </c>
      <c r="M36" s="68">
        <v>7.5425872903348332E-2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1.8272232194739663E-6</v>
      </c>
      <c r="J37" s="67" t="s">
        <v>231</v>
      </c>
      <c r="K37" s="68">
        <v>0.1564059973123873</v>
      </c>
      <c r="L37" s="67" t="s">
        <v>231</v>
      </c>
      <c r="M37" s="68">
        <v>0.16514833556829175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1.0381209519413534E-6</v>
      </c>
      <c r="J38" s="67" t="s">
        <v>231</v>
      </c>
      <c r="K38" s="68">
        <v>3.7658938786758071E-2</v>
      </c>
      <c r="L38" s="67" t="s">
        <v>231</v>
      </c>
      <c r="M38" s="68">
        <v>3.976758939834131E-2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1.7009190992785668E-4</v>
      </c>
      <c r="J39" s="67" t="s">
        <v>231</v>
      </c>
      <c r="K39" s="68">
        <v>0.52842992110595621</v>
      </c>
      <c r="L39" s="67" t="s">
        <v>231</v>
      </c>
      <c r="M39" s="68">
        <v>0.55789509111006175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2.8172227420095029E-10</v>
      </c>
      <c r="J40" s="67" t="s">
        <v>231</v>
      </c>
      <c r="K40" s="68">
        <v>1.8320048199356489</v>
      </c>
      <c r="L40" s="67" t="s">
        <v>232</v>
      </c>
      <c r="M40" s="68">
        <v>1.9351218480899568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2.6242870626651396E-8</v>
      </c>
      <c r="J41" s="67" t="s">
        <v>231</v>
      </c>
      <c r="K41" s="68">
        <v>7.7444395239225882E-5</v>
      </c>
      <c r="L41" s="67" t="s">
        <v>231</v>
      </c>
      <c r="M41" s="68">
        <v>6.4447580054713871E-5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8.9138452707517599E-4</v>
      </c>
      <c r="J42" s="67" t="s">
        <v>231</v>
      </c>
      <c r="K42" s="68">
        <v>0.16112130095034466</v>
      </c>
      <c r="L42" s="67" t="s">
        <v>231</v>
      </c>
      <c r="M42" s="68">
        <v>0.17009127277264835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4.4596525531104597E-9</v>
      </c>
      <c r="J43" s="67" t="s">
        <v>231</v>
      </c>
      <c r="K43" s="68">
        <v>0.14757529666572394</v>
      </c>
      <c r="L43" s="67" t="s">
        <v>231</v>
      </c>
      <c r="M43" s="68">
        <v>0.15588457943890555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1.0560472134354797E-6</v>
      </c>
      <c r="J44" s="67" t="s">
        <v>231</v>
      </c>
      <c r="K44" s="68">
        <v>2.7286593282343546E-2</v>
      </c>
      <c r="L44" s="67" t="s">
        <v>231</v>
      </c>
      <c r="M44" s="68">
        <v>2.8792631522639556E-2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7.7513332994263119E-5</v>
      </c>
      <c r="J45" s="67" t="s">
        <v>231</v>
      </c>
      <c r="K45" s="68">
        <v>0.1799295609242442</v>
      </c>
      <c r="L45" s="67" t="s">
        <v>231</v>
      </c>
      <c r="M45" s="68">
        <v>0.18994861064267041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1.7520854400993187E-6</v>
      </c>
      <c r="J46" s="67" t="s">
        <v>231</v>
      </c>
      <c r="K46" s="68">
        <v>0.16777929600720873</v>
      </c>
      <c r="L46" s="67" t="s">
        <v>231</v>
      </c>
      <c r="M46" s="68">
        <v>0.17712066247303801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1.1536283718139224E-3</v>
      </c>
      <c r="J47" s="142" t="s">
        <v>231</v>
      </c>
      <c r="K47" s="143">
        <v>1.5468472900059809</v>
      </c>
      <c r="L47" s="142" t="s">
        <v>232</v>
      </c>
      <c r="M47" s="143">
        <v>1.6331366718076534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1.7998531292848574E-6</v>
      </c>
      <c r="J48" s="142" t="s">
        <v>231</v>
      </c>
      <c r="K48" s="143">
        <v>9.6532506178977542E-3</v>
      </c>
      <c r="L48" s="142" t="s">
        <v>231</v>
      </c>
      <c r="M48" s="143">
        <v>1.0173979581960845E-2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5.0028264510652013E-6</v>
      </c>
      <c r="J49" s="142" t="s">
        <v>231</v>
      </c>
      <c r="K49" s="143">
        <v>1.6480456311657569E-2</v>
      </c>
      <c r="L49" s="142" t="s">
        <v>231</v>
      </c>
      <c r="M49" s="143">
        <v>1.7382406723944751E-2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5.949472064850066E-6</v>
      </c>
      <c r="J50" s="142" t="s">
        <v>231</v>
      </c>
      <c r="K50" s="143">
        <v>0.46043368518720684</v>
      </c>
      <c r="L50" s="142" t="s">
        <v>231</v>
      </c>
      <c r="M50" s="143">
        <v>0.48610081128262633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4.0213980255471733E-8</v>
      </c>
      <c r="J51" s="142" t="s">
        <v>231</v>
      </c>
      <c r="K51" s="143">
        <v>1.7685023687985782E-3</v>
      </c>
      <c r="L51" s="142" t="s">
        <v>231</v>
      </c>
      <c r="M51" s="143">
        <v>1.8499003582330008E-3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1.0589296612044714E-5</v>
      </c>
      <c r="J52" s="142" t="s">
        <v>231</v>
      </c>
      <c r="K52" s="143">
        <v>4.5055022187959023E-2</v>
      </c>
      <c r="L52" s="142" t="s">
        <v>231</v>
      </c>
      <c r="M52" s="143">
        <v>4.755205016884019E-2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1.417026862733689E-4</v>
      </c>
      <c r="J53" s="142" t="s">
        <v>231</v>
      </c>
      <c r="K53" s="143">
        <v>0.24382354813198001</v>
      </c>
      <c r="L53" s="142" t="s">
        <v>231</v>
      </c>
      <c r="M53" s="143">
        <v>0.25740644988506911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4.1234516190771732E-4</v>
      </c>
      <c r="J54" s="67" t="s">
        <v>231</v>
      </c>
      <c r="K54" s="68">
        <v>1.4840338415409216</v>
      </c>
      <c r="L54" s="67" t="s">
        <v>232</v>
      </c>
      <c r="M54" s="68">
        <v>1.566815922122488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1.4986965910348168E-4</v>
      </c>
      <c r="J55" s="67" t="s">
        <v>231</v>
      </c>
      <c r="K55" s="68">
        <v>0.35031845568899805</v>
      </c>
      <c r="L55" s="67" t="s">
        <v>231</v>
      </c>
      <c r="M55" s="68">
        <v>0.36984398557963544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4.6863700236843588E-5</v>
      </c>
      <c r="J56" s="67" t="s">
        <v>231</v>
      </c>
      <c r="K56" s="68">
        <v>0.21925926502382781</v>
      </c>
      <c r="L56" s="67" t="s">
        <v>231</v>
      </c>
      <c r="M56" s="68">
        <v>0.23148314326205022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2.2988018482592241E-5</v>
      </c>
      <c r="J57" s="67" t="s">
        <v>231</v>
      </c>
      <c r="K57" s="68">
        <v>0.11137610684700809</v>
      </c>
      <c r="L57" s="67" t="s">
        <v>231</v>
      </c>
      <c r="M57" s="68">
        <v>0.11758420374571221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2.5833305052416232E-7</v>
      </c>
      <c r="J58" s="67" t="s">
        <v>231</v>
      </c>
      <c r="K58" s="68">
        <v>1.4368684589861893E-3</v>
      </c>
      <c r="L58" s="67" t="s">
        <v>231</v>
      </c>
      <c r="M58" s="68">
        <v>1.515803145258439E-3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5.6574289239459472E-6</v>
      </c>
      <c r="J59" s="67" t="s">
        <v>231</v>
      </c>
      <c r="K59" s="68">
        <v>4.378463800943079E-2</v>
      </c>
      <c r="L59" s="67" t="s">
        <v>231</v>
      </c>
      <c r="M59" s="68">
        <v>4.6225158275113434E-2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8.9687530840457978E-8</v>
      </c>
      <c r="J60" s="67" t="s">
        <v>231</v>
      </c>
      <c r="K60" s="68">
        <v>7.6790161320573378E-4</v>
      </c>
      <c r="L60" s="67" t="s">
        <v>231</v>
      </c>
      <c r="M60" s="68">
        <v>8.1069588586250916E-4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3.0070997529593968E-2</v>
      </c>
      <c r="J61" s="67" t="s">
        <v>232</v>
      </c>
      <c r="K61" s="68">
        <v>0.30555474214582817</v>
      </c>
      <c r="L61" s="67" t="s">
        <v>231</v>
      </c>
      <c r="M61" s="68">
        <v>0.32258092284183232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2.4214311085093346E-5</v>
      </c>
      <c r="J62" s="67" t="s">
        <v>231</v>
      </c>
      <c r="K62" s="68">
        <v>1.0145185128992733</v>
      </c>
      <c r="L62" s="67" t="s">
        <v>232</v>
      </c>
      <c r="M62" s="68">
        <v>1.071098554197462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1.1207801546147099E-4</v>
      </c>
      <c r="J63" s="67" t="s">
        <v>231</v>
      </c>
      <c r="K63" s="68">
        <v>1.6326699601436547</v>
      </c>
      <c r="L63" s="67" t="s">
        <v>232</v>
      </c>
      <c r="M63" s="68">
        <v>1.7237531176389396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7.4967241176309286E-5</v>
      </c>
      <c r="J64" s="67" t="s">
        <v>231</v>
      </c>
      <c r="K64" s="68">
        <v>1.7259337967912094</v>
      </c>
      <c r="L64" s="67" t="s">
        <v>232</v>
      </c>
      <c r="M64" s="68">
        <v>1.8222306927095122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1.0885745604324182E-4</v>
      </c>
      <c r="J65" s="67" t="s">
        <v>231</v>
      </c>
      <c r="K65" s="68">
        <v>1.7853555487139015</v>
      </c>
      <c r="L65" s="67" t="s">
        <v>232</v>
      </c>
      <c r="M65" s="68">
        <v>1.8849803127025448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4.406812858425487E-7</v>
      </c>
      <c r="J66" s="67" t="s">
        <v>231</v>
      </c>
      <c r="K66" s="68">
        <v>1.7560652678284674</v>
      </c>
      <c r="L66" s="67" t="s">
        <v>232</v>
      </c>
      <c r="M66" s="68">
        <v>1.854048635325106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3.6797943944225016E-4</v>
      </c>
      <c r="J67" s="67" t="s">
        <v>231</v>
      </c>
      <c r="K67" s="68">
        <v>3.4949905682795268E-2</v>
      </c>
      <c r="L67" s="67" t="s">
        <v>231</v>
      </c>
      <c r="M67" s="68">
        <v>3.6882071386809892E-2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1.4520528951574043E-4</v>
      </c>
      <c r="J68" s="67" t="s">
        <v>231</v>
      </c>
      <c r="K68" s="68">
        <v>5.8056354603516838E-2</v>
      </c>
      <c r="L68" s="67" t="s">
        <v>231</v>
      </c>
      <c r="M68" s="68">
        <v>6.1277638987862468E-2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1.0691102453427603E-7</v>
      </c>
      <c r="J69" s="67" t="s">
        <v>231</v>
      </c>
      <c r="K69" s="68">
        <v>1.3789132386027985</v>
      </c>
      <c r="L69" s="67" t="s">
        <v>232</v>
      </c>
      <c r="M69" s="68">
        <v>1.4558272026966852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1.820827455453004E-4</v>
      </c>
      <c r="J70" s="67" t="s">
        <v>231</v>
      </c>
      <c r="K70" s="68">
        <v>0.50651900790797366</v>
      </c>
      <c r="L70" s="67" t="s">
        <v>231</v>
      </c>
      <c r="M70" s="68">
        <v>0.53475948794090855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2.7216756816154578E-4</v>
      </c>
      <c r="J71" s="67" t="s">
        <v>231</v>
      </c>
      <c r="K71" s="68">
        <v>5.3000870498085093E-2</v>
      </c>
      <c r="L71" s="67" t="s">
        <v>231</v>
      </c>
      <c r="M71" s="68">
        <v>5.5940389791313341E-2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1.1051670795515427E-6</v>
      </c>
      <c r="J72" s="67" t="s">
        <v>231</v>
      </c>
      <c r="K72" s="68">
        <v>0.49852232654195944</v>
      </c>
      <c r="L72" s="67" t="s">
        <v>231</v>
      </c>
      <c r="M72" s="68">
        <v>0.5263164341814105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4.3355835872966519E-3</v>
      </c>
      <c r="J73" s="67" t="s">
        <v>231</v>
      </c>
      <c r="K73" s="68">
        <v>0.31488309946476095</v>
      </c>
      <c r="L73" s="67" t="s">
        <v>231</v>
      </c>
      <c r="M73" s="68">
        <v>0.33242983335968307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3.8183316763479823E-2</v>
      </c>
      <c r="J74" s="67" t="s">
        <v>232</v>
      </c>
      <c r="K74" s="68">
        <v>0.50478542188215658</v>
      </c>
      <c r="L74" s="67" t="s">
        <v>231</v>
      </c>
      <c r="M74" s="68">
        <v>0.53292909681599376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1.9165920673252484E-13</v>
      </c>
      <c r="J75" s="67" t="s">
        <v>231</v>
      </c>
      <c r="K75" s="68">
        <v>0.4387304345655606</v>
      </c>
      <c r="L75" s="67" t="s">
        <v>231</v>
      </c>
      <c r="M75" s="68">
        <v>0.46343940625282992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1.0544092918175348E-13</v>
      </c>
      <c r="J76" s="67" t="s">
        <v>231</v>
      </c>
      <c r="K76" s="68">
        <v>0.43873043476393114</v>
      </c>
      <c r="L76" s="67" t="s">
        <v>231</v>
      </c>
      <c r="M76" s="68">
        <v>0.46343940646237258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2.119182750213339E-7</v>
      </c>
      <c r="J77" s="67" t="s">
        <v>231</v>
      </c>
      <c r="K77" s="68">
        <v>0.43052497128702999</v>
      </c>
      <c r="L77" s="67" t="s">
        <v>231</v>
      </c>
      <c r="M77" s="68">
        <v>0.45452340309535477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8.6261709637499651E-4</v>
      </c>
      <c r="J78" s="67" t="s">
        <v>231</v>
      </c>
      <c r="K78" s="68">
        <v>0.14726184681446453</v>
      </c>
      <c r="L78" s="67" t="s">
        <v>231</v>
      </c>
      <c r="M78" s="68">
        <v>0.15545931271067961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1.5321094792874414E-5</v>
      </c>
      <c r="J79" s="67" t="s">
        <v>231</v>
      </c>
      <c r="K79" s="68">
        <v>0.2478262068314685</v>
      </c>
      <c r="L79" s="67" t="s">
        <v>231</v>
      </c>
      <c r="M79" s="68">
        <v>0.26163245964696968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9.9334785994394939E-15</v>
      </c>
      <c r="J80" s="67" t="s">
        <v>231</v>
      </c>
      <c r="K80" s="68">
        <v>0.74196504047966216</v>
      </c>
      <c r="L80" s="67" t="s">
        <v>231</v>
      </c>
      <c r="M80" s="68">
        <v>0.78375205133634629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2.2032549447717998E-5</v>
      </c>
      <c r="J81" s="67" t="s">
        <v>231</v>
      </c>
      <c r="K81" s="68">
        <v>1.6142348627993317E-3</v>
      </c>
      <c r="L81" s="67" t="s">
        <v>231</v>
      </c>
      <c r="M81" s="68">
        <v>1.6857824331101914E-3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3.2515601040671053E-5</v>
      </c>
      <c r="J82" s="67" t="s">
        <v>231</v>
      </c>
      <c r="K82" s="68">
        <v>7.0696771185346036E-2</v>
      </c>
      <c r="L82" s="67" t="s">
        <v>231</v>
      </c>
      <c r="M82" s="68">
        <v>7.4623001225687866E-2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2.3588267172565106E-5</v>
      </c>
      <c r="J83" s="67" t="s">
        <v>231</v>
      </c>
      <c r="K83" s="68">
        <v>0.41996646461523196</v>
      </c>
      <c r="L83" s="67" t="s">
        <v>231</v>
      </c>
      <c r="M83" s="68">
        <v>0.44337526478752898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6.0527501195591492E-6</v>
      </c>
      <c r="J84" s="67" t="s">
        <v>231</v>
      </c>
      <c r="K84" s="68">
        <v>6.4772603245396888E-3</v>
      </c>
      <c r="L84" s="67" t="s">
        <v>231</v>
      </c>
      <c r="M84" s="68">
        <v>6.8204674273587198E-3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3.3098088709015259E-8</v>
      </c>
      <c r="J85" s="67" t="s">
        <v>231</v>
      </c>
      <c r="K85" s="68">
        <v>3.4540956170819339E-4</v>
      </c>
      <c r="L85" s="67" t="s">
        <v>231</v>
      </c>
      <c r="M85" s="68">
        <v>3.4593396778996648E-4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2.3754971841952889E-6</v>
      </c>
      <c r="J86" s="67" t="s">
        <v>231</v>
      </c>
      <c r="K86" s="68">
        <v>6.1941074375475597E-3</v>
      </c>
      <c r="L86" s="67" t="s">
        <v>231</v>
      </c>
      <c r="M86" s="68">
        <v>6.5215043756862764E-3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1.2961045568803077E-3</v>
      </c>
      <c r="J87" s="67" t="s">
        <v>231</v>
      </c>
      <c r="K87" s="68">
        <v>1.5832014776590988</v>
      </c>
      <c r="L87" s="67" t="s">
        <v>232</v>
      </c>
      <c r="M87" s="68">
        <v>1.6715211907286653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9.4353105556919213E-5</v>
      </c>
      <c r="J88" s="67" t="s">
        <v>231</v>
      </c>
      <c r="K88" s="68">
        <v>0.12272103384529379</v>
      </c>
      <c r="L88" s="67" t="s">
        <v>231</v>
      </c>
      <c r="M88" s="68">
        <v>0.12954914224532588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2.6111595584355781E-5</v>
      </c>
      <c r="J89" s="67" t="s">
        <v>231</v>
      </c>
      <c r="K89" s="68">
        <v>7.8862582326829037E-2</v>
      </c>
      <c r="L89" s="67" t="s">
        <v>231</v>
      </c>
      <c r="M89" s="68">
        <v>8.324430935184747E-2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1.7481748111103096E-6</v>
      </c>
      <c r="J90" s="67" t="s">
        <v>231</v>
      </c>
      <c r="K90" s="68">
        <v>2.1313375314246562E-2</v>
      </c>
      <c r="L90" s="67" t="s">
        <v>231</v>
      </c>
      <c r="M90" s="68">
        <v>2.2484617291491957E-2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1.4176006199366036E-3</v>
      </c>
      <c r="J91" s="67" t="s">
        <v>231</v>
      </c>
      <c r="K91" s="68">
        <v>1.0763052317162978</v>
      </c>
      <c r="L91" s="67" t="s">
        <v>232</v>
      </c>
      <c r="M91" s="68">
        <v>1.1363325131487474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1.6010160165325513E-2</v>
      </c>
      <c r="J92" s="67" t="s">
        <v>232</v>
      </c>
      <c r="K92" s="68">
        <v>0.3813831896086457</v>
      </c>
      <c r="L92" s="67" t="s">
        <v>231</v>
      </c>
      <c r="M92" s="68">
        <v>0.40263936614383339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4.6660545986917656E-3</v>
      </c>
      <c r="J93" s="67" t="s">
        <v>231</v>
      </c>
      <c r="K93" s="68">
        <v>0.49589577285689285</v>
      </c>
      <c r="L93" s="67" t="s">
        <v>231</v>
      </c>
      <c r="M93" s="68">
        <v>0.52354251524265527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6.4567724133406156E-9</v>
      </c>
      <c r="J94" s="67" t="s">
        <v>231</v>
      </c>
      <c r="K94" s="68">
        <v>1.1217158188983138E-2</v>
      </c>
      <c r="L94" s="67" t="s">
        <v>231</v>
      </c>
      <c r="M94" s="68">
        <v>1.1831991689187242E-2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3.363532305993249E-5</v>
      </c>
      <c r="J95" s="67" t="s">
        <v>231</v>
      </c>
      <c r="K95" s="68">
        <v>0.66423987897960812</v>
      </c>
      <c r="L95" s="67" t="s">
        <v>231</v>
      </c>
      <c r="M95" s="68">
        <v>0.70127993069167427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9.7149040759874373E-8</v>
      </c>
      <c r="J96" s="67" t="s">
        <v>231</v>
      </c>
      <c r="K96" s="68">
        <v>1.7280959562234958E-3</v>
      </c>
      <c r="L96" s="67" t="s">
        <v>231</v>
      </c>
      <c r="M96" s="68">
        <v>1.8060099050222083E-3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3.4374124517457768E-8</v>
      </c>
      <c r="J97" s="67" t="s">
        <v>231</v>
      </c>
      <c r="K97" s="68">
        <v>6.6235288385167769E-3</v>
      </c>
      <c r="L97" s="67" t="s">
        <v>231</v>
      </c>
      <c r="M97" s="68">
        <v>6.9749028131390056E-3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7.072385571362069E-6</v>
      </c>
      <c r="J98" s="67" t="s">
        <v>231</v>
      </c>
      <c r="K98" s="68">
        <v>0.51390191615500547</v>
      </c>
      <c r="L98" s="67" t="s">
        <v>231</v>
      </c>
      <c r="M98" s="68">
        <v>0.54255514611534061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4.2014691368680606E-8</v>
      </c>
      <c r="J99" s="67" t="s">
        <v>231</v>
      </c>
      <c r="K99" s="68">
        <v>1.8668581151300013E-4</v>
      </c>
      <c r="L99" s="67" t="s">
        <v>231</v>
      </c>
      <c r="M99" s="68">
        <v>1.7829656164147344E-4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4.602812192505685E-5</v>
      </c>
      <c r="J100" s="67" t="s">
        <v>231</v>
      </c>
      <c r="K100" s="68">
        <v>0.2257286337383031</v>
      </c>
      <c r="L100" s="67" t="s">
        <v>231</v>
      </c>
      <c r="M100" s="68">
        <v>0.23830221284089365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1.3098812805504491E-5</v>
      </c>
      <c r="J101" s="67" t="s">
        <v>231</v>
      </c>
      <c r="K101" s="68">
        <v>4.4564305513996737E-4</v>
      </c>
      <c r="L101" s="67" t="s">
        <v>231</v>
      </c>
      <c r="M101" s="68">
        <v>4.5178870800272937E-4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6.4575422316205614E-11</v>
      </c>
      <c r="J102" s="67" t="s">
        <v>231</v>
      </c>
      <c r="K102" s="68">
        <v>5.4125416008995231E-5</v>
      </c>
      <c r="L102" s="67" t="s">
        <v>231</v>
      </c>
      <c r="M102" s="68">
        <v>3.8260321469997882E-5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9.1914853770475068E-9</v>
      </c>
      <c r="J103" s="67" t="s">
        <v>231</v>
      </c>
      <c r="K103" s="68">
        <v>1.7714086544131223E-4</v>
      </c>
      <c r="L103" s="67" t="s">
        <v>231</v>
      </c>
      <c r="M103" s="68">
        <v>1.6821480462573304E-4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4.2142966853791743E-7</v>
      </c>
      <c r="J104" s="67" t="s">
        <v>231</v>
      </c>
      <c r="K104" s="68">
        <v>3.6517081004179596E-3</v>
      </c>
      <c r="L104" s="67" t="s">
        <v>231</v>
      </c>
      <c r="M104" s="68">
        <v>3.837117317636249E-3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5.8087119483550117E-8</v>
      </c>
      <c r="J105" s="67" t="s">
        <v>231</v>
      </c>
      <c r="K105" s="68">
        <v>6.8120552337923003E-5</v>
      </c>
      <c r="L105" s="67" t="s">
        <v>231</v>
      </c>
      <c r="M105" s="68">
        <v>5.3048463666950535E-5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5.0111615279340422E-7</v>
      </c>
      <c r="J106" s="67" t="s">
        <v>231</v>
      </c>
      <c r="K106" s="68">
        <v>3.2356975057496282E-2</v>
      </c>
      <c r="L106" s="67" t="s">
        <v>231</v>
      </c>
      <c r="M106" s="68">
        <v>3.4144396653192806E-2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5.0412370388543821E-5</v>
      </c>
      <c r="J107" s="67" t="s">
        <v>231</v>
      </c>
      <c r="K107" s="68">
        <v>0.51714971164348378</v>
      </c>
      <c r="L107" s="67" t="s">
        <v>231</v>
      </c>
      <c r="M107" s="68">
        <v>0.54598497380582023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6.2915603578066572E-5</v>
      </c>
      <c r="J108" s="67" t="s">
        <v>231</v>
      </c>
      <c r="K108" s="68">
        <v>0.18986388922119887</v>
      </c>
      <c r="L108" s="67" t="s">
        <v>231</v>
      </c>
      <c r="M108" s="68">
        <v>0.20043703485945152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0.80647237766582625</v>
      </c>
      <c r="F2" s="14">
        <v>0.76262926189295022</v>
      </c>
      <c r="G2" s="14">
        <v>9.9097329853435776E-7</v>
      </c>
      <c r="H2" s="14">
        <v>10.304655210090329</v>
      </c>
      <c r="I2" s="14">
        <v>27.790133674362036</v>
      </c>
      <c r="J2" s="14">
        <v>0</v>
      </c>
      <c r="K2" s="14">
        <v>1.3112531212320164</v>
      </c>
      <c r="L2" s="14">
        <v>0.76262926189295033</v>
      </c>
      <c r="M2" s="14">
        <v>0.62573730938316574</v>
      </c>
      <c r="N2" s="14">
        <v>49.283838565992546</v>
      </c>
      <c r="O2" s="14">
        <v>9073.6475183848888</v>
      </c>
      <c r="P2" s="8">
        <v>49.283838565992546</v>
      </c>
      <c r="Q2" s="54">
        <v>0.11860162399435166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0.40579009144233902</v>
      </c>
      <c r="F3" s="14">
        <v>2.9595150704936926E-4</v>
      </c>
      <c r="G3" s="14">
        <v>1.7945230601695727E-5</v>
      </c>
      <c r="H3" s="14">
        <v>31.068519314587082</v>
      </c>
      <c r="I3" s="14">
        <v>779.43109293737257</v>
      </c>
      <c r="J3" s="14">
        <v>0</v>
      </c>
      <c r="K3" s="14">
        <v>3378.9319404722091</v>
      </c>
      <c r="L3" s="14">
        <v>2.9595150704936926E-4</v>
      </c>
      <c r="M3" s="14">
        <v>2.4282821153400749E-4</v>
      </c>
      <c r="N3" s="14">
        <v>1544.3490515388394</v>
      </c>
      <c r="O3" s="14">
        <v>563548.41239703796</v>
      </c>
      <c r="P3" s="8">
        <v>1544.3490515388394</v>
      </c>
      <c r="Q3" s="54">
        <v>2.4933183115387867E-2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0.6031801172666641</v>
      </c>
      <c r="F4" s="14">
        <v>0.32204985278583842</v>
      </c>
      <c r="G4" s="14">
        <v>4.4478649532115667E-14</v>
      </c>
      <c r="H4" s="14">
        <v>64.792256458206211</v>
      </c>
      <c r="I4" s="14">
        <v>143.21228553782444</v>
      </c>
      <c r="J4" s="14">
        <v>0</v>
      </c>
      <c r="K4" s="14">
        <v>3.1051093218943189</v>
      </c>
      <c r="L4" s="14">
        <v>0.32204985278583842</v>
      </c>
      <c r="M4" s="14">
        <v>0.26424190421078042</v>
      </c>
      <c r="N4" s="14">
        <v>260.30202479869581</v>
      </c>
      <c r="O4" s="14">
        <v>82599.038509122154</v>
      </c>
      <c r="P4" s="8">
        <v>260.30202479869581</v>
      </c>
      <c r="Q4" s="54">
        <v>0.20463516958956446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0.65075235651726704</v>
      </c>
      <c r="F5" s="14">
        <v>5.1395345722422756E-3</v>
      </c>
      <c r="G5" s="14">
        <v>9.8721621374716088E-7</v>
      </c>
      <c r="H5" s="14">
        <v>142.22757056744754</v>
      </c>
      <c r="I5" s="14">
        <v>382.15624637393108</v>
      </c>
      <c r="J5" s="14">
        <v>0</v>
      </c>
      <c r="K5" s="14">
        <v>194.57014753842193</v>
      </c>
      <c r="L5" s="14">
        <v>5.1395345722422764E-3</v>
      </c>
      <c r="M5" s="14">
        <v>4.2169881165247877E-3</v>
      </c>
      <c r="N5" s="14">
        <v>730.83061266874324</v>
      </c>
      <c r="O5" s="14">
        <v>256221.90449553466</v>
      </c>
      <c r="P5" s="8">
        <v>730.83061266874324</v>
      </c>
      <c r="Q5" s="54">
        <v>5.8189009220065264E-2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0.37859486074389415</v>
      </c>
      <c r="F6" s="14">
        <v>1.2154814825409536E-4</v>
      </c>
      <c r="G6" s="14">
        <v>5.3695369413341709E-8</v>
      </c>
      <c r="H6" s="14">
        <v>18.197358325774726</v>
      </c>
      <c r="I6" s="14">
        <v>827.49526554088266</v>
      </c>
      <c r="J6" s="14">
        <v>0</v>
      </c>
      <c r="K6" s="14">
        <v>8227.1923872464813</v>
      </c>
      <c r="L6" s="14">
        <v>1.2154814825409536E-4</v>
      </c>
      <c r="M6" s="14">
        <v>9.9730255642485244E-5</v>
      </c>
      <c r="N6" s="14">
        <v>1655.1264522693016</v>
      </c>
      <c r="O6" s="14">
        <v>586725.7760649448</v>
      </c>
      <c r="P6" s="8">
        <v>1655.1264522693018</v>
      </c>
      <c r="Q6" s="54">
        <v>1.7472921173795751E-2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0.40152583886477111</v>
      </c>
      <c r="F7" s="14">
        <v>2.6072197848893528E-4</v>
      </c>
      <c r="G7" s="14">
        <v>8.4970100280230148E-8</v>
      </c>
      <c r="H7" s="14">
        <v>28.829535367200833</v>
      </c>
      <c r="I7" s="14">
        <v>789.03235802337826</v>
      </c>
      <c r="J7" s="14">
        <v>0</v>
      </c>
      <c r="K7" s="14">
        <v>3835.5032659528501</v>
      </c>
      <c r="L7" s="14">
        <v>2.6072197848893528E-4</v>
      </c>
      <c r="M7" s="14">
        <v>2.1392238335017142E-4</v>
      </c>
      <c r="N7" s="14">
        <v>1565.5330762358008</v>
      </c>
      <c r="O7" s="14">
        <v>554965.82019482902</v>
      </c>
      <c r="P7" s="8">
        <v>1565.5330762358008</v>
      </c>
      <c r="Q7" s="54">
        <v>2.3751706272679821E-2</v>
      </c>
    </row>
    <row r="8" spans="1:20">
      <c r="A8" s="2" t="s">
        <v>323</v>
      </c>
      <c r="B8" s="16" t="s">
        <v>324</v>
      </c>
      <c r="D8" s="14">
        <v>1</v>
      </c>
      <c r="E8" s="14">
        <v>0.44568642581388251</v>
      </c>
      <c r="F8" s="14">
        <v>6.5367697935531045E-4</v>
      </c>
      <c r="G8" s="14">
        <v>9.032577121031843E-7</v>
      </c>
      <c r="H8" s="14">
        <v>49.383650529015725</v>
      </c>
      <c r="I8" s="14">
        <v>713.90489765151221</v>
      </c>
      <c r="J8" s="14">
        <v>0</v>
      </c>
      <c r="K8" s="14">
        <v>1529.8075832290299</v>
      </c>
      <c r="L8" s="14">
        <v>6.5367697935531045E-4</v>
      </c>
      <c r="M8" s="14">
        <v>5.3634196156103226E-4</v>
      </c>
      <c r="N8" s="14">
        <v>1402.2002638111583</v>
      </c>
      <c r="O8" s="14">
        <v>448760.17243012309</v>
      </c>
      <c r="P8" s="8">
        <v>1402.2002638111583</v>
      </c>
      <c r="Q8" s="54">
        <v>3.3561422599122211E-2</v>
      </c>
    </row>
    <row r="9" spans="1:20">
      <c r="A9" s="2" t="s">
        <v>325</v>
      </c>
      <c r="B9" s="16" t="s">
        <v>326</v>
      </c>
      <c r="D9" s="14">
        <v>1</v>
      </c>
      <c r="E9" s="14">
        <v>0.64273210801322156</v>
      </c>
      <c r="F9" s="14">
        <v>4.9477549803397719E-2</v>
      </c>
      <c r="G9" s="14">
        <v>9.3539850683369891E-7</v>
      </c>
      <c r="H9" s="14">
        <v>140.98346644666452</v>
      </c>
      <c r="I9" s="14">
        <v>256.34529774745522</v>
      </c>
      <c r="J9" s="14">
        <v>0</v>
      </c>
      <c r="K9" s="14">
        <v>20.211186770031365</v>
      </c>
      <c r="L9" s="14">
        <v>4.9477549803397726E-2</v>
      </c>
      <c r="M9" s="14">
        <v>4.059632961368783E-2</v>
      </c>
      <c r="N9" s="14">
        <v>477.42814374101272</v>
      </c>
      <c r="O9" s="14">
        <v>145305.25554757722</v>
      </c>
      <c r="P9" s="8">
        <v>477.42814374101272</v>
      </c>
      <c r="Q9" s="54">
        <v>0.12514841550212419</v>
      </c>
    </row>
    <row r="10" spans="1:20">
      <c r="A10" s="2" t="s">
        <v>275</v>
      </c>
      <c r="B10" s="16" t="s">
        <v>276</v>
      </c>
      <c r="D10" s="14">
        <v>1</v>
      </c>
      <c r="E10" s="14">
        <v>0.63850337537090629</v>
      </c>
      <c r="F10" s="14">
        <v>4.6941367128348101E-3</v>
      </c>
      <c r="G10" s="14">
        <v>1.2456734887390145E-8</v>
      </c>
      <c r="H10" s="14">
        <v>136.82823785056971</v>
      </c>
      <c r="I10" s="14">
        <v>401.08175322944339</v>
      </c>
      <c r="J10" s="14">
        <v>0</v>
      </c>
      <c r="K10" s="14">
        <v>213.03171619731023</v>
      </c>
      <c r="L10" s="14">
        <v>4.6941367128348101E-3</v>
      </c>
      <c r="M10" s="14">
        <v>3.8515391728809619E-3</v>
      </c>
      <c r="N10" s="14">
        <v>768.08334755423516</v>
      </c>
      <c r="O10" s="14">
        <v>284567.19943536859</v>
      </c>
      <c r="P10" s="8">
        <v>768.08334755423527</v>
      </c>
      <c r="Q10" s="54">
        <v>5.7468902674234455E-2</v>
      </c>
    </row>
    <row r="11" spans="1:20">
      <c r="A11" s="2" t="s">
        <v>327</v>
      </c>
      <c r="B11" s="16" t="s">
        <v>328</v>
      </c>
      <c r="D11" s="14">
        <v>1</v>
      </c>
      <c r="E11" s="14">
        <v>0.61794157766536761</v>
      </c>
      <c r="F11" s="14">
        <v>4.018879503540876E-3</v>
      </c>
      <c r="G11" s="14">
        <v>6.2885927806668871E-7</v>
      </c>
      <c r="H11" s="14">
        <v>127.73943329296338</v>
      </c>
      <c r="I11" s="14">
        <v>432.89458753610796</v>
      </c>
      <c r="J11" s="14">
        <v>0</v>
      </c>
      <c r="K11" s="14">
        <v>248.82557417283581</v>
      </c>
      <c r="L11" s="14">
        <v>4.0188795035408769E-3</v>
      </c>
      <c r="M11" s="14">
        <v>3.2974906326552894E-3</v>
      </c>
      <c r="N11" s="14">
        <v>830.91589134812455</v>
      </c>
      <c r="O11" s="14">
        <v>316504.17217341415</v>
      </c>
      <c r="P11" s="8">
        <v>830.91589134812455</v>
      </c>
      <c r="Q11" s="54">
        <v>5.6050843922472025E-2</v>
      </c>
    </row>
    <row r="12" spans="1:20">
      <c r="A12" s="2" t="s">
        <v>329</v>
      </c>
      <c r="B12" s="16" t="s">
        <v>330</v>
      </c>
      <c r="D12" s="14">
        <v>1</v>
      </c>
      <c r="E12" s="14">
        <v>0.66606680421246245</v>
      </c>
      <c r="F12" s="14">
        <v>3.149517521164933E-2</v>
      </c>
      <c r="G12" s="14">
        <v>4.8539189068705061E-7</v>
      </c>
      <c r="H12" s="14">
        <v>151.72740451016961</v>
      </c>
      <c r="I12" s="14">
        <v>265.41239411388801</v>
      </c>
      <c r="J12" s="14">
        <v>0</v>
      </c>
      <c r="K12" s="14">
        <v>31.750894963433108</v>
      </c>
      <c r="L12" s="14">
        <v>3.149517521164933E-2</v>
      </c>
      <c r="M12" s="14">
        <v>2.5841791261158278E-2</v>
      </c>
      <c r="N12" s="14">
        <v>496.70944052721529</v>
      </c>
      <c r="O12" s="14">
        <v>136297.07048066787</v>
      </c>
      <c r="P12" s="8">
        <v>496.70944052721535</v>
      </c>
      <c r="Q12" s="54">
        <v>0.10474208132558664</v>
      </c>
    </row>
    <row r="13" spans="1:20">
      <c r="A13" s="2" t="s">
        <v>277</v>
      </c>
      <c r="B13" s="16" t="s">
        <v>278</v>
      </c>
      <c r="D13" s="14">
        <v>1</v>
      </c>
      <c r="E13" s="14">
        <v>0.64490757925301234</v>
      </c>
      <c r="F13" s="14">
        <v>4.7427066827706865E-2</v>
      </c>
      <c r="G13" s="14">
        <v>1.4545704275554122E-6</v>
      </c>
      <c r="H13" s="14">
        <v>142.07127111614676</v>
      </c>
      <c r="I13" s="14">
        <v>257.37326791467348</v>
      </c>
      <c r="J13" s="14">
        <v>0</v>
      </c>
      <c r="K13" s="14">
        <v>21.085006239850376</v>
      </c>
      <c r="L13" s="14">
        <v>4.7427066827706865E-2</v>
      </c>
      <c r="M13" s="14">
        <v>3.8913908332133484E-2</v>
      </c>
      <c r="N13" s="14">
        <v>479.56331430434255</v>
      </c>
      <c r="O13" s="14">
        <v>195148.69948986612</v>
      </c>
      <c r="P13" s="8">
        <v>479.56331430434255</v>
      </c>
      <c r="Q13" s="54">
        <v>0.1231298745222185</v>
      </c>
    </row>
    <row r="14" spans="1:20">
      <c r="A14" s="2" t="s">
        <v>331</v>
      </c>
      <c r="B14" s="16" t="s">
        <v>332</v>
      </c>
      <c r="D14" s="14">
        <v>1</v>
      </c>
      <c r="E14" s="14">
        <v>0.55603484567979433</v>
      </c>
      <c r="F14" s="14">
        <v>2.4051337154260589E-3</v>
      </c>
      <c r="G14" s="14">
        <v>3.779616306706663E-7</v>
      </c>
      <c r="H14" s="14">
        <v>99.981402908545945</v>
      </c>
      <c r="I14" s="14">
        <v>531.22242143214851</v>
      </c>
      <c r="J14" s="14">
        <v>0</v>
      </c>
      <c r="K14" s="14">
        <v>415.77729902757375</v>
      </c>
      <c r="L14" s="14">
        <v>2.4051337154260589E-3</v>
      </c>
      <c r="M14" s="14">
        <v>1.9734122135070813E-3</v>
      </c>
      <c r="N14" s="14">
        <v>1026.950863712696</v>
      </c>
      <c r="O14" s="14">
        <v>391175.85349680303</v>
      </c>
      <c r="P14" s="8">
        <v>1026.950863712696</v>
      </c>
      <c r="Q14" s="54">
        <v>5.0243096481491709E-2</v>
      </c>
    </row>
    <row r="15" spans="1:20">
      <c r="A15" s="2" t="s">
        <v>333</v>
      </c>
      <c r="B15" s="16" t="s">
        <v>334</v>
      </c>
      <c r="D15" s="14">
        <v>1</v>
      </c>
      <c r="E15" s="14">
        <v>0.62823440753374082</v>
      </c>
      <c r="F15" s="14">
        <v>4.3462766034785983E-3</v>
      </c>
      <c r="G15" s="14">
        <v>6.954499010926881E-10</v>
      </c>
      <c r="H15" s="14">
        <v>132.29315138576607</v>
      </c>
      <c r="I15" s="14">
        <v>416.96013320866837</v>
      </c>
      <c r="J15" s="14">
        <v>0</v>
      </c>
      <c r="K15" s="14">
        <v>230.08199689813509</v>
      </c>
      <c r="L15" s="14">
        <v>4.3462766034785983E-3</v>
      </c>
      <c r="M15" s="14">
        <v>3.5661199531541901E-3</v>
      </c>
      <c r="N15" s="14">
        <v>799.4102441495296</v>
      </c>
      <c r="O15" s="14">
        <v>307357.25067061116</v>
      </c>
      <c r="P15" s="8">
        <v>799.4102441495296</v>
      </c>
      <c r="Q15" s="54">
        <v>5.6792963720767954E-2</v>
      </c>
    </row>
    <row r="16" spans="1:20">
      <c r="A16" s="2" t="s">
        <v>335</v>
      </c>
      <c r="B16" s="16" t="s">
        <v>336</v>
      </c>
      <c r="D16" s="14">
        <v>1</v>
      </c>
      <c r="E16" s="14">
        <v>0.44811483258114698</v>
      </c>
      <c r="F16" s="14">
        <v>6.8054627976409782E-4</v>
      </c>
      <c r="G16" s="14">
        <v>2.3614902233637129E-6</v>
      </c>
      <c r="H16" s="14">
        <v>50.530973390364096</v>
      </c>
      <c r="I16" s="14">
        <v>709.60200675353383</v>
      </c>
      <c r="J16" s="14">
        <v>0</v>
      </c>
      <c r="K16" s="14">
        <v>1469.4077827398255</v>
      </c>
      <c r="L16" s="14">
        <v>6.8054627976409782E-4</v>
      </c>
      <c r="M16" s="14">
        <v>5.5838822254644226E-4</v>
      </c>
      <c r="N16" s="14">
        <v>1393.1074699553974</v>
      </c>
      <c r="O16" s="14">
        <v>520074.88068374892</v>
      </c>
      <c r="P16" s="8">
        <v>1393.1074699553974</v>
      </c>
      <c r="Q16" s="54">
        <v>3.4041981785938868E-2</v>
      </c>
    </row>
    <row r="17" spans="1:21">
      <c r="A17" s="2" t="s">
        <v>337</v>
      </c>
      <c r="B17" s="16" t="s">
        <v>338</v>
      </c>
      <c r="D17" s="14">
        <v>1</v>
      </c>
      <c r="E17" s="14">
        <v>0.64669782836039735</v>
      </c>
      <c r="F17" s="14">
        <v>4.9877433020737985E-3</v>
      </c>
      <c r="G17" s="14">
        <v>2.5206502033724457E-7</v>
      </c>
      <c r="H17" s="14">
        <v>140.43782476962301</v>
      </c>
      <c r="I17" s="14">
        <v>388.45549107202856</v>
      </c>
      <c r="J17" s="14">
        <v>0</v>
      </c>
      <c r="K17" s="14">
        <v>200.49147268349216</v>
      </c>
      <c r="L17" s="14">
        <v>4.9877433020737985E-3</v>
      </c>
      <c r="M17" s="14">
        <v>4.0924433793515522E-3</v>
      </c>
      <c r="N17" s="14">
        <v>743.21920765889979</v>
      </c>
      <c r="O17" s="14">
        <v>289350.10192576284</v>
      </c>
      <c r="P17" s="8">
        <v>743.21920765889979</v>
      </c>
      <c r="Q17" s="54">
        <v>5.7961720038667577E-2</v>
      </c>
    </row>
    <row r="18" spans="1:21">
      <c r="A18" s="2" t="s">
        <v>279</v>
      </c>
      <c r="B18" s="16" t="s">
        <v>280</v>
      </c>
      <c r="D18" s="14">
        <v>1</v>
      </c>
      <c r="E18" s="14">
        <v>0.63139576998652969</v>
      </c>
      <c r="F18" s="14">
        <v>5.9568548985611418E-2</v>
      </c>
      <c r="G18" s="14">
        <v>2.8253061124126399E-5</v>
      </c>
      <c r="H18" s="14">
        <v>135.53049401817682</v>
      </c>
      <c r="I18" s="14">
        <v>250.54987599665918</v>
      </c>
      <c r="J18" s="14">
        <v>0</v>
      </c>
      <c r="K18" s="14">
        <v>16.787382218115578</v>
      </c>
      <c r="L18" s="14">
        <v>5.9568548985611425E-2</v>
      </c>
      <c r="M18" s="14">
        <v>4.8875994442694172E-2</v>
      </c>
      <c r="N18" s="14">
        <v>465.66921651845121</v>
      </c>
      <c r="O18" s="14">
        <v>135430.57824006115</v>
      </c>
      <c r="P18" s="8">
        <v>465.66921651845126</v>
      </c>
      <c r="Q18" s="54">
        <v>0.1339967275260481</v>
      </c>
    </row>
    <row r="19" spans="1:21">
      <c r="A19" s="2" t="s">
        <v>339</v>
      </c>
      <c r="B19" s="16" t="s">
        <v>340</v>
      </c>
      <c r="D19" s="14">
        <v>1</v>
      </c>
      <c r="E19" s="14">
        <v>0.62618103725154572</v>
      </c>
      <c r="F19" s="14">
        <v>4.2792111901416617E-3</v>
      </c>
      <c r="G19" s="14">
        <v>2.4298094022833429E-9</v>
      </c>
      <c r="H19" s="14">
        <v>131.38437533873841</v>
      </c>
      <c r="I19" s="14">
        <v>420.14663670129096</v>
      </c>
      <c r="J19" s="14">
        <v>0</v>
      </c>
      <c r="K19" s="14">
        <v>233.68792881823049</v>
      </c>
      <c r="L19" s="14">
        <v>4.2792111901416617E-3</v>
      </c>
      <c r="M19" s="14">
        <v>3.5110927815112337E-3</v>
      </c>
      <c r="N19" s="14">
        <v>805.70491748294955</v>
      </c>
      <c r="O19" s="14">
        <v>278491.90472798154</v>
      </c>
      <c r="P19" s="8">
        <v>805.70491748294967</v>
      </c>
      <c r="Q19" s="54">
        <v>5.6650127459788951E-2</v>
      </c>
    </row>
    <row r="20" spans="1:21">
      <c r="A20" s="2" t="s">
        <v>281</v>
      </c>
      <c r="B20" s="16" t="s">
        <v>282</v>
      </c>
      <c r="D20" s="14">
        <v>1</v>
      </c>
      <c r="E20" s="14">
        <v>0.64497923457913942</v>
      </c>
      <c r="F20" s="14">
        <v>4.7432336422994804E-2</v>
      </c>
      <c r="G20" s="14">
        <v>2.2018260487701873E-7</v>
      </c>
      <c r="H20" s="14">
        <v>142.08705657687418</v>
      </c>
      <c r="I20" s="14">
        <v>257.40186451679466</v>
      </c>
      <c r="J20" s="14">
        <v>0</v>
      </c>
      <c r="K20" s="14">
        <v>21.08266375668579</v>
      </c>
      <c r="L20" s="14">
        <v>4.7432336422994811E-2</v>
      </c>
      <c r="M20" s="14">
        <v>3.8918232035067238E-2</v>
      </c>
      <c r="N20" s="14">
        <v>479.61659832020865</v>
      </c>
      <c r="O20" s="14">
        <v>139693.13042674397</v>
      </c>
      <c r="P20" s="8">
        <v>479.61659832020865</v>
      </c>
      <c r="Q20" s="54">
        <v>0.1231435554147971</v>
      </c>
    </row>
    <row r="21" spans="1:21">
      <c r="A21" s="2" t="s">
        <v>341</v>
      </c>
      <c r="B21" s="16" t="s">
        <v>342</v>
      </c>
      <c r="D21" s="14">
        <v>1</v>
      </c>
      <c r="E21" s="14">
        <v>0.57340548368307531</v>
      </c>
      <c r="F21" s="14">
        <v>2.8049149675353443E-3</v>
      </c>
      <c r="G21" s="14">
        <v>3.2635343457561744E-6</v>
      </c>
      <c r="H21" s="14">
        <v>107.85982217049195</v>
      </c>
      <c r="I21" s="14">
        <v>502.94080281944883</v>
      </c>
      <c r="J21" s="14">
        <v>0</v>
      </c>
      <c r="K21" s="14">
        <v>356.51704653232031</v>
      </c>
      <c r="L21" s="14">
        <v>2.8049149675353443E-3</v>
      </c>
      <c r="M21" s="14">
        <v>2.3014327308627501E-3</v>
      </c>
      <c r="N21" s="14">
        <v>970.26555100373798</v>
      </c>
      <c r="O21" s="14">
        <v>325310.63394053321</v>
      </c>
      <c r="P21" s="8">
        <v>970.26555100373798</v>
      </c>
      <c r="Q21" s="54">
        <v>5.2109495757896772E-2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0.67764372760091218</v>
      </c>
      <c r="F22" s="14">
        <v>0.53575995729988068</v>
      </c>
      <c r="G22" s="14">
        <v>2.0716612322044929E-5</v>
      </c>
      <c r="H22" s="14">
        <v>32.455645516224052</v>
      </c>
      <c r="I22" s="14">
        <v>78.369562458649128</v>
      </c>
      <c r="J22" s="14">
        <v>0</v>
      </c>
      <c r="K22" s="14">
        <v>1.8665075401300852</v>
      </c>
      <c r="L22" s="14">
        <v>0.5357599572998808</v>
      </c>
      <c r="M22" s="14">
        <v>0.43959104496455215</v>
      </c>
      <c r="N22" s="14">
        <v>140.8858219835538</v>
      </c>
      <c r="O22" s="14">
        <v>23133.451969699534</v>
      </c>
      <c r="P22" s="8">
        <v>140.8858219835538</v>
      </c>
      <c r="Q22" s="54">
        <v>0.18211571451478417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0.7631735750071228</v>
      </c>
      <c r="F23" s="14">
        <v>0.69442539274100434</v>
      </c>
      <c r="G23" s="14">
        <v>9.0496978814703593E-7</v>
      </c>
      <c r="H23" s="14">
        <v>15.863740356413725</v>
      </c>
      <c r="I23" s="14">
        <v>41.158805650457779</v>
      </c>
      <c r="J23" s="14">
        <v>0</v>
      </c>
      <c r="K23" s="14">
        <v>1.440039506696098</v>
      </c>
      <c r="L23" s="14">
        <v>0.69442539274100434</v>
      </c>
      <c r="M23" s="14">
        <v>0.56977603474399408</v>
      </c>
      <c r="N23" s="14">
        <v>73.337960148263861</v>
      </c>
      <c r="O23" s="14">
        <v>11085.766056011566</v>
      </c>
      <c r="P23" s="8">
        <v>73.337960148263875</v>
      </c>
      <c r="Q23" s="54">
        <v>0.14199163626415415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0.59305551471156237</v>
      </c>
      <c r="F24" s="14">
        <v>0.15081906598022143</v>
      </c>
      <c r="G24" s="14">
        <v>6.9442401995852394E-7</v>
      </c>
      <c r="H24" s="14">
        <v>103.32281904290235</v>
      </c>
      <c r="I24" s="14">
        <v>208.66682962529094</v>
      </c>
      <c r="J24" s="14">
        <v>0</v>
      </c>
      <c r="K24" s="14">
        <v>6.6304614307261458</v>
      </c>
      <c r="L24" s="14">
        <v>0.15081906598022143</v>
      </c>
      <c r="M24" s="14">
        <v>0.12374704363677169</v>
      </c>
      <c r="N24" s="14">
        <v>383.56717383694598</v>
      </c>
      <c r="O24" s="14">
        <v>67603.714388761728</v>
      </c>
      <c r="P24" s="8">
        <v>383.56717383694604</v>
      </c>
      <c r="Q24" s="54">
        <v>0.18149029963657307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0.68743780981300795</v>
      </c>
      <c r="F25" s="14">
        <v>1.7067833569728269E-2</v>
      </c>
      <c r="G25" s="14">
        <v>1.2068321938596619E-4</v>
      </c>
      <c r="H25" s="14">
        <v>161.51705946271349</v>
      </c>
      <c r="I25" s="14">
        <v>268.82866176857056</v>
      </c>
      <c r="J25" s="14">
        <v>0</v>
      </c>
      <c r="K25" s="14">
        <v>58.589744030174572</v>
      </c>
      <c r="L25" s="14">
        <v>1.7067833569728269E-2</v>
      </c>
      <c r="M25" s="14">
        <v>1.4004157443962044E-2</v>
      </c>
      <c r="N25" s="14">
        <v>506.2384229159706</v>
      </c>
      <c r="O25" s="14">
        <v>97349.648726741143</v>
      </c>
      <c r="P25" s="8">
        <v>506.2384229159706</v>
      </c>
      <c r="Q25" s="54">
        <v>8.0700378217034963E-2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0.58536286351383282</v>
      </c>
      <c r="F26" s="14">
        <v>3.1014436102550632E-3</v>
      </c>
      <c r="G26" s="14">
        <v>2.6728363994421208E-6</v>
      </c>
      <c r="H26" s="14">
        <v>113.22540670183726</v>
      </c>
      <c r="I26" s="14">
        <v>483.95063060948382</v>
      </c>
      <c r="J26" s="14">
        <v>0</v>
      </c>
      <c r="K26" s="14">
        <v>322.43049549360006</v>
      </c>
      <c r="L26" s="14">
        <v>3.1014436102550637E-3</v>
      </c>
      <c r="M26" s="14">
        <v>2.5447344822142797E-3</v>
      </c>
      <c r="N26" s="14">
        <v>932.34172090250934</v>
      </c>
      <c r="O26" s="14">
        <v>207324.82847709098</v>
      </c>
      <c r="P26" s="8">
        <v>932.34172090250934</v>
      </c>
      <c r="Q26" s="54">
        <v>5.3284520269908868E-2</v>
      </c>
    </row>
    <row r="27" spans="1:21">
      <c r="A27" s="2" t="s">
        <v>353</v>
      </c>
      <c r="B27" s="16" t="s">
        <v>354</v>
      </c>
      <c r="D27" s="14">
        <v>1</v>
      </c>
      <c r="E27" s="14">
        <v>0.41032856943857271</v>
      </c>
      <c r="F27" s="14">
        <v>3.2930636841493926E-4</v>
      </c>
      <c r="G27" s="14">
        <v>1.2590083697122586E-5</v>
      </c>
      <c r="H27" s="14">
        <v>33.105498326300292</v>
      </c>
      <c r="I27" s="14">
        <v>772.42674086013005</v>
      </c>
      <c r="J27" s="14">
        <v>0</v>
      </c>
      <c r="K27" s="14">
        <v>3036.6858825516538</v>
      </c>
      <c r="L27" s="14">
        <v>3.2930636841493931E-4</v>
      </c>
      <c r="M27" s="14">
        <v>2.7019587528445769E-4</v>
      </c>
      <c r="N27" s="14">
        <v>1528.7106605106519</v>
      </c>
      <c r="O27" s="14">
        <v>361371.91303811298</v>
      </c>
      <c r="P27" s="8">
        <v>1528.7106605106521</v>
      </c>
      <c r="Q27" s="54">
        <v>2.5993053479443851E-2</v>
      </c>
    </row>
    <row r="28" spans="1:21">
      <c r="A28" s="2" t="s">
        <v>355</v>
      </c>
      <c r="B28" s="16" t="s">
        <v>356</v>
      </c>
      <c r="D28" s="14">
        <v>1</v>
      </c>
      <c r="E28" s="14">
        <v>0.50714975351887737</v>
      </c>
      <c r="F28" s="14">
        <v>1.4801143979595339E-3</v>
      </c>
      <c r="G28" s="14">
        <v>8.674086944506835E-7</v>
      </c>
      <c r="H28" s="14">
        <v>77.731184065676345</v>
      </c>
      <c r="I28" s="14">
        <v>611.01581890055581</v>
      </c>
      <c r="J28" s="14">
        <v>0</v>
      </c>
      <c r="K28" s="14">
        <v>675.62345274026563</v>
      </c>
      <c r="L28" s="14">
        <v>1.4801143979595341E-3</v>
      </c>
      <c r="M28" s="14">
        <v>1.2144338635257977E-3</v>
      </c>
      <c r="N28" s="14">
        <v>1188.5687548694127</v>
      </c>
      <c r="O28" s="14">
        <v>307126.16625825624</v>
      </c>
      <c r="P28" s="8">
        <v>1188.5687548694127</v>
      </c>
      <c r="Q28" s="54">
        <v>4.3959470645209907E-2</v>
      </c>
    </row>
    <row r="29" spans="1:21">
      <c r="A29" s="2" t="s">
        <v>357</v>
      </c>
      <c r="B29" s="16" t="s">
        <v>358</v>
      </c>
      <c r="D29" s="14">
        <v>1</v>
      </c>
      <c r="E29" s="14">
        <v>0.55193194980325322</v>
      </c>
      <c r="F29" s="14">
        <v>2.4883962577741804E-3</v>
      </c>
      <c r="G29" s="14">
        <v>1.9590613078392078E-4</v>
      </c>
      <c r="H29" s="14">
        <v>100.79048605192239</v>
      </c>
      <c r="I29" s="14">
        <v>512.71581101149127</v>
      </c>
      <c r="J29" s="14">
        <v>0</v>
      </c>
      <c r="K29" s="14">
        <v>401.86525633762187</v>
      </c>
      <c r="L29" s="14">
        <v>2.4883962577741804E-3</v>
      </c>
      <c r="M29" s="14">
        <v>2.041729129503715E-3</v>
      </c>
      <c r="N29" s="14">
        <v>990.49009183980297</v>
      </c>
      <c r="O29" s="14">
        <v>234141.95281001102</v>
      </c>
      <c r="P29" s="8">
        <v>990.49009183980309</v>
      </c>
      <c r="Q29" s="54">
        <v>4.9989260283007091E-2</v>
      </c>
    </row>
    <row r="30" spans="1:21">
      <c r="A30" s="2" t="s">
        <v>359</v>
      </c>
      <c r="B30" s="16" t="s">
        <v>360</v>
      </c>
      <c r="D30" s="14">
        <v>1</v>
      </c>
      <c r="E30" s="14">
        <v>0.50714975351887737</v>
      </c>
      <c r="F30" s="14">
        <v>1.4801143979595339E-3</v>
      </c>
      <c r="G30" s="14">
        <v>8.674086944506835E-7</v>
      </c>
      <c r="H30" s="14">
        <v>77.731184065676345</v>
      </c>
      <c r="I30" s="14">
        <v>611.01581890055581</v>
      </c>
      <c r="J30" s="14">
        <v>0</v>
      </c>
      <c r="K30" s="14">
        <v>675.62345274026563</v>
      </c>
      <c r="L30" s="14">
        <v>1.4801143979595341E-3</v>
      </c>
      <c r="M30" s="14">
        <v>1.2144338635257977E-3</v>
      </c>
      <c r="N30" s="14">
        <v>1188.5687548694127</v>
      </c>
      <c r="O30" s="14">
        <v>307126.16625825624</v>
      </c>
      <c r="P30" s="8">
        <v>1188.5687548694127</v>
      </c>
      <c r="Q30" s="54">
        <v>4.3959470645209907E-2</v>
      </c>
    </row>
    <row r="31" spans="1:21">
      <c r="A31" s="2" t="s">
        <v>283</v>
      </c>
      <c r="B31" s="16" t="s">
        <v>284</v>
      </c>
      <c r="D31" s="14">
        <v>1</v>
      </c>
      <c r="E31" s="14">
        <v>0.97624300325805213</v>
      </c>
      <c r="F31" s="14">
        <v>0.9792192990854941</v>
      </c>
      <c r="G31" s="14">
        <v>2.9119804297229072E-10</v>
      </c>
      <c r="H31" s="14">
        <v>0.17059251197838041</v>
      </c>
      <c r="I31" s="14">
        <v>0.6338947209687642</v>
      </c>
      <c r="J31" s="14">
        <v>0</v>
      </c>
      <c r="K31" s="14">
        <v>1.0212217027727224</v>
      </c>
      <c r="L31" s="14">
        <v>0.9792192990854941</v>
      </c>
      <c r="M31" s="14">
        <v>0.80344943489964793</v>
      </c>
      <c r="N31" s="14">
        <v>1.0972504883645309</v>
      </c>
      <c r="O31" s="14">
        <v>213.07507233550822</v>
      </c>
      <c r="P31" s="8">
        <v>1.0972504883645309</v>
      </c>
      <c r="Q31" s="54">
        <v>1.5769471370676993E-2</v>
      </c>
    </row>
    <row r="32" spans="1:21">
      <c r="A32" s="2" t="s">
        <v>361</v>
      </c>
      <c r="B32" s="16" t="s">
        <v>362</v>
      </c>
      <c r="D32" s="14">
        <v>1</v>
      </c>
      <c r="E32" s="14">
        <v>0.62613310178417159</v>
      </c>
      <c r="F32" s="14">
        <v>0.40283896958286741</v>
      </c>
      <c r="G32" s="14">
        <v>2.1903513994914883E-10</v>
      </c>
      <c r="H32" s="14">
        <v>51.270009385364489</v>
      </c>
      <c r="I32" s="14">
        <v>117.04252268120958</v>
      </c>
      <c r="J32" s="14">
        <v>0</v>
      </c>
      <c r="K32" s="14">
        <v>2.4823814861692308</v>
      </c>
      <c r="L32" s="14">
        <v>0.40283896958286741</v>
      </c>
      <c r="M32" s="14">
        <v>0.33052937454274273</v>
      </c>
      <c r="N32" s="14">
        <v>212.71839190703423</v>
      </c>
      <c r="O32" s="14">
        <v>54475.052983472393</v>
      </c>
      <c r="P32" s="8">
        <v>212.71839190703423</v>
      </c>
      <c r="Q32" s="54">
        <v>0.20069829073879755</v>
      </c>
    </row>
    <row r="33" spans="1:17">
      <c r="A33" s="2" t="s">
        <v>364</v>
      </c>
      <c r="B33" s="16" t="s">
        <v>365</v>
      </c>
      <c r="D33" s="14">
        <v>1</v>
      </c>
      <c r="E33" s="14">
        <v>0.9997350713764066</v>
      </c>
      <c r="F33" s="14">
        <v>0.99942853050664582</v>
      </c>
      <c r="G33" s="14">
        <v>1.3410225401222879E-12</v>
      </c>
      <c r="H33" s="14">
        <v>1.1941303678859003</v>
      </c>
      <c r="I33" s="14">
        <v>3.3809650475258397E-3</v>
      </c>
      <c r="J33" s="14">
        <v>0</v>
      </c>
      <c r="K33" s="14">
        <v>1.0005717962574716</v>
      </c>
      <c r="L33" s="14">
        <v>0.99942853050664593</v>
      </c>
      <c r="M33" s="14">
        <v>0.820031109280703</v>
      </c>
      <c r="N33" s="14">
        <v>0.57758545976802111</v>
      </c>
      <c r="O33" s="14">
        <v>171.05193391029945</v>
      </c>
      <c r="P33" s="8">
        <v>0.57758545976802123</v>
      </c>
      <c r="Q33" s="54">
        <v>3.8551446771930768E-5</v>
      </c>
    </row>
    <row r="34" spans="1:17">
      <c r="A34" s="2" t="s">
        <v>285</v>
      </c>
      <c r="B34" s="16" t="s">
        <v>286</v>
      </c>
      <c r="D34" s="14">
        <v>1</v>
      </c>
      <c r="E34" s="14">
        <v>0.98470130307401516</v>
      </c>
      <c r="F34" s="14">
        <v>0.54145790163006935</v>
      </c>
      <c r="G34" s="14">
        <v>3.9277103231501198E-12</v>
      </c>
      <c r="H34" s="14">
        <v>126.56822683305795</v>
      </c>
      <c r="I34" s="14">
        <v>9.6241153235328322E-2</v>
      </c>
      <c r="J34" s="14">
        <v>0</v>
      </c>
      <c r="K34" s="14">
        <v>1.8468656510311898</v>
      </c>
      <c r="L34" s="14">
        <v>0.54145790163006935</v>
      </c>
      <c r="M34" s="14">
        <v>0.44426620828747193</v>
      </c>
      <c r="N34" s="14">
        <v>41.987162735911639</v>
      </c>
      <c r="O34" s="14">
        <v>9280.842451145907</v>
      </c>
      <c r="P34" s="8">
        <v>41.987162735911639</v>
      </c>
      <c r="Q34" s="54">
        <v>1.2940790857411363E-4</v>
      </c>
    </row>
    <row r="35" spans="1:17">
      <c r="A35" s="2" t="s">
        <v>287</v>
      </c>
      <c r="B35" s="16" t="s">
        <v>288</v>
      </c>
      <c r="D35" s="14">
        <v>1</v>
      </c>
      <c r="E35" s="14">
        <v>0.97829744222596571</v>
      </c>
      <c r="F35" s="14">
        <v>0.31855371598117138</v>
      </c>
      <c r="G35" s="14">
        <v>1.1369647760588075E-13</v>
      </c>
      <c r="H35" s="14">
        <v>187.82901264301762</v>
      </c>
      <c r="I35" s="14">
        <v>0.33678412626904419</v>
      </c>
      <c r="J35" s="14">
        <v>0</v>
      </c>
      <c r="K35" s="14">
        <v>3.1391879919526873</v>
      </c>
      <c r="L35" s="14">
        <v>0.31855371598117138</v>
      </c>
      <c r="M35" s="14">
        <v>0.26137332396255114</v>
      </c>
      <c r="N35" s="14">
        <v>59.036692017683059</v>
      </c>
      <c r="O35" s="14">
        <v>13593.7887039917</v>
      </c>
      <c r="P35" s="8">
        <v>59.036692017683066</v>
      </c>
      <c r="Q35" s="54">
        <v>3.1128028369157635E-4</v>
      </c>
    </row>
    <row r="36" spans="1:17">
      <c r="A36" s="2" t="s">
        <v>366</v>
      </c>
      <c r="B36" s="16" t="s">
        <v>305</v>
      </c>
      <c r="D36" s="14">
        <v>1</v>
      </c>
      <c r="E36" s="14">
        <v>0.9737947480646949</v>
      </c>
      <c r="F36" s="14">
        <v>0.10577571591779898</v>
      </c>
      <c r="G36" s="14">
        <v>1.9952965326925469E-10</v>
      </c>
      <c r="H36" s="14">
        <v>246.75500675350153</v>
      </c>
      <c r="I36" s="14">
        <v>0.65413799028940856</v>
      </c>
      <c r="J36" s="14">
        <v>0</v>
      </c>
      <c r="K36" s="14">
        <v>9.4539657928396874</v>
      </c>
      <c r="L36" s="14">
        <v>0.10577571591779898</v>
      </c>
      <c r="M36" s="14">
        <v>8.6788974910554068E-2</v>
      </c>
      <c r="N36" s="14">
        <v>71.406828790307614</v>
      </c>
      <c r="O36" s="14">
        <v>14729.800642864653</v>
      </c>
      <c r="P36" s="8">
        <v>71.406828790307614</v>
      </c>
      <c r="Q36" s="54">
        <v>3.4631346074660109E-4</v>
      </c>
    </row>
    <row r="37" spans="1:17">
      <c r="A37" s="2" t="s">
        <v>289</v>
      </c>
      <c r="B37" s="16" t="s">
        <v>290</v>
      </c>
      <c r="D37" s="14">
        <v>1</v>
      </c>
      <c r="E37" s="14">
        <v>0.8769488287633217</v>
      </c>
      <c r="F37" s="14">
        <v>0.19723090393787823</v>
      </c>
      <c r="G37" s="14">
        <v>4.3972103997156025E-17</v>
      </c>
      <c r="H37" s="14">
        <v>187.02297674950418</v>
      </c>
      <c r="I37" s="14">
        <v>59.118864173419546</v>
      </c>
      <c r="J37" s="14">
        <v>0</v>
      </c>
      <c r="K37" s="14">
        <v>5.0701993452048963</v>
      </c>
      <c r="L37" s="14">
        <v>0.19723090393787823</v>
      </c>
      <c r="M37" s="14">
        <v>0.16182795668102909</v>
      </c>
      <c r="N37" s="14">
        <v>156.40599731238731</v>
      </c>
      <c r="O37" s="14">
        <v>54494.977583581989</v>
      </c>
      <c r="P37" s="8">
        <v>156.40599731238731</v>
      </c>
      <c r="Q37" s="54">
        <v>4.5073998047482279E-2</v>
      </c>
    </row>
    <row r="38" spans="1:17">
      <c r="A38" s="2" t="s">
        <v>291</v>
      </c>
      <c r="B38" s="16" t="s">
        <v>292</v>
      </c>
      <c r="D38" s="14">
        <v>1</v>
      </c>
      <c r="E38" s="14">
        <v>0.98459305632521421</v>
      </c>
      <c r="F38" s="14">
        <v>0.60729153854025075</v>
      </c>
      <c r="G38" s="14">
        <v>1.3242028704116211E-14</v>
      </c>
      <c r="H38" s="14">
        <v>107.81947929066359</v>
      </c>
      <c r="I38" s="14">
        <v>0.83401890141559731</v>
      </c>
      <c r="J38" s="14">
        <v>0</v>
      </c>
      <c r="K38" s="14">
        <v>1.6466555789723405</v>
      </c>
      <c r="L38" s="14">
        <v>0.60729153854025075</v>
      </c>
      <c r="M38" s="14">
        <v>0.49828270737227576</v>
      </c>
      <c r="N38" s="14">
        <v>37.658938786758071</v>
      </c>
      <c r="O38" s="14">
        <v>11611.380596121116</v>
      </c>
      <c r="P38" s="8">
        <v>37.658938786758071</v>
      </c>
      <c r="Q38" s="54">
        <v>1.2536488112300829E-3</v>
      </c>
    </row>
    <row r="39" spans="1:17">
      <c r="A39" s="2" t="s">
        <v>367</v>
      </c>
      <c r="B39" s="16" t="s">
        <v>368</v>
      </c>
      <c r="D39" s="14">
        <v>1</v>
      </c>
      <c r="E39" s="14">
        <v>0.72028018563941199</v>
      </c>
      <c r="F39" s="14">
        <v>8.4273792801877329E-3</v>
      </c>
      <c r="G39" s="14">
        <v>1.3094262042522955E-7</v>
      </c>
      <c r="H39" s="14">
        <v>172.24734643756594</v>
      </c>
      <c r="I39" s="14">
        <v>278.55419986494246</v>
      </c>
      <c r="J39" s="14">
        <v>0</v>
      </c>
      <c r="K39" s="14">
        <v>118.66085134567759</v>
      </c>
      <c r="L39" s="14">
        <v>8.4273792801877329E-3</v>
      </c>
      <c r="M39" s="14">
        <v>6.9146646993940349E-3</v>
      </c>
      <c r="N39" s="14">
        <v>528.42992110595628</v>
      </c>
      <c r="O39" s="14">
        <v>147083.18424063185</v>
      </c>
      <c r="P39" s="8">
        <v>528.42992110595628</v>
      </c>
      <c r="Q39" s="54">
        <v>6.0465787139808096E-2</v>
      </c>
    </row>
    <row r="40" spans="1:17">
      <c r="A40" s="2" t="s">
        <v>369</v>
      </c>
      <c r="B40" s="16" t="s">
        <v>370</v>
      </c>
      <c r="D40" s="14">
        <v>1</v>
      </c>
      <c r="E40" s="14">
        <v>0.33984871094276475</v>
      </c>
      <c r="F40" s="14">
        <v>3.4835450295626392E-4</v>
      </c>
      <c r="G40" s="14">
        <v>3.5363442899264448E-15</v>
      </c>
      <c r="H40" s="14">
        <v>89.983199002497415</v>
      </c>
      <c r="I40" s="14">
        <v>60.275860775304977</v>
      </c>
      <c r="J40" s="14">
        <v>0</v>
      </c>
      <c r="K40" s="14">
        <v>2870.6389368118789</v>
      </c>
      <c r="L40" s="14">
        <v>3.4835450295626392E-4</v>
      </c>
      <c r="M40" s="14">
        <v>2.8582486967561457E-4</v>
      </c>
      <c r="N40" s="14">
        <v>1832.0048199356488</v>
      </c>
      <c r="O40" s="14">
        <v>745442.76123181544</v>
      </c>
      <c r="P40" s="8">
        <v>1832.0048199356488</v>
      </c>
      <c r="Q40" s="54">
        <v>6.7226951974760723E-4</v>
      </c>
    </row>
    <row r="41" spans="1:17">
      <c r="A41" s="2" t="s">
        <v>371</v>
      </c>
      <c r="B41" s="16" t="s">
        <v>372</v>
      </c>
      <c r="D41" s="14">
        <v>1</v>
      </c>
      <c r="E41" s="14">
        <v>0.91358761454824688</v>
      </c>
      <c r="F41" s="14">
        <v>0.91712095085660816</v>
      </c>
      <c r="G41" s="14">
        <v>9.089397621705387E-4</v>
      </c>
      <c r="H41" s="14">
        <v>7.94889233493218E-3</v>
      </c>
      <c r="I41" s="14">
        <v>3.6843746491794283E-2</v>
      </c>
      <c r="J41" s="14">
        <v>0</v>
      </c>
      <c r="K41" s="14">
        <v>1.0903687229759402</v>
      </c>
      <c r="L41" s="14">
        <v>0.91712095085660827</v>
      </c>
      <c r="M41" s="14">
        <v>0.7524977401778471</v>
      </c>
      <c r="N41" s="14">
        <v>7.7444395239225874E-2</v>
      </c>
      <c r="O41" s="14">
        <v>10.856929768587076</v>
      </c>
      <c r="P41" s="8">
        <v>7.7444395239225888E-2</v>
      </c>
      <c r="Q41" s="54">
        <v>3.0914610950234173E-3</v>
      </c>
    </row>
    <row r="42" spans="1:17">
      <c r="A42" s="2" t="s">
        <v>293</v>
      </c>
      <c r="B42" s="16" t="s">
        <v>294</v>
      </c>
      <c r="D42" s="14">
        <v>1</v>
      </c>
      <c r="E42" s="14">
        <v>0.66094499007010943</v>
      </c>
      <c r="F42" s="14">
        <v>0.49638886510802294</v>
      </c>
      <c r="G42" s="14">
        <v>1.8353145964837023E-10</v>
      </c>
      <c r="H42" s="14">
        <v>37.6601487389485</v>
      </c>
      <c r="I42" s="14">
        <v>89.441526291334853</v>
      </c>
      <c r="J42" s="14">
        <v>0</v>
      </c>
      <c r="K42" s="14">
        <v>2.0145496208549774</v>
      </c>
      <c r="L42" s="14">
        <v>0.49638886510802294</v>
      </c>
      <c r="M42" s="14">
        <v>0.40728706382113283</v>
      </c>
      <c r="N42" s="14">
        <v>161.12130095034465</v>
      </c>
      <c r="O42" s="14">
        <v>53228.032981955861</v>
      </c>
      <c r="P42" s="8">
        <v>161.12130095034468</v>
      </c>
      <c r="Q42" s="54">
        <v>0.18973139579783443</v>
      </c>
    </row>
    <row r="43" spans="1:17">
      <c r="A43" s="2" t="s">
        <v>373</v>
      </c>
      <c r="B43" s="16" t="s">
        <v>374</v>
      </c>
      <c r="D43" s="14">
        <v>1</v>
      </c>
      <c r="E43" s="14">
        <v>0.9465028442411253</v>
      </c>
      <c r="F43" s="14">
        <v>8.381894840100497E-3</v>
      </c>
      <c r="G43" s="14">
        <v>4.5386325915907482E-10</v>
      </c>
      <c r="H43" s="14">
        <v>266.41716823117025</v>
      </c>
      <c r="I43" s="14">
        <v>2.0827912508427922</v>
      </c>
      <c r="J43" s="14">
        <v>0</v>
      </c>
      <c r="K43" s="14">
        <v>119.30476569758662</v>
      </c>
      <c r="L43" s="14">
        <v>8.381894840100497E-3</v>
      </c>
      <c r="M43" s="14">
        <v>6.877344716302458E-3</v>
      </c>
      <c r="N43" s="14">
        <v>147.57529666572393</v>
      </c>
      <c r="O43" s="14">
        <v>39305.204513948913</v>
      </c>
      <c r="P43" s="8">
        <v>147.57529666572395</v>
      </c>
      <c r="Q43" s="54">
        <v>2.6967814032634926E-4</v>
      </c>
    </row>
    <row r="44" spans="1:17">
      <c r="A44" s="2" t="s">
        <v>375</v>
      </c>
      <c r="B44" s="16" t="s">
        <v>376</v>
      </c>
      <c r="D44" s="14">
        <v>1</v>
      </c>
      <c r="E44" s="14">
        <v>0.77983942813612328</v>
      </c>
      <c r="F44" s="14">
        <v>0.75763732029124797</v>
      </c>
      <c r="G44" s="14">
        <v>9.3693582915371884E-4</v>
      </c>
      <c r="H44" s="14">
        <v>5.4787484316312742</v>
      </c>
      <c r="I44" s="14">
        <v>15.471717611703165</v>
      </c>
      <c r="J44" s="14">
        <v>0</v>
      </c>
      <c r="K44" s="14">
        <v>1.3198927418406261</v>
      </c>
      <c r="L44" s="14">
        <v>0.75763732029124797</v>
      </c>
      <c r="M44" s="14">
        <v>0.62164142129896893</v>
      </c>
      <c r="N44" s="14">
        <v>27.286593282343546</v>
      </c>
      <c r="O44" s="14">
        <v>4076.6170363821261</v>
      </c>
      <c r="P44" s="8">
        <v>27.286593282343549</v>
      </c>
      <c r="Q44" s="54">
        <v>8.5062575909512037E-2</v>
      </c>
    </row>
    <row r="45" spans="1:17">
      <c r="A45" s="2" t="s">
        <v>377</v>
      </c>
      <c r="B45" s="16" t="s">
        <v>378</v>
      </c>
      <c r="D45" s="14">
        <v>1</v>
      </c>
      <c r="E45" s="14">
        <v>0.64570952985783581</v>
      </c>
      <c r="F45" s="14">
        <v>0.45972288271602979</v>
      </c>
      <c r="G45" s="14">
        <v>6.9320966468757101E-6</v>
      </c>
      <c r="H45" s="14">
        <v>42.602601645592927</v>
      </c>
      <c r="I45" s="14">
        <v>99.699571573505523</v>
      </c>
      <c r="J45" s="14">
        <v>0</v>
      </c>
      <c r="K45" s="14">
        <v>2.1752234609076413</v>
      </c>
      <c r="L45" s="14">
        <v>0.45972288271602979</v>
      </c>
      <c r="M45" s="14">
        <v>0.37720262526850246</v>
      </c>
      <c r="N45" s="14">
        <v>179.92956092424421</v>
      </c>
      <c r="O45" s="14">
        <v>39987.545619804034</v>
      </c>
      <c r="P45" s="8">
        <v>179.92956092424421</v>
      </c>
      <c r="Q45" s="54">
        <v>0.19502634966079652</v>
      </c>
    </row>
    <row r="46" spans="1:17">
      <c r="A46" s="2" t="s">
        <v>379</v>
      </c>
      <c r="B46" s="16" t="s">
        <v>380</v>
      </c>
      <c r="D46" s="14">
        <v>1</v>
      </c>
      <c r="E46" s="14">
        <v>0.65400697118318973</v>
      </c>
      <c r="F46" s="14">
        <v>0.48186926639926836</v>
      </c>
      <c r="G46" s="14">
        <v>2.0941014407372195E-5</v>
      </c>
      <c r="H46" s="14">
        <v>39.406623803182576</v>
      </c>
      <c r="I46" s="14">
        <v>93.073575639301936</v>
      </c>
      <c r="J46" s="14">
        <v>0</v>
      </c>
      <c r="K46" s="14">
        <v>2.0752516703802764</v>
      </c>
      <c r="L46" s="14">
        <v>0.48186926639926836</v>
      </c>
      <c r="M46" s="14">
        <v>0.3953737330805997</v>
      </c>
      <c r="N46" s="14">
        <v>167.77929600720873</v>
      </c>
      <c r="O46" s="14">
        <v>21569.706294686752</v>
      </c>
      <c r="P46" s="8">
        <v>167.77929600720873</v>
      </c>
      <c r="Q46" s="54">
        <v>0.19152540910130833</v>
      </c>
    </row>
    <row r="47" spans="1:17">
      <c r="A47" s="2" t="s">
        <v>381</v>
      </c>
      <c r="B47" s="16" t="s">
        <v>382</v>
      </c>
      <c r="D47" s="14">
        <v>1</v>
      </c>
      <c r="E47" s="14">
        <v>0.40644652362327371</v>
      </c>
      <c r="F47" s="14">
        <v>2.9643025726363106E-4</v>
      </c>
      <c r="G47" s="14">
        <v>2.1117914081458556E-10</v>
      </c>
      <c r="H47" s="14">
        <v>31.118777751947142</v>
      </c>
      <c r="I47" s="14">
        <v>780.69195086124796</v>
      </c>
      <c r="J47" s="14">
        <v>0</v>
      </c>
      <c r="K47" s="14">
        <v>3373.4747904315559</v>
      </c>
      <c r="L47" s="14">
        <v>2.9643025726363106E-4</v>
      </c>
      <c r="M47" s="14">
        <v>2.4322102608480929E-4</v>
      </c>
      <c r="N47" s="14">
        <v>1546.847290005981</v>
      </c>
      <c r="O47" s="14">
        <v>605265.87610644032</v>
      </c>
      <c r="P47" s="8">
        <v>1546.847290005981</v>
      </c>
      <c r="Q47" s="54">
        <v>2.4973516637854874E-2</v>
      </c>
    </row>
    <row r="48" spans="1:17">
      <c r="A48" s="2" t="s">
        <v>383</v>
      </c>
      <c r="B48" s="16" t="s">
        <v>384</v>
      </c>
      <c r="D48" s="14">
        <v>1</v>
      </c>
      <c r="E48" s="14">
        <v>0.90847399936910778</v>
      </c>
      <c r="F48" s="14">
        <v>0.90363045962193289</v>
      </c>
      <c r="G48" s="14">
        <v>1.3035249537356674E-4</v>
      </c>
      <c r="H48" s="14">
        <v>1.7802904481629058</v>
      </c>
      <c r="I48" s="14">
        <v>5.5328389951280439</v>
      </c>
      <c r="J48" s="14">
        <v>0</v>
      </c>
      <c r="K48" s="14">
        <v>1.1066470694429522</v>
      </c>
      <c r="L48" s="14">
        <v>0.90363045962193289</v>
      </c>
      <c r="M48" s="14">
        <v>0.74142879211979595</v>
      </c>
      <c r="N48" s="14">
        <v>9.6532506178977542</v>
      </c>
      <c r="O48" s="14">
        <v>899.00723004481779</v>
      </c>
      <c r="P48" s="8">
        <v>9.6532506178977542</v>
      </c>
      <c r="Q48" s="54">
        <v>5.1516699620592417E-2</v>
      </c>
    </row>
    <row r="49" spans="1:17">
      <c r="A49" s="2" t="s">
        <v>385</v>
      </c>
      <c r="B49" s="16" t="s">
        <v>386</v>
      </c>
      <c r="D49" s="14">
        <v>1</v>
      </c>
      <c r="E49" s="14">
        <v>0.87158054628235315</v>
      </c>
      <c r="F49" s="14">
        <v>0.86022073676073074</v>
      </c>
      <c r="G49" s="14">
        <v>2.4279424886727429E-4</v>
      </c>
      <c r="H49" s="14">
        <v>3.1667217692975003</v>
      </c>
      <c r="I49" s="14">
        <v>9.3986846545106708</v>
      </c>
      <c r="J49" s="14">
        <v>0</v>
      </c>
      <c r="K49" s="14">
        <v>1.1624923200126815</v>
      </c>
      <c r="L49" s="14">
        <v>0.86022073676073074</v>
      </c>
      <c r="M49" s="14">
        <v>0.70581111451217959</v>
      </c>
      <c r="N49" s="14">
        <v>16.480456311657569</v>
      </c>
      <c r="O49" s="14">
        <v>1831.3083053513892</v>
      </c>
      <c r="P49" s="8">
        <v>16.480456311657569</v>
      </c>
      <c r="Q49" s="54">
        <v>6.7930854618594091E-2</v>
      </c>
    </row>
    <row r="50" spans="1:17">
      <c r="A50" s="2" t="s">
        <v>387</v>
      </c>
      <c r="B50" s="16" t="s">
        <v>388</v>
      </c>
      <c r="D50" s="14">
        <v>1</v>
      </c>
      <c r="E50" s="14">
        <v>0.62635283380600637</v>
      </c>
      <c r="F50" s="14">
        <v>6.3180978244535904E-2</v>
      </c>
      <c r="G50" s="14">
        <v>6.1158219539138658E-5</v>
      </c>
      <c r="H50" s="14">
        <v>133.36023309149687</v>
      </c>
      <c r="I50" s="14">
        <v>247.90398994193768</v>
      </c>
      <c r="J50" s="14">
        <v>0</v>
      </c>
      <c r="K50" s="14">
        <v>15.827548540473623</v>
      </c>
      <c r="L50" s="14">
        <v>6.3180978244535904E-2</v>
      </c>
      <c r="M50" s="14">
        <v>5.183999264964171E-2</v>
      </c>
      <c r="N50" s="14">
        <v>460.43368518720683</v>
      </c>
      <c r="O50" s="14">
        <v>90912.631140213984</v>
      </c>
      <c r="P50" s="8">
        <v>460.43368518720683</v>
      </c>
      <c r="Q50" s="54">
        <v>0.13667324839095202</v>
      </c>
    </row>
    <row r="51" spans="1:17">
      <c r="A51" s="2" t="s">
        <v>295</v>
      </c>
      <c r="B51" s="16" t="s">
        <v>296</v>
      </c>
      <c r="D51" s="14">
        <v>1</v>
      </c>
      <c r="E51" s="14">
        <v>0.90428529908141997</v>
      </c>
      <c r="F51" s="14">
        <v>0.90641761422606926</v>
      </c>
      <c r="G51" s="14">
        <v>7.2790855595685161E-4</v>
      </c>
      <c r="H51" s="14">
        <v>0.28777186837974389</v>
      </c>
      <c r="I51" s="14">
        <v>1.0230703709009805</v>
      </c>
      <c r="J51" s="14">
        <v>0</v>
      </c>
      <c r="K51" s="14">
        <v>1.1032442268388998</v>
      </c>
      <c r="L51" s="14">
        <v>0.90641761422606926</v>
      </c>
      <c r="M51" s="14">
        <v>0.74371565247248983</v>
      </c>
      <c r="N51" s="14">
        <v>1.7685023687985781</v>
      </c>
      <c r="O51" s="14">
        <v>102.71461757982142</v>
      </c>
      <c r="P51" s="8">
        <v>1.7685023687985784</v>
      </c>
      <c r="Q51" s="54">
        <v>1.9957471017864555E-2</v>
      </c>
    </row>
    <row r="52" spans="1:17">
      <c r="A52" s="2" t="s">
        <v>389</v>
      </c>
      <c r="B52" s="16" t="s">
        <v>390</v>
      </c>
      <c r="D52" s="14">
        <v>1</v>
      </c>
      <c r="E52" s="14">
        <v>0.75365478389796603</v>
      </c>
      <c r="F52" s="14">
        <v>0.7136893990940002</v>
      </c>
      <c r="G52" s="14">
        <v>7.5369864348566527E-4</v>
      </c>
      <c r="H52" s="14">
        <v>9.4052262204676644</v>
      </c>
      <c r="I52" s="14">
        <v>25.411272692895846</v>
      </c>
      <c r="J52" s="14">
        <v>0</v>
      </c>
      <c r="K52" s="14">
        <v>1.4011697543349522</v>
      </c>
      <c r="L52" s="14">
        <v>0.71368939909400031</v>
      </c>
      <c r="M52" s="14">
        <v>0.58558215195662722</v>
      </c>
      <c r="N52" s="14">
        <v>45.055022187959025</v>
      </c>
      <c r="O52" s="14">
        <v>4827.6456274398097</v>
      </c>
      <c r="P52" s="8">
        <v>45.055022187959025</v>
      </c>
      <c r="Q52" s="54">
        <v>0.1095535403134402</v>
      </c>
    </row>
    <row r="53" spans="1:17">
      <c r="A53" s="2" t="s">
        <v>391</v>
      </c>
      <c r="B53" s="16" t="s">
        <v>392</v>
      </c>
      <c r="D53" s="14">
        <v>1</v>
      </c>
      <c r="E53" s="14">
        <v>0.6082901678096585</v>
      </c>
      <c r="F53" s="14">
        <v>0.34711983038427824</v>
      </c>
      <c r="G53" s="14">
        <v>1.9968613567374208E-5</v>
      </c>
      <c r="H53" s="14">
        <v>60.10622114622052</v>
      </c>
      <c r="I53" s="14">
        <v>134.33110760865287</v>
      </c>
      <c r="J53" s="14">
        <v>0</v>
      </c>
      <c r="K53" s="14">
        <v>2.8808495293770804</v>
      </c>
      <c r="L53" s="14">
        <v>0.34711983038427824</v>
      </c>
      <c r="M53" s="14">
        <v>0.28481182083030032</v>
      </c>
      <c r="N53" s="14">
        <v>243.82354813198</v>
      </c>
      <c r="O53" s="14">
        <v>39504.291268343404</v>
      </c>
      <c r="P53" s="8">
        <v>243.82354813198003</v>
      </c>
      <c r="Q53" s="54">
        <v>0.20397483743718922</v>
      </c>
    </row>
    <row r="54" spans="1:17">
      <c r="A54" s="2" t="s">
        <v>393</v>
      </c>
      <c r="B54" s="16" t="s">
        <v>394</v>
      </c>
      <c r="D54" s="14">
        <v>1</v>
      </c>
      <c r="E54" s="14">
        <v>0.42317969256720989</v>
      </c>
      <c r="F54" s="14">
        <v>4.3330926603545706E-4</v>
      </c>
      <c r="G54" s="14">
        <v>1.0196390599925768E-6</v>
      </c>
      <c r="H54" s="14">
        <v>38.924045920051469</v>
      </c>
      <c r="I54" s="14">
        <v>752.09923512870546</v>
      </c>
      <c r="J54" s="14">
        <v>0</v>
      </c>
      <c r="K54" s="14">
        <v>2307.820483853146</v>
      </c>
      <c r="L54" s="14">
        <v>4.3330926603545706E-4</v>
      </c>
      <c r="M54" s="14">
        <v>3.5553025278209252E-4</v>
      </c>
      <c r="N54" s="14">
        <v>1484.0338415409217</v>
      </c>
      <c r="O54" s="14">
        <v>346358.65827723569</v>
      </c>
      <c r="P54" s="8">
        <v>1484.0338415409217</v>
      </c>
      <c r="Q54" s="54">
        <v>2.8871885518402852E-2</v>
      </c>
    </row>
    <row r="55" spans="1:17">
      <c r="A55" s="2" t="s">
        <v>395</v>
      </c>
      <c r="B55" s="16" t="s">
        <v>396</v>
      </c>
      <c r="D55" s="14">
        <v>1</v>
      </c>
      <c r="E55" s="14">
        <v>0.52680634457876108</v>
      </c>
      <c r="F55" s="14">
        <v>0.11970672810678912</v>
      </c>
      <c r="G55" s="14">
        <v>1.2931444739534815E-3</v>
      </c>
      <c r="H55" s="14">
        <v>95.283688483897024</v>
      </c>
      <c r="I55" s="14">
        <v>190.31618847126373</v>
      </c>
      <c r="J55" s="14">
        <v>0</v>
      </c>
      <c r="K55" s="14">
        <v>8.3537493323508976</v>
      </c>
      <c r="L55" s="14">
        <v>0.11970672810678912</v>
      </c>
      <c r="M55" s="14">
        <v>9.8219370411620474E-2</v>
      </c>
      <c r="N55" s="14">
        <v>350.31845568899803</v>
      </c>
      <c r="O55" s="14">
        <v>44900.316465658878</v>
      </c>
      <c r="P55" s="8">
        <v>350.31845568899809</v>
      </c>
      <c r="Q55" s="54">
        <v>0.15576709887575371</v>
      </c>
    </row>
    <row r="56" spans="1:17">
      <c r="A56" s="2" t="s">
        <v>397</v>
      </c>
      <c r="B56" s="16" t="s">
        <v>398</v>
      </c>
      <c r="D56" s="14">
        <v>1</v>
      </c>
      <c r="E56" s="14">
        <v>0.29391836591729065</v>
      </c>
      <c r="F56" s="14">
        <v>1.4913492870288859E-2</v>
      </c>
      <c r="G56" s="14">
        <v>6.1836921237561019E-3</v>
      </c>
      <c r="H56" s="14">
        <v>66.65294927348512</v>
      </c>
      <c r="I56" s="14">
        <v>117.24019758888761</v>
      </c>
      <c r="J56" s="14">
        <v>0</v>
      </c>
      <c r="K56" s="14">
        <v>67.05337298898182</v>
      </c>
      <c r="L56" s="14">
        <v>1.491349287028886E-2</v>
      </c>
      <c r="M56" s="14">
        <v>1.2236520900072011E-2</v>
      </c>
      <c r="N56" s="14">
        <v>219.25926502382779</v>
      </c>
      <c r="O56" s="14">
        <v>39784.593638573555</v>
      </c>
      <c r="P56" s="8">
        <v>219.25926502382782</v>
      </c>
      <c r="Q56" s="54">
        <v>4.7695405087633709E-2</v>
      </c>
    </row>
    <row r="57" spans="1:17">
      <c r="A57" s="2" t="s">
        <v>399</v>
      </c>
      <c r="B57" s="16" t="s">
        <v>400</v>
      </c>
      <c r="D57" s="14">
        <v>1</v>
      </c>
      <c r="E57" s="14">
        <v>0.15973410642336613</v>
      </c>
      <c r="F57" s="14">
        <v>2.8078181857923951E-2</v>
      </c>
      <c r="G57" s="14">
        <v>8.1785717911801795E-3</v>
      </c>
      <c r="H57" s="14">
        <v>30.934918954803027</v>
      </c>
      <c r="I57" s="14">
        <v>60.326225523731964</v>
      </c>
      <c r="J57" s="14">
        <v>0</v>
      </c>
      <c r="K57" s="14">
        <v>35.614841625430593</v>
      </c>
      <c r="L57" s="14">
        <v>2.8078181857923951E-2</v>
      </c>
      <c r="M57" s="14">
        <v>2.3038148214426603E-2</v>
      </c>
      <c r="N57" s="14">
        <v>111.37610684700809</v>
      </c>
      <c r="O57" s="14">
        <v>16372.287706510189</v>
      </c>
      <c r="P57" s="8">
        <v>111.37610684700809</v>
      </c>
      <c r="Q57" s="54">
        <v>4.3281883660633479E-2</v>
      </c>
    </row>
    <row r="58" spans="1:17">
      <c r="A58" s="2" t="s">
        <v>297</v>
      </c>
      <c r="B58" s="16" t="s">
        <v>298</v>
      </c>
      <c r="D58" s="14">
        <v>1</v>
      </c>
      <c r="E58" s="14">
        <v>6.0433369264322474E-2</v>
      </c>
      <c r="F58" s="14">
        <v>5.9366685686492636E-2</v>
      </c>
      <c r="G58" s="14">
        <v>1.0345971829778616E-2</v>
      </c>
      <c r="H58" s="14">
        <v>0.28063562669643477</v>
      </c>
      <c r="I58" s="14">
        <v>0.81771125352979968</v>
      </c>
      <c r="J58" s="14">
        <v>0</v>
      </c>
      <c r="K58" s="14">
        <v>16.844464002603473</v>
      </c>
      <c r="L58" s="14">
        <v>5.9366685686492636E-2</v>
      </c>
      <c r="M58" s="14">
        <v>4.8710365605767213E-2</v>
      </c>
      <c r="N58" s="14">
        <v>1.4368684589861893</v>
      </c>
      <c r="O58" s="14">
        <v>122.03323822169708</v>
      </c>
      <c r="P58" s="8">
        <v>1.4368684589861893</v>
      </c>
      <c r="Q58" s="54">
        <v>5.3407220292397539E-3</v>
      </c>
    </row>
    <row r="59" spans="1:17">
      <c r="A59" s="2" t="s">
        <v>401</v>
      </c>
      <c r="B59" s="16" t="s">
        <v>402</v>
      </c>
      <c r="D59" s="14">
        <v>1</v>
      </c>
      <c r="E59" s="14">
        <v>6.339451495009038E-2</v>
      </c>
      <c r="F59" s="14">
        <v>1.1840728055943333E-2</v>
      </c>
      <c r="G59" s="14">
        <v>9.9427585823464257E-3</v>
      </c>
      <c r="H59" s="14">
        <v>12.102592394813524</v>
      </c>
      <c r="I59" s="14">
        <v>23.732067648653771</v>
      </c>
      <c r="J59" s="14">
        <v>0</v>
      </c>
      <c r="K59" s="14">
        <v>84.454266264316402</v>
      </c>
      <c r="L59" s="14">
        <v>1.1840728055943335E-2</v>
      </c>
      <c r="M59" s="14">
        <v>9.7153173699015064E-3</v>
      </c>
      <c r="N59" s="14">
        <v>43.784638009430786</v>
      </c>
      <c r="O59" s="14">
        <v>7260.8065211039084</v>
      </c>
      <c r="P59" s="8">
        <v>43.784638009430793</v>
      </c>
      <c r="Q59" s="54">
        <v>1.7552362420983285E-2</v>
      </c>
    </row>
    <row r="60" spans="1:17">
      <c r="A60" s="2" t="s">
        <v>299</v>
      </c>
      <c r="B60" s="16" t="s">
        <v>300</v>
      </c>
      <c r="D60" s="14">
        <v>1</v>
      </c>
      <c r="E60" s="14">
        <v>1.3151342355571002E-3</v>
      </c>
      <c r="F60" s="14">
        <v>4.4940507146544407E-4</v>
      </c>
      <c r="G60" s="14">
        <v>1.1086295663780754E-2</v>
      </c>
      <c r="H60" s="14">
        <v>0.2012602320344864</v>
      </c>
      <c r="I60" s="14">
        <v>0.41938716955821059</v>
      </c>
      <c r="J60" s="14">
        <v>0</v>
      </c>
      <c r="K60" s="14">
        <v>2225.1640301680318</v>
      </c>
      <c r="L60" s="14">
        <v>4.4940507146544413E-4</v>
      </c>
      <c r="M60" s="14">
        <v>3.6873686113739689E-4</v>
      </c>
      <c r="N60" s="14">
        <v>0.76790161320573369</v>
      </c>
      <c r="O60" s="14">
        <v>63.075438508718968</v>
      </c>
      <c r="P60" s="8">
        <v>0.7679016132057338</v>
      </c>
      <c r="Q60" s="54">
        <v>4.3332639102691283E-4</v>
      </c>
    </row>
    <row r="61" spans="1:17">
      <c r="A61" s="2" t="s">
        <v>403</v>
      </c>
      <c r="B61" s="16" t="s">
        <v>404</v>
      </c>
      <c r="D61" s="14">
        <v>1</v>
      </c>
      <c r="E61" s="14">
        <v>0.59166603532002271</v>
      </c>
      <c r="F61" s="14">
        <v>0.25399120589174107</v>
      </c>
      <c r="G61" s="14">
        <v>4.4265682808074479E-46</v>
      </c>
      <c r="H61" s="14">
        <v>78.169742259940392</v>
      </c>
      <c r="I61" s="14">
        <v>167.45412520514671</v>
      </c>
      <c r="J61" s="14">
        <v>0</v>
      </c>
      <c r="K61" s="14">
        <v>3.9371441876858957</v>
      </c>
      <c r="L61" s="14">
        <v>0.25399120589174107</v>
      </c>
      <c r="M61" s="14">
        <v>0.20839978443417356</v>
      </c>
      <c r="N61" s="14">
        <v>305.55474214582819</v>
      </c>
      <c r="O61" s="14">
        <v>367463.18845199439</v>
      </c>
      <c r="P61" s="8">
        <v>305.55474214582819</v>
      </c>
      <c r="Q61" s="54">
        <v>0.20141687370773814</v>
      </c>
    </row>
    <row r="62" spans="1:17">
      <c r="A62" s="2" t="s">
        <v>405</v>
      </c>
      <c r="B62" s="16" t="s">
        <v>406</v>
      </c>
      <c r="D62" s="14">
        <v>1</v>
      </c>
      <c r="E62" s="14">
        <v>0.55990333291796668</v>
      </c>
      <c r="F62" s="14">
        <v>2.4898284958239153E-3</v>
      </c>
      <c r="G62" s="14">
        <v>7.6270733101272182E-10</v>
      </c>
      <c r="H62" s="14">
        <v>101.72540628793413</v>
      </c>
      <c r="I62" s="14">
        <v>525.03300338443</v>
      </c>
      <c r="J62" s="14">
        <v>0</v>
      </c>
      <c r="K62" s="14">
        <v>401.63408912592092</v>
      </c>
      <c r="L62" s="14">
        <v>2.4898284958239153E-3</v>
      </c>
      <c r="M62" s="14">
        <v>2.0429042808235223E-3</v>
      </c>
      <c r="N62" s="14">
        <v>1014.5185128992732</v>
      </c>
      <c r="O62" s="14">
        <v>323489.3730230623</v>
      </c>
      <c r="P62" s="8">
        <v>1014.5185128992733</v>
      </c>
      <c r="Q62" s="54">
        <v>5.067416531062028E-2</v>
      </c>
    </row>
    <row r="63" spans="1:17">
      <c r="A63" s="2" t="s">
        <v>407</v>
      </c>
      <c r="B63" s="16" t="s">
        <v>408</v>
      </c>
      <c r="D63" s="14">
        <v>1</v>
      </c>
      <c r="E63" s="14">
        <v>0.38423210623350379</v>
      </c>
      <c r="F63" s="14">
        <v>1.5150084832460845E-4</v>
      </c>
      <c r="G63" s="14">
        <v>1.2161959485905434E-7</v>
      </c>
      <c r="H63" s="14">
        <v>20.800561787222694</v>
      </c>
      <c r="I63" s="14">
        <v>818.14868264189977</v>
      </c>
      <c r="J63" s="14">
        <v>0</v>
      </c>
      <c r="K63" s="14">
        <v>6600.623105801903</v>
      </c>
      <c r="L63" s="14">
        <v>1.5150084832460845E-4</v>
      </c>
      <c r="M63" s="14">
        <v>1.2430644605034122E-4</v>
      </c>
      <c r="N63" s="14">
        <v>1632.6699601436546</v>
      </c>
      <c r="O63" s="14">
        <v>793134.73993818602</v>
      </c>
      <c r="P63" s="8">
        <v>1632.6699601436549</v>
      </c>
      <c r="Q63" s="54">
        <v>1.9117550031708473E-2</v>
      </c>
    </row>
    <row r="64" spans="1:17">
      <c r="A64" s="2" t="s">
        <v>409</v>
      </c>
      <c r="B64" s="16" t="s">
        <v>410</v>
      </c>
      <c r="D64" s="14">
        <v>1</v>
      </c>
      <c r="E64" s="14">
        <v>0.36135727643348609</v>
      </c>
      <c r="F64" s="14">
        <v>4.8571705976056016E-5</v>
      </c>
      <c r="G64" s="14">
        <v>1.3932589613194905E-8</v>
      </c>
      <c r="H64" s="14">
        <v>10.37058743471346</v>
      </c>
      <c r="I64" s="14">
        <v>854.79215591882303</v>
      </c>
      <c r="J64" s="14">
        <v>0</v>
      </c>
      <c r="K64" s="14">
        <v>20588.117709782757</v>
      </c>
      <c r="L64" s="14">
        <v>4.8571705976056023E-5</v>
      </c>
      <c r="M64" s="14">
        <v>3.9853084753353965E-5</v>
      </c>
      <c r="N64" s="14">
        <v>1725.9337967912095</v>
      </c>
      <c r="O64" s="14">
        <v>974617.55571002816</v>
      </c>
      <c r="P64" s="8">
        <v>1725.9337967912095</v>
      </c>
      <c r="Q64" s="54">
        <v>1.1914080444880844E-2</v>
      </c>
    </row>
    <row r="65" spans="1:17">
      <c r="A65" s="2" t="s">
        <v>301</v>
      </c>
      <c r="B65" s="16" t="s">
        <v>302</v>
      </c>
      <c r="D65" s="14">
        <v>1</v>
      </c>
      <c r="E65" s="14">
        <v>0.34761832412435228</v>
      </c>
      <c r="F65" s="14">
        <v>1.2936202898488973E-5</v>
      </c>
      <c r="G65" s="14">
        <v>1.6328087022950205E-9</v>
      </c>
      <c r="H65" s="14">
        <v>4.5635920895787088</v>
      </c>
      <c r="I65" s="14">
        <v>872.4970945894039</v>
      </c>
      <c r="J65" s="14">
        <v>0</v>
      </c>
      <c r="K65" s="14">
        <v>77302.436259468843</v>
      </c>
      <c r="L65" s="14">
        <v>1.2936202898488974E-5</v>
      </c>
      <c r="M65" s="14">
        <v>1.0614154478210204E-5</v>
      </c>
      <c r="N65" s="14">
        <v>1785.3555487139015</v>
      </c>
      <c r="O65" s="14">
        <v>1149019.1240412928</v>
      </c>
      <c r="P65" s="8">
        <v>1785.3555487139017</v>
      </c>
      <c r="Q65" s="54">
        <v>6.7571566845318516E-3</v>
      </c>
    </row>
    <row r="66" spans="1:17">
      <c r="A66" s="2" t="s">
        <v>303</v>
      </c>
      <c r="B66" s="16" t="s">
        <v>304</v>
      </c>
      <c r="D66" s="14">
        <v>1</v>
      </c>
      <c r="E66" s="14">
        <v>0.35430735632282295</v>
      </c>
      <c r="F66" s="14">
        <v>2.7536017079062237E-5</v>
      </c>
      <c r="G66" s="14">
        <v>1.6182648836448092E-15</v>
      </c>
      <c r="H66" s="14">
        <v>7.2999707901376718</v>
      </c>
      <c r="I66" s="14">
        <v>864.72555374771719</v>
      </c>
      <c r="J66" s="14">
        <v>0</v>
      </c>
      <c r="K66" s="14">
        <v>36316.07276857688</v>
      </c>
      <c r="L66" s="14">
        <v>2.7536017079062237E-5</v>
      </c>
      <c r="M66" s="14">
        <v>2.2593302013370566E-5</v>
      </c>
      <c r="N66" s="14">
        <v>1756.0652678284673</v>
      </c>
      <c r="O66" s="14">
        <v>1133206.4779823881</v>
      </c>
      <c r="P66" s="8">
        <v>1756.0652678284673</v>
      </c>
      <c r="Q66" s="54">
        <v>9.3557432108354842E-3</v>
      </c>
    </row>
    <row r="67" spans="1:17">
      <c r="A67" s="2" t="s">
        <v>411</v>
      </c>
      <c r="B67" s="16" t="s">
        <v>412</v>
      </c>
      <c r="D67" s="14">
        <v>1</v>
      </c>
      <c r="E67" s="14">
        <v>0.83424292547684431</v>
      </c>
      <c r="F67" s="14">
        <v>0.80485065921637</v>
      </c>
      <c r="G67" s="14">
        <v>5.1102693550851779E-5</v>
      </c>
      <c r="H67" s="14">
        <v>7.109111144816266</v>
      </c>
      <c r="I67" s="14">
        <v>19.782103732741692</v>
      </c>
      <c r="J67" s="14">
        <v>0</v>
      </c>
      <c r="K67" s="14">
        <v>1.2424665228871579</v>
      </c>
      <c r="L67" s="14">
        <v>0.80485065921637</v>
      </c>
      <c r="M67" s="14">
        <v>0.66037996588703163</v>
      </c>
      <c r="N67" s="14">
        <v>34.949905682795269</v>
      </c>
      <c r="O67" s="14">
        <v>10488.46669540686</v>
      </c>
      <c r="P67" s="8">
        <v>34.949905682795269</v>
      </c>
      <c r="Q67" s="54">
        <v>0.10029342782626387</v>
      </c>
    </row>
    <row r="68" spans="1:17">
      <c r="A68" s="2" t="s">
        <v>413</v>
      </c>
      <c r="B68" s="16" t="s">
        <v>414</v>
      </c>
      <c r="D68" s="14">
        <v>1</v>
      </c>
      <c r="E68" s="14">
        <v>0.78076350808013206</v>
      </c>
      <c r="F68" s="14">
        <v>0.72785023018835049</v>
      </c>
      <c r="G68" s="14">
        <v>1.0872527414155233E-4</v>
      </c>
      <c r="H68" s="14">
        <v>12.316917250564908</v>
      </c>
      <c r="I68" s="14">
        <v>32.670756775684922</v>
      </c>
      <c r="J68" s="14">
        <v>0</v>
      </c>
      <c r="K68" s="14">
        <v>1.3739090248569727</v>
      </c>
      <c r="L68" s="14">
        <v>0.7278502301883506</v>
      </c>
      <c r="M68" s="14">
        <v>0.59720111386954167</v>
      </c>
      <c r="N68" s="14">
        <v>58.056354603516837</v>
      </c>
      <c r="O68" s="14">
        <v>19051.192763144049</v>
      </c>
      <c r="P68" s="8">
        <v>58.056354603516844</v>
      </c>
      <c r="Q68" s="54">
        <v>0.12727971508102837</v>
      </c>
    </row>
    <row r="69" spans="1:17">
      <c r="A69" s="2" t="s">
        <v>415</v>
      </c>
      <c r="B69" s="16" t="s">
        <v>416</v>
      </c>
      <c r="D69" s="14">
        <v>1</v>
      </c>
      <c r="E69" s="14">
        <v>0.4517364923773815</v>
      </c>
      <c r="F69" s="14">
        <v>7.2258647778243449E-4</v>
      </c>
      <c r="G69" s="14">
        <v>7.0637987535351326E-6</v>
      </c>
      <c r="H69" s="14">
        <v>52.27690046993289</v>
      </c>
      <c r="I69" s="14">
        <v>702.85704267713743</v>
      </c>
      <c r="J69" s="14">
        <v>0</v>
      </c>
      <c r="K69" s="14">
        <v>1383.9174005427385</v>
      </c>
      <c r="L69" s="14">
        <v>7.2258647778243449E-4</v>
      </c>
      <c r="M69" s="14">
        <v>5.9288220502048755E-4</v>
      </c>
      <c r="N69" s="14">
        <v>1378.9132386027984</v>
      </c>
      <c r="O69" s="14">
        <v>639926.0557707866</v>
      </c>
      <c r="P69" s="8">
        <v>1378.9132386027984</v>
      </c>
      <c r="Q69" s="54">
        <v>3.4758978177721653E-2</v>
      </c>
    </row>
    <row r="70" spans="1:17">
      <c r="A70" s="2" t="s">
        <v>417</v>
      </c>
      <c r="B70" s="16" t="s">
        <v>418</v>
      </c>
      <c r="D70" s="14">
        <v>1</v>
      </c>
      <c r="E70" s="14">
        <v>0.68382786034731446</v>
      </c>
      <c r="F70" s="14">
        <v>2.1079412314664807E-2</v>
      </c>
      <c r="G70" s="14">
        <v>2.9025986333535664E-5</v>
      </c>
      <c r="H70" s="14">
        <v>159.27899206251394</v>
      </c>
      <c r="I70" s="14">
        <v>269.53531142333719</v>
      </c>
      <c r="J70" s="14">
        <v>0</v>
      </c>
      <c r="K70" s="14">
        <v>47.439652731888863</v>
      </c>
      <c r="L70" s="14">
        <v>2.1079412314664807E-2</v>
      </c>
      <c r="M70" s="14">
        <v>1.7295657804182477E-2</v>
      </c>
      <c r="N70" s="14">
        <v>506.51900790797362</v>
      </c>
      <c r="O70" s="14">
        <v>159072.29443349913</v>
      </c>
      <c r="P70" s="8">
        <v>506.51900790797367</v>
      </c>
      <c r="Q70" s="54">
        <v>8.8637126740230582E-2</v>
      </c>
    </row>
    <row r="71" spans="1:17">
      <c r="A71" s="2" t="s">
        <v>419</v>
      </c>
      <c r="B71" s="16" t="s">
        <v>420</v>
      </c>
      <c r="D71" s="14">
        <v>1</v>
      </c>
      <c r="E71" s="14">
        <v>0.77744137932024349</v>
      </c>
      <c r="F71" s="14">
        <v>0.72963471376234068</v>
      </c>
      <c r="G71" s="14">
        <v>2.6739542712717691E-4</v>
      </c>
      <c r="H71" s="14">
        <v>11.171860089818617</v>
      </c>
      <c r="I71" s="14">
        <v>29.852634173726496</v>
      </c>
      <c r="J71" s="14">
        <v>0</v>
      </c>
      <c r="K71" s="14">
        <v>1.3705488255123286</v>
      </c>
      <c r="L71" s="14">
        <v>0.72963471376234068</v>
      </c>
      <c r="M71" s="14">
        <v>0.59866528264200058</v>
      </c>
      <c r="N71" s="14">
        <v>53.000870498085092</v>
      </c>
      <c r="O71" s="14">
        <v>11344.306321410133</v>
      </c>
      <c r="P71" s="8">
        <v>53.000870498085099</v>
      </c>
      <c r="Q71" s="54">
        <v>0.12111074034734229</v>
      </c>
    </row>
    <row r="72" spans="1:17">
      <c r="A72" s="2" t="s">
        <v>421</v>
      </c>
      <c r="B72" s="16" t="s">
        <v>422</v>
      </c>
      <c r="D72" s="14">
        <v>1</v>
      </c>
      <c r="E72" s="14">
        <v>0.67068284775033116</v>
      </c>
      <c r="F72" s="14">
        <v>2.4438071495466264E-2</v>
      </c>
      <c r="G72" s="14">
        <v>1.220605770322454E-4</v>
      </c>
      <c r="H72" s="14">
        <v>155.0054367147483</v>
      </c>
      <c r="I72" s="14">
        <v>265.70767656740128</v>
      </c>
      <c r="J72" s="14">
        <v>0</v>
      </c>
      <c r="K72" s="14">
        <v>40.919759162891367</v>
      </c>
      <c r="L72" s="14">
        <v>2.4438071495466264E-2</v>
      </c>
      <c r="M72" s="14">
        <v>2.0051437662030071E-2</v>
      </c>
      <c r="N72" s="14">
        <v>498.52232654195944</v>
      </c>
      <c r="O72" s="14">
        <v>206423.13975122914</v>
      </c>
      <c r="P72" s="8">
        <v>498.52232654195944</v>
      </c>
      <c r="Q72" s="54">
        <v>9.3800272878204569E-2</v>
      </c>
    </row>
    <row r="73" spans="1:17">
      <c r="A73" s="2" t="s">
        <v>423</v>
      </c>
      <c r="B73" s="16" t="s">
        <v>424</v>
      </c>
      <c r="D73" s="14">
        <v>1</v>
      </c>
      <c r="E73" s="14">
        <v>0.58316718020105951</v>
      </c>
      <c r="F73" s="14">
        <v>0.23285201039591821</v>
      </c>
      <c r="G73" s="14">
        <v>1.2841876221405204E-4</v>
      </c>
      <c r="H73" s="14">
        <v>81.208220109142587</v>
      </c>
      <c r="I73" s="14">
        <v>172.3682064485829</v>
      </c>
      <c r="J73" s="14">
        <v>0</v>
      </c>
      <c r="K73" s="14">
        <v>4.2945731853450617</v>
      </c>
      <c r="L73" s="14">
        <v>0.23285201039591824</v>
      </c>
      <c r="M73" s="14">
        <v>0.1910550745298509</v>
      </c>
      <c r="N73" s="14">
        <v>314.88309946476096</v>
      </c>
      <c r="O73" s="14">
        <v>134823.49669782669</v>
      </c>
      <c r="P73" s="8">
        <v>314.88309946476096</v>
      </c>
      <c r="Q73" s="54">
        <v>0.19708662960827208</v>
      </c>
    </row>
    <row r="74" spans="1:17">
      <c r="A74" s="2" t="s">
        <v>425</v>
      </c>
      <c r="B74" s="16" t="s">
        <v>426</v>
      </c>
      <c r="D74" s="14">
        <v>1</v>
      </c>
      <c r="E74" s="14">
        <v>0.68073912645836687</v>
      </c>
      <c r="F74" s="14">
        <v>2.2013516954349246E-2</v>
      </c>
      <c r="G74" s="14">
        <v>4.4822690341529762E-5</v>
      </c>
      <c r="H74" s="14">
        <v>158.22293359482705</v>
      </c>
      <c r="I74" s="14">
        <v>268.73646694335002</v>
      </c>
      <c r="J74" s="14">
        <v>0</v>
      </c>
      <c r="K74" s="14">
        <v>45.426635011286933</v>
      </c>
      <c r="L74" s="14">
        <v>2.2013516954349246E-2</v>
      </c>
      <c r="M74" s="14">
        <v>1.8062090661043556E-2</v>
      </c>
      <c r="N74" s="14">
        <v>504.78542188215658</v>
      </c>
      <c r="O74" s="14">
        <v>266617.56412971747</v>
      </c>
      <c r="P74" s="8">
        <v>504.78542188215664</v>
      </c>
      <c r="Q74" s="54">
        <v>9.0183399716944432E-2</v>
      </c>
    </row>
    <row r="75" spans="1:17">
      <c r="A75" s="2" t="s">
        <v>427</v>
      </c>
      <c r="B75" s="16" t="s">
        <v>428</v>
      </c>
      <c r="D75" s="14">
        <v>1</v>
      </c>
      <c r="E75" s="14">
        <v>0.84207437421354647</v>
      </c>
      <c r="F75" s="14">
        <v>3.6530609816197604E-3</v>
      </c>
      <c r="G75" s="14">
        <v>5.1532996057012063E-12</v>
      </c>
      <c r="H75" s="14">
        <v>238.20831774241285</v>
      </c>
      <c r="I75" s="14">
        <v>0.85107678934779196</v>
      </c>
      <c r="J75" s="14">
        <v>0</v>
      </c>
      <c r="K75" s="14">
        <v>273.74303495930195</v>
      </c>
      <c r="L75" s="14">
        <v>3.6530609816197604E-3</v>
      </c>
      <c r="M75" s="14">
        <v>2.9973365354190136E-3</v>
      </c>
      <c r="N75" s="14">
        <v>438.73043456556059</v>
      </c>
      <c r="O75" s="14">
        <v>247483.4508340871</v>
      </c>
      <c r="P75" s="8">
        <v>438.73043456556059</v>
      </c>
      <c r="Q75" s="54">
        <v>4.7530102028305855E-5</v>
      </c>
    </row>
    <row r="76" spans="1:17">
      <c r="A76" s="2" t="s">
        <v>429</v>
      </c>
      <c r="B76" s="16" t="s">
        <v>430</v>
      </c>
      <c r="D76" s="14">
        <v>1</v>
      </c>
      <c r="E76" s="14">
        <v>0.8420743745942878</v>
      </c>
      <c r="F76" s="14">
        <v>3.6530609832714804E-3</v>
      </c>
      <c r="G76" s="14">
        <v>1.2944503362917347E-13</v>
      </c>
      <c r="H76" s="14">
        <v>238.20831785011799</v>
      </c>
      <c r="I76" s="14">
        <v>0.8510767897326037</v>
      </c>
      <c r="J76" s="14">
        <v>0</v>
      </c>
      <c r="K76" s="14">
        <v>273.7430348355299</v>
      </c>
      <c r="L76" s="14">
        <v>3.6530609832714804E-3</v>
      </c>
      <c r="M76" s="14">
        <v>2.9973365367742498E-3</v>
      </c>
      <c r="N76" s="14">
        <v>438.73043476393116</v>
      </c>
      <c r="O76" s="14">
        <v>219422.25233848489</v>
      </c>
      <c r="P76" s="8">
        <v>438.73043476393116</v>
      </c>
      <c r="Q76" s="54">
        <v>4.7530102049796443E-5</v>
      </c>
    </row>
    <row r="77" spans="1:17">
      <c r="A77" s="2" t="s">
        <v>431</v>
      </c>
      <c r="B77" s="16" t="s">
        <v>432</v>
      </c>
      <c r="D77" s="14">
        <v>1</v>
      </c>
      <c r="E77" s="14">
        <v>0.60153522990705111</v>
      </c>
      <c r="F77" s="14">
        <v>8.5896654575571552E-2</v>
      </c>
      <c r="G77" s="14">
        <v>2.232979506780803E-4</v>
      </c>
      <c r="H77" s="14">
        <v>121.52237527586267</v>
      </c>
      <c r="I77" s="14">
        <v>232.65555178705705</v>
      </c>
      <c r="J77" s="14">
        <v>0</v>
      </c>
      <c r="K77" s="14">
        <v>11.641896939306335</v>
      </c>
      <c r="L77" s="14">
        <v>8.5896654575571552E-2</v>
      </c>
      <c r="M77" s="14">
        <v>7.0478205079256465E-2</v>
      </c>
      <c r="N77" s="14">
        <v>430.52497128702998</v>
      </c>
      <c r="O77" s="14">
        <v>156736.92104675612</v>
      </c>
      <c r="P77" s="8">
        <v>430.52497128702998</v>
      </c>
      <c r="Q77" s="54">
        <v>0.15083892215742262</v>
      </c>
    </row>
    <row r="78" spans="1:17">
      <c r="A78" s="2" t="s">
        <v>433</v>
      </c>
      <c r="B78" s="16" t="s">
        <v>434</v>
      </c>
      <c r="D78" s="14">
        <v>1</v>
      </c>
      <c r="E78" s="14">
        <v>0.64766916110908934</v>
      </c>
      <c r="F78" s="14">
        <v>0.49819199314066254</v>
      </c>
      <c r="G78" s="14">
        <v>3.5078840606794038E-4</v>
      </c>
      <c r="H78" s="14">
        <v>34.19926270952547</v>
      </c>
      <c r="I78" s="14">
        <v>81.82272030866315</v>
      </c>
      <c r="J78" s="14">
        <v>0</v>
      </c>
      <c r="K78" s="14">
        <v>2.0072582734537323</v>
      </c>
      <c r="L78" s="14">
        <v>0.49819199314066259</v>
      </c>
      <c r="M78" s="14">
        <v>0.40876653037191363</v>
      </c>
      <c r="N78" s="14">
        <v>147.26184681446455</v>
      </c>
      <c r="O78" s="14">
        <v>38884.49065135936</v>
      </c>
      <c r="P78" s="8">
        <v>147.26184681446455</v>
      </c>
      <c r="Q78" s="54">
        <v>0.18074817215614247</v>
      </c>
    </row>
    <row r="79" spans="1:17">
      <c r="A79" s="2" t="s">
        <v>435</v>
      </c>
      <c r="B79" s="16" t="s">
        <v>436</v>
      </c>
      <c r="D79" s="14">
        <v>1</v>
      </c>
      <c r="E79" s="14">
        <v>0.60288224981874339</v>
      </c>
      <c r="F79" s="14">
        <v>0.33669109037071537</v>
      </c>
      <c r="G79" s="14">
        <v>7.892600338620158E-5</v>
      </c>
      <c r="H79" s="14">
        <v>61.290282639065168</v>
      </c>
      <c r="I79" s="14">
        <v>136.47364620379574</v>
      </c>
      <c r="J79" s="14">
        <v>0</v>
      </c>
      <c r="K79" s="14">
        <v>2.9700815631888124</v>
      </c>
      <c r="L79" s="14">
        <v>0.33669109037071537</v>
      </c>
      <c r="M79" s="14">
        <v>0.27625503964917197</v>
      </c>
      <c r="N79" s="14">
        <v>247.82620683146848</v>
      </c>
      <c r="O79" s="14">
        <v>99157.743615338855</v>
      </c>
      <c r="P79" s="8">
        <v>247.82620683146851</v>
      </c>
      <c r="Q79" s="54">
        <v>0.20307141494451186</v>
      </c>
    </row>
    <row r="80" spans="1:17">
      <c r="A80" s="2" t="s">
        <v>437</v>
      </c>
      <c r="B80" s="16" t="s">
        <v>438</v>
      </c>
      <c r="D80" s="14">
        <v>1</v>
      </c>
      <c r="E80" s="14">
        <v>0.73296627311281892</v>
      </c>
      <c r="F80" s="14">
        <v>2.1559697026940785E-3</v>
      </c>
      <c r="G80" s="14">
        <v>1.6060946074082107E-12</v>
      </c>
      <c r="H80" s="14">
        <v>207.55951801477275</v>
      </c>
      <c r="I80" s="14">
        <v>1.4244738400986616</v>
      </c>
      <c r="J80" s="14">
        <v>0</v>
      </c>
      <c r="K80" s="14">
        <v>463.82841036699631</v>
      </c>
      <c r="L80" s="14">
        <v>2.1559697026940785E-3</v>
      </c>
      <c r="M80" s="14">
        <v>1.7689731410604913E-3</v>
      </c>
      <c r="N80" s="14">
        <v>741.96504047966221</v>
      </c>
      <c r="O80" s="14">
        <v>381429.38800978474</v>
      </c>
      <c r="P80" s="8">
        <v>741.96504047966221</v>
      </c>
      <c r="Q80" s="54">
        <v>5.0425995183783586E-5</v>
      </c>
    </row>
    <row r="81" spans="1:17">
      <c r="A81" s="2" t="s">
        <v>440</v>
      </c>
      <c r="B81" s="16" t="s">
        <v>441</v>
      </c>
      <c r="D81" s="14">
        <v>1</v>
      </c>
      <c r="E81" s="14">
        <v>0.97044876959792914</v>
      </c>
      <c r="F81" s="14">
        <v>0.97297464698503389</v>
      </c>
      <c r="G81" s="14">
        <v>2.0531941188205194E-15</v>
      </c>
      <c r="H81" s="14">
        <v>0.25929940720297817</v>
      </c>
      <c r="I81" s="14">
        <v>0.9338103747333738</v>
      </c>
      <c r="J81" s="14">
        <v>0</v>
      </c>
      <c r="K81" s="14">
        <v>1.0277760094764132</v>
      </c>
      <c r="L81" s="14">
        <v>0.97297464698503389</v>
      </c>
      <c r="M81" s="14">
        <v>0.79832569785122032</v>
      </c>
      <c r="N81" s="14">
        <v>1.6142348627993319</v>
      </c>
      <c r="O81" s="14">
        <v>447.56275805974275</v>
      </c>
      <c r="P81" s="8">
        <v>1.6142348627993319</v>
      </c>
      <c r="Q81" s="54">
        <v>1.9555039371319475E-2</v>
      </c>
    </row>
    <row r="82" spans="1:17">
      <c r="A82" s="2" t="s">
        <v>442</v>
      </c>
      <c r="B82" s="16" t="s">
        <v>443</v>
      </c>
      <c r="D82" s="14">
        <v>1</v>
      </c>
      <c r="E82" s="14">
        <v>0.76745634163265264</v>
      </c>
      <c r="F82" s="14">
        <v>0.70147583020749937</v>
      </c>
      <c r="G82" s="14">
        <v>8.9310228275648342E-7</v>
      </c>
      <c r="H82" s="14">
        <v>15.24307939614156</v>
      </c>
      <c r="I82" s="14">
        <v>39.694458563814976</v>
      </c>
      <c r="J82" s="14">
        <v>0</v>
      </c>
      <c r="K82" s="14">
        <v>1.4255658669012099</v>
      </c>
      <c r="L82" s="14">
        <v>0.70147583020749948</v>
      </c>
      <c r="M82" s="14">
        <v>0.57556091868525328</v>
      </c>
      <c r="N82" s="14">
        <v>70.696771185346037</v>
      </c>
      <c r="O82" s="14">
        <v>11678.399632107312</v>
      </c>
      <c r="P82" s="8">
        <v>70.696771185346037</v>
      </c>
      <c r="Q82" s="54">
        <v>0.13974294210035293</v>
      </c>
    </row>
    <row r="83" spans="1:17">
      <c r="A83" s="2" t="s">
        <v>444</v>
      </c>
      <c r="B83" s="16" t="s">
        <v>445</v>
      </c>
      <c r="D83" s="14">
        <v>1</v>
      </c>
      <c r="E83" s="14">
        <v>0.60416530884618436</v>
      </c>
      <c r="F83" s="14">
        <v>0.10838057751184654</v>
      </c>
      <c r="G83" s="14">
        <v>4.77749178040221E-6</v>
      </c>
      <c r="H83" s="14">
        <v>116.4585720811954</v>
      </c>
      <c r="I83" s="14">
        <v>227.52474254534775</v>
      </c>
      <c r="J83" s="14">
        <v>0</v>
      </c>
      <c r="K83" s="14">
        <v>9.226745446071229</v>
      </c>
      <c r="L83" s="14">
        <v>0.10838057751184656</v>
      </c>
      <c r="M83" s="14">
        <v>8.8926263848470091E-2</v>
      </c>
      <c r="N83" s="14">
        <v>419.96646461523193</v>
      </c>
      <c r="O83" s="14">
        <v>75694.755582249403</v>
      </c>
      <c r="P83" s="8">
        <v>419.96646461523198</v>
      </c>
      <c r="Q83" s="54">
        <v>0.16490302847438776</v>
      </c>
    </row>
    <row r="84" spans="1:17">
      <c r="A84" s="2" t="s">
        <v>446</v>
      </c>
      <c r="B84" s="16" t="s">
        <v>447</v>
      </c>
      <c r="D84" s="14">
        <v>1</v>
      </c>
      <c r="E84" s="14">
        <v>0.9356943387901453</v>
      </c>
      <c r="F84" s="14">
        <v>0.93384358378251375</v>
      </c>
      <c r="G84" s="14">
        <v>6.2848168607024591E-17</v>
      </c>
      <c r="H84" s="14">
        <v>1.1584149113017637</v>
      </c>
      <c r="I84" s="14">
        <v>3.7249573966451641</v>
      </c>
      <c r="J84" s="14">
        <v>0</v>
      </c>
      <c r="K84" s="14">
        <v>1.0708431447903952</v>
      </c>
      <c r="L84" s="14">
        <v>0.93384358378251386</v>
      </c>
      <c r="M84" s="14">
        <v>0.76621866049355258</v>
      </c>
      <c r="N84" s="14">
        <v>6.4772603245396887</v>
      </c>
      <c r="O84" s="14">
        <v>2518.9417676102394</v>
      </c>
      <c r="P84" s="8">
        <v>6.4772603245396896</v>
      </c>
      <c r="Q84" s="54">
        <v>4.1833221487928757E-2</v>
      </c>
    </row>
    <row r="85" spans="1:17">
      <c r="A85" s="2" t="s">
        <v>448</v>
      </c>
      <c r="B85" s="16" t="s">
        <v>449</v>
      </c>
      <c r="D85" s="14">
        <v>1</v>
      </c>
      <c r="E85" s="14">
        <v>0.9877865083856654</v>
      </c>
      <c r="F85" s="14">
        <v>0.99140980136880363</v>
      </c>
      <c r="G85" s="14">
        <v>4.4306933750679177E-10</v>
      </c>
      <c r="H85" s="14">
        <v>4.7647838949655623E-2</v>
      </c>
      <c r="I85" s="14">
        <v>0.19467060515130155</v>
      </c>
      <c r="J85" s="14">
        <v>0</v>
      </c>
      <c r="K85" s="14">
        <v>1.0086646295198374</v>
      </c>
      <c r="L85" s="14">
        <v>0.99140980136880374</v>
      </c>
      <c r="M85" s="14">
        <v>0.81345174202310344</v>
      </c>
      <c r="N85" s="14">
        <v>0.34540956170819342</v>
      </c>
      <c r="O85" s="14">
        <v>61.911209840576589</v>
      </c>
      <c r="P85" s="8">
        <v>0.34540956170819342</v>
      </c>
      <c r="Q85" s="54">
        <v>8.1601920300091516E-3</v>
      </c>
    </row>
    <row r="86" spans="1:17">
      <c r="A86" s="2" t="s">
        <v>450</v>
      </c>
      <c r="B86" s="16" t="s">
        <v>451</v>
      </c>
      <c r="D86" s="14">
        <v>1</v>
      </c>
      <c r="E86" s="14">
        <v>0.93727192914339985</v>
      </c>
      <c r="F86" s="14">
        <v>0.93568095530874629</v>
      </c>
      <c r="G86" s="14">
        <v>1.5813437181610047E-10</v>
      </c>
      <c r="H86" s="14">
        <v>1.1040730016041245</v>
      </c>
      <c r="I86" s="14">
        <v>3.5633211104871352</v>
      </c>
      <c r="J86" s="14">
        <v>0</v>
      </c>
      <c r="K86" s="14">
        <v>1.0687403589079467</v>
      </c>
      <c r="L86" s="14">
        <v>0.9356809553087464</v>
      </c>
      <c r="M86" s="14">
        <v>0.76772622383082634</v>
      </c>
      <c r="N86" s="14">
        <v>6.1941074375475598</v>
      </c>
      <c r="O86" s="14">
        <v>1617.2195108692922</v>
      </c>
      <c r="P86" s="8">
        <v>6.1941074375475598</v>
      </c>
      <c r="Q86" s="54">
        <v>4.0837106318722081E-2</v>
      </c>
    </row>
    <row r="87" spans="1:17">
      <c r="A87" s="2" t="s">
        <v>452</v>
      </c>
      <c r="B87" s="16" t="s">
        <v>453</v>
      </c>
      <c r="D87" s="14">
        <v>1</v>
      </c>
      <c r="E87" s="14">
        <v>0.39692416284083143</v>
      </c>
      <c r="F87" s="14">
        <v>2.2913523990208132E-4</v>
      </c>
      <c r="G87" s="14">
        <v>2.3634171053005268E-10</v>
      </c>
      <c r="H87" s="14">
        <v>26.687745455972617</v>
      </c>
      <c r="I87" s="14">
        <v>796.83620328803829</v>
      </c>
      <c r="J87" s="14">
        <v>0</v>
      </c>
      <c r="K87" s="14">
        <v>4364.234852863925</v>
      </c>
      <c r="L87" s="14">
        <v>2.2913523990208132E-4</v>
      </c>
      <c r="M87" s="14">
        <v>1.8800546433965772E-4</v>
      </c>
      <c r="N87" s="14">
        <v>1583.2014776590986</v>
      </c>
      <c r="O87" s="14">
        <v>659086.77514948277</v>
      </c>
      <c r="P87" s="8">
        <v>1583.2014776590988</v>
      </c>
      <c r="Q87" s="54">
        <v>2.2571948853002892E-2</v>
      </c>
    </row>
    <row r="88" spans="1:17">
      <c r="A88" s="2" t="s">
        <v>454</v>
      </c>
      <c r="B88" s="16" t="s">
        <v>455</v>
      </c>
      <c r="D88" s="14">
        <v>1</v>
      </c>
      <c r="E88" s="14">
        <v>0.69782569160908092</v>
      </c>
      <c r="F88" s="14">
        <v>0.57604252028833935</v>
      </c>
      <c r="G88" s="14">
        <v>4.238996222168681E-7</v>
      </c>
      <c r="H88" s="14">
        <v>27.863427730208631</v>
      </c>
      <c r="I88" s="14">
        <v>68.405608831230225</v>
      </c>
      <c r="J88" s="14">
        <v>0</v>
      </c>
      <c r="K88" s="14">
        <v>1.7359829609443549</v>
      </c>
      <c r="L88" s="14">
        <v>0.57604252028833935</v>
      </c>
      <c r="M88" s="14">
        <v>0.47264288789658249</v>
      </c>
      <c r="N88" s="14">
        <v>122.72103384529379</v>
      </c>
      <c r="O88" s="14">
        <v>23472.852143589345</v>
      </c>
      <c r="P88" s="8">
        <v>122.72103384529379</v>
      </c>
      <c r="Q88" s="54">
        <v>0.1741372623769836</v>
      </c>
    </row>
    <row r="89" spans="1:17">
      <c r="A89" s="2" t="s">
        <v>456</v>
      </c>
      <c r="B89" s="16" t="s">
        <v>457</v>
      </c>
      <c r="D89" s="14">
        <v>1</v>
      </c>
      <c r="E89" s="14">
        <v>0.75460114860729555</v>
      </c>
      <c r="F89" s="14">
        <v>0.68004014998146622</v>
      </c>
      <c r="G89" s="14">
        <v>2.936182474773501E-19</v>
      </c>
      <c r="H89" s="14">
        <v>17.169377697060327</v>
      </c>
      <c r="I89" s="14">
        <v>44.21928593994744</v>
      </c>
      <c r="J89" s="14">
        <v>0</v>
      </c>
      <c r="K89" s="14">
        <v>1.4705014108758931</v>
      </c>
      <c r="L89" s="14">
        <v>0.68004014998146622</v>
      </c>
      <c r="M89" s="14">
        <v>0.55797294305979306</v>
      </c>
      <c r="N89" s="14">
        <v>78.862582326829042</v>
      </c>
      <c r="O89" s="14">
        <v>30950.409059987323</v>
      </c>
      <c r="P89" s="8">
        <v>78.862582326829042</v>
      </c>
      <c r="Q89" s="54">
        <v>0.14649126363327014</v>
      </c>
    </row>
    <row r="90" spans="1:17">
      <c r="A90" s="2" t="s">
        <v>458</v>
      </c>
      <c r="B90" s="16" t="s">
        <v>459</v>
      </c>
      <c r="D90" s="14">
        <v>1</v>
      </c>
      <c r="E90" s="14">
        <v>0.87617618313410373</v>
      </c>
      <c r="F90" s="14">
        <v>0.86025162146225675</v>
      </c>
      <c r="G90" s="14">
        <v>4.6335514272588528E-31</v>
      </c>
      <c r="H90" s="14">
        <v>4.1695146093939339</v>
      </c>
      <c r="I90" s="14">
        <v>12.126701029641582</v>
      </c>
      <c r="J90" s="14">
        <v>0</v>
      </c>
      <c r="K90" s="14">
        <v>1.1624505842839314</v>
      </c>
      <c r="L90" s="14">
        <v>0.86025162146225687</v>
      </c>
      <c r="M90" s="14">
        <v>0.70583645540978168</v>
      </c>
      <c r="N90" s="14">
        <v>21.31337531424656</v>
      </c>
      <c r="O90" s="14">
        <v>16644.467317907711</v>
      </c>
      <c r="P90" s="8">
        <v>21.31337531424656</v>
      </c>
      <c r="Q90" s="54">
        <v>7.8404803488785479E-2</v>
      </c>
    </row>
    <row r="91" spans="1:17">
      <c r="A91" s="2" t="s">
        <v>460</v>
      </c>
      <c r="B91" s="16" t="s">
        <v>461</v>
      </c>
      <c r="D91" s="14">
        <v>1</v>
      </c>
      <c r="E91" s="14">
        <v>0.54093966140054661</v>
      </c>
      <c r="F91" s="14">
        <v>2.0904771894465438E-3</v>
      </c>
      <c r="G91" s="14">
        <v>3.4437682739139252E-10</v>
      </c>
      <c r="H91" s="14">
        <v>93.133394662060169</v>
      </c>
      <c r="I91" s="14">
        <v>555.72841565363933</v>
      </c>
      <c r="J91" s="14">
        <v>0</v>
      </c>
      <c r="K91" s="14">
        <v>478.35968029134585</v>
      </c>
      <c r="L91" s="14">
        <v>2.0904771894465438E-3</v>
      </c>
      <c r="M91" s="14">
        <v>1.7152365339408893E-3</v>
      </c>
      <c r="N91" s="14">
        <v>1076.3052317162976</v>
      </c>
      <c r="O91" s="14">
        <v>329779.92299787357</v>
      </c>
      <c r="P91" s="8">
        <v>1076.3052317162978</v>
      </c>
      <c r="Q91" s="54">
        <v>4.8468837532960211E-2</v>
      </c>
    </row>
    <row r="92" spans="1:17">
      <c r="A92" s="2" t="s">
        <v>462</v>
      </c>
      <c r="B92" s="16" t="s">
        <v>463</v>
      </c>
      <c r="D92" s="14">
        <v>1</v>
      </c>
      <c r="E92" s="14">
        <v>0.59265030681035191</v>
      </c>
      <c r="F92" s="14">
        <v>0.15350984518330041</v>
      </c>
      <c r="G92" s="14">
        <v>4.2583830193832558E-11</v>
      </c>
      <c r="H92" s="14">
        <v>102.56902652998323</v>
      </c>
      <c r="I92" s="14">
        <v>207.52642490637126</v>
      </c>
      <c r="J92" s="14">
        <v>0</v>
      </c>
      <c r="K92" s="14">
        <v>6.5142401701072465</v>
      </c>
      <c r="L92" s="14">
        <v>0.15350984518330041</v>
      </c>
      <c r="M92" s="14">
        <v>0.125954827972898</v>
      </c>
      <c r="N92" s="14">
        <v>381.38318960864569</v>
      </c>
      <c r="O92" s="14">
        <v>128457.48592398403</v>
      </c>
      <c r="P92" s="8">
        <v>381.38318960864569</v>
      </c>
      <c r="Q92" s="54">
        <v>0.18233641197174108</v>
      </c>
    </row>
    <row r="93" spans="1:17">
      <c r="A93" s="2" t="s">
        <v>464</v>
      </c>
      <c r="B93" s="16" t="s">
        <v>465</v>
      </c>
      <c r="D93" s="14">
        <v>1</v>
      </c>
      <c r="E93" s="14">
        <v>0.66488182360646042</v>
      </c>
      <c r="F93" s="14">
        <v>3.2187848988489282E-2</v>
      </c>
      <c r="G93" s="14">
        <v>1.8008620360841916E-6</v>
      </c>
      <c r="H93" s="14">
        <v>151.2348761953107</v>
      </c>
      <c r="I93" s="14">
        <v>265.03859821812296</v>
      </c>
      <c r="J93" s="14">
        <v>0</v>
      </c>
      <c r="K93" s="14">
        <v>31.067624318655479</v>
      </c>
      <c r="L93" s="14">
        <v>3.2187848988489288E-2</v>
      </c>
      <c r="M93" s="14">
        <v>2.641013009505546E-2</v>
      </c>
      <c r="N93" s="14">
        <v>495.89577285689285</v>
      </c>
      <c r="O93" s="14">
        <v>230636.16499801227</v>
      </c>
      <c r="P93" s="8">
        <v>495.89577285689285</v>
      </c>
      <c r="Q93" s="54">
        <v>0.10565963982205781</v>
      </c>
    </row>
    <row r="94" spans="1:17">
      <c r="A94" s="2" t="s">
        <v>466</v>
      </c>
      <c r="B94" s="16" t="s">
        <v>467</v>
      </c>
      <c r="D94" s="14">
        <v>1</v>
      </c>
      <c r="E94" s="14">
        <v>0.99580520200299572</v>
      </c>
      <c r="F94" s="14">
        <v>0.89464444591779391</v>
      </c>
      <c r="G94" s="14">
        <v>2.0299572353996697E-20</v>
      </c>
      <c r="H94" s="14">
        <v>29.739281386353934</v>
      </c>
      <c r="I94" s="14">
        <v>3.6185166895186055E-2</v>
      </c>
      <c r="J94" s="14">
        <v>0</v>
      </c>
      <c r="K94" s="14">
        <v>1.1177624860501139</v>
      </c>
      <c r="L94" s="14">
        <v>0.89464444591779391</v>
      </c>
      <c r="M94" s="14">
        <v>0.73405576787554994</v>
      </c>
      <c r="N94" s="14">
        <v>11.217158188983136</v>
      </c>
      <c r="O94" s="14">
        <v>3709.962899424283</v>
      </c>
      <c r="P94" s="8">
        <v>11.217158188983138</v>
      </c>
      <c r="Q94" s="54">
        <v>1.0723352441049927E-4</v>
      </c>
    </row>
    <row r="95" spans="1:17">
      <c r="A95" s="2" t="s">
        <v>468</v>
      </c>
      <c r="B95" s="16" t="s">
        <v>469</v>
      </c>
      <c r="D95" s="14">
        <v>1</v>
      </c>
      <c r="E95" s="14">
        <v>0.67319632348776104</v>
      </c>
      <c r="F95" s="14">
        <v>6.0421487158119425E-3</v>
      </c>
      <c r="G95" s="14">
        <v>1.7140358377063788E-20</v>
      </c>
      <c r="H95" s="14">
        <v>152.01673843880147</v>
      </c>
      <c r="I95" s="14">
        <v>348.21588674058899</v>
      </c>
      <c r="J95" s="14">
        <v>0</v>
      </c>
      <c r="K95" s="14">
        <v>165.50403623516573</v>
      </c>
      <c r="L95" s="14">
        <v>6.0421487158119434E-3</v>
      </c>
      <c r="M95" s="14">
        <v>4.9575830213236995E-3</v>
      </c>
      <c r="N95" s="14">
        <v>664.23987897960808</v>
      </c>
      <c r="O95" s="14">
        <v>328134.50021592644</v>
      </c>
      <c r="P95" s="8">
        <v>664.23987897960819</v>
      </c>
      <c r="Q95" s="54">
        <v>5.927186343737869E-2</v>
      </c>
    </row>
    <row r="96" spans="1:17">
      <c r="A96" s="2" t="s">
        <v>470</v>
      </c>
      <c r="B96" s="166">
        <v>354656</v>
      </c>
      <c r="D96" s="14">
        <v>1</v>
      </c>
      <c r="E96" s="14">
        <v>0.96929160204957687</v>
      </c>
      <c r="F96" s="14">
        <v>0.9717177320278847</v>
      </c>
      <c r="G96" s="14">
        <v>4.0930647552146304E-12</v>
      </c>
      <c r="H96" s="14">
        <v>0.27913874903157326</v>
      </c>
      <c r="I96" s="14">
        <v>0.99971750957135719</v>
      </c>
      <c r="J96" s="14">
        <v>0</v>
      </c>
      <c r="K96" s="14">
        <v>1.0291054357041451</v>
      </c>
      <c r="L96" s="14">
        <v>0.9717177320278847</v>
      </c>
      <c r="M96" s="14">
        <v>0.79729439912887934</v>
      </c>
      <c r="N96" s="14">
        <v>1.7280959562234957</v>
      </c>
      <c r="O96" s="14">
        <v>340.76324160771111</v>
      </c>
      <c r="P96" s="8">
        <v>1.7280959562234959</v>
      </c>
      <c r="Q96" s="54">
        <v>2.0308474343473673E-2</v>
      </c>
    </row>
    <row r="97" spans="1:17">
      <c r="A97" s="2" t="s">
        <v>472</v>
      </c>
      <c r="B97" s="16" t="s">
        <v>473</v>
      </c>
      <c r="D97" s="14">
        <v>1</v>
      </c>
      <c r="E97" s="14">
        <v>0.93489172542258414</v>
      </c>
      <c r="F97" s="14">
        <v>0.93290658935395288</v>
      </c>
      <c r="G97" s="14">
        <v>6.2793783067382453E-12</v>
      </c>
      <c r="H97" s="14">
        <v>1.1865557838148777</v>
      </c>
      <c r="I97" s="14">
        <v>3.8084243336695729</v>
      </c>
      <c r="J97" s="14">
        <v>0</v>
      </c>
      <c r="K97" s="14">
        <v>1.0719186801890956</v>
      </c>
      <c r="L97" s="14">
        <v>0.93290658935395299</v>
      </c>
      <c r="M97" s="14">
        <v>0.76544985656491837</v>
      </c>
      <c r="N97" s="14">
        <v>6.6235288385167763</v>
      </c>
      <c r="O97" s="14">
        <v>1060.9568493536174</v>
      </c>
      <c r="P97" s="8">
        <v>6.6235288385167772</v>
      </c>
      <c r="Q97" s="54">
        <v>4.2339461626917138E-2</v>
      </c>
    </row>
    <row r="98" spans="1:17">
      <c r="A98" s="2" t="s">
        <v>474</v>
      </c>
      <c r="B98" s="16" t="s">
        <v>475</v>
      </c>
      <c r="D98" s="14">
        <v>1</v>
      </c>
      <c r="E98" s="14">
        <v>0.70104756654635769</v>
      </c>
      <c r="F98" s="14">
        <v>1.5057188491770469E-2</v>
      </c>
      <c r="G98" s="14">
        <v>4.2420167085270189E-22</v>
      </c>
      <c r="H98" s="14">
        <v>165.55560439978498</v>
      </c>
      <c r="I98" s="14">
        <v>272.52168020526335</v>
      </c>
      <c r="J98" s="14">
        <v>0</v>
      </c>
      <c r="K98" s="14">
        <v>66.413460955645974</v>
      </c>
      <c r="L98" s="14">
        <v>1.5057188491770469E-2</v>
      </c>
      <c r="M98" s="14">
        <v>1.2354423157497671E-2</v>
      </c>
      <c r="N98" s="14">
        <v>513.90191615500544</v>
      </c>
      <c r="O98" s="14">
        <v>273102.89530225453</v>
      </c>
      <c r="P98" s="8">
        <v>513.90191615500544</v>
      </c>
      <c r="Q98" s="54">
        <v>7.698410371422322E-2</v>
      </c>
    </row>
    <row r="99" spans="1:17">
      <c r="A99" s="2" t="s">
        <v>476</v>
      </c>
      <c r="B99" s="16" t="s">
        <v>477</v>
      </c>
      <c r="D99" s="14">
        <v>1</v>
      </c>
      <c r="E99" s="14">
        <v>0.99156128968222745</v>
      </c>
      <c r="F99" s="14">
        <v>0.99532054366318501</v>
      </c>
      <c r="G99" s="14">
        <v>1.9340667370113473E-9</v>
      </c>
      <c r="H99" s="14">
        <v>2.3455406721779617E-2</v>
      </c>
      <c r="I99" s="14">
        <v>0.10099506170830473</v>
      </c>
      <c r="J99" s="14">
        <v>0</v>
      </c>
      <c r="K99" s="14">
        <v>1.0047014565976833</v>
      </c>
      <c r="L99" s="14">
        <v>0.99532054366318501</v>
      </c>
      <c r="M99" s="14">
        <v>0.81666050607564333</v>
      </c>
      <c r="N99" s="14">
        <v>0.18668581151300012</v>
      </c>
      <c r="O99" s="14">
        <v>24.112339415019093</v>
      </c>
      <c r="P99" s="8">
        <v>0.18668581151300012</v>
      </c>
      <c r="Q99" s="54">
        <v>5.6506725203292058E-3</v>
      </c>
    </row>
    <row r="100" spans="1:17">
      <c r="A100" s="2" t="s">
        <v>478</v>
      </c>
      <c r="B100" s="16" t="s">
        <v>479</v>
      </c>
      <c r="D100" s="14">
        <v>1</v>
      </c>
      <c r="E100" s="14">
        <v>0.61798031557579836</v>
      </c>
      <c r="F100" s="14">
        <v>0.37853677272805797</v>
      </c>
      <c r="G100" s="14">
        <v>5.2186306766276117E-13</v>
      </c>
      <c r="H100" s="14">
        <v>55.020948790170991</v>
      </c>
      <c r="I100" s="14">
        <v>124.561906261068</v>
      </c>
      <c r="J100" s="14">
        <v>0</v>
      </c>
      <c r="K100" s="14">
        <v>2.6417512697462637</v>
      </c>
      <c r="L100" s="14">
        <v>0.37853677272805797</v>
      </c>
      <c r="M100" s="14">
        <v>0.31058942202337159</v>
      </c>
      <c r="N100" s="14">
        <v>225.7286337383031</v>
      </c>
      <c r="O100" s="14">
        <v>67673.444394743274</v>
      </c>
      <c r="P100" s="8">
        <v>225.7286337383031</v>
      </c>
      <c r="Q100" s="54">
        <v>0.2030417023217799</v>
      </c>
    </row>
    <row r="101" spans="1:17">
      <c r="A101" s="2" t="s">
        <v>480</v>
      </c>
      <c r="B101" s="16" t="s">
        <v>481</v>
      </c>
      <c r="D101" s="14">
        <v>1</v>
      </c>
      <c r="E101" s="14">
        <v>0.98582479738394824</v>
      </c>
      <c r="F101" s="14">
        <v>0.98936233320147804</v>
      </c>
      <c r="G101" s="14">
        <v>5.2031202093899898E-13</v>
      </c>
      <c r="H101" s="14">
        <v>6.3392134013171925E-2</v>
      </c>
      <c r="I101" s="14">
        <v>0.25356688923890608</v>
      </c>
      <c r="J101" s="14">
        <v>0</v>
      </c>
      <c r="K101" s="14">
        <v>1.0107520434541908</v>
      </c>
      <c r="L101" s="14">
        <v>0.98936233320147815</v>
      </c>
      <c r="M101" s="14">
        <v>0.8117717943918128</v>
      </c>
      <c r="N101" s="14">
        <v>0.44564305513996738</v>
      </c>
      <c r="O101" s="14">
        <v>106.13435001213462</v>
      </c>
      <c r="P101" s="8">
        <v>0.44564305513996738</v>
      </c>
      <c r="Q101" s="54">
        <v>9.4600306336395275E-3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0.99642091899888929</v>
      </c>
      <c r="F102" s="14">
        <v>1.0002961902059542</v>
      </c>
      <c r="G102" s="14">
        <v>3.2709740779631736E-29</v>
      </c>
      <c r="H102" s="14">
        <v>4.5253129116630186E-3</v>
      </c>
      <c r="I102" s="14">
        <v>2.2004210225685807E-2</v>
      </c>
      <c r="J102" s="14">
        <v>0</v>
      </c>
      <c r="K102" s="14">
        <v>0.99970389749670729</v>
      </c>
      <c r="L102" s="14">
        <v>1.0002961902059542</v>
      </c>
      <c r="M102" s="14">
        <v>0.82074302406398536</v>
      </c>
      <c r="N102" s="14">
        <v>5.4125416008995231E-2</v>
      </c>
      <c r="O102" s="14">
        <v>24.920965293021673</v>
      </c>
      <c r="P102" s="8">
        <v>5.4125416008995231E-2</v>
      </c>
      <c r="Q102" s="54">
        <v>2.4027345065906649E-3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0.99183099234708261</v>
      </c>
      <c r="F103" s="14">
        <v>0.9955984584866503</v>
      </c>
      <c r="G103" s="14">
        <v>2.6088115177879323E-15</v>
      </c>
      <c r="H103" s="14">
        <v>2.2040133233050888E-2</v>
      </c>
      <c r="I103" s="14">
        <v>9.5339174288256723E-2</v>
      </c>
      <c r="J103" s="14">
        <v>0</v>
      </c>
      <c r="K103" s="14">
        <v>1.0044210007316003</v>
      </c>
      <c r="L103" s="14">
        <v>0.9955984584866503</v>
      </c>
      <c r="M103" s="14">
        <v>0.81688853518829652</v>
      </c>
      <c r="N103" s="14">
        <v>0.17714086544131225</v>
      </c>
      <c r="O103" s="14">
        <v>36.358162631829337</v>
      </c>
      <c r="P103" s="8">
        <v>0.17714086544131225</v>
      </c>
      <c r="Q103" s="54">
        <v>5.4710588492753315E-3</v>
      </c>
    </row>
    <row r="104" spans="1:17">
      <c r="A104" s="2" t="s">
        <v>486</v>
      </c>
      <c r="B104" s="16" t="s">
        <v>487</v>
      </c>
      <c r="D104" s="14">
        <v>1</v>
      </c>
      <c r="E104" s="14">
        <v>0.95327538335653728</v>
      </c>
      <c r="F104" s="14">
        <v>0.95399275761708568</v>
      </c>
      <c r="G104" s="14">
        <v>3.2065171375512375E-11</v>
      </c>
      <c r="H104" s="14">
        <v>0.62546797457350156</v>
      </c>
      <c r="I104" s="14">
        <v>2.1079594315960808</v>
      </c>
      <c r="J104" s="14">
        <v>0</v>
      </c>
      <c r="K104" s="14">
        <v>1.0482259870586781</v>
      </c>
      <c r="L104" s="14">
        <v>0.9539927576170858</v>
      </c>
      <c r="M104" s="14">
        <v>0.78275105762481889</v>
      </c>
      <c r="N104" s="14">
        <v>3.6517081004179595</v>
      </c>
      <c r="O104" s="14">
        <v>551.99219645917867</v>
      </c>
      <c r="P104" s="8">
        <v>3.6517081004179595</v>
      </c>
      <c r="Q104" s="54">
        <v>3.0652242198570212E-2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0.99570648969464082</v>
      </c>
      <c r="F105" s="14">
        <v>0.99956907391907335</v>
      </c>
      <c r="G105" s="14">
        <v>2.6013650346734744E-18</v>
      </c>
      <c r="H105" s="14">
        <v>6.4176024560696878E-3</v>
      </c>
      <c r="I105" s="14">
        <v>3.041094961101699E-2</v>
      </c>
      <c r="J105" s="14">
        <v>0</v>
      </c>
      <c r="K105" s="14">
        <v>1.0004311118582701</v>
      </c>
      <c r="L105" s="14">
        <v>0.99956907391907346</v>
      </c>
      <c r="M105" s="14">
        <v>0.82014642515059977</v>
      </c>
      <c r="N105" s="14">
        <v>6.812055233792301E-2</v>
      </c>
      <c r="O105" s="14">
        <v>23.117390641397552</v>
      </c>
      <c r="P105" s="8">
        <v>6.812055233792301E-2</v>
      </c>
      <c r="Q105" s="54">
        <v>2.8815753581737037E-3</v>
      </c>
    </row>
    <row r="106" spans="1:17">
      <c r="A106" s="2" t="s">
        <v>490</v>
      </c>
      <c r="B106" s="16" t="s">
        <v>491</v>
      </c>
      <c r="D106" s="14">
        <v>1</v>
      </c>
      <c r="E106" s="14">
        <v>0.84498314258369744</v>
      </c>
      <c r="F106" s="14">
        <v>0.81819993930121893</v>
      </c>
      <c r="G106" s="14">
        <v>1.3974874956731984E-10</v>
      </c>
      <c r="H106" s="14">
        <v>6.5391220436635002</v>
      </c>
      <c r="I106" s="14">
        <v>18.330597177433315</v>
      </c>
      <c r="J106" s="14">
        <v>0</v>
      </c>
      <c r="K106" s="14">
        <v>1.2221951530014128</v>
      </c>
      <c r="L106" s="14">
        <v>0.81819993930121893</v>
      </c>
      <c r="M106" s="14">
        <v>0.67133305019665013</v>
      </c>
      <c r="N106" s="14">
        <v>32.356975057496285</v>
      </c>
      <c r="O106" s="14">
        <v>6216.7456177967615</v>
      </c>
      <c r="P106" s="8">
        <v>32.356975057496285</v>
      </c>
      <c r="Q106" s="54">
        <v>9.6777993518928879E-2</v>
      </c>
    </row>
    <row r="107" spans="1:17">
      <c r="A107" s="2" t="s">
        <v>492</v>
      </c>
      <c r="B107" s="16" t="s">
        <v>493</v>
      </c>
      <c r="D107" s="14">
        <v>1</v>
      </c>
      <c r="E107" s="14">
        <v>0.7136218762291211</v>
      </c>
      <c r="F107" s="14">
        <v>1.1178941681873302E-2</v>
      </c>
      <c r="G107" s="14">
        <v>1.9907154096116125E-18</v>
      </c>
      <c r="H107" s="14">
        <v>170.12991715994951</v>
      </c>
      <c r="I107" s="14">
        <v>273.42477367877405</v>
      </c>
      <c r="J107" s="14">
        <v>0</v>
      </c>
      <c r="K107" s="14">
        <v>89.453906144040801</v>
      </c>
      <c r="L107" s="14">
        <v>1.1178941681873302E-2</v>
      </c>
      <c r="M107" s="14">
        <v>9.172321649977045E-3</v>
      </c>
      <c r="N107" s="14">
        <v>517.14971164348378</v>
      </c>
      <c r="O107" s="14">
        <v>235096.25891312773</v>
      </c>
      <c r="P107" s="8">
        <v>517.14971164348378</v>
      </c>
      <c r="Q107" s="54">
        <v>6.7707668827048498E-2</v>
      </c>
    </row>
    <row r="108" spans="1:17">
      <c r="A108" s="2" t="s">
        <v>291</v>
      </c>
      <c r="B108" s="16" t="s">
        <v>494</v>
      </c>
      <c r="D108" s="14">
        <v>1</v>
      </c>
      <c r="E108" s="14">
        <v>0.63918327012559828</v>
      </c>
      <c r="F108" s="14">
        <v>0.44177177936048817</v>
      </c>
      <c r="G108" s="14">
        <v>3.0465370010592903E-12</v>
      </c>
      <c r="H108" s="14">
        <v>45.245768534018779</v>
      </c>
      <c r="I108" s="14">
        <v>105.10784699915105</v>
      </c>
      <c r="J108" s="14">
        <v>0</v>
      </c>
      <c r="K108" s="14">
        <v>2.2636122240483689</v>
      </c>
      <c r="L108" s="14">
        <v>0.44177177936048823</v>
      </c>
      <c r="M108" s="14">
        <v>0.36247374496528056</v>
      </c>
      <c r="N108" s="14">
        <v>189.86388922119886</v>
      </c>
      <c r="O108" s="14">
        <v>58540.732963572242</v>
      </c>
      <c r="P108" s="8">
        <v>189.86388922119889</v>
      </c>
      <c r="Q108" s="54">
        <v>0.19743999902443757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8.9187596868092181E-5</v>
      </c>
      <c r="E2" s="20">
        <v>0.80647237766582613</v>
      </c>
      <c r="F2" s="20">
        <v>3.6255898891181811E-2</v>
      </c>
      <c r="G2" s="20">
        <v>1.0560250796257572E-2</v>
      </c>
      <c r="H2" s="20">
        <v>0</v>
      </c>
      <c r="I2" s="20">
        <v>0.75965622797838672</v>
      </c>
      <c r="J2" s="20">
        <v>1.7732325116044115E-2</v>
      </c>
      <c r="K2" s="20">
        <v>0.17570610962126174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1.6150707541526153E-3</v>
      </c>
      <c r="E3" s="20">
        <v>0.40579009144233896</v>
      </c>
      <c r="F3" s="20">
        <v>0.10931147835644317</v>
      </c>
      <c r="G3" s="20">
        <v>0.29618381531620153</v>
      </c>
      <c r="H3" s="20">
        <v>0</v>
      </c>
      <c r="I3" s="20">
        <v>2.9479776969428798E-4</v>
      </c>
      <c r="J3" s="20">
        <v>0.55565678874367441</v>
      </c>
      <c r="K3" s="20">
        <v>3.6938049059833881E-2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4.0030784578904095E-12</v>
      </c>
      <c r="E4" s="20">
        <v>0.60318011726666398</v>
      </c>
      <c r="F4" s="20">
        <v>0.22796507512255268</v>
      </c>
      <c r="G4" s="20">
        <v>5.4420668504373285E-2</v>
      </c>
      <c r="H4" s="20">
        <v>0</v>
      </c>
      <c r="I4" s="20">
        <v>0.32079437363973806</v>
      </c>
      <c r="J4" s="20">
        <v>9.3656668522570763E-2</v>
      </c>
      <c r="K4" s="20">
        <v>0.30316321420676218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8.8849459237244481E-5</v>
      </c>
      <c r="E5" s="20">
        <v>0.65075235651726704</v>
      </c>
      <c r="F5" s="20">
        <v>0.50041348428450738</v>
      </c>
      <c r="G5" s="20">
        <v>0.14521937362209381</v>
      </c>
      <c r="H5" s="20">
        <v>0</v>
      </c>
      <c r="I5" s="20">
        <v>5.1194986106658461E-3</v>
      </c>
      <c r="J5" s="20">
        <v>0.26295285443821381</v>
      </c>
      <c r="K5" s="20">
        <v>8.6205939585281874E-2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4.8325832472007527E-6</v>
      </c>
      <c r="E6" s="20">
        <v>0.37859486074389409</v>
      </c>
      <c r="F6" s="20">
        <v>6.4025585533405788E-2</v>
      </c>
      <c r="G6" s="20">
        <v>0.31444820090553538</v>
      </c>
      <c r="H6" s="20">
        <v>0</v>
      </c>
      <c r="I6" s="20">
        <v>1.2107430495294159E-4</v>
      </c>
      <c r="J6" s="20">
        <v>0.59551449752649466</v>
      </c>
      <c r="K6" s="20">
        <v>2.5885809146364073E-2</v>
      </c>
      <c r="L6" s="20">
        <v>0</v>
      </c>
    </row>
    <row r="7" spans="1:14">
      <c r="A7" s="2" t="s">
        <v>321</v>
      </c>
      <c r="B7" s="3" t="s">
        <v>322</v>
      </c>
      <c r="D7" s="20">
        <v>7.6473090252207127E-6</v>
      </c>
      <c r="E7" s="20">
        <v>0.40152583886477111</v>
      </c>
      <c r="F7" s="20">
        <v>0.10143383723595939</v>
      </c>
      <c r="G7" s="20">
        <v>0.29983229604888373</v>
      </c>
      <c r="H7" s="20">
        <v>0</v>
      </c>
      <c r="I7" s="20">
        <v>2.5970557992799402E-4</v>
      </c>
      <c r="J7" s="20">
        <v>0.5632788008296411</v>
      </c>
      <c r="K7" s="20">
        <v>3.5187712996562696E-2</v>
      </c>
      <c r="L7" s="20">
        <v>0</v>
      </c>
    </row>
    <row r="8" spans="1:14">
      <c r="A8" s="2" t="s">
        <v>323</v>
      </c>
      <c r="B8" s="3" t="s">
        <v>324</v>
      </c>
      <c r="D8" s="20">
        <v>8.1293194089286576E-5</v>
      </c>
      <c r="E8" s="20">
        <v>0.44568642581388251</v>
      </c>
      <c r="F8" s="20">
        <v>0.1737514360212889</v>
      </c>
      <c r="G8" s="20">
        <v>0.27128386110757463</v>
      </c>
      <c r="H8" s="20">
        <v>0</v>
      </c>
      <c r="I8" s="20">
        <v>6.5112868501899168E-4</v>
      </c>
      <c r="J8" s="20">
        <v>0.50451165491925465</v>
      </c>
      <c r="K8" s="20">
        <v>4.9720626072773652E-2</v>
      </c>
      <c r="L8" s="20">
        <v>0</v>
      </c>
    </row>
    <row r="9" spans="1:14">
      <c r="A9" s="2" t="s">
        <v>325</v>
      </c>
      <c r="B9" s="3" t="s">
        <v>326</v>
      </c>
      <c r="D9" s="20">
        <v>8.4185865615032894E-5</v>
      </c>
      <c r="E9" s="20">
        <v>0.64273210801322145</v>
      </c>
      <c r="F9" s="20">
        <v>0.49603622834594435</v>
      </c>
      <c r="G9" s="20">
        <v>9.7411213144032976E-2</v>
      </c>
      <c r="H9" s="20">
        <v>0</v>
      </c>
      <c r="I9" s="20">
        <v>4.9284666523244154E-2</v>
      </c>
      <c r="J9" s="20">
        <v>0.17177864611801635</v>
      </c>
      <c r="K9" s="20">
        <v>0.18540506000314697</v>
      </c>
      <c r="L9" s="20">
        <v>0</v>
      </c>
    </row>
    <row r="10" spans="1:14">
      <c r="A10" s="2" t="s">
        <v>275</v>
      </c>
      <c r="B10" s="3" t="s">
        <v>276</v>
      </c>
      <c r="D10" s="20">
        <v>1.1211061398651127E-6</v>
      </c>
      <c r="E10" s="20">
        <v>0.63850337537090629</v>
      </c>
      <c r="F10" s="20">
        <v>0.48141647205344434</v>
      </c>
      <c r="G10" s="20">
        <v>0.15241106622718847</v>
      </c>
      <c r="H10" s="20">
        <v>0</v>
      </c>
      <c r="I10" s="20">
        <v>4.6758370902734948E-3</v>
      </c>
      <c r="J10" s="20">
        <v>0.27635638845001381</v>
      </c>
      <c r="K10" s="20">
        <v>8.5139115072939933E-2</v>
      </c>
      <c r="L10" s="20">
        <v>0</v>
      </c>
    </row>
    <row r="11" spans="1:14">
      <c r="A11" s="2" t="s">
        <v>327</v>
      </c>
      <c r="B11" s="3" t="s">
        <v>328</v>
      </c>
      <c r="D11" s="20">
        <v>5.659733502600197E-5</v>
      </c>
      <c r="E11" s="20">
        <v>0.61794157766536761</v>
      </c>
      <c r="F11" s="20">
        <v>0.44943842209796236</v>
      </c>
      <c r="G11" s="20">
        <v>0.164499943263721</v>
      </c>
      <c r="H11" s="20">
        <v>0</v>
      </c>
      <c r="I11" s="20">
        <v>4.003212303684273E-3</v>
      </c>
      <c r="J11" s="20">
        <v>0.29896353770705519</v>
      </c>
      <c r="K11" s="20">
        <v>8.3038287292551152E-2</v>
      </c>
      <c r="L11" s="20">
        <v>0</v>
      </c>
    </row>
    <row r="12" spans="1:14">
      <c r="A12" s="2" t="s">
        <v>329</v>
      </c>
      <c r="B12" s="3" t="s">
        <v>330</v>
      </c>
      <c r="D12" s="20">
        <v>4.3685270161834553E-5</v>
      </c>
      <c r="E12" s="20">
        <v>0.66606680421246234</v>
      </c>
      <c r="F12" s="20">
        <v>0.53383770002858066</v>
      </c>
      <c r="G12" s="20">
        <v>0.10085670976327746</v>
      </c>
      <c r="H12" s="20">
        <v>0</v>
      </c>
      <c r="I12" s="20">
        <v>3.1372394420604237E-2</v>
      </c>
      <c r="J12" s="20">
        <v>0.17871605670169208</v>
      </c>
      <c r="K12" s="20">
        <v>0.1551734538156839</v>
      </c>
      <c r="L12" s="20">
        <v>0</v>
      </c>
    </row>
    <row r="13" spans="1:14">
      <c r="A13" s="2" t="s">
        <v>277</v>
      </c>
      <c r="B13" s="3" t="s">
        <v>278</v>
      </c>
      <c r="D13" s="20">
        <v>1.3091133847998706E-4</v>
      </c>
      <c r="E13" s="20">
        <v>0.64490757925301234</v>
      </c>
      <c r="F13" s="20">
        <v>0.49986356029505064</v>
      </c>
      <c r="G13" s="20">
        <v>9.7801841807575923E-2</v>
      </c>
      <c r="H13" s="20">
        <v>0</v>
      </c>
      <c r="I13" s="20">
        <v>4.7242177150385728E-2</v>
      </c>
      <c r="J13" s="20">
        <v>0.17254688048670244</v>
      </c>
      <c r="K13" s="20">
        <v>0.18241462892180518</v>
      </c>
      <c r="L13" s="20">
        <v>0</v>
      </c>
    </row>
    <row r="14" spans="1:14">
      <c r="A14" s="2" t="s">
        <v>331</v>
      </c>
      <c r="B14" s="3" t="s">
        <v>332</v>
      </c>
      <c r="D14" s="20">
        <v>3.4016546760359963E-5</v>
      </c>
      <c r="E14" s="20">
        <v>0.55603484567979422</v>
      </c>
      <c r="F14" s="20">
        <v>0.35177456799342799</v>
      </c>
      <c r="G14" s="20">
        <v>0.20186452014421644</v>
      </c>
      <c r="H14" s="20">
        <v>0</v>
      </c>
      <c r="I14" s="20">
        <v>2.3957575421498416E-3</v>
      </c>
      <c r="J14" s="20">
        <v>0.36949692076382801</v>
      </c>
      <c r="K14" s="20">
        <v>7.4434217009617346E-2</v>
      </c>
      <c r="L14" s="20">
        <v>0</v>
      </c>
    </row>
    <row r="15" spans="1:14">
      <c r="A15" s="2" t="s">
        <v>333</v>
      </c>
      <c r="B15" s="3" t="s">
        <v>334</v>
      </c>
      <c r="D15" s="20">
        <v>6.2590491098341929E-8</v>
      </c>
      <c r="E15" s="20">
        <v>0.62823440753374082</v>
      </c>
      <c r="F15" s="20">
        <v>0.46546022383567925</v>
      </c>
      <c r="G15" s="20">
        <v>0.15844485061929398</v>
      </c>
      <c r="H15" s="20">
        <v>0</v>
      </c>
      <c r="I15" s="20">
        <v>4.3293330787675969E-3</v>
      </c>
      <c r="J15" s="20">
        <v>0.28762780584500069</v>
      </c>
      <c r="K15" s="20">
        <v>8.4137724030767344E-2</v>
      </c>
      <c r="L15" s="20">
        <v>0</v>
      </c>
    </row>
    <row r="16" spans="1:14">
      <c r="A16" s="2" t="s">
        <v>335</v>
      </c>
      <c r="B16" s="3" t="s">
        <v>336</v>
      </c>
      <c r="D16" s="20">
        <v>2.1253412010273416E-4</v>
      </c>
      <c r="E16" s="20">
        <v>0.44811483258114693</v>
      </c>
      <c r="F16" s="20">
        <v>0.17778817677665701</v>
      </c>
      <c r="G16" s="20">
        <v>0.26964876256634285</v>
      </c>
      <c r="H16" s="20">
        <v>0</v>
      </c>
      <c r="I16" s="20">
        <v>6.7789323814706538E-4</v>
      </c>
      <c r="J16" s="20">
        <v>0.50124006768995188</v>
      </c>
      <c r="K16" s="20">
        <v>5.043256560879833E-2</v>
      </c>
      <c r="L16" s="20">
        <v>0</v>
      </c>
    </row>
    <row r="17" spans="1:12">
      <c r="A17" s="2" t="s">
        <v>337</v>
      </c>
      <c r="B17" s="3" t="s">
        <v>338</v>
      </c>
      <c r="D17" s="20">
        <v>2.2685851830352011E-5</v>
      </c>
      <c r="E17" s="20">
        <v>0.64669782836039735</v>
      </c>
      <c r="F17" s="20">
        <v>0.49411644266944149</v>
      </c>
      <c r="G17" s="20">
        <v>0.14761308660737085</v>
      </c>
      <c r="H17" s="20">
        <v>0</v>
      </c>
      <c r="I17" s="20">
        <v>4.9682990835849938E-3</v>
      </c>
      <c r="J17" s="20">
        <v>0.2674102709156721</v>
      </c>
      <c r="K17" s="20">
        <v>8.5869214872100127E-2</v>
      </c>
      <c r="L17" s="20">
        <v>0</v>
      </c>
    </row>
    <row r="18" spans="1:12">
      <c r="A18" s="2" t="s">
        <v>279</v>
      </c>
      <c r="B18" s="3" t="s">
        <v>280</v>
      </c>
      <c r="D18" s="20">
        <v>2.5427755011713754E-3</v>
      </c>
      <c r="E18" s="20">
        <v>0.63139576998652969</v>
      </c>
      <c r="F18" s="20">
        <v>0.47685049015355324</v>
      </c>
      <c r="G18" s="20">
        <v>9.5208952878730491E-2</v>
      </c>
      <c r="H18" s="20">
        <v>0</v>
      </c>
      <c r="I18" s="20">
        <v>5.9336326954245906E-2</v>
      </c>
      <c r="J18" s="20">
        <v>0.16754778410333873</v>
      </c>
      <c r="K18" s="20">
        <v>0.19851367040896017</v>
      </c>
      <c r="L18" s="20">
        <v>0</v>
      </c>
    </row>
    <row r="19" spans="1:12">
      <c r="A19" s="2" t="s">
        <v>339</v>
      </c>
      <c r="B19" s="3" t="s">
        <v>340</v>
      </c>
      <c r="D19" s="20">
        <v>2.1868284620550086E-7</v>
      </c>
      <c r="E19" s="20">
        <v>0.62618103725154572</v>
      </c>
      <c r="F19" s="20">
        <v>0.46226278619181715</v>
      </c>
      <c r="G19" s="20">
        <v>0.15965572194649055</v>
      </c>
      <c r="H19" s="20">
        <v>0</v>
      </c>
      <c r="I19" s="20">
        <v>4.2625291132380129E-3</v>
      </c>
      <c r="J19" s="20">
        <v>0.28989262931036525</v>
      </c>
      <c r="K19" s="20">
        <v>8.3926114755242892E-2</v>
      </c>
      <c r="L19" s="20">
        <v>0</v>
      </c>
    </row>
    <row r="20" spans="1:12">
      <c r="A20" s="2" t="s">
        <v>281</v>
      </c>
      <c r="B20" s="3" t="s">
        <v>282</v>
      </c>
      <c r="D20" s="20">
        <v>1.9816434438931682E-5</v>
      </c>
      <c r="E20" s="20">
        <v>0.64497923457913942</v>
      </c>
      <c r="F20" s="20">
        <v>0.49991909986007405</v>
      </c>
      <c r="G20" s="20">
        <v>9.7812708516381963E-2</v>
      </c>
      <c r="H20" s="20">
        <v>0</v>
      </c>
      <c r="I20" s="20">
        <v>4.72474262026834E-2</v>
      </c>
      <c r="J20" s="20">
        <v>0.17256605207561104</v>
      </c>
      <c r="K20" s="20">
        <v>0.18243489691081052</v>
      </c>
      <c r="L20" s="20">
        <v>0</v>
      </c>
    </row>
    <row r="21" spans="1:12">
      <c r="A21" s="2" t="s">
        <v>341</v>
      </c>
      <c r="B21" s="3" t="s">
        <v>342</v>
      </c>
      <c r="D21" s="20">
        <v>2.937180911180557E-4</v>
      </c>
      <c r="E21" s="20">
        <v>0.5734054836830752</v>
      </c>
      <c r="F21" s="20">
        <v>0.3794939983246588</v>
      </c>
      <c r="G21" s="20">
        <v>0.19111750507139055</v>
      </c>
      <c r="H21" s="20">
        <v>0</v>
      </c>
      <c r="I21" s="20">
        <v>2.7939802870259041E-3</v>
      </c>
      <c r="J21" s="20">
        <v>0.3491015452511449</v>
      </c>
      <c r="K21" s="20">
        <v>7.7199252974661889E-2</v>
      </c>
      <c r="L21" s="20">
        <v>0</v>
      </c>
    </row>
    <row r="22" spans="1:12">
      <c r="A22" s="2" t="s">
        <v>343</v>
      </c>
      <c r="B22" s="3" t="s">
        <v>344</v>
      </c>
      <c r="D22" s="20">
        <v>1.8644951089840434E-3</v>
      </c>
      <c r="E22" s="20">
        <v>0.67764372760091218</v>
      </c>
      <c r="F22" s="20">
        <v>0.1141919431842827</v>
      </c>
      <c r="G22" s="20">
        <v>2.9780433734286665E-2</v>
      </c>
      <c r="H22" s="20">
        <v>0</v>
      </c>
      <c r="I22" s="20">
        <v>0.53367135068234284</v>
      </c>
      <c r="J22" s="20">
        <v>5.0690718749682652E-2</v>
      </c>
      <c r="K22" s="20">
        <v>0.26980105854042102</v>
      </c>
      <c r="L22" s="20">
        <v>0</v>
      </c>
    </row>
    <row r="23" spans="1:12">
      <c r="A23" s="2" t="s">
        <v>345</v>
      </c>
      <c r="B23" s="3" t="s">
        <v>346</v>
      </c>
      <c r="D23" s="20">
        <v>8.1447280933233214E-5</v>
      </c>
      <c r="E23" s="20">
        <v>0.76317357500712268</v>
      </c>
      <c r="F23" s="20">
        <v>5.5814984070006041E-2</v>
      </c>
      <c r="G23" s="20">
        <v>1.5640346147173956E-2</v>
      </c>
      <c r="H23" s="20">
        <v>0</v>
      </c>
      <c r="I23" s="20">
        <v>0.6917182447899427</v>
      </c>
      <c r="J23" s="20">
        <v>2.638699806134534E-2</v>
      </c>
      <c r="K23" s="20">
        <v>0.21035797965059874</v>
      </c>
      <c r="L23" s="20">
        <v>0</v>
      </c>
    </row>
    <row r="24" spans="1:12">
      <c r="A24" s="2" t="s">
        <v>347</v>
      </c>
      <c r="B24" s="3" t="s">
        <v>348</v>
      </c>
      <c r="D24" s="20">
        <v>6.249816179626715E-5</v>
      </c>
      <c r="E24" s="20">
        <v>0.59305551471156226</v>
      </c>
      <c r="F24" s="20">
        <v>0.36353100652054759</v>
      </c>
      <c r="G24" s="20">
        <v>7.9293395257610547E-2</v>
      </c>
      <c r="H24" s="20">
        <v>0</v>
      </c>
      <c r="I24" s="20">
        <v>0.15023111293340413</v>
      </c>
      <c r="J24" s="20">
        <v>0.13800746914653317</v>
      </c>
      <c r="K24" s="20">
        <v>0.26887451798010825</v>
      </c>
      <c r="L24" s="20">
        <v>0</v>
      </c>
    </row>
    <row r="25" spans="1:12">
      <c r="A25" s="2" t="s">
        <v>349</v>
      </c>
      <c r="B25" s="3" t="s">
        <v>350</v>
      </c>
      <c r="D25" s="20">
        <v>1.0861489744736956E-2</v>
      </c>
      <c r="E25" s="20">
        <v>0.68743780981300795</v>
      </c>
      <c r="F25" s="20">
        <v>0.5682816220136111</v>
      </c>
      <c r="G25" s="20">
        <v>0.10215489147205678</v>
      </c>
      <c r="H25" s="20">
        <v>0</v>
      </c>
      <c r="I25" s="20">
        <v>1.7001296327340036E-2</v>
      </c>
      <c r="J25" s="20">
        <v>0.18214458456516622</v>
      </c>
      <c r="K25" s="20">
        <v>0.11955611587708882</v>
      </c>
      <c r="L25" s="20">
        <v>0</v>
      </c>
    </row>
    <row r="26" spans="1:12">
      <c r="A26" s="2" t="s">
        <v>351</v>
      </c>
      <c r="B26" s="3" t="s">
        <v>352</v>
      </c>
      <c r="D26" s="20">
        <v>2.4055527594979084E-4</v>
      </c>
      <c r="E26" s="20">
        <v>0.58536286351383282</v>
      </c>
      <c r="F26" s="20">
        <v>0.39837227093974414</v>
      </c>
      <c r="G26" s="20">
        <v>0.18390123963160382</v>
      </c>
      <c r="H26" s="20">
        <v>0</v>
      </c>
      <c r="I26" s="20">
        <v>3.089352942484845E-3</v>
      </c>
      <c r="J26" s="20">
        <v>0.33545655118072282</v>
      </c>
      <c r="K26" s="20">
        <v>7.8940030029494623E-2</v>
      </c>
      <c r="L26" s="20">
        <v>0</v>
      </c>
    </row>
    <row r="27" spans="1:12">
      <c r="A27" s="2" t="s">
        <v>353</v>
      </c>
      <c r="B27" s="3" t="s">
        <v>354</v>
      </c>
      <c r="D27" s="20">
        <v>1.1331075327410327E-3</v>
      </c>
      <c r="E27" s="20">
        <v>0.41032856943857265</v>
      </c>
      <c r="F27" s="20">
        <v>0.11647838531125493</v>
      </c>
      <c r="G27" s="20">
        <v>0.2935221615268494</v>
      </c>
      <c r="H27" s="20">
        <v>0</v>
      </c>
      <c r="I27" s="20">
        <v>3.2802260046831046E-4</v>
      </c>
      <c r="J27" s="20">
        <v>0.55003009565173255</v>
      </c>
      <c r="K27" s="20">
        <v>3.8508227376953856E-2</v>
      </c>
      <c r="L27" s="20">
        <v>0</v>
      </c>
    </row>
    <row r="28" spans="1:12">
      <c r="A28" s="2" t="s">
        <v>355</v>
      </c>
      <c r="B28" s="3" t="s">
        <v>356</v>
      </c>
      <c r="D28" s="20">
        <v>7.8066782500561506E-5</v>
      </c>
      <c r="E28" s="20">
        <v>0.50714975351887737</v>
      </c>
      <c r="F28" s="20">
        <v>0.2734893980166756</v>
      </c>
      <c r="G28" s="20">
        <v>0.23218601118221119</v>
      </c>
      <c r="H28" s="20">
        <v>0</v>
      </c>
      <c r="I28" s="20">
        <v>1.4743443199905285E-3</v>
      </c>
      <c r="J28" s="20">
        <v>0.42764703800201465</v>
      </c>
      <c r="K28" s="20">
        <v>6.5125141696607269E-2</v>
      </c>
      <c r="L28" s="20">
        <v>0</v>
      </c>
    </row>
    <row r="29" spans="1:12">
      <c r="A29" s="2" t="s">
        <v>357</v>
      </c>
      <c r="B29" s="3" t="s">
        <v>358</v>
      </c>
      <c r="D29" s="20">
        <v>1.7631551770552867E-2</v>
      </c>
      <c r="E29" s="20">
        <v>0.55193194980325322</v>
      </c>
      <c r="F29" s="20">
        <v>0.35462124612508367</v>
      </c>
      <c r="G29" s="20">
        <v>0.19483200818436663</v>
      </c>
      <c r="H29" s="20">
        <v>0</v>
      </c>
      <c r="I29" s="20">
        <v>2.4786954938028731E-3</v>
      </c>
      <c r="J29" s="20">
        <v>0.3563783350439611</v>
      </c>
      <c r="K29" s="20">
        <v>7.4058163382232728E-2</v>
      </c>
      <c r="L29" s="20">
        <v>0</v>
      </c>
    </row>
    <row r="30" spans="1:12">
      <c r="A30" s="2" t="s">
        <v>359</v>
      </c>
      <c r="B30" s="3" t="s">
        <v>360</v>
      </c>
      <c r="D30" s="20">
        <v>7.8066782500561506E-5</v>
      </c>
      <c r="E30" s="20">
        <v>0.50714975351887737</v>
      </c>
      <c r="F30" s="20">
        <v>0.2734893980166756</v>
      </c>
      <c r="G30" s="20">
        <v>0.23218601118221119</v>
      </c>
      <c r="H30" s="20">
        <v>0</v>
      </c>
      <c r="I30" s="20">
        <v>1.4743443199905285E-3</v>
      </c>
      <c r="J30" s="20">
        <v>0.42764703800201465</v>
      </c>
      <c r="K30" s="20">
        <v>6.5125141696607269E-2</v>
      </c>
      <c r="L30" s="20">
        <v>0</v>
      </c>
    </row>
    <row r="31" spans="1:12">
      <c r="A31" s="2" t="s">
        <v>283</v>
      </c>
      <c r="B31" s="3" t="s">
        <v>284</v>
      </c>
      <c r="D31" s="20">
        <v>2.6207823867506159E-8</v>
      </c>
      <c r="E31" s="20">
        <v>0.97624300325805202</v>
      </c>
      <c r="F31" s="20">
        <v>6.0021269414473359E-4</v>
      </c>
      <c r="G31" s="20">
        <v>2.4087999396813035E-4</v>
      </c>
      <c r="H31" s="20">
        <v>0</v>
      </c>
      <c r="I31" s="20">
        <v>0.97540191056993919</v>
      </c>
      <c r="J31" s="20">
        <v>3.9479072571355816E-4</v>
      </c>
      <c r="K31" s="20">
        <v>2.3362179808410356E-2</v>
      </c>
      <c r="L31" s="20">
        <v>0</v>
      </c>
    </row>
    <row r="32" spans="1:12">
      <c r="A32" s="2" t="s">
        <v>361</v>
      </c>
      <c r="B32" s="3" t="s">
        <v>362</v>
      </c>
      <c r="D32" s="20">
        <v>1.9713162595423393E-8</v>
      </c>
      <c r="E32" s="20">
        <v>0.62613310178417159</v>
      </c>
      <c r="F32" s="20">
        <v>0.18038840102146642</v>
      </c>
      <c r="G32" s="20">
        <v>4.4476158618859632E-2</v>
      </c>
      <c r="H32" s="20">
        <v>0</v>
      </c>
      <c r="I32" s="20">
        <v>0.4012685421438455</v>
      </c>
      <c r="J32" s="20">
        <v>7.653607740815091E-2</v>
      </c>
      <c r="K32" s="20">
        <v>0.29733080109451487</v>
      </c>
      <c r="L32" s="20">
        <v>0</v>
      </c>
    </row>
    <row r="33" spans="1:12">
      <c r="A33" s="2" t="s">
        <v>364</v>
      </c>
      <c r="B33" s="3" t="s">
        <v>365</v>
      </c>
      <c r="D33" s="20">
        <v>1.2069202861100588E-10</v>
      </c>
      <c r="E33" s="20">
        <v>0.9997350713764066</v>
      </c>
      <c r="F33" s="20">
        <v>4.2014282863697518E-3</v>
      </c>
      <c r="G33" s="20">
        <v>1.2847667180598189E-6</v>
      </c>
      <c r="H33" s="20">
        <v>0</v>
      </c>
      <c r="I33" s="20">
        <v>0.99553235832331877</v>
      </c>
      <c r="J33" s="20">
        <v>2.0781524842453398E-4</v>
      </c>
      <c r="K33" s="20">
        <v>5.7113254476934473E-5</v>
      </c>
      <c r="L33" s="20">
        <v>0</v>
      </c>
    </row>
    <row r="34" spans="1:12">
      <c r="A34" s="2" t="s">
        <v>285</v>
      </c>
      <c r="B34" s="3" t="s">
        <v>286</v>
      </c>
      <c r="D34" s="20">
        <v>3.5349392908351073E-10</v>
      </c>
      <c r="E34" s="20">
        <v>0.98470130307401504</v>
      </c>
      <c r="F34" s="20">
        <v>0.44531764928943102</v>
      </c>
      <c r="G34" s="20">
        <v>3.657163822942476E-5</v>
      </c>
      <c r="H34" s="20">
        <v>0</v>
      </c>
      <c r="I34" s="20">
        <v>0.53934708214635463</v>
      </c>
      <c r="J34" s="20">
        <v>1.5106981152381006E-2</v>
      </c>
      <c r="K34" s="20">
        <v>1.9171542010979799E-4</v>
      </c>
      <c r="L34" s="20">
        <v>0</v>
      </c>
    </row>
    <row r="35" spans="1:12">
      <c r="A35" s="2" t="s">
        <v>287</v>
      </c>
      <c r="B35" s="3" t="s">
        <v>288</v>
      </c>
      <c r="D35" s="20">
        <v>1.0232682984529266E-11</v>
      </c>
      <c r="E35" s="20">
        <v>0.97829744222596571</v>
      </c>
      <c r="F35" s="20">
        <v>0.66085759808319311</v>
      </c>
      <c r="G35" s="20">
        <v>1.2797796798223678E-4</v>
      </c>
      <c r="H35" s="20">
        <v>0</v>
      </c>
      <c r="I35" s="20">
        <v>0.31731186617479035</v>
      </c>
      <c r="J35" s="20">
        <v>2.1241401787962366E-2</v>
      </c>
      <c r="K35" s="20">
        <v>4.6115597583937245E-4</v>
      </c>
      <c r="L35" s="20">
        <v>0</v>
      </c>
    </row>
    <row r="36" spans="1:12">
      <c r="A36" s="2" t="s">
        <v>366</v>
      </c>
      <c r="B36" s="3" t="s">
        <v>305</v>
      </c>
      <c r="D36" s="20">
        <v>1.7957668794232921E-8</v>
      </c>
      <c r="E36" s="20">
        <v>0.97379474806469479</v>
      </c>
      <c r="F36" s="20">
        <v>0.86818281576151979</v>
      </c>
      <c r="G36" s="20">
        <v>2.485724363099752E-4</v>
      </c>
      <c r="H36" s="20">
        <v>0</v>
      </c>
      <c r="I36" s="20">
        <v>0.10536335986686504</v>
      </c>
      <c r="J36" s="20">
        <v>2.5692176998752678E-2</v>
      </c>
      <c r="K36" s="20">
        <v>5.1305697888385355E-4</v>
      </c>
      <c r="L36" s="20">
        <v>0</v>
      </c>
    </row>
    <row r="37" spans="1:12">
      <c r="A37" s="2" t="s">
        <v>289</v>
      </c>
      <c r="B37" s="3" t="s">
        <v>290</v>
      </c>
      <c r="D37" s="20">
        <v>3.9574893597440419E-15</v>
      </c>
      <c r="E37" s="20">
        <v>0.8769488287633217</v>
      </c>
      <c r="F37" s="20">
        <v>0.65802164139545549</v>
      </c>
      <c r="G37" s="20">
        <v>2.2465168385899424E-2</v>
      </c>
      <c r="H37" s="20">
        <v>0</v>
      </c>
      <c r="I37" s="20">
        <v>0.19646201898196677</v>
      </c>
      <c r="J37" s="20">
        <v>5.627487783299695E-2</v>
      </c>
      <c r="K37" s="20">
        <v>6.6776293403677453E-2</v>
      </c>
      <c r="L37" s="20">
        <v>0</v>
      </c>
    </row>
    <row r="38" spans="1:12">
      <c r="A38" s="2" t="s">
        <v>291</v>
      </c>
      <c r="B38" s="3" t="s">
        <v>292</v>
      </c>
      <c r="D38" s="20">
        <v>1.1917825833704588E-12</v>
      </c>
      <c r="E38" s="20">
        <v>0.9845930563252141</v>
      </c>
      <c r="F38" s="20">
        <v>0.3793520559362708</v>
      </c>
      <c r="G38" s="20">
        <v>3.1692718253792694E-4</v>
      </c>
      <c r="H38" s="20">
        <v>0</v>
      </c>
      <c r="I38" s="20">
        <v>0.6049240732064054</v>
      </c>
      <c r="J38" s="20">
        <v>1.3549686175475554E-2</v>
      </c>
      <c r="K38" s="20">
        <v>1.8572574981186413E-3</v>
      </c>
      <c r="L38" s="20">
        <v>0</v>
      </c>
    </row>
    <row r="39" spans="1:12">
      <c r="A39" s="2" t="s">
        <v>367</v>
      </c>
      <c r="B39" s="3" t="s">
        <v>368</v>
      </c>
      <c r="D39" s="20">
        <v>1.1784835838270658E-5</v>
      </c>
      <c r="E39" s="20">
        <v>0.72028018563941199</v>
      </c>
      <c r="F39" s="20">
        <v>0.60603506370593196</v>
      </c>
      <c r="G39" s="20">
        <v>0.10585059594867813</v>
      </c>
      <c r="H39" s="20">
        <v>0</v>
      </c>
      <c r="I39" s="20">
        <v>8.3945259848018476E-3</v>
      </c>
      <c r="J39" s="20">
        <v>0.19012908561392305</v>
      </c>
      <c r="K39" s="20">
        <v>8.9578943910826811E-2</v>
      </c>
      <c r="L39" s="20">
        <v>0</v>
      </c>
    </row>
    <row r="40" spans="1:12">
      <c r="A40" s="2" t="s">
        <v>369</v>
      </c>
      <c r="B40" s="3" t="s">
        <v>370</v>
      </c>
      <c r="D40" s="20">
        <v>3.1827098609338E-13</v>
      </c>
      <c r="E40" s="20">
        <v>0.3398487109427647</v>
      </c>
      <c r="F40" s="20">
        <v>0.31659688737038688</v>
      </c>
      <c r="G40" s="20">
        <v>2.2904827094615887E-2</v>
      </c>
      <c r="H40" s="20">
        <v>0</v>
      </c>
      <c r="I40" s="20">
        <v>3.4699647776193919E-4</v>
      </c>
      <c r="J40" s="20">
        <v>0.65915533421284633</v>
      </c>
      <c r="K40" s="20">
        <v>9.9595484407052925E-4</v>
      </c>
      <c r="L40" s="20">
        <v>0</v>
      </c>
    </row>
    <row r="41" spans="1:12">
      <c r="A41" s="2" t="s">
        <v>371</v>
      </c>
      <c r="B41" s="3" t="s">
        <v>372</v>
      </c>
      <c r="D41" s="20">
        <v>8.1804578595348468E-2</v>
      </c>
      <c r="E41" s="20">
        <v>0.91358761454824677</v>
      </c>
      <c r="F41" s="20">
        <v>2.7967382791225382E-5</v>
      </c>
      <c r="G41" s="20">
        <v>1.4000623666881827E-5</v>
      </c>
      <c r="H41" s="20">
        <v>0</v>
      </c>
      <c r="I41" s="20">
        <v>0.91354564654178871</v>
      </c>
      <c r="J41" s="20">
        <v>2.7864493407073472E-5</v>
      </c>
      <c r="K41" s="20">
        <v>4.5799423629976554E-3</v>
      </c>
      <c r="L41" s="20">
        <v>0</v>
      </c>
    </row>
    <row r="42" spans="1:12">
      <c r="A42" s="2" t="s">
        <v>293</v>
      </c>
      <c r="B42" s="3" t="s">
        <v>294</v>
      </c>
      <c r="D42" s="20">
        <v>1.6517831368353319E-8</v>
      </c>
      <c r="E42" s="20">
        <v>0.66094499007010943</v>
      </c>
      <c r="F42" s="20">
        <v>0.13250346732311638</v>
      </c>
      <c r="G42" s="20">
        <v>3.3987779990707241E-2</v>
      </c>
      <c r="H42" s="20">
        <v>0</v>
      </c>
      <c r="I42" s="20">
        <v>0.49445374275628579</v>
      </c>
      <c r="J42" s="20">
        <v>5.7971444081934005E-2</v>
      </c>
      <c r="K42" s="20">
        <v>0.28108354933012514</v>
      </c>
      <c r="L42" s="20">
        <v>0</v>
      </c>
    </row>
    <row r="43" spans="1:12">
      <c r="A43" s="2" t="s">
        <v>373</v>
      </c>
      <c r="B43" s="3" t="s">
        <v>374</v>
      </c>
      <c r="D43" s="20">
        <v>4.0847693324316727E-8</v>
      </c>
      <c r="E43" s="20">
        <v>0.9465028442411253</v>
      </c>
      <c r="F43" s="20">
        <v>0.93736216470454914</v>
      </c>
      <c r="G43" s="20">
        <v>7.9146067532026099E-4</v>
      </c>
      <c r="H43" s="20">
        <v>0</v>
      </c>
      <c r="I43" s="20">
        <v>8.3492188612558482E-3</v>
      </c>
      <c r="J43" s="20">
        <v>5.3097591740327466E-2</v>
      </c>
      <c r="K43" s="20">
        <v>3.9952317085385075E-4</v>
      </c>
      <c r="L43" s="20">
        <v>0</v>
      </c>
    </row>
    <row r="44" spans="1:12">
      <c r="A44" s="2" t="s">
        <v>375</v>
      </c>
      <c r="B44" s="3" t="s">
        <v>376</v>
      </c>
      <c r="D44" s="20">
        <v>8.4324224623834682E-2</v>
      </c>
      <c r="E44" s="20">
        <v>0.77983942813612328</v>
      </c>
      <c r="F44" s="20">
        <v>1.9276428481851474E-2</v>
      </c>
      <c r="G44" s="20">
        <v>5.8792526924472026E-3</v>
      </c>
      <c r="H44" s="20">
        <v>0</v>
      </c>
      <c r="I44" s="20">
        <v>0.75468374696182461</v>
      </c>
      <c r="J44" s="20">
        <v>9.8177162629872073E-3</v>
      </c>
      <c r="K44" s="20">
        <v>0.12601863097705487</v>
      </c>
      <c r="L44" s="20">
        <v>0</v>
      </c>
    </row>
    <row r="45" spans="1:12">
      <c r="A45" s="2" t="s">
        <v>377</v>
      </c>
      <c r="B45" s="3" t="s">
        <v>378</v>
      </c>
      <c r="D45" s="20">
        <v>6.2388869821881378E-4</v>
      </c>
      <c r="E45" s="20">
        <v>0.64570952985783581</v>
      </c>
      <c r="F45" s="20">
        <v>0.14989299362985414</v>
      </c>
      <c r="G45" s="20">
        <v>3.7885837197932093E-2</v>
      </c>
      <c r="H45" s="20">
        <v>0</v>
      </c>
      <c r="I45" s="20">
        <v>0.45793069903004957</v>
      </c>
      <c r="J45" s="20">
        <v>6.4738656020543073E-2</v>
      </c>
      <c r="K45" s="20">
        <v>0.28892792542340223</v>
      </c>
      <c r="L45" s="20">
        <v>0</v>
      </c>
    </row>
    <row r="46" spans="1:12">
      <c r="A46" s="2" t="s">
        <v>379</v>
      </c>
      <c r="B46" s="3" t="s">
        <v>380</v>
      </c>
      <c r="D46" s="20">
        <v>1.8846912966634971E-3</v>
      </c>
      <c r="E46" s="20">
        <v>0.65400697118318973</v>
      </c>
      <c r="F46" s="20">
        <v>0.13864826518911758</v>
      </c>
      <c r="G46" s="20">
        <v>3.5367958742934733E-2</v>
      </c>
      <c r="H46" s="20">
        <v>0</v>
      </c>
      <c r="I46" s="20">
        <v>0.47999074725113738</v>
      </c>
      <c r="J46" s="20">
        <v>6.03669907033937E-2</v>
      </c>
      <c r="K46" s="20">
        <v>0.28374134681675306</v>
      </c>
      <c r="L46" s="20">
        <v>0</v>
      </c>
    </row>
    <row r="47" spans="1:12">
      <c r="A47" s="2" t="s">
        <v>381</v>
      </c>
      <c r="B47" s="3" t="s">
        <v>382</v>
      </c>
      <c r="D47" s="20">
        <v>1.9006122673312698E-8</v>
      </c>
      <c r="E47" s="20">
        <v>0.40644652362327371</v>
      </c>
      <c r="F47" s="20">
        <v>0.10948830764245081</v>
      </c>
      <c r="G47" s="20">
        <v>0.29666294132727417</v>
      </c>
      <c r="H47" s="20">
        <v>0</v>
      </c>
      <c r="I47" s="20">
        <v>2.9527465354871449E-4</v>
      </c>
      <c r="J47" s="20">
        <v>0.55655565494415193</v>
      </c>
      <c r="K47" s="20">
        <v>3.6997802426451669E-2</v>
      </c>
      <c r="L47" s="20">
        <v>0</v>
      </c>
    </row>
    <row r="48" spans="1:12">
      <c r="A48" s="2" t="s">
        <v>383</v>
      </c>
      <c r="B48" s="3" t="s">
        <v>384</v>
      </c>
      <c r="D48" s="20">
        <v>1.1731724583621005E-2</v>
      </c>
      <c r="E48" s="20">
        <v>0.90847399936910778</v>
      </c>
      <c r="F48" s="20">
        <v>6.263773912816367E-3</v>
      </c>
      <c r="G48" s="20">
        <v>2.1024788181486565E-3</v>
      </c>
      <c r="H48" s="20">
        <v>0</v>
      </c>
      <c r="I48" s="20">
        <v>0.90010774663814275</v>
      </c>
      <c r="J48" s="20">
        <v>3.4732395723196118E-3</v>
      </c>
      <c r="K48" s="20">
        <v>7.6321036474951739E-2</v>
      </c>
      <c r="L48" s="20">
        <v>0</v>
      </c>
    </row>
    <row r="49" spans="1:12">
      <c r="A49" s="2" t="s">
        <v>385</v>
      </c>
      <c r="B49" s="3" t="s">
        <v>386</v>
      </c>
      <c r="D49" s="20">
        <v>2.1851482398054681E-2</v>
      </c>
      <c r="E49" s="20">
        <v>0.87158054628235315</v>
      </c>
      <c r="F49" s="20">
        <v>1.1141793873096323E-2</v>
      </c>
      <c r="G49" s="20">
        <v>3.5715001687140545E-3</v>
      </c>
      <c r="H49" s="20">
        <v>0</v>
      </c>
      <c r="I49" s="20">
        <v>0.85686725224054272</v>
      </c>
      <c r="J49" s="20">
        <v>5.9296681809343924E-3</v>
      </c>
      <c r="K49" s="20">
        <v>0.10063830313865792</v>
      </c>
      <c r="L49" s="20">
        <v>0</v>
      </c>
    </row>
    <row r="50" spans="1:12">
      <c r="A50" s="2" t="s">
        <v>387</v>
      </c>
      <c r="B50" s="3" t="s">
        <v>388</v>
      </c>
      <c r="D50" s="20">
        <v>5.5042397585224785E-3</v>
      </c>
      <c r="E50" s="20">
        <v>0.62635283380600637</v>
      </c>
      <c r="F50" s="20">
        <v>0.46921464410912261</v>
      </c>
      <c r="G50" s="20">
        <v>9.4203516177936319E-2</v>
      </c>
      <c r="H50" s="20">
        <v>0</v>
      </c>
      <c r="I50" s="20">
        <v>6.2934673518947395E-2</v>
      </c>
      <c r="J50" s="20">
        <v>0.165664039930357</v>
      </c>
      <c r="K50" s="20">
        <v>0.20247888650511411</v>
      </c>
      <c r="L50" s="20">
        <v>0</v>
      </c>
    </row>
    <row r="51" spans="1:12">
      <c r="A51" s="2" t="s">
        <v>295</v>
      </c>
      <c r="B51" s="3" t="s">
        <v>296</v>
      </c>
      <c r="D51" s="20">
        <v>6.5511770036116634E-2</v>
      </c>
      <c r="E51" s="20">
        <v>0.90428529908141986</v>
      </c>
      <c r="F51" s="20">
        <v>1.0124965417072907E-3</v>
      </c>
      <c r="G51" s="20">
        <v>3.8876674094237259E-4</v>
      </c>
      <c r="H51" s="20">
        <v>0</v>
      </c>
      <c r="I51" s="20">
        <v>0.90288403579877019</v>
      </c>
      <c r="J51" s="20">
        <v>6.3630715229372843E-4</v>
      </c>
      <c r="K51" s="20">
        <v>2.9566623730169713E-2</v>
      </c>
      <c r="L51" s="20">
        <v>0</v>
      </c>
    </row>
    <row r="52" spans="1:12">
      <c r="A52" s="2" t="s">
        <v>389</v>
      </c>
      <c r="B52" s="3" t="s">
        <v>390</v>
      </c>
      <c r="D52" s="20">
        <v>6.7832877913709871E-2</v>
      </c>
      <c r="E52" s="20">
        <v>0.75365478389796592</v>
      </c>
      <c r="F52" s="20">
        <v>3.3091347934093428E-2</v>
      </c>
      <c r="G52" s="20">
        <v>9.6562836233004216E-3</v>
      </c>
      <c r="H52" s="20">
        <v>0</v>
      </c>
      <c r="I52" s="20">
        <v>0.71090715234057211</v>
      </c>
      <c r="J52" s="20">
        <v>1.6210796983227659E-2</v>
      </c>
      <c r="K52" s="20">
        <v>0.16230154120509657</v>
      </c>
      <c r="L52" s="20">
        <v>0</v>
      </c>
    </row>
    <row r="53" spans="1:12">
      <c r="A53" s="2" t="s">
        <v>391</v>
      </c>
      <c r="B53" s="3" t="s">
        <v>392</v>
      </c>
      <c r="D53" s="20">
        <v>1.7971752210636785E-3</v>
      </c>
      <c r="E53" s="20">
        <v>0.6082901678096585</v>
      </c>
      <c r="F53" s="20">
        <v>0.21147772848086227</v>
      </c>
      <c r="G53" s="20">
        <v>5.1045820891288098E-2</v>
      </c>
      <c r="H53" s="20">
        <v>0</v>
      </c>
      <c r="I53" s="20">
        <v>0.34576661843750811</v>
      </c>
      <c r="J53" s="20">
        <v>8.7727712617886408E-2</v>
      </c>
      <c r="K53" s="20">
        <v>0.30218494435139143</v>
      </c>
      <c r="L53" s="20">
        <v>0</v>
      </c>
    </row>
    <row r="54" spans="1:12">
      <c r="A54" s="2" t="s">
        <v>393</v>
      </c>
      <c r="B54" s="3" t="s">
        <v>394</v>
      </c>
      <c r="D54" s="20">
        <v>9.17675153993319E-5</v>
      </c>
      <c r="E54" s="20">
        <v>0.42317969256720983</v>
      </c>
      <c r="F54" s="20">
        <v>0.13695036316510906</v>
      </c>
      <c r="G54" s="20">
        <v>0.28579770934890802</v>
      </c>
      <c r="H54" s="20">
        <v>0</v>
      </c>
      <c r="I54" s="20">
        <v>4.3162005319274439E-4</v>
      </c>
      <c r="J54" s="20">
        <v>0.53395537618642364</v>
      </c>
      <c r="K54" s="20">
        <v>4.2773163730967192E-2</v>
      </c>
      <c r="L54" s="20">
        <v>0</v>
      </c>
    </row>
    <row r="55" spans="1:12">
      <c r="A55" s="2" t="s">
        <v>395</v>
      </c>
      <c r="B55" s="3" t="s">
        <v>396</v>
      </c>
      <c r="D55" s="20">
        <v>0.11638300265581332</v>
      </c>
      <c r="E55" s="20">
        <v>0.52680634457876108</v>
      </c>
      <c r="F55" s="20">
        <v>0.33524612956174321</v>
      </c>
      <c r="G55" s="20">
        <v>7.2320151619080217E-2</v>
      </c>
      <c r="H55" s="20">
        <v>0</v>
      </c>
      <c r="I55" s="20">
        <v>0.11924006339793761</v>
      </c>
      <c r="J55" s="20">
        <v>0.1260445803569015</v>
      </c>
      <c r="K55" s="20">
        <v>0.23076607240852404</v>
      </c>
      <c r="L55" s="20">
        <v>0</v>
      </c>
    </row>
    <row r="56" spans="1:12">
      <c r="A56" s="2" t="s">
        <v>397</v>
      </c>
      <c r="B56" s="3" t="s">
        <v>398</v>
      </c>
      <c r="D56" s="20">
        <v>0.55653229113804903</v>
      </c>
      <c r="E56" s="20">
        <v>0.29391836591729059</v>
      </c>
      <c r="F56" s="20">
        <v>0.23451173672382999</v>
      </c>
      <c r="G56" s="20">
        <v>4.4551275083777292E-2</v>
      </c>
      <c r="H56" s="20">
        <v>0</v>
      </c>
      <c r="I56" s="20">
        <v>1.4855354109683324E-2</v>
      </c>
      <c r="J56" s="20">
        <v>7.888948355557325E-2</v>
      </c>
      <c r="K56" s="20">
        <v>7.0659859389086976E-2</v>
      </c>
      <c r="L56" s="20">
        <v>0</v>
      </c>
    </row>
    <row r="57" spans="1:12">
      <c r="A57" s="2" t="s">
        <v>399</v>
      </c>
      <c r="B57" s="3" t="s">
        <v>400</v>
      </c>
      <c r="D57" s="20">
        <v>0.73607146120621603</v>
      </c>
      <c r="E57" s="20">
        <v>0.15973410642336611</v>
      </c>
      <c r="F57" s="20">
        <v>0.10884141885057895</v>
      </c>
      <c r="G57" s="20">
        <v>2.2923965699018146E-2</v>
      </c>
      <c r="H57" s="20">
        <v>0</v>
      </c>
      <c r="I57" s="20">
        <v>2.7968721873769021E-2</v>
      </c>
      <c r="J57" s="20">
        <v>4.0073123243553506E-2</v>
      </c>
      <c r="K57" s="20">
        <v>6.4121309126864409E-2</v>
      </c>
      <c r="L57" s="20">
        <v>0</v>
      </c>
    </row>
    <row r="58" spans="1:12">
      <c r="A58" s="2" t="s">
        <v>297</v>
      </c>
      <c r="B58" s="3" t="s">
        <v>298</v>
      </c>
      <c r="D58" s="20">
        <v>0.93113746468007541</v>
      </c>
      <c r="E58" s="20">
        <v>6.0433369264322467E-2</v>
      </c>
      <c r="F58" s="20">
        <v>9.8738838896873598E-4</v>
      </c>
      <c r="G58" s="20">
        <v>3.107302763413239E-4</v>
      </c>
      <c r="H58" s="20">
        <v>0</v>
      </c>
      <c r="I58" s="20">
        <v>5.9135250599012409E-2</v>
      </c>
      <c r="J58" s="20">
        <v>5.1698527154323091E-4</v>
      </c>
      <c r="K58" s="20">
        <v>7.9121807840588955E-3</v>
      </c>
      <c r="L58" s="20">
        <v>0</v>
      </c>
    </row>
    <row r="59" spans="1:12">
      <c r="A59" s="2" t="s">
        <v>401</v>
      </c>
      <c r="B59" s="3" t="s">
        <v>402</v>
      </c>
      <c r="D59" s="20">
        <v>0.89484827241117826</v>
      </c>
      <c r="E59" s="20">
        <v>6.3394514950090367E-2</v>
      </c>
      <c r="F59" s="20">
        <v>4.2581761081911897E-2</v>
      </c>
      <c r="G59" s="20">
        <v>9.0181857064884317E-3</v>
      </c>
      <c r="H59" s="20">
        <v>0</v>
      </c>
      <c r="I59" s="20">
        <v>1.1794568161690043E-2</v>
      </c>
      <c r="J59" s="20">
        <v>1.5753712755793195E-2</v>
      </c>
      <c r="K59" s="20">
        <v>2.6003499882938201E-2</v>
      </c>
      <c r="L59" s="20">
        <v>0</v>
      </c>
    </row>
    <row r="60" spans="1:12">
      <c r="A60" s="2" t="s">
        <v>299</v>
      </c>
      <c r="B60" s="3" t="s">
        <v>300</v>
      </c>
      <c r="D60" s="20">
        <v>0.99776660974026787</v>
      </c>
      <c r="E60" s="20">
        <v>1.3151342355571E-3</v>
      </c>
      <c r="F60" s="20">
        <v>7.0811400039013685E-4</v>
      </c>
      <c r="G60" s="20">
        <v>1.5936712443212001E-4</v>
      </c>
      <c r="H60" s="20">
        <v>0</v>
      </c>
      <c r="I60" s="20">
        <v>4.4765311073484323E-4</v>
      </c>
      <c r="J60" s="20">
        <v>2.7629100043142298E-4</v>
      </c>
      <c r="K60" s="20">
        <v>6.4196502374357458E-4</v>
      </c>
      <c r="L60" s="20">
        <v>0</v>
      </c>
    </row>
    <row r="61" spans="1:12">
      <c r="A61" s="2" t="s">
        <v>403</v>
      </c>
      <c r="B61" s="3" t="s">
        <v>404</v>
      </c>
      <c r="D61" s="20">
        <v>3.9839114527267024E-44</v>
      </c>
      <c r="E61" s="20">
        <v>0.59166603532002271</v>
      </c>
      <c r="F61" s="20">
        <v>0.27503242116737425</v>
      </c>
      <c r="G61" s="20">
        <v>6.3632567577955754E-2</v>
      </c>
      <c r="H61" s="20">
        <v>0</v>
      </c>
      <c r="I61" s="20">
        <v>0.25300104657469269</v>
      </c>
      <c r="J61" s="20">
        <v>0.10993859622406899</v>
      </c>
      <c r="K61" s="20">
        <v>0.29839536845590836</v>
      </c>
      <c r="L61" s="20">
        <v>0</v>
      </c>
    </row>
    <row r="62" spans="1:12">
      <c r="A62" s="2" t="s">
        <v>405</v>
      </c>
      <c r="B62" s="3" t="s">
        <v>406</v>
      </c>
      <c r="D62" s="20">
        <v>6.8643659791144955E-8</v>
      </c>
      <c r="E62" s="20">
        <v>0.55990333291796657</v>
      </c>
      <c r="F62" s="20">
        <v>0.35791066948346739</v>
      </c>
      <c r="G62" s="20">
        <v>0.19951254128608339</v>
      </c>
      <c r="H62" s="20">
        <v>0</v>
      </c>
      <c r="I62" s="20">
        <v>2.4801221484157952E-3</v>
      </c>
      <c r="J62" s="20">
        <v>0.36502376094115851</v>
      </c>
      <c r="K62" s="20">
        <v>7.5072837497215231E-2</v>
      </c>
      <c r="L62" s="20">
        <v>0</v>
      </c>
    </row>
    <row r="63" spans="1:12">
      <c r="A63" s="2" t="s">
        <v>407</v>
      </c>
      <c r="B63" s="3" t="s">
        <v>408</v>
      </c>
      <c r="D63" s="20">
        <v>1.0945763537314889E-5</v>
      </c>
      <c r="E63" s="20">
        <v>0.38423210623350379</v>
      </c>
      <c r="F63" s="20">
        <v>7.3184696592164325E-2</v>
      </c>
      <c r="G63" s="20">
        <v>0.31089649940392194</v>
      </c>
      <c r="H63" s="20">
        <v>0</v>
      </c>
      <c r="I63" s="20">
        <v>1.5091023741749978E-4</v>
      </c>
      <c r="J63" s="20">
        <v>0.58743465165968689</v>
      </c>
      <c r="K63" s="20">
        <v>2.8322296343271814E-2</v>
      </c>
      <c r="L63" s="20">
        <v>0</v>
      </c>
    </row>
    <row r="64" spans="1:12">
      <c r="A64" s="2" t="s">
        <v>409</v>
      </c>
      <c r="B64" s="3" t="s">
        <v>410</v>
      </c>
      <c r="D64" s="20">
        <v>1.2539330651875413E-6</v>
      </c>
      <c r="E64" s="20">
        <v>0.36135727643348603</v>
      </c>
      <c r="F64" s="20">
        <v>3.6487874830295836E-2</v>
      </c>
      <c r="G64" s="20">
        <v>0.32482101924915274</v>
      </c>
      <c r="H64" s="20">
        <v>0</v>
      </c>
      <c r="I64" s="20">
        <v>4.8382354037478965E-5</v>
      </c>
      <c r="J64" s="20">
        <v>0.62099098008547715</v>
      </c>
      <c r="K64" s="20">
        <v>1.7650489547971621E-2</v>
      </c>
      <c r="L64" s="20">
        <v>0</v>
      </c>
    </row>
    <row r="65" spans="1:12">
      <c r="A65" s="2" t="s">
        <v>301</v>
      </c>
      <c r="B65" s="3" t="s">
        <v>302</v>
      </c>
      <c r="D65" s="20">
        <v>1.4695278320655183E-7</v>
      </c>
      <c r="E65" s="20">
        <v>0.34761832412435228</v>
      </c>
      <c r="F65" s="20">
        <v>1.6056542407973724E-2</v>
      </c>
      <c r="G65" s="20">
        <v>0.33154889594397347</v>
      </c>
      <c r="H65" s="20">
        <v>0</v>
      </c>
      <c r="I65" s="20">
        <v>1.2885772405109504E-5</v>
      </c>
      <c r="J65" s="20">
        <v>0.64237092642726179</v>
      </c>
      <c r="K65" s="20">
        <v>1.0010602495602743E-2</v>
      </c>
      <c r="L65" s="20">
        <v>0</v>
      </c>
    </row>
    <row r="66" spans="1:12">
      <c r="A66" s="2" t="s">
        <v>303</v>
      </c>
      <c r="B66" s="3" t="s">
        <v>304</v>
      </c>
      <c r="D66" s="20">
        <v>1.4564383952803279E-13</v>
      </c>
      <c r="E66" s="20">
        <v>0.35430735632282295</v>
      </c>
      <c r="F66" s="20">
        <v>2.5684217228020379E-2</v>
      </c>
      <c r="G66" s="20">
        <v>0.32859571042413249</v>
      </c>
      <c r="H66" s="20">
        <v>0</v>
      </c>
      <c r="I66" s="20">
        <v>2.742867067008122E-5</v>
      </c>
      <c r="J66" s="20">
        <v>0.63183228336468256</v>
      </c>
      <c r="K66" s="20">
        <v>1.3860360312348864E-2</v>
      </c>
      <c r="L66" s="20">
        <v>0</v>
      </c>
    </row>
    <row r="67" spans="1:12">
      <c r="A67" s="2" t="s">
        <v>411</v>
      </c>
      <c r="B67" s="3" t="s">
        <v>412</v>
      </c>
      <c r="D67" s="20">
        <v>4.5992424195766598E-3</v>
      </c>
      <c r="E67" s="20">
        <v>0.8342429254768442</v>
      </c>
      <c r="F67" s="20">
        <v>2.5012696651921545E-2</v>
      </c>
      <c r="G67" s="20">
        <v>7.5171994184418433E-3</v>
      </c>
      <c r="H67" s="20">
        <v>0</v>
      </c>
      <c r="I67" s="20">
        <v>0.80171302940648081</v>
      </c>
      <c r="J67" s="20">
        <v>1.2574976064669736E-2</v>
      </c>
      <c r="K67" s="20">
        <v>0.14858285603890944</v>
      </c>
      <c r="L67" s="20">
        <v>0</v>
      </c>
    </row>
    <row r="68" spans="1:12">
      <c r="A68" s="2" t="s">
        <v>413</v>
      </c>
      <c r="B68" s="3" t="s">
        <v>414</v>
      </c>
      <c r="D68" s="20">
        <v>9.7852746727397077E-3</v>
      </c>
      <c r="E68" s="20">
        <v>0.78076350808013206</v>
      </c>
      <c r="F68" s="20">
        <v>4.3335841654387565E-2</v>
      </c>
      <c r="G68" s="20">
        <v>1.241488757476027E-2</v>
      </c>
      <c r="H68" s="20">
        <v>0</v>
      </c>
      <c r="I68" s="20">
        <v>0.72501277885098425</v>
      </c>
      <c r="J68" s="20">
        <v>2.0888676386345357E-2</v>
      </c>
      <c r="K68" s="20">
        <v>0.18856254086078281</v>
      </c>
      <c r="L68" s="20">
        <v>0</v>
      </c>
    </row>
    <row r="69" spans="1:12">
      <c r="A69" s="2" t="s">
        <v>415</v>
      </c>
      <c r="B69" s="3" t="s">
        <v>416</v>
      </c>
      <c r="D69" s="20">
        <v>6.3574188781816187E-4</v>
      </c>
      <c r="E69" s="20">
        <v>0.4517364923773815</v>
      </c>
      <c r="F69" s="20">
        <v>0.18393104661341186</v>
      </c>
      <c r="G69" s="20">
        <v>0.26708567621731222</v>
      </c>
      <c r="H69" s="20">
        <v>0</v>
      </c>
      <c r="I69" s="20">
        <v>7.1976954665744738E-4</v>
      </c>
      <c r="J69" s="20">
        <v>0.49613298324928684</v>
      </c>
      <c r="K69" s="20">
        <v>5.1494782485513563E-2</v>
      </c>
      <c r="L69" s="20">
        <v>0</v>
      </c>
    </row>
    <row r="70" spans="1:12">
      <c r="A70" s="2" t="s">
        <v>417</v>
      </c>
      <c r="B70" s="3" t="s">
        <v>418</v>
      </c>
      <c r="D70" s="20">
        <v>2.6123387700182094E-3</v>
      </c>
      <c r="E70" s="20">
        <v>0.68382786034731435</v>
      </c>
      <c r="F70" s="20">
        <v>0.56040720567274893</v>
      </c>
      <c r="G70" s="20">
        <v>0.10242341834086814</v>
      </c>
      <c r="H70" s="20">
        <v>0</v>
      </c>
      <c r="I70" s="20">
        <v>2.0997236333697319E-2</v>
      </c>
      <c r="J70" s="20">
        <v>0.1822455390452889</v>
      </c>
      <c r="K70" s="20">
        <v>0.13131426183737865</v>
      </c>
      <c r="L70" s="20">
        <v>0</v>
      </c>
    </row>
    <row r="71" spans="1:12">
      <c r="A71" s="2" t="s">
        <v>419</v>
      </c>
      <c r="B71" s="3" t="s">
        <v>420</v>
      </c>
      <c r="D71" s="20">
        <v>2.4065588441445917E-2</v>
      </c>
      <c r="E71" s="20">
        <v>0.77744137932024349</v>
      </c>
      <c r="F71" s="20">
        <v>3.9307072540017821E-2</v>
      </c>
      <c r="G71" s="20">
        <v>1.1344000986016067E-2</v>
      </c>
      <c r="H71" s="20">
        <v>0</v>
      </c>
      <c r="I71" s="20">
        <v>0.72679030579420956</v>
      </c>
      <c r="J71" s="20">
        <v>1.9069713205211017E-2</v>
      </c>
      <c r="K71" s="20">
        <v>0.17942331903309969</v>
      </c>
      <c r="L71" s="20">
        <v>0</v>
      </c>
    </row>
    <row r="72" spans="1:12">
      <c r="A72" s="2" t="s">
        <v>421</v>
      </c>
      <c r="B72" s="3" t="s">
        <v>422</v>
      </c>
      <c r="D72" s="20">
        <v>1.0985451932902084E-2</v>
      </c>
      <c r="E72" s="20">
        <v>0.67068284775033116</v>
      </c>
      <c r="F72" s="20">
        <v>0.54537112853717029</v>
      </c>
      <c r="G72" s="20">
        <v>0.10096891709561248</v>
      </c>
      <c r="H72" s="20">
        <v>0</v>
      </c>
      <c r="I72" s="20">
        <v>2.4342802117548339E-2</v>
      </c>
      <c r="J72" s="20">
        <v>0.17936833308979699</v>
      </c>
      <c r="K72" s="20">
        <v>0.13896336722696973</v>
      </c>
      <c r="L72" s="20">
        <v>0</v>
      </c>
    </row>
    <row r="73" spans="1:12">
      <c r="A73" s="2" t="s">
        <v>423</v>
      </c>
      <c r="B73" s="3" t="s">
        <v>424</v>
      </c>
      <c r="D73" s="20">
        <v>1.1557688599264681E-2</v>
      </c>
      <c r="E73" s="20">
        <v>0.58316718020105951</v>
      </c>
      <c r="F73" s="20">
        <v>0.28572300163200726</v>
      </c>
      <c r="G73" s="20">
        <v>6.5499918450461492E-2</v>
      </c>
      <c r="H73" s="20">
        <v>0</v>
      </c>
      <c r="I73" s="20">
        <v>0.23194426011859076</v>
      </c>
      <c r="J73" s="20">
        <v>0.11329493918742096</v>
      </c>
      <c r="K73" s="20">
        <v>0.29198019201225495</v>
      </c>
      <c r="L73" s="20">
        <v>0</v>
      </c>
    </row>
    <row r="74" spans="1:12">
      <c r="A74" s="2" t="s">
        <v>425</v>
      </c>
      <c r="B74" s="3" t="s">
        <v>426</v>
      </c>
      <c r="D74" s="20">
        <v>4.0340421307376783E-3</v>
      </c>
      <c r="E74" s="20">
        <v>0.68073912645836687</v>
      </c>
      <c r="F74" s="20">
        <v>0.5566915695600394</v>
      </c>
      <c r="G74" s="20">
        <v>0.10211985743847302</v>
      </c>
      <c r="H74" s="20">
        <v>0</v>
      </c>
      <c r="I74" s="20">
        <v>2.192769945985441E-2</v>
      </c>
      <c r="J74" s="20">
        <v>0.18162179479319993</v>
      </c>
      <c r="K74" s="20">
        <v>0.13360503661769546</v>
      </c>
      <c r="L74" s="20">
        <v>0</v>
      </c>
    </row>
    <row r="75" spans="1:12">
      <c r="A75" s="2" t="s">
        <v>427</v>
      </c>
      <c r="B75" s="3" t="s">
        <v>428</v>
      </c>
      <c r="D75" s="20">
        <v>4.6379696451310848E-10</v>
      </c>
      <c r="E75" s="20">
        <v>0.84207437421354636</v>
      </c>
      <c r="F75" s="20">
        <v>0.83811214514490517</v>
      </c>
      <c r="G75" s="20">
        <v>3.2340917995216095E-4</v>
      </c>
      <c r="H75" s="20">
        <v>0</v>
      </c>
      <c r="I75" s="20">
        <v>3.6388198886890136E-3</v>
      </c>
      <c r="J75" s="20">
        <v>0.15785521035668867</v>
      </c>
      <c r="K75" s="20">
        <v>7.041496596786053E-5</v>
      </c>
      <c r="L75" s="20">
        <v>0</v>
      </c>
    </row>
    <row r="76" spans="1:12">
      <c r="A76" s="2" t="s">
        <v>429</v>
      </c>
      <c r="B76" s="3" t="s">
        <v>430</v>
      </c>
      <c r="D76" s="20">
        <v>1.1650053026625611E-11</v>
      </c>
      <c r="E76" s="20">
        <v>0.84207437459428769</v>
      </c>
      <c r="F76" s="20">
        <v>0.83811214552385505</v>
      </c>
      <c r="G76" s="20">
        <v>3.2340918009838941E-4</v>
      </c>
      <c r="H76" s="20">
        <v>0</v>
      </c>
      <c r="I76" s="20">
        <v>3.6388198903342943E-3</v>
      </c>
      <c r="J76" s="20">
        <v>0.15785521042806241</v>
      </c>
      <c r="K76" s="20">
        <v>7.0414965999698439E-5</v>
      </c>
      <c r="L76" s="20">
        <v>0</v>
      </c>
    </row>
    <row r="77" spans="1:12">
      <c r="A77" s="2" t="s">
        <v>431</v>
      </c>
      <c r="B77" s="3" t="s">
        <v>432</v>
      </c>
      <c r="D77" s="20">
        <v>2.0096815561027225E-2</v>
      </c>
      <c r="E77" s="20">
        <v>0.60153522990705099</v>
      </c>
      <c r="F77" s="20">
        <v>0.42756432517059523</v>
      </c>
      <c r="G77" s="20">
        <v>8.8409109679081679E-2</v>
      </c>
      <c r="H77" s="20">
        <v>0</v>
      </c>
      <c r="I77" s="20">
        <v>8.5561795057374129E-2</v>
      </c>
      <c r="J77" s="20">
        <v>0.15490288466907337</v>
      </c>
      <c r="K77" s="20">
        <v>0.22346506986284831</v>
      </c>
      <c r="L77" s="20">
        <v>0</v>
      </c>
    </row>
    <row r="78" spans="1:12">
      <c r="A78" s="2" t="s">
        <v>433</v>
      </c>
      <c r="B78" s="3" t="s">
        <v>434</v>
      </c>
      <c r="D78" s="20">
        <v>3.157095654611463E-2</v>
      </c>
      <c r="E78" s="20">
        <v>0.64766916110908934</v>
      </c>
      <c r="F78" s="20">
        <v>0.12032668591719439</v>
      </c>
      <c r="G78" s="20">
        <v>3.1092633717291998E-2</v>
      </c>
      <c r="H78" s="20">
        <v>0</v>
      </c>
      <c r="I78" s="20">
        <v>0.49624984147460299</v>
      </c>
      <c r="J78" s="20">
        <v>5.2984812483844339E-2</v>
      </c>
      <c r="K78" s="20">
        <v>0.26777506986095179</v>
      </c>
      <c r="L78" s="20">
        <v>0</v>
      </c>
    </row>
    <row r="79" spans="1:12">
      <c r="A79" s="2" t="s">
        <v>435</v>
      </c>
      <c r="B79" s="3" t="s">
        <v>436</v>
      </c>
      <c r="D79" s="20">
        <v>7.103340304758142E-3</v>
      </c>
      <c r="E79" s="20">
        <v>0.60288224981874339</v>
      </c>
      <c r="F79" s="20">
        <v>0.21564373043728685</v>
      </c>
      <c r="G79" s="20">
        <v>5.1859985557442374E-2</v>
      </c>
      <c r="H79" s="20">
        <v>0</v>
      </c>
      <c r="I79" s="20">
        <v>0.33537853382401417</v>
      </c>
      <c r="J79" s="20">
        <v>8.9167869217962367E-2</v>
      </c>
      <c r="K79" s="20">
        <v>0.30084654065853611</v>
      </c>
      <c r="L79" s="20">
        <v>0</v>
      </c>
    </row>
    <row r="80" spans="1:12">
      <c r="A80" s="2" t="s">
        <v>437</v>
      </c>
      <c r="B80" s="3" t="s">
        <v>438</v>
      </c>
      <c r="D80" s="20">
        <v>1.4454851466673894E-10</v>
      </c>
      <c r="E80" s="20">
        <v>0.73296627311281881</v>
      </c>
      <c r="F80" s="20">
        <v>0.73027740818317621</v>
      </c>
      <c r="G80" s="20">
        <v>5.4130005923749131E-4</v>
      </c>
      <c r="H80" s="20">
        <v>0</v>
      </c>
      <c r="I80" s="20">
        <v>2.1475648704050955E-3</v>
      </c>
      <c r="J80" s="20">
        <v>0.26695902156458245</v>
      </c>
      <c r="K80" s="20">
        <v>7.4705178050049758E-5</v>
      </c>
      <c r="L80" s="20">
        <v>0</v>
      </c>
    </row>
    <row r="81" spans="1:12">
      <c r="A81" s="2" t="s">
        <v>440</v>
      </c>
      <c r="B81" s="3" t="s">
        <v>441</v>
      </c>
      <c r="D81" s="20">
        <v>1.8478747069384674E-13</v>
      </c>
      <c r="E81" s="20">
        <v>0.97044876959792903</v>
      </c>
      <c r="F81" s="20">
        <v>9.1231903430295824E-4</v>
      </c>
      <c r="G81" s="20">
        <v>3.5484794239868203E-4</v>
      </c>
      <c r="H81" s="20">
        <v>0</v>
      </c>
      <c r="I81" s="20">
        <v>0.96918160262122743</v>
      </c>
      <c r="J81" s="20">
        <v>5.8080170363519952E-4</v>
      </c>
      <c r="K81" s="20">
        <v>2.8970428698251078E-2</v>
      </c>
      <c r="L81" s="20">
        <v>0</v>
      </c>
    </row>
    <row r="82" spans="1:12">
      <c r="A82" s="2" t="s">
        <v>442</v>
      </c>
      <c r="B82" s="3" t="s">
        <v>443</v>
      </c>
      <c r="D82" s="20">
        <v>8.0379205448083497E-5</v>
      </c>
      <c r="E82" s="20">
        <v>0.76745634163265253</v>
      </c>
      <c r="F82" s="20">
        <v>5.3631250547384463E-2</v>
      </c>
      <c r="G82" s="20">
        <v>1.5083894254249689E-2</v>
      </c>
      <c r="H82" s="20">
        <v>0</v>
      </c>
      <c r="I82" s="20">
        <v>0.69874119683101843</v>
      </c>
      <c r="J82" s="20">
        <v>2.5436698272487505E-2</v>
      </c>
      <c r="K82" s="20">
        <v>0.20702658088941173</v>
      </c>
      <c r="L82" s="20">
        <v>0</v>
      </c>
    </row>
    <row r="83" spans="1:12">
      <c r="A83" s="2" t="s">
        <v>444</v>
      </c>
      <c r="B83" s="3" t="s">
        <v>445</v>
      </c>
      <c r="D83" s="20">
        <v>4.2997426023619881E-4</v>
      </c>
      <c r="E83" s="20">
        <v>0.60416530884618436</v>
      </c>
      <c r="F83" s="20">
        <v>0.40974784001047782</v>
      </c>
      <c r="G83" s="20">
        <v>8.6459402167232136E-2</v>
      </c>
      <c r="H83" s="20">
        <v>0</v>
      </c>
      <c r="I83" s="20">
        <v>0.10795806666847436</v>
      </c>
      <c r="J83" s="20">
        <v>0.15110393396856045</v>
      </c>
      <c r="K83" s="20">
        <v>0.24430078292501892</v>
      </c>
      <c r="L83" s="20">
        <v>0</v>
      </c>
    </row>
    <row r="84" spans="1:12">
      <c r="A84" s="2" t="s">
        <v>446</v>
      </c>
      <c r="B84" s="3" t="s">
        <v>447</v>
      </c>
      <c r="D84" s="20">
        <v>5.6563351746322125E-15</v>
      </c>
      <c r="E84" s="20">
        <v>0.93569433879014519</v>
      </c>
      <c r="F84" s="20">
        <v>4.0757670239241249E-3</v>
      </c>
      <c r="G84" s="20">
        <v>1.4154838107251623E-3</v>
      </c>
      <c r="H84" s="20">
        <v>0</v>
      </c>
      <c r="I84" s="20">
        <v>0.93020308795549589</v>
      </c>
      <c r="J84" s="20">
        <v>2.3305182647693798E-3</v>
      </c>
      <c r="K84" s="20">
        <v>6.1975142945079643E-2</v>
      </c>
      <c r="L84" s="20">
        <v>0</v>
      </c>
    </row>
    <row r="85" spans="1:12">
      <c r="A85" s="2" t="s">
        <v>448</v>
      </c>
      <c r="B85" s="3" t="s">
        <v>449</v>
      </c>
      <c r="D85" s="20">
        <v>3.9876240375611258E-8</v>
      </c>
      <c r="E85" s="20">
        <v>0.9877865083856654</v>
      </c>
      <c r="F85" s="20">
        <v>1.6764415656046831E-4</v>
      </c>
      <c r="G85" s="20">
        <v>7.3974829957494583E-5</v>
      </c>
      <c r="H85" s="20">
        <v>0</v>
      </c>
      <c r="I85" s="20">
        <v>0.98754488939914742</v>
      </c>
      <c r="J85" s="20">
        <v>1.2427836030260797E-4</v>
      </c>
      <c r="K85" s="20">
        <v>1.2089173377791336E-2</v>
      </c>
      <c r="L85" s="20">
        <v>0</v>
      </c>
    </row>
    <row r="86" spans="1:12">
      <c r="A86" s="2" t="s">
        <v>450</v>
      </c>
      <c r="B86" s="3" t="s">
        <v>451</v>
      </c>
      <c r="D86" s="20">
        <v>1.4232093463449042E-8</v>
      </c>
      <c r="E86" s="20">
        <v>0.93727192914339974</v>
      </c>
      <c r="F86" s="20">
        <v>3.8845704488439507E-3</v>
      </c>
      <c r="G86" s="20">
        <v>1.3540620219851113E-3</v>
      </c>
      <c r="H86" s="20">
        <v>0</v>
      </c>
      <c r="I86" s="20">
        <v>0.93203329667257073</v>
      </c>
      <c r="J86" s="20">
        <v>2.2286398560296119E-3</v>
      </c>
      <c r="K86" s="20">
        <v>6.0499416768477164E-2</v>
      </c>
      <c r="L86" s="20">
        <v>0</v>
      </c>
    </row>
    <row r="87" spans="1:12">
      <c r="A87" s="2" t="s">
        <v>452</v>
      </c>
      <c r="B87" s="3" t="s">
        <v>453</v>
      </c>
      <c r="D87" s="20">
        <v>2.1270753947704738E-8</v>
      </c>
      <c r="E87" s="20">
        <v>0.39692416284083137</v>
      </c>
      <c r="F87" s="20">
        <v>9.3898163612294028E-2</v>
      </c>
      <c r="G87" s="20">
        <v>0.30279775724945451</v>
      </c>
      <c r="H87" s="20">
        <v>0</v>
      </c>
      <c r="I87" s="20">
        <v>2.2824197908284704E-4</v>
      </c>
      <c r="J87" s="20">
        <v>0.56963589166174367</v>
      </c>
      <c r="K87" s="20">
        <v>3.3439924226670949E-2</v>
      </c>
      <c r="L87" s="20">
        <v>0</v>
      </c>
    </row>
    <row r="88" spans="1:12">
      <c r="A88" s="2" t="s">
        <v>454</v>
      </c>
      <c r="B88" s="3" t="s">
        <v>455</v>
      </c>
      <c r="D88" s="20">
        <v>3.8150965999518121E-5</v>
      </c>
      <c r="E88" s="20">
        <v>0.69782569160908081</v>
      </c>
      <c r="F88" s="20">
        <v>9.803468412596604E-2</v>
      </c>
      <c r="G88" s="20">
        <v>2.5994131355867485E-2</v>
      </c>
      <c r="H88" s="20">
        <v>0</v>
      </c>
      <c r="I88" s="20">
        <v>0.57379687612724728</v>
      </c>
      <c r="J88" s="20">
        <v>4.4155027977536704E-2</v>
      </c>
      <c r="K88" s="20">
        <v>0.25798112944738311</v>
      </c>
      <c r="L88" s="20">
        <v>0</v>
      </c>
    </row>
    <row r="89" spans="1:12">
      <c r="A89" s="2" t="s">
        <v>456</v>
      </c>
      <c r="B89" s="3" t="s">
        <v>457</v>
      </c>
      <c r="D89" s="20">
        <v>2.6425642272961506E-17</v>
      </c>
      <c r="E89" s="20">
        <v>0.75460114860729555</v>
      </c>
      <c r="F89" s="20">
        <v>6.040873848933706E-2</v>
      </c>
      <c r="G89" s="20">
        <v>1.6803328657180025E-2</v>
      </c>
      <c r="H89" s="20">
        <v>0</v>
      </c>
      <c r="I89" s="20">
        <v>0.67738908146077847</v>
      </c>
      <c r="J89" s="20">
        <v>2.8374757121193091E-2</v>
      </c>
      <c r="K89" s="20">
        <v>0.21702409427151134</v>
      </c>
      <c r="L89" s="20">
        <v>0</v>
      </c>
    </row>
    <row r="90" spans="1:12">
      <c r="A90" s="2" t="s">
        <v>458</v>
      </c>
      <c r="B90" s="3" t="s">
        <v>459</v>
      </c>
      <c r="D90" s="20">
        <v>4.1701962845329672E-29</v>
      </c>
      <c r="E90" s="20">
        <v>0.87617618313410373</v>
      </c>
      <c r="F90" s="20">
        <v>1.4670020201691617E-2</v>
      </c>
      <c r="G90" s="20">
        <v>4.6081463912638013E-3</v>
      </c>
      <c r="H90" s="20">
        <v>0</v>
      </c>
      <c r="I90" s="20">
        <v>0.85689801654114828</v>
      </c>
      <c r="J90" s="20">
        <v>7.6685524380659112E-3</v>
      </c>
      <c r="K90" s="20">
        <v>0.11615526442783035</v>
      </c>
      <c r="L90" s="20">
        <v>0</v>
      </c>
    </row>
    <row r="91" spans="1:12">
      <c r="A91" s="2" t="s">
        <v>460</v>
      </c>
      <c r="B91" s="3" t="s">
        <v>461</v>
      </c>
      <c r="D91" s="20">
        <v>3.0993914465225321E-8</v>
      </c>
      <c r="E91" s="20">
        <v>0.54093966140054661</v>
      </c>
      <c r="F91" s="20">
        <v>0.32768053577899248</v>
      </c>
      <c r="G91" s="20">
        <v>0.21117679794838293</v>
      </c>
      <c r="H91" s="20">
        <v>0</v>
      </c>
      <c r="I91" s="20">
        <v>2.0823276731712055E-3</v>
      </c>
      <c r="J91" s="20">
        <v>0.38725462237152386</v>
      </c>
      <c r="K91" s="20">
        <v>7.1805685234015135E-2</v>
      </c>
      <c r="L91" s="20">
        <v>0</v>
      </c>
    </row>
    <row r="92" spans="1:12">
      <c r="A92" s="2" t="s">
        <v>462</v>
      </c>
      <c r="B92" s="3" t="s">
        <v>463</v>
      </c>
      <c r="D92" s="20">
        <v>3.8325447174449297E-9</v>
      </c>
      <c r="E92" s="20">
        <v>0.59265030681035191</v>
      </c>
      <c r="F92" s="20">
        <v>0.36087886294309296</v>
      </c>
      <c r="G92" s="20">
        <v>7.8860041464421077E-2</v>
      </c>
      <c r="H92" s="20">
        <v>0</v>
      </c>
      <c r="I92" s="20">
        <v>0.15291140240283782</v>
      </c>
      <c r="J92" s="20">
        <v>0.1372216716211907</v>
      </c>
      <c r="K92" s="20">
        <v>0.27012801773591272</v>
      </c>
      <c r="L92" s="20">
        <v>0</v>
      </c>
    </row>
    <row r="93" spans="1:12">
      <c r="A93" s="2" t="s">
        <v>464</v>
      </c>
      <c r="B93" s="3" t="s">
        <v>465</v>
      </c>
      <c r="D93" s="20">
        <v>1.6207758324757722E-4</v>
      </c>
      <c r="E93" s="20">
        <v>0.66488182360646031</v>
      </c>
      <c r="F93" s="20">
        <v>0.53210478840558106</v>
      </c>
      <c r="G93" s="20">
        <v>0.10071466732288671</v>
      </c>
      <c r="H93" s="20">
        <v>0</v>
      </c>
      <c r="I93" s="20">
        <v>3.2062367877992555E-2</v>
      </c>
      <c r="J93" s="20">
        <v>0.17842329907391005</v>
      </c>
      <c r="K93" s="20">
        <v>0.15653279973638196</v>
      </c>
      <c r="L93" s="20">
        <v>0</v>
      </c>
    </row>
    <row r="94" spans="1:12">
      <c r="A94" s="2" t="s">
        <v>466</v>
      </c>
      <c r="B94" s="3" t="s">
        <v>467</v>
      </c>
      <c r="D94" s="20">
        <v>1.8269615118597024E-18</v>
      </c>
      <c r="E94" s="20">
        <v>0.99580520200299572</v>
      </c>
      <c r="F94" s="20">
        <v>0.10463468762974766</v>
      </c>
      <c r="G94" s="20">
        <v>1.3750363420170702E-5</v>
      </c>
      <c r="H94" s="20">
        <v>0</v>
      </c>
      <c r="I94" s="20">
        <v>0.89115676400982791</v>
      </c>
      <c r="J94" s="20">
        <v>4.0359335163961327E-3</v>
      </c>
      <c r="K94" s="20">
        <v>1.5886448060814705E-4</v>
      </c>
      <c r="L94" s="20">
        <v>0</v>
      </c>
    </row>
    <row r="95" spans="1:12">
      <c r="A95" s="2" t="s">
        <v>468</v>
      </c>
      <c r="B95" s="3" t="s">
        <v>469</v>
      </c>
      <c r="D95" s="20">
        <v>1.5426322539357409E-18</v>
      </c>
      <c r="E95" s="20">
        <v>0.67319632348776104</v>
      </c>
      <c r="F95" s="20">
        <v>0.53485569252307907</v>
      </c>
      <c r="G95" s="20">
        <v>0.13232203696142378</v>
      </c>
      <c r="H95" s="20">
        <v>0</v>
      </c>
      <c r="I95" s="20">
        <v>6.0185940032582213E-3</v>
      </c>
      <c r="J95" s="20">
        <v>0.23899350845686299</v>
      </c>
      <c r="K95" s="20">
        <v>8.7810168055375837E-2</v>
      </c>
      <c r="L95" s="20">
        <v>0</v>
      </c>
    </row>
    <row r="96" spans="1:12">
      <c r="A96" s="2" t="s">
        <v>470</v>
      </c>
      <c r="B96" s="165">
        <v>354656</v>
      </c>
      <c r="D96" s="20">
        <v>3.6837582796931669E-10</v>
      </c>
      <c r="E96" s="20">
        <v>0.96929160204957687</v>
      </c>
      <c r="F96" s="20">
        <v>9.8212177459268738E-4</v>
      </c>
      <c r="G96" s="20">
        <v>3.7989265363711568E-4</v>
      </c>
      <c r="H96" s="20">
        <v>0</v>
      </c>
      <c r="I96" s="20">
        <v>0.96792958762134707</v>
      </c>
      <c r="J96" s="20">
        <v>6.2176892504921374E-4</v>
      </c>
      <c r="K96" s="20">
        <v>3.0086628656998037E-2</v>
      </c>
      <c r="L96" s="20">
        <v>0</v>
      </c>
    </row>
    <row r="97" spans="1:12">
      <c r="A97" s="2" t="s">
        <v>472</v>
      </c>
      <c r="B97" s="3" t="s">
        <v>473</v>
      </c>
      <c r="D97" s="20">
        <v>5.6514404760644208E-10</v>
      </c>
      <c r="E97" s="20">
        <v>0.93489172542258414</v>
      </c>
      <c r="F97" s="20">
        <v>4.1747778697742649E-3</v>
      </c>
      <c r="G97" s="20">
        <v>1.4472012467944377E-3</v>
      </c>
      <c r="H97" s="20">
        <v>0</v>
      </c>
      <c r="I97" s="20">
        <v>0.92926974630601544</v>
      </c>
      <c r="J97" s="20">
        <v>2.3831456760983359E-3</v>
      </c>
      <c r="K97" s="20">
        <v>6.2725128336173538E-2</v>
      </c>
      <c r="L97" s="20">
        <v>0</v>
      </c>
    </row>
    <row r="98" spans="1:12">
      <c r="A98" s="2" t="s">
        <v>474</v>
      </c>
      <c r="B98" s="3" t="s">
        <v>475</v>
      </c>
      <c r="D98" s="20">
        <v>3.8178150376743165E-20</v>
      </c>
      <c r="E98" s="20">
        <v>0.70104756654635769</v>
      </c>
      <c r="F98" s="20">
        <v>0.58249083852020345</v>
      </c>
      <c r="G98" s="20">
        <v>0.10355823847800005</v>
      </c>
      <c r="H98" s="20">
        <v>0</v>
      </c>
      <c r="I98" s="20">
        <v>1.4998489548154149E-2</v>
      </c>
      <c r="J98" s="20">
        <v>0.18490190943257095</v>
      </c>
      <c r="K98" s="20">
        <v>0.11405052402107144</v>
      </c>
      <c r="L98" s="20">
        <v>0</v>
      </c>
    </row>
    <row r="99" spans="1:12">
      <c r="A99" s="2" t="s">
        <v>476</v>
      </c>
      <c r="B99" s="3" t="s">
        <v>477</v>
      </c>
      <c r="D99" s="20">
        <v>1.7406600633102123E-7</v>
      </c>
      <c r="E99" s="20">
        <v>0.99156128968222745</v>
      </c>
      <c r="F99" s="20">
        <v>8.2525503009909387E-5</v>
      </c>
      <c r="G99" s="20">
        <v>3.8378123449155796E-5</v>
      </c>
      <c r="H99" s="20">
        <v>0</v>
      </c>
      <c r="I99" s="20">
        <v>0.99144038605576834</v>
      </c>
      <c r="J99" s="20">
        <v>6.7169554982377444E-5</v>
      </c>
      <c r="K99" s="20">
        <v>8.3713666967840088E-3</v>
      </c>
      <c r="L99" s="20">
        <v>0</v>
      </c>
    </row>
    <row r="100" spans="1:12">
      <c r="A100" s="2" t="s">
        <v>478</v>
      </c>
      <c r="B100" s="3" t="s">
        <v>479</v>
      </c>
      <c r="D100" s="20">
        <v>4.69676760896485E-11</v>
      </c>
      <c r="E100" s="20">
        <v>0.61798031557579824</v>
      </c>
      <c r="F100" s="20">
        <v>0.19358570622333759</v>
      </c>
      <c r="G100" s="20">
        <v>4.7333524379205842E-2</v>
      </c>
      <c r="H100" s="20">
        <v>0</v>
      </c>
      <c r="I100" s="20">
        <v>0.37706108497325486</v>
      </c>
      <c r="J100" s="20">
        <v>8.121716241904145E-2</v>
      </c>
      <c r="K100" s="20">
        <v>0.30080252195819246</v>
      </c>
      <c r="L100" s="20">
        <v>0</v>
      </c>
    </row>
    <row r="101" spans="1:12">
      <c r="A101" s="2" t="s">
        <v>480</v>
      </c>
      <c r="B101" s="3" t="s">
        <v>481</v>
      </c>
      <c r="D101" s="20">
        <v>4.6828081884509908E-11</v>
      </c>
      <c r="E101" s="20">
        <v>0.98582479738394813</v>
      </c>
      <c r="F101" s="20">
        <v>2.2303888431194412E-4</v>
      </c>
      <c r="G101" s="20">
        <v>9.6355417910784302E-5</v>
      </c>
      <c r="H101" s="20">
        <v>0</v>
      </c>
      <c r="I101" s="20">
        <v>0.98550540308172541</v>
      </c>
      <c r="J101" s="20">
        <v>1.6034237123936025E-4</v>
      </c>
      <c r="K101" s="20">
        <v>1.4014860197984485E-2</v>
      </c>
      <c r="L101" s="20">
        <v>0</v>
      </c>
    </row>
    <row r="102" spans="1:12">
      <c r="A102" s="2" t="s">
        <v>482</v>
      </c>
      <c r="B102" s="3" t="s">
        <v>483</v>
      </c>
      <c r="D102" s="20">
        <v>2.9438766701668556E-27</v>
      </c>
      <c r="E102" s="20">
        <v>0.99642091899888929</v>
      </c>
      <c r="F102" s="20">
        <v>1.5921860948395166E-5</v>
      </c>
      <c r="G102" s="20">
        <v>8.3615998857606068E-6</v>
      </c>
      <c r="H102" s="20">
        <v>0</v>
      </c>
      <c r="I102" s="20">
        <v>0.99639663553805513</v>
      </c>
      <c r="J102" s="20">
        <v>1.9474324680036481E-5</v>
      </c>
      <c r="K102" s="20">
        <v>3.5596066764306145E-3</v>
      </c>
      <c r="L102" s="20">
        <v>0</v>
      </c>
    </row>
    <row r="103" spans="1:12">
      <c r="A103" s="2" t="s">
        <v>484</v>
      </c>
      <c r="B103" s="3" t="s">
        <v>485</v>
      </c>
      <c r="D103" s="20">
        <v>2.3479303660091388E-13</v>
      </c>
      <c r="E103" s="20">
        <v>0.9918309923470825</v>
      </c>
      <c r="F103" s="20">
        <v>7.7546004767166228E-5</v>
      </c>
      <c r="G103" s="20">
        <v>3.6228886229537556E-5</v>
      </c>
      <c r="H103" s="20">
        <v>0</v>
      </c>
      <c r="I103" s="20">
        <v>0.99171721745608576</v>
      </c>
      <c r="J103" s="20">
        <v>6.3735283385784144E-5</v>
      </c>
      <c r="K103" s="20">
        <v>8.1052723692967878E-3</v>
      </c>
      <c r="L103" s="20">
        <v>0</v>
      </c>
    </row>
    <row r="104" spans="1:12">
      <c r="A104" s="2" t="s">
        <v>486</v>
      </c>
      <c r="B104" s="3" t="s">
        <v>487</v>
      </c>
      <c r="D104" s="20">
        <v>2.8858654237961133E-9</v>
      </c>
      <c r="E104" s="20">
        <v>0.95327538335653716</v>
      </c>
      <c r="F104" s="20">
        <v>2.2006465217394079E-3</v>
      </c>
      <c r="G104" s="20">
        <v>8.0102458400651058E-4</v>
      </c>
      <c r="H104" s="20">
        <v>0</v>
      </c>
      <c r="I104" s="20">
        <v>0.95027371225079127</v>
      </c>
      <c r="J104" s="20">
        <v>1.3138845745303818E-3</v>
      </c>
      <c r="K104" s="20">
        <v>4.5410729183066982E-2</v>
      </c>
      <c r="L104" s="20">
        <v>0</v>
      </c>
    </row>
    <row r="105" spans="1:12">
      <c r="A105" s="2" t="s">
        <v>488</v>
      </c>
      <c r="B105" s="3" t="s">
        <v>489</v>
      </c>
      <c r="D105" s="20">
        <v>2.3412285312061268E-16</v>
      </c>
      <c r="E105" s="20">
        <v>0.99570648969464082</v>
      </c>
      <c r="F105" s="20">
        <v>2.2579692481435585E-5</v>
      </c>
      <c r="G105" s="20">
        <v>1.1556160852186455E-5</v>
      </c>
      <c r="H105" s="20">
        <v>0</v>
      </c>
      <c r="I105" s="20">
        <v>0.99567235384130715</v>
      </c>
      <c r="J105" s="20">
        <v>2.4509774731184698E-5</v>
      </c>
      <c r="K105" s="20">
        <v>4.2690005306277095E-3</v>
      </c>
      <c r="L105" s="20">
        <v>0</v>
      </c>
    </row>
    <row r="106" spans="1:12">
      <c r="A106" s="2" t="s">
        <v>490</v>
      </c>
      <c r="B106" s="3" t="s">
        <v>491</v>
      </c>
      <c r="D106" s="20">
        <v>1.2577387461058784E-8</v>
      </c>
      <c r="E106" s="20">
        <v>0.84498314258369744</v>
      </c>
      <c r="F106" s="20">
        <v>2.3007246998425657E-2</v>
      </c>
      <c r="G106" s="20">
        <v>6.9656269274246604E-3</v>
      </c>
      <c r="H106" s="20">
        <v>0</v>
      </c>
      <c r="I106" s="20">
        <v>0.81501026865784709</v>
      </c>
      <c r="J106" s="20">
        <v>1.1642039625687163E-2</v>
      </c>
      <c r="K106" s="20">
        <v>0.14337480521322798</v>
      </c>
      <c r="L106" s="20">
        <v>0</v>
      </c>
    </row>
    <row r="107" spans="1:12">
      <c r="A107" s="2" t="s">
        <v>492</v>
      </c>
      <c r="B107" s="3" t="s">
        <v>493</v>
      </c>
      <c r="D107" s="20">
        <v>1.7916438686504508E-16</v>
      </c>
      <c r="E107" s="20">
        <v>0.71362187622912099</v>
      </c>
      <c r="F107" s="20">
        <v>0.59858510053556624</v>
      </c>
      <c r="G107" s="20">
        <v>0.10390141399793411</v>
      </c>
      <c r="H107" s="20">
        <v>0</v>
      </c>
      <c r="I107" s="20">
        <v>1.1135361695620686E-2</v>
      </c>
      <c r="J107" s="20">
        <v>0.18607046624932547</v>
      </c>
      <c r="K107" s="20">
        <v>0.10030765752155334</v>
      </c>
      <c r="L107" s="20">
        <v>0</v>
      </c>
    </row>
    <row r="108" spans="1:12">
      <c r="A108" s="2" t="s">
        <v>291</v>
      </c>
      <c r="B108" s="3" t="s">
        <v>494</v>
      </c>
      <c r="D108" s="20">
        <v>2.741883300953361E-10</v>
      </c>
      <c r="E108" s="20">
        <v>0.63918327012559817</v>
      </c>
      <c r="F108" s="20">
        <v>0.15919271201009164</v>
      </c>
      <c r="G108" s="20">
        <v>3.9940981859677399E-2</v>
      </c>
      <c r="H108" s="20">
        <v>0</v>
      </c>
      <c r="I108" s="20">
        <v>0.44004957625582919</v>
      </c>
      <c r="J108" s="20">
        <v>6.8313027341787347E-2</v>
      </c>
      <c r="K108" s="20">
        <v>0.29250370225842598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3.5675038747236877E-9</v>
      </c>
      <c r="E2" s="14">
        <v>3.0386249119135473E-5</v>
      </c>
      <c r="F2" s="14">
        <v>1.4502359556472725E-6</v>
      </c>
      <c r="G2" s="14">
        <v>4.2241003185030296E-7</v>
      </c>
      <c r="H2" s="14">
        <v>0</v>
      </c>
      <c r="I2" s="9">
        <v>7.0929300464176474E-7</v>
      </c>
      <c r="J2" s="14">
        <v>7.0282443848504702E-6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6.4602830166104608E-8</v>
      </c>
      <c r="E3" s="14">
        <v>1.1791910787771521E-8</v>
      </c>
      <c r="F3" s="14">
        <v>4.3724591342577278E-6</v>
      </c>
      <c r="G3" s="14">
        <v>1.1847352612648063E-5</v>
      </c>
      <c r="H3" s="14">
        <v>0</v>
      </c>
      <c r="I3" s="14">
        <v>2.2226271549746976E-5</v>
      </c>
      <c r="J3" s="14">
        <v>1.4775219623933554E-6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1.6012313831561641E-16</v>
      </c>
      <c r="E4" s="14">
        <v>1.2831774945589524E-5</v>
      </c>
      <c r="F4" s="14">
        <v>9.1186030049021076E-6</v>
      </c>
      <c r="G4" s="14">
        <v>2.1768267401749314E-6</v>
      </c>
      <c r="H4" s="14">
        <v>0</v>
      </c>
      <c r="I4" s="14">
        <v>3.7462667409028309E-6</v>
      </c>
      <c r="J4" s="14">
        <v>1.2126528568270487E-5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3.5539783694897794E-9</v>
      </c>
      <c r="E5" s="14">
        <v>2.0477994442663387E-7</v>
      </c>
      <c r="F5" s="14">
        <v>2.0016539371380295E-5</v>
      </c>
      <c r="G5" s="14">
        <v>5.8087749448837534E-6</v>
      </c>
      <c r="H5" s="14">
        <v>0</v>
      </c>
      <c r="I5" s="14">
        <v>1.0518114177528553E-5</v>
      </c>
      <c r="J5" s="14">
        <v>3.4482375834112755E-6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1.9330332988803013E-10</v>
      </c>
      <c r="E6" s="14">
        <v>4.8429721981176638E-9</v>
      </c>
      <c r="F6" s="14">
        <v>2.5610234213362317E-6</v>
      </c>
      <c r="G6" s="14">
        <v>1.2577928036221416E-5</v>
      </c>
      <c r="H6" s="14">
        <v>0</v>
      </c>
      <c r="I6" s="14">
        <v>2.3820579901059791E-5</v>
      </c>
      <c r="J6" s="14">
        <v>1.0354323658545631E-6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3.0589236100882853E-10</v>
      </c>
      <c r="E7" s="14">
        <v>1.0388223197119762E-8</v>
      </c>
      <c r="F7" s="14">
        <v>4.0573534894383765E-6</v>
      </c>
      <c r="G7" s="14">
        <v>1.199329184195535E-5</v>
      </c>
      <c r="H7" s="14">
        <v>0</v>
      </c>
      <c r="I7" s="14">
        <v>2.2531152033185644E-5</v>
      </c>
      <c r="J7" s="14">
        <v>1.407508519862508E-6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3.2517277635714634E-9</v>
      </c>
      <c r="E8" s="14">
        <v>2.6045147400759669E-8</v>
      </c>
      <c r="F8" s="14">
        <v>6.9500574408515573E-6</v>
      </c>
      <c r="G8" s="14">
        <v>1.0851354444302986E-5</v>
      </c>
      <c r="H8" s="14">
        <v>0</v>
      </c>
      <c r="I8" s="14">
        <v>2.018046619677019E-5</v>
      </c>
      <c r="J8" s="14">
        <v>1.9888250429109462E-6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3.367434624601316E-9</v>
      </c>
      <c r="E9" s="14">
        <v>1.9713866609297662E-6</v>
      </c>
      <c r="F9" s="14">
        <v>1.9841449133837775E-5</v>
      </c>
      <c r="G9" s="14">
        <v>3.8964485257613194E-6</v>
      </c>
      <c r="H9" s="14">
        <v>0</v>
      </c>
      <c r="I9" s="14">
        <v>6.8711458447206548E-6</v>
      </c>
      <c r="J9" s="14">
        <v>7.4162024001258789E-6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4.4844245594604513E-11</v>
      </c>
      <c r="E10" s="14">
        <v>1.8703348361093981E-7</v>
      </c>
      <c r="F10" s="14">
        <v>1.9256658882137774E-5</v>
      </c>
      <c r="G10" s="14">
        <v>6.0964426490875398E-6</v>
      </c>
      <c r="H10" s="14">
        <v>0</v>
      </c>
      <c r="I10" s="14">
        <v>1.1054255538000554E-5</v>
      </c>
      <c r="J10" s="14">
        <v>3.4055646029175978E-6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2.2638934010400791E-9</v>
      </c>
      <c r="E11" s="14">
        <v>1.6012849214737092E-7</v>
      </c>
      <c r="F11" s="14">
        <v>1.7977536883918495E-5</v>
      </c>
      <c r="G11" s="14">
        <v>6.5799977305488406E-6</v>
      </c>
      <c r="H11" s="14">
        <v>0</v>
      </c>
      <c r="I11" s="14">
        <v>1.1958541508282208E-5</v>
      </c>
      <c r="J11" s="14">
        <v>3.3215314917020462E-6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1.7474108064733824E-9</v>
      </c>
      <c r="E12" s="14">
        <v>1.2548957768241696E-6</v>
      </c>
      <c r="F12" s="14">
        <v>2.135350800114323E-5</v>
      </c>
      <c r="G12" s="14">
        <v>4.0342683905310985E-6</v>
      </c>
      <c r="H12" s="14">
        <v>0</v>
      </c>
      <c r="I12" s="14">
        <v>7.1486422680676831E-6</v>
      </c>
      <c r="J12" s="14">
        <v>6.2069381526273568E-6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5.2364535391994832E-9</v>
      </c>
      <c r="E13" s="14">
        <v>1.8896870860154294E-6</v>
      </c>
      <c r="F13" s="14">
        <v>1.9994542411802026E-5</v>
      </c>
      <c r="G13" s="14">
        <v>3.9120736723030375E-6</v>
      </c>
      <c r="H13" s="14">
        <v>0</v>
      </c>
      <c r="I13" s="14">
        <v>6.9018752194680983E-6</v>
      </c>
      <c r="J13" s="14">
        <v>7.2965851568722081E-6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1.3606618704143987E-9</v>
      </c>
      <c r="E14" s="14">
        <v>9.5830301685993679E-8</v>
      </c>
      <c r="F14" s="14">
        <v>1.4070982719737121E-5</v>
      </c>
      <c r="G14" s="14">
        <v>8.0745808057686573E-6</v>
      </c>
      <c r="H14" s="14">
        <v>0</v>
      </c>
      <c r="I14" s="14">
        <v>1.4779876830553122E-5</v>
      </c>
      <c r="J14" s="14">
        <v>2.977368680384694E-6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2.5036196439336771E-12</v>
      </c>
      <c r="E15" s="14">
        <v>1.7317332315070391E-7</v>
      </c>
      <c r="F15" s="14">
        <v>1.861840895342717E-5</v>
      </c>
      <c r="G15" s="14">
        <v>6.3377940247717589E-6</v>
      </c>
      <c r="H15" s="14">
        <v>0</v>
      </c>
      <c r="I15" s="14">
        <v>1.150511223380003E-5</v>
      </c>
      <c r="J15" s="14">
        <v>3.3655089612306937E-6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8.5013648041093671E-9</v>
      </c>
      <c r="E16" s="14">
        <v>2.7115729525882618E-8</v>
      </c>
      <c r="F16" s="14">
        <v>7.1115270710662812E-6</v>
      </c>
      <c r="G16" s="14">
        <v>1.0785950502653716E-5</v>
      </c>
      <c r="H16" s="14">
        <v>0</v>
      </c>
      <c r="I16" s="14">
        <v>2.0049602707598077E-5</v>
      </c>
      <c r="J16" s="14">
        <v>2.0173026243519332E-6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9.0743407321408055E-10</v>
      </c>
      <c r="E17" s="14">
        <v>1.9873196334339976E-7</v>
      </c>
      <c r="F17" s="14">
        <v>1.976465770677766E-5</v>
      </c>
      <c r="G17" s="14">
        <v>5.9045234642948348E-6</v>
      </c>
      <c r="H17" s="14">
        <v>0</v>
      </c>
      <c r="I17" s="14">
        <v>1.0696410836626885E-5</v>
      </c>
      <c r="J17" s="14">
        <v>3.4347685948840054E-6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1.0171102004685503E-7</v>
      </c>
      <c r="E18" s="14">
        <v>2.3734530781698365E-6</v>
      </c>
      <c r="F18" s="14">
        <v>1.9074019606142133E-5</v>
      </c>
      <c r="G18" s="14">
        <v>3.8083581151492197E-6</v>
      </c>
      <c r="H18" s="14">
        <v>0</v>
      </c>
      <c r="I18" s="14">
        <v>6.7019113641335503E-6</v>
      </c>
      <c r="J18" s="14">
        <v>7.9405468163584068E-6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8.7473138482200342E-12</v>
      </c>
      <c r="E19" s="14">
        <v>1.7050116452952054E-7</v>
      </c>
      <c r="F19" s="14">
        <v>1.8490511447672686E-5</v>
      </c>
      <c r="G19" s="14">
        <v>6.3862288778596228E-6</v>
      </c>
      <c r="H19" s="14">
        <v>0</v>
      </c>
      <c r="I19" s="14">
        <v>1.1595705172414612E-5</v>
      </c>
      <c r="J19" s="14">
        <v>3.357044590209716E-6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7.9265737755726735E-10</v>
      </c>
      <c r="E20" s="14">
        <v>1.8898970481073362E-6</v>
      </c>
      <c r="F20" s="14">
        <v>1.9996763994402965E-5</v>
      </c>
      <c r="G20" s="14">
        <v>3.9125083406552787E-6</v>
      </c>
      <c r="H20" s="14">
        <v>0</v>
      </c>
      <c r="I20" s="14">
        <v>6.9026420830244429E-6</v>
      </c>
      <c r="J20" s="14">
        <v>7.2973958764324218E-6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1.1748723644722229E-8</v>
      </c>
      <c r="E21" s="14">
        <v>1.1175921148103618E-7</v>
      </c>
      <c r="F21" s="14">
        <v>1.5179759932986354E-5</v>
      </c>
      <c r="G21" s="14">
        <v>7.6447002028556222E-6</v>
      </c>
      <c r="H21" s="14">
        <v>0</v>
      </c>
      <c r="I21" s="14">
        <v>1.3964061810045797E-5</v>
      </c>
      <c r="J21" s="14">
        <v>3.0879701189864759E-6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7.4579804359361735E-8</v>
      </c>
      <c r="E22" s="14">
        <v>2.1346854027293714E-5</v>
      </c>
      <c r="F22" s="14">
        <v>4.5676777273713084E-6</v>
      </c>
      <c r="G22" s="14">
        <v>1.1912173493714666E-6</v>
      </c>
      <c r="H22" s="14">
        <v>0</v>
      </c>
      <c r="I22" s="14">
        <v>2.0276287499873061E-6</v>
      </c>
      <c r="J22" s="14">
        <v>1.0792042341616842E-5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3.2578912373293291E-9</v>
      </c>
      <c r="E23" s="14">
        <v>2.7668729791597711E-5</v>
      </c>
      <c r="F23" s="14">
        <v>2.232599362800242E-6</v>
      </c>
      <c r="G23" s="14">
        <v>6.256138458869583E-7</v>
      </c>
      <c r="H23" s="14">
        <v>0</v>
      </c>
      <c r="I23" s="14">
        <v>1.0554799224538137E-6</v>
      </c>
      <c r="J23" s="14">
        <v>8.4143191860239498E-6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2.4999264718506866E-9</v>
      </c>
      <c r="E24" s="14">
        <v>6.0092445173361658E-6</v>
      </c>
      <c r="F24" s="14">
        <v>1.4541240260821907E-5</v>
      </c>
      <c r="G24" s="14">
        <v>3.1717358103044225E-6</v>
      </c>
      <c r="H24" s="14">
        <v>0</v>
      </c>
      <c r="I24" s="14">
        <v>5.5202987658613274E-6</v>
      </c>
      <c r="J24" s="14">
        <v>1.0754980719204332E-5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4.3445958978947825E-7</v>
      </c>
      <c r="E25" s="14">
        <v>6.8005185309360159E-7</v>
      </c>
      <c r="F25" s="14">
        <v>2.2731264880544446E-5</v>
      </c>
      <c r="G25" s="14">
        <v>4.0861956588822721E-6</v>
      </c>
      <c r="H25" s="14">
        <v>0</v>
      </c>
      <c r="I25" s="14">
        <v>7.2857833826066491E-6</v>
      </c>
      <c r="J25" s="14">
        <v>4.782244635083553E-6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9.6222110379916341E-9</v>
      </c>
      <c r="E26" s="14">
        <v>1.235741176993938E-7</v>
      </c>
      <c r="F26" s="14">
        <v>1.5934890837589768E-5</v>
      </c>
      <c r="G26" s="14">
        <v>7.3560495852641542E-6</v>
      </c>
      <c r="H26" s="14">
        <v>0</v>
      </c>
      <c r="I26" s="14">
        <v>1.3418262047228915E-5</v>
      </c>
      <c r="J26" s="14">
        <v>3.1576012011797854E-6</v>
      </c>
      <c r="K26" s="14">
        <v>0</v>
      </c>
    </row>
    <row r="27" spans="1:13">
      <c r="A27" s="2" t="s">
        <v>353</v>
      </c>
      <c r="B27" s="3" t="s">
        <v>354</v>
      </c>
      <c r="D27" s="14">
        <v>4.5324301309641307E-8</v>
      </c>
      <c r="E27" s="14">
        <v>1.3120904018732421E-8</v>
      </c>
      <c r="F27" s="14">
        <v>4.6591354124501973E-6</v>
      </c>
      <c r="G27" s="14">
        <v>1.1740886461073979E-5</v>
      </c>
      <c r="H27" s="14">
        <v>0</v>
      </c>
      <c r="I27" s="14">
        <v>2.2001203826069302E-5</v>
      </c>
      <c r="J27" s="14">
        <v>1.5403290950781543E-6</v>
      </c>
      <c r="K27" s="14">
        <v>0</v>
      </c>
    </row>
    <row r="28" spans="1:13">
      <c r="A28" s="2" t="s">
        <v>355</v>
      </c>
      <c r="B28" s="3" t="s">
        <v>356</v>
      </c>
      <c r="D28" s="14">
        <v>3.1226713000224604E-9</v>
      </c>
      <c r="E28" s="14">
        <v>5.8973772799621148E-8</v>
      </c>
      <c r="F28" s="14">
        <v>1.0939575920667025E-5</v>
      </c>
      <c r="G28" s="14">
        <v>9.2874404472884495E-6</v>
      </c>
      <c r="H28" s="14">
        <v>0</v>
      </c>
      <c r="I28" s="14">
        <v>1.7105881520080587E-5</v>
      </c>
      <c r="J28" s="14">
        <v>2.6050056678642908E-6</v>
      </c>
      <c r="K28" s="14">
        <v>0</v>
      </c>
    </row>
    <row r="29" spans="1:13">
      <c r="A29" s="2" t="s">
        <v>357</v>
      </c>
      <c r="B29" s="3" t="s">
        <v>358</v>
      </c>
      <c r="D29" s="14">
        <v>7.0526207082211472E-7</v>
      </c>
      <c r="E29" s="14">
        <v>9.9147819752114939E-8</v>
      </c>
      <c r="F29" s="14">
        <v>1.4184849845003349E-5</v>
      </c>
      <c r="G29" s="14">
        <v>7.7932803273746671E-6</v>
      </c>
      <c r="H29" s="14">
        <v>0</v>
      </c>
      <c r="I29" s="14">
        <v>1.4255133401758447E-5</v>
      </c>
      <c r="J29" s="14">
        <v>2.9623265352893094E-6</v>
      </c>
      <c r="K29" s="14">
        <v>0</v>
      </c>
    </row>
    <row r="30" spans="1:13">
      <c r="A30" s="2" t="s">
        <v>359</v>
      </c>
      <c r="B30" s="3" t="s">
        <v>360</v>
      </c>
      <c r="D30" s="14">
        <v>3.1226713000224604E-9</v>
      </c>
      <c r="E30" s="14">
        <v>5.8973772799621148E-8</v>
      </c>
      <c r="F30" s="14">
        <v>1.0939575920667025E-5</v>
      </c>
      <c r="G30" s="14">
        <v>9.2874404472884495E-6</v>
      </c>
      <c r="H30" s="14">
        <v>0</v>
      </c>
      <c r="I30" s="14">
        <v>1.7105881520080587E-5</v>
      </c>
      <c r="J30" s="14">
        <v>2.6050056678642908E-6</v>
      </c>
      <c r="K30" s="14">
        <v>0</v>
      </c>
    </row>
    <row r="31" spans="1:13">
      <c r="A31" s="2" t="s">
        <v>283</v>
      </c>
      <c r="B31" s="3" t="s">
        <v>284</v>
      </c>
      <c r="D31" s="14">
        <v>1.0483129547002465E-12</v>
      </c>
      <c r="E31" s="14">
        <v>3.9016076422797568E-5</v>
      </c>
      <c r="F31" s="14">
        <v>2.4008507765789347E-8</v>
      </c>
      <c r="G31" s="14">
        <v>9.6351997587252152E-9</v>
      </c>
      <c r="H31" s="14">
        <v>0</v>
      </c>
      <c r="I31" s="14">
        <v>1.5791629028542328E-8</v>
      </c>
      <c r="J31" s="14">
        <v>9.3448719233641431E-7</v>
      </c>
      <c r="K31" s="14">
        <v>0</v>
      </c>
    </row>
    <row r="32" spans="1:13">
      <c r="A32" s="2" t="s">
        <v>361</v>
      </c>
      <c r="B32" s="3" t="s">
        <v>362</v>
      </c>
      <c r="D32" s="14">
        <v>7.8852650381693575E-13</v>
      </c>
      <c r="E32" s="14">
        <v>1.6050741685753819E-5</v>
      </c>
      <c r="F32" s="14">
        <v>7.2155360408586569E-6</v>
      </c>
      <c r="G32" s="14">
        <v>1.7790463447543856E-6</v>
      </c>
      <c r="H32" s="14">
        <v>0</v>
      </c>
      <c r="I32" s="14">
        <v>3.0614430963260366E-6</v>
      </c>
      <c r="J32" s="14">
        <v>1.1893232043780598E-5</v>
      </c>
      <c r="K32" s="14">
        <v>0</v>
      </c>
    </row>
    <row r="33" spans="1:11">
      <c r="A33" s="2" t="s">
        <v>364</v>
      </c>
      <c r="B33" s="3" t="s">
        <v>365</v>
      </c>
      <c r="D33" s="14">
        <v>4.8276811444402363E-15</v>
      </c>
      <c r="E33" s="14">
        <v>3.9821294332932752E-5</v>
      </c>
      <c r="F33" s="14">
        <v>1.6805713145479007E-7</v>
      </c>
      <c r="G33" s="14">
        <v>5.1390668722392766E-11</v>
      </c>
      <c r="H33" s="14">
        <v>0</v>
      </c>
      <c r="I33" s="14">
        <v>8.3126099369813603E-9</v>
      </c>
      <c r="J33" s="14">
        <v>2.284530179077379E-9</v>
      </c>
      <c r="K33" s="14">
        <v>0</v>
      </c>
    </row>
    <row r="34" spans="1:11">
      <c r="A34" s="2" t="s">
        <v>285</v>
      </c>
      <c r="B34" s="3" t="s">
        <v>286</v>
      </c>
      <c r="D34" s="14">
        <v>1.4139757163340431E-14</v>
      </c>
      <c r="E34" s="14">
        <v>2.1573883285854189E-5</v>
      </c>
      <c r="F34" s="14">
        <v>1.7812705971577243E-5</v>
      </c>
      <c r="G34" s="14">
        <v>1.4628655291769905E-9</v>
      </c>
      <c r="H34" s="14">
        <v>0</v>
      </c>
      <c r="I34" s="14">
        <v>6.0427924609524025E-7</v>
      </c>
      <c r="J34" s="14">
        <v>7.6686168043919198E-9</v>
      </c>
      <c r="K34" s="14">
        <v>0</v>
      </c>
    </row>
    <row r="35" spans="1:11">
      <c r="A35" s="2" t="s">
        <v>287</v>
      </c>
      <c r="B35" s="3" t="s">
        <v>288</v>
      </c>
      <c r="D35" s="14">
        <v>4.093073193811707E-16</v>
      </c>
      <c r="E35" s="14">
        <v>1.2692474646991615E-5</v>
      </c>
      <c r="F35" s="14">
        <v>2.6434303923327726E-5</v>
      </c>
      <c r="G35" s="14">
        <v>5.1191187192894722E-9</v>
      </c>
      <c r="H35" s="14">
        <v>0</v>
      </c>
      <c r="I35" s="14">
        <v>8.4965607151849469E-7</v>
      </c>
      <c r="J35" s="14">
        <v>1.8446239033574899E-8</v>
      </c>
      <c r="K35" s="14">
        <v>0</v>
      </c>
    </row>
    <row r="36" spans="1:11">
      <c r="A36" s="2" t="s">
        <v>366</v>
      </c>
      <c r="B36" s="3" t="s">
        <v>305</v>
      </c>
      <c r="D36" s="14">
        <v>7.1830675176931695E-13</v>
      </c>
      <c r="E36" s="14">
        <v>4.2145343946746017E-6</v>
      </c>
      <c r="F36" s="14">
        <v>3.4727312630460793E-5</v>
      </c>
      <c r="G36" s="14">
        <v>9.9428974523990104E-9</v>
      </c>
      <c r="H36" s="14">
        <v>0</v>
      </c>
      <c r="I36" s="14">
        <v>1.0276870799501073E-6</v>
      </c>
      <c r="J36" s="14">
        <v>2.0522279155354144E-8</v>
      </c>
      <c r="K36" s="14">
        <v>0</v>
      </c>
    </row>
    <row r="37" spans="1:11">
      <c r="A37" s="2" t="s">
        <v>289</v>
      </c>
      <c r="B37" s="3" t="s">
        <v>290</v>
      </c>
      <c r="D37" s="14">
        <v>1.5829957438976169E-19</v>
      </c>
      <c r="E37" s="14">
        <v>7.8584807592786717E-6</v>
      </c>
      <c r="F37" s="14">
        <v>2.6320865655818219E-5</v>
      </c>
      <c r="G37" s="14">
        <v>8.98606735435977E-7</v>
      </c>
      <c r="H37" s="14">
        <v>0</v>
      </c>
      <c r="I37" s="14">
        <v>2.2509951133198783E-6</v>
      </c>
      <c r="J37" s="14">
        <v>2.6710517361470987E-6</v>
      </c>
      <c r="K37" s="14">
        <v>0</v>
      </c>
    </row>
    <row r="38" spans="1:11">
      <c r="A38" s="2" t="s">
        <v>291</v>
      </c>
      <c r="B38" s="3" t="s">
        <v>292</v>
      </c>
      <c r="D38" s="14">
        <v>4.7671303334818357E-17</v>
      </c>
      <c r="E38" s="14">
        <v>2.4196962928256219E-5</v>
      </c>
      <c r="F38" s="14">
        <v>1.5174082237450833E-5</v>
      </c>
      <c r="G38" s="14">
        <v>1.2677087301517079E-8</v>
      </c>
      <c r="H38" s="14">
        <v>0</v>
      </c>
      <c r="I38" s="14">
        <v>5.419874470190223E-7</v>
      </c>
      <c r="J38" s="14">
        <v>7.4290299924745664E-8</v>
      </c>
      <c r="K38" s="14">
        <v>0</v>
      </c>
    </row>
    <row r="39" spans="1:11">
      <c r="A39" s="2" t="s">
        <v>367</v>
      </c>
      <c r="B39" s="3" t="s">
        <v>368</v>
      </c>
      <c r="D39" s="14">
        <v>4.7139343353082638E-10</v>
      </c>
      <c r="E39" s="14">
        <v>3.3578103939207399E-7</v>
      </c>
      <c r="F39" s="14">
        <v>2.4241402548237281E-5</v>
      </c>
      <c r="G39" s="14">
        <v>4.2340238379471256E-6</v>
      </c>
      <c r="H39" s="14">
        <v>0</v>
      </c>
      <c r="I39" s="14">
        <v>7.6051634245569224E-6</v>
      </c>
      <c r="J39" s="14">
        <v>3.583157756433073E-6</v>
      </c>
      <c r="K39" s="14">
        <v>0</v>
      </c>
    </row>
    <row r="40" spans="1:11">
      <c r="A40" s="2" t="s">
        <v>369</v>
      </c>
      <c r="B40" s="3" t="s">
        <v>370</v>
      </c>
      <c r="D40" s="14">
        <v>1.2730839443735202E-17</v>
      </c>
      <c r="E40" s="14">
        <v>1.387985911047757E-8</v>
      </c>
      <c r="F40" s="14">
        <v>1.2663875494815476E-5</v>
      </c>
      <c r="G40" s="14">
        <v>9.1619308378463564E-7</v>
      </c>
      <c r="H40" s="14">
        <v>0</v>
      </c>
      <c r="I40" s="14">
        <v>2.6366213368513858E-5</v>
      </c>
      <c r="J40" s="14">
        <v>3.9838193762821178E-8</v>
      </c>
      <c r="K40" s="14">
        <v>0</v>
      </c>
    </row>
    <row r="41" spans="1:11">
      <c r="A41" s="2" t="s">
        <v>371</v>
      </c>
      <c r="B41" s="3" t="s">
        <v>372</v>
      </c>
      <c r="D41" s="14">
        <v>3.2721831438139391E-6</v>
      </c>
      <c r="E41" s="14">
        <v>3.6541825861671552E-5</v>
      </c>
      <c r="F41" s="14">
        <v>1.1186953116490154E-9</v>
      </c>
      <c r="G41" s="14">
        <v>5.6002494667527307E-10</v>
      </c>
      <c r="H41" s="14">
        <v>0</v>
      </c>
      <c r="I41" s="14">
        <v>1.114579736282939E-9</v>
      </c>
      <c r="J41" s="14">
        <v>1.8319769451990623E-7</v>
      </c>
      <c r="K41" s="14">
        <v>0</v>
      </c>
    </row>
    <row r="42" spans="1:11">
      <c r="A42" s="2" t="s">
        <v>293</v>
      </c>
      <c r="B42" s="3" t="s">
        <v>294</v>
      </c>
      <c r="D42" s="14">
        <v>6.6071325473413274E-13</v>
      </c>
      <c r="E42" s="14">
        <v>1.9778149710251435E-5</v>
      </c>
      <c r="F42" s="14">
        <v>5.3001386929246564E-6</v>
      </c>
      <c r="G42" s="14">
        <v>1.3595111996282898E-6</v>
      </c>
      <c r="H42" s="14">
        <v>0</v>
      </c>
      <c r="I42" s="14">
        <v>2.3188577632773602E-6</v>
      </c>
      <c r="J42" s="14">
        <v>1.1243341973205007E-5</v>
      </c>
      <c r="K42" s="14">
        <v>0</v>
      </c>
    </row>
    <row r="43" spans="1:11">
      <c r="A43" s="2" t="s">
        <v>373</v>
      </c>
      <c r="B43" s="3" t="s">
        <v>374</v>
      </c>
      <c r="D43" s="14">
        <v>1.6339077329726694E-12</v>
      </c>
      <c r="E43" s="14">
        <v>3.3396875445023401E-7</v>
      </c>
      <c r="F43" s="14">
        <v>3.7494486588181969E-5</v>
      </c>
      <c r="G43" s="14">
        <v>3.1658427012810445E-8</v>
      </c>
      <c r="H43" s="14">
        <v>0</v>
      </c>
      <c r="I43" s="14">
        <v>2.1239036696130987E-6</v>
      </c>
      <c r="J43" s="14">
        <v>1.5980926834154032E-8</v>
      </c>
      <c r="K43" s="14">
        <v>0</v>
      </c>
    </row>
    <row r="44" spans="1:11">
      <c r="A44" s="2" t="s">
        <v>375</v>
      </c>
      <c r="B44" s="3" t="s">
        <v>376</v>
      </c>
      <c r="D44" s="14">
        <v>3.3729689849533875E-6</v>
      </c>
      <c r="E44" s="14">
        <v>3.0187349878472986E-5</v>
      </c>
      <c r="F44" s="14">
        <v>7.7105713927405896E-7</v>
      </c>
      <c r="G44" s="14">
        <v>2.3517010769788813E-7</v>
      </c>
      <c r="H44" s="14">
        <v>0</v>
      </c>
      <c r="I44" s="14">
        <v>3.9270865051948832E-7</v>
      </c>
      <c r="J44" s="14">
        <v>5.0407452390821946E-6</v>
      </c>
      <c r="K44" s="14">
        <v>0</v>
      </c>
    </row>
    <row r="45" spans="1:11">
      <c r="A45" s="2" t="s">
        <v>377</v>
      </c>
      <c r="B45" s="3" t="s">
        <v>378</v>
      </c>
      <c r="D45" s="14">
        <v>2.4955547928752555E-8</v>
      </c>
      <c r="E45" s="14">
        <v>1.8317227961201986E-5</v>
      </c>
      <c r="F45" s="14">
        <v>5.9957197451941662E-6</v>
      </c>
      <c r="G45" s="14">
        <v>1.5154334879172839E-6</v>
      </c>
      <c r="H45" s="14">
        <v>0</v>
      </c>
      <c r="I45" s="14">
        <v>2.5895462408217231E-6</v>
      </c>
      <c r="J45" s="14">
        <v>1.1557117016936091E-5</v>
      </c>
      <c r="K45" s="14">
        <v>0</v>
      </c>
    </row>
    <row r="46" spans="1:11">
      <c r="A46" s="2" t="s">
        <v>379</v>
      </c>
      <c r="B46" s="3" t="s">
        <v>380</v>
      </c>
      <c r="D46" s="14">
        <v>7.5387651866539895E-8</v>
      </c>
      <c r="E46" s="14">
        <v>1.9199629890045498E-5</v>
      </c>
      <c r="F46" s="14">
        <v>5.5459306075647036E-6</v>
      </c>
      <c r="G46" s="14">
        <v>1.4147183497173894E-6</v>
      </c>
      <c r="H46" s="14">
        <v>0</v>
      </c>
      <c r="I46" s="14">
        <v>2.4146796281357482E-6</v>
      </c>
      <c r="J46" s="14">
        <v>1.1349653872670125E-5</v>
      </c>
      <c r="K46" s="14">
        <v>0</v>
      </c>
    </row>
    <row r="47" spans="1:11">
      <c r="A47" s="2" t="s">
        <v>381</v>
      </c>
      <c r="B47" s="3" t="s">
        <v>382</v>
      </c>
      <c r="D47" s="14">
        <v>7.6024490693250792E-13</v>
      </c>
      <c r="E47" s="14">
        <v>1.1810986141948582E-8</v>
      </c>
      <c r="F47" s="14">
        <v>4.379532305698033E-6</v>
      </c>
      <c r="G47" s="14">
        <v>1.1866517653090968E-5</v>
      </c>
      <c r="H47" s="14">
        <v>0</v>
      </c>
      <c r="I47" s="14">
        <v>2.2262226197766079E-5</v>
      </c>
      <c r="J47" s="14">
        <v>1.4799120970580668E-6</v>
      </c>
      <c r="K47" s="14">
        <v>0</v>
      </c>
    </row>
    <row r="48" spans="1:11">
      <c r="A48" s="2" t="s">
        <v>383</v>
      </c>
      <c r="B48" s="3" t="s">
        <v>384</v>
      </c>
      <c r="D48" s="14">
        <v>4.6926898334484022E-7</v>
      </c>
      <c r="E48" s="14">
        <v>3.6004309865525711E-5</v>
      </c>
      <c r="F48" s="14">
        <v>2.5055095651265473E-7</v>
      </c>
      <c r="G48" s="14">
        <v>8.4099152725946278E-8</v>
      </c>
      <c r="H48" s="14">
        <v>0</v>
      </c>
      <c r="I48" s="14">
        <v>1.3892958289278449E-7</v>
      </c>
      <c r="J48" s="14">
        <v>3.0528414589980696E-6</v>
      </c>
      <c r="K48" s="14">
        <v>0</v>
      </c>
    </row>
    <row r="49" spans="1:11">
      <c r="A49" s="2" t="s">
        <v>385</v>
      </c>
      <c r="B49" s="3" t="s">
        <v>386</v>
      </c>
      <c r="D49" s="14">
        <v>8.7405929592218739E-7</v>
      </c>
      <c r="E49" s="14">
        <v>3.4274690089621715E-5</v>
      </c>
      <c r="F49" s="14">
        <v>4.4567175492385296E-7</v>
      </c>
      <c r="G49" s="14">
        <v>1.4286000674856221E-7</v>
      </c>
      <c r="H49" s="14">
        <v>0</v>
      </c>
      <c r="I49" s="14">
        <v>2.3718672723737572E-7</v>
      </c>
      <c r="J49" s="14">
        <v>4.025532125546317E-6</v>
      </c>
      <c r="K49" s="14">
        <v>0</v>
      </c>
    </row>
    <row r="50" spans="1:11">
      <c r="A50" s="2" t="s">
        <v>387</v>
      </c>
      <c r="B50" s="3" t="s">
        <v>388</v>
      </c>
      <c r="D50" s="14">
        <v>2.2016959034089914E-7</v>
      </c>
      <c r="E50" s="14">
        <v>2.5173869407578962E-6</v>
      </c>
      <c r="F50" s="14">
        <v>1.8768585764364904E-5</v>
      </c>
      <c r="G50" s="14">
        <v>3.7681406471174531E-6</v>
      </c>
      <c r="H50" s="14">
        <v>0</v>
      </c>
      <c r="I50" s="14">
        <v>6.6265615972142804E-6</v>
      </c>
      <c r="J50" s="14">
        <v>8.0991554602045662E-6</v>
      </c>
      <c r="K50" s="14">
        <v>0</v>
      </c>
    </row>
    <row r="51" spans="1:11">
      <c r="A51" s="2" t="s">
        <v>295</v>
      </c>
      <c r="B51" s="3" t="s">
        <v>296</v>
      </c>
      <c r="D51" s="14">
        <v>2.6204708014446656E-6</v>
      </c>
      <c r="E51" s="14">
        <v>3.6115361431950811E-5</v>
      </c>
      <c r="F51" s="14">
        <v>4.0499861668291629E-8</v>
      </c>
      <c r="G51" s="14">
        <v>1.5550669637694904E-8</v>
      </c>
      <c r="H51" s="14">
        <v>0</v>
      </c>
      <c r="I51" s="14">
        <v>2.545228609174914E-8</v>
      </c>
      <c r="J51" s="14">
        <v>1.1826649492067886E-6</v>
      </c>
      <c r="K51" s="14">
        <v>0</v>
      </c>
    </row>
    <row r="52" spans="1:11">
      <c r="A52" s="2" t="s">
        <v>389</v>
      </c>
      <c r="B52" s="3" t="s">
        <v>390</v>
      </c>
      <c r="D52" s="14">
        <v>2.7133151165483951E-6</v>
      </c>
      <c r="E52" s="14">
        <v>2.843628609362289E-5</v>
      </c>
      <c r="F52" s="14">
        <v>1.3236539173637371E-6</v>
      </c>
      <c r="G52" s="14">
        <v>3.8625134493201689E-7</v>
      </c>
      <c r="H52" s="14">
        <v>0</v>
      </c>
      <c r="I52" s="14">
        <v>6.4843187932910632E-7</v>
      </c>
      <c r="J52" s="14">
        <v>6.4920616482038637E-6</v>
      </c>
      <c r="K52" s="14">
        <v>0</v>
      </c>
    </row>
    <row r="53" spans="1:11">
      <c r="A53" s="2" t="s">
        <v>391</v>
      </c>
      <c r="B53" s="3" t="s">
        <v>392</v>
      </c>
      <c r="D53" s="14">
        <v>7.1887008842547143E-8</v>
      </c>
      <c r="E53" s="14">
        <v>1.3830664737500326E-5</v>
      </c>
      <c r="F53" s="14">
        <v>8.4591091392344912E-6</v>
      </c>
      <c r="G53" s="14">
        <v>2.0418328356515241E-6</v>
      </c>
      <c r="H53" s="14">
        <v>0</v>
      </c>
      <c r="I53" s="14">
        <v>3.5091085047154569E-6</v>
      </c>
      <c r="J53" s="14">
        <v>1.2087397774055659E-5</v>
      </c>
      <c r="K53" s="14">
        <v>0</v>
      </c>
    </row>
    <row r="54" spans="1:11">
      <c r="A54" s="2" t="s">
        <v>393</v>
      </c>
      <c r="B54" s="3" t="s">
        <v>394</v>
      </c>
      <c r="D54" s="14">
        <v>3.6707006159732761E-9</v>
      </c>
      <c r="E54" s="14">
        <v>1.7264802127709777E-8</v>
      </c>
      <c r="F54" s="14">
        <v>5.4780145266043634E-6</v>
      </c>
      <c r="G54" s="14">
        <v>1.1431908373956323E-5</v>
      </c>
      <c r="H54" s="14">
        <v>0</v>
      </c>
      <c r="I54" s="14">
        <v>2.1358215047456945E-5</v>
      </c>
      <c r="J54" s="14">
        <v>1.7109265492386878E-6</v>
      </c>
      <c r="K54" s="14">
        <v>0</v>
      </c>
    </row>
    <row r="55" spans="1:11">
      <c r="A55" s="2" t="s">
        <v>395</v>
      </c>
      <c r="B55" s="3" t="s">
        <v>396</v>
      </c>
      <c r="D55" s="14">
        <v>4.6553201062325334E-6</v>
      </c>
      <c r="E55" s="14">
        <v>4.7696025359175048E-6</v>
      </c>
      <c r="F55" s="14">
        <v>1.3409845182469731E-5</v>
      </c>
      <c r="G55" s="14">
        <v>2.8928060647632089E-6</v>
      </c>
      <c r="H55" s="14">
        <v>0</v>
      </c>
      <c r="I55" s="14">
        <v>5.0417832142760599E-6</v>
      </c>
      <c r="J55" s="14">
        <v>9.2306428963409637E-6</v>
      </c>
      <c r="K55" s="14">
        <v>0</v>
      </c>
    </row>
    <row r="56" spans="1:11">
      <c r="A56" s="2" t="s">
        <v>397</v>
      </c>
      <c r="B56" s="3" t="s">
        <v>398</v>
      </c>
      <c r="D56" s="14">
        <v>2.2261291645521964E-5</v>
      </c>
      <c r="E56" s="14">
        <v>5.9421416438733302E-7</v>
      </c>
      <c r="F56" s="14">
        <v>9.3804694689532009E-6</v>
      </c>
      <c r="G56" s="14">
        <v>1.7820510033510919E-6</v>
      </c>
      <c r="H56" s="14">
        <v>0</v>
      </c>
      <c r="I56" s="14">
        <v>3.1555793422229299E-6</v>
      </c>
      <c r="J56" s="14">
        <v>2.8263943755634795E-6</v>
      </c>
      <c r="K56" s="14">
        <v>0</v>
      </c>
    </row>
    <row r="57" spans="1:11">
      <c r="A57" s="2" t="s">
        <v>399</v>
      </c>
      <c r="B57" s="3" t="s">
        <v>400</v>
      </c>
      <c r="D57" s="14">
        <v>2.9442858448248644E-5</v>
      </c>
      <c r="E57" s="14">
        <v>1.1187488749507611E-6</v>
      </c>
      <c r="F57" s="14">
        <v>4.3536567540231587E-6</v>
      </c>
      <c r="G57" s="14">
        <v>9.1695862796072597E-7</v>
      </c>
      <c r="H57" s="14">
        <v>0</v>
      </c>
      <c r="I57" s="14">
        <v>1.6029249297421405E-6</v>
      </c>
      <c r="J57" s="14">
        <v>2.5648523650745767E-6</v>
      </c>
      <c r="K57" s="14">
        <v>0</v>
      </c>
    </row>
    <row r="58" spans="1:11">
      <c r="A58" s="2" t="s">
        <v>297</v>
      </c>
      <c r="B58" s="3" t="s">
        <v>298</v>
      </c>
      <c r="D58" s="14">
        <v>3.7245498587203018E-5</v>
      </c>
      <c r="E58" s="14">
        <v>2.3654100239604967E-6</v>
      </c>
      <c r="F58" s="14">
        <v>3.9495535558749445E-8</v>
      </c>
      <c r="G58" s="14">
        <v>1.2429211053652957E-8</v>
      </c>
      <c r="H58" s="14">
        <v>0</v>
      </c>
      <c r="I58" s="14">
        <v>2.0679410861729238E-8</v>
      </c>
      <c r="J58" s="14">
        <v>3.1648723136235584E-7</v>
      </c>
      <c r="K58" s="14">
        <v>0</v>
      </c>
    </row>
    <row r="59" spans="1:11">
      <c r="A59" s="2" t="s">
        <v>401</v>
      </c>
      <c r="B59" s="3" t="s">
        <v>402</v>
      </c>
      <c r="D59" s="14">
        <v>3.5793930896447133E-5</v>
      </c>
      <c r="E59" s="14">
        <v>4.7178272646760178E-7</v>
      </c>
      <c r="F59" s="14">
        <v>1.7032704432764759E-6</v>
      </c>
      <c r="G59" s="14">
        <v>3.6072742825953732E-7</v>
      </c>
      <c r="H59" s="14">
        <v>0</v>
      </c>
      <c r="I59" s="14">
        <v>6.3014851023172789E-7</v>
      </c>
      <c r="J59" s="14">
        <v>1.040139995317528E-6</v>
      </c>
      <c r="K59" s="14">
        <v>0</v>
      </c>
    </row>
    <row r="60" spans="1:11">
      <c r="A60" s="2" t="s">
        <v>299</v>
      </c>
      <c r="B60" s="3" t="s">
        <v>300</v>
      </c>
      <c r="D60" s="14">
        <v>3.9910664389610719E-5</v>
      </c>
      <c r="E60" s="14">
        <v>1.7906124429393729E-8</v>
      </c>
      <c r="F60" s="14">
        <v>2.8324560015605479E-8</v>
      </c>
      <c r="G60" s="14">
        <v>6.3746849772848012E-9</v>
      </c>
      <c r="H60" s="14">
        <v>0</v>
      </c>
      <c r="I60" s="14">
        <v>1.105164001725692E-8</v>
      </c>
      <c r="J60" s="14">
        <v>2.5678600949742984E-8</v>
      </c>
      <c r="K60" s="14">
        <v>0</v>
      </c>
    </row>
    <row r="61" spans="1:11">
      <c r="A61" s="2" t="s">
        <v>403</v>
      </c>
      <c r="B61" s="3" t="s">
        <v>404</v>
      </c>
      <c r="D61" s="14">
        <v>1.5935645810906812E-48</v>
      </c>
      <c r="E61" s="14">
        <v>1.0120041862987709E-5</v>
      </c>
      <c r="F61" s="14">
        <v>1.1001296846694971E-5</v>
      </c>
      <c r="G61" s="14">
        <v>2.5453027031182303E-6</v>
      </c>
      <c r="H61" s="14">
        <v>0</v>
      </c>
      <c r="I61" s="14">
        <v>4.3975438489627593E-6</v>
      </c>
      <c r="J61" s="14">
        <v>1.1935814738236336E-5</v>
      </c>
      <c r="K61" s="14">
        <v>0</v>
      </c>
    </row>
    <row r="62" spans="1:11">
      <c r="A62" s="2" t="s">
        <v>405</v>
      </c>
      <c r="B62" s="3" t="s">
        <v>406</v>
      </c>
      <c r="D62" s="14">
        <v>2.7457463916457986E-12</v>
      </c>
      <c r="E62" s="14">
        <v>9.9204885936631815E-8</v>
      </c>
      <c r="F62" s="14">
        <v>1.4316426779338698E-5</v>
      </c>
      <c r="G62" s="14">
        <v>7.9805016514433364E-6</v>
      </c>
      <c r="H62" s="14">
        <v>0</v>
      </c>
      <c r="I62" s="14">
        <v>1.4600950437646343E-5</v>
      </c>
      <c r="J62" s="14">
        <v>3.0029134998886096E-6</v>
      </c>
      <c r="K62" s="14">
        <v>0</v>
      </c>
    </row>
    <row r="63" spans="1:11">
      <c r="A63" s="2" t="s">
        <v>407</v>
      </c>
      <c r="B63" s="3" t="s">
        <v>408</v>
      </c>
      <c r="D63" s="14">
        <v>4.3783054149259562E-10</v>
      </c>
      <c r="E63" s="14">
        <v>6.036409496699992E-9</v>
      </c>
      <c r="F63" s="14">
        <v>2.9273878636865734E-6</v>
      </c>
      <c r="G63" s="14">
        <v>1.2435859976156878E-5</v>
      </c>
      <c r="H63" s="14">
        <v>0</v>
      </c>
      <c r="I63" s="14">
        <v>2.3497386066387479E-5</v>
      </c>
      <c r="J63" s="14">
        <v>1.1328918537308727E-6</v>
      </c>
      <c r="K63" s="14">
        <v>0</v>
      </c>
    </row>
    <row r="64" spans="1:11">
      <c r="A64" s="2" t="s">
        <v>409</v>
      </c>
      <c r="B64" s="3" t="s">
        <v>410</v>
      </c>
      <c r="D64" s="14">
        <v>5.0157322607501653E-11</v>
      </c>
      <c r="E64" s="14">
        <v>1.9352941614991587E-9</v>
      </c>
      <c r="F64" s="14">
        <v>1.4595149932118337E-6</v>
      </c>
      <c r="G64" s="14">
        <v>1.2992840769966112E-5</v>
      </c>
      <c r="H64" s="14">
        <v>0</v>
      </c>
      <c r="I64" s="14">
        <v>2.4839639203419088E-5</v>
      </c>
      <c r="J64" s="14">
        <v>7.0601958191886492E-7</v>
      </c>
      <c r="K64" s="14">
        <v>0</v>
      </c>
    </row>
    <row r="65" spans="1:11">
      <c r="A65" s="2" t="s">
        <v>301</v>
      </c>
      <c r="B65" s="3" t="s">
        <v>302</v>
      </c>
      <c r="D65" s="14">
        <v>5.8781113282620734E-12</v>
      </c>
      <c r="E65" s="14">
        <v>5.1543089620438015E-10</v>
      </c>
      <c r="F65" s="14">
        <v>6.4226169631894903E-7</v>
      </c>
      <c r="G65" s="14">
        <v>1.3261955837758939E-5</v>
      </c>
      <c r="H65" s="14">
        <v>0</v>
      </c>
      <c r="I65" s="14">
        <v>2.5694837057090473E-5</v>
      </c>
      <c r="J65" s="14">
        <v>4.0042409982410978E-7</v>
      </c>
      <c r="K65" s="14">
        <v>0</v>
      </c>
    </row>
    <row r="66" spans="1:11">
      <c r="A66" s="2" t="s">
        <v>303</v>
      </c>
      <c r="B66" s="3" t="s">
        <v>304</v>
      </c>
      <c r="D66" s="14">
        <v>5.8257535811213123E-18</v>
      </c>
      <c r="E66" s="14">
        <v>1.0971468268032489E-9</v>
      </c>
      <c r="F66" s="14">
        <v>1.0273686891208154E-6</v>
      </c>
      <c r="G66" s="14">
        <v>1.31438284169653E-5</v>
      </c>
      <c r="H66" s="14">
        <v>0</v>
      </c>
      <c r="I66" s="14">
        <v>2.5273291334587304E-5</v>
      </c>
      <c r="J66" s="14">
        <v>5.5441441249395469E-7</v>
      </c>
      <c r="K66" s="14">
        <v>0</v>
      </c>
    </row>
    <row r="67" spans="1:11">
      <c r="A67" s="2" t="s">
        <v>411</v>
      </c>
      <c r="B67" s="3" t="s">
        <v>412</v>
      </c>
      <c r="D67" s="14">
        <v>1.839696967830664E-7</v>
      </c>
      <c r="E67" s="14">
        <v>3.2068521176259239E-5</v>
      </c>
      <c r="F67" s="14">
        <v>1.000507866076862E-6</v>
      </c>
      <c r="G67" s="14">
        <v>3.0068797673767379E-7</v>
      </c>
      <c r="H67" s="14">
        <v>0</v>
      </c>
      <c r="I67" s="14">
        <v>5.029990425867895E-7</v>
      </c>
      <c r="J67" s="14">
        <v>5.9433142415563785E-6</v>
      </c>
      <c r="K67" s="14">
        <v>0</v>
      </c>
    </row>
    <row r="68" spans="1:11">
      <c r="A68" s="2" t="s">
        <v>413</v>
      </c>
      <c r="B68" s="3" t="s">
        <v>414</v>
      </c>
      <c r="D68" s="14">
        <v>3.9141098690958835E-7</v>
      </c>
      <c r="E68" s="14">
        <v>2.900051115403937E-5</v>
      </c>
      <c r="F68" s="14">
        <v>1.7334336661755028E-6</v>
      </c>
      <c r="G68" s="14">
        <v>4.9659550299041088E-7</v>
      </c>
      <c r="H68" s="14">
        <v>0</v>
      </c>
      <c r="I68" s="14">
        <v>8.3554705545381431E-7</v>
      </c>
      <c r="J68" s="14">
        <v>7.5425016344313126E-6</v>
      </c>
      <c r="K68" s="14">
        <v>0</v>
      </c>
    </row>
    <row r="69" spans="1:11">
      <c r="A69" s="2" t="s">
        <v>415</v>
      </c>
      <c r="B69" s="3" t="s">
        <v>416</v>
      </c>
      <c r="D69" s="14">
        <v>2.5429675512726476E-8</v>
      </c>
      <c r="E69" s="14">
        <v>2.8790781866297897E-8</v>
      </c>
      <c r="F69" s="14">
        <v>7.357241864536475E-6</v>
      </c>
      <c r="G69" s="14">
        <v>1.0683427048692489E-5</v>
      </c>
      <c r="H69" s="14">
        <v>0</v>
      </c>
      <c r="I69" s="14">
        <v>1.9845319329971476E-5</v>
      </c>
      <c r="J69" s="14">
        <v>2.0597912994205426E-6</v>
      </c>
      <c r="K69" s="14">
        <v>0</v>
      </c>
    </row>
    <row r="70" spans="1:11">
      <c r="A70" s="2" t="s">
        <v>417</v>
      </c>
      <c r="B70" s="3" t="s">
        <v>418</v>
      </c>
      <c r="D70" s="14">
        <v>1.0449355080072839E-7</v>
      </c>
      <c r="E70" s="14">
        <v>8.398894533478928E-7</v>
      </c>
      <c r="F70" s="14">
        <v>2.241628822690996E-5</v>
      </c>
      <c r="G70" s="14">
        <v>4.0969367336347257E-6</v>
      </c>
      <c r="H70" s="14">
        <v>0</v>
      </c>
      <c r="I70" s="14">
        <v>7.2898215618115565E-6</v>
      </c>
      <c r="J70" s="14">
        <v>5.2525704734951461E-6</v>
      </c>
      <c r="K70" s="14">
        <v>0</v>
      </c>
    </row>
    <row r="71" spans="1:11">
      <c r="A71" s="2" t="s">
        <v>419</v>
      </c>
      <c r="B71" s="3" t="s">
        <v>420</v>
      </c>
      <c r="D71" s="14">
        <v>9.6262353765783675E-7</v>
      </c>
      <c r="E71" s="14">
        <v>2.9071612231768385E-5</v>
      </c>
      <c r="F71" s="14">
        <v>1.5722829016007129E-6</v>
      </c>
      <c r="G71" s="14">
        <v>4.5376003944064278E-7</v>
      </c>
      <c r="H71" s="14">
        <v>0</v>
      </c>
      <c r="I71" s="14">
        <v>7.6278852820844075E-7</v>
      </c>
      <c r="J71" s="14">
        <v>7.1769327613239888E-6</v>
      </c>
      <c r="K71" s="14">
        <v>0</v>
      </c>
    </row>
    <row r="72" spans="1:11">
      <c r="A72" s="2" t="s">
        <v>421</v>
      </c>
      <c r="B72" s="3" t="s">
        <v>422</v>
      </c>
      <c r="D72" s="14">
        <v>4.3941807731608343E-7</v>
      </c>
      <c r="E72" s="14">
        <v>9.7371208470193355E-7</v>
      </c>
      <c r="F72" s="14">
        <v>2.1814845141486814E-5</v>
      </c>
      <c r="G72" s="14">
        <v>4.0387566838244992E-6</v>
      </c>
      <c r="H72" s="14">
        <v>0</v>
      </c>
      <c r="I72" s="14">
        <v>7.1747333235918812E-6</v>
      </c>
      <c r="J72" s="14">
        <v>5.5585346890787895E-6</v>
      </c>
      <c r="K72" s="14">
        <v>0</v>
      </c>
    </row>
    <row r="73" spans="1:11">
      <c r="A73" s="2" t="s">
        <v>423</v>
      </c>
      <c r="B73" s="3" t="s">
        <v>424</v>
      </c>
      <c r="D73" s="14">
        <v>4.6230754397058731E-7</v>
      </c>
      <c r="E73" s="14">
        <v>9.2777704047436324E-6</v>
      </c>
      <c r="F73" s="14">
        <v>1.142892006528029E-5</v>
      </c>
      <c r="G73" s="14">
        <v>2.61999673801846E-6</v>
      </c>
      <c r="H73" s="14">
        <v>0</v>
      </c>
      <c r="I73" s="14">
        <v>4.5317975674968396E-6</v>
      </c>
      <c r="J73" s="14">
        <v>1.1679207680490199E-5</v>
      </c>
      <c r="K73" s="14">
        <v>0</v>
      </c>
    </row>
    <row r="74" spans="1:11">
      <c r="A74" s="2" t="s">
        <v>425</v>
      </c>
      <c r="B74" s="3" t="s">
        <v>426</v>
      </c>
      <c r="D74" s="14">
        <v>1.6136168522950716E-7</v>
      </c>
      <c r="E74" s="14">
        <v>8.7710797839417639E-7</v>
      </c>
      <c r="F74" s="14">
        <v>2.2267662782401578E-5</v>
      </c>
      <c r="G74" s="14">
        <v>4.0847942975389207E-6</v>
      </c>
      <c r="H74" s="14">
        <v>0</v>
      </c>
      <c r="I74" s="14">
        <v>7.2648717917279981E-6</v>
      </c>
      <c r="J74" s="14">
        <v>5.3442014647078187E-6</v>
      </c>
      <c r="K74" s="14">
        <v>0</v>
      </c>
    </row>
    <row r="75" spans="1:11">
      <c r="A75" s="2" t="s">
        <v>427</v>
      </c>
      <c r="B75" s="3" t="s">
        <v>428</v>
      </c>
      <c r="D75" s="14">
        <v>1.855187858052434E-14</v>
      </c>
      <c r="E75" s="14">
        <v>1.4555279554756056E-7</v>
      </c>
      <c r="F75" s="14">
        <v>3.3524485805796212E-5</v>
      </c>
      <c r="G75" s="14">
        <v>1.2936367198086439E-8</v>
      </c>
      <c r="H75" s="14">
        <v>0</v>
      </c>
      <c r="I75" s="14">
        <v>6.3142084142675479E-6</v>
      </c>
      <c r="J75" s="14">
        <v>2.8165986387144212E-9</v>
      </c>
      <c r="K75" s="14">
        <v>0</v>
      </c>
    </row>
    <row r="76" spans="1:11">
      <c r="A76" s="2" t="s">
        <v>429</v>
      </c>
      <c r="B76" s="3" t="s">
        <v>430</v>
      </c>
      <c r="D76" s="14">
        <v>4.6600212106502453E-16</v>
      </c>
      <c r="E76" s="14">
        <v>1.4555279561337179E-7</v>
      </c>
      <c r="F76" s="14">
        <v>3.3524485820954205E-5</v>
      </c>
      <c r="G76" s="14">
        <v>1.2936367203935577E-8</v>
      </c>
      <c r="H76" s="14">
        <v>0</v>
      </c>
      <c r="I76" s="14">
        <v>6.314208417122497E-6</v>
      </c>
      <c r="J76" s="14">
        <v>2.8165986399879378E-9</v>
      </c>
      <c r="K76" s="14">
        <v>0</v>
      </c>
    </row>
    <row r="77" spans="1:11">
      <c r="A77" s="2" t="s">
        <v>431</v>
      </c>
      <c r="B77" s="3" t="s">
        <v>432</v>
      </c>
      <c r="D77" s="14">
        <v>8.0387262244108907E-7</v>
      </c>
      <c r="E77" s="14">
        <v>3.4224718022949655E-6</v>
      </c>
      <c r="F77" s="14">
        <v>1.710257300682381E-5</v>
      </c>
      <c r="G77" s="14">
        <v>3.5363643871632675E-6</v>
      </c>
      <c r="H77" s="14">
        <v>0</v>
      </c>
      <c r="I77" s="14">
        <v>6.1961153867629357E-6</v>
      </c>
      <c r="J77" s="14">
        <v>8.938602794513933E-6</v>
      </c>
      <c r="K77" s="14">
        <v>0</v>
      </c>
    </row>
    <row r="78" spans="1:11">
      <c r="A78" s="2" t="s">
        <v>433</v>
      </c>
      <c r="B78" s="3" t="s">
        <v>434</v>
      </c>
      <c r="D78" s="14">
        <v>1.2628382618445852E-6</v>
      </c>
      <c r="E78" s="14">
        <v>1.984999365898412E-5</v>
      </c>
      <c r="F78" s="14">
        <v>4.8130674366877761E-6</v>
      </c>
      <c r="G78" s="14">
        <v>1.2437053486916801E-6</v>
      </c>
      <c r="H78" s="14">
        <v>0</v>
      </c>
      <c r="I78" s="14">
        <v>2.1193924993537739E-6</v>
      </c>
      <c r="J78" s="14">
        <v>1.0711002794438073E-5</v>
      </c>
      <c r="K78" s="14">
        <v>0</v>
      </c>
    </row>
    <row r="79" spans="1:11">
      <c r="A79" s="2" t="s">
        <v>435</v>
      </c>
      <c r="B79" s="3" t="s">
        <v>436</v>
      </c>
      <c r="D79" s="14">
        <v>2.8413361219032573E-7</v>
      </c>
      <c r="E79" s="14">
        <v>1.3415141352960567E-5</v>
      </c>
      <c r="F79" s="14">
        <v>8.6257492174914743E-6</v>
      </c>
      <c r="G79" s="14">
        <v>2.074399422297695E-6</v>
      </c>
      <c r="H79" s="14">
        <v>0</v>
      </c>
      <c r="I79" s="14">
        <v>3.5667147687184947E-6</v>
      </c>
      <c r="J79" s="14">
        <v>1.2033861626341445E-5</v>
      </c>
      <c r="K79" s="14">
        <v>0</v>
      </c>
    </row>
    <row r="80" spans="1:11">
      <c r="A80" s="2" t="s">
        <v>437</v>
      </c>
      <c r="B80" s="3" t="s">
        <v>438</v>
      </c>
      <c r="D80" s="14">
        <v>5.7819405866695588E-15</v>
      </c>
      <c r="E80" s="14">
        <v>8.5902594816203828E-8</v>
      </c>
      <c r="F80" s="14">
        <v>2.9211096327327054E-5</v>
      </c>
      <c r="G80" s="14">
        <v>2.1652002369499656E-8</v>
      </c>
      <c r="H80" s="14">
        <v>0</v>
      </c>
      <c r="I80" s="14">
        <v>1.0678360862583298E-5</v>
      </c>
      <c r="J80" s="14">
        <v>2.9882071220019909E-9</v>
      </c>
      <c r="K80" s="14">
        <v>0</v>
      </c>
    </row>
    <row r="81" spans="1:11">
      <c r="A81" s="2" t="s">
        <v>440</v>
      </c>
      <c r="B81" s="3" t="s">
        <v>441</v>
      </c>
      <c r="D81" s="14">
        <v>7.39149882775387E-18</v>
      </c>
      <c r="E81" s="14">
        <v>3.8767264104849098E-5</v>
      </c>
      <c r="F81" s="14">
        <v>3.6492761372118337E-8</v>
      </c>
      <c r="G81" s="14">
        <v>1.4193917695947283E-8</v>
      </c>
      <c r="H81" s="14">
        <v>0</v>
      </c>
      <c r="I81" s="14">
        <v>2.3232068145407983E-8</v>
      </c>
      <c r="J81" s="14">
        <v>1.1588171479300431E-6</v>
      </c>
      <c r="K81" s="14">
        <v>0</v>
      </c>
    </row>
    <row r="82" spans="1:11">
      <c r="A82" s="2" t="s">
        <v>442</v>
      </c>
      <c r="B82" s="3" t="s">
        <v>443</v>
      </c>
      <c r="D82" s="14">
        <v>3.2151682179233404E-9</v>
      </c>
      <c r="E82" s="14">
        <v>2.7949647873240742E-5</v>
      </c>
      <c r="F82" s="14">
        <v>2.1452500218953785E-6</v>
      </c>
      <c r="G82" s="14">
        <v>6.0335577016998763E-7</v>
      </c>
      <c r="H82" s="14">
        <v>0</v>
      </c>
      <c r="I82" s="14">
        <v>1.0174679308995004E-6</v>
      </c>
      <c r="J82" s="14">
        <v>8.2810632355764711E-6</v>
      </c>
      <c r="K82" s="14">
        <v>0</v>
      </c>
    </row>
    <row r="83" spans="1:11">
      <c r="A83" s="2" t="s">
        <v>444</v>
      </c>
      <c r="B83" s="3" t="s">
        <v>445</v>
      </c>
      <c r="D83" s="14">
        <v>1.7198970409447956E-8</v>
      </c>
      <c r="E83" s="14">
        <v>4.3183226667389749E-6</v>
      </c>
      <c r="F83" s="14">
        <v>1.6389913600419114E-5</v>
      </c>
      <c r="G83" s="14">
        <v>3.4583760866892858E-6</v>
      </c>
      <c r="H83" s="14">
        <v>0</v>
      </c>
      <c r="I83" s="14">
        <v>6.0441573587424186E-6</v>
      </c>
      <c r="J83" s="14">
        <v>9.7720313170007579E-6</v>
      </c>
      <c r="K83" s="14">
        <v>0</v>
      </c>
    </row>
    <row r="84" spans="1:11">
      <c r="A84" s="2" t="s">
        <v>446</v>
      </c>
      <c r="B84" s="3" t="s">
        <v>447</v>
      </c>
      <c r="D84" s="14">
        <v>2.2625340698528854E-19</v>
      </c>
      <c r="E84" s="14">
        <v>3.7208123518219843E-5</v>
      </c>
      <c r="F84" s="14">
        <v>1.6303068095696502E-7</v>
      </c>
      <c r="G84" s="14">
        <v>5.6619352429006497E-8</v>
      </c>
      <c r="H84" s="14">
        <v>0</v>
      </c>
      <c r="I84" s="14">
        <v>9.3220730590775211E-8</v>
      </c>
      <c r="J84" s="14">
        <v>2.4790057178031861E-6</v>
      </c>
      <c r="K84" s="14">
        <v>0</v>
      </c>
    </row>
    <row r="85" spans="1:11">
      <c r="A85" s="2" t="s">
        <v>448</v>
      </c>
      <c r="B85" s="3" t="s">
        <v>449</v>
      </c>
      <c r="D85" s="14">
        <v>1.5950496150244504E-12</v>
      </c>
      <c r="E85" s="14">
        <v>3.9501795575965899E-5</v>
      </c>
      <c r="F85" s="14">
        <v>6.7057662624187336E-9</v>
      </c>
      <c r="G85" s="14">
        <v>2.9589931982997837E-9</v>
      </c>
      <c r="H85" s="14">
        <v>0</v>
      </c>
      <c r="I85" s="14">
        <v>4.9711344121043193E-9</v>
      </c>
      <c r="J85" s="14">
        <v>4.8356693511165348E-7</v>
      </c>
      <c r="K85" s="14">
        <v>0</v>
      </c>
    </row>
    <row r="86" spans="1:11">
      <c r="A86" s="2" t="s">
        <v>450</v>
      </c>
      <c r="B86" s="3" t="s">
        <v>451</v>
      </c>
      <c r="D86" s="14">
        <v>5.6928373853796173E-13</v>
      </c>
      <c r="E86" s="14">
        <v>3.7281331866902832E-5</v>
      </c>
      <c r="F86" s="14">
        <v>1.5538281795375805E-7</v>
      </c>
      <c r="G86" s="14">
        <v>5.4162480879404455E-8</v>
      </c>
      <c r="H86" s="14">
        <v>0</v>
      </c>
      <c r="I86" s="14">
        <v>8.9145594241184485E-8</v>
      </c>
      <c r="J86" s="14">
        <v>2.4199766707390871E-6</v>
      </c>
      <c r="K86" s="14">
        <v>0</v>
      </c>
    </row>
    <row r="87" spans="1:11">
      <c r="A87" s="2" t="s">
        <v>452</v>
      </c>
      <c r="B87" s="3" t="s">
        <v>453</v>
      </c>
      <c r="D87" s="14">
        <v>8.5083015790818967E-13</v>
      </c>
      <c r="E87" s="14">
        <v>9.1296791633138814E-9</v>
      </c>
      <c r="F87" s="14">
        <v>3.7559265444917615E-6</v>
      </c>
      <c r="G87" s="14">
        <v>1.2111910289978181E-5</v>
      </c>
      <c r="H87" s="14">
        <v>0</v>
      </c>
      <c r="I87" s="14">
        <v>2.2785435666469751E-5</v>
      </c>
      <c r="J87" s="14">
        <v>1.3375969690668381E-6</v>
      </c>
      <c r="K87" s="14">
        <v>0</v>
      </c>
    </row>
    <row r="88" spans="1:11">
      <c r="A88" s="2" t="s">
        <v>454</v>
      </c>
      <c r="B88" s="3" t="s">
        <v>455</v>
      </c>
      <c r="D88" s="14">
        <v>1.526038639980725E-9</v>
      </c>
      <c r="E88" s="14">
        <v>2.2951875045089896E-5</v>
      </c>
      <c r="F88" s="14">
        <v>3.9213873650386417E-6</v>
      </c>
      <c r="G88" s="14">
        <v>1.0397652542346994E-6</v>
      </c>
      <c r="H88" s="14">
        <v>0</v>
      </c>
      <c r="I88" s="14">
        <v>1.7662011191014683E-6</v>
      </c>
      <c r="J88" s="14">
        <v>1.0319245177895326E-5</v>
      </c>
      <c r="K88" s="14">
        <v>0</v>
      </c>
    </row>
    <row r="89" spans="1:11">
      <c r="A89" s="2" t="s">
        <v>456</v>
      </c>
      <c r="B89" s="3" t="s">
        <v>457</v>
      </c>
      <c r="D89" s="14">
        <v>1.0570256909184603E-21</v>
      </c>
      <c r="E89" s="14">
        <v>2.7095563258431139E-5</v>
      </c>
      <c r="F89" s="14">
        <v>2.4163495395734827E-6</v>
      </c>
      <c r="G89" s="14">
        <v>6.7213314628720108E-7</v>
      </c>
      <c r="H89" s="14">
        <v>0</v>
      </c>
      <c r="I89" s="14">
        <v>1.1349902848477238E-6</v>
      </c>
      <c r="J89" s="14">
        <v>8.6809637708604542E-6</v>
      </c>
      <c r="K89" s="14">
        <v>0</v>
      </c>
    </row>
    <row r="90" spans="1:11">
      <c r="A90" s="2" t="s">
        <v>458</v>
      </c>
      <c r="B90" s="3" t="s">
        <v>459</v>
      </c>
      <c r="D90" s="14">
        <v>1.668078513813187E-33</v>
      </c>
      <c r="E90" s="14">
        <v>3.4275920661645932E-5</v>
      </c>
      <c r="F90" s="14">
        <v>5.868008080676647E-7</v>
      </c>
      <c r="G90" s="14">
        <v>1.8432585565055207E-7</v>
      </c>
      <c r="H90" s="14">
        <v>0</v>
      </c>
      <c r="I90" s="14">
        <v>3.0674209752263647E-7</v>
      </c>
      <c r="J90" s="14">
        <v>4.6462105771132147E-6</v>
      </c>
      <c r="K90" s="14">
        <v>0</v>
      </c>
    </row>
    <row r="91" spans="1:11">
      <c r="A91" s="2" t="s">
        <v>460</v>
      </c>
      <c r="B91" s="3" t="s">
        <v>461</v>
      </c>
      <c r="D91" s="14">
        <v>1.239756578609013E-12</v>
      </c>
      <c r="E91" s="14">
        <v>8.3293106926848231E-8</v>
      </c>
      <c r="F91" s="14">
        <v>1.31072214311597E-5</v>
      </c>
      <c r="G91" s="14">
        <v>8.4470719179353171E-6</v>
      </c>
      <c r="H91" s="14">
        <v>0</v>
      </c>
      <c r="I91" s="14">
        <v>1.5490184894860956E-5</v>
      </c>
      <c r="J91" s="14">
        <v>2.8722274093606057E-6</v>
      </c>
      <c r="K91" s="14">
        <v>0</v>
      </c>
    </row>
    <row r="92" spans="1:11">
      <c r="A92" s="2" t="s">
        <v>462</v>
      </c>
      <c r="B92" s="3" t="s">
        <v>463</v>
      </c>
      <c r="D92" s="14">
        <v>1.5330178869779719E-13</v>
      </c>
      <c r="E92" s="14">
        <v>6.1164560961135141E-6</v>
      </c>
      <c r="F92" s="14">
        <v>1.443515451772372E-5</v>
      </c>
      <c r="G92" s="14">
        <v>3.1544016585768431E-6</v>
      </c>
      <c r="H92" s="14">
        <v>0</v>
      </c>
      <c r="I92" s="14">
        <v>5.4888668648476294E-6</v>
      </c>
      <c r="J92" s="14">
        <v>1.0805120709436511E-5</v>
      </c>
      <c r="K92" s="14">
        <v>0</v>
      </c>
    </row>
    <row r="93" spans="1:11">
      <c r="A93" s="2" t="s">
        <v>464</v>
      </c>
      <c r="B93" s="3" t="s">
        <v>465</v>
      </c>
      <c r="D93" s="14">
        <v>6.4831033299030894E-9</v>
      </c>
      <c r="E93" s="14">
        <v>1.2824947151197025E-6</v>
      </c>
      <c r="F93" s="14">
        <v>2.1284191536223247E-5</v>
      </c>
      <c r="G93" s="14">
        <v>4.0285866929154693E-6</v>
      </c>
      <c r="H93" s="14">
        <v>0</v>
      </c>
      <c r="I93" s="14">
        <v>7.1369319629564026E-6</v>
      </c>
      <c r="J93" s="14">
        <v>6.2613119894552784E-6</v>
      </c>
      <c r="K93" s="14">
        <v>0</v>
      </c>
    </row>
    <row r="94" spans="1:11">
      <c r="A94" s="2" t="s">
        <v>466</v>
      </c>
      <c r="B94" s="3" t="s">
        <v>467</v>
      </c>
      <c r="D94" s="14">
        <v>7.3078460474388105E-23</v>
      </c>
      <c r="E94" s="14">
        <v>3.5646270560393118E-5</v>
      </c>
      <c r="F94" s="14">
        <v>4.185387505189907E-6</v>
      </c>
      <c r="G94" s="14">
        <v>5.5001453680682817E-10</v>
      </c>
      <c r="H94" s="14">
        <v>0</v>
      </c>
      <c r="I94" s="14">
        <v>1.6143734065584531E-7</v>
      </c>
      <c r="J94" s="14">
        <v>6.3545792243258833E-9</v>
      </c>
      <c r="K94" s="14">
        <v>0</v>
      </c>
    </row>
    <row r="95" spans="1:11">
      <c r="A95" s="2" t="s">
        <v>468</v>
      </c>
      <c r="B95" s="3" t="s">
        <v>469</v>
      </c>
      <c r="D95" s="14">
        <v>6.1705290157429647E-23</v>
      </c>
      <c r="E95" s="14">
        <v>2.4074376013032889E-7</v>
      </c>
      <c r="F95" s="14">
        <v>2.1394227700923162E-5</v>
      </c>
      <c r="G95" s="14">
        <v>5.2928814784569519E-6</v>
      </c>
      <c r="H95" s="14">
        <v>0</v>
      </c>
      <c r="I95" s="14">
        <v>9.5597403382745206E-6</v>
      </c>
      <c r="J95" s="14">
        <v>3.5124067222150342E-6</v>
      </c>
      <c r="K95" s="14">
        <v>0</v>
      </c>
    </row>
    <row r="96" spans="1:11">
      <c r="A96" s="2" t="s">
        <v>470</v>
      </c>
      <c r="B96" s="165">
        <v>354656</v>
      </c>
      <c r="D96" s="14">
        <v>1.4735033118772668E-14</v>
      </c>
      <c r="E96" s="14">
        <v>3.8717183504853886E-5</v>
      </c>
      <c r="F96" s="14">
        <v>3.9284870983707493E-8</v>
      </c>
      <c r="G96" s="14">
        <v>1.519570614548463E-8</v>
      </c>
      <c r="H96" s="14">
        <v>0</v>
      </c>
      <c r="I96" s="14">
        <v>2.4870757001968554E-8</v>
      </c>
      <c r="J96" s="14">
        <v>1.2034651462799215E-6</v>
      </c>
      <c r="K96" s="14">
        <v>0</v>
      </c>
    </row>
    <row r="97" spans="1:11">
      <c r="A97" s="2" t="s">
        <v>472</v>
      </c>
      <c r="B97" s="3" t="s">
        <v>473</v>
      </c>
      <c r="D97" s="14">
        <v>2.2605761904257685E-14</v>
      </c>
      <c r="E97" s="14">
        <v>3.7170789852240617E-5</v>
      </c>
      <c r="F97" s="14">
        <v>1.6699111479097062E-7</v>
      </c>
      <c r="G97" s="14">
        <v>5.788804987177752E-8</v>
      </c>
      <c r="H97" s="14">
        <v>0</v>
      </c>
      <c r="I97" s="14">
        <v>9.5325827043933452E-8</v>
      </c>
      <c r="J97" s="14">
        <v>2.5090051334469419E-6</v>
      </c>
      <c r="K97" s="14">
        <v>0</v>
      </c>
    </row>
    <row r="98" spans="1:11">
      <c r="A98" s="2" t="s">
        <v>474</v>
      </c>
      <c r="B98" s="3" t="s">
        <v>475</v>
      </c>
      <c r="D98" s="14">
        <v>1.5271260150697268E-24</v>
      </c>
      <c r="E98" s="14">
        <v>5.9993958192616602E-7</v>
      </c>
      <c r="F98" s="14">
        <v>2.3299633540808138E-5</v>
      </c>
      <c r="G98" s="14">
        <v>4.1423295391200024E-6</v>
      </c>
      <c r="H98" s="14">
        <v>0</v>
      </c>
      <c r="I98" s="14">
        <v>7.3960763773028392E-6</v>
      </c>
      <c r="J98" s="14">
        <v>4.5620209608428583E-6</v>
      </c>
      <c r="K98" s="14">
        <v>0</v>
      </c>
    </row>
    <row r="99" spans="1:11">
      <c r="A99" s="2" t="s">
        <v>476</v>
      </c>
      <c r="B99" s="3" t="s">
        <v>477</v>
      </c>
      <c r="D99" s="14">
        <v>6.9626402532408493E-12</v>
      </c>
      <c r="E99" s="14">
        <v>3.9657615442230737E-5</v>
      </c>
      <c r="F99" s="14">
        <v>3.3010201203963758E-9</v>
      </c>
      <c r="G99" s="14">
        <v>1.535124937966232E-9</v>
      </c>
      <c r="H99" s="14">
        <v>0</v>
      </c>
      <c r="I99" s="14">
        <v>2.6867821992950978E-9</v>
      </c>
      <c r="J99" s="14">
        <v>3.3485466787136037E-7</v>
      </c>
      <c r="K99" s="14">
        <v>0</v>
      </c>
    </row>
    <row r="100" spans="1:11">
      <c r="A100" s="2" t="s">
        <v>478</v>
      </c>
      <c r="B100" s="3" t="s">
        <v>479</v>
      </c>
      <c r="D100" s="14">
        <v>1.8787070435859403E-15</v>
      </c>
      <c r="E100" s="14">
        <v>1.5082443398930196E-5</v>
      </c>
      <c r="F100" s="14">
        <v>7.7434282489335042E-6</v>
      </c>
      <c r="G100" s="14">
        <v>1.8933409751682337E-6</v>
      </c>
      <c r="H100" s="14">
        <v>0</v>
      </c>
      <c r="I100" s="14">
        <v>3.248686496761658E-6</v>
      </c>
      <c r="J100" s="14">
        <v>1.2032100878327699E-5</v>
      </c>
      <c r="K100" s="14">
        <v>0</v>
      </c>
    </row>
    <row r="101" spans="1:11">
      <c r="A101" s="2" t="s">
        <v>480</v>
      </c>
      <c r="B101" s="3" t="s">
        <v>481</v>
      </c>
      <c r="D101" s="14">
        <v>1.8731232753803964E-15</v>
      </c>
      <c r="E101" s="14">
        <v>3.9420216123269019E-5</v>
      </c>
      <c r="F101" s="14">
        <v>8.9215553724777647E-9</v>
      </c>
      <c r="G101" s="14">
        <v>3.8542167164313727E-9</v>
      </c>
      <c r="H101" s="14">
        <v>0</v>
      </c>
      <c r="I101" s="14">
        <v>6.4136948495744105E-9</v>
      </c>
      <c r="J101" s="14">
        <v>5.6059440791937943E-7</v>
      </c>
      <c r="K101" s="14">
        <v>0</v>
      </c>
    </row>
    <row r="102" spans="1:11">
      <c r="A102" s="2" t="s">
        <v>482</v>
      </c>
      <c r="B102" s="3" t="s">
        <v>483</v>
      </c>
      <c r="D102" s="14">
        <v>1.1775506680667424E-31</v>
      </c>
      <c r="E102" s="14">
        <v>3.9855865421522209E-5</v>
      </c>
      <c r="F102" s="14">
        <v>6.3687443793580658E-10</v>
      </c>
      <c r="G102" s="14">
        <v>3.3446399543042427E-10</v>
      </c>
      <c r="H102" s="14">
        <v>0</v>
      </c>
      <c r="I102" s="14">
        <v>7.7897298720145942E-10</v>
      </c>
      <c r="J102" s="14">
        <v>1.423842670572246E-7</v>
      </c>
      <c r="K102" s="14">
        <v>0</v>
      </c>
    </row>
    <row r="103" spans="1:11">
      <c r="A103" s="2" t="s">
        <v>484</v>
      </c>
      <c r="B103" s="3" t="s">
        <v>485</v>
      </c>
      <c r="D103" s="14">
        <v>9.3917214640365556E-18</v>
      </c>
      <c r="E103" s="14">
        <v>3.9668688698243434E-5</v>
      </c>
      <c r="F103" s="14">
        <v>3.1018401906866496E-9</v>
      </c>
      <c r="G103" s="14">
        <v>1.4491554491815023E-9</v>
      </c>
      <c r="H103" s="14">
        <v>0</v>
      </c>
      <c r="I103" s="14">
        <v>2.549411335431366E-9</v>
      </c>
      <c r="J103" s="14">
        <v>3.2421089477187151E-7</v>
      </c>
      <c r="K103" s="14">
        <v>0</v>
      </c>
    </row>
    <row r="104" spans="1:11">
      <c r="A104" s="2" t="s">
        <v>486</v>
      </c>
      <c r="B104" s="3" t="s">
        <v>487</v>
      </c>
      <c r="D104" s="14">
        <v>1.1543461695184456E-13</v>
      </c>
      <c r="E104" s="14">
        <v>3.8010948490031657E-5</v>
      </c>
      <c r="F104" s="14">
        <v>8.8025860869576324E-8</v>
      </c>
      <c r="G104" s="14">
        <v>3.2040983360260424E-8</v>
      </c>
      <c r="H104" s="14">
        <v>0</v>
      </c>
      <c r="I104" s="14">
        <v>5.2555382981215274E-8</v>
      </c>
      <c r="J104" s="14">
        <v>1.8164291673226794E-6</v>
      </c>
      <c r="K104" s="14">
        <v>0</v>
      </c>
    </row>
    <row r="105" spans="1:11">
      <c r="A105" s="2" t="s">
        <v>488</v>
      </c>
      <c r="B105" s="3" t="s">
        <v>489</v>
      </c>
      <c r="D105" s="14">
        <v>9.3649141248245078E-21</v>
      </c>
      <c r="E105" s="14">
        <v>3.9826894153652292E-5</v>
      </c>
      <c r="F105" s="14">
        <v>9.0318769925742358E-10</v>
      </c>
      <c r="G105" s="14">
        <v>4.6224643408745825E-10</v>
      </c>
      <c r="H105" s="14">
        <v>0</v>
      </c>
      <c r="I105" s="14">
        <v>9.8039098924738809E-10</v>
      </c>
      <c r="J105" s="14">
        <v>1.707600212251084E-7</v>
      </c>
      <c r="K105" s="14">
        <v>0</v>
      </c>
    </row>
    <row r="106" spans="1:11">
      <c r="A106" s="2" t="s">
        <v>490</v>
      </c>
      <c r="B106" s="3" t="s">
        <v>491</v>
      </c>
      <c r="D106" s="14">
        <v>5.0309549844235143E-13</v>
      </c>
      <c r="E106" s="14">
        <v>3.2600410746313887E-5</v>
      </c>
      <c r="F106" s="14">
        <v>9.2028987993702631E-7</v>
      </c>
      <c r="G106" s="14">
        <v>2.7862507709698642E-7</v>
      </c>
      <c r="H106" s="14">
        <v>0</v>
      </c>
      <c r="I106" s="14">
        <v>4.6568158502748654E-7</v>
      </c>
      <c r="J106" s="14">
        <v>5.7349922085291193E-6</v>
      </c>
      <c r="K106" s="14">
        <v>0</v>
      </c>
    </row>
    <row r="107" spans="1:11">
      <c r="A107" s="2" t="s">
        <v>492</v>
      </c>
      <c r="B107" s="3" t="s">
        <v>493</v>
      </c>
      <c r="D107" s="14">
        <v>7.1665754746018039E-21</v>
      </c>
      <c r="E107" s="14">
        <v>4.4541446782482747E-7</v>
      </c>
      <c r="F107" s="14">
        <v>2.3943404021422655E-5</v>
      </c>
      <c r="G107" s="14">
        <v>4.156056559917365E-6</v>
      </c>
      <c r="H107" s="14">
        <v>0</v>
      </c>
      <c r="I107" s="14">
        <v>7.4428186499730193E-6</v>
      </c>
      <c r="J107" s="14">
        <v>4.0123063008621339E-6</v>
      </c>
      <c r="K107" s="14">
        <v>0</v>
      </c>
    </row>
    <row r="108" spans="1:11">
      <c r="A108" s="2" t="s">
        <v>291</v>
      </c>
      <c r="B108" s="3" t="s">
        <v>494</v>
      </c>
      <c r="D108" s="14">
        <v>1.0967533203813444E-14</v>
      </c>
      <c r="E108" s="14">
        <v>1.7601983050233169E-5</v>
      </c>
      <c r="F108" s="14">
        <v>6.3677084804036666E-6</v>
      </c>
      <c r="G108" s="14">
        <v>1.5976392743870961E-6</v>
      </c>
      <c r="H108" s="14">
        <v>0</v>
      </c>
      <c r="I108" s="14">
        <v>2.7325210936714945E-6</v>
      </c>
      <c r="J108" s="14">
        <v>1.1700148090337041E-5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9C0C5-1FC4-494B-A99A-6933D89C0956}">
  <dimension ref="A1:D108"/>
  <sheetViews>
    <sheetView tabSelected="1" topLeftCell="A84" workbookViewId="0">
      <selection activeCell="A84" sqref="A84:D108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7.0929300464176474E-7</v>
      </c>
      <c r="B2">
        <f>'Mass Balance'!E2</f>
        <v>3.0386249119135473E-5</v>
      </c>
      <c r="C2">
        <f>SUM('Mass Balance'!E2:H2)</f>
        <v>3.2258895106633049E-5</v>
      </c>
      <c r="D2">
        <f>Concentrations!F2/Concentrations!E2</f>
        <v>0.94563593622416287</v>
      </c>
    </row>
    <row r="3" spans="1:4">
      <c r="A3" s="164">
        <f>'Mass Balance'!I3</f>
        <v>2.2226271549746976E-5</v>
      </c>
      <c r="B3">
        <f>'Mass Balance'!E3</f>
        <v>1.1791910787771521E-8</v>
      </c>
      <c r="C3">
        <f>SUM('Mass Balance'!E3:H3)</f>
        <v>1.6231603657693562E-5</v>
      </c>
      <c r="D3">
        <f>Concentrations!F3/Concentrations!E3</f>
        <v>7.2932166972692746E-4</v>
      </c>
    </row>
    <row r="4" spans="1:4">
      <c r="A4" s="164">
        <f>'Mass Balance'!I4</f>
        <v>3.7462667409028309E-6</v>
      </c>
      <c r="B4">
        <f>'Mass Balance'!E4</f>
        <v>1.2831774945589524E-5</v>
      </c>
      <c r="C4">
        <f>SUM('Mass Balance'!E4:H4)</f>
        <v>2.4127204690666561E-5</v>
      </c>
      <c r="D4">
        <f>Concentrations!F4/Concentrations!E4</f>
        <v>0.53391987495413606</v>
      </c>
    </row>
    <row r="5" spans="1:4">
      <c r="A5" s="164">
        <f>'Mass Balance'!I5</f>
        <v>1.0518114177528553E-5</v>
      </c>
      <c r="B5">
        <f>'Mass Balance'!E5</f>
        <v>2.0477994442663387E-7</v>
      </c>
      <c r="C5">
        <f>SUM('Mass Balance'!E5:H5)</f>
        <v>2.6030094260690683E-5</v>
      </c>
      <c r="D5">
        <f>Concentrations!F5/Concentrations!E5</f>
        <v>7.8978347458445244E-3</v>
      </c>
    </row>
    <row r="6" spans="1:4">
      <c r="A6" s="164">
        <f>'Mass Balance'!I6</f>
        <v>2.3820579901059791E-5</v>
      </c>
      <c r="B6">
        <f>'Mass Balance'!E6</f>
        <v>4.8429721981176638E-9</v>
      </c>
      <c r="C6">
        <f>SUM('Mass Balance'!E6:H6)</f>
        <v>1.5143794429755765E-5</v>
      </c>
      <c r="D6">
        <f>Concentrations!F6/Concentrations!E6</f>
        <v>3.2105070844138669E-4</v>
      </c>
    </row>
    <row r="7" spans="1:4">
      <c r="A7" s="164">
        <f>'Mass Balance'!I7</f>
        <v>2.2531152033185644E-5</v>
      </c>
      <c r="B7">
        <f>'Mass Balance'!E7</f>
        <v>1.0388223197119762E-8</v>
      </c>
      <c r="C7">
        <f>SUM('Mass Balance'!E7:H7)</f>
        <v>1.6061033554590846E-5</v>
      </c>
      <c r="D7">
        <f>Concentrations!F7/Concentrations!E7</f>
        <v>6.4932802139476553E-4</v>
      </c>
    </row>
    <row r="8" spans="1:4">
      <c r="A8" s="164">
        <f>'Mass Balance'!I8</f>
        <v>2.018046619677019E-5</v>
      </c>
      <c r="B8">
        <f>'Mass Balance'!E8</f>
        <v>2.6045147400759669E-8</v>
      </c>
      <c r="C8">
        <f>SUM('Mass Balance'!E8:H8)</f>
        <v>1.7827457032555302E-5</v>
      </c>
      <c r="D8">
        <f>Concentrations!F8/Concentrations!E8</f>
        <v>1.4666746427414962E-3</v>
      </c>
    </row>
    <row r="9" spans="1:4">
      <c r="A9" s="164">
        <f>'Mass Balance'!I9</f>
        <v>6.8711458447206548E-6</v>
      </c>
      <c r="B9">
        <f>'Mass Balance'!E9</f>
        <v>1.9713866609297662E-6</v>
      </c>
      <c r="C9">
        <f>SUM('Mass Balance'!E9:H9)</f>
        <v>2.5709284320528862E-5</v>
      </c>
      <c r="D9">
        <f>Concentrations!F9/Concentrations!E9</f>
        <v>7.6980049987451254E-2</v>
      </c>
    </row>
    <row r="10" spans="1:4">
      <c r="A10" s="164">
        <f>'Mass Balance'!I10</f>
        <v>1.1054255538000554E-5</v>
      </c>
      <c r="B10">
        <f>'Mass Balance'!E10</f>
        <v>1.8703348361093981E-7</v>
      </c>
      <c r="C10">
        <f>SUM('Mass Balance'!E10:H10)</f>
        <v>2.5540135014836255E-5</v>
      </c>
      <c r="D10">
        <f>Concentrations!F10/Concentrations!E10</f>
        <v>7.3517805761136165E-3</v>
      </c>
    </row>
    <row r="11" spans="1:4">
      <c r="A11" s="164">
        <f>'Mass Balance'!I11</f>
        <v>1.1958541508282208E-5</v>
      </c>
      <c r="B11">
        <f>'Mass Balance'!E11</f>
        <v>1.6012849214737092E-7</v>
      </c>
      <c r="C11">
        <f>SUM('Mass Balance'!E11:H11)</f>
        <v>2.4717663106614707E-5</v>
      </c>
      <c r="D11">
        <f>Concentrations!F11/Concentrations!E11</f>
        <v>6.5036560878853986E-3</v>
      </c>
    </row>
    <row r="12" spans="1:4">
      <c r="A12" s="164">
        <f>'Mass Balance'!I12</f>
        <v>7.1486422680676831E-6</v>
      </c>
      <c r="B12">
        <f>'Mass Balance'!E12</f>
        <v>1.2548957768241696E-6</v>
      </c>
      <c r="C12">
        <f>SUM('Mass Balance'!E12:H12)</f>
        <v>2.6642672168498497E-5</v>
      </c>
      <c r="D12">
        <f>Concentrations!F12/Concentrations!E12</f>
        <v>4.728530984048708E-2</v>
      </c>
    </row>
    <row r="13" spans="1:4">
      <c r="A13" s="164">
        <f>'Mass Balance'!I13</f>
        <v>6.9018752194680983E-6</v>
      </c>
      <c r="B13">
        <f>'Mass Balance'!E13</f>
        <v>1.8896870860154294E-6</v>
      </c>
      <c r="C13">
        <f>SUM('Mass Balance'!E13:H13)</f>
        <v>2.5796303170120493E-5</v>
      </c>
      <c r="D13">
        <f>Concentrations!F13/Concentrations!E13</f>
        <v>7.3540873690213088E-2</v>
      </c>
    </row>
    <row r="14" spans="1:4">
      <c r="A14" s="164">
        <f>'Mass Balance'!I14</f>
        <v>1.4779876830553122E-5</v>
      </c>
      <c r="B14">
        <f>'Mass Balance'!E14</f>
        <v>9.5830301685993679E-8</v>
      </c>
      <c r="C14">
        <f>SUM('Mass Balance'!E14:H14)</f>
        <v>2.2241393827191771E-5</v>
      </c>
      <c r="D14">
        <f>Concentrations!F14/Concentrations!E14</f>
        <v>4.3255089750456237E-3</v>
      </c>
    </row>
    <row r="15" spans="1:4">
      <c r="A15" s="164">
        <f>'Mass Balance'!I15</f>
        <v>1.150511223380003E-5</v>
      </c>
      <c r="B15">
        <f>'Mass Balance'!E15</f>
        <v>1.7317332315070391E-7</v>
      </c>
      <c r="C15">
        <f>SUM('Mass Balance'!E15:H15)</f>
        <v>2.5129376301349631E-5</v>
      </c>
      <c r="D15">
        <f>Concentrations!F15/Concentrations!E15</f>
        <v>6.9182403118300574E-3</v>
      </c>
    </row>
    <row r="16" spans="1:4">
      <c r="A16" s="164">
        <f>'Mass Balance'!I16</f>
        <v>2.0049602707598077E-5</v>
      </c>
      <c r="B16">
        <f>'Mass Balance'!E16</f>
        <v>2.7115729525882618E-8</v>
      </c>
      <c r="C16">
        <f>SUM('Mass Balance'!E16:H16)</f>
        <v>1.7924593303245881E-5</v>
      </c>
      <c r="D16">
        <f>Concentrations!F16/Concentrations!E16</f>
        <v>1.5186872432767797E-3</v>
      </c>
    </row>
    <row r="17" spans="1:4">
      <c r="A17" s="164">
        <f>'Mass Balance'!I17</f>
        <v>1.0696410836626885E-5</v>
      </c>
      <c r="B17">
        <f>'Mass Balance'!E17</f>
        <v>1.9873196334339976E-7</v>
      </c>
      <c r="C17">
        <f>SUM('Mass Balance'!E17:H17)</f>
        <v>2.5867913134415895E-5</v>
      </c>
      <c r="D17">
        <f>Concentrations!F17/Concentrations!E17</f>
        <v>7.712633448483123E-3</v>
      </c>
    </row>
    <row r="18" spans="1:4">
      <c r="A18" s="164">
        <f>'Mass Balance'!I18</f>
        <v>6.7019113641335503E-6</v>
      </c>
      <c r="B18">
        <f>'Mass Balance'!E18</f>
        <v>2.3734530781698365E-6</v>
      </c>
      <c r="C18">
        <f>SUM('Mass Balance'!E18:H18)</f>
        <v>2.525583079946119E-5</v>
      </c>
      <c r="D18">
        <f>Concentrations!F18/Concentrations!E18</f>
        <v>9.4344231965447389E-2</v>
      </c>
    </row>
    <row r="19" spans="1:4">
      <c r="A19" s="164">
        <f>'Mass Balance'!I19</f>
        <v>1.1595705172414612E-5</v>
      </c>
      <c r="B19">
        <f>'Mass Balance'!E19</f>
        <v>1.7050116452952054E-7</v>
      </c>
      <c r="C19">
        <f>SUM('Mass Balance'!E19:H19)</f>
        <v>2.504724149006183E-5</v>
      </c>
      <c r="D19">
        <f>Concentrations!F19/Concentrations!E19</f>
        <v>6.8338243025118026E-3</v>
      </c>
    </row>
    <row r="20" spans="1:4">
      <c r="A20" s="164">
        <f>'Mass Balance'!I20</f>
        <v>6.9026420830244429E-6</v>
      </c>
      <c r="B20">
        <f>'Mass Balance'!E20</f>
        <v>1.8898970481073362E-6</v>
      </c>
      <c r="C20">
        <f>SUM('Mass Balance'!E20:H20)</f>
        <v>2.579916938316558E-5</v>
      </c>
      <c r="D20">
        <f>Concentrations!F20/Concentrations!E20</f>
        <v>7.3540873690213074E-2</v>
      </c>
    </row>
    <row r="21" spans="1:4">
      <c r="A21" s="164">
        <f>'Mass Balance'!I21</f>
        <v>1.3964061810045797E-5</v>
      </c>
      <c r="B21">
        <f>'Mass Balance'!E21</f>
        <v>1.1175921148103618E-7</v>
      </c>
      <c r="C21">
        <f>SUM('Mass Balance'!E21:H21)</f>
        <v>2.2936219347323012E-5</v>
      </c>
      <c r="D21">
        <f>Concentrations!F21/Concentrations!E21</f>
        <v>4.8916779614992974E-3</v>
      </c>
    </row>
    <row r="22" spans="1:4">
      <c r="A22" s="164">
        <f>'Mass Balance'!I22</f>
        <v>2.0276287499873061E-6</v>
      </c>
      <c r="B22">
        <f>'Mass Balance'!E22</f>
        <v>2.1346854027293714E-5</v>
      </c>
      <c r="C22">
        <f>SUM('Mass Balance'!E22:H22)</f>
        <v>2.7105749104036491E-5</v>
      </c>
      <c r="D22">
        <f>Concentrations!F22/Concentrations!E22</f>
        <v>0.79062187913500215</v>
      </c>
    </row>
    <row r="23" spans="1:4">
      <c r="A23" s="164">
        <f>'Mass Balance'!I23</f>
        <v>1.0554799224538137E-6</v>
      </c>
      <c r="B23">
        <f>'Mass Balance'!E23</f>
        <v>2.7668729791597711E-5</v>
      </c>
      <c r="C23">
        <f>SUM('Mass Balance'!E23:H23)</f>
        <v>3.0526943000284913E-5</v>
      </c>
      <c r="D23">
        <f>Concentrations!F23/Concentrations!E23</f>
        <v>0.90991802583642023</v>
      </c>
    </row>
    <row r="24" spans="1:4">
      <c r="A24" s="164">
        <f>'Mass Balance'!I24</f>
        <v>5.5202987658613274E-6</v>
      </c>
      <c r="B24">
        <f>'Mass Balance'!E24</f>
        <v>6.0092445173361658E-6</v>
      </c>
      <c r="C24">
        <f>SUM('Mass Balance'!E24:H24)</f>
        <v>2.3722220588462495E-5</v>
      </c>
      <c r="D24">
        <f>Concentrations!F24/Concentrations!E24</f>
        <v>0.25430851284398492</v>
      </c>
    </row>
    <row r="25" spans="1:4">
      <c r="A25" s="164">
        <f>'Mass Balance'!I25</f>
        <v>7.2857833826066491E-6</v>
      </c>
      <c r="B25">
        <f>'Mass Balance'!E25</f>
        <v>6.8005185309360159E-7</v>
      </c>
      <c r="C25">
        <f>SUM('Mass Balance'!E25:H25)</f>
        <v>2.7497512392520318E-5</v>
      </c>
      <c r="D25">
        <f>Concentrations!F25/Concentrations!E25</f>
        <v>2.4828185657071934E-2</v>
      </c>
    </row>
    <row r="26" spans="1:4">
      <c r="A26" s="164">
        <f>'Mass Balance'!I26</f>
        <v>1.3418262047228915E-5</v>
      </c>
      <c r="B26">
        <f>'Mass Balance'!E26</f>
        <v>1.235741176993938E-7</v>
      </c>
      <c r="C26">
        <f>SUM('Mass Balance'!E26:H26)</f>
        <v>2.3414514540553316E-5</v>
      </c>
      <c r="D26">
        <f>Concentrations!F26/Concentrations!E26</f>
        <v>5.2983265655727274E-3</v>
      </c>
    </row>
    <row r="27" spans="1:4">
      <c r="A27" s="164">
        <f>'Mass Balance'!I27</f>
        <v>2.2001203826069302E-5</v>
      </c>
      <c r="B27">
        <f>'Mass Balance'!E27</f>
        <v>1.3120904018732421E-8</v>
      </c>
      <c r="C27">
        <f>SUM('Mass Balance'!E27:H27)</f>
        <v>1.6413142777542908E-5</v>
      </c>
      <c r="D27">
        <f>Concentrations!F27/Concentrations!E27</f>
        <v>8.0254311530271666E-4</v>
      </c>
    </row>
    <row r="28" spans="1:4">
      <c r="A28" s="164">
        <f>'Mass Balance'!I28</f>
        <v>1.7105881520080587E-5</v>
      </c>
      <c r="B28">
        <f>'Mass Balance'!E28</f>
        <v>5.8973772799621148E-8</v>
      </c>
      <c r="C28">
        <f>SUM('Mass Balance'!E28:H28)</f>
        <v>2.0285990140755098E-5</v>
      </c>
      <c r="D28">
        <f>Concentrations!F28/Concentrations!E28</f>
        <v>2.9184957454671035E-3</v>
      </c>
    </row>
    <row r="29" spans="1:4">
      <c r="A29" s="164">
        <f>'Mass Balance'!I29</f>
        <v>1.4255133401758447E-5</v>
      </c>
      <c r="B29">
        <f>'Mass Balance'!E29</f>
        <v>9.9147819752114939E-8</v>
      </c>
      <c r="C29">
        <f>SUM('Mass Balance'!E29:H29)</f>
        <v>2.2077277992130132E-5</v>
      </c>
      <c r="D29">
        <f>Concentrations!F29/Concentrations!E29</f>
        <v>4.5085200424820797E-3</v>
      </c>
    </row>
    <row r="30" spans="1:4">
      <c r="A30" s="164">
        <f>'Mass Balance'!I30</f>
        <v>1.7105881520080587E-5</v>
      </c>
      <c r="B30">
        <f>'Mass Balance'!E30</f>
        <v>5.8973772799621148E-8</v>
      </c>
      <c r="C30">
        <f>SUM('Mass Balance'!E30:H30)</f>
        <v>2.0285990140755098E-5</v>
      </c>
      <c r="D30">
        <f>Concentrations!F30/Concentrations!E30</f>
        <v>2.9184957454671035E-3</v>
      </c>
    </row>
    <row r="31" spans="1:4">
      <c r="A31" s="164">
        <f>'Mass Balance'!I31</f>
        <v>1.5791629028542328E-8</v>
      </c>
      <c r="B31">
        <f>'Mass Balance'!E31</f>
        <v>3.9016076422797568E-5</v>
      </c>
      <c r="C31">
        <f>SUM('Mass Balance'!E31:H31)</f>
        <v>3.9049720130322078E-5</v>
      </c>
      <c r="D31">
        <f>Concentrations!F31/Concentrations!E31</f>
        <v>1.0030487243621815</v>
      </c>
    </row>
    <row r="32" spans="1:4">
      <c r="A32" s="164">
        <f>'Mass Balance'!I32</f>
        <v>3.0614430963260366E-6</v>
      </c>
      <c r="B32">
        <f>'Mass Balance'!E32</f>
        <v>1.6050741685753819E-5</v>
      </c>
      <c r="C32">
        <f>SUM('Mass Balance'!E32:H32)</f>
        <v>2.5045324071366864E-5</v>
      </c>
      <c r="D32">
        <f>Concentrations!F32/Concentrations!E32</f>
        <v>0.64337593466145515</v>
      </c>
    </row>
    <row r="33" spans="1:4">
      <c r="A33" s="164">
        <f>'Mass Balance'!I33</f>
        <v>8.3126099369813603E-9</v>
      </c>
      <c r="B33">
        <f>'Mass Balance'!E33</f>
        <v>3.9821294332932752E-5</v>
      </c>
      <c r="C33">
        <f>SUM('Mass Balance'!E33:H33)</f>
        <v>3.9989402855056266E-5</v>
      </c>
      <c r="D33">
        <f>Concentrations!F33/Concentrations!E33</f>
        <v>0.99969337789726753</v>
      </c>
    </row>
    <row r="34" spans="1:4">
      <c r="A34" s="164">
        <f>'Mass Balance'!I34</f>
        <v>6.0427924609524025E-7</v>
      </c>
      <c r="B34">
        <f>'Mass Balance'!E34</f>
        <v>2.1573883285854189E-5</v>
      </c>
      <c r="C34">
        <f>SUM('Mass Balance'!E34:H34)</f>
        <v>3.9388052122960607E-5</v>
      </c>
      <c r="D34">
        <f>Concentrations!F34/Concentrations!E34</f>
        <v>0.54987019915558155</v>
      </c>
    </row>
    <row r="35" spans="1:4">
      <c r="A35" s="164">
        <f>'Mass Balance'!I35</f>
        <v>8.4965607151849469E-7</v>
      </c>
      <c r="B35">
        <f>'Mass Balance'!E35</f>
        <v>1.2692474646991615E-5</v>
      </c>
      <c r="C35">
        <f>SUM('Mass Balance'!E35:H35)</f>
        <v>3.9131897689038632E-5</v>
      </c>
      <c r="D35">
        <f>Concentrations!F35/Concentrations!E35</f>
        <v>0.32562051399863756</v>
      </c>
    </row>
    <row r="36" spans="1:4">
      <c r="A36" s="164">
        <f>'Mass Balance'!I36</f>
        <v>1.0276870799501073E-6</v>
      </c>
      <c r="B36">
        <f>'Mass Balance'!E36</f>
        <v>4.2145343946746017E-6</v>
      </c>
      <c r="C36">
        <f>SUM('Mass Balance'!E36:H36)</f>
        <v>3.895178992258779E-5</v>
      </c>
      <c r="D36">
        <f>Concentrations!F36/Concentrations!E36</f>
        <v>0.1086221877125709</v>
      </c>
    </row>
    <row r="37" spans="1:4">
      <c r="A37" s="164">
        <f>'Mass Balance'!I37</f>
        <v>2.2509951133198783E-6</v>
      </c>
      <c r="B37">
        <f>'Mass Balance'!E37</f>
        <v>7.8584807592786717E-6</v>
      </c>
      <c r="C37">
        <f>SUM('Mass Balance'!E37:H37)</f>
        <v>3.5077953150532869E-5</v>
      </c>
      <c r="D37">
        <f>Concentrations!F37/Concentrations!E37</f>
        <v>0.22490582970047909</v>
      </c>
    </row>
    <row r="38" spans="1:4">
      <c r="A38" s="164">
        <f>'Mass Balance'!I38</f>
        <v>5.419874470190223E-7</v>
      </c>
      <c r="B38">
        <f>'Mass Balance'!E38</f>
        <v>2.4196962928256219E-5</v>
      </c>
      <c r="C38">
        <f>SUM('Mass Balance'!E38:H38)</f>
        <v>3.9383722253008566E-5</v>
      </c>
      <c r="D38">
        <f>Concentrations!F38/Concentrations!E38</f>
        <v>0.61679445598249316</v>
      </c>
    </row>
    <row r="39" spans="1:4">
      <c r="A39" s="164">
        <f>'Mass Balance'!I39</f>
        <v>7.6051634245569224E-6</v>
      </c>
      <c r="B39">
        <f>'Mass Balance'!E39</f>
        <v>3.3578103939207399E-7</v>
      </c>
      <c r="C39">
        <f>SUM('Mass Balance'!E39:H39)</f>
        <v>2.881120742557648E-5</v>
      </c>
      <c r="D39">
        <f>Concentrations!F39/Concentrations!E39</f>
        <v>1.1700140373438877E-2</v>
      </c>
    </row>
    <row r="40" spans="1:4">
      <c r="A40" s="164">
        <f>'Mass Balance'!I40</f>
        <v>2.6366213368513858E-5</v>
      </c>
      <c r="B40">
        <f>'Mass Balance'!E40</f>
        <v>1.387985911047757E-8</v>
      </c>
      <c r="C40">
        <f>SUM('Mass Balance'!E40:H40)</f>
        <v>1.3593948437710589E-5</v>
      </c>
      <c r="D40">
        <f>Concentrations!F40/Concentrations!E40</f>
        <v>1.0250281720648681E-3</v>
      </c>
    </row>
    <row r="41" spans="1:4">
      <c r="A41" s="164">
        <f>'Mass Balance'!I41</f>
        <v>1.114579736282939E-9</v>
      </c>
      <c r="B41">
        <f>'Mass Balance'!E41</f>
        <v>3.6541825861671552E-5</v>
      </c>
      <c r="C41">
        <f>SUM('Mass Balance'!E41:H41)</f>
        <v>3.6543504581929881E-5</v>
      </c>
      <c r="D41">
        <f>Concentrations!F41/Concentrations!E41</f>
        <v>1.0038675396339611</v>
      </c>
    </row>
    <row r="42" spans="1:4">
      <c r="A42" s="164">
        <f>'Mass Balance'!I42</f>
        <v>2.3188577632773602E-6</v>
      </c>
      <c r="B42">
        <f>'Mass Balance'!E42</f>
        <v>1.9778149710251435E-5</v>
      </c>
      <c r="C42">
        <f>SUM('Mass Balance'!E42:H42)</f>
        <v>2.643779960280438E-5</v>
      </c>
      <c r="D42">
        <f>Concentrations!F42/Concentrations!E42</f>
        <v>0.75102901537292643</v>
      </c>
    </row>
    <row r="43" spans="1:4">
      <c r="A43" s="164">
        <f>'Mass Balance'!I43</f>
        <v>2.1239036696130987E-6</v>
      </c>
      <c r="B43">
        <f>'Mass Balance'!E43</f>
        <v>3.3396875445023401E-7</v>
      </c>
      <c r="C43">
        <f>SUM('Mass Balance'!E43:H43)</f>
        <v>3.7860113769645011E-5</v>
      </c>
      <c r="D43">
        <f>Concentrations!F43/Concentrations!E43</f>
        <v>8.855646753836037E-3</v>
      </c>
    </row>
    <row r="44" spans="1:4">
      <c r="A44" s="164">
        <f>'Mass Balance'!I44</f>
        <v>3.9270865051948832E-7</v>
      </c>
      <c r="B44">
        <f>'Mass Balance'!E44</f>
        <v>3.0187349878472986E-5</v>
      </c>
      <c r="C44">
        <f>SUM('Mass Balance'!E44:H44)</f>
        <v>3.1193577125444932E-5</v>
      </c>
      <c r="D44">
        <f>Concentrations!F44/Concentrations!E44</f>
        <v>0.97152989827926495</v>
      </c>
    </row>
    <row r="45" spans="1:4">
      <c r="A45" s="164">
        <f>'Mass Balance'!I45</f>
        <v>2.5895462408217231E-6</v>
      </c>
      <c r="B45">
        <f>'Mass Balance'!E45</f>
        <v>1.8317227961201986E-5</v>
      </c>
      <c r="C45">
        <f>SUM('Mass Balance'!E45:H45)</f>
        <v>2.5828381194313434E-5</v>
      </c>
      <c r="D45">
        <f>Concentrations!F45/Concentrations!E45</f>
        <v>0.7119654604094906</v>
      </c>
    </row>
    <row r="46" spans="1:4">
      <c r="A46" s="164">
        <f>'Mass Balance'!I46</f>
        <v>2.4146796281357482E-6</v>
      </c>
      <c r="B46">
        <f>'Mass Balance'!E46</f>
        <v>1.9199629890045498E-5</v>
      </c>
      <c r="C46">
        <f>SUM('Mass Balance'!E46:H46)</f>
        <v>2.6160278847327593E-5</v>
      </c>
      <c r="D46">
        <f>Concentrations!F46/Concentrations!E46</f>
        <v>0.73679530590858955</v>
      </c>
    </row>
    <row r="47" spans="1:4">
      <c r="A47" s="164">
        <f>'Mass Balance'!I47</f>
        <v>2.2262226197766079E-5</v>
      </c>
      <c r="B47">
        <f>'Mass Balance'!E47</f>
        <v>1.1810986141948582E-8</v>
      </c>
      <c r="C47">
        <f>SUM('Mass Balance'!E47:H47)</f>
        <v>1.6257860944930951E-5</v>
      </c>
      <c r="D47">
        <f>Concentrations!F47/Concentrations!E47</f>
        <v>7.2932166972692746E-4</v>
      </c>
    </row>
    <row r="48" spans="1:4">
      <c r="A48" s="164">
        <f>'Mass Balance'!I48</f>
        <v>1.3892958289278449E-7</v>
      </c>
      <c r="B48">
        <f>'Mass Balance'!E48</f>
        <v>3.6004309865525711E-5</v>
      </c>
      <c r="C48">
        <f>SUM('Mass Balance'!E48:H48)</f>
        <v>3.6338959974764316E-5</v>
      </c>
      <c r="D48">
        <f>Concentrations!F48/Concentrations!E48</f>
        <v>0.99466848831057519</v>
      </c>
    </row>
    <row r="49" spans="1:4">
      <c r="A49" s="164">
        <f>'Mass Balance'!I49</f>
        <v>2.3718672723737572E-7</v>
      </c>
      <c r="B49">
        <f>'Mass Balance'!E49</f>
        <v>3.4274690089621715E-5</v>
      </c>
      <c r="C49">
        <f>SUM('Mass Balance'!E49:H49)</f>
        <v>3.4863221851294132E-5</v>
      </c>
      <c r="D49">
        <f>Concentrations!F49/Concentrations!E49</f>
        <v>0.98696642602903817</v>
      </c>
    </row>
    <row r="50" spans="1:4">
      <c r="A50" s="164">
        <f>'Mass Balance'!I50</f>
        <v>6.6265615972142804E-6</v>
      </c>
      <c r="B50">
        <f>'Mass Balance'!E50</f>
        <v>2.5173869407578962E-6</v>
      </c>
      <c r="C50">
        <f>SUM('Mass Balance'!E50:H50)</f>
        <v>2.5054113352240254E-5</v>
      </c>
      <c r="D50">
        <f>Concentrations!F50/Concentrations!E50</f>
        <v>0.1008712259839544</v>
      </c>
    </row>
    <row r="51" spans="1:4">
      <c r="A51" s="164">
        <f>'Mass Balance'!I51</f>
        <v>2.545228609174914E-8</v>
      </c>
      <c r="B51">
        <f>'Mass Balance'!E51</f>
        <v>3.6115361431950811E-5</v>
      </c>
      <c r="C51">
        <f>SUM('Mass Balance'!E51:H51)</f>
        <v>3.6171411963256798E-5</v>
      </c>
      <c r="D51">
        <f>Concentrations!F51/Concentrations!E51</f>
        <v>1.002358011511207</v>
      </c>
    </row>
    <row r="52" spans="1:4">
      <c r="A52" s="164">
        <f>'Mass Balance'!I52</f>
        <v>6.4843187932910632E-7</v>
      </c>
      <c r="B52">
        <f>'Mass Balance'!E52</f>
        <v>2.843628609362289E-5</v>
      </c>
      <c r="C52">
        <f>SUM('Mass Balance'!E52:H52)</f>
        <v>3.0146191355918642E-5</v>
      </c>
      <c r="D52">
        <f>Concentrations!F52/Concentrations!E52</f>
        <v>0.94697123184535303</v>
      </c>
    </row>
    <row r="53" spans="1:4">
      <c r="A53" s="164">
        <f>'Mass Balance'!I53</f>
        <v>3.5091085047154569E-6</v>
      </c>
      <c r="B53">
        <f>'Mass Balance'!E53</f>
        <v>1.3830664737500326E-5</v>
      </c>
      <c r="C53">
        <f>SUM('Mass Balance'!E53:H53)</f>
        <v>2.4331606712386343E-5</v>
      </c>
      <c r="D53">
        <f>Concentrations!F53/Concentrations!E53</f>
        <v>0.57064843187288916</v>
      </c>
    </row>
    <row r="54" spans="1:4">
      <c r="A54" s="164">
        <f>'Mass Balance'!I54</f>
        <v>2.1358215047456945E-5</v>
      </c>
      <c r="B54">
        <f>'Mass Balance'!E54</f>
        <v>1.7264802127709777E-8</v>
      </c>
      <c r="C54">
        <f>SUM('Mass Balance'!E54:H54)</f>
        <v>1.6927187702688396E-5</v>
      </c>
      <c r="D54">
        <f>Concentrations!F54/Concentrations!E54</f>
        <v>1.0239368137133337E-3</v>
      </c>
    </row>
    <row r="55" spans="1:4">
      <c r="A55" s="164">
        <f>'Mass Balance'!I55</f>
        <v>5.0417832142760599E-6</v>
      </c>
      <c r="B55">
        <f>'Mass Balance'!E55</f>
        <v>4.7696025359175048E-6</v>
      </c>
      <c r="C55">
        <f>SUM('Mass Balance'!E55:H55)</f>
        <v>2.1072253783150444E-5</v>
      </c>
      <c r="D55">
        <f>Concentrations!F55/Concentrations!E55</f>
        <v>0.22723099168919017</v>
      </c>
    </row>
    <row r="56" spans="1:4">
      <c r="A56" s="164">
        <f>'Mass Balance'!I56</f>
        <v>3.1555793422229299E-6</v>
      </c>
      <c r="B56">
        <f>'Mass Balance'!E56</f>
        <v>5.9421416438733302E-7</v>
      </c>
      <c r="C56">
        <f>SUM('Mass Balance'!E56:H56)</f>
        <v>1.1756734636691626E-5</v>
      </c>
      <c r="D56">
        <f>Concentrations!F56/Concentrations!E56</f>
        <v>5.0740255117250999E-2</v>
      </c>
    </row>
    <row r="57" spans="1:4">
      <c r="A57" s="164">
        <f>'Mass Balance'!I57</f>
        <v>1.6029249297421405E-6</v>
      </c>
      <c r="B57">
        <f>'Mass Balance'!E57</f>
        <v>1.1187488749507611E-6</v>
      </c>
      <c r="C57">
        <f>SUM('Mass Balance'!E57:H57)</f>
        <v>6.3893642569346451E-6</v>
      </c>
      <c r="D57">
        <f>Concentrations!F57/Concentrations!E57</f>
        <v>0.17578075519766789</v>
      </c>
    </row>
    <row r="58" spans="1:4">
      <c r="A58" s="164">
        <f>'Mass Balance'!I58</f>
        <v>2.0679410861729238E-8</v>
      </c>
      <c r="B58">
        <f>'Mass Balance'!E58</f>
        <v>2.3654100239604967E-6</v>
      </c>
      <c r="C58">
        <f>SUM('Mass Balance'!E58:H58)</f>
        <v>2.417334770572899E-6</v>
      </c>
      <c r="D58">
        <f>Concentrations!F58/Concentrations!E58</f>
        <v>0.98234942729794872</v>
      </c>
    </row>
    <row r="59" spans="1:4">
      <c r="A59" s="164">
        <f>'Mass Balance'!I59</f>
        <v>6.3014851023172789E-7</v>
      </c>
      <c r="B59">
        <f>'Mass Balance'!E59</f>
        <v>4.7178272646760178E-7</v>
      </c>
      <c r="C59">
        <f>SUM('Mass Balance'!E59:H59)</f>
        <v>2.5357805980036152E-6</v>
      </c>
      <c r="D59">
        <f>Concentrations!F59/Concentrations!E59</f>
        <v>0.18677843130853472</v>
      </c>
    </row>
    <row r="60" spans="1:4">
      <c r="A60" s="164">
        <f>'Mass Balance'!I60</f>
        <v>1.105164001725692E-8</v>
      </c>
      <c r="B60">
        <f>'Mass Balance'!E60</f>
        <v>1.7906124429393729E-8</v>
      </c>
      <c r="C60">
        <f>SUM('Mass Balance'!E60:H60)</f>
        <v>5.2605369422284003E-8</v>
      </c>
      <c r="D60">
        <f>Concentrations!F60/Concentrations!E60</f>
        <v>0.34171802338874774</v>
      </c>
    </row>
    <row r="61" spans="1:4">
      <c r="A61" s="164">
        <f>'Mass Balance'!I61</f>
        <v>4.3975438489627593E-6</v>
      </c>
      <c r="B61">
        <f>'Mass Balance'!E61</f>
        <v>1.0120041862987709E-5</v>
      </c>
      <c r="C61">
        <f>SUM('Mass Balance'!E61:H61)</f>
        <v>2.3666641412800911E-5</v>
      </c>
      <c r="D61">
        <f>Concentrations!F61/Concentrations!E61</f>
        <v>0.42928136943734024</v>
      </c>
    </row>
    <row r="62" spans="1:4">
      <c r="A62" s="164">
        <f>'Mass Balance'!I62</f>
        <v>1.4600950437646343E-5</v>
      </c>
      <c r="B62">
        <f>'Mass Balance'!E62</f>
        <v>9.9204885936631815E-8</v>
      </c>
      <c r="C62">
        <f>SUM('Mass Balance'!E62:H62)</f>
        <v>2.2396133316718668E-5</v>
      </c>
      <c r="D62">
        <f>Concentrations!F62/Concentrations!E62</f>
        <v>4.4468899351751282E-3</v>
      </c>
    </row>
    <row r="63" spans="1:4">
      <c r="A63" s="164">
        <f>'Mass Balance'!I63</f>
        <v>2.3497386066387479E-5</v>
      </c>
      <c r="B63">
        <f>'Mass Balance'!E63</f>
        <v>6.036409496699992E-9</v>
      </c>
      <c r="C63">
        <f>SUM('Mass Balance'!E63:H63)</f>
        <v>1.5369284249340152E-5</v>
      </c>
      <c r="D63">
        <f>Concentrations!F63/Concentrations!E63</f>
        <v>3.942951301225698E-4</v>
      </c>
    </row>
    <row r="64" spans="1:4">
      <c r="A64" s="164">
        <f>'Mass Balance'!I64</f>
        <v>2.4839639203419088E-5</v>
      </c>
      <c r="B64">
        <f>'Mass Balance'!E64</f>
        <v>1.9352941614991587E-9</v>
      </c>
      <c r="C64">
        <f>SUM('Mass Balance'!E64:H64)</f>
        <v>1.4454291057339445E-5</v>
      </c>
      <c r="D64">
        <f>Concentrations!F64/Concentrations!E64</f>
        <v>1.3441463378141344E-4</v>
      </c>
    </row>
    <row r="65" spans="1:4">
      <c r="A65" s="164">
        <f>'Mass Balance'!I65</f>
        <v>2.5694837057090473E-5</v>
      </c>
      <c r="B65">
        <f>'Mass Balance'!E65</f>
        <v>5.1543089620438015E-10</v>
      </c>
      <c r="C65">
        <f>SUM('Mass Balance'!E65:H65)</f>
        <v>1.3904732964974093E-5</v>
      </c>
      <c r="D65">
        <f>Concentrations!F65/Concentrations!E65</f>
        <v>3.7213811818105853E-5</v>
      </c>
    </row>
    <row r="66" spans="1:4">
      <c r="A66" s="164">
        <f>'Mass Balance'!I66</f>
        <v>2.5273291334587304E-5</v>
      </c>
      <c r="B66">
        <f>'Mass Balance'!E66</f>
        <v>1.0971468268032489E-9</v>
      </c>
      <c r="C66">
        <f>SUM('Mass Balance'!E66:H66)</f>
        <v>1.4172294252912918E-5</v>
      </c>
      <c r="D66">
        <f>Concentrations!F66/Concentrations!E66</f>
        <v>7.7717881346988231E-5</v>
      </c>
    </row>
    <row r="67" spans="1:4">
      <c r="A67" s="164">
        <f>'Mass Balance'!I67</f>
        <v>5.029990425867895E-7</v>
      </c>
      <c r="B67">
        <f>'Mass Balance'!E67</f>
        <v>3.2068521176259239E-5</v>
      </c>
      <c r="C67">
        <f>SUM('Mass Balance'!E67:H67)</f>
        <v>3.3369717019073772E-5</v>
      </c>
      <c r="D67">
        <f>Concentrations!F67/Concentrations!E67</f>
        <v>0.96476773687511463</v>
      </c>
    </row>
    <row r="68" spans="1:4">
      <c r="A68" s="164">
        <f>'Mass Balance'!I68</f>
        <v>8.3554705545381431E-7</v>
      </c>
      <c r="B68">
        <f>'Mass Balance'!E68</f>
        <v>2.900051115403937E-5</v>
      </c>
      <c r="C68">
        <f>SUM('Mass Balance'!E68:H68)</f>
        <v>3.1230540323205284E-5</v>
      </c>
      <c r="D68">
        <f>Concentrations!F68/Concentrations!E68</f>
        <v>0.9322288025193527</v>
      </c>
    </row>
    <row r="69" spans="1:4">
      <c r="A69" s="164">
        <f>'Mass Balance'!I69</f>
        <v>1.9845319329971476E-5</v>
      </c>
      <c r="B69">
        <f>'Mass Balance'!E69</f>
        <v>2.8790781866297897E-8</v>
      </c>
      <c r="C69">
        <f>SUM('Mass Balance'!E69:H69)</f>
        <v>1.8069459695095262E-5</v>
      </c>
      <c r="D69">
        <f>Concentrations!F69/Concentrations!E69</f>
        <v>1.5995751726402135E-3</v>
      </c>
    </row>
    <row r="70" spans="1:4">
      <c r="A70" s="164">
        <f>'Mass Balance'!I70</f>
        <v>7.2898215618115565E-6</v>
      </c>
      <c r="B70">
        <f>'Mass Balance'!E70</f>
        <v>8.398894533478928E-7</v>
      </c>
      <c r="C70">
        <f>SUM('Mass Balance'!E70:H70)</f>
        <v>2.7353114413892579E-5</v>
      </c>
      <c r="D70">
        <f>Concentrations!F70/Concentrations!E70</f>
        <v>3.0825612024579733E-2</v>
      </c>
    </row>
    <row r="71" spans="1:4">
      <c r="A71" s="164">
        <f>'Mass Balance'!I71</f>
        <v>7.6278852820844075E-7</v>
      </c>
      <c r="B71">
        <f>'Mass Balance'!E71</f>
        <v>2.9071612231768385E-5</v>
      </c>
      <c r="C71">
        <f>SUM('Mass Balance'!E71:H71)</f>
        <v>3.109765517280974E-5</v>
      </c>
      <c r="D71">
        <f>Concentrations!F71/Concentrations!E71</f>
        <v>0.93850769095966746</v>
      </c>
    </row>
    <row r="72" spans="1:4">
      <c r="A72" s="164">
        <f>'Mass Balance'!I72</f>
        <v>7.1747333235918812E-6</v>
      </c>
      <c r="B72">
        <f>'Mass Balance'!E72</f>
        <v>9.7371208470193355E-7</v>
      </c>
      <c r="C72">
        <f>SUM('Mass Balance'!E72:H72)</f>
        <v>2.6827313910013247E-5</v>
      </c>
      <c r="D72">
        <f>Concentrations!F72/Concentrations!E72</f>
        <v>3.6437597259925153E-2</v>
      </c>
    </row>
    <row r="73" spans="1:4">
      <c r="A73" s="164">
        <f>'Mass Balance'!I73</f>
        <v>4.5317975674968396E-6</v>
      </c>
      <c r="B73">
        <f>'Mass Balance'!E73</f>
        <v>9.2777704047436324E-6</v>
      </c>
      <c r="C73">
        <f>SUM('Mass Balance'!E73:H73)</f>
        <v>2.3326687208042384E-5</v>
      </c>
      <c r="D73">
        <f>Concentrations!F73/Concentrations!E73</f>
        <v>0.39928860591166576</v>
      </c>
    </row>
    <row r="74" spans="1:4">
      <c r="A74" s="164">
        <f>'Mass Balance'!I74</f>
        <v>7.2648717917279981E-6</v>
      </c>
      <c r="B74">
        <f>'Mass Balance'!E74</f>
        <v>8.7710797839417639E-7</v>
      </c>
      <c r="C74">
        <f>SUM('Mass Balance'!E74:H74)</f>
        <v>2.7229565058334677E-5</v>
      </c>
      <c r="D74">
        <f>Concentrations!F74/Concentrations!E74</f>
        <v>3.2337669598745421E-2</v>
      </c>
    </row>
    <row r="75" spans="1:4">
      <c r="A75" s="164">
        <f>'Mass Balance'!I75</f>
        <v>6.3142084142675479E-6</v>
      </c>
      <c r="B75">
        <f>'Mass Balance'!E75</f>
        <v>1.4555279554756056E-7</v>
      </c>
      <c r="C75">
        <f>SUM('Mass Balance'!E75:H75)</f>
        <v>3.3682974968541861E-5</v>
      </c>
      <c r="D75">
        <f>Concentrations!F75/Concentrations!E75</f>
        <v>4.3381690424097383E-3</v>
      </c>
    </row>
    <row r="76" spans="1:4">
      <c r="A76" s="164">
        <f>'Mass Balance'!I76</f>
        <v>6.314208417122497E-6</v>
      </c>
      <c r="B76">
        <f>'Mass Balance'!E76</f>
        <v>1.4555279561337179E-7</v>
      </c>
      <c r="C76">
        <f>SUM('Mass Balance'!E76:H76)</f>
        <v>3.3682974983771514E-5</v>
      </c>
      <c r="D76">
        <f>Concentrations!F76/Concentrations!E76</f>
        <v>4.3381690424097374E-3</v>
      </c>
    </row>
    <row r="77" spans="1:4">
      <c r="A77" s="164">
        <f>'Mass Balance'!I77</f>
        <v>6.1961153867629357E-6</v>
      </c>
      <c r="B77">
        <f>'Mass Balance'!E77</f>
        <v>3.4224718022949655E-6</v>
      </c>
      <c r="C77">
        <f>SUM('Mass Balance'!E77:H77)</f>
        <v>2.4061409196282041E-5</v>
      </c>
      <c r="D77">
        <f>Concentrations!F77/Concentrations!E77</f>
        <v>0.14279571719987913</v>
      </c>
    </row>
    <row r="78" spans="1:4">
      <c r="A78" s="164">
        <f>'Mass Balance'!I78</f>
        <v>2.1193924993537739E-6</v>
      </c>
      <c r="B78">
        <f>'Mass Balance'!E78</f>
        <v>1.984999365898412E-5</v>
      </c>
      <c r="C78">
        <f>SUM('Mass Balance'!E78:H78)</f>
        <v>2.5906766444363575E-5</v>
      </c>
      <c r="D78">
        <f>Concentrations!F78/Concentrations!E78</f>
        <v>0.76920752608869425</v>
      </c>
    </row>
    <row r="79" spans="1:4">
      <c r="A79" s="164">
        <f>'Mass Balance'!I79</f>
        <v>3.5667147687184947E-6</v>
      </c>
      <c r="B79">
        <f>'Mass Balance'!E79</f>
        <v>1.3415141352960567E-5</v>
      </c>
      <c r="C79">
        <f>SUM('Mass Balance'!E79:H79)</f>
        <v>2.4115289992749735E-5</v>
      </c>
      <c r="D79">
        <f>Concentrations!F79/Concentrations!E79</f>
        <v>0.55846907165029591</v>
      </c>
    </row>
    <row r="80" spans="1:4">
      <c r="A80" s="164">
        <f>'Mass Balance'!I80</f>
        <v>1.0678360862583298E-5</v>
      </c>
      <c r="B80">
        <f>'Mass Balance'!E80</f>
        <v>8.5902594816203828E-8</v>
      </c>
      <c r="C80">
        <f>SUM('Mass Balance'!E80:H80)</f>
        <v>2.9318650924512756E-5</v>
      </c>
      <c r="D80">
        <f>Concentrations!F80/Concentrations!E80</f>
        <v>2.9414309795428055E-3</v>
      </c>
    </row>
    <row r="81" spans="1:4">
      <c r="A81" s="164">
        <f>'Mass Balance'!I81</f>
        <v>2.3232068145407983E-8</v>
      </c>
      <c r="B81">
        <f>'Mass Balance'!E81</f>
        <v>3.8767264104849098E-5</v>
      </c>
      <c r="C81">
        <f>SUM('Mass Balance'!E81:H81)</f>
        <v>3.8817950783917158E-5</v>
      </c>
      <c r="D81">
        <f>Concentrations!F81/Concentrations!E81</f>
        <v>1.002602793126474</v>
      </c>
    </row>
    <row r="82" spans="1:4">
      <c r="A82" s="164">
        <f>'Mass Balance'!I82</f>
        <v>1.0174679308995004E-6</v>
      </c>
      <c r="B82">
        <f>'Mass Balance'!E82</f>
        <v>2.7949647873240742E-5</v>
      </c>
      <c r="C82">
        <f>SUM('Mass Balance'!E82:H82)</f>
        <v>3.069825366530611E-5</v>
      </c>
      <c r="D82">
        <f>Concentrations!F82/Concentrations!E82</f>
        <v>0.91402701646221429</v>
      </c>
    </row>
    <row r="83" spans="1:4">
      <c r="A83" s="164">
        <f>'Mass Balance'!I83</f>
        <v>6.0441573587424186E-6</v>
      </c>
      <c r="B83">
        <f>'Mass Balance'!E83</f>
        <v>4.3183226667389749E-6</v>
      </c>
      <c r="C83">
        <f>SUM('Mass Balance'!E83:H83)</f>
        <v>2.4166612353847376E-5</v>
      </c>
      <c r="D83">
        <f>Concentrations!F83/Concentrations!E83</f>
        <v>0.17938894525213359</v>
      </c>
    </row>
    <row r="84" spans="1:4">
      <c r="A84" s="164">
        <f>'Mass Balance'!I84</f>
        <v>9.3220730590775211E-8</v>
      </c>
      <c r="B84">
        <f>'Mass Balance'!E84</f>
        <v>3.7208123518219843E-5</v>
      </c>
      <c r="C84">
        <f>SUM('Mass Balance'!E84:H84)</f>
        <v>3.7427773551605813E-5</v>
      </c>
      <c r="D84">
        <f>Concentrations!F84/Concentrations!E84</f>
        <v>0.99802205172041059</v>
      </c>
    </row>
    <row r="85" spans="1:4">
      <c r="A85" s="164">
        <f>'Mass Balance'!I85</f>
        <v>4.9711344121043193E-9</v>
      </c>
      <c r="B85">
        <f>'Mass Balance'!E85</f>
        <v>3.9501795575965899E-5</v>
      </c>
      <c r="C85">
        <f>SUM('Mass Balance'!E85:H85)</f>
        <v>3.9511460335426619E-5</v>
      </c>
      <c r="D85">
        <f>Concentrations!F85/Concentrations!E85</f>
        <v>1.0036680932087843</v>
      </c>
    </row>
    <row r="86" spans="1:4">
      <c r="A86" s="164">
        <f>'Mass Balance'!I86</f>
        <v>8.9145594241184485E-8</v>
      </c>
      <c r="B86">
        <f>'Mass Balance'!E86</f>
        <v>3.7281331866902832E-5</v>
      </c>
      <c r="C86">
        <f>SUM('Mass Balance'!E86:H86)</f>
        <v>3.749087716573599E-5</v>
      </c>
      <c r="D86">
        <f>Concentrations!F86/Concentrations!E86</f>
        <v>0.99830254829448739</v>
      </c>
    </row>
    <row r="87" spans="1:4">
      <c r="A87" s="164">
        <f>'Mass Balance'!I87</f>
        <v>2.2785435666469751E-5</v>
      </c>
      <c r="B87">
        <f>'Mass Balance'!E87</f>
        <v>9.1296791633138814E-9</v>
      </c>
      <c r="C87">
        <f>SUM('Mass Balance'!E87:H87)</f>
        <v>1.5876966513633255E-5</v>
      </c>
      <c r="D87">
        <f>Concentrations!F87/Concentrations!E87</f>
        <v>5.7727712584221204E-4</v>
      </c>
    </row>
    <row r="88" spans="1:4">
      <c r="A88" s="164">
        <f>'Mass Balance'!I88</f>
        <v>1.7662011191014683E-6</v>
      </c>
      <c r="B88">
        <f>'Mass Balance'!E88</f>
        <v>2.2951875045089896E-5</v>
      </c>
      <c r="C88">
        <f>SUM('Mass Balance'!E88:H88)</f>
        <v>2.7913027664363237E-5</v>
      </c>
      <c r="D88">
        <f>Concentrations!F88/Concentrations!E88</f>
        <v>0.82548196091787918</v>
      </c>
    </row>
    <row r="89" spans="1:4">
      <c r="A89" s="164">
        <f>'Mass Balance'!I89</f>
        <v>1.1349902848477238E-6</v>
      </c>
      <c r="B89">
        <f>'Mass Balance'!E89</f>
        <v>2.7095563258431139E-5</v>
      </c>
      <c r="C89">
        <f>SUM('Mass Balance'!E89:H89)</f>
        <v>3.0184045944291822E-5</v>
      </c>
      <c r="D89">
        <f>Concentrations!F89/Concentrations!E89</f>
        <v>0.90119151188221702</v>
      </c>
    </row>
    <row r="90" spans="1:4">
      <c r="A90" s="164">
        <f>'Mass Balance'!I90</f>
        <v>3.0674209752263647E-7</v>
      </c>
      <c r="B90">
        <f>'Mass Balance'!E90</f>
        <v>3.4275920661645932E-5</v>
      </c>
      <c r="C90">
        <f>SUM('Mass Balance'!E90:H90)</f>
        <v>3.5047047325364146E-5</v>
      </c>
      <c r="D90">
        <f>Concentrations!F90/Concentrations!E90</f>
        <v>0.98182493204176768</v>
      </c>
    </row>
    <row r="91" spans="1:4">
      <c r="A91" s="164">
        <f>'Mass Balance'!I91</f>
        <v>1.5490184894860956E-5</v>
      </c>
      <c r="B91">
        <f>'Mass Balance'!E91</f>
        <v>8.3293106926848231E-8</v>
      </c>
      <c r="C91">
        <f>SUM('Mass Balance'!E91:H91)</f>
        <v>2.1637586456021864E-5</v>
      </c>
      <c r="D91">
        <f>Concentrations!F91/Concentrations!E91</f>
        <v>3.8645293340741375E-3</v>
      </c>
    </row>
    <row r="92" spans="1:4">
      <c r="A92" s="164">
        <f>'Mass Balance'!I92</f>
        <v>5.4888668648476294E-6</v>
      </c>
      <c r="B92">
        <f>'Mass Balance'!E92</f>
        <v>6.1164560961135141E-6</v>
      </c>
      <c r="C92">
        <f>SUM('Mass Balance'!E92:H92)</f>
        <v>2.3706012272414076E-5</v>
      </c>
      <c r="D92">
        <f>Concentrations!F92/Concentrations!E92</f>
        <v>0.25902263682185783</v>
      </c>
    </row>
    <row r="93" spans="1:4">
      <c r="A93" s="164">
        <f>'Mass Balance'!I93</f>
        <v>7.1369319629564026E-6</v>
      </c>
      <c r="B93">
        <f>'Mass Balance'!E93</f>
        <v>1.2824947151197025E-6</v>
      </c>
      <c r="C93">
        <f>SUM('Mass Balance'!E93:H93)</f>
        <v>2.6595272944258421E-5</v>
      </c>
      <c r="D93">
        <f>Concentrations!F93/Concentrations!E93</f>
        <v>4.8411383565722318E-2</v>
      </c>
    </row>
    <row r="94" spans="1:4">
      <c r="A94" s="164">
        <f>'Mass Balance'!I94</f>
        <v>1.6143734065584531E-7</v>
      </c>
      <c r="B94">
        <f>'Mass Balance'!E94</f>
        <v>3.5646270560393118E-5</v>
      </c>
      <c r="C94">
        <f>SUM('Mass Balance'!E94:H94)</f>
        <v>3.9832208080119826E-5</v>
      </c>
      <c r="D94">
        <f>Concentrations!F94/Concentrations!E94</f>
        <v>0.8984131074212871</v>
      </c>
    </row>
    <row r="95" spans="1:4">
      <c r="A95" s="164">
        <f>'Mass Balance'!I95</f>
        <v>9.5597403382745206E-6</v>
      </c>
      <c r="B95">
        <f>'Mass Balance'!E95</f>
        <v>2.4074376013032889E-7</v>
      </c>
      <c r="C95">
        <f>SUM('Mass Balance'!E95:H95)</f>
        <v>2.6927852939510441E-5</v>
      </c>
      <c r="D95">
        <f>Concentrations!F95/Concentrations!E95</f>
        <v>8.9753144885108549E-3</v>
      </c>
    </row>
    <row r="96" spans="1:4">
      <c r="A96" s="164">
        <f>'Mass Balance'!I96</f>
        <v>2.4870757001968554E-8</v>
      </c>
      <c r="B96">
        <f>'Mass Balance'!E96</f>
        <v>3.8717183504853886E-5</v>
      </c>
      <c r="C96">
        <f>SUM('Mass Balance'!E96:H96)</f>
        <v>3.8771664081983074E-5</v>
      </c>
      <c r="D96">
        <f>Concentrations!F96/Concentrations!E96</f>
        <v>1.0025029928797256</v>
      </c>
    </row>
    <row r="97" spans="1:4">
      <c r="A97" s="164">
        <f>'Mass Balance'!I97</f>
        <v>9.5325827043933452E-8</v>
      </c>
      <c r="B97">
        <f>'Mass Balance'!E97</f>
        <v>3.7170789852240617E-5</v>
      </c>
      <c r="C97">
        <f>SUM('Mass Balance'!E97:H97)</f>
        <v>3.7395669016903369E-5</v>
      </c>
      <c r="D97">
        <f>Concentrations!F97/Concentrations!E97</f>
        <v>0.99787661392795624</v>
      </c>
    </row>
    <row r="98" spans="1:4">
      <c r="A98" s="164">
        <f>'Mass Balance'!I98</f>
        <v>7.3960763773028392E-6</v>
      </c>
      <c r="B98">
        <f>'Mass Balance'!E98</f>
        <v>5.9993958192616602E-7</v>
      </c>
      <c r="C98">
        <f>SUM('Mass Balance'!E98:H98)</f>
        <v>2.8041902661854308E-5</v>
      </c>
      <c r="D98">
        <f>Concentrations!F98/Concentrations!E98</f>
        <v>2.1478126749584533E-2</v>
      </c>
    </row>
    <row r="99" spans="1:4">
      <c r="A99" s="164">
        <f>'Mass Balance'!I99</f>
        <v>2.6867821992950978E-9</v>
      </c>
      <c r="B99">
        <f>'Mass Balance'!E99</f>
        <v>3.9657615442230737E-5</v>
      </c>
      <c r="C99">
        <f>SUM('Mass Balance'!E99:H99)</f>
        <v>3.9662451587289102E-5</v>
      </c>
      <c r="D99">
        <f>Concentrations!F99/Concentrations!E99</f>
        <v>1.0037912472179731</v>
      </c>
    </row>
    <row r="100" spans="1:4">
      <c r="A100" s="164">
        <f>'Mass Balance'!I100</f>
        <v>3.248686496761658E-6</v>
      </c>
      <c r="B100">
        <f>'Mass Balance'!E100</f>
        <v>1.5082443398930196E-5</v>
      </c>
      <c r="C100">
        <f>SUM('Mass Balance'!E100:H100)</f>
        <v>2.4719212623031935E-5</v>
      </c>
      <c r="D100">
        <f>Concentrations!F100/Concentrations!E100</f>
        <v>0.6125385601891854</v>
      </c>
    </row>
    <row r="101" spans="1:4">
      <c r="A101" s="164">
        <f>'Mass Balance'!I101</f>
        <v>6.4136948495744105E-9</v>
      </c>
      <c r="B101">
        <f>'Mass Balance'!E101</f>
        <v>3.9420216123269019E-5</v>
      </c>
      <c r="C101">
        <f>SUM('Mass Balance'!E101:H101)</f>
        <v>3.9432991895357927E-5</v>
      </c>
      <c r="D101">
        <f>Concentrations!F101/Concentrations!E101</f>
        <v>1.003588402145003</v>
      </c>
    </row>
    <row r="102" spans="1:4">
      <c r="A102" s="164">
        <f>'Mass Balance'!I102</f>
        <v>7.7897298720145942E-10</v>
      </c>
      <c r="B102">
        <f>'Mass Balance'!E102</f>
        <v>3.9855865421522209E-5</v>
      </c>
      <c r="C102">
        <f>SUM('Mass Balance'!E102:H102)</f>
        <v>3.9856836759955581E-5</v>
      </c>
      <c r="D102">
        <f>Concentrations!F102/Concentrations!E102</f>
        <v>1.0038891909364553</v>
      </c>
    </row>
    <row r="103" spans="1:4">
      <c r="A103" s="164">
        <f>'Mass Balance'!I103</f>
        <v>2.549411335431366E-9</v>
      </c>
      <c r="B103">
        <f>'Mass Balance'!E103</f>
        <v>3.9668688698243434E-5</v>
      </c>
      <c r="C103">
        <f>SUM('Mass Balance'!E103:H103)</f>
        <v>3.9673239693883304E-5</v>
      </c>
      <c r="D103">
        <f>Concentrations!F103/Concentrations!E103</f>
        <v>1.0037984960831405</v>
      </c>
    </row>
    <row r="104" spans="1:4">
      <c r="A104" s="164">
        <f>'Mass Balance'!I104</f>
        <v>5.2555382981215274E-8</v>
      </c>
      <c r="B104">
        <f>'Mass Balance'!E104</f>
        <v>3.8010948490031657E-5</v>
      </c>
      <c r="C104">
        <f>SUM('Mass Balance'!E104:H104)</f>
        <v>3.8131015334261494E-5</v>
      </c>
      <c r="D104">
        <f>Concentrations!F104/Concentrations!E104</f>
        <v>1.0007525362272782</v>
      </c>
    </row>
    <row r="105" spans="1:4">
      <c r="A105" s="164">
        <f>'Mass Balance'!I105</f>
        <v>9.8039098924738809E-10</v>
      </c>
      <c r="B105">
        <f>'Mass Balance'!E105</f>
        <v>3.9826894153652292E-5</v>
      </c>
      <c r="C105">
        <f>SUM('Mass Balance'!E105:H105)</f>
        <v>3.982825958778564E-5</v>
      </c>
      <c r="D105">
        <f>Concentrations!F105/Concentrations!E105</f>
        <v>1.0038792397804066</v>
      </c>
    </row>
    <row r="106" spans="1:4">
      <c r="A106" s="164">
        <f>'Mass Balance'!I106</f>
        <v>4.6568158502748654E-7</v>
      </c>
      <c r="B106">
        <f>'Mass Balance'!E106</f>
        <v>3.2600410746313887E-5</v>
      </c>
      <c r="C106">
        <f>SUM('Mass Balance'!E106:H106)</f>
        <v>3.3799325703347904E-5</v>
      </c>
      <c r="D106">
        <f>Concentrations!F106/Concentrations!E106</f>
        <v>0.96830326910358977</v>
      </c>
    </row>
    <row r="107" spans="1:4">
      <c r="A107" s="164">
        <f>'Mass Balance'!I107</f>
        <v>7.4428186499730193E-6</v>
      </c>
      <c r="B107">
        <f>'Mass Balance'!E107</f>
        <v>4.4541446782482747E-7</v>
      </c>
      <c r="C107">
        <f>SUM('Mass Balance'!E107:H107)</f>
        <v>2.8544875049164848E-5</v>
      </c>
      <c r="D107">
        <f>Concentrations!F107/Concentrations!E107</f>
        <v>1.5665077058658026E-2</v>
      </c>
    </row>
    <row r="108" spans="1:4">
      <c r="A108" s="164">
        <f>'Mass Balance'!I108</f>
        <v>2.7325210936714945E-6</v>
      </c>
      <c r="B108">
        <f>'Mass Balance'!E108</f>
        <v>1.7601983050233169E-5</v>
      </c>
      <c r="C108">
        <f>SUM('Mass Balance'!E108:H108)</f>
        <v>2.5567330805023932E-5</v>
      </c>
      <c r="D108">
        <f>Concentrations!F108/Concentrations!E108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0.75757283065897341</v>
      </c>
      <c r="M2" s="115">
        <v>49.283838565992546</v>
      </c>
      <c r="N2" s="115">
        <v>52.015582344339755</v>
      </c>
      <c r="O2" s="115">
        <v>1.1100310118643024</v>
      </c>
      <c r="P2" s="115">
        <v>1.1393108788902651</v>
      </c>
      <c r="Q2" s="111">
        <v>1.1100310118643026</v>
      </c>
      <c r="R2" s="68">
        <v>1.1393108788902651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2.9398928815483423E-4</v>
      </c>
      <c r="M3" s="115">
        <v>1544.3490515388394</v>
      </c>
      <c r="N3" s="115">
        <v>1630.4990715209478</v>
      </c>
      <c r="O3" s="115">
        <v>9.8336586026160653</v>
      </c>
      <c r="P3" s="115">
        <v>4.212263029594677</v>
      </c>
      <c r="Q3" s="111">
        <v>9.8336586026160671</v>
      </c>
      <c r="R3" s="68">
        <v>4.212263029594677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0.31991459281360718</v>
      </c>
      <c r="M4" s="115">
        <v>260.30202479869581</v>
      </c>
      <c r="N4" s="115">
        <v>274.80403481399651</v>
      </c>
      <c r="O4" s="115">
        <v>2.9618460154122839</v>
      </c>
      <c r="P4" s="115">
        <v>2.7746482891879216</v>
      </c>
      <c r="Q4" s="111">
        <v>2.9618460154122839</v>
      </c>
      <c r="R4" s="68">
        <v>2.7746482891879216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5.1054583929290914E-3</v>
      </c>
      <c r="M5" s="115">
        <v>730.83061266874324</v>
      </c>
      <c r="N5" s="115">
        <v>771.58502777657395</v>
      </c>
      <c r="O5" s="115">
        <v>6.7961971986913614</v>
      </c>
      <c r="P5" s="115">
        <v>5.7306054498680208</v>
      </c>
      <c r="Q5" s="111">
        <v>6.7961971986913614</v>
      </c>
      <c r="R5" s="68">
        <v>5.7306054498680208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1.207422593222909E-4</v>
      </c>
      <c r="M6" s="115">
        <v>1655.1264522693016</v>
      </c>
      <c r="N6" s="115">
        <v>1747.4644402324752</v>
      </c>
      <c r="O6" s="115">
        <v>10.239430572598387</v>
      </c>
      <c r="P6" s="115">
        <v>4.056143401884432</v>
      </c>
      <c r="Q6" s="111">
        <v>10.239430572598387</v>
      </c>
      <c r="R6" s="68">
        <v>4.056143401884432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2.5899333859011645E-4</v>
      </c>
      <c r="M7" s="115">
        <v>1565.5330762358008</v>
      </c>
      <c r="N7" s="115">
        <v>1652.8659883330247</v>
      </c>
      <c r="O7" s="115">
        <v>9.9178337989397924</v>
      </c>
      <c r="P7" s="115">
        <v>4.1899102603103131</v>
      </c>
      <c r="Q7" s="111">
        <v>9.9178337989397924</v>
      </c>
      <c r="R7" s="68">
        <v>4.1899102603103131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6.4934296707180525E-4</v>
      </c>
      <c r="M8" s="115">
        <v>1402.2002638111583</v>
      </c>
      <c r="N8" s="115">
        <v>1480.4140243171321</v>
      </c>
      <c r="O8" s="115">
        <v>9.3134743135907296</v>
      </c>
      <c r="P8" s="115">
        <v>4.4549820479729076</v>
      </c>
      <c r="Q8" s="111">
        <v>9.3134743135907296</v>
      </c>
      <c r="R8" s="68">
        <v>4.4549820479729076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4.9149503261285837E-2</v>
      </c>
      <c r="M9" s="115">
        <v>477.42814374101272</v>
      </c>
      <c r="N9" s="115">
        <v>504.04369271710272</v>
      </c>
      <c r="O9" s="115">
        <v>5.2960761426364407</v>
      </c>
      <c r="P9" s="115">
        <v>5.1988864538219586</v>
      </c>
      <c r="Q9" s="111">
        <v>5.2960761426364407</v>
      </c>
      <c r="R9" s="68">
        <v>5.1988864538219586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4.6630136142254757E-3</v>
      </c>
      <c r="M10" s="115">
        <v>768.08334755423516</v>
      </c>
      <c r="N10" s="115">
        <v>810.91574688943808</v>
      </c>
      <c r="O10" s="115">
        <v>6.9355678920259107</v>
      </c>
      <c r="P10" s="115">
        <v>5.6537870822707141</v>
      </c>
      <c r="Q10" s="111">
        <v>6.9355678920259107</v>
      </c>
      <c r="R10" s="68">
        <v>5.6537870822707141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3.9922335009236285E-3</v>
      </c>
      <c r="M11" s="115">
        <v>830.91589134812455</v>
      </c>
      <c r="N11" s="115">
        <v>877.2532485219914</v>
      </c>
      <c r="O11" s="115">
        <v>7.1701925630046466</v>
      </c>
      <c r="P11" s="115">
        <v>5.5245378236148115</v>
      </c>
      <c r="Q11" s="111">
        <v>7.1701925630046466</v>
      </c>
      <c r="R11" s="68">
        <v>5.5245378236148124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3.12863556059658E-2</v>
      </c>
      <c r="M12" s="115">
        <v>496.70944052721529</v>
      </c>
      <c r="N12" s="115">
        <v>524.40162491427361</v>
      </c>
      <c r="O12" s="115">
        <v>5.5648925695659779</v>
      </c>
      <c r="P12" s="115">
        <v>5.5329398604196305</v>
      </c>
      <c r="Q12" s="111">
        <v>5.5648925695659788</v>
      </c>
      <c r="R12" s="68">
        <v>5.5329398604196305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4.7112615420874804E-2</v>
      </c>
      <c r="M13" s="115">
        <v>479.56331430434255</v>
      </c>
      <c r="N13" s="115">
        <v>506.29806330652525</v>
      </c>
      <c r="O13" s="115">
        <v>5.3243407010131945</v>
      </c>
      <c r="P13" s="115">
        <v>5.2329271821786323</v>
      </c>
      <c r="Q13" s="111">
        <v>5.3243407010131953</v>
      </c>
      <c r="R13" s="68">
        <v>5.2329271821786332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2.3891871828130551E-3</v>
      </c>
      <c r="M14" s="115">
        <v>1026.950863712696</v>
      </c>
      <c r="N14" s="115">
        <v>1084.2245240356951</v>
      </c>
      <c r="O14" s="115">
        <v>7.9053602870883593</v>
      </c>
      <c r="P14" s="115">
        <v>5.1367315225136938</v>
      </c>
      <c r="Q14" s="111">
        <v>7.9053602870883601</v>
      </c>
      <c r="R14" s="68">
        <v>5.1367315225136947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4.3174598898956165E-3</v>
      </c>
      <c r="M15" s="115">
        <v>799.4102441495296</v>
      </c>
      <c r="N15" s="115">
        <v>843.99011870420645</v>
      </c>
      <c r="O15" s="115">
        <v>7.0526064446344776</v>
      </c>
      <c r="P15" s="115">
        <v>5.5892751706871797</v>
      </c>
      <c r="Q15" s="111">
        <v>7.0526064446344776</v>
      </c>
      <c r="R15" s="68">
        <v>5.5892751706871797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6.7603411848714539E-4</v>
      </c>
      <c r="M16" s="115">
        <v>1393.1074699553974</v>
      </c>
      <c r="N16" s="115">
        <v>1470.8136923990071</v>
      </c>
      <c r="O16" s="115">
        <v>9.278993911602516</v>
      </c>
      <c r="P16" s="115">
        <v>4.4695222589683858</v>
      </c>
      <c r="Q16" s="111">
        <v>9.278993911602516</v>
      </c>
      <c r="R16" s="68">
        <v>4.4695222589683858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4.9546735305489673E-3</v>
      </c>
      <c r="M17" s="115">
        <v>743.21920765889979</v>
      </c>
      <c r="N17" s="115">
        <v>784.66466171422496</v>
      </c>
      <c r="O17" s="115">
        <v>6.8426762581532508</v>
      </c>
      <c r="P17" s="115">
        <v>5.7052387597734606</v>
      </c>
      <c r="Q17" s="111">
        <v>6.8426762581532516</v>
      </c>
      <c r="R17" s="68">
        <v>5.7052387597734615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5.9173596984747959E-2</v>
      </c>
      <c r="M18" s="115">
        <v>465.66921651845121</v>
      </c>
      <c r="N18" s="115">
        <v>491.62846616135755</v>
      </c>
      <c r="O18" s="115">
        <v>5.1470466949969227</v>
      </c>
      <c r="P18" s="115">
        <v>5.0255219231302535</v>
      </c>
      <c r="Q18" s="111">
        <v>5.1470466949969236</v>
      </c>
      <c r="R18" s="68">
        <v>5.0255219231302544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4.250839134221601E-3</v>
      </c>
      <c r="M19" s="115">
        <v>805.70491748294955</v>
      </c>
      <c r="N19" s="115">
        <v>850.63592538646367</v>
      </c>
      <c r="O19" s="115">
        <v>7.0761359883959116</v>
      </c>
      <c r="P19" s="115">
        <v>5.5763767955941113</v>
      </c>
      <c r="Q19" s="111">
        <v>7.0761359883959116</v>
      </c>
      <c r="R19" s="68">
        <v>5.5763767955941113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4.7117850077640029E-2</v>
      </c>
      <c r="M20" s="115">
        <v>479.61659832020865</v>
      </c>
      <c r="N20" s="115">
        <v>506.35431780563619</v>
      </c>
      <c r="O20" s="115">
        <v>5.3249322855775825</v>
      </c>
      <c r="P20" s="115">
        <v>5.233508609837263</v>
      </c>
      <c r="Q20" s="111">
        <v>5.3249322855775834</v>
      </c>
      <c r="R20" s="68">
        <v>5.2335086098372638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2.7863178022425328E-3</v>
      </c>
      <c r="M21" s="115">
        <v>970.26555100373798</v>
      </c>
      <c r="N21" s="115">
        <v>1024.3767195315311</v>
      </c>
      <c r="O21" s="115">
        <v>7.6914676281490975</v>
      </c>
      <c r="P21" s="115">
        <v>5.244899528145103</v>
      </c>
      <c r="Q21" s="111">
        <v>7.6914676281490975</v>
      </c>
      <c r="R21" s="68">
        <v>5.244899528145103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0.53220774851556196</v>
      </c>
      <c r="M22" s="115">
        <v>140.8858219835538</v>
      </c>
      <c r="N22" s="115">
        <v>148.72714846252867</v>
      </c>
      <c r="O22" s="115">
        <v>1.8641488445653263</v>
      </c>
      <c r="P22" s="115">
        <v>1.7729070321795819</v>
      </c>
      <c r="Q22" s="111">
        <v>1.8641488445653265</v>
      </c>
      <c r="R22" s="68">
        <v>1.7729070321795821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0.68982118396083347</v>
      </c>
      <c r="M23" s="115">
        <v>73.337960148263861</v>
      </c>
      <c r="N23" s="115">
        <v>77.411519653856701</v>
      </c>
      <c r="O23" s="115">
        <v>1.2974958490912576</v>
      </c>
      <c r="P23" s="115">
        <v>1.2902118411945107</v>
      </c>
      <c r="Q23" s="111">
        <v>1.2974958490912576</v>
      </c>
      <c r="R23" s="68">
        <v>1.2902118411945107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0.14981910359530606</v>
      </c>
      <c r="M24" s="115">
        <v>383.56717383694598</v>
      </c>
      <c r="N24" s="115">
        <v>404.94519201889585</v>
      </c>
      <c r="O24" s="115">
        <v>4.2069549884981239</v>
      </c>
      <c r="P24" s="115">
        <v>4.0013531790591088</v>
      </c>
      <c r="Q24" s="111">
        <v>4.2069549884981239</v>
      </c>
      <c r="R24" s="68">
        <v>4.0013531790591088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1.6954670270945865E-2</v>
      </c>
      <c r="M25" s="115">
        <v>506.2384229159706</v>
      </c>
      <c r="N25" s="115">
        <v>534.46392823775045</v>
      </c>
      <c r="O25" s="115">
        <v>5.7570254763564677</v>
      </c>
      <c r="P25" s="115">
        <v>5.8199252990228922</v>
      </c>
      <c r="Q25" s="111">
        <v>5.7570254763564686</v>
      </c>
      <c r="R25" s="68">
        <v>5.8199252990228922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3.0808803984598396E-3</v>
      </c>
      <c r="M26" s="115">
        <v>932.34172090250934</v>
      </c>
      <c r="N26" s="115">
        <v>984.3371797996947</v>
      </c>
      <c r="O26" s="115">
        <v>7.5493984282077786</v>
      </c>
      <c r="P26" s="115">
        <v>5.3198636885614965</v>
      </c>
      <c r="Q26" s="111">
        <v>7.5493984282077795</v>
      </c>
      <c r="R26" s="68">
        <v>5.3198636885614974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3.2712299994912432E-4</v>
      </c>
      <c r="M27" s="115">
        <v>1528.7106605106519</v>
      </c>
      <c r="N27" s="115">
        <v>1613.9873613141356</v>
      </c>
      <c r="O27" s="115">
        <v>9.7782865330526398</v>
      </c>
      <c r="P27" s="115">
        <v>4.2401256161592071</v>
      </c>
      <c r="Q27" s="111">
        <v>9.7782865330526398</v>
      </c>
      <c r="R27" s="68">
        <v>4.2401256161592071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1.4703009350319008E-3</v>
      </c>
      <c r="M28" s="115">
        <v>1188.5687548694127</v>
      </c>
      <c r="N28" s="115">
        <v>1254.860021286793</v>
      </c>
      <c r="O28" s="115">
        <v>8.5125661046271066</v>
      </c>
      <c r="P28" s="115">
        <v>4.8325242753874464</v>
      </c>
      <c r="Q28" s="111">
        <v>8.5125661046271084</v>
      </c>
      <c r="R28" s="68">
        <v>4.8325242753874473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2.4718976771782235E-3</v>
      </c>
      <c r="M29" s="115">
        <v>990.49009183980297</v>
      </c>
      <c r="N29" s="115">
        <v>1045.7299332297878</v>
      </c>
      <c r="O29" s="115">
        <v>7.6971778049699937</v>
      </c>
      <c r="P29" s="115">
        <v>5.0818346081968606</v>
      </c>
      <c r="Q29" s="111">
        <v>7.6971778049699946</v>
      </c>
      <c r="R29" s="68">
        <v>5.0818346081968606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1.4703009350319008E-3</v>
      </c>
      <c r="M30" s="115">
        <v>1188.5687548694127</v>
      </c>
      <c r="N30" s="115">
        <v>1254.860021286793</v>
      </c>
      <c r="O30" s="115">
        <v>8.5125661046271066</v>
      </c>
      <c r="P30" s="115">
        <v>4.8325242753874464</v>
      </c>
      <c r="Q30" s="111">
        <v>8.5125661046271084</v>
      </c>
      <c r="R30" s="68">
        <v>4.8325242753874473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0.97272420851948649</v>
      </c>
      <c r="M31" s="115">
        <v>1.0972504883645309</v>
      </c>
      <c r="N31" s="115">
        <v>1.1398821798434926</v>
      </c>
      <c r="O31" s="115">
        <v>0.81336237539140133</v>
      </c>
      <c r="P31" s="115">
        <v>0.94137245470415198</v>
      </c>
      <c r="Q31" s="111">
        <v>0.81336237539140133</v>
      </c>
      <c r="R31" s="68">
        <v>0.9413724547041521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0.40028529949114539</v>
      </c>
      <c r="M32" s="115">
        <v>212.71839190703423</v>
      </c>
      <c r="N32" s="115">
        <v>224.50095090202493</v>
      </c>
      <c r="O32" s="115">
        <v>2.2988354068738377</v>
      </c>
      <c r="P32" s="115">
        <v>2.1116291957199511</v>
      </c>
      <c r="Q32" s="111">
        <v>2.2988354068738377</v>
      </c>
      <c r="R32" s="68">
        <v>2.1116291957199511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0.99279694765427629</v>
      </c>
      <c r="M33" s="115">
        <v>0.57758545976802111</v>
      </c>
      <c r="N33" s="115">
        <v>0.59123862585189735</v>
      </c>
      <c r="O33" s="115">
        <v>0.84207828289310438</v>
      </c>
      <c r="P33" s="115">
        <v>0.98992683649907476</v>
      </c>
      <c r="Q33" s="111">
        <v>0.84207828289310438</v>
      </c>
      <c r="R33" s="68">
        <v>0.98992683649907476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0.53786795061812664</v>
      </c>
      <c r="M34" s="115">
        <v>41.987162735911639</v>
      </c>
      <c r="N34" s="115">
        <v>44.341614198173978</v>
      </c>
      <c r="O34" s="115">
        <v>2.5876538999049825</v>
      </c>
      <c r="P34" s="115">
        <v>4.2303397234810101</v>
      </c>
      <c r="Q34" s="111">
        <v>2.5876538999049825</v>
      </c>
      <c r="R34" s="68">
        <v>4.2303397234810101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0.31644166183452938</v>
      </c>
      <c r="M35" s="115">
        <v>59.036692017683059</v>
      </c>
      <c r="N35" s="115">
        <v>62.355351469802343</v>
      </c>
      <c r="O35" s="115">
        <v>3.4333260826092888</v>
      </c>
      <c r="P35" s="115">
        <v>5.8113066295530951</v>
      </c>
      <c r="Q35" s="111">
        <v>3.4333260826092888</v>
      </c>
      <c r="R35" s="68">
        <v>5.8113066295530951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0.10507440983505134</v>
      </c>
      <c r="M36" s="115">
        <v>71.406828790307614</v>
      </c>
      <c r="N36" s="115">
        <v>75.425872903348321</v>
      </c>
      <c r="O36" s="115">
        <v>4.2372683931920232</v>
      </c>
      <c r="P36" s="115">
        <v>7.3295036993568399</v>
      </c>
      <c r="Q36" s="111">
        <v>4.2372683931920232</v>
      </c>
      <c r="R36" s="68">
        <v>7.3295036993568399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0.19592322631601822</v>
      </c>
      <c r="M37" s="115">
        <v>156.40599731238731</v>
      </c>
      <c r="N37" s="115">
        <v>165.14833556829174</v>
      </c>
      <c r="O37" s="115">
        <v>3.8709066455484704</v>
      </c>
      <c r="P37" s="115">
        <v>5.7832491904922492</v>
      </c>
      <c r="Q37" s="111">
        <v>3.8709066455484709</v>
      </c>
      <c r="R37" s="68">
        <v>5.7832491904922492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0.60326509214143875</v>
      </c>
      <c r="M38" s="115">
        <v>37.658938786758071</v>
      </c>
      <c r="N38" s="115">
        <v>39.767589398341308</v>
      </c>
      <c r="O38" s="115">
        <v>2.3332114924531315</v>
      </c>
      <c r="P38" s="115">
        <v>3.7452836143892818</v>
      </c>
      <c r="Q38" s="111">
        <v>2.3332114924531315</v>
      </c>
      <c r="R38" s="68">
        <v>3.7452836143892818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8.3715040027668493E-3</v>
      </c>
      <c r="M39" s="115">
        <v>528.42992110595628</v>
      </c>
      <c r="N39" s="115">
        <v>557.8950911100618</v>
      </c>
      <c r="O39" s="115">
        <v>6.0449064215421906</v>
      </c>
      <c r="P39" s="115">
        <v>6.1666459132290656</v>
      </c>
      <c r="Q39" s="111">
        <v>6.0449064215421915</v>
      </c>
      <c r="R39" s="68">
        <v>6.1666459132290656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3.4604486965510937E-4</v>
      </c>
      <c r="M40" s="115">
        <v>1832.0048199356488</v>
      </c>
      <c r="N40" s="115">
        <v>1935.1218480899568</v>
      </c>
      <c r="O40" s="115">
        <v>6.8301247541759489</v>
      </c>
      <c r="P40" s="115">
        <v>4.478811172151282</v>
      </c>
      <c r="Q40" s="111">
        <v>6.8301247541759498</v>
      </c>
      <c r="R40" s="68">
        <v>4.478811172151282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0.91100726655665698</v>
      </c>
      <c r="M41" s="115">
        <v>7.7444395239225874E-2</v>
      </c>
      <c r="N41" s="115">
        <v>6.4447580054713863E-2</v>
      </c>
      <c r="O41" s="115">
        <v>0.75303847311767991</v>
      </c>
      <c r="P41" s="115">
        <v>0.87503517859368862</v>
      </c>
      <c r="Q41" s="111">
        <v>0.75303847311767991</v>
      </c>
      <c r="R41" s="68">
        <v>0.87503517859368873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0.49309769668879905</v>
      </c>
      <c r="M42" s="115">
        <v>161.12130095034465</v>
      </c>
      <c r="N42" s="115">
        <v>170.09127277264835</v>
      </c>
      <c r="O42" s="115">
        <v>2.0437867506967109</v>
      </c>
      <c r="P42" s="115">
        <v>1.9318847625130595</v>
      </c>
      <c r="Q42" s="111">
        <v>2.0437867506967113</v>
      </c>
      <c r="R42" s="68">
        <v>1.9318847625130595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8.3263218694898111E-3</v>
      </c>
      <c r="M43" s="115">
        <v>147.57529666572393</v>
      </c>
      <c r="N43" s="115">
        <v>155.88457943890555</v>
      </c>
      <c r="O43" s="115">
        <v>4.6909601915718193</v>
      </c>
      <c r="P43" s="115">
        <v>7.8841935575796374</v>
      </c>
      <c r="Q43" s="111">
        <v>4.6909601915718193</v>
      </c>
      <c r="R43" s="68">
        <v>7.8841935575796382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0.75261395823998312</v>
      </c>
      <c r="M44" s="115">
        <v>27.286593282343546</v>
      </c>
      <c r="N44" s="115">
        <v>28.792631522639553</v>
      </c>
      <c r="O44" s="115">
        <v>0.8867673093260422</v>
      </c>
      <c r="P44" s="115">
        <v>0.94430744901135832</v>
      </c>
      <c r="Q44" s="111">
        <v>0.8867673093260422</v>
      </c>
      <c r="R44" s="68">
        <v>0.94430744901135832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0.45667481871753673</v>
      </c>
      <c r="M45" s="115">
        <v>179.92956092424421</v>
      </c>
      <c r="N45" s="115">
        <v>189.94861064267042</v>
      </c>
      <c r="O45" s="115">
        <v>2.2121328571025209</v>
      </c>
      <c r="P45" s="115">
        <v>2.0825420875729597</v>
      </c>
      <c r="Q45" s="111">
        <v>2.2121328571025209</v>
      </c>
      <c r="R45" s="68">
        <v>2.0825420875729601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0.47867436648123041</v>
      </c>
      <c r="M46" s="115">
        <v>167.77929600720873</v>
      </c>
      <c r="N46" s="115">
        <v>177.12066247303801</v>
      </c>
      <c r="O46" s="115">
        <v>2.1020723162897688</v>
      </c>
      <c r="P46" s="115">
        <v>1.983659183774195</v>
      </c>
      <c r="Q46" s="111">
        <v>2.1020723162897688</v>
      </c>
      <c r="R46" s="68">
        <v>1.983659183774195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2.9446486415746404E-4</v>
      </c>
      <c r="M47" s="115">
        <v>1546.847290005981</v>
      </c>
      <c r="N47" s="115">
        <v>1633.1366718076533</v>
      </c>
      <c r="O47" s="115">
        <v>9.8495661619656261</v>
      </c>
      <c r="P47" s="115">
        <v>4.2190770575009751</v>
      </c>
      <c r="Q47" s="111">
        <v>9.8495661619656278</v>
      </c>
      <c r="R47" s="68">
        <v>4.2190770575009751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0.89763893770606951</v>
      </c>
      <c r="M48" s="115">
        <v>9.6532506178977542</v>
      </c>
      <c r="N48" s="115">
        <v>10.173979581960845</v>
      </c>
      <c r="O48" s="115">
        <v>0.83310739274279066</v>
      </c>
      <c r="P48" s="115">
        <v>0.93580390878312325</v>
      </c>
      <c r="Q48" s="111">
        <v>0.83310739274279078</v>
      </c>
      <c r="R48" s="68">
        <v>0.93580390878312336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0.8545171516532577</v>
      </c>
      <c r="M49" s="115">
        <v>16.480456311657569</v>
      </c>
      <c r="N49" s="115">
        <v>17.382406723944751</v>
      </c>
      <c r="O49" s="115">
        <v>0.86404631686780231</v>
      </c>
      <c r="P49" s="115">
        <v>0.95032967338371555</v>
      </c>
      <c r="Q49" s="111">
        <v>0.86404631686780231</v>
      </c>
      <c r="R49" s="68">
        <v>0.95032967338371555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6.2762075072561124E-2</v>
      </c>
      <c r="M50" s="115">
        <v>460.43368518720683</v>
      </c>
      <c r="N50" s="115">
        <v>486.10081128262635</v>
      </c>
      <c r="O50" s="115">
        <v>5.0836091544367576</v>
      </c>
      <c r="P50" s="115">
        <v>4.9547957452276146</v>
      </c>
      <c r="Q50" s="111">
        <v>5.0836091544367585</v>
      </c>
      <c r="R50" s="68">
        <v>4.9547957452276155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0.90040645781100093</v>
      </c>
      <c r="M51" s="115">
        <v>1.7685023687985781</v>
      </c>
      <c r="N51" s="115">
        <v>1.8499003582330007</v>
      </c>
      <c r="O51" s="115">
        <v>0.75993613104085345</v>
      </c>
      <c r="P51" s="115">
        <v>0.87690961103533527</v>
      </c>
      <c r="Q51" s="111">
        <v>0.75993613104085345</v>
      </c>
      <c r="R51" s="68">
        <v>0.87690961103533538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0.70895745112608821</v>
      </c>
      <c r="M52" s="115">
        <v>45.055022187959025</v>
      </c>
      <c r="N52" s="115">
        <v>47.552050168840189</v>
      </c>
      <c r="O52" s="115">
        <v>1.0281183207484013</v>
      </c>
      <c r="P52" s="115">
        <v>1.056858443007537</v>
      </c>
      <c r="Q52" s="111">
        <v>1.0281183207484015</v>
      </c>
      <c r="R52" s="68">
        <v>1.0568584430075372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0.34481835081269729</v>
      </c>
      <c r="M53" s="115">
        <v>243.82354813198</v>
      </c>
      <c r="N53" s="115">
        <v>257.40644988506915</v>
      </c>
      <c r="O53" s="115">
        <v>2.8036555420189999</v>
      </c>
      <c r="P53" s="115">
        <v>2.62588042206536</v>
      </c>
      <c r="Q53" s="111">
        <v>2.8036555420189999</v>
      </c>
      <c r="R53" s="68">
        <v>2.62588042206536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4.3043633700891662E-4</v>
      </c>
      <c r="M54" s="115">
        <v>1484.0338415409217</v>
      </c>
      <c r="N54" s="115">
        <v>1566.815922122488</v>
      </c>
      <c r="O54" s="115">
        <v>9.6177521874928313</v>
      </c>
      <c r="P54" s="115">
        <v>4.3188936961717657</v>
      </c>
      <c r="Q54" s="111">
        <v>9.6177521874928313</v>
      </c>
      <c r="R54" s="68">
        <v>4.3188936961717665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0.11891304715268453</v>
      </c>
      <c r="M55" s="115">
        <v>350.31845568899803</v>
      </c>
      <c r="N55" s="115">
        <v>369.84398557963544</v>
      </c>
      <c r="O55" s="115">
        <v>3.8402209994857728</v>
      </c>
      <c r="P55" s="115">
        <v>3.6632230634444163</v>
      </c>
      <c r="Q55" s="111">
        <v>3.8402209994857728</v>
      </c>
      <c r="R55" s="68">
        <v>3.6632230634444167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1.4814613289023648E-2</v>
      </c>
      <c r="M56" s="115">
        <v>219.25926502382779</v>
      </c>
      <c r="N56" s="115">
        <v>231.48314326205022</v>
      </c>
      <c r="O56" s="115">
        <v>2.4527310443847665</v>
      </c>
      <c r="P56" s="115">
        <v>2.4341722763114051</v>
      </c>
      <c r="Q56" s="111">
        <v>2.4527310443847665</v>
      </c>
      <c r="R56" s="68">
        <v>2.4341722763114055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2.7892017582362504E-2</v>
      </c>
      <c r="M57" s="115">
        <v>111.37610684700809</v>
      </c>
      <c r="N57" s="115">
        <v>117.5842037457122</v>
      </c>
      <c r="O57" s="115">
        <v>1.2216590020157201</v>
      </c>
      <c r="P57" s="115">
        <v>1.1732641039133103</v>
      </c>
      <c r="Q57" s="111">
        <v>1.2216590020157203</v>
      </c>
      <c r="R57" s="68">
        <v>1.1732641039133105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5.8973064338307297E-2</v>
      </c>
      <c r="M58" s="115">
        <v>1.4368684589861893</v>
      </c>
      <c r="N58" s="115">
        <v>1.5158031452584391</v>
      </c>
      <c r="O58" s="115">
        <v>6.2566885291153729E-2</v>
      </c>
      <c r="P58" s="115">
        <v>6.8074228067223908E-2</v>
      </c>
      <c r="Q58" s="111">
        <v>6.2566885291153743E-2</v>
      </c>
      <c r="R58" s="68">
        <v>6.8074228067223908E-2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1.1762221526866361E-2</v>
      </c>
      <c r="M59" s="115">
        <v>43.784638009430786</v>
      </c>
      <c r="N59" s="115">
        <v>46.225158275113429</v>
      </c>
      <c r="O59" s="115">
        <v>0.48010406957472274</v>
      </c>
      <c r="P59" s="115">
        <v>0.46034446722074956</v>
      </c>
      <c r="Q59" s="111">
        <v>0.48010406957472274</v>
      </c>
      <c r="R59" s="68">
        <v>0.46034446722074956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4.4642542013019514E-4</v>
      </c>
      <c r="M60" s="115">
        <v>0.76790161320573369</v>
      </c>
      <c r="N60" s="115">
        <v>0.81069588586250918</v>
      </c>
      <c r="O60" s="115">
        <v>8.4659054130458641E-3</v>
      </c>
      <c r="P60" s="115">
        <v>7.9933859425184439E-3</v>
      </c>
      <c r="Q60" s="111">
        <v>8.4659054130458659E-3</v>
      </c>
      <c r="R60" s="68">
        <v>7.9933859425184457E-3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0.25230718983138889</v>
      </c>
      <c r="M61" s="115">
        <v>305.55474214582819</v>
      </c>
      <c r="N61" s="115">
        <v>322.58092284183232</v>
      </c>
      <c r="O61" s="115">
        <v>3.403964916320477</v>
      </c>
      <c r="P61" s="115">
        <v>3.1983183899030903</v>
      </c>
      <c r="Q61" s="111">
        <v>3.403964916320477</v>
      </c>
      <c r="R61" s="68">
        <v>3.1983183899030903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2.4733204192454272E-3</v>
      </c>
      <c r="M62" s="115">
        <v>1014.5185128992732</v>
      </c>
      <c r="N62" s="115">
        <v>1071.0985541974621</v>
      </c>
      <c r="O62" s="115">
        <v>7.858802458065699</v>
      </c>
      <c r="P62" s="115">
        <v>5.1609533653721646</v>
      </c>
      <c r="Q62" s="111">
        <v>7.858802458065699</v>
      </c>
      <c r="R62" s="68">
        <v>5.1609533653721646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1.5049636687250865E-4</v>
      </c>
      <c r="M63" s="115">
        <v>1632.6699601436546</v>
      </c>
      <c r="N63" s="115">
        <v>1723.7531176389396</v>
      </c>
      <c r="O63" s="115">
        <v>10.159999446969898</v>
      </c>
      <c r="P63" s="115">
        <v>4.0886336426035514</v>
      </c>
      <c r="Q63" s="111">
        <v>10.159999446969898</v>
      </c>
      <c r="R63" s="68">
        <v>4.0886336426035514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4.8249665730620443E-5</v>
      </c>
      <c r="M64" s="115">
        <v>1725.9337967912095</v>
      </c>
      <c r="N64" s="115">
        <v>1822.2306927095124</v>
      </c>
      <c r="O64" s="115">
        <v>10.479974804845673</v>
      </c>
      <c r="P64" s="115">
        <v>3.9591845125820955</v>
      </c>
      <c r="Q64" s="111">
        <v>10.479974804845673</v>
      </c>
      <c r="R64" s="68">
        <v>3.9591845125820955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1.285043326849766E-5</v>
      </c>
      <c r="M65" s="115">
        <v>1785.3555487139015</v>
      </c>
      <c r="N65" s="115">
        <v>1884.980312702545</v>
      </c>
      <c r="O65" s="115">
        <v>10.655677561407122</v>
      </c>
      <c r="P65" s="115">
        <v>3.8865275667218731</v>
      </c>
      <c r="Q65" s="111">
        <v>10.655677561407124</v>
      </c>
      <c r="R65" s="68">
        <v>3.8865275667218735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2.7353447723729189E-5</v>
      </c>
      <c r="M66" s="115">
        <v>1756.0652678284673</v>
      </c>
      <c r="N66" s="115">
        <v>1854.048635325106</v>
      </c>
      <c r="O66" s="115">
        <v>10.574097650644438</v>
      </c>
      <c r="P66" s="115">
        <v>3.9211438064500852</v>
      </c>
      <c r="Q66" s="111">
        <v>10.574097650644438</v>
      </c>
      <c r="R66" s="68">
        <v>3.9211438064500856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0.7995142703248258</v>
      </c>
      <c r="M67" s="115">
        <v>34.949905682795269</v>
      </c>
      <c r="N67" s="115">
        <v>36.882071386809898</v>
      </c>
      <c r="O67" s="115">
        <v>1.0011825949272322</v>
      </c>
      <c r="P67" s="115">
        <v>1.0541836885813132</v>
      </c>
      <c r="Q67" s="111">
        <v>1.0011825949272322</v>
      </c>
      <c r="R67" s="68">
        <v>1.0541836885813132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0.7230243996560084</v>
      </c>
      <c r="M68" s="115">
        <v>58.056354603516837</v>
      </c>
      <c r="N68" s="115">
        <v>61.277638987862467</v>
      </c>
      <c r="O68" s="115">
        <v>1.1700678722724951</v>
      </c>
      <c r="P68" s="115">
        <v>1.1844722063831312</v>
      </c>
      <c r="Q68" s="111">
        <v>1.1700678722724951</v>
      </c>
      <c r="R68" s="68">
        <v>1.1844722063831314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7.1779558133507613E-4</v>
      </c>
      <c r="M69" s="115">
        <v>1378.9132386027984</v>
      </c>
      <c r="N69" s="115">
        <v>1455.8272026966852</v>
      </c>
      <c r="O69" s="115">
        <v>9.2242409142951391</v>
      </c>
      <c r="P69" s="115">
        <v>4.4908405765838157</v>
      </c>
      <c r="Q69" s="111">
        <v>9.2242409142951391</v>
      </c>
      <c r="R69" s="68">
        <v>4.4908405765838157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2.0939651407068761E-2</v>
      </c>
      <c r="M70" s="115">
        <v>506.51900790797362</v>
      </c>
      <c r="N70" s="115">
        <v>534.75948794090857</v>
      </c>
      <c r="O70" s="115">
        <v>5.730370502416207</v>
      </c>
      <c r="P70" s="115">
        <v>5.7609028582309723</v>
      </c>
      <c r="Q70" s="111">
        <v>5.730370502416207</v>
      </c>
      <c r="R70" s="68">
        <v>5.7609028582309723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0.7247970488657679</v>
      </c>
      <c r="M71" s="115">
        <v>53.000870498085092</v>
      </c>
      <c r="N71" s="115">
        <v>55.940389791313343</v>
      </c>
      <c r="O71" s="115">
        <v>1.1206822078178937</v>
      </c>
      <c r="P71" s="115">
        <v>1.1414425386922615</v>
      </c>
      <c r="Q71" s="111">
        <v>1.120682207817894</v>
      </c>
      <c r="R71" s="68">
        <v>1.1414425386922615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2.4276041971663605E-2</v>
      </c>
      <c r="M72" s="115">
        <v>498.52232654195944</v>
      </c>
      <c r="N72" s="115">
        <v>526.3164341814105</v>
      </c>
      <c r="O72" s="115">
        <v>5.6179413671968836</v>
      </c>
      <c r="P72" s="115">
        <v>5.6235644673509375</v>
      </c>
      <c r="Q72" s="111">
        <v>5.6179413671968845</v>
      </c>
      <c r="R72" s="68">
        <v>5.6235644673509375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0.23130815181642417</v>
      </c>
      <c r="M73" s="115">
        <v>314.88309946476096</v>
      </c>
      <c r="N73" s="115">
        <v>332.42983335968307</v>
      </c>
      <c r="O73" s="115">
        <v>3.4931505869711779</v>
      </c>
      <c r="P73" s="115">
        <v>3.2868039065433732</v>
      </c>
      <c r="Q73" s="111">
        <v>3.4931505869711779</v>
      </c>
      <c r="R73" s="68">
        <v>3.2868039065433732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2.1867562736780262E-2</v>
      </c>
      <c r="M74" s="115">
        <v>504.78542188215658</v>
      </c>
      <c r="N74" s="115">
        <v>532.92909681599383</v>
      </c>
      <c r="O74" s="115">
        <v>5.7043207212329934</v>
      </c>
      <c r="P74" s="115">
        <v>5.7276471324021374</v>
      </c>
      <c r="Q74" s="111">
        <v>5.7043207212329943</v>
      </c>
      <c r="R74" s="68">
        <v>5.7276471324021374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3.628840756230644E-3</v>
      </c>
      <c r="M75" s="115">
        <v>438.73043456556059</v>
      </c>
      <c r="N75" s="115">
        <v>463.43940625282994</v>
      </c>
      <c r="O75" s="115">
        <v>5.0419703145352539</v>
      </c>
      <c r="P75" s="115">
        <v>7.3566575970992245</v>
      </c>
      <c r="Q75" s="111">
        <v>5.0419703145352548</v>
      </c>
      <c r="R75" s="68">
        <v>7.3566575970992254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3.6288407578714131E-3</v>
      </c>
      <c r="M76" s="115">
        <v>438.73043476393116</v>
      </c>
      <c r="N76" s="115">
        <v>463.43940646237257</v>
      </c>
      <c r="O76" s="115">
        <v>5.0419703168149645</v>
      </c>
      <c r="P76" s="115">
        <v>7.356657600425514</v>
      </c>
      <c r="Q76" s="111">
        <v>5.0419703168149654</v>
      </c>
      <c r="R76" s="68">
        <v>7.356657600425514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8.5327141647215818E-2</v>
      </c>
      <c r="M77" s="115">
        <v>430.52497128702998</v>
      </c>
      <c r="N77" s="115">
        <v>454.52340309535475</v>
      </c>
      <c r="O77" s="115">
        <v>4.7308961687718236</v>
      </c>
      <c r="P77" s="115">
        <v>4.568643774011842</v>
      </c>
      <c r="Q77" s="111">
        <v>4.7308961687718236</v>
      </c>
      <c r="R77" s="68">
        <v>4.568643774011842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0.49488886908143798</v>
      </c>
      <c r="M78" s="115">
        <v>147.26184681446455</v>
      </c>
      <c r="N78" s="115">
        <v>155.4593127106796</v>
      </c>
      <c r="O78" s="115">
        <v>1.9015040690679816</v>
      </c>
      <c r="P78" s="115">
        <v>1.8019190242092937</v>
      </c>
      <c r="Q78" s="111">
        <v>1.9015040690679816</v>
      </c>
      <c r="R78" s="68">
        <v>1.8019190242092937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0.33445875568272226</v>
      </c>
      <c r="M79" s="115">
        <v>247.82620683146848</v>
      </c>
      <c r="N79" s="115">
        <v>261.63245964696966</v>
      </c>
      <c r="O79" s="115">
        <v>2.8391447095767366</v>
      </c>
      <c r="P79" s="115">
        <v>2.6591689495531625</v>
      </c>
      <c r="Q79" s="111">
        <v>2.8391447095767366</v>
      </c>
      <c r="R79" s="68">
        <v>2.6591689495531625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2.1416753691920008E-3</v>
      </c>
      <c r="M80" s="115">
        <v>741.96504047966221</v>
      </c>
      <c r="N80" s="115">
        <v>783.75205133634631</v>
      </c>
      <c r="O80" s="115">
        <v>5.3987727154797795</v>
      </c>
      <c r="P80" s="115">
        <v>6.7740595910246419</v>
      </c>
      <c r="Q80" s="111">
        <v>5.3987727154797795</v>
      </c>
      <c r="R80" s="68">
        <v>6.7740595910246428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0.96652183277430603</v>
      </c>
      <c r="M81" s="115">
        <v>1.6142348627993319</v>
      </c>
      <c r="N81" s="115">
        <v>1.6857824331101914</v>
      </c>
      <c r="O81" s="115">
        <v>0.81307116009681146</v>
      </c>
      <c r="P81" s="115">
        <v>0.93919826343057577</v>
      </c>
      <c r="Q81" s="111">
        <v>0.81307116009681146</v>
      </c>
      <c r="R81" s="68">
        <v>0.93919826343057577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0.69682487432013762</v>
      </c>
      <c r="M82" s="115">
        <v>70.696771185346037</v>
      </c>
      <c r="N82" s="115">
        <v>74.623001225687872</v>
      </c>
      <c r="O82" s="115">
        <v>1.2764141341878708</v>
      </c>
      <c r="P82" s="115">
        <v>1.2729359948417915</v>
      </c>
      <c r="Q82" s="111">
        <v>1.2764141341878708</v>
      </c>
      <c r="R82" s="68">
        <v>1.2729359948417915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0.10766199138972406</v>
      </c>
      <c r="M83" s="115">
        <v>419.96646461523193</v>
      </c>
      <c r="N83" s="115">
        <v>443.37526478752898</v>
      </c>
      <c r="O83" s="115">
        <v>4.6059517162981143</v>
      </c>
      <c r="P83" s="115">
        <v>4.4211089545986688</v>
      </c>
      <c r="Q83" s="111">
        <v>4.6059517162981152</v>
      </c>
      <c r="R83" s="68">
        <v>4.4211089545986688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0.92765159000259967</v>
      </c>
      <c r="M84" s="115">
        <v>6.4772603245396887</v>
      </c>
      <c r="N84" s="115">
        <v>6.8204674273587198</v>
      </c>
      <c r="O84" s="115">
        <v>0.82723427156835305</v>
      </c>
      <c r="P84" s="115">
        <v>0.93924669185537979</v>
      </c>
      <c r="Q84" s="111">
        <v>0.82723427156835316</v>
      </c>
      <c r="R84" s="68">
        <v>0.93924669185537979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0.9848278983365788</v>
      </c>
      <c r="M85" s="115">
        <v>0.34540956170819342</v>
      </c>
      <c r="N85" s="115">
        <v>0.34593396778996649</v>
      </c>
      <c r="O85" s="115">
        <v>0.81641108696757914</v>
      </c>
      <c r="P85" s="115">
        <v>0.94766722883301524</v>
      </c>
      <c r="Q85" s="111">
        <v>0.81641108696757914</v>
      </c>
      <c r="R85" s="68">
        <v>0.94766722883301535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0.92947675894766091</v>
      </c>
      <c r="M86" s="115">
        <v>6.1941074375475598</v>
      </c>
      <c r="N86" s="115">
        <v>6.5215043756862761</v>
      </c>
      <c r="O86" s="115">
        <v>0.82602238782044002</v>
      </c>
      <c r="P86" s="115">
        <v>0.93876778519115256</v>
      </c>
      <c r="Q86" s="111">
        <v>0.82602238782044013</v>
      </c>
      <c r="R86" s="68">
        <v>0.93876778519115256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2.2761602655039064E-4</v>
      </c>
      <c r="M87" s="115">
        <v>1583.2014776590986</v>
      </c>
      <c r="N87" s="115">
        <v>1671.5211907286653</v>
      </c>
      <c r="O87" s="115">
        <v>9.9821432307340814</v>
      </c>
      <c r="P87" s="115">
        <v>4.1627828806853842</v>
      </c>
      <c r="Q87" s="111">
        <v>9.9821432307340814</v>
      </c>
      <c r="R87" s="68">
        <v>4.162782880685385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0.57222322739657738</v>
      </c>
      <c r="M88" s="115">
        <v>122.72103384529379</v>
      </c>
      <c r="N88" s="115">
        <v>129.54914224532587</v>
      </c>
      <c r="O88" s="115">
        <v>1.7080377061321139</v>
      </c>
      <c r="P88" s="115">
        <v>1.6371562436202967</v>
      </c>
      <c r="Q88" s="111">
        <v>1.7080377061321141</v>
      </c>
      <c r="R88" s="68">
        <v>1.6371562436202967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0.67553132065599086</v>
      </c>
      <c r="M89" s="115">
        <v>78.862582326829042</v>
      </c>
      <c r="N89" s="115">
        <v>83.244309351847477</v>
      </c>
      <c r="O89" s="115">
        <v>1.3419897357562898</v>
      </c>
      <c r="P89" s="115">
        <v>1.3269013565125183</v>
      </c>
      <c r="Q89" s="111">
        <v>1.3419897357562898</v>
      </c>
      <c r="R89" s="68">
        <v>1.3269013565125183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0.85454786269680483</v>
      </c>
      <c r="M90" s="115">
        <v>21.31337531424656</v>
      </c>
      <c r="N90" s="115">
        <v>22.484617291491954</v>
      </c>
      <c r="O90" s="115">
        <v>0.91146353742266784</v>
      </c>
      <c r="P90" s="115">
        <v>0.99054498899855059</v>
      </c>
      <c r="Q90" s="111">
        <v>0.91146353742266784</v>
      </c>
      <c r="R90" s="68">
        <v>0.9905449889985507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2.0766168948446679E-3</v>
      </c>
      <c r="M91" s="115">
        <v>1076.3052317162976</v>
      </c>
      <c r="N91" s="115">
        <v>1136.3325131487475</v>
      </c>
      <c r="O91" s="115">
        <v>8.0909321003911181</v>
      </c>
      <c r="P91" s="115">
        <v>5.0426146689670039</v>
      </c>
      <c r="Q91" s="111">
        <v>8.0909321003911181</v>
      </c>
      <c r="R91" s="68">
        <v>5.0426146689670048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0.15249204235412539</v>
      </c>
      <c r="M92" s="115">
        <v>381.38318960864569</v>
      </c>
      <c r="N92" s="115">
        <v>402.6393661438334</v>
      </c>
      <c r="O92" s="115">
        <v>4.1836174489260873</v>
      </c>
      <c r="P92" s="115">
        <v>3.977278834113291</v>
      </c>
      <c r="Q92" s="111">
        <v>4.1836174489260873</v>
      </c>
      <c r="R92" s="68">
        <v>3.9772788341132914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3.1974436809817999E-2</v>
      </c>
      <c r="M93" s="115">
        <v>495.89577285689285</v>
      </c>
      <c r="N93" s="115">
        <v>523.54251524265533</v>
      </c>
      <c r="O93" s="115">
        <v>5.5529332294879916</v>
      </c>
      <c r="P93" s="115">
        <v>5.5176675414021643</v>
      </c>
      <c r="Q93" s="111">
        <v>5.5529332294879916</v>
      </c>
      <c r="R93" s="68">
        <v>5.5176675414021652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0.88871263074869722</v>
      </c>
      <c r="M94" s="115">
        <v>11.217158188983136</v>
      </c>
      <c r="N94" s="115">
        <v>11.831991689187243</v>
      </c>
      <c r="O94" s="115">
        <v>1.2425413971237724</v>
      </c>
      <c r="P94" s="115">
        <v>1.7284651826097717</v>
      </c>
      <c r="Q94" s="111">
        <v>1.2425413971237727</v>
      </c>
      <c r="R94" s="68">
        <v>1.7284651826097717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6.0020880162626909E-3</v>
      </c>
      <c r="M95" s="115">
        <v>664.23987897960808</v>
      </c>
      <c r="N95" s="115">
        <v>701.27993069167428</v>
      </c>
      <c r="O95" s="115">
        <v>6.5485431742466638</v>
      </c>
      <c r="P95" s="115">
        <v>5.8717308235117391</v>
      </c>
      <c r="Q95" s="111">
        <v>6.5485431742466647</v>
      </c>
      <c r="R95" s="68">
        <v>5.8717308235117391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0.96527337310296402</v>
      </c>
      <c r="M96" s="115">
        <v>1.7280959562234957</v>
      </c>
      <c r="N96" s="115">
        <v>1.8060099050222083</v>
      </c>
      <c r="O96" s="115">
        <v>0.81310793395776071</v>
      </c>
      <c r="P96" s="115">
        <v>0.93884074014236862</v>
      </c>
      <c r="Q96" s="111">
        <v>0.81310793395776082</v>
      </c>
      <c r="R96" s="68">
        <v>0.93884074014236862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0.92672081789875727</v>
      </c>
      <c r="M97" s="115">
        <v>6.6235288385167763</v>
      </c>
      <c r="N97" s="115">
        <v>6.9749028131390052</v>
      </c>
      <c r="O97" s="115">
        <v>0.82787114632914049</v>
      </c>
      <c r="P97" s="115">
        <v>0.93950759406056339</v>
      </c>
      <c r="Q97" s="111">
        <v>0.82787114632914049</v>
      </c>
      <c r="R97" s="68">
        <v>0.93950759406056339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1.4957356191586866E-2</v>
      </c>
      <c r="M98" s="115">
        <v>513.90191615500544</v>
      </c>
      <c r="N98" s="115">
        <v>542.55514611534068</v>
      </c>
      <c r="O98" s="115">
        <v>5.865033497133723</v>
      </c>
      <c r="P98" s="115">
        <v>5.9511059591542956</v>
      </c>
      <c r="Q98" s="111">
        <v>5.8650334971337239</v>
      </c>
      <c r="R98" s="68">
        <v>5.9511059591542956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0.98870524008852567</v>
      </c>
      <c r="M99" s="115">
        <v>0.18668581151300012</v>
      </c>
      <c r="N99" s="115">
        <v>0.17829656164147345</v>
      </c>
      <c r="O99" s="115">
        <v>0.81817300244510927</v>
      </c>
      <c r="P99" s="115">
        <v>0.95032005172869016</v>
      </c>
      <c r="Q99" s="111">
        <v>0.81817300244510927</v>
      </c>
      <c r="R99" s="68">
        <v>0.95032005172869016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0.37602699168328657</v>
      </c>
      <c r="M100" s="115">
        <v>225.7286337383031</v>
      </c>
      <c r="N100" s="115">
        <v>238.30221284089365</v>
      </c>
      <c r="O100" s="115">
        <v>2.6339801081459817</v>
      </c>
      <c r="P100" s="115">
        <v>2.4679363009346305</v>
      </c>
      <c r="Q100" s="111">
        <v>2.6339801081459817</v>
      </c>
      <c r="R100" s="68">
        <v>2.4679363009346305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0.98279597616881553</v>
      </c>
      <c r="M101" s="115">
        <v>0.44564305513996738</v>
      </c>
      <c r="N101" s="115">
        <v>0.45178870800272936</v>
      </c>
      <c r="O101" s="115">
        <v>0.81565035788727791</v>
      </c>
      <c r="P101" s="115">
        <v>0.94640745142916549</v>
      </c>
      <c r="Q101" s="111">
        <v>0.81565035788727791</v>
      </c>
      <c r="R101" s="68">
        <v>0.94640745142916549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0.99360788739663808</v>
      </c>
      <c r="M102" s="115">
        <v>5.4125416008995231E-2</v>
      </c>
      <c r="N102" s="115">
        <v>3.8260321469997881E-2</v>
      </c>
      <c r="O102" s="115">
        <v>0.82106190872173335</v>
      </c>
      <c r="P102" s="115">
        <v>0.95420096733370519</v>
      </c>
      <c r="Q102" s="111">
        <v>0.82106190872173335</v>
      </c>
      <c r="R102" s="68">
        <v>0.9542009673337053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0.98898043473092101</v>
      </c>
      <c r="M103" s="115">
        <v>0.17714086544131225</v>
      </c>
      <c r="N103" s="115">
        <v>0.16821480462573302</v>
      </c>
      <c r="O103" s="115">
        <v>0.81831448849120469</v>
      </c>
      <c r="P103" s="115">
        <v>0.9505214300461271</v>
      </c>
      <c r="Q103" s="111">
        <v>0.81831448849120469</v>
      </c>
      <c r="R103" s="68">
        <v>0.9505214300461271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0.94766682202027597</v>
      </c>
      <c r="M104" s="115">
        <v>3.6517081004179595</v>
      </c>
      <c r="N104" s="115">
        <v>3.837117317636249</v>
      </c>
      <c r="O104" s="115">
        <v>0.81674888467168405</v>
      </c>
      <c r="P104" s="115">
        <v>0.9364579619938409</v>
      </c>
      <c r="Q104" s="111">
        <v>0.81674888467168405</v>
      </c>
      <c r="R104" s="68">
        <v>0.9364579619938409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0.99289718570051544</v>
      </c>
      <c r="M105" s="115">
        <v>6.812055233792301E-2</v>
      </c>
      <c r="N105" s="115">
        <v>5.3048463666950534E-2</v>
      </c>
      <c r="O105" s="115">
        <v>0.8205901299495113</v>
      </c>
      <c r="P105" s="115">
        <v>0.95359586604316271</v>
      </c>
      <c r="Q105" s="111">
        <v>0.82059012994951142</v>
      </c>
      <c r="R105" s="68">
        <v>0.95359586604316282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0.81277503520242522</v>
      </c>
      <c r="M106" s="115">
        <v>32.356975057496285</v>
      </c>
      <c r="N106" s="115">
        <v>34.144396653192807</v>
      </c>
      <c r="O106" s="115">
        <v>0.98628640029484971</v>
      </c>
      <c r="P106" s="115">
        <v>1.044458264413443</v>
      </c>
      <c r="Q106" s="111">
        <v>0.98628640029484971</v>
      </c>
      <c r="R106" s="68">
        <v>1.044458264413443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1.110482297022076E-2</v>
      </c>
      <c r="M107" s="115">
        <v>517.14971164348378</v>
      </c>
      <c r="N107" s="115">
        <v>545.98497380582023</v>
      </c>
      <c r="O107" s="115">
        <v>5.9492473977926785</v>
      </c>
      <c r="P107" s="115">
        <v>6.0851311625575946</v>
      </c>
      <c r="Q107" s="111">
        <v>5.9492473977926794</v>
      </c>
      <c r="R107" s="68">
        <v>6.0851311625575946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0.43884273547690922</v>
      </c>
      <c r="M108" s="115">
        <v>189.86388922119886</v>
      </c>
      <c r="N108" s="115">
        <v>200.4370348594515</v>
      </c>
      <c r="O108" s="115">
        <v>2.3026615757576603</v>
      </c>
      <c r="P108" s="115">
        <v>2.1643879514424964</v>
      </c>
      <c r="Q108" s="111">
        <v>2.3026615757576607</v>
      </c>
      <c r="R108" s="68">
        <v>2.1643879514424964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Extra dat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2024-10-28T23:29:57Z</dcterms:modified>
</cp:coreProperties>
</file>