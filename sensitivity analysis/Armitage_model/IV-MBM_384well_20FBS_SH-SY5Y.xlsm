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5AA2DC73-AB47-449F-A691-C6B2F3914B13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<sst xmlns="http://schemas.openxmlformats.org/spreadsheetml/2006/main" count="2915" uniqueCount="495">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</sst>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44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1.0976E-2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1.0976E-2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2.744E-4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2.7439999999999999E-6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1.367841402069162E-5</v>
      </c>
      <c r="J2" s="67" t="s">
        <v>231</v>
      </c>
      <c r="K2" s="68">
        <v>1.2340019985043684E-3</v>
      </c>
      <c r="L2" s="67" t="s">
        <v>231</v>
      </c>
      <c r="M2" s="68">
        <v>5.2936659395237194E-2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1.0154326220773776E-3</v>
      </c>
      <c r="J3" s="67" t="s">
        <v>231</v>
      </c>
      <c r="K3" s="68">
        <v>3.388078399114143E-2</v>
      </c>
      <c r="L3" s="67" t="s">
        <v>231</v>
      </c>
      <c r="M3" s="68">
        <v>3.6353441771393058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1.7499368172091548E-3</v>
      </c>
      <c r="J4" s="67" t="s">
        <v>231</v>
      </c>
      <c r="K4" s="68">
        <v>3.2159874152071625E-3</v>
      </c>
      <c r="L4" s="67" t="s">
        <v>231</v>
      </c>
      <c r="M4" s="68">
        <v>0.30293324814216027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1.5492556102956673E-3</v>
      </c>
      <c r="J5" s="67" t="s">
        <v>231</v>
      </c>
      <c r="K5" s="68">
        <v>9.8197107073042314E-3</v>
      </c>
      <c r="L5" s="67" t="s">
        <v>231</v>
      </c>
      <c r="M5" s="68">
        <v>1.0440390068282781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2.7800102544045515E-3</v>
      </c>
      <c r="J6" s="67" t="s">
        <v>231</v>
      </c>
      <c r="K6" s="68">
        <v>3.9735656300438404E-2</v>
      </c>
      <c r="L6" s="67" t="s">
        <v>231</v>
      </c>
      <c r="M6" s="68">
        <v>4.2731099480508323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4.0414637619813425E-4</v>
      </c>
      <c r="J7" s="67" t="s">
        <v>231</v>
      </c>
      <c r="K7" s="68">
        <v>3.4923393723903115E-2</v>
      </c>
      <c r="L7" s="67" t="s">
        <v>231</v>
      </c>
      <c r="M7" s="68">
        <v>3.7484477762786987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7.7700047254435621E-4</v>
      </c>
      <c r="J8" s="67" t="s">
        <v>231</v>
      </c>
      <c r="K8" s="68">
        <v>2.7692265998168934E-2</v>
      </c>
      <c r="L8" s="67" t="s">
        <v>231</v>
      </c>
      <c r="M8" s="68">
        <v>2.9650843078421181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2.1798264872239175E-4</v>
      </c>
      <c r="J9" s="67" t="s">
        <v>231</v>
      </c>
      <c r="K9" s="68">
        <v>5.8042640171400645E-3</v>
      </c>
      <c r="L9" s="67" t="s">
        <v>231</v>
      </c>
      <c r="M9" s="68">
        <v>0.6076164360965256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9.3266368373035285E-4</v>
      </c>
      <c r="J10" s="67" t="s">
        <v>231</v>
      </c>
      <c r="K10" s="68">
        <v>1.0504995030548563E-2</v>
      </c>
      <c r="L10" s="67" t="s">
        <v>231</v>
      </c>
      <c r="M10" s="68">
        <v>1.1173707776359212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2.2972870455954401E-4</v>
      </c>
      <c r="J11" s="67" t="s">
        <v>231</v>
      </c>
      <c r="K11" s="68">
        <v>1.1718967435895183E-2</v>
      </c>
      <c r="L11" s="67" t="s">
        <v>231</v>
      </c>
      <c r="M11" s="68">
        <v>1.2473420795315397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4.6825161287890798E-4</v>
      </c>
      <c r="J12" s="67" t="s">
        <v>231</v>
      </c>
      <c r="K12" s="68">
        <v>6.0593132359254842E-3</v>
      </c>
      <c r="L12" s="67" t="s">
        <v>231</v>
      </c>
      <c r="M12" s="68">
        <v>0.63745275848279292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1.0159375967165204E-2</v>
      </c>
      <c r="J13" s="67" t="s">
        <v>232</v>
      </c>
      <c r="K13" s="68">
        <v>5.8323646826687718E-3</v>
      </c>
      <c r="L13" s="67" t="s">
        <v>231</v>
      </c>
      <c r="M13" s="68">
        <v>0.61089597890862901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2.1977875541828651E-3</v>
      </c>
      <c r="J14" s="67" t="s">
        <v>231</v>
      </c>
      <c r="K14" s="68">
        <v>1.6053393234744095E-2</v>
      </c>
      <c r="L14" s="67" t="s">
        <v>231</v>
      </c>
      <c r="M14" s="68">
        <v>1.7120431210379383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1.1012505118994992E-3</v>
      </c>
      <c r="J15" s="67" t="s">
        <v>231</v>
      </c>
      <c r="K15" s="68">
        <v>1.1100820523855408E-2</v>
      </c>
      <c r="L15" s="67" t="s">
        <v>231</v>
      </c>
      <c r="M15" s="68">
        <v>1.1811511969712367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8.1710439412368641E-4</v>
      </c>
      <c r="J16" s="67" t="s">
        <v>231</v>
      </c>
      <c r="K16" s="68">
        <v>2.7337951614453414E-2</v>
      </c>
      <c r="L16" s="67" t="s">
        <v>231</v>
      </c>
      <c r="M16" s="68">
        <v>2.9268195759630506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6.5272995289594813E-4</v>
      </c>
      <c r="J17" s="67" t="s">
        <v>231</v>
      </c>
      <c r="K17" s="68">
        <v>1.0044880700484659E-2</v>
      </c>
      <c r="L17" s="67" t="s">
        <v>231</v>
      </c>
      <c r="M17" s="68">
        <v>1.0681311073087407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1.6206219848898292E-3</v>
      </c>
      <c r="J18" s="67" t="s">
        <v>231</v>
      </c>
      <c r="K18" s="68">
        <v>5.6483409031959537E-3</v>
      </c>
      <c r="L18" s="67" t="s">
        <v>231</v>
      </c>
      <c r="M18" s="68">
        <v>0.58966326174136086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6.6957858620258241E-3</v>
      </c>
      <c r="J19" s="67" t="s">
        <v>231</v>
      </c>
      <c r="K19" s="68">
        <v>1.1222778652828173E-2</v>
      </c>
      <c r="L19" s="67" t="s">
        <v>231</v>
      </c>
      <c r="M19" s="68">
        <v>1.1942086523032576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1.0512384106339866E-3</v>
      </c>
      <c r="J20" s="67" t="s">
        <v>231</v>
      </c>
      <c r="K20" s="68">
        <v>5.8331466104381306E-3</v>
      </c>
      <c r="L20" s="67" t="s">
        <v>231</v>
      </c>
      <c r="M20" s="68">
        <v>0.61097787991381103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3.1666860239240417E-3</v>
      </c>
      <c r="J21" s="67" t="s">
        <v>231</v>
      </c>
      <c r="K21" s="68">
        <v>1.4705583254099711E-2</v>
      </c>
      <c r="L21" s="67" t="s">
        <v>231</v>
      </c>
      <c r="M21" s="68">
        <v>1.5674382613920796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8.6542332693195312E-5</v>
      </c>
      <c r="J22" s="67" t="s">
        <v>231</v>
      </c>
      <c r="K22" s="68">
        <v>2.0229024306298955E-3</v>
      </c>
      <c r="L22" s="67" t="s">
        <v>231</v>
      </c>
      <c r="M22" s="68">
        <v>0.15658183826326155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2.9319230816596984E-5</v>
      </c>
      <c r="J23" s="67" t="s">
        <v>231</v>
      </c>
      <c r="K23" s="68">
        <v>1.428140669392193E-3</v>
      </c>
      <c r="L23" s="67" t="s">
        <v>231</v>
      </c>
      <c r="M23" s="68">
        <v>7.947837932950523E-2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8.1604924676285817E-5</v>
      </c>
      <c r="J24" s="67" t="s">
        <v>231</v>
      </c>
      <c r="K24" s="68">
        <v>4.6169473473759741E-3</v>
      </c>
      <c r="L24" s="67" t="s">
        <v>231</v>
      </c>
      <c r="M24" s="68">
        <v>0.46918291793266198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4.055220563559297E-4</v>
      </c>
      <c r="J25" s="67" t="s">
        <v>231</v>
      </c>
      <c r="K25" s="68">
        <v>6.1746466807789981E-3</v>
      </c>
      <c r="L25" s="67" t="s">
        <v>231</v>
      </c>
      <c r="M25" s="68">
        <v>0.65238716234640093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8.3745087109440494E-4</v>
      </c>
      <c r="J26" s="67" t="s">
        <v>231</v>
      </c>
      <c r="K26" s="68">
        <v>1.3849101167843931E-2</v>
      </c>
      <c r="L26" s="67" t="s">
        <v>231</v>
      </c>
      <c r="M26" s="68">
        <v>1.4755942744253023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5.5757901955736874E-4</v>
      </c>
      <c r="J27" s="67" t="s">
        <v>231</v>
      </c>
      <c r="K27" s="68">
        <v>3.3134257758783293E-2</v>
      </c>
      <c r="L27" s="67" t="s">
        <v>231</v>
      </c>
      <c r="M27" s="68">
        <v>3.5542664246645237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2.9825285125351667E-4</v>
      </c>
      <c r="J28" s="67" t="s">
        <v>231</v>
      </c>
      <c r="K28" s="68">
        <v>2.0410323446194548E-2</v>
      </c>
      <c r="L28" s="67" t="s">
        <v>231</v>
      </c>
      <c r="M28" s="68">
        <v>2.1801792673331875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1.8242395685543855E-4</v>
      </c>
      <c r="J29" s="67" t="s">
        <v>231</v>
      </c>
      <c r="K29" s="68">
        <v>1.5174285864214524E-2</v>
      </c>
      <c r="L29" s="67" t="s">
        <v>231</v>
      </c>
      <c r="M29" s="68">
        <v>1.6179935426263099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2.9825285125351667E-4</v>
      </c>
      <c r="J30" s="67" t="s">
        <v>231</v>
      </c>
      <c r="K30" s="68">
        <v>2.0410323446194548E-2</v>
      </c>
      <c r="L30" s="67" t="s">
        <v>231</v>
      </c>
      <c r="M30" s="68">
        <v>2.1801792673331875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8.1332775503815418E-8</v>
      </c>
      <c r="J31" s="67" t="s">
        <v>231</v>
      </c>
      <c r="K31" s="68">
        <v>9.2828859032882888E-4</v>
      </c>
      <c r="L31" s="67" t="s">
        <v>231</v>
      </c>
      <c r="M31" s="68">
        <v>1.1400419043019955E-3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8.4240940213499379E-6</v>
      </c>
      <c r="J32" s="67" t="s">
        <v>231</v>
      </c>
      <c r="K32" s="68">
        <v>2.7881524130943312E-3</v>
      </c>
      <c r="L32" s="67" t="s">
        <v>231</v>
      </c>
      <c r="M32" s="68">
        <v>0.24292144683836719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8.1319009678271739E-8</v>
      </c>
      <c r="J33" s="67" t="s">
        <v>231</v>
      </c>
      <c r="K33" s="68">
        <v>9.4022701862201373E-4</v>
      </c>
      <c r="L33" s="67" t="s">
        <v>231</v>
      </c>
      <c r="M33" s="68">
        <v>5.9120894952985142E-4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1.9356235307442385E-10</v>
      </c>
      <c r="J34" s="67" t="s">
        <v>231</v>
      </c>
      <c r="K34" s="68">
        <v>8.3545879035924796E-4</v>
      </c>
      <c r="L34" s="67" t="s">
        <v>231</v>
      </c>
      <c r="M34" s="68">
        <v>4.5011435800179557E-2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1.9751304502630668E-7</v>
      </c>
      <c r="J35" s="67" t="s">
        <v>231</v>
      </c>
      <c r="K35" s="68">
        <v>7.594996112890945E-4</v>
      </c>
      <c r="L35" s="67" t="s">
        <v>231</v>
      </c>
      <c r="M35" s="68">
        <v>6.369533438692182E-2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1.7999633089044704E-7</v>
      </c>
      <c r="J36" s="67" t="s">
        <v>231</v>
      </c>
      <c r="K36" s="68">
        <v>6.5541226402843385E-4</v>
      </c>
      <c r="L36" s="67" t="s">
        <v>231</v>
      </c>
      <c r="M36" s="68">
        <v>7.740090569681532E-2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1.9352630598137872E-6</v>
      </c>
      <c r="J37" s="67" t="s">
        <v>231</v>
      </c>
      <c r="K37" s="68">
        <v>1.7288973394071659E-3</v>
      </c>
      <c r="L37" s="67" t="s">
        <v>231</v>
      </c>
      <c r="M37" s="68">
        <v>0.17491320699561638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1.0521299825266685E-6</v>
      </c>
      <c r="J38" s="67" t="s">
        <v>231</v>
      </c>
      <c r="K38" s="68">
        <v>8.670931553955212E-4</v>
      </c>
      <c r="L38" s="67" t="s">
        <v>231</v>
      </c>
      <c r="M38" s="68">
        <v>4.0304237247653855E-2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2.0964970416707717E-4</v>
      </c>
      <c r="J39" s="67" t="s">
        <v>231</v>
      </c>
      <c r="K39" s="68">
        <v>6.4857816270066024E-3</v>
      </c>
      <c r="L39" s="67" t="s">
        <v>231</v>
      </c>
      <c r="M39" s="68">
        <v>0.68764317395870189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8.1729999750936172E-10</v>
      </c>
      <c r="J40" s="67" t="s">
        <v>231</v>
      </c>
      <c r="K40" s="68">
        <v>4.0746993404614587E-2</v>
      </c>
      <c r="L40" s="67" t="s">
        <v>231</v>
      </c>
      <c r="M40" s="68">
        <v>5.6139511371972963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2.6237413042397749E-8</v>
      </c>
      <c r="J41" s="67" t="s">
        <v>231</v>
      </c>
      <c r="K41" s="68">
        <v>8.5941382030828913E-4</v>
      </c>
      <c r="L41" s="67" t="s">
        <v>231</v>
      </c>
      <c r="M41" s="68">
        <v>6.4434177248934876E-5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9.4566433652298128E-4</v>
      </c>
      <c r="J42" s="67" t="s">
        <v>231</v>
      </c>
      <c r="K42" s="68">
        <v>2.2147457324568922E-3</v>
      </c>
      <c r="L42" s="67" t="s">
        <v>231</v>
      </c>
      <c r="M42" s="68">
        <v>0.18044878021685753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4.7081908320533475E-9</v>
      </c>
      <c r="J43" s="67" t="s">
        <v>231</v>
      </c>
      <c r="K43" s="68">
        <v>1.1892470446444473E-3</v>
      </c>
      <c r="L43" s="67" t="s">
        <v>231</v>
      </c>
      <c r="M43" s="68">
        <v>0.16457209144260618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1.0662267035297666E-6</v>
      </c>
      <c r="J44" s="67" t="s">
        <v>231</v>
      </c>
      <c r="K44" s="68">
        <v>9.9531297743255128E-4</v>
      </c>
      <c r="L44" s="67" t="s">
        <v>231</v>
      </c>
      <c r="M44" s="68">
        <v>2.9070170541392021E-2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8.2824316826175218E-5</v>
      </c>
      <c r="J45" s="67" t="s">
        <v>231</v>
      </c>
      <c r="K45" s="68">
        <v>2.3954839264469546E-3</v>
      </c>
      <c r="L45" s="67" t="s">
        <v>231</v>
      </c>
      <c r="M45" s="68">
        <v>0.20296332644765397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1.8634836707173082E-6</v>
      </c>
      <c r="J46" s="67" t="s">
        <v>231</v>
      </c>
      <c r="K46" s="68">
        <v>2.2769010067694353E-3</v>
      </c>
      <c r="L46" s="67" t="s">
        <v>231</v>
      </c>
      <c r="M46" s="68">
        <v>0.1883820587233625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2.5772444095660966E-3</v>
      </c>
      <c r="J47" s="142" t="s">
        <v>231</v>
      </c>
      <c r="K47" s="143">
        <v>3.4003226312477937E-2</v>
      </c>
      <c r="L47" s="142" t="s">
        <v>231</v>
      </c>
      <c r="M47" s="143">
        <v>3.6484820071264301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1.8056567655682396E-6</v>
      </c>
      <c r="J48" s="142" t="s">
        <v>231</v>
      </c>
      <c r="K48" s="143">
        <v>9.4727977292943192E-4</v>
      </c>
      <c r="L48" s="142" t="s">
        <v>231</v>
      </c>
      <c r="M48" s="143">
        <v>1.0206785634903463E-2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5.0313175974980713E-6</v>
      </c>
      <c r="J49" s="142" t="s">
        <v>231</v>
      </c>
      <c r="K49" s="143">
        <v>9.782352298084425E-4</v>
      </c>
      <c r="L49" s="142" t="s">
        <v>231</v>
      </c>
      <c r="M49" s="143">
        <v>1.748139970324792E-2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7.1198725013671806E-6</v>
      </c>
      <c r="J50" s="142" t="s">
        <v>231</v>
      </c>
      <c r="K50" s="143">
        <v>5.5780764869663981E-3</v>
      </c>
      <c r="L50" s="142" t="s">
        <v>231</v>
      </c>
      <c r="M50" s="143">
        <v>0.58172822082671138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4.0230009972154626E-8</v>
      </c>
      <c r="J51" s="142" t="s">
        <v>231</v>
      </c>
      <c r="K51" s="143">
        <v>8.6716561090705762E-4</v>
      </c>
      <c r="L51" s="142" t="s">
        <v>231</v>
      </c>
      <c r="M51" s="143">
        <v>1.8506377480274371E-3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1.0760412796467832E-5</v>
      </c>
      <c r="J52" s="142" t="s">
        <v>231</v>
      </c>
      <c r="K52" s="143">
        <v>1.14212735684734E-3</v>
      </c>
      <c r="L52" s="142" t="s">
        <v>231</v>
      </c>
      <c r="M52" s="143">
        <v>4.8320460544382354E-2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1.5519978299144798E-4</v>
      </c>
      <c r="J53" s="142" t="s">
        <v>231</v>
      </c>
      <c r="K53" s="143">
        <v>3.0405211124425882E-3</v>
      </c>
      <c r="L53" s="142" t="s">
        <v>231</v>
      </c>
      <c r="M53" s="143">
        <v>0.28192426137703863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8.7722651849617291E-4</v>
      </c>
      <c r="J54" s="67" t="s">
        <v>231</v>
      </c>
      <c r="K54" s="68">
        <v>3.1096212549349942E-2</v>
      </c>
      <c r="L54" s="67" t="s">
        <v>231</v>
      </c>
      <c r="M54" s="68">
        <v>3.3332571919334968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1.7128957352165533E-4</v>
      </c>
      <c r="J55" s="67" t="s">
        <v>231</v>
      </c>
      <c r="K55" s="68">
        <v>4.1388732974440255E-3</v>
      </c>
      <c r="L55" s="67" t="s">
        <v>231</v>
      </c>
      <c r="M55" s="68">
        <v>0.4227034273544516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5.0844043526319874E-5</v>
      </c>
      <c r="J56" s="67" t="s">
        <v>231</v>
      </c>
      <c r="K56" s="68">
        <v>2.3886843676063844E-3</v>
      </c>
      <c r="L56" s="67" t="s">
        <v>231</v>
      </c>
      <c r="M56" s="68">
        <v>0.25114404010232155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2.3939867503584476E-5</v>
      </c>
      <c r="J57" s="67" t="s">
        <v>231</v>
      </c>
      <c r="K57" s="68">
        <v>1.1883868371106551E-3</v>
      </c>
      <c r="L57" s="67" t="s">
        <v>231</v>
      </c>
      <c r="M57" s="68">
        <v>0.12245293174435469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2.5846169564656424E-7</v>
      </c>
      <c r="J58" s="67" t="s">
        <v>231</v>
      </c>
      <c r="K58" s="68">
        <v>7.0193354922702133E-5</v>
      </c>
      <c r="L58" s="67" t="s">
        <v>231</v>
      </c>
      <c r="M58" s="68">
        <v>1.516557987431221E-3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5.7472608391645649E-6</v>
      </c>
      <c r="J59" s="67" t="s">
        <v>231</v>
      </c>
      <c r="K59" s="68">
        <v>4.5657167002714587E-4</v>
      </c>
      <c r="L59" s="67" t="s">
        <v>231</v>
      </c>
      <c r="M59" s="68">
        <v>4.6959147964592531E-2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8.9712117521173884E-8</v>
      </c>
      <c r="J60" s="67" t="s">
        <v>231</v>
      </c>
      <c r="K60" s="68">
        <v>8.1254727633536328E-6</v>
      </c>
      <c r="L60" s="67" t="s">
        <v>231</v>
      </c>
      <c r="M60" s="68">
        <v>8.1091812769163102E-4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3.3750913883170586E-2</v>
      </c>
      <c r="J61" s="67" t="s">
        <v>232</v>
      </c>
      <c r="K61" s="68">
        <v>3.709847643064511E-3</v>
      </c>
      <c r="L61" s="67" t="s">
        <v>231</v>
      </c>
      <c r="M61" s="68">
        <v>0.36205652760516804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3.7969386102680327E-5</v>
      </c>
      <c r="J62" s="67" t="s">
        <v>231</v>
      </c>
      <c r="K62" s="68">
        <v>1.5750555142514205E-2</v>
      </c>
      <c r="L62" s="67" t="s">
        <v>231</v>
      </c>
      <c r="M62" s="68">
        <v>1.6795420863070705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2.6879404105503859E-4</v>
      </c>
      <c r="J63" s="67" t="s">
        <v>231</v>
      </c>
      <c r="K63" s="68">
        <v>3.846329917639324E-2</v>
      </c>
      <c r="L63" s="67" t="s">
        <v>231</v>
      </c>
      <c r="M63" s="68">
        <v>4.1340361386990487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1.9540609730169068E-4</v>
      </c>
      <c r="J64" s="67" t="s">
        <v>231</v>
      </c>
      <c r="K64" s="68">
        <v>4.4070160363476212E-2</v>
      </c>
      <c r="L64" s="67" t="s">
        <v>231</v>
      </c>
      <c r="M64" s="68">
        <v>4.7497411197018531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3.0036820514175197E-4</v>
      </c>
      <c r="J65" s="67" t="s">
        <v>231</v>
      </c>
      <c r="K65" s="68">
        <v>4.8109465331795331E-2</v>
      </c>
      <c r="L65" s="67" t="s">
        <v>231</v>
      </c>
      <c r="M65" s="68">
        <v>5.2011885435674063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1.1818256660538351E-6</v>
      </c>
      <c r="J66" s="67" t="s">
        <v>231</v>
      </c>
      <c r="K66" s="68">
        <v>4.6072554039170044E-2</v>
      </c>
      <c r="L66" s="67" t="s">
        <v>231</v>
      </c>
      <c r="M66" s="68">
        <v>4.9722153713651887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3.7255104586195794E-4</v>
      </c>
      <c r="J67" s="67" t="s">
        <v>231</v>
      </c>
      <c r="K67" s="68">
        <v>1.1212248722472448E-3</v>
      </c>
      <c r="L67" s="67" t="s">
        <v>231</v>
      </c>
      <c r="M67" s="68">
        <v>3.7340277189230879E-2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1.4825044809437465E-4</v>
      </c>
      <c r="J68" s="67" t="s">
        <v>231</v>
      </c>
      <c r="K68" s="68">
        <v>1.2949660308277217E-3</v>
      </c>
      <c r="L68" s="67" t="s">
        <v>231</v>
      </c>
      <c r="M68" s="68">
        <v>6.2562717022310463E-2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2.1062104047935085E-7</v>
      </c>
      <c r="J69" s="67" t="s">
        <v>231</v>
      </c>
      <c r="K69" s="68">
        <v>2.6793662527678043E-2</v>
      </c>
      <c r="L69" s="67" t="s">
        <v>231</v>
      </c>
      <c r="M69" s="68">
        <v>2.8680656791555927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2.2228389312855585E-4</v>
      </c>
      <c r="J70" s="67" t="s">
        <v>231</v>
      </c>
      <c r="K70" s="68">
        <v>6.1865223167864806E-3</v>
      </c>
      <c r="L70" s="67" t="s">
        <v>231</v>
      </c>
      <c r="M70" s="68">
        <v>0.65282638676691562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2.7736403932708824E-4</v>
      </c>
      <c r="J71" s="67" t="s">
        <v>231</v>
      </c>
      <c r="K71" s="68">
        <v>1.242341500810555E-3</v>
      </c>
      <c r="L71" s="67" t="s">
        <v>231</v>
      </c>
      <c r="M71" s="68">
        <v>5.7008454676866591E-2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1.3444826064422634E-6</v>
      </c>
      <c r="J72" s="67" t="s">
        <v>231</v>
      </c>
      <c r="K72" s="68">
        <v>6.0742932640670145E-3</v>
      </c>
      <c r="L72" s="67" t="s">
        <v>231</v>
      </c>
      <c r="M72" s="68">
        <v>0.64028625565716435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4.8844377706499928E-3</v>
      </c>
      <c r="J73" s="67" t="s">
        <v>231</v>
      </c>
      <c r="K73" s="68">
        <v>3.8059655490308196E-3</v>
      </c>
      <c r="L73" s="67" t="s">
        <v>231</v>
      </c>
      <c r="M73" s="68">
        <v>0.37451309644000152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4.6578401713652254E-2</v>
      </c>
      <c r="J74" s="67" t="s">
        <v>232</v>
      </c>
      <c r="K74" s="68">
        <v>6.162534440067347E-3</v>
      </c>
      <c r="L74" s="67" t="s">
        <v>231</v>
      </c>
      <c r="M74" s="68">
        <v>0.65010029668588165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2.2733985202066573E-13</v>
      </c>
      <c r="J75" s="67" t="s">
        <v>231</v>
      </c>
      <c r="K75" s="68">
        <v>3.9195632857598733E-3</v>
      </c>
      <c r="L75" s="67" t="s">
        <v>231</v>
      </c>
      <c r="M75" s="68">
        <v>0.54971659245725191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1.2507056482067335E-13</v>
      </c>
      <c r="J76" s="67" t="s">
        <v>231</v>
      </c>
      <c r="K76" s="68">
        <v>3.9195632878620207E-3</v>
      </c>
      <c r="L76" s="67" t="s">
        <v>231</v>
      </c>
      <c r="M76" s="68">
        <v>0.54971659275207685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2.5040531734251427E-7</v>
      </c>
      <c r="J77" s="67" t="s">
        <v>231</v>
      </c>
      <c r="K77" s="68">
        <v>5.1842085864814832E-3</v>
      </c>
      <c r="L77" s="67" t="s">
        <v>231</v>
      </c>
      <c r="M77" s="68">
        <v>0.53707060884784019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9.1036550710156539E-4</v>
      </c>
      <c r="J78" s="67" t="s">
        <v>231</v>
      </c>
      <c r="K78" s="68">
        <v>2.0580083347980045E-3</v>
      </c>
      <c r="L78" s="67" t="s">
        <v>231</v>
      </c>
      <c r="M78" s="68">
        <v>0.1640644460262298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1.6806777367620736E-5</v>
      </c>
      <c r="J79" s="67" t="s">
        <v>231</v>
      </c>
      <c r="K79" s="68">
        <v>3.0784057591678126E-3</v>
      </c>
      <c r="L79" s="67" t="s">
        <v>231</v>
      </c>
      <c r="M79" s="68">
        <v>0.28700289116902394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1.3522786565886891E-14</v>
      </c>
      <c r="J80" s="67" t="s">
        <v>231</v>
      </c>
      <c r="K80" s="68">
        <v>7.6022857584038036E-3</v>
      </c>
      <c r="L80" s="67" t="s">
        <v>231</v>
      </c>
      <c r="M80" s="68">
        <v>1.0669486630187603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2.2039740453443921E-5</v>
      </c>
      <c r="J81" s="67" t="s">
        <v>231</v>
      </c>
      <c r="K81" s="68">
        <v>9.2787994531270718E-4</v>
      </c>
      <c r="L81" s="67" t="s">
        <v>231</v>
      </c>
      <c r="M81" s="68">
        <v>1.6863326404821491E-3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3.335140365553343E-5</v>
      </c>
      <c r="J82" s="67" t="s">
        <v>231</v>
      </c>
      <c r="K82" s="68">
        <v>1.4062521671361096E-3</v>
      </c>
      <c r="L82" s="67" t="s">
        <v>231</v>
      </c>
      <c r="M82" s="68">
        <v>7.6541160434102751E-2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2.7748372914969594E-5</v>
      </c>
      <c r="J83" s="67" t="s">
        <v>231</v>
      </c>
      <c r="K83" s="68">
        <v>5.0648058560710182E-3</v>
      </c>
      <c r="L83" s="67" t="s">
        <v>231</v>
      </c>
      <c r="M83" s="68">
        <v>0.52157041034819918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6.065320439366758E-6</v>
      </c>
      <c r="J84" s="67" t="s">
        <v>231</v>
      </c>
      <c r="K84" s="68">
        <v>9.4228680907041751E-4</v>
      </c>
      <c r="L84" s="67" t="s">
        <v>231</v>
      </c>
      <c r="M84" s="68">
        <v>6.8346321384579328E-3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3.3093739021632948E-8</v>
      </c>
      <c r="J85" s="67" t="s">
        <v>231</v>
      </c>
      <c r="K85" s="68">
        <v>9.3177883118715369E-4</v>
      </c>
      <c r="L85" s="67" t="s">
        <v>231</v>
      </c>
      <c r="M85" s="68">
        <v>3.458885058109369E-4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2.3801883647209693E-6</v>
      </c>
      <c r="J86" s="67" t="s">
        <v>231</v>
      </c>
      <c r="K86" s="68">
        <v>9.4103689677964709E-4</v>
      </c>
      <c r="L86" s="67" t="s">
        <v>231</v>
      </c>
      <c r="M86" s="68">
        <v>6.5343831761870324E-3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2.9820461561467808E-3</v>
      </c>
      <c r="J87" s="67" t="s">
        <v>231</v>
      </c>
      <c r="K87" s="68">
        <v>3.5818593588624062E-2</v>
      </c>
      <c r="L87" s="67" t="s">
        <v>231</v>
      </c>
      <c r="M87" s="68">
        <v>3.8457957078154292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9.8661401114997211E-5</v>
      </c>
      <c r="J88" s="67" t="s">
        <v>231</v>
      </c>
      <c r="K88" s="68">
        <v>1.8578777163235692E-3</v>
      </c>
      <c r="L88" s="67" t="s">
        <v>231</v>
      </c>
      <c r="M88" s="68">
        <v>0.13546453836073674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2.6863270246476595E-5</v>
      </c>
      <c r="J89" s="67" t="s">
        <v>231</v>
      </c>
      <c r="K89" s="68">
        <v>1.4743997795147446E-3</v>
      </c>
      <c r="L89" s="67" t="s">
        <v>231</v>
      </c>
      <c r="M89" s="68">
        <v>8.5640663795350694E-2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1.7611868523103242E-6</v>
      </c>
      <c r="J90" s="67" t="s">
        <v>231</v>
      </c>
      <c r="K90" s="68">
        <v>1.0292128127805699E-3</v>
      </c>
      <c r="L90" s="67" t="s">
        <v>231</v>
      </c>
      <c r="M90" s="68">
        <v>2.2651975135057744E-2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2.3025416982532416E-3</v>
      </c>
      <c r="J91" s="67" t="s">
        <v>231</v>
      </c>
      <c r="K91" s="68">
        <v>1.7298244889355441E-2</v>
      </c>
      <c r="L91" s="67" t="s">
        <v>231</v>
      </c>
      <c r="M91" s="68">
        <v>1.8456912037206226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1.8533141378491352E-2</v>
      </c>
      <c r="J92" s="67" t="s">
        <v>232</v>
      </c>
      <c r="K92" s="68">
        <v>4.5906133347908802E-3</v>
      </c>
      <c r="L92" s="67" t="s">
        <v>231</v>
      </c>
      <c r="M92" s="68">
        <v>0.46608979674364753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5.6699640858094806E-3</v>
      </c>
      <c r="J93" s="67" t="s">
        <v>231</v>
      </c>
      <c r="K93" s="68">
        <v>6.0484380572850185E-3</v>
      </c>
      <c r="L93" s="67" t="s">
        <v>231</v>
      </c>
      <c r="M93" s="68">
        <v>0.63618356708738355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6.4812902687225633E-9</v>
      </c>
      <c r="J94" s="67" t="s">
        <v>231</v>
      </c>
      <c r="K94" s="68">
        <v>9.2575816450350267E-4</v>
      </c>
      <c r="L94" s="67" t="s">
        <v>231</v>
      </c>
      <c r="M94" s="68">
        <v>1.187692049301445E-2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4.4093517384926026E-5</v>
      </c>
      <c r="J95" s="67" t="s">
        <v>231</v>
      </c>
      <c r="K95" s="68">
        <v>8.6537529128299755E-3</v>
      </c>
      <c r="L95" s="67" t="s">
        <v>231</v>
      </c>
      <c r="M95" s="68">
        <v>0.9193281349061353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9.7184731525083132E-8</v>
      </c>
      <c r="J96" s="67" t="s">
        <v>231</v>
      </c>
      <c r="K96" s="68">
        <v>9.2790014991727906E-4</v>
      </c>
      <c r="L96" s="67" t="s">
        <v>231</v>
      </c>
      <c r="M96" s="68">
        <v>1.8066733997410512E-3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3.4447323416177381E-8</v>
      </c>
      <c r="J97" s="67" t="s">
        <v>231</v>
      </c>
      <c r="K97" s="68">
        <v>9.4294382809176499E-4</v>
      </c>
      <c r="L97" s="67" t="s">
        <v>231</v>
      </c>
      <c r="M97" s="68">
        <v>6.9897557064640065E-3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8.6617668960004938E-6</v>
      </c>
      <c r="J98" s="67" t="s">
        <v>231</v>
      </c>
      <c r="K98" s="68">
        <v>6.2844069272971707E-3</v>
      </c>
      <c r="L98" s="67" t="s">
        <v>231</v>
      </c>
      <c r="M98" s="68">
        <v>0.66448387979665768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4.2006747750713425E-8</v>
      </c>
      <c r="J99" s="67" t="s">
        <v>231</v>
      </c>
      <c r="K99" s="68">
        <v>9.337626884224372E-4</v>
      </c>
      <c r="L99" s="67" t="s">
        <v>231</v>
      </c>
      <c r="M99" s="68">
        <v>1.7826285153378483E-4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5.0057608661506909E-5</v>
      </c>
      <c r="J100" s="67" t="s">
        <v>231</v>
      </c>
      <c r="K100" s="68">
        <v>2.8543043189207646E-3</v>
      </c>
      <c r="L100" s="67" t="s">
        <v>231</v>
      </c>
      <c r="M100" s="68">
        <v>0.25916414606233901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1.3097566881764732E-5</v>
      </c>
      <c r="J101" s="67" t="s">
        <v>231</v>
      </c>
      <c r="K101" s="68">
        <v>9.3091990665513801E-4</v>
      </c>
      <c r="L101" s="67" t="s">
        <v>231</v>
      </c>
      <c r="M101" s="68">
        <v>4.5174573507953292E-4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6.4560076129191588E-11</v>
      </c>
      <c r="J102" s="67" t="s">
        <v>231</v>
      </c>
      <c r="K102" s="68">
        <v>9.3701598550100808E-4</v>
      </c>
      <c r="L102" s="67" t="s">
        <v>231</v>
      </c>
      <c r="M102" s="68">
        <v>3.8251229000642895E-5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9.1897156010863101E-9</v>
      </c>
      <c r="J103" s="67" t="s">
        <v>231</v>
      </c>
      <c r="K103" s="68">
        <v>9.3392188334455483E-4</v>
      </c>
      <c r="L103" s="67" t="s">
        <v>231</v>
      </c>
      <c r="M103" s="68">
        <v>1.6818241568038503E-4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4.2187624546553709E-7</v>
      </c>
      <c r="J104" s="67" t="s">
        <v>231</v>
      </c>
      <c r="K104" s="68">
        <v>9.3150711891234301E-4</v>
      </c>
      <c r="L104" s="67" t="s">
        <v>231</v>
      </c>
      <c r="M104" s="68">
        <v>3.8411834007588998E-3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5.8073616138264422E-8</v>
      </c>
      <c r="J105" s="67" t="s">
        <v>231</v>
      </c>
      <c r="K105" s="68">
        <v>9.3648394850421582E-4</v>
      </c>
      <c r="L105" s="67" t="s">
        <v>231</v>
      </c>
      <c r="M105" s="68">
        <v>5.3036131643463408E-5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5.0686496556734652E-7</v>
      </c>
      <c r="J106" s="67" t="s">
        <v>231</v>
      </c>
      <c r="K106" s="68">
        <v>1.106344005196362E-3</v>
      </c>
      <c r="L106" s="67" t="s">
        <v>231</v>
      </c>
      <c r="M106" s="68">
        <v>3.4536101735027101E-2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6.1829542019732367E-5</v>
      </c>
      <c r="J107" s="67" t="s">
        <v>231</v>
      </c>
      <c r="K107" s="68">
        <v>6.3239430181163316E-3</v>
      </c>
      <c r="L107" s="67" t="s">
        <v>231</v>
      </c>
      <c r="M107" s="68">
        <v>0.66963724617362808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6.7482491162565211E-5</v>
      </c>
      <c r="J108" s="67" t="s">
        <v>231</v>
      </c>
      <c r="K108" s="68">
        <v>2.4933720807998371E-3</v>
      </c>
      <c r="L108" s="67" t="s">
        <v>231</v>
      </c>
      <c r="M108" s="68">
        <v>0.21498626198142515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0.82075315980401797</v>
      </c>
      <c r="F2" s="14">
        <v>0.77613368268021254</v>
      </c>
      <c r="G2" s="14">
        <v>1.0085211701950019E-6</v>
      </c>
      <c r="H2" s="14">
        <v>10.487127096468388</v>
      </c>
      <c r="I2" s="14">
        <v>28.282233410925162</v>
      </c>
      <c r="J2" s="14">
        <v>0</v>
      </c>
      <c r="K2" s="14">
        <v>1.2884378327026251</v>
      </c>
      <c r="L2" s="14">
        <v>0.77613368268021254</v>
      </c>
      <c r="M2" s="14">
        <v>0.63681768663911442</v>
      </c>
      <c r="N2" s="14">
        <v>1.2340019985043684</v>
      </c>
      <c r="O2" s="14">
        <v>227.19210794463928</v>
      </c>
      <c r="P2" s="8">
        <v>1.2340019985043684</v>
      </c>
      <c r="Q2" s="54">
        <v>0.1207017876210356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0.90474546832440872</v>
      </c>
      <c r="F3" s="14">
        <v>6.5985047563622866E-4</v>
      </c>
      <c r="G3" s="14">
        <v>4.0010503970690854E-5</v>
      </c>
      <c r="H3" s="14">
        <v>69.270055258153604</v>
      </c>
      <c r="I3" s="14">
        <v>1737.8116520778399</v>
      </c>
      <c r="J3" s="14">
        <v>0</v>
      </c>
      <c r="K3" s="14">
        <v>1515.4948536421055</v>
      </c>
      <c r="L3" s="14">
        <v>6.5985047563622866E-4</v>
      </c>
      <c r="M3" s="14">
        <v>5.4140731525952567E-4</v>
      </c>
      <c r="N3" s="14">
        <v>33.880783991141428</v>
      </c>
      <c r="O3" s="14">
        <v>12363.436886207421</v>
      </c>
      <c r="P3" s="8">
        <v>33.880783991141435</v>
      </c>
      <c r="Q3" s="54">
        <v>5.5590771953965397E-2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0.6649222318079776</v>
      </c>
      <c r="F4" s="14">
        <v>0.35501519486114042</v>
      </c>
      <c r="G4" s="14">
        <v>4.903152817556195E-14</v>
      </c>
      <c r="H4" s="14">
        <v>71.42445603693362</v>
      </c>
      <c r="I4" s="14">
        <v>157.87163700562246</v>
      </c>
      <c r="J4" s="14">
        <v>0</v>
      </c>
      <c r="K4" s="14">
        <v>2.8167808433978068</v>
      </c>
      <c r="L4" s="14">
        <v>0.35501519486114047</v>
      </c>
      <c r="M4" s="14">
        <v>0.29128996738356572</v>
      </c>
      <c r="N4" s="14">
        <v>3.2159874152071626</v>
      </c>
      <c r="O4" s="14">
        <v>1020.4971265935368</v>
      </c>
      <c r="P4" s="8">
        <v>3.2159874152071626</v>
      </c>
      <c r="Q4" s="54">
        <v>0.22558182833759191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0.88053917524457792</v>
      </c>
      <c r="F5" s="14">
        <v>6.9543528933239084E-3</v>
      </c>
      <c r="G5" s="14">
        <v>1.3358116062664375E-6</v>
      </c>
      <c r="H5" s="14">
        <v>192.44947241489893</v>
      </c>
      <c r="I5" s="14">
        <v>517.09923541050784</v>
      </c>
      <c r="J5" s="14">
        <v>0</v>
      </c>
      <c r="K5" s="14">
        <v>143.79483114237522</v>
      </c>
      <c r="L5" s="14">
        <v>6.9543528933239092E-3</v>
      </c>
      <c r="M5" s="14">
        <v>5.7060465489722672E-3</v>
      </c>
      <c r="N5" s="14">
        <v>9.8197107073042318</v>
      </c>
      <c r="O5" s="14">
        <v>3442.6923768737902</v>
      </c>
      <c r="P5" s="8">
        <v>9.8197107073042318</v>
      </c>
      <c r="Q5" s="54">
        <v>7.8736099337622392E-2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0.9257856288683225</v>
      </c>
      <c r="F6" s="14">
        <v>2.9722413201302964E-4</v>
      </c>
      <c r="G6" s="14">
        <v>1.3130236697342479E-7</v>
      </c>
      <c r="H6" s="14">
        <v>44.498366375780925</v>
      </c>
      <c r="I6" s="14">
        <v>2023.4908188903107</v>
      </c>
      <c r="J6" s="14">
        <v>0</v>
      </c>
      <c r="K6" s="14">
        <v>3364.4643630624246</v>
      </c>
      <c r="L6" s="14">
        <v>2.972241320130297E-4</v>
      </c>
      <c r="M6" s="14">
        <v>2.4387240031669086E-4</v>
      </c>
      <c r="N6" s="14">
        <v>39.735656300438407</v>
      </c>
      <c r="O6" s="14">
        <v>14085.892801942411</v>
      </c>
      <c r="P6" s="8">
        <v>39.735656300438407</v>
      </c>
      <c r="Q6" s="54">
        <v>4.2726885635121531E-2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0.91059931563419572</v>
      </c>
      <c r="F7" s="14">
        <v>5.9127765190417981E-4</v>
      </c>
      <c r="G7" s="14">
        <v>1.9269921802119702E-7</v>
      </c>
      <c r="H7" s="14">
        <v>65.380985815625962</v>
      </c>
      <c r="I7" s="14">
        <v>1789.4049540141875</v>
      </c>
      <c r="J7" s="14">
        <v>0</v>
      </c>
      <c r="K7" s="14">
        <v>1691.2528264505695</v>
      </c>
      <c r="L7" s="14">
        <v>5.9127765190417981E-4</v>
      </c>
      <c r="M7" s="14">
        <v>4.8514331338737958E-4</v>
      </c>
      <c r="N7" s="14">
        <v>34.923393723903118</v>
      </c>
      <c r="O7" s="14">
        <v>12379.993841186415</v>
      </c>
      <c r="P7" s="8">
        <v>34.923393723903118</v>
      </c>
      <c r="Q7" s="54">
        <v>5.386524448388192E-2</v>
      </c>
    </row>
    <row r="8" spans="1:20">
      <c r="A8" s="2" t="s">
        <v>323</v>
      </c>
      <c r="B8" s="16" t="s">
        <v>324</v>
      </c>
      <c r="D8" s="14">
        <v>1</v>
      </c>
      <c r="E8" s="14">
        <v>0.89265422084105717</v>
      </c>
      <c r="F8" s="14">
        <v>1.3092333104437462E-3</v>
      </c>
      <c r="G8" s="14">
        <v>1.8091123321598565E-6</v>
      </c>
      <c r="H8" s="14">
        <v>98.90928135126633</v>
      </c>
      <c r="I8" s="14">
        <v>1429.8623051038301</v>
      </c>
      <c r="J8" s="14">
        <v>0</v>
      </c>
      <c r="K8" s="14">
        <v>763.80580300165457</v>
      </c>
      <c r="L8" s="14">
        <v>1.3092333104437462E-3</v>
      </c>
      <c r="M8" s="14">
        <v>1.0742259312190936E-3</v>
      </c>
      <c r="N8" s="14">
        <v>27.692265998168935</v>
      </c>
      <c r="O8" s="14">
        <v>8862.6328100539868</v>
      </c>
      <c r="P8" s="8">
        <v>27.692265998168935</v>
      </c>
      <c r="Q8" s="54">
        <v>6.721933584992687E-2</v>
      </c>
    </row>
    <row r="9" spans="1:20">
      <c r="A9" s="2" t="s">
        <v>325</v>
      </c>
      <c r="B9" s="16" t="s">
        <v>326</v>
      </c>
      <c r="D9" s="14">
        <v>1</v>
      </c>
      <c r="E9" s="14">
        <v>0.77480305473238131</v>
      </c>
      <c r="F9" s="14">
        <v>5.9644377883728644E-2</v>
      </c>
      <c r="G9" s="14">
        <v>1.1276076166898907E-6</v>
      </c>
      <c r="H9" s="14">
        <v>169.95326529943452</v>
      </c>
      <c r="I9" s="14">
        <v>309.02006805753729</v>
      </c>
      <c r="J9" s="14">
        <v>0</v>
      </c>
      <c r="K9" s="14">
        <v>16.766039574583377</v>
      </c>
      <c r="L9" s="14">
        <v>5.9644377883728644E-2</v>
      </c>
      <c r="M9" s="14">
        <v>4.8938212053599356E-2</v>
      </c>
      <c r="N9" s="14">
        <v>5.8042640171400643</v>
      </c>
      <c r="O9" s="14">
        <v>1766.5277536165788</v>
      </c>
      <c r="P9" s="8">
        <v>5.8042640171400643</v>
      </c>
      <c r="Q9" s="54">
        <v>0.15086437011167406</v>
      </c>
    </row>
    <row r="10" spans="1:20">
      <c r="A10" s="2" t="s">
        <v>275</v>
      </c>
      <c r="B10" s="16" t="s">
        <v>276</v>
      </c>
      <c r="D10" s="14">
        <v>1</v>
      </c>
      <c r="E10" s="14">
        <v>0.87980165115553322</v>
      </c>
      <c r="F10" s="14">
        <v>6.468108689797936E-3</v>
      </c>
      <c r="G10" s="14">
        <v>1.7164288153631514E-8</v>
      </c>
      <c r="H10" s="14">
        <v>188.53731120168874</v>
      </c>
      <c r="I10" s="14">
        <v>552.65547897007912</v>
      </c>
      <c r="J10" s="14">
        <v>0</v>
      </c>
      <c r="K10" s="14">
        <v>154.60469945059629</v>
      </c>
      <c r="L10" s="14">
        <v>6.468108689797936E-3</v>
      </c>
      <c r="M10" s="14">
        <v>5.3070831799792067E-3</v>
      </c>
      <c r="N10" s="14">
        <v>10.504995030548564</v>
      </c>
      <c r="O10" s="14">
        <v>3891.9956088679373</v>
      </c>
      <c r="P10" s="8">
        <v>10.504995030548564</v>
      </c>
      <c r="Q10" s="54">
        <v>7.9187107559951592E-2</v>
      </c>
    </row>
    <row r="11" spans="1:20">
      <c r="A11" s="2" t="s">
        <v>327</v>
      </c>
      <c r="B11" s="16" t="s">
        <v>328</v>
      </c>
      <c r="D11" s="14">
        <v>1</v>
      </c>
      <c r="E11" s="14">
        <v>0.87863400199742647</v>
      </c>
      <c r="F11" s="14">
        <v>5.7143333761136735E-3</v>
      </c>
      <c r="G11" s="14">
        <v>8.9415757759572717E-7</v>
      </c>
      <c r="H11" s="14">
        <v>181.629159687097</v>
      </c>
      <c r="I11" s="14">
        <v>615.52081561964235</v>
      </c>
      <c r="J11" s="14">
        <v>0</v>
      </c>
      <c r="K11" s="14">
        <v>174.99854036869326</v>
      </c>
      <c r="L11" s="14">
        <v>5.7143333761136743E-3</v>
      </c>
      <c r="M11" s="14">
        <v>4.6886105351012699E-3</v>
      </c>
      <c r="N11" s="14">
        <v>11.718967435895182</v>
      </c>
      <c r="O11" s="14">
        <v>4463.8718860068348</v>
      </c>
      <c r="P11" s="8">
        <v>11.718967435895184</v>
      </c>
      <c r="Q11" s="54">
        <v>7.9697141430421697E-2</v>
      </c>
    </row>
    <row r="12" spans="1:20">
      <c r="A12" s="2" t="s">
        <v>329</v>
      </c>
      <c r="B12" s="16" t="s">
        <v>330</v>
      </c>
      <c r="D12" s="14">
        <v>1</v>
      </c>
      <c r="E12" s="14">
        <v>0.80965828766922976</v>
      </c>
      <c r="F12" s="14">
        <v>3.8284942997357754E-2</v>
      </c>
      <c r="G12" s="14">
        <v>5.9003325879133207E-7</v>
      </c>
      <c r="H12" s="14">
        <v>184.43698102242394</v>
      </c>
      <c r="I12" s="14">
        <v>322.6303175377804</v>
      </c>
      <c r="J12" s="14">
        <v>0</v>
      </c>
      <c r="K12" s="14">
        <v>26.119929186495465</v>
      </c>
      <c r="L12" s="14">
        <v>3.8284942997357754E-2</v>
      </c>
      <c r="M12" s="14">
        <v>3.141279572933204E-2</v>
      </c>
      <c r="N12" s="14">
        <v>6.059313235925484</v>
      </c>
      <c r="O12" s="14">
        <v>1662.6755519379526</v>
      </c>
      <c r="P12" s="8">
        <v>6.059313235925484</v>
      </c>
      <c r="Q12" s="54">
        <v>0.12732250530524031</v>
      </c>
    </row>
    <row r="13" spans="1:20">
      <c r="A13" s="2" t="s">
        <v>277</v>
      </c>
      <c r="B13" s="16" t="s">
        <v>278</v>
      </c>
      <c r="D13" s="14">
        <v>1</v>
      </c>
      <c r="E13" s="14">
        <v>0.77814132718663664</v>
      </c>
      <c r="F13" s="14">
        <v>5.7225193055767211E-2</v>
      </c>
      <c r="G13" s="14">
        <v>1.7550752997746148E-6</v>
      </c>
      <c r="H13" s="14">
        <v>171.42227974659752</v>
      </c>
      <c r="I13" s="14">
        <v>310.54492569223493</v>
      </c>
      <c r="J13" s="14">
        <v>0</v>
      </c>
      <c r="K13" s="14">
        <v>17.474820906684894</v>
      </c>
      <c r="L13" s="14">
        <v>5.7225193055767211E-2</v>
      </c>
      <c r="M13" s="14">
        <v>4.6953270902256997E-2</v>
      </c>
      <c r="N13" s="14">
        <v>5.8323646826687723</v>
      </c>
      <c r="O13" s="14">
        <v>2373.3641603184037</v>
      </c>
      <c r="P13" s="8">
        <v>5.8323646826687723</v>
      </c>
      <c r="Q13" s="54">
        <v>0.1485677127380351</v>
      </c>
    </row>
    <row r="14" spans="1:20">
      <c r="A14" s="2" t="s">
        <v>331</v>
      </c>
      <c r="B14" s="16" t="s">
        <v>332</v>
      </c>
      <c r="D14" s="14">
        <v>1</v>
      </c>
      <c r="E14" s="14">
        <v>0.87800599552952285</v>
      </c>
      <c r="F14" s="14">
        <v>3.797822813806819E-3</v>
      </c>
      <c r="G14" s="14">
        <v>5.9681975039396234E-7</v>
      </c>
      <c r="H14" s="14">
        <v>157.87548546140727</v>
      </c>
      <c r="I14" s="14">
        <v>838.82597394936317</v>
      </c>
      <c r="J14" s="14">
        <v>0</v>
      </c>
      <c r="K14" s="14">
        <v>263.30875583888314</v>
      </c>
      <c r="L14" s="14">
        <v>3.7978228138068194E-3</v>
      </c>
      <c r="M14" s="14">
        <v>3.1161136187284953E-3</v>
      </c>
      <c r="N14" s="14">
        <v>16.053393234744092</v>
      </c>
      <c r="O14" s="14">
        <v>6114.8980170463728</v>
      </c>
      <c r="P14" s="8">
        <v>16.053393234744096</v>
      </c>
      <c r="Q14" s="54">
        <v>7.933628672279637E-2</v>
      </c>
    </row>
    <row r="15" spans="1:20">
      <c r="A15" s="2" t="s">
        <v>333</v>
      </c>
      <c r="B15" s="16" t="s">
        <v>334</v>
      </c>
      <c r="D15" s="14">
        <v>1</v>
      </c>
      <c r="E15" s="14">
        <v>0.87920439587167332</v>
      </c>
      <c r="F15" s="14">
        <v>6.082547293857603E-3</v>
      </c>
      <c r="G15" s="14">
        <v>9.7327144584383963E-10</v>
      </c>
      <c r="H15" s="14">
        <v>185.14223170088852</v>
      </c>
      <c r="I15" s="14">
        <v>583.52929674678956</v>
      </c>
      <c r="J15" s="14">
        <v>0</v>
      </c>
      <c r="K15" s="14">
        <v>164.40480471230197</v>
      </c>
      <c r="L15" s="14">
        <v>6.082547293857603E-3</v>
      </c>
      <c r="M15" s="14">
        <v>4.9907300546101633E-3</v>
      </c>
      <c r="N15" s="14">
        <v>11.100820523855408</v>
      </c>
      <c r="O15" s="14">
        <v>4268.0434750119275</v>
      </c>
      <c r="P15" s="8">
        <v>11.100820523855408</v>
      </c>
      <c r="Q15" s="54">
        <v>7.9480879682951616E-2</v>
      </c>
    </row>
    <row r="16" spans="1:20">
      <c r="A16" s="2" t="s">
        <v>335</v>
      </c>
      <c r="B16" s="16" t="s">
        <v>336</v>
      </c>
      <c r="D16" s="14">
        <v>1</v>
      </c>
      <c r="E16" s="14">
        <v>0.89171814965814455</v>
      </c>
      <c r="F16" s="14">
        <v>1.3542409784841984E-3</v>
      </c>
      <c r="G16" s="14">
        <v>4.6992055145426645E-6</v>
      </c>
      <c r="H16" s="14">
        <v>100.55321273910481</v>
      </c>
      <c r="I16" s="14">
        <v>1412.0599061879591</v>
      </c>
      <c r="J16" s="14">
        <v>0</v>
      </c>
      <c r="K16" s="14">
        <v>738.42101656036118</v>
      </c>
      <c r="L16" s="14">
        <v>1.3542409784841984E-3</v>
      </c>
      <c r="M16" s="14">
        <v>1.1111547228462848E-3</v>
      </c>
      <c r="N16" s="14">
        <v>27.337951614453416</v>
      </c>
      <c r="O16" s="14">
        <v>10205.804096707749</v>
      </c>
      <c r="P16" s="8">
        <v>27.337951614453416</v>
      </c>
      <c r="Q16" s="54">
        <v>6.7741236847715075E-2</v>
      </c>
    </row>
    <row r="17" spans="1:21">
      <c r="A17" s="2" t="s">
        <v>337</v>
      </c>
      <c r="B17" s="16" t="s">
        <v>338</v>
      </c>
      <c r="D17" s="14">
        <v>1</v>
      </c>
      <c r="E17" s="14">
        <v>0.880322641256302</v>
      </c>
      <c r="F17" s="14">
        <v>6.7896058484103643E-3</v>
      </c>
      <c r="G17" s="14">
        <v>3.4312554448218294E-7</v>
      </c>
      <c r="H17" s="14">
        <v>191.17212307165244</v>
      </c>
      <c r="I17" s="14">
        <v>528.78817418955077</v>
      </c>
      <c r="J17" s="14">
        <v>0</v>
      </c>
      <c r="K17" s="14">
        <v>147.2839546693462</v>
      </c>
      <c r="L17" s="14">
        <v>6.7896058484103643E-3</v>
      </c>
      <c r="M17" s="14">
        <v>5.570871598620704E-3</v>
      </c>
      <c r="N17" s="14">
        <v>10.04488070048466</v>
      </c>
      <c r="O17" s="14">
        <v>3910.6729543126876</v>
      </c>
      <c r="P17" s="8">
        <v>10.04488070048466</v>
      </c>
      <c r="Q17" s="54">
        <v>7.8900859471825083E-2</v>
      </c>
    </row>
    <row r="18" spans="1:21">
      <c r="A18" s="2" t="s">
        <v>279</v>
      </c>
      <c r="B18" s="16" t="s">
        <v>280</v>
      </c>
      <c r="D18" s="14">
        <v>1</v>
      </c>
      <c r="E18" s="14">
        <v>0.75730132570834263</v>
      </c>
      <c r="F18" s="14">
        <v>7.1447011940368704E-2</v>
      </c>
      <c r="G18" s="14">
        <v>3.3886955950110704E-5</v>
      </c>
      <c r="H18" s="14">
        <v>162.55639912833371</v>
      </c>
      <c r="I18" s="14">
        <v>300.51160027945525</v>
      </c>
      <c r="J18" s="14">
        <v>0</v>
      </c>
      <c r="K18" s="14">
        <v>13.996386592550891</v>
      </c>
      <c r="L18" s="14">
        <v>7.1447011940368704E-2</v>
      </c>
      <c r="M18" s="14">
        <v>5.8622273297072522E-2</v>
      </c>
      <c r="N18" s="14">
        <v>5.6483409031959537</v>
      </c>
      <c r="O18" s="14">
        <v>1642.7069848764793</v>
      </c>
      <c r="P18" s="8">
        <v>5.6483409031959537</v>
      </c>
      <c r="Q18" s="54">
        <v>0.16071678687080959</v>
      </c>
    </row>
    <row r="19" spans="1:21">
      <c r="A19" s="2" t="s">
        <v>339</v>
      </c>
      <c r="B19" s="16" t="s">
        <v>340</v>
      </c>
      <c r="D19" s="14">
        <v>1</v>
      </c>
      <c r="E19" s="14">
        <v>0.87909620353065343</v>
      </c>
      <c r="F19" s="14">
        <v>6.0075889999336406E-3</v>
      </c>
      <c r="G19" s="14">
        <v>3.411211923992353E-9</v>
      </c>
      <c r="H19" s="14">
        <v>184.45065994091027</v>
      </c>
      <c r="I19" s="14">
        <v>589.84429626204849</v>
      </c>
      <c r="J19" s="14">
        <v>0</v>
      </c>
      <c r="K19" s="14">
        <v>166.45612741002188</v>
      </c>
      <c r="L19" s="14">
        <v>6.0075889999336406E-3</v>
      </c>
      <c r="M19" s="14">
        <v>4.9292267744455521E-3</v>
      </c>
      <c r="N19" s="14">
        <v>11.222778652828172</v>
      </c>
      <c r="O19" s="14">
        <v>3879.1534413500576</v>
      </c>
      <c r="P19" s="8">
        <v>11.222778652828174</v>
      </c>
      <c r="Q19" s="54">
        <v>7.9531172323607666E-2</v>
      </c>
    </row>
    <row r="20" spans="1:21">
      <c r="A20" s="2" t="s">
        <v>281</v>
      </c>
      <c r="B20" s="16" t="s">
        <v>282</v>
      </c>
      <c r="D20" s="14">
        <v>1</v>
      </c>
      <c r="E20" s="14">
        <v>0.77824565027775272</v>
      </c>
      <c r="F20" s="14">
        <v>5.7232865067033956E-2</v>
      </c>
      <c r="G20" s="14">
        <v>2.656770099337817E-7</v>
      </c>
      <c r="H20" s="14">
        <v>171.44526182129852</v>
      </c>
      <c r="I20" s="14">
        <v>310.58655952589311</v>
      </c>
      <c r="J20" s="14">
        <v>0</v>
      </c>
      <c r="K20" s="14">
        <v>17.472478423520307</v>
      </c>
      <c r="L20" s="14">
        <v>5.7232865067033956E-2</v>
      </c>
      <c r="M20" s="14">
        <v>4.6959565787501364E-2</v>
      </c>
      <c r="N20" s="14">
        <v>5.8331466104381304</v>
      </c>
      <c r="O20" s="14">
        <v>1698.9622817562099</v>
      </c>
      <c r="P20" s="8">
        <v>5.8331466104381313</v>
      </c>
      <c r="Q20" s="54">
        <v>0.14858763076897805</v>
      </c>
    </row>
    <row r="21" spans="1:21">
      <c r="A21" s="2" t="s">
        <v>341</v>
      </c>
      <c r="B21" s="16" t="s">
        <v>342</v>
      </c>
      <c r="D21" s="14">
        <v>1</v>
      </c>
      <c r="E21" s="14">
        <v>0.87738980912013875</v>
      </c>
      <c r="F21" s="14">
        <v>4.2919083929170579E-3</v>
      </c>
      <c r="G21" s="14">
        <v>4.9936595623188027E-6</v>
      </c>
      <c r="H21" s="14">
        <v>165.04046696247752</v>
      </c>
      <c r="I21" s="14">
        <v>769.56908774242027</v>
      </c>
      <c r="J21" s="14">
        <v>0</v>
      </c>
      <c r="K21" s="14">
        <v>232.99658530697005</v>
      </c>
      <c r="L21" s="14">
        <v>4.2919083929170579E-3</v>
      </c>
      <c r="M21" s="14">
        <v>3.5215108363884462E-3</v>
      </c>
      <c r="N21" s="14">
        <v>14.705583254099711</v>
      </c>
      <c r="O21" s="14">
        <v>4930.4879534345509</v>
      </c>
      <c r="P21" s="8">
        <v>14.705583254099713</v>
      </c>
      <c r="Q21" s="54">
        <v>7.9734745895171169E-2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0.71343195678933458</v>
      </c>
      <c r="F22" s="14">
        <v>0.56405491431174537</v>
      </c>
      <c r="G22" s="14">
        <v>2.1810713602099394E-5</v>
      </c>
      <c r="H22" s="14">
        <v>34.169717428768756</v>
      </c>
      <c r="I22" s="14">
        <v>82.508474616216247</v>
      </c>
      <c r="J22" s="14">
        <v>0</v>
      </c>
      <c r="K22" s="14">
        <v>1.7728770277982433</v>
      </c>
      <c r="L22" s="14">
        <v>0.56405491431174537</v>
      </c>
      <c r="M22" s="14">
        <v>0.46280705719278709</v>
      </c>
      <c r="N22" s="14">
        <v>2.0229024306298955</v>
      </c>
      <c r="O22" s="14">
        <v>332.1605791094288</v>
      </c>
      <c r="P22" s="8">
        <v>2.0229024306298955</v>
      </c>
      <c r="Q22" s="54">
        <v>0.19173374632767043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0.78355003441207849</v>
      </c>
      <c r="F23" s="14">
        <v>0.7129663004562975</v>
      </c>
      <c r="G23" s="14">
        <v>9.2913215533947619E-7</v>
      </c>
      <c r="H23" s="14">
        <v>16.287296506638402</v>
      </c>
      <c r="I23" s="14">
        <v>42.257730927692634</v>
      </c>
      <c r="J23" s="14">
        <v>0</v>
      </c>
      <c r="K23" s="14">
        <v>1.4025908368460067</v>
      </c>
      <c r="L23" s="14">
        <v>0.71296630045629761</v>
      </c>
      <c r="M23" s="14">
        <v>0.58498884952439212</v>
      </c>
      <c r="N23" s="14">
        <v>1.428140669392193</v>
      </c>
      <c r="O23" s="14">
        <v>215.87774358532388</v>
      </c>
      <c r="P23" s="8">
        <v>1.428140669392193</v>
      </c>
      <c r="Q23" s="54">
        <v>0.14578276177862542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0.68713377111894092</v>
      </c>
      <c r="F24" s="14">
        <v>0.174743967458137</v>
      </c>
      <c r="G24" s="14">
        <v>8.0458268029384616E-7</v>
      </c>
      <c r="H24" s="14">
        <v>119.71324189796842</v>
      </c>
      <c r="I24" s="14">
        <v>241.76830328876514</v>
      </c>
      <c r="J24" s="14">
        <v>0</v>
      </c>
      <c r="K24" s="14">
        <v>5.7226582098724963</v>
      </c>
      <c r="L24" s="14">
        <v>0.174743967458137</v>
      </c>
      <c r="M24" s="14">
        <v>0.14337742529940142</v>
      </c>
      <c r="N24" s="14">
        <v>4.6169473473759739</v>
      </c>
      <c r="O24" s="14">
        <v>813.73696997501543</v>
      </c>
      <c r="P24" s="8">
        <v>4.6169473473759739</v>
      </c>
      <c r="Q24" s="54">
        <v>0.21028067510920606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0.83911294727084695</v>
      </c>
      <c r="F25" s="14">
        <v>2.0833652042093396E-2</v>
      </c>
      <c r="G25" s="14">
        <v>1.4731056462058466E-4</v>
      </c>
      <c r="H25" s="14">
        <v>197.15391540239017</v>
      </c>
      <c r="I25" s="14">
        <v>328.14257154238123</v>
      </c>
      <c r="J25" s="14">
        <v>0</v>
      </c>
      <c r="K25" s="14">
        <v>47.999265706250057</v>
      </c>
      <c r="L25" s="14">
        <v>2.0833652042093396E-2</v>
      </c>
      <c r="M25" s="14">
        <v>1.7094011500537631E-2</v>
      </c>
      <c r="N25" s="14">
        <v>6.1746466807789986</v>
      </c>
      <c r="O25" s="14">
        <v>1187.3845567138014</v>
      </c>
      <c r="P25" s="8">
        <v>6.1746466807789986</v>
      </c>
      <c r="Q25" s="54">
        <v>9.8505975733263917E-2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0.87750224982660907</v>
      </c>
      <c r="F26" s="14">
        <v>4.6492934816061591E-3</v>
      </c>
      <c r="G26" s="14">
        <v>4.00677955524845E-6</v>
      </c>
      <c r="H26" s="14">
        <v>169.73326343591509</v>
      </c>
      <c r="I26" s="14">
        <v>725.47780809944197</v>
      </c>
      <c r="J26" s="14">
        <v>0</v>
      </c>
      <c r="K26" s="14">
        <v>215.08644355454561</v>
      </c>
      <c r="L26" s="14">
        <v>4.6492934816061591E-3</v>
      </c>
      <c r="M26" s="14">
        <v>3.8147453016578541E-3</v>
      </c>
      <c r="N26" s="14">
        <v>13.849101167843932</v>
      </c>
      <c r="O26" s="14">
        <v>3079.624626693455</v>
      </c>
      <c r="P26" s="8">
        <v>13.849101167843932</v>
      </c>
      <c r="Q26" s="54">
        <v>7.9877438990749464E-2</v>
      </c>
    </row>
    <row r="27" spans="1:21">
      <c r="A27" s="2" t="s">
        <v>353</v>
      </c>
      <c r="B27" s="16" t="s">
        <v>354</v>
      </c>
      <c r="D27" s="14">
        <v>1</v>
      </c>
      <c r="E27" s="14">
        <v>0.90361120067797618</v>
      </c>
      <c r="F27" s="14">
        <v>7.2518694801453141E-4</v>
      </c>
      <c r="G27" s="14">
        <v>2.7725441252503997E-5</v>
      </c>
      <c r="H27" s="14">
        <v>72.903768637414416</v>
      </c>
      <c r="I27" s="14">
        <v>1701.0111084865289</v>
      </c>
      <c r="J27" s="14">
        <v>0</v>
      </c>
      <c r="K27" s="14">
        <v>1378.9547684743518</v>
      </c>
      <c r="L27" s="14">
        <v>7.2518694801453141E-4</v>
      </c>
      <c r="M27" s="14">
        <v>5.9501589084592302E-4</v>
      </c>
      <c r="N27" s="14">
        <v>33.134257758783299</v>
      </c>
      <c r="O27" s="14">
        <v>7832.6071915987832</v>
      </c>
      <c r="P27" s="8">
        <v>33.134257758783299</v>
      </c>
      <c r="Q27" s="54">
        <v>5.7240991764194636E-2</v>
      </c>
    </row>
    <row r="28" spans="1:21">
      <c r="A28" s="2" t="s">
        <v>355</v>
      </c>
      <c r="B28" s="16" t="s">
        <v>356</v>
      </c>
      <c r="D28" s="14">
        <v>1</v>
      </c>
      <c r="E28" s="14">
        <v>0.88111610801113782</v>
      </c>
      <c r="F28" s="14">
        <v>2.5715336124930385E-3</v>
      </c>
      <c r="G28" s="14">
        <v>1.5070258195067028E-6</v>
      </c>
      <c r="H28" s="14">
        <v>135.04925892169786</v>
      </c>
      <c r="I28" s="14">
        <v>1061.5718070399421</v>
      </c>
      <c r="J28" s="14">
        <v>0</v>
      </c>
      <c r="K28" s="14">
        <v>388.87300369779126</v>
      </c>
      <c r="L28" s="14">
        <v>2.5715336124930389E-3</v>
      </c>
      <c r="M28" s="14">
        <v>2.1099433290505385E-3</v>
      </c>
      <c r="N28" s="14">
        <v>20.410323446194546</v>
      </c>
      <c r="O28" s="14">
        <v>5274.0275784966707</v>
      </c>
      <c r="P28" s="8">
        <v>20.41032344619455</v>
      </c>
      <c r="Q28" s="54">
        <v>7.6374675165242809E-2</v>
      </c>
    </row>
    <row r="29" spans="1:21">
      <c r="A29" s="2" t="s">
        <v>357</v>
      </c>
      <c r="B29" s="16" t="s">
        <v>358</v>
      </c>
      <c r="D29" s="14">
        <v>1</v>
      </c>
      <c r="E29" s="14">
        <v>0.85397032481672352</v>
      </c>
      <c r="F29" s="14">
        <v>3.8501423251211301E-3</v>
      </c>
      <c r="G29" s="14">
        <v>3.0311349469580253E-4</v>
      </c>
      <c r="H29" s="14">
        <v>155.9469136419402</v>
      </c>
      <c r="I29" s="14">
        <v>793.29360770694814</v>
      </c>
      <c r="J29" s="14">
        <v>0</v>
      </c>
      <c r="K29" s="14">
        <v>259.73065813055075</v>
      </c>
      <c r="L29" s="14">
        <v>3.8501423251211301E-3</v>
      </c>
      <c r="M29" s="14">
        <v>3.159041777761887E-3</v>
      </c>
      <c r="N29" s="14">
        <v>15.174285864214523</v>
      </c>
      <c r="O29" s="14">
        <v>3587.049435441671</v>
      </c>
      <c r="P29" s="8">
        <v>15.174285864214523</v>
      </c>
      <c r="Q29" s="54">
        <v>7.7345304718171762E-2</v>
      </c>
    </row>
    <row r="30" spans="1:21">
      <c r="A30" s="2" t="s">
        <v>359</v>
      </c>
      <c r="B30" s="16" t="s">
        <v>360</v>
      </c>
      <c r="D30" s="14">
        <v>1</v>
      </c>
      <c r="E30" s="14">
        <v>0.88111610801113782</v>
      </c>
      <c r="F30" s="14">
        <v>2.5715336124930385E-3</v>
      </c>
      <c r="G30" s="14">
        <v>1.5070258195067028E-6</v>
      </c>
      <c r="H30" s="14">
        <v>135.04925892169786</v>
      </c>
      <c r="I30" s="14">
        <v>1061.5718070399421</v>
      </c>
      <c r="J30" s="14">
        <v>0</v>
      </c>
      <c r="K30" s="14">
        <v>388.87300369779126</v>
      </c>
      <c r="L30" s="14">
        <v>2.5715336124930389E-3</v>
      </c>
      <c r="M30" s="14">
        <v>2.1099433290505385E-3</v>
      </c>
      <c r="N30" s="14">
        <v>20.410323446194546</v>
      </c>
      <c r="O30" s="14">
        <v>5274.0275784966707</v>
      </c>
      <c r="P30" s="8">
        <v>20.41032344619455</v>
      </c>
      <c r="Q30" s="54">
        <v>7.6374675165242809E-2</v>
      </c>
    </row>
    <row r="31" spans="1:21">
      <c r="A31" s="2" t="s">
        <v>283</v>
      </c>
      <c r="B31" s="16" t="s">
        <v>284</v>
      </c>
      <c r="D31" s="14">
        <v>1</v>
      </c>
      <c r="E31" s="14">
        <v>0.97637979799685926</v>
      </c>
      <c r="F31" s="14">
        <v>0.97935651087375419</v>
      </c>
      <c r="G31" s="14">
        <v>2.9123884670670588E-10</v>
      </c>
      <c r="H31" s="14">
        <v>0.17061641602485314</v>
      </c>
      <c r="I31" s="14">
        <v>0.63398354461461548</v>
      </c>
      <c r="J31" s="14">
        <v>0</v>
      </c>
      <c r="K31" s="14">
        <v>1.021078625502605</v>
      </c>
      <c r="L31" s="14">
        <v>0.97935651087375419</v>
      </c>
      <c r="M31" s="14">
        <v>0.80356201717191533</v>
      </c>
      <c r="N31" s="14">
        <v>0.92828859032882882</v>
      </c>
      <c r="O31" s="14">
        <v>180.26436135595529</v>
      </c>
      <c r="P31" s="8">
        <v>0.92828859032882893</v>
      </c>
      <c r="Q31" s="54">
        <v>1.5771681046659387E-2</v>
      </c>
    </row>
    <row r="32" spans="1:21">
      <c r="A32" s="2" t="s">
        <v>361</v>
      </c>
      <c r="B32" s="16" t="s">
        <v>362</v>
      </c>
      <c r="D32" s="14">
        <v>1</v>
      </c>
      <c r="E32" s="14">
        <v>0.6775078608249836</v>
      </c>
      <c r="F32" s="14">
        <v>0.43589225319875691</v>
      </c>
      <c r="G32" s="14">
        <v>2.370071614000079E-10</v>
      </c>
      <c r="H32" s="14">
        <v>55.476757712018539</v>
      </c>
      <c r="I32" s="14">
        <v>126.64596224244943</v>
      </c>
      <c r="J32" s="14">
        <v>0</v>
      </c>
      <c r="K32" s="14">
        <v>2.2941449238007512</v>
      </c>
      <c r="L32" s="14">
        <v>0.43589225319875691</v>
      </c>
      <c r="M32" s="14">
        <v>0.35764959374958005</v>
      </c>
      <c r="N32" s="14">
        <v>2.7881524130943314</v>
      </c>
      <c r="O32" s="14">
        <v>714.01795146932727</v>
      </c>
      <c r="P32" s="8">
        <v>2.7881524130943314</v>
      </c>
      <c r="Q32" s="54">
        <v>0.21716575795499771</v>
      </c>
    </row>
    <row r="33" spans="1:17">
      <c r="A33" s="2" t="s">
        <v>364</v>
      </c>
      <c r="B33" s="16" t="s">
        <v>365</v>
      </c>
      <c r="D33" s="14">
        <v>1</v>
      </c>
      <c r="E33" s="14">
        <v>0.99968489119764026</v>
      </c>
      <c r="F33" s="14">
        <v>0.99937836571423144</v>
      </c>
      <c r="G33" s="14">
        <v>1.3409552295389947E-12</v>
      </c>
      <c r="H33" s="14">
        <v>1.1940704303313958</v>
      </c>
      <c r="I33" s="14">
        <v>3.3807953451363312E-3</v>
      </c>
      <c r="J33" s="14">
        <v>0</v>
      </c>
      <c r="K33" s="14">
        <v>1.0006220209553209</v>
      </c>
      <c r="L33" s="14">
        <v>0.99937836571423144</v>
      </c>
      <c r="M33" s="14">
        <v>0.81998994906852696</v>
      </c>
      <c r="N33" s="14">
        <v>0.94022701862201374</v>
      </c>
      <c r="O33" s="14">
        <v>278.44823156490935</v>
      </c>
      <c r="P33" s="8">
        <v>0.94022701862201374</v>
      </c>
      <c r="Q33" s="54">
        <v>3.8549511740794915E-5</v>
      </c>
    </row>
    <row r="34" spans="1:17">
      <c r="A34" s="2" t="s">
        <v>285</v>
      </c>
      <c r="B34" s="16" t="s">
        <v>286</v>
      </c>
      <c r="D34" s="14">
        <v>1</v>
      </c>
      <c r="E34" s="14">
        <v>0.99957613828804714</v>
      </c>
      <c r="F34" s="14">
        <v>0.54963713023161553</v>
      </c>
      <c r="G34" s="14">
        <v>3.98704206531693E-12</v>
      </c>
      <c r="H34" s="14">
        <v>128.48015841230603</v>
      </c>
      <c r="I34" s="14">
        <v>9.7694965970941516E-2</v>
      </c>
      <c r="J34" s="14">
        <v>0</v>
      </c>
      <c r="K34" s="14">
        <v>1.8193821796184018</v>
      </c>
      <c r="L34" s="14">
        <v>0.54963713023161553</v>
      </c>
      <c r="M34" s="14">
        <v>0.45097726535504057</v>
      </c>
      <c r="N34" s="14">
        <v>0.83545879035924797</v>
      </c>
      <c r="O34" s="14">
        <v>184.66981102100817</v>
      </c>
      <c r="P34" s="8">
        <v>0.83545879035924797</v>
      </c>
      <c r="Q34" s="54">
        <v>1.3136273620501377E-4</v>
      </c>
    </row>
    <row r="35" spans="1:17">
      <c r="A35" s="2" t="s">
        <v>287</v>
      </c>
      <c r="B35" s="16" t="s">
        <v>288</v>
      </c>
      <c r="D35" s="14">
        <v>1</v>
      </c>
      <c r="E35" s="14">
        <v>0.99932052732683829</v>
      </c>
      <c r="F35" s="14">
        <v>0.32539926375755462</v>
      </c>
      <c r="G35" s="14">
        <v>1.161397536702025E-13</v>
      </c>
      <c r="H35" s="14">
        <v>191.8653569558702</v>
      </c>
      <c r="I35" s="14">
        <v>0.34402143574321309</v>
      </c>
      <c r="J35" s="14">
        <v>0</v>
      </c>
      <c r="K35" s="14">
        <v>3.0731477030786105</v>
      </c>
      <c r="L35" s="14">
        <v>0.32539926375755462</v>
      </c>
      <c r="M35" s="14">
        <v>0.2669900959130736</v>
      </c>
      <c r="N35" s="14">
        <v>0.75949961128909449</v>
      </c>
      <c r="O35" s="14">
        <v>174.8823804954269</v>
      </c>
      <c r="P35" s="8">
        <v>0.7594996112890946</v>
      </c>
      <c r="Q35" s="54">
        <v>3.1796952932568715E-4</v>
      </c>
    </row>
    <row r="36" spans="1:17">
      <c r="A36" s="2" t="s">
        <v>366</v>
      </c>
      <c r="B36" s="16" t="s">
        <v>305</v>
      </c>
      <c r="D36" s="14">
        <v>1</v>
      </c>
      <c r="E36" s="14">
        <v>0.99929364502805129</v>
      </c>
      <c r="F36" s="14">
        <v>0.1085454618902162</v>
      </c>
      <c r="G36" s="14">
        <v>2.0475435393636997E-10</v>
      </c>
      <c r="H36" s="14">
        <v>253.21630725332912</v>
      </c>
      <c r="I36" s="14">
        <v>0.67126664830215299</v>
      </c>
      <c r="J36" s="14">
        <v>0</v>
      </c>
      <c r="K36" s="14">
        <v>9.21272969487576</v>
      </c>
      <c r="L36" s="14">
        <v>0.1085454618902162</v>
      </c>
      <c r="M36" s="14">
        <v>8.9061551480922388E-2</v>
      </c>
      <c r="N36" s="14">
        <v>0.65541226402843389</v>
      </c>
      <c r="O36" s="14">
        <v>135.19844182378534</v>
      </c>
      <c r="P36" s="8">
        <v>0.65541226402843389</v>
      </c>
      <c r="Q36" s="54">
        <v>3.5538170769509907E-4</v>
      </c>
    </row>
    <row r="37" spans="1:17">
      <c r="A37" s="2" t="s">
        <v>289</v>
      </c>
      <c r="B37" s="16" t="s">
        <v>290</v>
      </c>
      <c r="D37" s="14">
        <v>1</v>
      </c>
      <c r="E37" s="14">
        <v>0.92880095631731507</v>
      </c>
      <c r="F37" s="14">
        <v>0.20889274970714417</v>
      </c>
      <c r="G37" s="14">
        <v>4.6572081408031105E-17</v>
      </c>
      <c r="H37" s="14">
        <v>198.08124939651637</v>
      </c>
      <c r="I37" s="14">
        <v>62.614437444542155</v>
      </c>
      <c r="J37" s="14">
        <v>0</v>
      </c>
      <c r="K37" s="14">
        <v>4.7871455634623201</v>
      </c>
      <c r="L37" s="14">
        <v>0.20889274970714417</v>
      </c>
      <c r="M37" s="14">
        <v>0.1713965011347118</v>
      </c>
      <c r="N37" s="14">
        <v>1.7288973394071658</v>
      </c>
      <c r="O37" s="14">
        <v>602.38241099624474</v>
      </c>
      <c r="P37" s="8">
        <v>1.7288973394071658</v>
      </c>
      <c r="Q37" s="54">
        <v>4.7739128120604574E-2</v>
      </c>
    </row>
    <row r="38" spans="1:17">
      <c r="A38" s="2" t="s">
        <v>291</v>
      </c>
      <c r="B38" s="16" t="s">
        <v>292</v>
      </c>
      <c r="D38" s="14">
        <v>1</v>
      </c>
      <c r="E38" s="14">
        <v>0.99787974918538114</v>
      </c>
      <c r="F38" s="14">
        <v>0.6154866970347439</v>
      </c>
      <c r="G38" s="14">
        <v>1.3420724630424869E-14</v>
      </c>
      <c r="H38" s="14">
        <v>109.27446040847173</v>
      </c>
      <c r="I38" s="14">
        <v>0.845273655764609</v>
      </c>
      <c r="J38" s="14">
        <v>0</v>
      </c>
      <c r="K38" s="14">
        <v>1.6247304853504421</v>
      </c>
      <c r="L38" s="14">
        <v>0.6154866970347439</v>
      </c>
      <c r="M38" s="14">
        <v>0.50500683491700737</v>
      </c>
      <c r="N38" s="14">
        <v>0.86709315539552112</v>
      </c>
      <c r="O38" s="14">
        <v>267.35083260310103</v>
      </c>
      <c r="P38" s="8">
        <v>0.86709315539552123</v>
      </c>
      <c r="Q38" s="54">
        <v>1.2705663048101167E-3</v>
      </c>
    </row>
    <row r="39" spans="1:17">
      <c r="A39" s="2" t="s">
        <v>367</v>
      </c>
      <c r="B39" s="16" t="s">
        <v>368</v>
      </c>
      <c r="D39" s="14">
        <v>1</v>
      </c>
      <c r="E39" s="14">
        <v>0.88779371047546307</v>
      </c>
      <c r="F39" s="14">
        <v>1.038731103521907E-2</v>
      </c>
      <c r="G39" s="14">
        <v>1.613955751725927E-7</v>
      </c>
      <c r="H39" s="14">
        <v>212.30642444732524</v>
      </c>
      <c r="I39" s="14">
        <v>343.33676199503861</v>
      </c>
      <c r="J39" s="14">
        <v>0</v>
      </c>
      <c r="K39" s="14">
        <v>96.271306078099897</v>
      </c>
      <c r="L39" s="14">
        <v>1.0387311035219072E-2</v>
      </c>
      <c r="M39" s="14">
        <v>8.5227887043972488E-3</v>
      </c>
      <c r="N39" s="14">
        <v>6.4857816270066024</v>
      </c>
      <c r="O39" s="14">
        <v>1805.2524580610177</v>
      </c>
      <c r="P39" s="8">
        <v>6.4857816270066033</v>
      </c>
      <c r="Q39" s="54">
        <v>7.4528144174916572E-2</v>
      </c>
    </row>
    <row r="40" spans="1:17">
      <c r="A40" s="2" t="s">
        <v>369</v>
      </c>
      <c r="B40" s="16" t="s">
        <v>370</v>
      </c>
      <c r="D40" s="14">
        <v>1</v>
      </c>
      <c r="E40" s="14">
        <v>0.98592967629161821</v>
      </c>
      <c r="F40" s="14">
        <v>1.0106056938737047E-3</v>
      </c>
      <c r="G40" s="14">
        <v>1.0259232031073035E-14</v>
      </c>
      <c r="H40" s="14">
        <v>261.04882380783181</v>
      </c>
      <c r="I40" s="14">
        <v>174.86533857238476</v>
      </c>
      <c r="J40" s="14">
        <v>0</v>
      </c>
      <c r="K40" s="14">
        <v>989.50560645165911</v>
      </c>
      <c r="L40" s="14">
        <v>1.0106056938737047E-3</v>
      </c>
      <c r="M40" s="14">
        <v>8.2920197182337482E-4</v>
      </c>
      <c r="N40" s="14">
        <v>40.746993404614592</v>
      </c>
      <c r="O40" s="14">
        <v>16579.951616337676</v>
      </c>
      <c r="P40" s="8">
        <v>40.746993404614592</v>
      </c>
      <c r="Q40" s="54">
        <v>1.9503103841317987E-3</v>
      </c>
    </row>
    <row r="41" spans="1:17">
      <c r="A41" s="2" t="s">
        <v>371</v>
      </c>
      <c r="B41" s="16" t="s">
        <v>372</v>
      </c>
      <c r="D41" s="14">
        <v>1</v>
      </c>
      <c r="E41" s="14">
        <v>0.91339762079907139</v>
      </c>
      <c r="F41" s="14">
        <v>0.91693022229907761</v>
      </c>
      <c r="G41" s="14">
        <v>9.0875073500944388E-4</v>
      </c>
      <c r="H41" s="14">
        <v>7.9472392478801487E-3</v>
      </c>
      <c r="I41" s="14">
        <v>3.6836084302182506E-2</v>
      </c>
      <c r="J41" s="14">
        <v>0</v>
      </c>
      <c r="K41" s="14">
        <v>1.0905955280791555</v>
      </c>
      <c r="L41" s="14">
        <v>0.91693022229907761</v>
      </c>
      <c r="M41" s="14">
        <v>0.75234124739639319</v>
      </c>
      <c r="N41" s="14">
        <v>0.85941382030828906</v>
      </c>
      <c r="O41" s="14">
        <v>120.48122346901904</v>
      </c>
      <c r="P41" s="8">
        <v>0.85941382030828917</v>
      </c>
      <c r="Q41" s="54">
        <v>3.0908181810056258E-3</v>
      </c>
    </row>
    <row r="42" spans="1:17">
      <c r="A42" s="2" t="s">
        <v>293</v>
      </c>
      <c r="B42" s="16" t="s">
        <v>294</v>
      </c>
      <c r="D42" s="14">
        <v>1</v>
      </c>
      <c r="E42" s="14">
        <v>0.70119245570001432</v>
      </c>
      <c r="F42" s="14">
        <v>0.52661587959130607</v>
      </c>
      <c r="G42" s="14">
        <v>1.9470739142057491E-10</v>
      </c>
      <c r="H42" s="14">
        <v>39.953419078779888</v>
      </c>
      <c r="I42" s="14">
        <v>94.887962544546923</v>
      </c>
      <c r="J42" s="14">
        <v>0</v>
      </c>
      <c r="K42" s="14">
        <v>1.8989172920043276</v>
      </c>
      <c r="L42" s="14">
        <v>0.52661587959130607</v>
      </c>
      <c r="M42" s="14">
        <v>0.43208832920466661</v>
      </c>
      <c r="N42" s="14">
        <v>2.2147457324568922</v>
      </c>
      <c r="O42" s="14">
        <v>731.66340017445896</v>
      </c>
      <c r="P42" s="8">
        <v>2.2147457324568922</v>
      </c>
      <c r="Q42" s="54">
        <v>0.20128486536945067</v>
      </c>
    </row>
    <row r="43" spans="1:17">
      <c r="A43" s="2" t="s">
        <v>373</v>
      </c>
      <c r="B43" s="16" t="s">
        <v>374</v>
      </c>
      <c r="D43" s="14">
        <v>1</v>
      </c>
      <c r="E43" s="14">
        <v>0.99925183872459988</v>
      </c>
      <c r="F43" s="14">
        <v>8.8490213018661921E-3</v>
      </c>
      <c r="G43" s="14">
        <v>4.7915724607025917E-10</v>
      </c>
      <c r="H43" s="14">
        <v>281.26470706619227</v>
      </c>
      <c r="I43" s="14">
        <v>2.198866067595215</v>
      </c>
      <c r="J43" s="14">
        <v>0</v>
      </c>
      <c r="K43" s="14">
        <v>113.00684741137501</v>
      </c>
      <c r="L43" s="14">
        <v>8.8490213018661938E-3</v>
      </c>
      <c r="M43" s="14">
        <v>7.2606219781812115E-3</v>
      </c>
      <c r="N43" s="14">
        <v>1.1892470446444472</v>
      </c>
      <c r="O43" s="14">
        <v>316.74405787060203</v>
      </c>
      <c r="P43" s="8">
        <v>1.1892470446444472</v>
      </c>
      <c r="Q43" s="54">
        <v>2.8470741448325223E-4</v>
      </c>
    </row>
    <row r="44" spans="1:17">
      <c r="A44" s="2" t="s">
        <v>375</v>
      </c>
      <c r="B44" s="16" t="s">
        <v>376</v>
      </c>
      <c r="D44" s="14">
        <v>1</v>
      </c>
      <c r="E44" s="14">
        <v>0.7873564857381421</v>
      </c>
      <c r="F44" s="14">
        <v>0.76494036649869679</v>
      </c>
      <c r="G44" s="14">
        <v>9.4596717630421789E-4</v>
      </c>
      <c r="H44" s="14">
        <v>5.5315593899666027</v>
      </c>
      <c r="I44" s="14">
        <v>15.620853175119487</v>
      </c>
      <c r="J44" s="14">
        <v>0</v>
      </c>
      <c r="K44" s="14">
        <v>1.3072914488448606</v>
      </c>
      <c r="L44" s="14">
        <v>0.76494036649869679</v>
      </c>
      <c r="M44" s="14">
        <v>0.62763357071218073</v>
      </c>
      <c r="N44" s="14">
        <v>0.99531297743255132</v>
      </c>
      <c r="O44" s="14">
        <v>148.69975882842317</v>
      </c>
      <c r="P44" s="8">
        <v>0.99531297743255143</v>
      </c>
      <c r="Q44" s="54">
        <v>8.5882514296592785E-2</v>
      </c>
    </row>
    <row r="45" spans="1:17">
      <c r="A45" s="2" t="s">
        <v>377</v>
      </c>
      <c r="B45" s="16" t="s">
        <v>378</v>
      </c>
      <c r="D45" s="14">
        <v>1</v>
      </c>
      <c r="E45" s="14">
        <v>0.68995163299950235</v>
      </c>
      <c r="F45" s="14">
        <v>0.49122173204877057</v>
      </c>
      <c r="G45" s="14">
        <v>7.4070633628022949E-6</v>
      </c>
      <c r="H45" s="14">
        <v>45.521605638801198</v>
      </c>
      <c r="I45" s="14">
        <v>106.53069071419117</v>
      </c>
      <c r="J45" s="14">
        <v>0</v>
      </c>
      <c r="K45" s="14">
        <v>2.0357405520908745</v>
      </c>
      <c r="L45" s="14">
        <v>0.49122173204877062</v>
      </c>
      <c r="M45" s="14">
        <v>0.40304743114601627</v>
      </c>
      <c r="N45" s="14">
        <v>2.3954839264469547</v>
      </c>
      <c r="O45" s="14">
        <v>532.37234781357131</v>
      </c>
      <c r="P45" s="8">
        <v>2.3954839264469547</v>
      </c>
      <c r="Q45" s="54">
        <v>0.20838897709318918</v>
      </c>
    </row>
    <row r="46" spans="1:17">
      <c r="A46" s="2" t="s">
        <v>379</v>
      </c>
      <c r="B46" s="16" t="s">
        <v>380</v>
      </c>
      <c r="D46" s="14">
        <v>1</v>
      </c>
      <c r="E46" s="14">
        <v>0.69558897268507314</v>
      </c>
      <c r="F46" s="14">
        <v>0.5125066899161399</v>
      </c>
      <c r="G46" s="14">
        <v>2.2272451732822975E-5</v>
      </c>
      <c r="H46" s="14">
        <v>41.912111301585874</v>
      </c>
      <c r="I46" s="14">
        <v>98.991227487901341</v>
      </c>
      <c r="J46" s="14">
        <v>0</v>
      </c>
      <c r="K46" s="14">
        <v>1.951194042293628</v>
      </c>
      <c r="L46" s="14">
        <v>0.5125066899161399</v>
      </c>
      <c r="M46" s="14">
        <v>0.42051173907619283</v>
      </c>
      <c r="N46" s="14">
        <v>2.2769010067694353</v>
      </c>
      <c r="O46" s="14">
        <v>292.71839343027858</v>
      </c>
      <c r="P46" s="8">
        <v>2.2769010067694353</v>
      </c>
      <c r="Q46" s="54">
        <v>0.20370266439033288</v>
      </c>
    </row>
    <row r="47" spans="1:17">
      <c r="A47" s="2" t="s">
        <v>381</v>
      </c>
      <c r="B47" s="16" t="s">
        <v>382</v>
      </c>
      <c r="D47" s="14">
        <v>1</v>
      </c>
      <c r="E47" s="14">
        <v>0.90801514282158968</v>
      </c>
      <c r="F47" s="14">
        <v>6.6223512009997625E-4</v>
      </c>
      <c r="G47" s="14">
        <v>4.7178127149004445E-10</v>
      </c>
      <c r="H47" s="14">
        <v>69.520391447751052</v>
      </c>
      <c r="I47" s="14">
        <v>1744.0919581292487</v>
      </c>
      <c r="J47" s="14">
        <v>0</v>
      </c>
      <c r="K47" s="14">
        <v>1510.0377036014522</v>
      </c>
      <c r="L47" s="14">
        <v>6.6223512009997625E-4</v>
      </c>
      <c r="M47" s="14">
        <v>5.4336391604203047E-4</v>
      </c>
      <c r="N47" s="14">
        <v>34.003226312477942</v>
      </c>
      <c r="O47" s="14">
        <v>13305.122423809493</v>
      </c>
      <c r="P47" s="8">
        <v>34.003226312477942</v>
      </c>
      <c r="Q47" s="54">
        <v>5.5791672357117579E-2</v>
      </c>
    </row>
    <row r="48" spans="1:17">
      <c r="A48" s="2" t="s">
        <v>383</v>
      </c>
      <c r="B48" s="16" t="s">
        <v>384</v>
      </c>
      <c r="D48" s="14">
        <v>1</v>
      </c>
      <c r="E48" s="14">
        <v>0.9114033787609378</v>
      </c>
      <c r="F48" s="14">
        <v>0.90654422099329257</v>
      </c>
      <c r="G48" s="14">
        <v>1.3077281770957871E-4</v>
      </c>
      <c r="H48" s="14">
        <v>1.7860310044737544</v>
      </c>
      <c r="I48" s="14">
        <v>5.5506796648025727</v>
      </c>
      <c r="J48" s="14">
        <v>0</v>
      </c>
      <c r="K48" s="14">
        <v>1.1030901492089471</v>
      </c>
      <c r="L48" s="14">
        <v>0.90654422099329268</v>
      </c>
      <c r="M48" s="14">
        <v>0.74381953332499662</v>
      </c>
      <c r="N48" s="14">
        <v>0.94727977292943188</v>
      </c>
      <c r="O48" s="14">
        <v>88.220165252917994</v>
      </c>
      <c r="P48" s="8">
        <v>0.947279772929432</v>
      </c>
      <c r="Q48" s="54">
        <v>5.1682815500968149E-2</v>
      </c>
    </row>
    <row r="49" spans="1:17">
      <c r="A49" s="2" t="s">
        <v>385</v>
      </c>
      <c r="B49" s="16" t="s">
        <v>386</v>
      </c>
      <c r="D49" s="14">
        <v>1</v>
      </c>
      <c r="E49" s="14">
        <v>0.87654420616843298</v>
      </c>
      <c r="F49" s="14">
        <v>0.86511970241851877</v>
      </c>
      <c r="G49" s="14">
        <v>2.4417696453114931E-4</v>
      </c>
      <c r="H49" s="14">
        <v>3.1847562812926151</v>
      </c>
      <c r="I49" s="14">
        <v>9.4522102571649498</v>
      </c>
      <c r="J49" s="14">
        <v>0</v>
      </c>
      <c r="K49" s="14">
        <v>1.1559094044493627</v>
      </c>
      <c r="L49" s="14">
        <v>0.86511970241851877</v>
      </c>
      <c r="M49" s="14">
        <v>0.70983071583439472</v>
      </c>
      <c r="N49" s="14">
        <v>0.97823522980844257</v>
      </c>
      <c r="O49" s="14">
        <v>108.70149873631414</v>
      </c>
      <c r="P49" s="8">
        <v>0.97823522980844257</v>
      </c>
      <c r="Q49" s="54">
        <v>6.8317721511775301E-2</v>
      </c>
    </row>
    <row r="50" spans="1:17">
      <c r="A50" s="2" t="s">
        <v>387</v>
      </c>
      <c r="B50" s="16" t="s">
        <v>388</v>
      </c>
      <c r="D50" s="14">
        <v>1</v>
      </c>
      <c r="E50" s="14">
        <v>0.74957109957977064</v>
      </c>
      <c r="F50" s="14">
        <v>7.561015577675223E-2</v>
      </c>
      <c r="G50" s="14">
        <v>7.3189473079787279E-5</v>
      </c>
      <c r="H50" s="14">
        <v>159.59531299824582</v>
      </c>
      <c r="I50" s="14">
        <v>296.6725083717642</v>
      </c>
      <c r="J50" s="14">
        <v>0</v>
      </c>
      <c r="K50" s="14">
        <v>13.225736539316438</v>
      </c>
      <c r="L50" s="14">
        <v>7.5610155776752244E-2</v>
      </c>
      <c r="M50" s="14">
        <v>6.203813281482521E-2</v>
      </c>
      <c r="N50" s="14">
        <v>5.5780764869663981</v>
      </c>
      <c r="O50" s="14">
        <v>1101.3912023515152</v>
      </c>
      <c r="P50" s="8">
        <v>5.5780764869663981</v>
      </c>
      <c r="Q50" s="54">
        <v>0.16356007596714192</v>
      </c>
    </row>
    <row r="51" spans="1:17">
      <c r="A51" s="2" t="s">
        <v>295</v>
      </c>
      <c r="B51" s="16" t="s">
        <v>296</v>
      </c>
      <c r="D51" s="14">
        <v>1</v>
      </c>
      <c r="E51" s="14">
        <v>0.90464575673949543</v>
      </c>
      <c r="F51" s="14">
        <v>0.90677892184745168</v>
      </c>
      <c r="G51" s="14">
        <v>7.281987079848011E-4</v>
      </c>
      <c r="H51" s="14">
        <v>0.2878865772817259</v>
      </c>
      <c r="I51" s="14">
        <v>1.0234781775415573</v>
      </c>
      <c r="J51" s="14">
        <v>0</v>
      </c>
      <c r="K51" s="14">
        <v>1.1028046372787554</v>
      </c>
      <c r="L51" s="14">
        <v>0.90677892184745179</v>
      </c>
      <c r="M51" s="14">
        <v>0.74401210537583418</v>
      </c>
      <c r="N51" s="14">
        <v>0.86716561090705768</v>
      </c>
      <c r="O51" s="14">
        <v>50.364978681481908</v>
      </c>
      <c r="P51" s="8">
        <v>0.86716561090705768</v>
      </c>
      <c r="Q51" s="54">
        <v>1.996542627631177E-2</v>
      </c>
    </row>
    <row r="52" spans="1:17">
      <c r="A52" s="2" t="s">
        <v>389</v>
      </c>
      <c r="B52" s="16" t="s">
        <v>390</v>
      </c>
      <c r="D52" s="14">
        <v>1</v>
      </c>
      <c r="E52" s="14">
        <v>0.76583335776529571</v>
      </c>
      <c r="F52" s="14">
        <v>0.72522215819126501</v>
      </c>
      <c r="G52" s="14">
        <v>7.6587792609556502E-4</v>
      </c>
      <c r="H52" s="14">
        <v>9.5572085931827786</v>
      </c>
      <c r="I52" s="14">
        <v>25.821902424392626</v>
      </c>
      <c r="J52" s="14">
        <v>0</v>
      </c>
      <c r="K52" s="14">
        <v>1.3788878190016183</v>
      </c>
      <c r="L52" s="14">
        <v>0.72522215819126501</v>
      </c>
      <c r="M52" s="14">
        <v>0.59504478079593293</v>
      </c>
      <c r="N52" s="14">
        <v>1.14212735684734</v>
      </c>
      <c r="O52" s="14">
        <v>122.37894628619249</v>
      </c>
      <c r="P52" s="8">
        <v>1.14212735684734</v>
      </c>
      <c r="Q52" s="54">
        <v>0.11132385466908466</v>
      </c>
    </row>
    <row r="53" spans="1:17">
      <c r="A53" s="2" t="s">
        <v>391</v>
      </c>
      <c r="B53" s="16" t="s">
        <v>392</v>
      </c>
      <c r="D53" s="14">
        <v>1</v>
      </c>
      <c r="E53" s="14">
        <v>0.66622944506333537</v>
      </c>
      <c r="F53" s="14">
        <v>0.38018278809293748</v>
      </c>
      <c r="G53" s="14">
        <v>2.1870612151401389E-5</v>
      </c>
      <c r="H53" s="14">
        <v>65.831303016607421</v>
      </c>
      <c r="I53" s="14">
        <v>147.12606583649432</v>
      </c>
      <c r="J53" s="14">
        <v>0</v>
      </c>
      <c r="K53" s="14">
        <v>2.6303137104553644</v>
      </c>
      <c r="L53" s="14">
        <v>0.38018278809293748</v>
      </c>
      <c r="M53" s="14">
        <v>0.31193997763025522</v>
      </c>
      <c r="N53" s="14">
        <v>3.0405211124425882</v>
      </c>
      <c r="O53" s="14">
        <v>492.62523063794816</v>
      </c>
      <c r="P53" s="8">
        <v>3.0405211124425882</v>
      </c>
      <c r="Q53" s="54">
        <v>0.22340331957360443</v>
      </c>
    </row>
    <row r="54" spans="1:17">
      <c r="A54" s="2" t="s">
        <v>393</v>
      </c>
      <c r="B54" s="16" t="s">
        <v>394</v>
      </c>
      <c r="D54" s="14">
        <v>1</v>
      </c>
      <c r="E54" s="14">
        <v>0.90027598891070337</v>
      </c>
      <c r="F54" s="14">
        <v>9.2182572754784622E-4</v>
      </c>
      <c r="G54" s="14">
        <v>2.169188595742945E-6</v>
      </c>
      <c r="H54" s="14">
        <v>82.80733822669076</v>
      </c>
      <c r="I54" s="14">
        <v>1600.0221526625869</v>
      </c>
      <c r="J54" s="14">
        <v>0</v>
      </c>
      <c r="K54" s="14">
        <v>1084.8037433931308</v>
      </c>
      <c r="L54" s="14">
        <v>9.2182572754784633E-4</v>
      </c>
      <c r="M54" s="14">
        <v>7.5635800945300787E-4</v>
      </c>
      <c r="N54" s="14">
        <v>31.096212549349943</v>
      </c>
      <c r="O54" s="14">
        <v>7257.5450468927829</v>
      </c>
      <c r="P54" s="8">
        <v>31.096212549349943</v>
      </c>
      <c r="Q54" s="54">
        <v>6.1422288789693191E-2</v>
      </c>
    </row>
    <row r="55" spans="1:17">
      <c r="A55" s="2" t="s">
        <v>395</v>
      </c>
      <c r="B55" s="16" t="s">
        <v>396</v>
      </c>
      <c r="D55" s="14">
        <v>1</v>
      </c>
      <c r="E55" s="14">
        <v>0.60209941512639287</v>
      </c>
      <c r="F55" s="14">
        <v>0.13681564719465164</v>
      </c>
      <c r="G55" s="14">
        <v>1.4779653651739795E-3</v>
      </c>
      <c r="H55" s="14">
        <v>108.9019783030775</v>
      </c>
      <c r="I55" s="14">
        <v>217.51686734004468</v>
      </c>
      <c r="J55" s="14">
        <v>0</v>
      </c>
      <c r="K55" s="14">
        <v>7.3091055044111339</v>
      </c>
      <c r="L55" s="14">
        <v>0.13681564719465164</v>
      </c>
      <c r="M55" s="14">
        <v>0.11225723852321166</v>
      </c>
      <c r="N55" s="14">
        <v>4.1388732974440252</v>
      </c>
      <c r="O55" s="14">
        <v>530.47939053340065</v>
      </c>
      <c r="P55" s="8">
        <v>4.1388732974440252</v>
      </c>
      <c r="Q55" s="54">
        <v>0.17802989674321298</v>
      </c>
    </row>
    <row r="56" spans="1:17">
      <c r="A56" s="2" t="s">
        <v>397</v>
      </c>
      <c r="B56" s="16" t="s">
        <v>398</v>
      </c>
      <c r="D56" s="14">
        <v>1</v>
      </c>
      <c r="E56" s="14">
        <v>0.31888216496687932</v>
      </c>
      <c r="F56" s="14">
        <v>1.6180162402760778E-2</v>
      </c>
      <c r="G56" s="14">
        <v>6.7089007036289609E-3</v>
      </c>
      <c r="H56" s="14">
        <v>72.314081835013923</v>
      </c>
      <c r="I56" s="14">
        <v>127.19793100241189</v>
      </c>
      <c r="J56" s="14">
        <v>0</v>
      </c>
      <c r="K56" s="14">
        <v>61.804076813800876</v>
      </c>
      <c r="L56" s="14">
        <v>1.6180162402760778E-2</v>
      </c>
      <c r="M56" s="14">
        <v>1.3275823251465218E-2</v>
      </c>
      <c r="N56" s="14">
        <v>2.3886843676063845</v>
      </c>
      <c r="O56" s="14">
        <v>433.42677850217842</v>
      </c>
      <c r="P56" s="8">
        <v>2.3886843676063845</v>
      </c>
      <c r="Q56" s="54">
        <v>5.1746388783329239E-2</v>
      </c>
    </row>
    <row r="57" spans="1:17">
      <c r="A57" s="2" t="s">
        <v>399</v>
      </c>
      <c r="B57" s="16" t="s">
        <v>400</v>
      </c>
      <c r="D57" s="14">
        <v>1</v>
      </c>
      <c r="E57" s="14">
        <v>0.16634810636134625</v>
      </c>
      <c r="F57" s="14">
        <v>2.9240795761899422E-2</v>
      </c>
      <c r="G57" s="14">
        <v>8.517216270626923E-3</v>
      </c>
      <c r="H57" s="14">
        <v>32.21581980077638</v>
      </c>
      <c r="I57" s="14">
        <v>62.824111922614222</v>
      </c>
      <c r="J57" s="14">
        <v>0</v>
      </c>
      <c r="K57" s="14">
        <v>34.198795687461889</v>
      </c>
      <c r="L57" s="14">
        <v>2.9240795761899425E-2</v>
      </c>
      <c r="M57" s="14">
        <v>2.3992072922638479E-2</v>
      </c>
      <c r="N57" s="14">
        <v>1.188386837110655</v>
      </c>
      <c r="O57" s="14">
        <v>174.69286505526628</v>
      </c>
      <c r="P57" s="8">
        <v>1.1883868371106552</v>
      </c>
      <c r="Q57" s="54">
        <v>4.5074026755536192E-2</v>
      </c>
    </row>
    <row r="58" spans="1:17">
      <c r="A58" s="2" t="s">
        <v>297</v>
      </c>
      <c r="B58" s="16" t="s">
        <v>298</v>
      </c>
      <c r="D58" s="14">
        <v>1</v>
      </c>
      <c r="E58" s="14">
        <v>6.0463463974118212E-2</v>
      </c>
      <c r="F58" s="14">
        <v>5.9396249207425172E-2</v>
      </c>
      <c r="G58" s="14">
        <v>1.0351123934047538E-2</v>
      </c>
      <c r="H58" s="14">
        <v>0.28077537809283354</v>
      </c>
      <c r="I58" s="14">
        <v>0.81811845874061706</v>
      </c>
      <c r="J58" s="14">
        <v>0</v>
      </c>
      <c r="K58" s="14">
        <v>16.836079943495641</v>
      </c>
      <c r="L58" s="14">
        <v>5.9396249207425179E-2</v>
      </c>
      <c r="M58" s="14">
        <v>4.873462247469236E-2</v>
      </c>
      <c r="N58" s="14">
        <v>7.0193354922702136E-2</v>
      </c>
      <c r="O58" s="14">
        <v>5.9615216335850922</v>
      </c>
      <c r="P58" s="8">
        <v>7.0193354922702136E-2</v>
      </c>
      <c r="Q58" s="54">
        <v>5.343381610883575E-3</v>
      </c>
    </row>
    <row r="59" spans="1:17">
      <c r="A59" s="2" t="s">
        <v>401</v>
      </c>
      <c r="B59" s="16" t="s">
        <v>402</v>
      </c>
      <c r="D59" s="14">
        <v>1</v>
      </c>
      <c r="E59" s="14">
        <v>6.4401129574662611E-2</v>
      </c>
      <c r="F59" s="14">
        <v>1.2028741956453164E-2</v>
      </c>
      <c r="G59" s="14">
        <v>1.0100635430295503E-2</v>
      </c>
      <c r="H59" s="14">
        <v>12.294764328133734</v>
      </c>
      <c r="I59" s="14">
        <v>24.108899088807227</v>
      </c>
      <c r="J59" s="14">
        <v>0</v>
      </c>
      <c r="K59" s="14">
        <v>83.134213338371694</v>
      </c>
      <c r="L59" s="14">
        <v>1.2028741956453166E-2</v>
      </c>
      <c r="M59" s="14">
        <v>9.8695827752698223E-3</v>
      </c>
      <c r="N59" s="14">
        <v>0.45657167002714588</v>
      </c>
      <c r="O59" s="14">
        <v>75.713280040601603</v>
      </c>
      <c r="P59" s="8">
        <v>0.45657167002714588</v>
      </c>
      <c r="Q59" s="54">
        <v>1.7831068941928579E-2</v>
      </c>
    </row>
    <row r="60" spans="1:17">
      <c r="A60" s="2" t="s">
        <v>299</v>
      </c>
      <c r="B60" s="16" t="s">
        <v>300</v>
      </c>
      <c r="D60" s="14">
        <v>1</v>
      </c>
      <c r="E60" s="14">
        <v>1.3154947626587519E-3</v>
      </c>
      <c r="F60" s="14">
        <v>4.4952827007399858E-4</v>
      </c>
      <c r="G60" s="14">
        <v>1.1089334828860374E-2</v>
      </c>
      <c r="H60" s="14">
        <v>0.20131540493332165</v>
      </c>
      <c r="I60" s="14">
        <v>0.4195021391458183</v>
      </c>
      <c r="J60" s="14">
        <v>0</v>
      </c>
      <c r="K60" s="14">
        <v>2224.5541973041786</v>
      </c>
      <c r="L60" s="14">
        <v>4.4952827007399863E-4</v>
      </c>
      <c r="M60" s="14">
        <v>3.6883794559571588E-4</v>
      </c>
      <c r="N60" s="14">
        <v>8.1254727633536319E-3</v>
      </c>
      <c r="O60" s="14">
        <v>0.66742633278186736</v>
      </c>
      <c r="P60" s="8">
        <v>8.1254727633536337E-3</v>
      </c>
      <c r="Q60" s="54">
        <v>4.3344518187244199E-4</v>
      </c>
    </row>
    <row r="61" spans="1:17">
      <c r="A61" s="2" t="s">
        <v>403</v>
      </c>
      <c r="B61" s="16" t="s">
        <v>404</v>
      </c>
      <c r="D61" s="14">
        <v>1</v>
      </c>
      <c r="E61" s="14">
        <v>0.6640707341361245</v>
      </c>
      <c r="F61" s="14">
        <v>0.28507319415321541</v>
      </c>
      <c r="G61" s="14">
        <v>4.9682663402328424E-46</v>
      </c>
      <c r="H61" s="14">
        <v>87.735707360171233</v>
      </c>
      <c r="I61" s="14">
        <v>187.94620143939349</v>
      </c>
      <c r="J61" s="14">
        <v>0</v>
      </c>
      <c r="K61" s="14">
        <v>3.507871032807595</v>
      </c>
      <c r="L61" s="14">
        <v>0.28507319415321547</v>
      </c>
      <c r="M61" s="14">
        <v>0.23390255580271327</v>
      </c>
      <c r="N61" s="14">
        <v>3.7098476430645109</v>
      </c>
      <c r="O61" s="14">
        <v>4461.4998740258116</v>
      </c>
      <c r="P61" s="8">
        <v>3.7098476430645113</v>
      </c>
      <c r="Q61" s="54">
        <v>0.22606511647766761</v>
      </c>
    </row>
    <row r="62" spans="1:17">
      <c r="A62" s="2" t="s">
        <v>405</v>
      </c>
      <c r="B62" s="16" t="s">
        <v>406</v>
      </c>
      <c r="D62" s="14">
        <v>1</v>
      </c>
      <c r="E62" s="14">
        <v>0.87795955676919002</v>
      </c>
      <c r="F62" s="14">
        <v>3.9041895164877286E-3</v>
      </c>
      <c r="G62" s="14">
        <v>1.1959675017306076E-9</v>
      </c>
      <c r="H62" s="14">
        <v>159.5110930154182</v>
      </c>
      <c r="I62" s="14">
        <v>823.28094126227927</v>
      </c>
      <c r="J62" s="14">
        <v>0</v>
      </c>
      <c r="K62" s="14">
        <v>256.13510711427142</v>
      </c>
      <c r="L62" s="14">
        <v>3.9041895164877286E-3</v>
      </c>
      <c r="M62" s="14">
        <v>3.2033874982781816E-3</v>
      </c>
      <c r="N62" s="14">
        <v>15.750555142514207</v>
      </c>
      <c r="O62" s="14">
        <v>5022.2220127420796</v>
      </c>
      <c r="P62" s="8">
        <v>15.750555142514207</v>
      </c>
      <c r="Q62" s="54">
        <v>7.9459908702274526E-2</v>
      </c>
    </row>
    <row r="63" spans="1:17">
      <c r="A63" s="2" t="s">
        <v>407</v>
      </c>
      <c r="B63" s="16" t="s">
        <v>408</v>
      </c>
      <c r="D63" s="14">
        <v>1</v>
      </c>
      <c r="E63" s="14">
        <v>0.92149472947347666</v>
      </c>
      <c r="F63" s="14">
        <v>3.6334088426500679E-4</v>
      </c>
      <c r="G63" s="14">
        <v>2.9167738417780822E-7</v>
      </c>
      <c r="H63" s="14">
        <v>49.885493028957512</v>
      </c>
      <c r="I63" s="14">
        <v>1962.1465430637652</v>
      </c>
      <c r="J63" s="14">
        <v>0</v>
      </c>
      <c r="K63" s="14">
        <v>2752.2363799572818</v>
      </c>
      <c r="L63" s="14">
        <v>3.6334088426500679E-4</v>
      </c>
      <c r="M63" s="14">
        <v>2.9812119553943809E-4</v>
      </c>
      <c r="N63" s="14">
        <v>38.463299176393242</v>
      </c>
      <c r="O63" s="14">
        <v>18685.086106900075</v>
      </c>
      <c r="P63" s="8">
        <v>38.463299176393242</v>
      </c>
      <c r="Q63" s="54">
        <v>4.5849165930862898E-2</v>
      </c>
    </row>
    <row r="64" spans="1:17">
      <c r="A64" s="2" t="s">
        <v>409</v>
      </c>
      <c r="B64" s="16" t="s">
        <v>410</v>
      </c>
      <c r="D64" s="14">
        <v>1</v>
      </c>
      <c r="E64" s="14">
        <v>0.94189694073669505</v>
      </c>
      <c r="F64" s="14">
        <v>1.2660473234895657E-4</v>
      </c>
      <c r="G64" s="14">
        <v>3.6316035096151316E-8</v>
      </c>
      <c r="H64" s="14">
        <v>27.0314871608708</v>
      </c>
      <c r="I64" s="14">
        <v>2228.061171403755</v>
      </c>
      <c r="J64" s="14">
        <v>0</v>
      </c>
      <c r="K64" s="14">
        <v>7898.5989026360567</v>
      </c>
      <c r="L64" s="14">
        <v>1.2660473234895657E-4</v>
      </c>
      <c r="M64" s="14">
        <v>1.0387918289231886E-4</v>
      </c>
      <c r="N64" s="14">
        <v>44.070160363476212</v>
      </c>
      <c r="O64" s="14">
        <v>24885.978855651385</v>
      </c>
      <c r="P64" s="8">
        <v>44.070160363476212</v>
      </c>
      <c r="Q64" s="54">
        <v>3.1054683701075874E-2</v>
      </c>
    </row>
    <row r="65" spans="1:17">
      <c r="A65" s="2" t="s">
        <v>301</v>
      </c>
      <c r="B65" s="16" t="s">
        <v>302</v>
      </c>
      <c r="D65" s="14">
        <v>1</v>
      </c>
      <c r="E65" s="14">
        <v>0.95917630162272904</v>
      </c>
      <c r="F65" s="14">
        <v>3.5694606388974977E-5</v>
      </c>
      <c r="G65" s="14">
        <v>4.5053764535280689E-9</v>
      </c>
      <c r="H65" s="14">
        <v>12.592228541528135</v>
      </c>
      <c r="I65" s="14">
        <v>2407.4638138623186</v>
      </c>
      <c r="J65" s="14">
        <v>0</v>
      </c>
      <c r="K65" s="14">
        <v>28015.437097210033</v>
      </c>
      <c r="L65" s="14">
        <v>3.5694606388974983E-5</v>
      </c>
      <c r="M65" s="14">
        <v>2.9287424542153971E-5</v>
      </c>
      <c r="N65" s="14">
        <v>48.109465331795327</v>
      </c>
      <c r="O65" s="14">
        <v>30962.28969823684</v>
      </c>
      <c r="P65" s="8">
        <v>48.109465331795334</v>
      </c>
      <c r="Q65" s="54">
        <v>1.8644887534283228E-2</v>
      </c>
    </row>
    <row r="66" spans="1:17">
      <c r="A66" s="2" t="s">
        <v>303</v>
      </c>
      <c r="B66" s="16" t="s">
        <v>304</v>
      </c>
      <c r="D66" s="14">
        <v>1</v>
      </c>
      <c r="E66" s="14">
        <v>0.95018676950035463</v>
      </c>
      <c r="F66" s="14">
        <v>7.3846502609506624E-5</v>
      </c>
      <c r="G66" s="14">
        <v>4.3398869782012466E-15</v>
      </c>
      <c r="H66" s="14">
        <v>19.577170890597895</v>
      </c>
      <c r="I66" s="14">
        <v>2319.0339284722927</v>
      </c>
      <c r="J66" s="14">
        <v>0</v>
      </c>
      <c r="K66" s="14">
        <v>13541.602711883406</v>
      </c>
      <c r="L66" s="14">
        <v>7.3846502609506624E-5</v>
      </c>
      <c r="M66" s="14">
        <v>6.0591055391100184E-5</v>
      </c>
      <c r="N66" s="14">
        <v>46.072554039170043</v>
      </c>
      <c r="O66" s="14">
        <v>29731.079847016819</v>
      </c>
      <c r="P66" s="8">
        <v>46.072554039170051</v>
      </c>
      <c r="Q66" s="54">
        <v>2.5090372127862047E-2</v>
      </c>
    </row>
    <row r="67" spans="1:17">
      <c r="A67" s="2" t="s">
        <v>411</v>
      </c>
      <c r="B67" s="16" t="s">
        <v>412</v>
      </c>
      <c r="D67" s="14">
        <v>1</v>
      </c>
      <c r="E67" s="14">
        <v>0.84460717386932616</v>
      </c>
      <c r="F67" s="14">
        <v>0.81484975168239626</v>
      </c>
      <c r="G67" s="14">
        <v>5.1737569788109859E-5</v>
      </c>
      <c r="H67" s="14">
        <v>7.1974314547697746</v>
      </c>
      <c r="I67" s="14">
        <v>20.027867443227802</v>
      </c>
      <c r="J67" s="14">
        <v>0</v>
      </c>
      <c r="K67" s="14">
        <v>1.2272201076766966</v>
      </c>
      <c r="L67" s="14">
        <v>0.81484975168239637</v>
      </c>
      <c r="M67" s="14">
        <v>0.66858422125540617</v>
      </c>
      <c r="N67" s="14">
        <v>1.1212248722472449</v>
      </c>
      <c r="O67" s="14">
        <v>336.47958416139824</v>
      </c>
      <c r="P67" s="8">
        <v>1.1212248722472449</v>
      </c>
      <c r="Q67" s="54">
        <v>0.1015394270027396</v>
      </c>
    </row>
    <row r="68" spans="1:17">
      <c r="A68" s="2" t="s">
        <v>413</v>
      </c>
      <c r="B68" s="16" t="s">
        <v>414</v>
      </c>
      <c r="D68" s="14">
        <v>1</v>
      </c>
      <c r="E68" s="14">
        <v>0.79713721390341075</v>
      </c>
      <c r="F68" s="14">
        <v>0.74311427036078981</v>
      </c>
      <c r="G68" s="14">
        <v>1.1100539563279189E-4</v>
      </c>
      <c r="H68" s="14">
        <v>12.575220280385453</v>
      </c>
      <c r="I68" s="14">
        <v>33.355908367598268</v>
      </c>
      <c r="J68" s="14">
        <v>0</v>
      </c>
      <c r="K68" s="14">
        <v>1.3456880588694515</v>
      </c>
      <c r="L68" s="14">
        <v>0.74311427036078981</v>
      </c>
      <c r="M68" s="14">
        <v>0.60972525883102802</v>
      </c>
      <c r="N68" s="14">
        <v>1.2949660308277218</v>
      </c>
      <c r="O68" s="14">
        <v>424.94310301611688</v>
      </c>
      <c r="P68" s="8">
        <v>1.2949660308277218</v>
      </c>
      <c r="Q68" s="54">
        <v>0.12994894922227565</v>
      </c>
    </row>
    <row r="69" spans="1:17">
      <c r="A69" s="2" t="s">
        <v>415</v>
      </c>
      <c r="B69" s="16" t="s">
        <v>416</v>
      </c>
      <c r="D69" s="14">
        <v>1</v>
      </c>
      <c r="E69" s="14">
        <v>0.88994760326623357</v>
      </c>
      <c r="F69" s="14">
        <v>1.4235380911353296E-3</v>
      </c>
      <c r="G69" s="14">
        <v>1.3916101259784696E-5</v>
      </c>
      <c r="H69" s="14">
        <v>102.98858530237629</v>
      </c>
      <c r="I69" s="14">
        <v>1384.6699372845053</v>
      </c>
      <c r="J69" s="14">
        <v>0</v>
      </c>
      <c r="K69" s="14">
        <v>702.47505579738947</v>
      </c>
      <c r="L69" s="14">
        <v>1.4235380911353296E-3</v>
      </c>
      <c r="M69" s="14">
        <v>1.168013003776538E-3</v>
      </c>
      <c r="N69" s="14">
        <v>26.793662527678045</v>
      </c>
      <c r="O69" s="14">
        <v>12434.402905844825</v>
      </c>
      <c r="P69" s="8">
        <v>26.793662527678045</v>
      </c>
      <c r="Q69" s="54">
        <v>6.8477242470383934E-2</v>
      </c>
    </row>
    <row r="70" spans="1:17">
      <c r="A70" s="2" t="s">
        <v>417</v>
      </c>
      <c r="B70" s="16" t="s">
        <v>418</v>
      </c>
      <c r="D70" s="14">
        <v>1</v>
      </c>
      <c r="E70" s="14">
        <v>0.83480682682233809</v>
      </c>
      <c r="F70" s="14">
        <v>2.5733431359095917E-2</v>
      </c>
      <c r="G70" s="14">
        <v>3.5434490098400712E-5</v>
      </c>
      <c r="H70" s="14">
        <v>194.44541185501558</v>
      </c>
      <c r="I70" s="14">
        <v>329.0446778983308</v>
      </c>
      <c r="J70" s="14">
        <v>0</v>
      </c>
      <c r="K70" s="14">
        <v>38.859955598052537</v>
      </c>
      <c r="L70" s="14">
        <v>2.5733431359095917E-2</v>
      </c>
      <c r="M70" s="14">
        <v>2.1114280430138202E-2</v>
      </c>
      <c r="N70" s="14">
        <v>6.1865223167864807</v>
      </c>
      <c r="O70" s="14">
        <v>1942.8773335867943</v>
      </c>
      <c r="P70" s="8">
        <v>6.1865223167864807</v>
      </c>
      <c r="Q70" s="54">
        <v>0.10820687895792881</v>
      </c>
    </row>
    <row r="71" spans="1:17">
      <c r="A71" s="2" t="s">
        <v>419</v>
      </c>
      <c r="B71" s="16" t="s">
        <v>420</v>
      </c>
      <c r="D71" s="14">
        <v>1</v>
      </c>
      <c r="E71" s="14">
        <v>0.79228499841059485</v>
      </c>
      <c r="F71" s="14">
        <v>0.74356556444031119</v>
      </c>
      <c r="G71" s="14">
        <v>2.7250078422850333E-4</v>
      </c>
      <c r="H71" s="14">
        <v>11.385163420609887</v>
      </c>
      <c r="I71" s="14">
        <v>30.422607862168253</v>
      </c>
      <c r="J71" s="14">
        <v>0</v>
      </c>
      <c r="K71" s="14">
        <v>1.3448713171012825</v>
      </c>
      <c r="L71" s="14">
        <v>0.7435655644403113</v>
      </c>
      <c r="M71" s="14">
        <v>0.61009554562327539</v>
      </c>
      <c r="N71" s="14">
        <v>1.2423415008105549</v>
      </c>
      <c r="O71" s="14">
        <v>265.91077483349119</v>
      </c>
      <c r="P71" s="8">
        <v>1.2423415008105549</v>
      </c>
      <c r="Q71" s="54">
        <v>0.1234230969381868</v>
      </c>
    </row>
    <row r="72" spans="1:17">
      <c r="A72" s="2" t="s">
        <v>421</v>
      </c>
      <c r="B72" s="16" t="s">
        <v>422</v>
      </c>
      <c r="D72" s="14">
        <v>1</v>
      </c>
      <c r="E72" s="14">
        <v>0.81591411825747451</v>
      </c>
      <c r="F72" s="14">
        <v>2.9729950039752793E-2</v>
      </c>
      <c r="G72" s="14">
        <v>1.484918667852034E-4</v>
      </c>
      <c r="H72" s="14">
        <v>188.57068530446276</v>
      </c>
      <c r="I72" s="14">
        <v>323.24465336772346</v>
      </c>
      <c r="J72" s="14">
        <v>0</v>
      </c>
      <c r="K72" s="14">
        <v>33.636114378358201</v>
      </c>
      <c r="L72" s="14">
        <v>2.9729950039752796E-2</v>
      </c>
      <c r="M72" s="14">
        <v>2.4393424007617168E-2</v>
      </c>
      <c r="N72" s="14">
        <v>6.0742932640670144</v>
      </c>
      <c r="O72" s="14">
        <v>2515.1826118522285</v>
      </c>
      <c r="P72" s="8">
        <v>6.0742932640670144</v>
      </c>
      <c r="Q72" s="54">
        <v>0.11411200867063322</v>
      </c>
    </row>
    <row r="73" spans="1:17">
      <c r="A73" s="2" t="s">
        <v>423</v>
      </c>
      <c r="B73" s="16" t="s">
        <v>424</v>
      </c>
      <c r="D73" s="14">
        <v>1</v>
      </c>
      <c r="E73" s="14">
        <v>0.65699201600529711</v>
      </c>
      <c r="F73" s="14">
        <v>0.26232942616584987</v>
      </c>
      <c r="G73" s="14">
        <v>1.4467566822060613E-4</v>
      </c>
      <c r="H73" s="14">
        <v>91.488605767068094</v>
      </c>
      <c r="I73" s="14">
        <v>194.18880090410474</v>
      </c>
      <c r="J73" s="14">
        <v>0</v>
      </c>
      <c r="K73" s="14">
        <v>3.8120008670616317</v>
      </c>
      <c r="L73" s="14">
        <v>0.26232942616584987</v>
      </c>
      <c r="M73" s="14">
        <v>0.21524129416907983</v>
      </c>
      <c r="N73" s="14">
        <v>3.8059655490308195</v>
      </c>
      <c r="O73" s="14">
        <v>1629.6002691285262</v>
      </c>
      <c r="P73" s="8">
        <v>3.80596554903082</v>
      </c>
      <c r="Q73" s="54">
        <v>0.22203640141303121</v>
      </c>
    </row>
    <row r="74" spans="1:17">
      <c r="A74" s="2" t="s">
        <v>425</v>
      </c>
      <c r="B74" s="16" t="s">
        <v>426</v>
      </c>
      <c r="D74" s="14">
        <v>1</v>
      </c>
      <c r="E74" s="14">
        <v>0.83040823013848786</v>
      </c>
      <c r="F74" s="14">
        <v>2.6853466978297366E-2</v>
      </c>
      <c r="G74" s="14">
        <v>5.4677525515835944E-5</v>
      </c>
      <c r="H74" s="14">
        <v>193.01024599154641</v>
      </c>
      <c r="I74" s="14">
        <v>327.82157689263624</v>
      </c>
      <c r="J74" s="14">
        <v>0</v>
      </c>
      <c r="K74" s="14">
        <v>37.239139393367246</v>
      </c>
      <c r="L74" s="14">
        <v>2.685346697829737E-2</v>
      </c>
      <c r="M74" s="14">
        <v>2.2033269655692991E-2</v>
      </c>
      <c r="N74" s="14">
        <v>6.162534440067347</v>
      </c>
      <c r="O74" s="14">
        <v>3254.9274405547712</v>
      </c>
      <c r="P74" s="8">
        <v>6.162534440067347</v>
      </c>
      <c r="Q74" s="54">
        <v>0.11001136035244441</v>
      </c>
    </row>
    <row r="75" spans="1:17">
      <c r="A75" s="2" t="s">
        <v>427</v>
      </c>
      <c r="B75" s="16" t="s">
        <v>428</v>
      </c>
      <c r="D75" s="14">
        <v>1</v>
      </c>
      <c r="E75" s="14">
        <v>0.99884094736584983</v>
      </c>
      <c r="F75" s="14">
        <v>4.3331408761537434E-3</v>
      </c>
      <c r="G75" s="14">
        <v>6.1126746257134197E-12</v>
      </c>
      <c r="H75" s="14">
        <v>282.55487763355023</v>
      </c>
      <c r="I75" s="14">
        <v>1.0095193163278176</v>
      </c>
      <c r="J75" s="14">
        <v>0</v>
      </c>
      <c r="K75" s="14">
        <v>230.77948042336368</v>
      </c>
      <c r="L75" s="14">
        <v>4.3331408761537443E-3</v>
      </c>
      <c r="M75" s="14">
        <v>3.555342088884147E-3</v>
      </c>
      <c r="N75" s="14">
        <v>3.9195632857598737</v>
      </c>
      <c r="O75" s="14">
        <v>2210.9864538642873</v>
      </c>
      <c r="P75" s="8">
        <v>3.9195632857598737</v>
      </c>
      <c r="Q75" s="54">
        <v>5.6378644918018906E-5</v>
      </c>
    </row>
    <row r="76" spans="1:17">
      <c r="A76" s="2" t="s">
        <v>429</v>
      </c>
      <c r="B76" s="16" t="s">
        <v>430</v>
      </c>
      <c r="D76" s="14">
        <v>1</v>
      </c>
      <c r="E76" s="14">
        <v>0.99884094790154976</v>
      </c>
      <c r="F76" s="14">
        <v>4.3331408784777013E-3</v>
      </c>
      <c r="G76" s="14">
        <v>1.5354344460797309E-13</v>
      </c>
      <c r="H76" s="14">
        <v>282.55487778509053</v>
      </c>
      <c r="I76" s="14">
        <v>1.0095193168692447</v>
      </c>
      <c r="J76" s="14">
        <v>0</v>
      </c>
      <c r="K76" s="14">
        <v>230.77948029959168</v>
      </c>
      <c r="L76" s="14">
        <v>4.3331408784777013E-3</v>
      </c>
      <c r="M76" s="14">
        <v>3.5553420907909537E-3</v>
      </c>
      <c r="N76" s="14">
        <v>3.9195632878620206</v>
      </c>
      <c r="O76" s="14">
        <v>1960.2911871584322</v>
      </c>
      <c r="P76" s="8">
        <v>3.9195632878620206</v>
      </c>
      <c r="Q76" s="54">
        <v>5.6378644948255996E-5</v>
      </c>
    </row>
    <row r="77" spans="1:17">
      <c r="A77" s="2" t="s">
        <v>431</v>
      </c>
      <c r="B77" s="16" t="s">
        <v>432</v>
      </c>
      <c r="D77" s="14">
        <v>1</v>
      </c>
      <c r="E77" s="14">
        <v>0.71078164505828312</v>
      </c>
      <c r="F77" s="14">
        <v>0.10149657477860749</v>
      </c>
      <c r="G77" s="14">
        <v>2.6385168620237591E-4</v>
      </c>
      <c r="H77" s="14">
        <v>143.59237749601877</v>
      </c>
      <c r="I77" s="14">
        <v>274.9087461705268</v>
      </c>
      <c r="J77" s="14">
        <v>0</v>
      </c>
      <c r="K77" s="14">
        <v>9.8525492331271334</v>
      </c>
      <c r="L77" s="14">
        <v>0.10149657477860749</v>
      </c>
      <c r="M77" s="14">
        <v>8.3277939605847451E-2</v>
      </c>
      <c r="N77" s="14">
        <v>5.1842085864814829</v>
      </c>
      <c r="O77" s="14">
        <v>1887.3629779944488</v>
      </c>
      <c r="P77" s="8">
        <v>5.1842085864814829</v>
      </c>
      <c r="Q77" s="54">
        <v>0.17823318053447634</v>
      </c>
    </row>
    <row r="78" spans="1:17">
      <c r="A78" s="2" t="s">
        <v>433</v>
      </c>
      <c r="B78" s="16" t="s">
        <v>434</v>
      </c>
      <c r="D78" s="14">
        <v>1</v>
      </c>
      <c r="E78" s="14">
        <v>0.68351956709979711</v>
      </c>
      <c r="F78" s="14">
        <v>0.52576839524205021</v>
      </c>
      <c r="G78" s="14">
        <v>3.7020558312301827E-4</v>
      </c>
      <c r="H78" s="14">
        <v>36.092293173751713</v>
      </c>
      <c r="I78" s="14">
        <v>86.351850176922582</v>
      </c>
      <c r="J78" s="14">
        <v>0</v>
      </c>
      <c r="K78" s="14">
        <v>1.9019781505497793</v>
      </c>
      <c r="L78" s="14">
        <v>0.52576839524205021</v>
      </c>
      <c r="M78" s="14">
        <v>0.43139296829610219</v>
      </c>
      <c r="N78" s="14">
        <v>2.0580083347980045</v>
      </c>
      <c r="O78" s="14">
        <v>543.41710080341318</v>
      </c>
      <c r="P78" s="8">
        <v>2.0580083347980045</v>
      </c>
      <c r="Q78" s="54">
        <v>0.19075311872914227</v>
      </c>
    </row>
    <row r="79" spans="1:17">
      <c r="A79" s="2" t="s">
        <v>435</v>
      </c>
      <c r="B79" s="16" t="s">
        <v>436</v>
      </c>
      <c r="D79" s="14">
        <v>1</v>
      </c>
      <c r="E79" s="14">
        <v>0.66134358468341226</v>
      </c>
      <c r="F79" s="14">
        <v>0.36933993778002405</v>
      </c>
      <c r="G79" s="14">
        <v>8.6579437394049649E-5</v>
      </c>
      <c r="H79" s="14">
        <v>67.233585395764095</v>
      </c>
      <c r="I79" s="14">
        <v>149.70746015887761</v>
      </c>
      <c r="J79" s="14">
        <v>0</v>
      </c>
      <c r="K79" s="14">
        <v>2.7075328111296542</v>
      </c>
      <c r="L79" s="14">
        <v>0.36933993778002405</v>
      </c>
      <c r="M79" s="14">
        <v>0.30304341894850972</v>
      </c>
      <c r="N79" s="14">
        <v>3.0784057591678127</v>
      </c>
      <c r="O79" s="14">
        <v>1231.7009283006337</v>
      </c>
      <c r="P79" s="8">
        <v>3.0784057591678131</v>
      </c>
      <c r="Q79" s="54">
        <v>0.22276319720229518</v>
      </c>
    </row>
    <row r="80" spans="1:17">
      <c r="A80" s="2" t="s">
        <v>437</v>
      </c>
      <c r="B80" s="16" t="s">
        <v>438</v>
      </c>
      <c r="D80" s="14">
        <v>1</v>
      </c>
      <c r="E80" s="14">
        <v>0.99781223385909268</v>
      </c>
      <c r="F80" s="14">
        <v>2.9349958164399449E-3</v>
      </c>
      <c r="G80" s="14">
        <v>2.1864319093442897E-12</v>
      </c>
      <c r="H80" s="14">
        <v>282.55792104797035</v>
      </c>
      <c r="I80" s="14">
        <v>1.9391853030649726</v>
      </c>
      <c r="J80" s="14">
        <v>0</v>
      </c>
      <c r="K80" s="14">
        <v>340.71598821321925</v>
      </c>
      <c r="L80" s="14">
        <v>2.9349958164399449E-3</v>
      </c>
      <c r="M80" s="14">
        <v>2.408164067388975E-3</v>
      </c>
      <c r="N80" s="14">
        <v>7.6022857584038039</v>
      </c>
      <c r="O80" s="14">
        <v>3908.1830626802275</v>
      </c>
      <c r="P80" s="8">
        <v>7.6022857584038039</v>
      </c>
      <c r="Q80" s="54">
        <v>6.8646644115307471E-5</v>
      </c>
    </row>
    <row r="81" spans="1:17">
      <c r="A81" s="2" t="s">
        <v>440</v>
      </c>
      <c r="B81" s="16" t="s">
        <v>441</v>
      </c>
      <c r="D81" s="14">
        <v>1</v>
      </c>
      <c r="E81" s="14">
        <v>0.97076550564681219</v>
      </c>
      <c r="F81" s="14">
        <v>0.97329220743232803</v>
      </c>
      <c r="G81" s="14">
        <v>2.0538642423892836E-15</v>
      </c>
      <c r="H81" s="14">
        <v>0.25938403760520873</v>
      </c>
      <c r="I81" s="14">
        <v>0.93411515270596246</v>
      </c>
      <c r="J81" s="14">
        <v>0</v>
      </c>
      <c r="K81" s="14">
        <v>1.0274406723527876</v>
      </c>
      <c r="L81" s="14">
        <v>0.97329220743232803</v>
      </c>
      <c r="M81" s="14">
        <v>0.79858625619822521</v>
      </c>
      <c r="N81" s="14">
        <v>0.92787994531270712</v>
      </c>
      <c r="O81" s="14">
        <v>257.26399363740114</v>
      </c>
      <c r="P81" s="8">
        <v>0.92787994531270712</v>
      </c>
      <c r="Q81" s="54">
        <v>1.9561421764806141E-2</v>
      </c>
    </row>
    <row r="82" spans="1:17">
      <c r="A82" s="2" t="s">
        <v>442</v>
      </c>
      <c r="B82" s="16" t="s">
        <v>443</v>
      </c>
      <c r="D82" s="14">
        <v>1</v>
      </c>
      <c r="E82" s="14">
        <v>0.78718354939138235</v>
      </c>
      <c r="F82" s="14">
        <v>0.71950703105834135</v>
      </c>
      <c r="G82" s="14">
        <v>9.1605917727409493E-7</v>
      </c>
      <c r="H82" s="14">
        <v>15.634897637542489</v>
      </c>
      <c r="I82" s="14">
        <v>40.714791302603494</v>
      </c>
      <c r="J82" s="14">
        <v>0</v>
      </c>
      <c r="K82" s="14">
        <v>1.3898404836003817</v>
      </c>
      <c r="L82" s="14">
        <v>0.71950703105834135</v>
      </c>
      <c r="M82" s="14">
        <v>0.59035551898336913</v>
      </c>
      <c r="N82" s="14">
        <v>1.4062521671361095</v>
      </c>
      <c r="O82" s="14">
        <v>232.29879548921392</v>
      </c>
      <c r="P82" s="8">
        <v>1.4062521671361097</v>
      </c>
      <c r="Q82" s="54">
        <v>0.14333498753940063</v>
      </c>
    </row>
    <row r="83" spans="1:17">
      <c r="A83" s="2" t="s">
        <v>444</v>
      </c>
      <c r="B83" s="16" t="s">
        <v>445</v>
      </c>
      <c r="D83" s="14">
        <v>1</v>
      </c>
      <c r="E83" s="14">
        <v>0.71071792469987671</v>
      </c>
      <c r="F83" s="14">
        <v>0.1274949388836962</v>
      </c>
      <c r="G83" s="14">
        <v>5.6200662198276462E-6</v>
      </c>
      <c r="H83" s="14">
        <v>136.9975956102613</v>
      </c>
      <c r="I83" s="14">
        <v>267.65176760731941</v>
      </c>
      <c r="J83" s="14">
        <v>0</v>
      </c>
      <c r="K83" s="14">
        <v>7.8434486008281699</v>
      </c>
      <c r="L83" s="14">
        <v>0.1274949388836962</v>
      </c>
      <c r="M83" s="14">
        <v>0.10460959735407273</v>
      </c>
      <c r="N83" s="14">
        <v>5.0648058560710183</v>
      </c>
      <c r="O83" s="14">
        <v>912.88060749824035</v>
      </c>
      <c r="P83" s="8">
        <v>5.0648058560710183</v>
      </c>
      <c r="Q83" s="54">
        <v>0.1939858784640672</v>
      </c>
    </row>
    <row r="84" spans="1:17">
      <c r="A84" s="2" t="s">
        <v>446</v>
      </c>
      <c r="B84" s="16" t="s">
        <v>447</v>
      </c>
      <c r="D84" s="14">
        <v>1</v>
      </c>
      <c r="E84" s="14">
        <v>0.93763758390161178</v>
      </c>
      <c r="F84" s="14">
        <v>0.93578298525565518</v>
      </c>
      <c r="G84" s="14">
        <v>6.2978691355049467E-17</v>
      </c>
      <c r="H84" s="14">
        <v>1.1608207013339529</v>
      </c>
      <c r="I84" s="14">
        <v>3.7326933686943393</v>
      </c>
      <c r="J84" s="14">
        <v>0</v>
      </c>
      <c r="K84" s="14">
        <v>1.0686238324014843</v>
      </c>
      <c r="L84" s="14">
        <v>0.93578298525565529</v>
      </c>
      <c r="M84" s="14">
        <v>0.76780993940226516</v>
      </c>
      <c r="N84" s="14">
        <v>0.94228680907041751</v>
      </c>
      <c r="O84" s="14">
        <v>366.44591717939466</v>
      </c>
      <c r="P84" s="8">
        <v>0.94228680907041762</v>
      </c>
      <c r="Q84" s="54">
        <v>4.1920100503632138E-2</v>
      </c>
    </row>
    <row r="85" spans="1:17">
      <c r="A85" s="2" t="s">
        <v>448</v>
      </c>
      <c r="B85" s="16" t="s">
        <v>449</v>
      </c>
      <c r="D85" s="14">
        <v>1</v>
      </c>
      <c r="E85" s="14">
        <v>0.98765669537592604</v>
      </c>
      <c r="F85" s="14">
        <v>0.99127951219284482</v>
      </c>
      <c r="G85" s="14">
        <v>4.430111101836438E-10</v>
      </c>
      <c r="H85" s="14">
        <v>4.7641577161982751E-2</v>
      </c>
      <c r="I85" s="14">
        <v>0.19464502191347846</v>
      </c>
      <c r="J85" s="14">
        <v>0</v>
      </c>
      <c r="K85" s="14">
        <v>1.008797203714888</v>
      </c>
      <c r="L85" s="14">
        <v>0.99127951219284482</v>
      </c>
      <c r="M85" s="14">
        <v>0.81334483975422922</v>
      </c>
      <c r="N85" s="14">
        <v>0.93177883118715377</v>
      </c>
      <c r="O85" s="14">
        <v>167.01203770198543</v>
      </c>
      <c r="P85" s="8">
        <v>0.93177883118715377</v>
      </c>
      <c r="Q85" s="54">
        <v>8.1591196332123986E-3</v>
      </c>
    </row>
    <row r="86" spans="1:17">
      <c r="A86" s="2" t="s">
        <v>450</v>
      </c>
      <c r="B86" s="16" t="s">
        <v>451</v>
      </c>
      <c r="D86" s="14">
        <v>1</v>
      </c>
      <c r="E86" s="14">
        <v>0.93912287295866415</v>
      </c>
      <c r="F86" s="14">
        <v>0.93752875723627471</v>
      </c>
      <c r="G86" s="14">
        <v>1.5844665881456128E-10</v>
      </c>
      <c r="H86" s="14">
        <v>1.1062533475959087</v>
      </c>
      <c r="I86" s="14">
        <v>3.5703580300471662</v>
      </c>
      <c r="J86" s="14">
        <v>0</v>
      </c>
      <c r="K86" s="14">
        <v>1.066633948325898</v>
      </c>
      <c r="L86" s="14">
        <v>0.93752875723627471</v>
      </c>
      <c r="M86" s="14">
        <v>0.76924234531236346</v>
      </c>
      <c r="N86" s="14">
        <v>0.94103689677964708</v>
      </c>
      <c r="O86" s="14">
        <v>245.69532338019803</v>
      </c>
      <c r="P86" s="8">
        <v>0.94103689677964719</v>
      </c>
      <c r="Q86" s="54">
        <v>4.0917752273245671E-2</v>
      </c>
    </row>
    <row r="87" spans="1:17">
      <c r="A87" s="2" t="s">
        <v>452</v>
      </c>
      <c r="B87" s="16" t="s">
        <v>453</v>
      </c>
      <c r="D87" s="14">
        <v>1</v>
      </c>
      <c r="E87" s="14">
        <v>0.91323355650433624</v>
      </c>
      <c r="F87" s="14">
        <v>5.2718884272148466E-4</v>
      </c>
      <c r="G87" s="14">
        <v>5.4376931682092978E-10</v>
      </c>
      <c r="H87" s="14">
        <v>61.402522142784392</v>
      </c>
      <c r="I87" s="14">
        <v>1833.3415498616491</v>
      </c>
      <c r="J87" s="14">
        <v>0</v>
      </c>
      <c r="K87" s="14">
        <v>1896.8534971979723</v>
      </c>
      <c r="L87" s="14">
        <v>5.2718884272148466E-4</v>
      </c>
      <c r="M87" s="14">
        <v>4.3255844545297815E-4</v>
      </c>
      <c r="N87" s="14">
        <v>35.818593588624061</v>
      </c>
      <c r="O87" s="14">
        <v>14911.280510944198</v>
      </c>
      <c r="P87" s="8">
        <v>35.818593588624061</v>
      </c>
      <c r="Q87" s="54">
        <v>5.1932996421101989E-2</v>
      </c>
    </row>
    <row r="88" spans="1:17">
      <c r="A88" s="2" t="s">
        <v>454</v>
      </c>
      <c r="B88" s="16" t="s">
        <v>455</v>
      </c>
      <c r="D88" s="14">
        <v>1</v>
      </c>
      <c r="E88" s="14">
        <v>0.72968939455480375</v>
      </c>
      <c r="F88" s="14">
        <v>0.60234543227807957</v>
      </c>
      <c r="G88" s="14">
        <v>4.4325547540991594E-7</v>
      </c>
      <c r="H88" s="14">
        <v>29.135711045255086</v>
      </c>
      <c r="I88" s="14">
        <v>71.529105179714733</v>
      </c>
      <c r="J88" s="14">
        <v>0</v>
      </c>
      <c r="K88" s="14">
        <v>1.6601769456738218</v>
      </c>
      <c r="L88" s="14">
        <v>0.60234543227807957</v>
      </c>
      <c r="M88" s="14">
        <v>0.49422442718416426</v>
      </c>
      <c r="N88" s="14">
        <v>1.8578777163235691</v>
      </c>
      <c r="O88" s="14">
        <v>355.35627080120912</v>
      </c>
      <c r="P88" s="8">
        <v>1.8578777163235694</v>
      </c>
      <c r="Q88" s="54">
        <v>0.18208861479475894</v>
      </c>
    </row>
    <row r="89" spans="1:17">
      <c r="A89" s="2" t="s">
        <v>456</v>
      </c>
      <c r="B89" s="16" t="s">
        <v>457</v>
      </c>
      <c r="D89" s="14">
        <v>1</v>
      </c>
      <c r="E89" s="14">
        <v>0.77632385649708835</v>
      </c>
      <c r="F89" s="14">
        <v>0.69961646994684445</v>
      </c>
      <c r="G89" s="14">
        <v>3.0207063776702177E-19</v>
      </c>
      <c r="H89" s="14">
        <v>17.663632678054086</v>
      </c>
      <c r="I89" s="14">
        <v>45.492226795313925</v>
      </c>
      <c r="J89" s="14">
        <v>0</v>
      </c>
      <c r="K89" s="14">
        <v>1.4293545720499949</v>
      </c>
      <c r="L89" s="14">
        <v>0.69961646994684445</v>
      </c>
      <c r="M89" s="14">
        <v>0.57403531359138582</v>
      </c>
      <c r="N89" s="14">
        <v>1.4743997795147445</v>
      </c>
      <c r="O89" s="14">
        <v>578.64293746835665</v>
      </c>
      <c r="P89" s="8">
        <v>1.4743997795147448</v>
      </c>
      <c r="Q89" s="54">
        <v>0.15070830853730358</v>
      </c>
    </row>
    <row r="90" spans="1:17">
      <c r="A90" s="2" t="s">
        <v>458</v>
      </c>
      <c r="B90" s="16" t="s">
        <v>459</v>
      </c>
      <c r="D90" s="14">
        <v>1</v>
      </c>
      <c r="E90" s="14">
        <v>0.88269775095498515</v>
      </c>
      <c r="F90" s="14">
        <v>0.86665465934479946</v>
      </c>
      <c r="G90" s="14">
        <v>4.6680399473374519E-31</v>
      </c>
      <c r="H90" s="14">
        <v>4.2005492036099659</v>
      </c>
      <c r="I90" s="14">
        <v>12.216962674195157</v>
      </c>
      <c r="J90" s="14">
        <v>0</v>
      </c>
      <c r="K90" s="14">
        <v>1.1538621401470466</v>
      </c>
      <c r="L90" s="14">
        <v>0.86665465934479946</v>
      </c>
      <c r="M90" s="14">
        <v>0.71109014799240799</v>
      </c>
      <c r="N90" s="14">
        <v>1.0292128127805698</v>
      </c>
      <c r="O90" s="14">
        <v>803.75345401285824</v>
      </c>
      <c r="P90" s="8">
        <v>1.0292128127805698</v>
      </c>
      <c r="Q90" s="54">
        <v>7.8988387308201777E-2</v>
      </c>
    </row>
    <row r="91" spans="1:17">
      <c r="A91" s="2" t="s">
        <v>460</v>
      </c>
      <c r="B91" s="16" t="s">
        <v>461</v>
      </c>
      <c r="D91" s="14">
        <v>1</v>
      </c>
      <c r="E91" s="14">
        <v>0.87862272991207468</v>
      </c>
      <c r="F91" s="14">
        <v>3.3954633133295108E-3</v>
      </c>
      <c r="G91" s="14">
        <v>5.5935500720668523E-10</v>
      </c>
      <c r="H91" s="14">
        <v>151.27217193151307</v>
      </c>
      <c r="I91" s="14">
        <v>902.6434046028694</v>
      </c>
      <c r="J91" s="14">
        <v>0</v>
      </c>
      <c r="K91" s="14">
        <v>294.51061835193963</v>
      </c>
      <c r="L91" s="14">
        <v>3.3954633133295112E-3</v>
      </c>
      <c r="M91" s="14">
        <v>2.7859776485868637E-3</v>
      </c>
      <c r="N91" s="14">
        <v>17.298244889355441</v>
      </c>
      <c r="O91" s="14">
        <v>5300.1822340985063</v>
      </c>
      <c r="P91" s="8">
        <v>17.298244889355441</v>
      </c>
      <c r="Q91" s="54">
        <v>7.8725642410126487E-2</v>
      </c>
    </row>
    <row r="92" spans="1:17">
      <c r="A92" s="2" t="s">
        <v>462</v>
      </c>
      <c r="B92" s="16" t="s">
        <v>463</v>
      </c>
      <c r="D92" s="14">
        <v>1</v>
      </c>
      <c r="E92" s="14">
        <v>0.6860438503239179</v>
      </c>
      <c r="F92" s="14">
        <v>0.1777008870863212</v>
      </c>
      <c r="G92" s="14">
        <v>4.9294456599455372E-11</v>
      </c>
      <c r="H92" s="14">
        <v>118.73249549691565</v>
      </c>
      <c r="I92" s="14">
        <v>240.22973741964751</v>
      </c>
      <c r="J92" s="14">
        <v>0</v>
      </c>
      <c r="K92" s="14">
        <v>5.6274339222304111</v>
      </c>
      <c r="L92" s="14">
        <v>0.1777008870863212</v>
      </c>
      <c r="M92" s="14">
        <v>0.14580357785432654</v>
      </c>
      <c r="N92" s="14">
        <v>4.5906133347908806</v>
      </c>
      <c r="O92" s="14">
        <v>1546.2103834242644</v>
      </c>
      <c r="P92" s="8">
        <v>4.5906133347908806</v>
      </c>
      <c r="Q92" s="54">
        <v>0.21107012463484717</v>
      </c>
    </row>
    <row r="93" spans="1:17">
      <c r="A93" s="2" t="s">
        <v>464</v>
      </c>
      <c r="B93" s="16" t="s">
        <v>465</v>
      </c>
      <c r="D93" s="14">
        <v>1</v>
      </c>
      <c r="E93" s="14">
        <v>0.80793226513318328</v>
      </c>
      <c r="F93" s="14">
        <v>3.9113118782485398E-2</v>
      </c>
      <c r="G93" s="14">
        <v>2.1883205290735217E-6</v>
      </c>
      <c r="H93" s="14">
        <v>183.77331392343189</v>
      </c>
      <c r="I93" s="14">
        <v>322.06209795988639</v>
      </c>
      <c r="J93" s="14">
        <v>0</v>
      </c>
      <c r="K93" s="14">
        <v>25.56686940668596</v>
      </c>
      <c r="L93" s="14">
        <v>3.9113118782485398E-2</v>
      </c>
      <c r="M93" s="14">
        <v>3.2092313961029267E-2</v>
      </c>
      <c r="N93" s="14">
        <v>6.0484380572850185</v>
      </c>
      <c r="O93" s="14">
        <v>2813.0680560626893</v>
      </c>
      <c r="P93" s="8">
        <v>6.0484380572850194</v>
      </c>
      <c r="Q93" s="54">
        <v>0.12839248886598978</v>
      </c>
    </row>
    <row r="94" spans="1:17">
      <c r="A94" s="2" t="s">
        <v>466</v>
      </c>
      <c r="B94" s="16" t="s">
        <v>467</v>
      </c>
      <c r="D94" s="14">
        <v>1</v>
      </c>
      <c r="E94" s="14">
        <v>0.99958650423394568</v>
      </c>
      <c r="F94" s="14">
        <v>0.89804161740520061</v>
      </c>
      <c r="G94" s="14">
        <v>2.0376654516326338E-20</v>
      </c>
      <c r="H94" s="14">
        <v>29.852208303010801</v>
      </c>
      <c r="I94" s="14">
        <v>3.6322570327135241E-2</v>
      </c>
      <c r="J94" s="14">
        <v>0</v>
      </c>
      <c r="K94" s="14">
        <v>1.1135341398646954</v>
      </c>
      <c r="L94" s="14">
        <v>0.89804161740520072</v>
      </c>
      <c r="M94" s="14">
        <v>0.73684314708096721</v>
      </c>
      <c r="N94" s="14">
        <v>0.92575816450350268</v>
      </c>
      <c r="O94" s="14">
        <v>306.18525532788851</v>
      </c>
      <c r="P94" s="8">
        <v>0.92575816450350279</v>
      </c>
      <c r="Q94" s="54">
        <v>1.0764071485725577E-4</v>
      </c>
    </row>
    <row r="95" spans="1:17">
      <c r="A95" s="2" t="s">
        <v>468</v>
      </c>
      <c r="B95" s="16" t="s">
        <v>469</v>
      </c>
      <c r="D95" s="14">
        <v>1</v>
      </c>
      <c r="E95" s="14">
        <v>0.88251252233506727</v>
      </c>
      <c r="F95" s="14">
        <v>7.9208274280061896E-3</v>
      </c>
      <c r="G95" s="14">
        <v>2.2469791318378422E-20</v>
      </c>
      <c r="H95" s="14">
        <v>199.28313717122649</v>
      </c>
      <c r="I95" s="14">
        <v>456.48627273016615</v>
      </c>
      <c r="J95" s="14">
        <v>0</v>
      </c>
      <c r="K95" s="14">
        <v>126.24943657580954</v>
      </c>
      <c r="L95" s="14">
        <v>7.9208274280061896E-3</v>
      </c>
      <c r="M95" s="14">
        <v>6.4990389046790786E-3</v>
      </c>
      <c r="N95" s="14">
        <v>8.6537529128299759</v>
      </c>
      <c r="O95" s="14">
        <v>4274.9539389380079</v>
      </c>
      <c r="P95" s="8">
        <v>8.6537529128299759</v>
      </c>
      <c r="Q95" s="54">
        <v>7.7701199309315155E-2</v>
      </c>
    </row>
    <row r="96" spans="1:17">
      <c r="A96" s="2" t="s">
        <v>470</v>
      </c>
      <c r="B96" s="164">
        <v>354656</v>
      </c>
      <c r="D96" s="14">
        <v>1</v>
      </c>
      <c r="E96" s="14">
        <v>0.96964770190107297</v>
      </c>
      <c r="F96" s="14">
        <v>0.97207472319477339</v>
      </c>
      <c r="G96" s="14">
        <v>4.0945684716900573E-12</v>
      </c>
      <c r="H96" s="14">
        <v>0.27924129945795345</v>
      </c>
      <c r="I96" s="14">
        <v>1.0000847873399292</v>
      </c>
      <c r="J96" s="14">
        <v>0</v>
      </c>
      <c r="K96" s="14">
        <v>1.0287275002002405</v>
      </c>
      <c r="L96" s="14">
        <v>0.97207472319477339</v>
      </c>
      <c r="M96" s="14">
        <v>0.79758731038131159</v>
      </c>
      <c r="N96" s="14">
        <v>0.92790014991727898</v>
      </c>
      <c r="O96" s="14">
        <v>182.97263056218824</v>
      </c>
      <c r="P96" s="8">
        <v>0.92790014991727909</v>
      </c>
      <c r="Q96" s="54">
        <v>2.0315935302263093E-2</v>
      </c>
    </row>
    <row r="97" spans="1:17">
      <c r="A97" s="2" t="s">
        <v>472</v>
      </c>
      <c r="B97" s="16" t="s">
        <v>473</v>
      </c>
      <c r="D97" s="14">
        <v>1</v>
      </c>
      <c r="E97" s="14">
        <v>0.93688255560905942</v>
      </c>
      <c r="F97" s="14">
        <v>0.93489319223933842</v>
      </c>
      <c r="G97" s="14">
        <v>6.2927500968027057E-12</v>
      </c>
      <c r="H97" s="14">
        <v>1.1890825267607386</v>
      </c>
      <c r="I97" s="14">
        <v>3.8165342847154542</v>
      </c>
      <c r="J97" s="14">
        <v>0</v>
      </c>
      <c r="K97" s="14">
        <v>1.0696409047590902</v>
      </c>
      <c r="L97" s="14">
        <v>0.93489319223933842</v>
      </c>
      <c r="M97" s="14">
        <v>0.76707986423237717</v>
      </c>
      <c r="N97" s="14">
        <v>0.94294382809176502</v>
      </c>
      <c r="O97" s="14">
        <v>151.04074238373892</v>
      </c>
      <c r="P97" s="8">
        <v>0.94294382809176502</v>
      </c>
      <c r="Q97" s="54">
        <v>4.2429622525761199E-2</v>
      </c>
    </row>
    <row r="98" spans="1:17">
      <c r="A98" s="2" t="s">
        <v>474</v>
      </c>
      <c r="B98" s="16" t="s">
        <v>475</v>
      </c>
      <c r="D98" s="14">
        <v>1</v>
      </c>
      <c r="E98" s="14">
        <v>0.85859439409261151</v>
      </c>
      <c r="F98" s="14">
        <v>1.8440999222803848E-2</v>
      </c>
      <c r="G98" s="14">
        <v>5.1953275917229045E-22</v>
      </c>
      <c r="H98" s="14">
        <v>202.76101170785529</v>
      </c>
      <c r="I98" s="14">
        <v>333.76563596910501</v>
      </c>
      <c r="J98" s="14">
        <v>0</v>
      </c>
      <c r="K98" s="14">
        <v>54.226996483108998</v>
      </c>
      <c r="L98" s="14">
        <v>1.8440999222803848E-2</v>
      </c>
      <c r="M98" s="14">
        <v>1.5130839862310556E-2</v>
      </c>
      <c r="N98" s="14">
        <v>6.2844069272971712</v>
      </c>
      <c r="O98" s="14">
        <v>3339.7223733735354</v>
      </c>
      <c r="P98" s="8">
        <v>6.2844069272971712</v>
      </c>
      <c r="Q98" s="54">
        <v>9.4284786136413237E-2</v>
      </c>
    </row>
    <row r="99" spans="1:17">
      <c r="A99" s="2" t="s">
        <v>476</v>
      </c>
      <c r="B99" s="16" t="s">
        <v>477</v>
      </c>
      <c r="D99" s="14">
        <v>1</v>
      </c>
      <c r="E99" s="14">
        <v>0.99137381754284726</v>
      </c>
      <c r="F99" s="14">
        <v>0.99513236077057798</v>
      </c>
      <c r="G99" s="14">
        <v>1.9337010676042571E-9</v>
      </c>
      <c r="H99" s="14">
        <v>2.3450972063706617E-2</v>
      </c>
      <c r="I99" s="14">
        <v>0.10097596681171861</v>
      </c>
      <c r="J99" s="14">
        <v>0</v>
      </c>
      <c r="K99" s="14">
        <v>1.0048914490386514</v>
      </c>
      <c r="L99" s="14">
        <v>0.99513236077057798</v>
      </c>
      <c r="M99" s="14">
        <v>0.81650610201225926</v>
      </c>
      <c r="N99" s="14">
        <v>0.93376268842243715</v>
      </c>
      <c r="O99" s="14">
        <v>120.60478883664199</v>
      </c>
      <c r="P99" s="8">
        <v>0.93376268842243726</v>
      </c>
      <c r="Q99" s="54">
        <v>5.6496041610887369E-3</v>
      </c>
    </row>
    <row r="100" spans="1:17">
      <c r="A100" s="2" t="s">
        <v>478</v>
      </c>
      <c r="B100" s="16" t="s">
        <v>479</v>
      </c>
      <c r="D100" s="14">
        <v>1</v>
      </c>
      <c r="E100" s="14">
        <v>0.67208079547489918</v>
      </c>
      <c r="F100" s="14">
        <v>0.41167540279099718</v>
      </c>
      <c r="G100" s="14">
        <v>5.6754905747599072E-13</v>
      </c>
      <c r="H100" s="14">
        <v>59.837703723988952</v>
      </c>
      <c r="I100" s="14">
        <v>135.46655603068359</v>
      </c>
      <c r="J100" s="14">
        <v>0</v>
      </c>
      <c r="K100" s="14">
        <v>2.4290982488154347</v>
      </c>
      <c r="L100" s="14">
        <v>0.41167540279099718</v>
      </c>
      <c r="M100" s="14">
        <v>0.33777966799001319</v>
      </c>
      <c r="N100" s="14">
        <v>2.8543043189207649</v>
      </c>
      <c r="O100" s="14">
        <v>855.72043481244532</v>
      </c>
      <c r="P100" s="8">
        <v>2.8543043189207649</v>
      </c>
      <c r="Q100" s="54">
        <v>0.22081678877401389</v>
      </c>
    </row>
    <row r="101" spans="1:17">
      <c r="A101" s="2" t="s">
        <v>480</v>
      </c>
      <c r="B101" s="16" t="s">
        <v>481</v>
      </c>
      <c r="D101" s="14">
        <v>1</v>
      </c>
      <c r="E101" s="14">
        <v>0.98573102838850246</v>
      </c>
      <c r="F101" s="14">
        <v>0.98926822772516798</v>
      </c>
      <c r="G101" s="14">
        <v>5.20262530263119E-13</v>
      </c>
      <c r="H101" s="14">
        <v>6.33861043243861E-2</v>
      </c>
      <c r="I101" s="14">
        <v>0.25354277064040326</v>
      </c>
      <c r="J101" s="14">
        <v>0</v>
      </c>
      <c r="K101" s="14">
        <v>1.010848192607489</v>
      </c>
      <c r="L101" s="14">
        <v>0.98926822772516809</v>
      </c>
      <c r="M101" s="14">
        <v>0.81169458084850044</v>
      </c>
      <c r="N101" s="14">
        <v>0.93091990665513802</v>
      </c>
      <c r="O101" s="14">
        <v>221.70788496898766</v>
      </c>
      <c r="P101" s="8">
        <v>0.93091990665513802</v>
      </c>
      <c r="Q101" s="54">
        <v>9.4591308210442739E-3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0.99618412206873908</v>
      </c>
      <c r="F102" s="14">
        <v>1.0000584723273291</v>
      </c>
      <c r="G102" s="14">
        <v>3.2701967391844562E-29</v>
      </c>
      <c r="H102" s="14">
        <v>4.5242374824091564E-3</v>
      </c>
      <c r="I102" s="14">
        <v>2.1998980980361394E-2</v>
      </c>
      <c r="J102" s="14">
        <v>0</v>
      </c>
      <c r="K102" s="14">
        <v>0.99994153109148398</v>
      </c>
      <c r="L102" s="14">
        <v>1.0000584723273291</v>
      </c>
      <c r="M102" s="14">
        <v>0.82054797654457368</v>
      </c>
      <c r="N102" s="14">
        <v>0.93701598550100806</v>
      </c>
      <c r="O102" s="14">
        <v>431.43027020422915</v>
      </c>
      <c r="P102" s="8">
        <v>0.93701598550100818</v>
      </c>
      <c r="Q102" s="54">
        <v>2.4021635027665993E-3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0.9916400200965898</v>
      </c>
      <c r="F103" s="14">
        <v>0.99540676082881197</v>
      </c>
      <c r="G103" s="14">
        <v>2.6083092037742471E-15</v>
      </c>
      <c r="H103" s="14">
        <v>2.203588951221825E-2</v>
      </c>
      <c r="I103" s="14">
        <v>9.532081719232563E-2</v>
      </c>
      <c r="J103" s="14">
        <v>0</v>
      </c>
      <c r="K103" s="14">
        <v>1.0046144343718979</v>
      </c>
      <c r="L103" s="14">
        <v>0.99540676082881208</v>
      </c>
      <c r="M103" s="14">
        <v>0.81673124726004032</v>
      </c>
      <c r="N103" s="14">
        <v>0.93392188334455484</v>
      </c>
      <c r="O103" s="14">
        <v>191.68746655646987</v>
      </c>
      <c r="P103" s="8">
        <v>0.93392188334455484</v>
      </c>
      <c r="Q103" s="54">
        <v>5.4700054234103537E-3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0.95428554192783988</v>
      </c>
      <c r="F104" s="14">
        <v>0.95500367636930861</v>
      </c>
      <c r="G104" s="14">
        <v>3.2099149917569356E-11</v>
      </c>
      <c r="H104" s="14">
        <v>0.62613076503953269</v>
      </c>
      <c r="I104" s="14">
        <v>2.1101931757218209</v>
      </c>
      <c r="J104" s="14">
        <v>0</v>
      </c>
      <c r="K104" s="14">
        <v>1.0471163878674858</v>
      </c>
      <c r="L104" s="14">
        <v>0.95500367636930872</v>
      </c>
      <c r="M104" s="14">
        <v>0.78358051646101778</v>
      </c>
      <c r="N104" s="14">
        <v>0.93150711891234295</v>
      </c>
      <c r="O104" s="14">
        <v>140.80661609478977</v>
      </c>
      <c r="P104" s="8">
        <v>0.93150711891234306</v>
      </c>
      <c r="Q104" s="54">
        <v>3.0684723500119724E-2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0.99547502067615468</v>
      </c>
      <c r="F105" s="14">
        <v>0.99933670697676269</v>
      </c>
      <c r="G105" s="14">
        <v>2.6007603028398145E-18</v>
      </c>
      <c r="H105" s="14">
        <v>6.4161105745193349E-3</v>
      </c>
      <c r="I105" s="14">
        <v>3.0403880065191433E-2</v>
      </c>
      <c r="J105" s="14">
        <v>0</v>
      </c>
      <c r="K105" s="14">
        <v>1.0006637332728865</v>
      </c>
      <c r="L105" s="14">
        <v>0.99933670697676269</v>
      </c>
      <c r="M105" s="14">
        <v>0.81995576807443382</v>
      </c>
      <c r="N105" s="14">
        <v>0.93648394850421579</v>
      </c>
      <c r="O105" s="14">
        <v>317.80519276439071</v>
      </c>
      <c r="P105" s="8">
        <v>0.93648394850421579</v>
      </c>
      <c r="Q105" s="54">
        <v>2.8809054866535786E-3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0.85467680313878569</v>
      </c>
      <c r="F106" s="14">
        <v>0.82758634250629148</v>
      </c>
      <c r="G106" s="14">
        <v>1.4135194952840007E-10</v>
      </c>
      <c r="H106" s="14">
        <v>6.6141389596527933</v>
      </c>
      <c r="I106" s="14">
        <v>18.540886090732553</v>
      </c>
      <c r="J106" s="14">
        <v>0</v>
      </c>
      <c r="K106" s="14">
        <v>1.2083331353337283</v>
      </c>
      <c r="L106" s="14">
        <v>0.82758634250629159</v>
      </c>
      <c r="M106" s="14">
        <v>0.6790345940264122</v>
      </c>
      <c r="N106" s="14">
        <v>1.106344005196362</v>
      </c>
      <c r="O106" s="14">
        <v>212.561873718377</v>
      </c>
      <c r="P106" s="8">
        <v>1.106344005196362</v>
      </c>
      <c r="Q106" s="54">
        <v>9.7888232257546226E-2</v>
      </c>
    </row>
    <row r="107" spans="1:17">
      <c r="A107" s="2" t="s">
        <v>492</v>
      </c>
      <c r="B107" s="16" t="s">
        <v>493</v>
      </c>
      <c r="D107" s="14">
        <v>1</v>
      </c>
      <c r="E107" s="14">
        <v>0.87523981599039424</v>
      </c>
      <c r="F107" s="14">
        <v>1.3710699162295194E-2</v>
      </c>
      <c r="G107" s="14">
        <v>2.4415638685357455E-18</v>
      </c>
      <c r="H107" s="14">
        <v>208.66019155181667</v>
      </c>
      <c r="I107" s="14">
        <v>335.34881226789889</v>
      </c>
      <c r="J107" s="14">
        <v>0</v>
      </c>
      <c r="K107" s="14">
        <v>72.93574077899892</v>
      </c>
      <c r="L107" s="14">
        <v>1.3710699162295196E-2</v>
      </c>
      <c r="M107" s="14">
        <v>1.1249628662663208E-2</v>
      </c>
      <c r="N107" s="14">
        <v>6.3239430181163323</v>
      </c>
      <c r="O107" s="14">
        <v>2874.8644960356846</v>
      </c>
      <c r="P107" s="8">
        <v>6.3239430181163323</v>
      </c>
      <c r="Q107" s="54">
        <v>8.3041803480668308E-2</v>
      </c>
    </row>
    <row r="108" spans="1:17">
      <c r="A108" s="2" t="s">
        <v>291</v>
      </c>
      <c r="B108" s="16" t="s">
        <v>494</v>
      </c>
      <c r="D108" s="14">
        <v>1</v>
      </c>
      <c r="E108" s="14">
        <v>0.68557999803640668</v>
      </c>
      <c r="F108" s="14">
        <v>0.47383889688944764</v>
      </c>
      <c r="G108" s="14">
        <v>3.2676775642041656E-12</v>
      </c>
      <c r="H108" s="14">
        <v>48.530046627492318</v>
      </c>
      <c r="I108" s="14">
        <v>112.73736486427325</v>
      </c>
      <c r="J108" s="14">
        <v>0</v>
      </c>
      <c r="K108" s="14">
        <v>2.1104219315142299</v>
      </c>
      <c r="L108" s="14">
        <v>0.47383889688944764</v>
      </c>
      <c r="M108" s="14">
        <v>0.38878481489779182</v>
      </c>
      <c r="N108" s="14">
        <v>2.4933720807998374</v>
      </c>
      <c r="O108" s="14">
        <v>768.78141367301373</v>
      </c>
      <c r="P108" s="8">
        <v>2.4933720807998374</v>
      </c>
      <c r="Q108" s="54">
        <v>0.21177167875010847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9.0766905317550152E-5</v>
      </c>
      <c r="E2" s="20">
        <v>0.82075315980401786</v>
      </c>
      <c r="F2" s="20">
        <v>3.6897907976214374E-2</v>
      </c>
      <c r="G2" s="20">
        <v>1.0747248696151561E-2</v>
      </c>
      <c r="H2" s="20">
        <v>0</v>
      </c>
      <c r="I2" s="20">
        <v>0.77310800313165196</v>
      </c>
      <c r="J2" s="20">
        <v>3.3861014838959866E-4</v>
      </c>
      <c r="K2" s="20">
        <v>0.17881746314227495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3.6009453573621762E-3</v>
      </c>
      <c r="E3" s="20">
        <v>0.90474546832440872</v>
      </c>
      <c r="F3" s="20">
        <v>0.24371976242028764</v>
      </c>
      <c r="G3" s="20">
        <v>0.66036842778957905</v>
      </c>
      <c r="H3" s="20">
        <v>0</v>
      </c>
      <c r="I3" s="20">
        <v>6.5727811454200833E-4</v>
      </c>
      <c r="J3" s="20">
        <v>9.2968871271692077E-3</v>
      </c>
      <c r="K3" s="20">
        <v>8.2356699191059854E-2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4.4128375358005754E-12</v>
      </c>
      <c r="E4" s="20">
        <v>0.66492223180797749</v>
      </c>
      <c r="F4" s="20">
        <v>0.25129980612034725</v>
      </c>
      <c r="G4" s="20">
        <v>5.9991222062136529E-2</v>
      </c>
      <c r="H4" s="20">
        <v>0</v>
      </c>
      <c r="I4" s="20">
        <v>0.35363120362549377</v>
      </c>
      <c r="J4" s="20">
        <v>8.8246694673284527E-4</v>
      </c>
      <c r="K4" s="20">
        <v>0.33419530124087693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1.2022304456397938E-4</v>
      </c>
      <c r="E5" s="20">
        <v>0.88053917524457781</v>
      </c>
      <c r="F5" s="20">
        <v>0.6771142237445803</v>
      </c>
      <c r="G5" s="20">
        <v>0.19649770945599296</v>
      </c>
      <c r="H5" s="20">
        <v>0</v>
      </c>
      <c r="I5" s="20">
        <v>6.9272420440045735E-3</v>
      </c>
      <c r="J5" s="20">
        <v>2.6945286180842807E-3</v>
      </c>
      <c r="K5" s="20">
        <v>0.11664607309277392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1.1817213027608229E-5</v>
      </c>
      <c r="E6" s="20">
        <v>0.9257856288683225</v>
      </c>
      <c r="F6" s="20">
        <v>0.15656305225654757</v>
      </c>
      <c r="G6" s="20">
        <v>0.76892651117831812</v>
      </c>
      <c r="H6" s="20">
        <v>0</v>
      </c>
      <c r="I6" s="20">
        <v>2.9606543345679002E-4</v>
      </c>
      <c r="J6" s="20">
        <v>1.0903464088840298E-2</v>
      </c>
      <c r="K6" s="20">
        <v>6.3299089829809682E-2</v>
      </c>
      <c r="L6" s="20">
        <v>0</v>
      </c>
    </row>
    <row r="7" spans="1:14">
      <c r="A7" s="2" t="s">
        <v>321</v>
      </c>
      <c r="B7" s="3" t="s">
        <v>322</v>
      </c>
      <c r="D7" s="20">
        <v>1.734292962190773E-5</v>
      </c>
      <c r="E7" s="20">
        <v>0.91059931563419561</v>
      </c>
      <c r="F7" s="20">
        <v>0.23003646049369836</v>
      </c>
      <c r="G7" s="20">
        <v>0.67997388252539126</v>
      </c>
      <c r="H7" s="20">
        <v>0</v>
      </c>
      <c r="I7" s="20">
        <v>5.8897261510599652E-4</v>
      </c>
      <c r="J7" s="20">
        <v>9.5829792378390143E-3</v>
      </c>
      <c r="K7" s="20">
        <v>7.9800362198343591E-2</v>
      </c>
      <c r="L7" s="20">
        <v>0</v>
      </c>
    </row>
    <row r="8" spans="1:14">
      <c r="A8" s="2" t="s">
        <v>323</v>
      </c>
      <c r="B8" s="3" t="s">
        <v>324</v>
      </c>
      <c r="D8" s="20">
        <v>1.6282010989438706E-4</v>
      </c>
      <c r="E8" s="20">
        <v>0.89265422084105706</v>
      </c>
      <c r="F8" s="20">
        <v>0.3480024155062954</v>
      </c>
      <c r="G8" s="20">
        <v>0.54334767593945532</v>
      </c>
      <c r="H8" s="20">
        <v>0</v>
      </c>
      <c r="I8" s="20">
        <v>1.3041293953063122E-3</v>
      </c>
      <c r="J8" s="20">
        <v>7.5987577898975547E-3</v>
      </c>
      <c r="K8" s="20">
        <v>9.958420125915092E-2</v>
      </c>
      <c r="L8" s="20">
        <v>0</v>
      </c>
    </row>
    <row r="9" spans="1:14">
      <c r="A9" s="2" t="s">
        <v>325</v>
      </c>
      <c r="B9" s="3" t="s">
        <v>326</v>
      </c>
      <c r="D9" s="20">
        <v>1.0148468550209014E-4</v>
      </c>
      <c r="E9" s="20">
        <v>0.7748030547323812</v>
      </c>
      <c r="F9" s="20">
        <v>0.59796356862953037</v>
      </c>
      <c r="G9" s="20">
        <v>0.11742762586186417</v>
      </c>
      <c r="H9" s="20">
        <v>0</v>
      </c>
      <c r="I9" s="20">
        <v>5.9411860240986714E-2</v>
      </c>
      <c r="J9" s="20">
        <v>1.5926900463032337E-3</v>
      </c>
      <c r="K9" s="20">
        <v>0.22350277053581341</v>
      </c>
      <c r="L9" s="20">
        <v>0</v>
      </c>
    </row>
    <row r="10" spans="1:14">
      <c r="A10" s="2" t="s">
        <v>275</v>
      </c>
      <c r="B10" s="3" t="s">
        <v>276</v>
      </c>
      <c r="D10" s="20">
        <v>1.544785933826836E-6</v>
      </c>
      <c r="E10" s="20">
        <v>0.87980165115553322</v>
      </c>
      <c r="F10" s="20">
        <v>0.66334967573202153</v>
      </c>
      <c r="G10" s="20">
        <v>0.21000908200863005</v>
      </c>
      <c r="H10" s="20">
        <v>0</v>
      </c>
      <c r="I10" s="20">
        <v>6.4428934148816263E-3</v>
      </c>
      <c r="J10" s="20">
        <v>2.8825706363825258E-3</v>
      </c>
      <c r="K10" s="20">
        <v>0.1173142334221505</v>
      </c>
      <c r="L10" s="20">
        <v>0</v>
      </c>
    </row>
    <row r="11" spans="1:14">
      <c r="A11" s="2" t="s">
        <v>327</v>
      </c>
      <c r="B11" s="3" t="s">
        <v>328</v>
      </c>
      <c r="D11" s="20">
        <v>8.0474181983615435E-5</v>
      </c>
      <c r="E11" s="20">
        <v>0.87863400199742647</v>
      </c>
      <c r="F11" s="20">
        <v>0.63904403544308208</v>
      </c>
      <c r="G11" s="20">
        <v>0.23389790993546411</v>
      </c>
      <c r="H11" s="20">
        <v>0</v>
      </c>
      <c r="I11" s="20">
        <v>5.6920566188802309E-3</v>
      </c>
      <c r="J11" s="20">
        <v>3.2156846644096379E-3</v>
      </c>
      <c r="K11" s="20">
        <v>0.11806983915618029</v>
      </c>
      <c r="L11" s="20">
        <v>0</v>
      </c>
    </row>
    <row r="12" spans="1:14">
      <c r="A12" s="2" t="s">
        <v>329</v>
      </c>
      <c r="B12" s="3" t="s">
        <v>330</v>
      </c>
      <c r="D12" s="20">
        <v>5.3102993291219885E-5</v>
      </c>
      <c r="E12" s="20">
        <v>0.80965828766922965</v>
      </c>
      <c r="F12" s="20">
        <v>0.64892307402929628</v>
      </c>
      <c r="G12" s="20">
        <v>0.12259952066435653</v>
      </c>
      <c r="H12" s="20">
        <v>0</v>
      </c>
      <c r="I12" s="20">
        <v>3.8135692975576854E-2</v>
      </c>
      <c r="J12" s="20">
        <v>1.6626755519379526E-3</v>
      </c>
      <c r="K12" s="20">
        <v>0.18862593378554118</v>
      </c>
      <c r="L12" s="20">
        <v>0</v>
      </c>
    </row>
    <row r="13" spans="1:14">
      <c r="A13" s="2" t="s">
        <v>277</v>
      </c>
      <c r="B13" s="3" t="s">
        <v>278</v>
      </c>
      <c r="D13" s="20">
        <v>1.579567769797153E-4</v>
      </c>
      <c r="E13" s="20">
        <v>0.77814132718663653</v>
      </c>
      <c r="F13" s="20">
        <v>0.60313214906042867</v>
      </c>
      <c r="G13" s="20">
        <v>0.11800707176304928</v>
      </c>
      <c r="H13" s="20">
        <v>0</v>
      </c>
      <c r="I13" s="20">
        <v>5.7002106363158611E-2</v>
      </c>
      <c r="J13" s="20">
        <v>1.6004008689243108E-3</v>
      </c>
      <c r="K13" s="20">
        <v>0.2201003151674594</v>
      </c>
      <c r="L13" s="20">
        <v>0</v>
      </c>
    </row>
    <row r="14" spans="1:14">
      <c r="A14" s="2" t="s">
        <v>331</v>
      </c>
      <c r="B14" s="3" t="s">
        <v>332</v>
      </c>
      <c r="D14" s="20">
        <v>5.3713777535456612E-5</v>
      </c>
      <c r="E14" s="20">
        <v>0.87800599552952285</v>
      </c>
      <c r="F14" s="20">
        <v>0.55546910804741534</v>
      </c>
      <c r="G14" s="20">
        <v>0.31875387010075801</v>
      </c>
      <c r="H14" s="20">
        <v>0</v>
      </c>
      <c r="I14" s="20">
        <v>3.7830173813494746E-3</v>
      </c>
      <c r="J14" s="20">
        <v>4.4050511036137791E-3</v>
      </c>
      <c r="K14" s="20">
        <v>0.11753523958932796</v>
      </c>
      <c r="L14" s="20">
        <v>0</v>
      </c>
    </row>
    <row r="15" spans="1:14">
      <c r="A15" s="2" t="s">
        <v>333</v>
      </c>
      <c r="B15" s="3" t="s">
        <v>334</v>
      </c>
      <c r="D15" s="20">
        <v>8.7594430125945549E-8</v>
      </c>
      <c r="E15" s="20">
        <v>0.87920439587167332</v>
      </c>
      <c r="F15" s="20">
        <v>0.65140442801640608</v>
      </c>
      <c r="G15" s="20">
        <v>0.22174113276377999</v>
      </c>
      <c r="H15" s="20">
        <v>0</v>
      </c>
      <c r="I15" s="20">
        <v>6.0588350914872278E-3</v>
      </c>
      <c r="J15" s="20">
        <v>3.0460651517459233E-3</v>
      </c>
      <c r="K15" s="20">
        <v>0.11774945138215055</v>
      </c>
      <c r="L15" s="20">
        <v>0</v>
      </c>
    </row>
    <row r="16" spans="1:14">
      <c r="A16" s="2" t="s">
        <v>335</v>
      </c>
      <c r="B16" s="3" t="s">
        <v>336</v>
      </c>
      <c r="D16" s="20">
        <v>4.2292849630883977E-4</v>
      </c>
      <c r="E16" s="20">
        <v>0.89171814965814455</v>
      </c>
      <c r="F16" s="20">
        <v>0.35378642370126634</v>
      </c>
      <c r="G16" s="20">
        <v>0.53658276435142449</v>
      </c>
      <c r="H16" s="20">
        <v>0</v>
      </c>
      <c r="I16" s="20">
        <v>1.3489616054536756E-3</v>
      </c>
      <c r="J16" s="20">
        <v>7.5015339230060157E-3</v>
      </c>
      <c r="K16" s="20">
        <v>0.10035738792254087</v>
      </c>
      <c r="L16" s="20">
        <v>0</v>
      </c>
    </row>
    <row r="17" spans="1:12">
      <c r="A17" s="2" t="s">
        <v>337</v>
      </c>
      <c r="B17" s="3" t="s">
        <v>338</v>
      </c>
      <c r="D17" s="20">
        <v>3.0881299003396462E-5</v>
      </c>
      <c r="E17" s="20">
        <v>0.880322641256302</v>
      </c>
      <c r="F17" s="20">
        <v>0.6726199978153018</v>
      </c>
      <c r="G17" s="20">
        <v>0.20093950619202927</v>
      </c>
      <c r="H17" s="20">
        <v>0</v>
      </c>
      <c r="I17" s="20">
        <v>6.7631372489709209E-3</v>
      </c>
      <c r="J17" s="20">
        <v>2.7563152642129905E-3</v>
      </c>
      <c r="K17" s="20">
        <v>0.11689016218048159</v>
      </c>
      <c r="L17" s="20">
        <v>0</v>
      </c>
    </row>
    <row r="18" spans="1:12">
      <c r="A18" s="2" t="s">
        <v>279</v>
      </c>
      <c r="B18" s="3" t="s">
        <v>280</v>
      </c>
      <c r="D18" s="20">
        <v>3.0498260355099624E-3</v>
      </c>
      <c r="E18" s="20">
        <v>0.75730132570834252</v>
      </c>
      <c r="F18" s="20">
        <v>0.57193843469312922</v>
      </c>
      <c r="G18" s="20">
        <v>0.114194408106193</v>
      </c>
      <c r="H18" s="20">
        <v>0</v>
      </c>
      <c r="I18" s="20">
        <v>7.1168482909020364E-2</v>
      </c>
      <c r="J18" s="20">
        <v>1.5499047438369696E-3</v>
      </c>
      <c r="K18" s="20">
        <v>0.23809894351231051</v>
      </c>
      <c r="L18" s="20">
        <v>0</v>
      </c>
    </row>
    <row r="19" spans="1:12">
      <c r="A19" s="2" t="s">
        <v>339</v>
      </c>
      <c r="B19" s="3" t="s">
        <v>340</v>
      </c>
      <c r="D19" s="20">
        <v>3.0700907315931172E-7</v>
      </c>
      <c r="E19" s="20">
        <v>0.87909620353065343</v>
      </c>
      <c r="F19" s="20">
        <v>0.6489712019360987</v>
      </c>
      <c r="G19" s="20">
        <v>0.2241408325795784</v>
      </c>
      <c r="H19" s="20">
        <v>0</v>
      </c>
      <c r="I19" s="20">
        <v>5.984169014976299E-3</v>
      </c>
      <c r="J19" s="20">
        <v>3.0795304623360501E-3</v>
      </c>
      <c r="K19" s="20">
        <v>0.11782395899793728</v>
      </c>
      <c r="L19" s="20">
        <v>0</v>
      </c>
    </row>
    <row r="20" spans="1:12">
      <c r="A20" s="2" t="s">
        <v>281</v>
      </c>
      <c r="B20" s="3" t="s">
        <v>282</v>
      </c>
      <c r="D20" s="20">
        <v>2.3910930894040346E-5</v>
      </c>
      <c r="E20" s="20">
        <v>0.77824565027775272</v>
      </c>
      <c r="F20" s="20">
        <v>0.60321300919205667</v>
      </c>
      <c r="G20" s="20">
        <v>0.11802289261983938</v>
      </c>
      <c r="H20" s="20">
        <v>0</v>
      </c>
      <c r="I20" s="20">
        <v>5.700974846585663E-2</v>
      </c>
      <c r="J20" s="20">
        <v>1.600615429904223E-3</v>
      </c>
      <c r="K20" s="20">
        <v>0.22012982336144898</v>
      </c>
      <c r="L20" s="20">
        <v>0</v>
      </c>
    </row>
    <row r="21" spans="1:12">
      <c r="A21" s="2" t="s">
        <v>341</v>
      </c>
      <c r="B21" s="3" t="s">
        <v>342</v>
      </c>
      <c r="D21" s="20">
        <v>4.4942936060869215E-4</v>
      </c>
      <c r="E21" s="20">
        <v>0.87738980912013875</v>
      </c>
      <c r="F21" s="20">
        <v>0.58067837896078089</v>
      </c>
      <c r="G21" s="20">
        <v>0.2924362533421197</v>
      </c>
      <c r="H21" s="20">
        <v>0</v>
      </c>
      <c r="I21" s="20">
        <v>4.27517681723811E-3</v>
      </c>
      <c r="J21" s="20">
        <v>4.0352120449249611E-3</v>
      </c>
      <c r="K21" s="20">
        <v>0.11812554947432767</v>
      </c>
      <c r="L21" s="20">
        <v>0</v>
      </c>
    </row>
    <row r="22" spans="1:12">
      <c r="A22" s="2" t="s">
        <v>343</v>
      </c>
      <c r="B22" s="3" t="s">
        <v>344</v>
      </c>
      <c r="D22" s="20">
        <v>1.9629642241889454E-3</v>
      </c>
      <c r="E22" s="20">
        <v>0.71343195678933458</v>
      </c>
      <c r="F22" s="20">
        <v>0.12022273380137997</v>
      </c>
      <c r="G22" s="20">
        <v>3.1353220354162173E-2</v>
      </c>
      <c r="H22" s="20">
        <v>0</v>
      </c>
      <c r="I22" s="20">
        <v>0.56185600263379243</v>
      </c>
      <c r="J22" s="20">
        <v>5.5508442696484321E-4</v>
      </c>
      <c r="K22" s="20">
        <v>0.28404999455951174</v>
      </c>
      <c r="L22" s="20">
        <v>0</v>
      </c>
    </row>
    <row r="23" spans="1:12">
      <c r="A23" s="2" t="s">
        <v>345</v>
      </c>
      <c r="B23" s="3" t="s">
        <v>346</v>
      </c>
      <c r="D23" s="20">
        <v>8.3621893980552852E-5</v>
      </c>
      <c r="E23" s="20">
        <v>0.78355003441207838</v>
      </c>
      <c r="F23" s="20">
        <v>5.7305224028956554E-2</v>
      </c>
      <c r="G23" s="20">
        <v>1.6057937752523198E-2</v>
      </c>
      <c r="H23" s="20">
        <v>0</v>
      </c>
      <c r="I23" s="20">
        <v>0.71018687263059865</v>
      </c>
      <c r="J23" s="20">
        <v>3.9188179968121769E-4</v>
      </c>
      <c r="K23" s="20">
        <v>0.21597446189425989</v>
      </c>
      <c r="L23" s="20">
        <v>0</v>
      </c>
    </row>
    <row r="24" spans="1:12">
      <c r="A24" s="2" t="s">
        <v>347</v>
      </c>
      <c r="B24" s="3" t="s">
        <v>348</v>
      </c>
      <c r="D24" s="20">
        <v>7.2412441226446151E-5</v>
      </c>
      <c r="E24" s="20">
        <v>0.68713377111894092</v>
      </c>
      <c r="F24" s="20">
        <v>0.42119907029381198</v>
      </c>
      <c r="G24" s="20">
        <v>9.1871955249730755E-2</v>
      </c>
      <c r="H24" s="20">
        <v>0</v>
      </c>
      <c r="I24" s="20">
        <v>0.17406274557539819</v>
      </c>
      <c r="J24" s="20">
        <v>1.2668903521199672E-3</v>
      </c>
      <c r="K24" s="20">
        <v>0.31152692608771271</v>
      </c>
      <c r="L24" s="20">
        <v>0</v>
      </c>
    </row>
    <row r="25" spans="1:12">
      <c r="A25" s="2" t="s">
        <v>349</v>
      </c>
      <c r="B25" s="3" t="s">
        <v>350</v>
      </c>
      <c r="D25" s="20">
        <v>1.3257950815852616E-2</v>
      </c>
      <c r="E25" s="20">
        <v>0.83911294727084684</v>
      </c>
      <c r="F25" s="20">
        <v>0.69366633595176952</v>
      </c>
      <c r="G25" s="20">
        <v>0.12469417718610487</v>
      </c>
      <c r="H25" s="20">
        <v>0</v>
      </c>
      <c r="I25" s="20">
        <v>2.0752434132972498E-2</v>
      </c>
      <c r="J25" s="20">
        <v>1.6943230492057571E-3</v>
      </c>
      <c r="K25" s="20">
        <v>0.14593477886409467</v>
      </c>
      <c r="L25" s="20">
        <v>0</v>
      </c>
    </row>
    <row r="26" spans="1:12">
      <c r="A26" s="2" t="s">
        <v>351</v>
      </c>
      <c r="B26" s="3" t="s">
        <v>352</v>
      </c>
      <c r="D26" s="20">
        <v>3.6061015997236048E-4</v>
      </c>
      <c r="E26" s="20">
        <v>0.87750224982660896</v>
      </c>
      <c r="F26" s="20">
        <v>0.59718951407292364</v>
      </c>
      <c r="G26" s="20">
        <v>0.2756815670777879</v>
      </c>
      <c r="H26" s="20">
        <v>0</v>
      </c>
      <c r="I26" s="20">
        <v>4.6311686758974662E-3</v>
      </c>
      <c r="J26" s="20">
        <v>3.8001933604563743E-3</v>
      </c>
      <c r="K26" s="20">
        <v>0.11833694665296217</v>
      </c>
      <c r="L26" s="20">
        <v>0</v>
      </c>
    </row>
    <row r="27" spans="1:12">
      <c r="A27" s="2" t="s">
        <v>353</v>
      </c>
      <c r="B27" s="3" t="s">
        <v>354</v>
      </c>
      <c r="D27" s="20">
        <v>2.4952897127253596E-3</v>
      </c>
      <c r="E27" s="20">
        <v>0.90361120067797618</v>
      </c>
      <c r="F27" s="20">
        <v>0.25650461957387888</v>
      </c>
      <c r="G27" s="20">
        <v>0.64638422122488093</v>
      </c>
      <c r="H27" s="20">
        <v>0</v>
      </c>
      <c r="I27" s="20">
        <v>7.2235987921639164E-4</v>
      </c>
      <c r="J27" s="20">
        <v>9.092040329010136E-3</v>
      </c>
      <c r="K27" s="20">
        <v>8.4801469280288352E-2</v>
      </c>
      <c r="L27" s="20">
        <v>0</v>
      </c>
    </row>
    <row r="28" spans="1:12">
      <c r="A28" s="2" t="s">
        <v>355</v>
      </c>
      <c r="B28" s="3" t="s">
        <v>356</v>
      </c>
      <c r="D28" s="20">
        <v>1.3563232375560325E-4</v>
      </c>
      <c r="E28" s="20">
        <v>0.88111610801113771</v>
      </c>
      <c r="F28" s="20">
        <v>0.47515731259010163</v>
      </c>
      <c r="G28" s="20">
        <v>0.40339728667517799</v>
      </c>
      <c r="H28" s="20">
        <v>0</v>
      </c>
      <c r="I28" s="20">
        <v>2.5615087458580954E-3</v>
      </c>
      <c r="J28" s="20">
        <v>5.6005927536357837E-3</v>
      </c>
      <c r="K28" s="20">
        <v>0.11314766691147082</v>
      </c>
      <c r="L28" s="20">
        <v>0</v>
      </c>
    </row>
    <row r="29" spans="1:12">
      <c r="A29" s="2" t="s">
        <v>357</v>
      </c>
      <c r="B29" s="3" t="s">
        <v>358</v>
      </c>
      <c r="D29" s="20">
        <v>2.7280214522622224E-2</v>
      </c>
      <c r="E29" s="20">
        <v>0.85397032481672352</v>
      </c>
      <c r="F29" s="20">
        <v>0.54868362095780232</v>
      </c>
      <c r="G29" s="20">
        <v>0.30145157092864028</v>
      </c>
      <c r="H29" s="20">
        <v>0</v>
      </c>
      <c r="I29" s="20">
        <v>3.8351329302808777E-3</v>
      </c>
      <c r="J29" s="20">
        <v>4.1638240411404643E-3</v>
      </c>
      <c r="K29" s="20">
        <v>0.11458563661951374</v>
      </c>
      <c r="L29" s="20">
        <v>0</v>
      </c>
    </row>
    <row r="30" spans="1:12">
      <c r="A30" s="2" t="s">
        <v>359</v>
      </c>
      <c r="B30" s="3" t="s">
        <v>360</v>
      </c>
      <c r="D30" s="20">
        <v>1.3563232375560325E-4</v>
      </c>
      <c r="E30" s="20">
        <v>0.88111610801113771</v>
      </c>
      <c r="F30" s="20">
        <v>0.47515731259010163</v>
      </c>
      <c r="G30" s="20">
        <v>0.40339728667517799</v>
      </c>
      <c r="H30" s="20">
        <v>0</v>
      </c>
      <c r="I30" s="20">
        <v>2.5615087458580954E-3</v>
      </c>
      <c r="J30" s="20">
        <v>5.6005927536357837E-3</v>
      </c>
      <c r="K30" s="20">
        <v>0.11314766691147082</v>
      </c>
      <c r="L30" s="20">
        <v>0</v>
      </c>
    </row>
    <row r="31" spans="1:12">
      <c r="A31" s="2" t="s">
        <v>283</v>
      </c>
      <c r="B31" s="3" t="s">
        <v>284</v>
      </c>
      <c r="D31" s="20">
        <v>2.6211496203603525E-8</v>
      </c>
      <c r="E31" s="20">
        <v>0.97637979799685926</v>
      </c>
      <c r="F31" s="20">
        <v>6.0029679814184325E-4</v>
      </c>
      <c r="G31" s="20">
        <v>2.4091374695355385E-4</v>
      </c>
      <c r="H31" s="20">
        <v>0</v>
      </c>
      <c r="I31" s="20">
        <v>0.97553858745176381</v>
      </c>
      <c r="J31" s="20">
        <v>2.5472238918623058E-4</v>
      </c>
      <c r="K31" s="20">
        <v>2.3365453402458353E-2</v>
      </c>
      <c r="L31" s="20">
        <v>0</v>
      </c>
    </row>
    <row r="32" spans="1:12">
      <c r="A32" s="2" t="s">
        <v>361</v>
      </c>
      <c r="B32" s="3" t="s">
        <v>362</v>
      </c>
      <c r="D32" s="20">
        <v>2.133064452600071E-8</v>
      </c>
      <c r="E32" s="20">
        <v>0.6775078608249836</v>
      </c>
      <c r="F32" s="20">
        <v>0.19518942433396599</v>
      </c>
      <c r="G32" s="20">
        <v>4.8125465652130779E-2</v>
      </c>
      <c r="H32" s="20">
        <v>0</v>
      </c>
      <c r="I32" s="20">
        <v>0.43419297083888686</v>
      </c>
      <c r="J32" s="20">
        <v>7.6506902215308455E-4</v>
      </c>
      <c r="K32" s="20">
        <v>0.32172704882221886</v>
      </c>
      <c r="L32" s="20">
        <v>0</v>
      </c>
    </row>
    <row r="33" spans="1:12">
      <c r="A33" s="2" t="s">
        <v>364</v>
      </c>
      <c r="B33" s="3" t="s">
        <v>365</v>
      </c>
      <c r="D33" s="20">
        <v>1.206859706585095E-10</v>
      </c>
      <c r="E33" s="20">
        <v>0.99968489119764026</v>
      </c>
      <c r="F33" s="20">
        <v>4.2012174020779822E-3</v>
      </c>
      <c r="G33" s="20">
        <v>1.284702231151806E-6</v>
      </c>
      <c r="H33" s="20">
        <v>0</v>
      </c>
      <c r="I33" s="20">
        <v>0.99548238909333109</v>
      </c>
      <c r="J33" s="20">
        <v>2.5799829390988054E-4</v>
      </c>
      <c r="K33" s="20">
        <v>5.7110387764140615E-5</v>
      </c>
      <c r="L33" s="20">
        <v>0</v>
      </c>
    </row>
    <row r="34" spans="1:12">
      <c r="A34" s="2" t="s">
        <v>285</v>
      </c>
      <c r="B34" s="3" t="s">
        <v>286</v>
      </c>
      <c r="D34" s="20">
        <v>3.5883378587852366E-10</v>
      </c>
      <c r="E34" s="20">
        <v>0.99957613828804703</v>
      </c>
      <c r="F34" s="20">
        <v>0.45204458935785746</v>
      </c>
      <c r="G34" s="20">
        <v>3.7124087068957776E-5</v>
      </c>
      <c r="H34" s="20">
        <v>0</v>
      </c>
      <c r="I34" s="20">
        <v>0.54749442484312061</v>
      </c>
      <c r="J34" s="20">
        <v>2.2924989207457762E-4</v>
      </c>
      <c r="K34" s="20">
        <v>1.9461146104446484E-4</v>
      </c>
      <c r="L34" s="20">
        <v>0</v>
      </c>
    </row>
    <row r="35" spans="1:12">
      <c r="A35" s="2" t="s">
        <v>287</v>
      </c>
      <c r="B35" s="3" t="s">
        <v>288</v>
      </c>
      <c r="D35" s="20">
        <v>1.0452577830318223E-11</v>
      </c>
      <c r="E35" s="20">
        <v>0.99932052732683829</v>
      </c>
      <c r="F35" s="20">
        <v>0.67505907191353365</v>
      </c>
      <c r="G35" s="20">
        <v>1.3072814558242097E-4</v>
      </c>
      <c r="H35" s="20">
        <v>0</v>
      </c>
      <c r="I35" s="20">
        <v>0.32413072726772219</v>
      </c>
      <c r="J35" s="20">
        <v>2.0840669333772752E-4</v>
      </c>
      <c r="K35" s="20">
        <v>4.7106596937138834E-4</v>
      </c>
      <c r="L35" s="20">
        <v>0</v>
      </c>
    </row>
    <row r="36" spans="1:12">
      <c r="A36" s="2" t="s">
        <v>366</v>
      </c>
      <c r="B36" s="3" t="s">
        <v>305</v>
      </c>
      <c r="D36" s="20">
        <v>1.8427891854273295E-8</v>
      </c>
      <c r="E36" s="20">
        <v>0.99929364502805129</v>
      </c>
      <c r="F36" s="20">
        <v>0.8909162554401131</v>
      </c>
      <c r="G36" s="20">
        <v>2.5508132635481811E-4</v>
      </c>
      <c r="H36" s="20">
        <v>0</v>
      </c>
      <c r="I36" s="20">
        <v>0.10812230826158337</v>
      </c>
      <c r="J36" s="20">
        <v>1.7984512524940222E-4</v>
      </c>
      <c r="K36" s="20">
        <v>5.264914188075542E-4</v>
      </c>
      <c r="L36" s="20">
        <v>0</v>
      </c>
    </row>
    <row r="37" spans="1:12">
      <c r="A37" s="2" t="s">
        <v>289</v>
      </c>
      <c r="B37" s="3" t="s">
        <v>290</v>
      </c>
      <c r="D37" s="20">
        <v>4.1914873267227983E-15</v>
      </c>
      <c r="E37" s="20">
        <v>0.92880095631731496</v>
      </c>
      <c r="F37" s="20">
        <v>0.69692906787670317</v>
      </c>
      <c r="G37" s="20">
        <v>2.3793486228926016E-2</v>
      </c>
      <c r="H37" s="20">
        <v>0</v>
      </c>
      <c r="I37" s="20">
        <v>0.20807840221168583</v>
      </c>
      <c r="J37" s="20">
        <v>4.7440942993332621E-4</v>
      </c>
      <c r="K37" s="20">
        <v>7.0724634252747512E-2</v>
      </c>
      <c r="L37" s="20">
        <v>0</v>
      </c>
    </row>
    <row r="38" spans="1:12">
      <c r="A38" s="2" t="s">
        <v>291</v>
      </c>
      <c r="B38" s="3" t="s">
        <v>292</v>
      </c>
      <c r="D38" s="20">
        <v>1.207865216738238E-12</v>
      </c>
      <c r="E38" s="20">
        <v>0.99787974918538103</v>
      </c>
      <c r="F38" s="20">
        <v>0.38447126150116689</v>
      </c>
      <c r="G38" s="20">
        <v>3.212039891905514E-4</v>
      </c>
      <c r="H38" s="20">
        <v>0</v>
      </c>
      <c r="I38" s="20">
        <v>0.61308728369502363</v>
      </c>
      <c r="J38" s="20">
        <v>2.37930361840531E-4</v>
      </c>
      <c r="K38" s="20">
        <v>1.8823204515705432E-3</v>
      </c>
      <c r="L38" s="20">
        <v>0</v>
      </c>
    </row>
    <row r="39" spans="1:12">
      <c r="A39" s="2" t="s">
        <v>367</v>
      </c>
      <c r="B39" s="3" t="s">
        <v>368</v>
      </c>
      <c r="D39" s="20">
        <v>1.4525601765533339E-5</v>
      </c>
      <c r="E39" s="20">
        <v>0.88779371047546296</v>
      </c>
      <c r="F39" s="20">
        <v>0.74697892377546893</v>
      </c>
      <c r="G39" s="20">
        <v>0.13046796955811465</v>
      </c>
      <c r="H39" s="20">
        <v>0</v>
      </c>
      <c r="I39" s="20">
        <v>1.0346817141879372E-2</v>
      </c>
      <c r="J39" s="20">
        <v>1.7796984784506117E-3</v>
      </c>
      <c r="K39" s="20">
        <v>0.11041206544432085</v>
      </c>
      <c r="L39" s="20">
        <v>0</v>
      </c>
    </row>
    <row r="40" spans="1:12">
      <c r="A40" s="2" t="s">
        <v>369</v>
      </c>
      <c r="B40" s="3" t="s">
        <v>370</v>
      </c>
      <c r="D40" s="20">
        <v>9.2333088279657306E-13</v>
      </c>
      <c r="E40" s="20">
        <v>0.98592967629161821</v>
      </c>
      <c r="F40" s="20">
        <v>0.91847418168547523</v>
      </c>
      <c r="G40" s="20">
        <v>6.6448828657506218E-2</v>
      </c>
      <c r="H40" s="20">
        <v>0</v>
      </c>
      <c r="I40" s="20">
        <v>1.0066659486367073E-3</v>
      </c>
      <c r="J40" s="20">
        <v>1.1180974990226243E-2</v>
      </c>
      <c r="K40" s="20">
        <v>2.8893487172322947E-3</v>
      </c>
      <c r="L40" s="20">
        <v>0</v>
      </c>
    </row>
    <row r="41" spans="1:12">
      <c r="A41" s="2" t="s">
        <v>371</v>
      </c>
      <c r="B41" s="3" t="s">
        <v>372</v>
      </c>
      <c r="D41" s="20">
        <v>8.1787566150849936E-2</v>
      </c>
      <c r="E41" s="20">
        <v>0.91339762079907139</v>
      </c>
      <c r="F41" s="20">
        <v>2.7961566569741513E-5</v>
      </c>
      <c r="G41" s="20">
        <v>1.399771203482935E-5</v>
      </c>
      <c r="H41" s="20">
        <v>0</v>
      </c>
      <c r="I41" s="20">
        <v>0.91335566152046677</v>
      </c>
      <c r="J41" s="20">
        <v>2.3582315229259449E-4</v>
      </c>
      <c r="K41" s="20">
        <v>4.5789898977861123E-3</v>
      </c>
      <c r="L41" s="20">
        <v>0</v>
      </c>
    </row>
    <row r="42" spans="1:12">
      <c r="A42" s="2" t="s">
        <v>293</v>
      </c>
      <c r="B42" s="3" t="s">
        <v>294</v>
      </c>
      <c r="D42" s="20">
        <v>1.7523665227851738E-8</v>
      </c>
      <c r="E42" s="20">
        <v>0.70119245570001421</v>
      </c>
      <c r="F42" s="20">
        <v>0.14057210968677913</v>
      </c>
      <c r="G42" s="20">
        <v>3.6057425766927824E-2</v>
      </c>
      <c r="H42" s="20">
        <v>0</v>
      </c>
      <c r="I42" s="20">
        <v>0.52456292024630724</v>
      </c>
      <c r="J42" s="20">
        <v>6.0772622898617112E-4</v>
      </c>
      <c r="K42" s="20">
        <v>0.29819980054733436</v>
      </c>
      <c r="L42" s="20">
        <v>0</v>
      </c>
    </row>
    <row r="43" spans="1:12">
      <c r="A43" s="2" t="s">
        <v>373</v>
      </c>
      <c r="B43" s="3" t="s">
        <v>374</v>
      </c>
      <c r="D43" s="20">
        <v>4.3124152146323319E-8</v>
      </c>
      <c r="E43" s="20">
        <v>0.99925183872459988</v>
      </c>
      <c r="F43" s="20">
        <v>0.98960174534169065</v>
      </c>
      <c r="G43" s="20">
        <v>8.3556910568618158E-4</v>
      </c>
      <c r="H43" s="20">
        <v>0</v>
      </c>
      <c r="I43" s="20">
        <v>8.814524277222997E-3</v>
      </c>
      <c r="J43" s="20">
        <v>3.2632938905043628E-4</v>
      </c>
      <c r="K43" s="20">
        <v>4.2178876219741069E-4</v>
      </c>
      <c r="L43" s="20">
        <v>0</v>
      </c>
    </row>
    <row r="44" spans="1:12">
      <c r="A44" s="2" t="s">
        <v>375</v>
      </c>
      <c r="B44" s="3" t="s">
        <v>376</v>
      </c>
      <c r="D44" s="20">
        <v>8.5137045867379593E-2</v>
      </c>
      <c r="E44" s="20">
        <v>0.7873564857381421</v>
      </c>
      <c r="F44" s="20">
        <v>1.9462238557658492E-2</v>
      </c>
      <c r="G44" s="20">
        <v>5.9359242065454053E-3</v>
      </c>
      <c r="H44" s="20">
        <v>0</v>
      </c>
      <c r="I44" s="20">
        <v>0.76195832297393817</v>
      </c>
      <c r="J44" s="20">
        <v>2.7311388100749207E-4</v>
      </c>
      <c r="K44" s="20">
        <v>0.12723335451347079</v>
      </c>
      <c r="L44" s="20">
        <v>0</v>
      </c>
    </row>
    <row r="45" spans="1:12">
      <c r="A45" s="2" t="s">
        <v>377</v>
      </c>
      <c r="B45" s="3" t="s">
        <v>378</v>
      </c>
      <c r="D45" s="20">
        <v>6.6663570265220644E-4</v>
      </c>
      <c r="E45" s="20">
        <v>0.68995163299950235</v>
      </c>
      <c r="F45" s="20">
        <v>0.1601632172795581</v>
      </c>
      <c r="G45" s="20">
        <v>4.0481662471392642E-2</v>
      </c>
      <c r="H45" s="20">
        <v>0</v>
      </c>
      <c r="I45" s="20">
        <v>0.48930675324855161</v>
      </c>
      <c r="J45" s="20">
        <v>6.5732078941704429E-4</v>
      </c>
      <c r="K45" s="20">
        <v>0.30872441050842842</v>
      </c>
      <c r="L45" s="20">
        <v>0</v>
      </c>
    </row>
    <row r="46" spans="1:12">
      <c r="A46" s="2" t="s">
        <v>379</v>
      </c>
      <c r="B46" s="3" t="s">
        <v>380</v>
      </c>
      <c r="D46" s="20">
        <v>2.0045206559540676E-3</v>
      </c>
      <c r="E46" s="20">
        <v>0.69558897268507303</v>
      </c>
      <c r="F46" s="20">
        <v>0.14746357240349975</v>
      </c>
      <c r="G46" s="20">
        <v>3.7616666445402507E-2</v>
      </c>
      <c r="H46" s="20">
        <v>0</v>
      </c>
      <c r="I46" s="20">
        <v>0.51050873383617079</v>
      </c>
      <c r="J46" s="20">
        <v>6.2478163625753291E-4</v>
      </c>
      <c r="K46" s="20">
        <v>0.30178172502271539</v>
      </c>
      <c r="L46" s="20">
        <v>0</v>
      </c>
    </row>
    <row r="47" spans="1:12">
      <c r="A47" s="2" t="s">
        <v>381</v>
      </c>
      <c r="B47" s="3" t="s">
        <v>382</v>
      </c>
      <c r="D47" s="20">
        <v>4.2460314434103994E-8</v>
      </c>
      <c r="E47" s="20">
        <v>0.90801514282158957</v>
      </c>
      <c r="F47" s="20">
        <v>0.24460054526976729</v>
      </c>
      <c r="G47" s="20">
        <v>0.66275494408911451</v>
      </c>
      <c r="H47" s="20">
        <v>0</v>
      </c>
      <c r="I47" s="20">
        <v>6.596534627077784E-4</v>
      </c>
      <c r="J47" s="20">
        <v>9.3304853001439456E-3</v>
      </c>
      <c r="K47" s="20">
        <v>8.2654329417951963E-2</v>
      </c>
      <c r="L47" s="20">
        <v>0</v>
      </c>
    </row>
    <row r="48" spans="1:12">
      <c r="A48" s="2" t="s">
        <v>383</v>
      </c>
      <c r="B48" s="3" t="s">
        <v>384</v>
      </c>
      <c r="D48" s="20">
        <v>1.1769553593862081E-2</v>
      </c>
      <c r="E48" s="20">
        <v>0.9114033787609378</v>
      </c>
      <c r="F48" s="20">
        <v>6.2839714861404562E-3</v>
      </c>
      <c r="G48" s="20">
        <v>2.1092582726249779E-3</v>
      </c>
      <c r="H48" s="20">
        <v>0</v>
      </c>
      <c r="I48" s="20">
        <v>0.90301014900217236</v>
      </c>
      <c r="J48" s="20">
        <v>2.5993356969183608E-4</v>
      </c>
      <c r="K48" s="20">
        <v>7.6567134075508372E-2</v>
      </c>
      <c r="L48" s="20">
        <v>0</v>
      </c>
    </row>
    <row r="49" spans="1:12">
      <c r="A49" s="2" t="s">
        <v>385</v>
      </c>
      <c r="B49" s="3" t="s">
        <v>386</v>
      </c>
      <c r="D49" s="20">
        <v>2.1975926807803439E-2</v>
      </c>
      <c r="E49" s="20">
        <v>0.87654420616843298</v>
      </c>
      <c r="F49" s="20">
        <v>1.1205246500099936E-2</v>
      </c>
      <c r="G49" s="20">
        <v>3.5918398977226812E-3</v>
      </c>
      <c r="H49" s="20">
        <v>0</v>
      </c>
      <c r="I49" s="20">
        <v>0.86174711977061036</v>
      </c>
      <c r="J49" s="20">
        <v>2.6842774705943662E-4</v>
      </c>
      <c r="K49" s="20">
        <v>0.10121143927670417</v>
      </c>
      <c r="L49" s="20">
        <v>0</v>
      </c>
    </row>
    <row r="50" spans="1:12">
      <c r="A50" s="2" t="s">
        <v>387</v>
      </c>
      <c r="B50" s="3" t="s">
        <v>388</v>
      </c>
      <c r="D50" s="20">
        <v>6.5870525771808538E-3</v>
      </c>
      <c r="E50" s="20">
        <v>0.74957109957977064</v>
      </c>
      <c r="F50" s="20">
        <v>0.56152014925302807</v>
      </c>
      <c r="G50" s="20">
        <v>0.1127355531812704</v>
      </c>
      <c r="H50" s="20">
        <v>0</v>
      </c>
      <c r="I50" s="20">
        <v>7.531539714547214E-2</v>
      </c>
      <c r="J50" s="20">
        <v>1.5306241880235797E-3</v>
      </c>
      <c r="K50" s="20">
        <v>0.24231122365502508</v>
      </c>
      <c r="L50" s="20">
        <v>0</v>
      </c>
    </row>
    <row r="51" spans="1:12">
      <c r="A51" s="2" t="s">
        <v>295</v>
      </c>
      <c r="B51" s="3" t="s">
        <v>296</v>
      </c>
      <c r="D51" s="20">
        <v>6.553788371863209E-2</v>
      </c>
      <c r="E51" s="20">
        <v>0.90464575673949543</v>
      </c>
      <c r="F51" s="20">
        <v>1.0129001335080243E-3</v>
      </c>
      <c r="G51" s="20">
        <v>3.8892170746579176E-4</v>
      </c>
      <c r="H51" s="20">
        <v>0</v>
      </c>
      <c r="I51" s="20">
        <v>0.90324393489852162</v>
      </c>
      <c r="J51" s="20">
        <v>2.3795024363289658E-4</v>
      </c>
      <c r="K51" s="20">
        <v>2.9578409298239659E-2</v>
      </c>
      <c r="L51" s="20">
        <v>0</v>
      </c>
    </row>
    <row r="52" spans="1:12">
      <c r="A52" s="2" t="s">
        <v>389</v>
      </c>
      <c r="B52" s="3" t="s">
        <v>390</v>
      </c>
      <c r="D52" s="20">
        <v>6.892901334860084E-2</v>
      </c>
      <c r="E52" s="20">
        <v>0.7658333577652956</v>
      </c>
      <c r="F52" s="20">
        <v>3.3626082714254282E-2</v>
      </c>
      <c r="G52" s="20">
        <v>9.8123229212691981E-3</v>
      </c>
      <c r="H52" s="20">
        <v>0</v>
      </c>
      <c r="I52" s="20">
        <v>0.72239495212977212</v>
      </c>
      <c r="J52" s="20">
        <v>3.1339974671891008E-4</v>
      </c>
      <c r="K52" s="20">
        <v>0.1649242291393847</v>
      </c>
      <c r="L52" s="20">
        <v>0</v>
      </c>
    </row>
    <row r="53" spans="1:12">
      <c r="A53" s="2" t="s">
        <v>391</v>
      </c>
      <c r="B53" s="3" t="s">
        <v>392</v>
      </c>
      <c r="D53" s="20">
        <v>1.9683550936261248E-3</v>
      </c>
      <c r="E53" s="20">
        <v>0.66622944506333537</v>
      </c>
      <c r="F53" s="20">
        <v>0.23162085653363154</v>
      </c>
      <c r="G53" s="20">
        <v>5.5907905017867833E-2</v>
      </c>
      <c r="H53" s="20">
        <v>0</v>
      </c>
      <c r="I53" s="20">
        <v>0.37870068351183594</v>
      </c>
      <c r="J53" s="20">
        <v>8.3431899325424601E-4</v>
      </c>
      <c r="K53" s="20">
        <v>0.33096788084978435</v>
      </c>
      <c r="L53" s="20">
        <v>0</v>
      </c>
    </row>
    <row r="54" spans="1:12">
      <c r="A54" s="2" t="s">
        <v>393</v>
      </c>
      <c r="B54" s="3" t="s">
        <v>394</v>
      </c>
      <c r="D54" s="20">
        <v>1.95226973616865E-4</v>
      </c>
      <c r="E54" s="20">
        <v>0.90027598891070337</v>
      </c>
      <c r="F54" s="20">
        <v>0.29134933881678876</v>
      </c>
      <c r="G54" s="20">
        <v>0.60800841801178307</v>
      </c>
      <c r="H54" s="20">
        <v>0</v>
      </c>
      <c r="I54" s="20">
        <v>9.1823208213157373E-4</v>
      </c>
      <c r="J54" s="20">
        <v>8.5328007235416226E-3</v>
      </c>
      <c r="K54" s="20">
        <v>9.0995983392138047E-2</v>
      </c>
      <c r="L54" s="20">
        <v>0</v>
      </c>
    </row>
    <row r="55" spans="1:12">
      <c r="A55" s="2" t="s">
        <v>395</v>
      </c>
      <c r="B55" s="3" t="s">
        <v>396</v>
      </c>
      <c r="D55" s="20">
        <v>0.13301688286565816</v>
      </c>
      <c r="E55" s="20">
        <v>0.60209941512639276</v>
      </c>
      <c r="F55" s="20">
        <v>0.38316072046154787</v>
      </c>
      <c r="G55" s="20">
        <v>8.2656409589216967E-2</v>
      </c>
      <c r="H55" s="20">
        <v>0</v>
      </c>
      <c r="I55" s="20">
        <v>0.13628228507562798</v>
      </c>
      <c r="J55" s="20">
        <v>1.1357068328186404E-3</v>
      </c>
      <c r="K55" s="20">
        <v>0.26374799517513031</v>
      </c>
      <c r="L55" s="20">
        <v>0</v>
      </c>
    </row>
    <row r="56" spans="1:12">
      <c r="A56" s="2" t="s">
        <v>397</v>
      </c>
      <c r="B56" s="3" t="s">
        <v>398</v>
      </c>
      <c r="D56" s="20">
        <v>0.60380106332660644</v>
      </c>
      <c r="E56" s="20">
        <v>0.31888216496687927</v>
      </c>
      <c r="F56" s="20">
        <v>0.25442986552831293</v>
      </c>
      <c r="G56" s="20">
        <v>4.8335213780916514E-2</v>
      </c>
      <c r="H56" s="20">
        <v>0</v>
      </c>
      <c r="I56" s="20">
        <v>1.6117085657649854E-2</v>
      </c>
      <c r="J56" s="20">
        <v>6.554549904711918E-4</v>
      </c>
      <c r="K56" s="20">
        <v>7.6661316716043315E-2</v>
      </c>
      <c r="L56" s="20">
        <v>0</v>
      </c>
    </row>
    <row r="57" spans="1:12">
      <c r="A57" s="2" t="s">
        <v>399</v>
      </c>
      <c r="B57" s="3" t="s">
        <v>400</v>
      </c>
      <c r="D57" s="20">
        <v>0.76654946435642302</v>
      </c>
      <c r="E57" s="20">
        <v>0.16634810636134623</v>
      </c>
      <c r="F57" s="20">
        <v>0.1133481403870516</v>
      </c>
      <c r="G57" s="20">
        <v>2.3873162530593402E-2</v>
      </c>
      <c r="H57" s="20">
        <v>0</v>
      </c>
      <c r="I57" s="20">
        <v>2.9126803443701232E-2</v>
      </c>
      <c r="J57" s="20">
        <v>3.2609334810316371E-4</v>
      </c>
      <c r="K57" s="20">
        <v>6.6776335934127698E-2</v>
      </c>
      <c r="L57" s="20">
        <v>0</v>
      </c>
    </row>
    <row r="58" spans="1:12">
      <c r="A58" s="2" t="s">
        <v>297</v>
      </c>
      <c r="B58" s="3" t="s">
        <v>298</v>
      </c>
      <c r="D58" s="20">
        <v>0.93160115406427835</v>
      </c>
      <c r="E58" s="20">
        <v>6.0463463974118205E-2</v>
      </c>
      <c r="F58" s="20">
        <v>9.8788009028182543E-4</v>
      </c>
      <c r="G58" s="20">
        <v>3.108850143214345E-4</v>
      </c>
      <c r="H58" s="20">
        <v>0</v>
      </c>
      <c r="I58" s="20">
        <v>5.9164698869514948E-2</v>
      </c>
      <c r="J58" s="20">
        <v>1.9261056590789462E-5</v>
      </c>
      <c r="K58" s="20">
        <v>7.9161209050127024E-3</v>
      </c>
      <c r="L58" s="20">
        <v>0</v>
      </c>
    </row>
    <row r="59" spans="1:12">
      <c r="A59" s="2" t="s">
        <v>401</v>
      </c>
      <c r="B59" s="3" t="s">
        <v>402</v>
      </c>
      <c r="D59" s="20">
        <v>0.90905718872659524</v>
      </c>
      <c r="E59" s="20">
        <v>6.4401129574662597E-2</v>
      </c>
      <c r="F59" s="20">
        <v>4.3257898812105726E-2</v>
      </c>
      <c r="G59" s="20">
        <v>9.1613816537467457E-3</v>
      </c>
      <c r="H59" s="20">
        <v>0</v>
      </c>
      <c r="I59" s="20">
        <v>1.1981849108810127E-2</v>
      </c>
      <c r="J59" s="20">
        <v>1.252832662554488E-4</v>
      </c>
      <c r="K59" s="20">
        <v>2.6416398432486783E-2</v>
      </c>
      <c r="L59" s="20">
        <v>0</v>
      </c>
    </row>
    <row r="60" spans="1:12">
      <c r="A60" s="2" t="s">
        <v>299</v>
      </c>
      <c r="B60" s="3" t="s">
        <v>300</v>
      </c>
      <c r="D60" s="20">
        <v>0.99804013459743335</v>
      </c>
      <c r="E60" s="20">
        <v>1.3154947626587519E-3</v>
      </c>
      <c r="F60" s="20">
        <v>7.083081207173988E-4</v>
      </c>
      <c r="G60" s="20">
        <v>1.5941081287541096E-4</v>
      </c>
      <c r="H60" s="20">
        <v>0</v>
      </c>
      <c r="I60" s="20">
        <v>4.4777582906594207E-4</v>
      </c>
      <c r="J60" s="20">
        <v>2.2296297262642364E-6</v>
      </c>
      <c r="K60" s="20">
        <v>6.4214101018139548E-4</v>
      </c>
      <c r="L60" s="20">
        <v>0</v>
      </c>
    </row>
    <row r="61" spans="1:12">
      <c r="A61" s="2" t="s">
        <v>403</v>
      </c>
      <c r="B61" s="3" t="s">
        <v>404</v>
      </c>
      <c r="D61" s="20">
        <v>4.4714397062095578E-44</v>
      </c>
      <c r="E61" s="20">
        <v>0.6640707341361245</v>
      </c>
      <c r="F61" s="20">
        <v>0.30868931277602646</v>
      </c>
      <c r="G61" s="20">
        <v>7.141955654696952E-2</v>
      </c>
      <c r="H61" s="20">
        <v>0</v>
      </c>
      <c r="I61" s="20">
        <v>0.28396186481312852</v>
      </c>
      <c r="J61" s="20">
        <v>1.0179821932569018E-3</v>
      </c>
      <c r="K61" s="20">
        <v>0.33491128367061873</v>
      </c>
      <c r="L61" s="20">
        <v>0</v>
      </c>
    </row>
    <row r="62" spans="1:12">
      <c r="A62" s="2" t="s">
        <v>405</v>
      </c>
      <c r="B62" s="3" t="s">
        <v>406</v>
      </c>
      <c r="D62" s="20">
        <v>1.0763707515575468E-7</v>
      </c>
      <c r="E62" s="20">
        <v>0.87795955676919002</v>
      </c>
      <c r="F62" s="20">
        <v>0.56122382966544726</v>
      </c>
      <c r="G62" s="20">
        <v>0.31284675767966613</v>
      </c>
      <c r="H62" s="20">
        <v>0</v>
      </c>
      <c r="I62" s="20">
        <v>3.8889694240766526E-3</v>
      </c>
      <c r="J62" s="20">
        <v>4.3219523311058975E-3</v>
      </c>
      <c r="K62" s="20">
        <v>0.11771838326262893</v>
      </c>
      <c r="L62" s="20">
        <v>0</v>
      </c>
    </row>
    <row r="63" spans="1:12">
      <c r="A63" s="2" t="s">
        <v>407</v>
      </c>
      <c r="B63" s="3" t="s">
        <v>408</v>
      </c>
      <c r="D63" s="20">
        <v>2.6250964576002738E-5</v>
      </c>
      <c r="E63" s="20">
        <v>0.92149472947347655</v>
      </c>
      <c r="F63" s="20">
        <v>0.17551711867308409</v>
      </c>
      <c r="G63" s="20">
        <v>0.7456156863642307</v>
      </c>
      <c r="H63" s="20">
        <v>0</v>
      </c>
      <c r="I63" s="20">
        <v>3.6192443616178807E-4</v>
      </c>
      <c r="J63" s="20">
        <v>1.0554329294002305E-2</v>
      </c>
      <c r="K63" s="20">
        <v>6.7924690267945037E-2</v>
      </c>
      <c r="L63" s="20">
        <v>0</v>
      </c>
    </row>
    <row r="64" spans="1:12">
      <c r="A64" s="2" t="s">
        <v>409</v>
      </c>
      <c r="B64" s="3" t="s">
        <v>410</v>
      </c>
      <c r="D64" s="20">
        <v>3.268443158653618E-6</v>
      </c>
      <c r="E64" s="20">
        <v>0.94189694073669494</v>
      </c>
      <c r="F64" s="20">
        <v>9.510758442680782E-2</v>
      </c>
      <c r="G64" s="20">
        <v>0.84666324513342672</v>
      </c>
      <c r="H64" s="20">
        <v>0</v>
      </c>
      <c r="I64" s="20">
        <v>1.2611117646036738E-4</v>
      </c>
      <c r="J64" s="20">
        <v>1.2092852003737871E-2</v>
      </c>
      <c r="K64" s="20">
        <v>4.6006938816408709E-2</v>
      </c>
      <c r="L64" s="20">
        <v>0</v>
      </c>
    </row>
    <row r="65" spans="1:12">
      <c r="A65" s="2" t="s">
        <v>301</v>
      </c>
      <c r="B65" s="3" t="s">
        <v>302</v>
      </c>
      <c r="D65" s="20">
        <v>4.0548388081752613E-7</v>
      </c>
      <c r="E65" s="20">
        <v>0.95917630162272893</v>
      </c>
      <c r="F65" s="20">
        <v>4.4304496900512587E-2</v>
      </c>
      <c r="G65" s="20">
        <v>0.91483624926768092</v>
      </c>
      <c r="H65" s="20">
        <v>0</v>
      </c>
      <c r="I65" s="20">
        <v>3.5555454535428197E-5</v>
      </c>
      <c r="J65" s="20">
        <v>1.3201237287044636E-2</v>
      </c>
      <c r="K65" s="20">
        <v>2.7622055606345522E-2</v>
      </c>
      <c r="L65" s="20">
        <v>0</v>
      </c>
    </row>
    <row r="66" spans="1:12">
      <c r="A66" s="2" t="s">
        <v>303</v>
      </c>
      <c r="B66" s="3" t="s">
        <v>304</v>
      </c>
      <c r="D66" s="20">
        <v>3.9058982803811217E-13</v>
      </c>
      <c r="E66" s="20">
        <v>0.95018676950035463</v>
      </c>
      <c r="F66" s="20">
        <v>6.8880318061479623E-2</v>
      </c>
      <c r="G66" s="20">
        <v>0.88123289281947126</v>
      </c>
      <c r="H66" s="20">
        <v>0</v>
      </c>
      <c r="I66" s="20">
        <v>7.355861940373371E-5</v>
      </c>
      <c r="J66" s="20">
        <v>1.2642308828348259E-2</v>
      </c>
      <c r="K66" s="20">
        <v>3.7170921670906736E-2</v>
      </c>
      <c r="L66" s="20">
        <v>0</v>
      </c>
    </row>
    <row r="67" spans="1:12">
      <c r="A67" s="2" t="s">
        <v>411</v>
      </c>
      <c r="B67" s="3" t="s">
        <v>412</v>
      </c>
      <c r="D67" s="20">
        <v>4.6563812809298864E-3</v>
      </c>
      <c r="E67" s="20">
        <v>0.84460717386932604</v>
      </c>
      <c r="F67" s="20">
        <v>2.5323442830461975E-2</v>
      </c>
      <c r="G67" s="20">
        <v>7.6105896284265635E-3</v>
      </c>
      <c r="H67" s="20">
        <v>0</v>
      </c>
      <c r="I67" s="20">
        <v>0.81167314141043756</v>
      </c>
      <c r="J67" s="20">
        <v>3.0766410494464393E-4</v>
      </c>
      <c r="K67" s="20">
        <v>0.15042878074479943</v>
      </c>
      <c r="L67" s="20">
        <v>0</v>
      </c>
    </row>
    <row r="68" spans="1:12">
      <c r="A68" s="2" t="s">
        <v>413</v>
      </c>
      <c r="B68" s="3" t="s">
        <v>414</v>
      </c>
      <c r="D68" s="20">
        <v>9.9904856069512708E-3</v>
      </c>
      <c r="E68" s="20">
        <v>0.79713721390341075</v>
      </c>
      <c r="F68" s="20">
        <v>4.4244655034508175E-2</v>
      </c>
      <c r="G68" s="20">
        <v>1.2675245179687343E-2</v>
      </c>
      <c r="H68" s="20">
        <v>0</v>
      </c>
      <c r="I68" s="20">
        <v>0.74021731368921517</v>
      </c>
      <c r="J68" s="20">
        <v>3.5533867885912681E-4</v>
      </c>
      <c r="K68" s="20">
        <v>0.19251696181077876</v>
      </c>
      <c r="L68" s="20">
        <v>0</v>
      </c>
    </row>
    <row r="69" spans="1:12">
      <c r="A69" s="2" t="s">
        <v>415</v>
      </c>
      <c r="B69" s="3" t="s">
        <v>416</v>
      </c>
      <c r="D69" s="20">
        <v>1.2524491133806227E-3</v>
      </c>
      <c r="E69" s="20">
        <v>0.88994760326623346</v>
      </c>
      <c r="F69" s="20">
        <v>0.3623550385278807</v>
      </c>
      <c r="G69" s="20">
        <v>0.52617457616811192</v>
      </c>
      <c r="H69" s="20">
        <v>0</v>
      </c>
      <c r="I69" s="20">
        <v>1.4179885702408476E-3</v>
      </c>
      <c r="J69" s="20">
        <v>7.3521809975948546E-3</v>
      </c>
      <c r="K69" s="20">
        <v>0.10144776662279102</v>
      </c>
      <c r="L69" s="20">
        <v>0</v>
      </c>
    </row>
    <row r="70" spans="1:12">
      <c r="A70" s="2" t="s">
        <v>417</v>
      </c>
      <c r="B70" s="3" t="s">
        <v>418</v>
      </c>
      <c r="D70" s="20">
        <v>3.1891041088560638E-3</v>
      </c>
      <c r="E70" s="20">
        <v>0.83480682682233809</v>
      </c>
      <c r="F70" s="20">
        <v>0.68413673707068678</v>
      </c>
      <c r="G70" s="20">
        <v>0.1250369776013657</v>
      </c>
      <c r="H70" s="20">
        <v>0</v>
      </c>
      <c r="I70" s="20">
        <v>2.5633112150285617E-2</v>
      </c>
      <c r="J70" s="20">
        <v>1.6975817237262101E-3</v>
      </c>
      <c r="K70" s="20">
        <v>0.16030648734507971</v>
      </c>
      <c r="L70" s="20">
        <v>0</v>
      </c>
    </row>
    <row r="71" spans="1:12">
      <c r="A71" s="2" t="s">
        <v>419</v>
      </c>
      <c r="B71" s="3" t="s">
        <v>420</v>
      </c>
      <c r="D71" s="20">
        <v>2.4525070580565297E-2</v>
      </c>
      <c r="E71" s="20">
        <v>0.79228499841059485</v>
      </c>
      <c r="F71" s="20">
        <v>4.0057558979073822E-2</v>
      </c>
      <c r="G71" s="20">
        <v>1.1560590987623935E-2</v>
      </c>
      <c r="H71" s="20">
        <v>0</v>
      </c>
      <c r="I71" s="20">
        <v>0.74066684844389707</v>
      </c>
      <c r="J71" s="20">
        <v>3.4089850782241624E-4</v>
      </c>
      <c r="K71" s="20">
        <v>0.1828490325010175</v>
      </c>
      <c r="L71" s="20">
        <v>0</v>
      </c>
    </row>
    <row r="72" spans="1:12">
      <c r="A72" s="2" t="s">
        <v>421</v>
      </c>
      <c r="B72" s="3" t="s">
        <v>422</v>
      </c>
      <c r="D72" s="20">
        <v>1.3364268010668303E-2</v>
      </c>
      <c r="E72" s="20">
        <v>0.81591411825747451</v>
      </c>
      <c r="F72" s="20">
        <v>0.66346709917522173</v>
      </c>
      <c r="G72" s="20">
        <v>0.12283296827973492</v>
      </c>
      <c r="H72" s="20">
        <v>0</v>
      </c>
      <c r="I72" s="20">
        <v>2.9614050802517822E-2</v>
      </c>
      <c r="J72" s="20">
        <v>1.6667860716599885E-3</v>
      </c>
      <c r="K72" s="20">
        <v>0.16905482766019736</v>
      </c>
      <c r="L72" s="20">
        <v>0</v>
      </c>
    </row>
    <row r="73" spans="1:12">
      <c r="A73" s="2" t="s">
        <v>423</v>
      </c>
      <c r="B73" s="3" t="s">
        <v>424</v>
      </c>
      <c r="D73" s="20">
        <v>1.3020810139854551E-2</v>
      </c>
      <c r="E73" s="20">
        <v>0.65699201600529711</v>
      </c>
      <c r="F73" s="20">
        <v>0.32189351053085236</v>
      </c>
      <c r="G73" s="20">
        <v>7.3791744343559798E-2</v>
      </c>
      <c r="H73" s="20">
        <v>0</v>
      </c>
      <c r="I73" s="20">
        <v>0.26130676113088491</v>
      </c>
      <c r="J73" s="20">
        <v>1.0443569466540568E-3</v>
      </c>
      <c r="K73" s="20">
        <v>0.32894281690819444</v>
      </c>
      <c r="L73" s="20">
        <v>0</v>
      </c>
    </row>
    <row r="74" spans="1:12">
      <c r="A74" s="2" t="s">
        <v>425</v>
      </c>
      <c r="B74" s="3" t="s">
        <v>426</v>
      </c>
      <c r="D74" s="20">
        <v>4.9209772964252342E-3</v>
      </c>
      <c r="E74" s="20">
        <v>0.83040823013848786</v>
      </c>
      <c r="F74" s="20">
        <v>0.67908724949665689</v>
      </c>
      <c r="G74" s="20">
        <v>0.12457219921920178</v>
      </c>
      <c r="H74" s="20">
        <v>0</v>
      </c>
      <c r="I74" s="20">
        <v>2.6748781422629174E-2</v>
      </c>
      <c r="J74" s="20">
        <v>1.6909994503544799E-3</v>
      </c>
      <c r="K74" s="20">
        <v>0.16297979311473246</v>
      </c>
      <c r="L74" s="20">
        <v>0</v>
      </c>
    </row>
    <row r="75" spans="1:12">
      <c r="A75" s="2" t="s">
        <v>427</v>
      </c>
      <c r="B75" s="3" t="s">
        <v>428</v>
      </c>
      <c r="D75" s="20">
        <v>5.5014071631420771E-10</v>
      </c>
      <c r="E75" s="20">
        <v>0.99884094736584972</v>
      </c>
      <c r="F75" s="20">
        <v>0.99414108146588298</v>
      </c>
      <c r="G75" s="20">
        <v>3.8361734020457062E-4</v>
      </c>
      <c r="H75" s="20">
        <v>0</v>
      </c>
      <c r="I75" s="20">
        <v>4.3162485597621454E-3</v>
      </c>
      <c r="J75" s="20">
        <v>1.0755281656125092E-3</v>
      </c>
      <c r="K75" s="20">
        <v>8.3523918397065055E-5</v>
      </c>
      <c r="L75" s="20">
        <v>0</v>
      </c>
    </row>
    <row r="76" spans="1:12">
      <c r="A76" s="2" t="s">
        <v>429</v>
      </c>
      <c r="B76" s="3" t="s">
        <v>430</v>
      </c>
      <c r="D76" s="20">
        <v>1.3818910014717575E-11</v>
      </c>
      <c r="E76" s="20">
        <v>0.99884094790154976</v>
      </c>
      <c r="F76" s="20">
        <v>0.99414108199906237</v>
      </c>
      <c r="G76" s="20">
        <v>3.83617340410313E-4</v>
      </c>
      <c r="H76" s="20">
        <v>0</v>
      </c>
      <c r="I76" s="20">
        <v>4.3162485620770437E-3</v>
      </c>
      <c r="J76" s="20">
        <v>1.0755281661893382E-3</v>
      </c>
      <c r="K76" s="20">
        <v>8.3523918441860738E-5</v>
      </c>
      <c r="L76" s="20">
        <v>0</v>
      </c>
    </row>
    <row r="77" spans="1:12">
      <c r="A77" s="2" t="s">
        <v>431</v>
      </c>
      <c r="B77" s="3" t="s">
        <v>432</v>
      </c>
      <c r="D77" s="20">
        <v>2.3746651758213829E-2</v>
      </c>
      <c r="E77" s="20">
        <v>0.71078164505828312</v>
      </c>
      <c r="F77" s="20">
        <v>0.50521542098199235</v>
      </c>
      <c r="G77" s="20">
        <v>0.10446532354480019</v>
      </c>
      <c r="H77" s="20">
        <v>0</v>
      </c>
      <c r="I77" s="20">
        <v>0.10110090053149055</v>
      </c>
      <c r="J77" s="20">
        <v>1.422546836130519E-3</v>
      </c>
      <c r="K77" s="20">
        <v>0.26404915634737236</v>
      </c>
      <c r="L77" s="20">
        <v>0</v>
      </c>
    </row>
    <row r="78" spans="1:12">
      <c r="A78" s="2" t="s">
        <v>433</v>
      </c>
      <c r="B78" s="3" t="s">
        <v>434</v>
      </c>
      <c r="D78" s="20">
        <v>3.3318502481071641E-2</v>
      </c>
      <c r="E78" s="20">
        <v>0.68351956709979711</v>
      </c>
      <c r="F78" s="20">
        <v>0.12698712430252801</v>
      </c>
      <c r="G78" s="20">
        <v>3.2813703067230582E-2</v>
      </c>
      <c r="H78" s="20">
        <v>0</v>
      </c>
      <c r="I78" s="20">
        <v>0.52371873973003857</v>
      </c>
      <c r="J78" s="20">
        <v>5.6471748706857239E-4</v>
      </c>
      <c r="K78" s="20">
        <v>0.28259721293206264</v>
      </c>
      <c r="L78" s="20">
        <v>0</v>
      </c>
    </row>
    <row r="79" spans="1:12">
      <c r="A79" s="2" t="s">
        <v>435</v>
      </c>
      <c r="B79" s="3" t="s">
        <v>436</v>
      </c>
      <c r="D79" s="20">
        <v>7.7921493654644668E-3</v>
      </c>
      <c r="E79" s="20">
        <v>0.66134358468341214</v>
      </c>
      <c r="F79" s="20">
        <v>0.23655464685645633</v>
      </c>
      <c r="G79" s="20">
        <v>5.6888834860373487E-2</v>
      </c>
      <c r="H79" s="20">
        <v>0</v>
      </c>
      <c r="I79" s="20">
        <v>0.36790010296658238</v>
      </c>
      <c r="J79" s="20">
        <v>8.4471454031564768E-4</v>
      </c>
      <c r="K79" s="20">
        <v>0.33001955141080769</v>
      </c>
      <c r="L79" s="20">
        <v>0</v>
      </c>
    </row>
    <row r="80" spans="1:12">
      <c r="A80" s="2" t="s">
        <v>437</v>
      </c>
      <c r="B80" s="3" t="s">
        <v>438</v>
      </c>
      <c r="D80" s="20">
        <v>1.9677887184098602E-10</v>
      </c>
      <c r="E80" s="20">
        <v>0.99781223385909257</v>
      </c>
      <c r="F80" s="20">
        <v>0.99415178941517879</v>
      </c>
      <c r="G80" s="20">
        <v>7.3689041516468955E-4</v>
      </c>
      <c r="H80" s="20">
        <v>0</v>
      </c>
      <c r="I80" s="20">
        <v>2.9235540287491355E-3</v>
      </c>
      <c r="J80" s="20">
        <v>2.0860672121060034E-3</v>
      </c>
      <c r="K80" s="20">
        <v>1.0169873202267773E-4</v>
      </c>
      <c r="L80" s="20">
        <v>0</v>
      </c>
    </row>
    <row r="81" spans="1:12">
      <c r="A81" s="2" t="s">
        <v>440</v>
      </c>
      <c r="B81" s="3" t="s">
        <v>441</v>
      </c>
      <c r="D81" s="20">
        <v>1.8484778181503549E-13</v>
      </c>
      <c r="E81" s="20">
        <v>0.97076550564681219</v>
      </c>
      <c r="F81" s="20">
        <v>9.1261679791016621E-4</v>
      </c>
      <c r="G81" s="20">
        <v>3.5496375802826572E-4</v>
      </c>
      <c r="H81" s="20">
        <v>0</v>
      </c>
      <c r="I81" s="20">
        <v>0.96949792509087374</v>
      </c>
      <c r="J81" s="20">
        <v>2.5461025699380683E-4</v>
      </c>
      <c r="K81" s="20">
        <v>2.8979884096009101E-2</v>
      </c>
      <c r="L81" s="20">
        <v>0</v>
      </c>
    </row>
    <row r="82" spans="1:12">
      <c r="A82" s="2" t="s">
        <v>442</v>
      </c>
      <c r="B82" s="3" t="s">
        <v>443</v>
      </c>
      <c r="D82" s="20">
        <v>8.2445325954668531E-5</v>
      </c>
      <c r="E82" s="20">
        <v>0.78718354939138235</v>
      </c>
      <c r="F82" s="20">
        <v>5.500982384792949E-2</v>
      </c>
      <c r="G82" s="20">
        <v>1.5471620694989328E-2</v>
      </c>
      <c r="H82" s="20">
        <v>0</v>
      </c>
      <c r="I82" s="20">
        <v>0.71670210484846353</v>
      </c>
      <c r="J82" s="20">
        <v>3.858755946621484E-4</v>
      </c>
      <c r="K82" s="20">
        <v>0.2123481296880009</v>
      </c>
      <c r="L82" s="20">
        <v>0</v>
      </c>
    </row>
    <row r="83" spans="1:12">
      <c r="A83" s="2" t="s">
        <v>444</v>
      </c>
      <c r="B83" s="3" t="s">
        <v>445</v>
      </c>
      <c r="D83" s="20">
        <v>5.0580595978448812E-4</v>
      </c>
      <c r="E83" s="20">
        <v>0.71071792469987671</v>
      </c>
      <c r="F83" s="20">
        <v>0.48201234039514335</v>
      </c>
      <c r="G83" s="20">
        <v>0.10170767169078138</v>
      </c>
      <c r="H83" s="20">
        <v>0</v>
      </c>
      <c r="I83" s="20">
        <v>0.12699791261395199</v>
      </c>
      <c r="J83" s="20">
        <v>1.3897827269058873E-3</v>
      </c>
      <c r="K83" s="20">
        <v>0.28738648661343291</v>
      </c>
      <c r="L83" s="20">
        <v>0</v>
      </c>
    </row>
    <row r="84" spans="1:12">
      <c r="A84" s="2" t="s">
        <v>446</v>
      </c>
      <c r="B84" s="3" t="s">
        <v>447</v>
      </c>
      <c r="D84" s="20">
        <v>5.6680822219544518E-15</v>
      </c>
      <c r="E84" s="20">
        <v>0.93763758390161178</v>
      </c>
      <c r="F84" s="20">
        <v>4.0842315555733788E-3</v>
      </c>
      <c r="G84" s="20">
        <v>1.4184234801038486E-3</v>
      </c>
      <c r="H84" s="20">
        <v>0</v>
      </c>
      <c r="I84" s="20">
        <v>0.93213492886593452</v>
      </c>
      <c r="J84" s="20">
        <v>2.5856350040892254E-4</v>
      </c>
      <c r="K84" s="20">
        <v>6.210385259797354E-2</v>
      </c>
      <c r="L84" s="20">
        <v>0</v>
      </c>
    </row>
    <row r="85" spans="1:12">
      <c r="A85" s="2" t="s">
        <v>448</v>
      </c>
      <c r="B85" s="3" t="s">
        <v>449</v>
      </c>
      <c r="D85" s="20">
        <v>3.9870999916527934E-8</v>
      </c>
      <c r="E85" s="20">
        <v>0.98765669537592593</v>
      </c>
      <c r="F85" s="20">
        <v>1.6762212508672009E-4</v>
      </c>
      <c r="G85" s="20">
        <v>7.396510832712181E-5</v>
      </c>
      <c r="H85" s="20">
        <v>0</v>
      </c>
      <c r="I85" s="20">
        <v>0.9874151081425121</v>
      </c>
      <c r="J85" s="20">
        <v>2.5568011127775496E-4</v>
      </c>
      <c r="K85" s="20">
        <v>1.2087584641796148E-2</v>
      </c>
      <c r="L85" s="20">
        <v>0</v>
      </c>
    </row>
    <row r="86" spans="1:12">
      <c r="A86" s="2" t="s">
        <v>450</v>
      </c>
      <c r="B86" s="3" t="s">
        <v>451</v>
      </c>
      <c r="D86" s="20">
        <v>1.4260199293310512E-8</v>
      </c>
      <c r="E86" s="20">
        <v>0.93912287295866403</v>
      </c>
      <c r="F86" s="20">
        <v>3.892241778181444E-3</v>
      </c>
      <c r="G86" s="20">
        <v>1.3567360514179232E-3</v>
      </c>
      <c r="H86" s="20">
        <v>0</v>
      </c>
      <c r="I86" s="20">
        <v>0.93387389512906471</v>
      </c>
      <c r="J86" s="20">
        <v>2.5822052447633517E-4</v>
      </c>
      <c r="K86" s="20">
        <v>6.0618892256660256E-2</v>
      </c>
      <c r="L86" s="20">
        <v>0</v>
      </c>
    </row>
    <row r="87" spans="1:12">
      <c r="A87" s="2" t="s">
        <v>452</v>
      </c>
      <c r="B87" s="3" t="s">
        <v>453</v>
      </c>
      <c r="D87" s="20">
        <v>4.8939238513883668E-8</v>
      </c>
      <c r="E87" s="20">
        <v>0.91323355650433624</v>
      </c>
      <c r="F87" s="20">
        <v>0.21603863390717259</v>
      </c>
      <c r="G87" s="20">
        <v>0.69666978894742659</v>
      </c>
      <c r="H87" s="20">
        <v>0</v>
      </c>
      <c r="I87" s="20">
        <v>5.2513364973701918E-4</v>
      </c>
      <c r="J87" s="20">
        <v>9.8286220807184427E-3</v>
      </c>
      <c r="K87" s="20">
        <v>7.6937772475706656E-2</v>
      </c>
      <c r="L87" s="20">
        <v>0</v>
      </c>
    </row>
    <row r="88" spans="1:12">
      <c r="A88" s="2" t="s">
        <v>454</v>
      </c>
      <c r="B88" s="3" t="s">
        <v>455</v>
      </c>
      <c r="D88" s="20">
        <v>3.9892992786892426E-5</v>
      </c>
      <c r="E88" s="20">
        <v>0.72968939455480364</v>
      </c>
      <c r="F88" s="20">
        <v>0.10251108574162549</v>
      </c>
      <c r="G88" s="20">
        <v>2.7181059968291597E-2</v>
      </c>
      <c r="H88" s="20">
        <v>0</v>
      </c>
      <c r="I88" s="20">
        <v>0.59999724884488659</v>
      </c>
      <c r="J88" s="20">
        <v>5.0980164535918736E-4</v>
      </c>
      <c r="K88" s="20">
        <v>0.26976091080705028</v>
      </c>
      <c r="L88" s="20">
        <v>0</v>
      </c>
    </row>
    <row r="89" spans="1:12">
      <c r="A89" s="2" t="s">
        <v>456</v>
      </c>
      <c r="B89" s="3" t="s">
        <v>457</v>
      </c>
      <c r="D89" s="20">
        <v>2.7186357399031955E-17</v>
      </c>
      <c r="E89" s="20">
        <v>0.77632385649708835</v>
      </c>
      <c r="F89" s="20">
        <v>6.2147725214465481E-2</v>
      </c>
      <c r="G89" s="20">
        <v>1.7287046182219292E-2</v>
      </c>
      <c r="H89" s="20">
        <v>0</v>
      </c>
      <c r="I89" s="20">
        <v>0.69688908510040359</v>
      </c>
      <c r="J89" s="20">
        <v>4.0457529949884587E-4</v>
      </c>
      <c r="K89" s="20">
        <v>0.22327156820341271</v>
      </c>
      <c r="L89" s="20">
        <v>0</v>
      </c>
    </row>
    <row r="90" spans="1:12">
      <c r="A90" s="2" t="s">
        <v>458</v>
      </c>
      <c r="B90" s="3" t="s">
        <v>459</v>
      </c>
      <c r="D90" s="20">
        <v>4.201235952603706E-29</v>
      </c>
      <c r="E90" s="20">
        <v>0.88269775095498515</v>
      </c>
      <c r="F90" s="20">
        <v>1.4779212317981301E-2</v>
      </c>
      <c r="G90" s="20">
        <v>4.6424458161941594E-3</v>
      </c>
      <c r="H90" s="20">
        <v>0</v>
      </c>
      <c r="I90" s="20">
        <v>0.86327609282080964</v>
      </c>
      <c r="J90" s="20">
        <v>2.8241599582698831E-4</v>
      </c>
      <c r="K90" s="20">
        <v>0.11701983304918782</v>
      </c>
      <c r="L90" s="20">
        <v>0</v>
      </c>
    </row>
    <row r="91" spans="1:12">
      <c r="A91" s="2" t="s">
        <v>460</v>
      </c>
      <c r="B91" s="3" t="s">
        <v>461</v>
      </c>
      <c r="D91" s="20">
        <v>5.0341950648601668E-8</v>
      </c>
      <c r="E91" s="20">
        <v>0.87862272991207457</v>
      </c>
      <c r="F91" s="20">
        <v>0.53223600972383545</v>
      </c>
      <c r="G91" s="20">
        <v>0.34300449374909031</v>
      </c>
      <c r="H91" s="20">
        <v>0</v>
      </c>
      <c r="I91" s="20">
        <v>3.3822264391488274E-3</v>
      </c>
      <c r="J91" s="20">
        <v>4.7466383976391326E-3</v>
      </c>
      <c r="K91" s="20">
        <v>0.11663058134833554</v>
      </c>
      <c r="L91" s="20">
        <v>0</v>
      </c>
    </row>
    <row r="92" spans="1:12">
      <c r="A92" s="2" t="s">
        <v>462</v>
      </c>
      <c r="B92" s="3" t="s">
        <v>463</v>
      </c>
      <c r="D92" s="20">
        <v>4.4365010939509829E-9</v>
      </c>
      <c r="E92" s="20">
        <v>0.6860438503239179</v>
      </c>
      <c r="F92" s="20">
        <v>0.417748412156348</v>
      </c>
      <c r="G92" s="20">
        <v>9.1287300219466058E-2</v>
      </c>
      <c r="H92" s="20">
        <v>0</v>
      </c>
      <c r="I92" s="20">
        <v>0.17700813794810388</v>
      </c>
      <c r="J92" s="20">
        <v>1.2596642990666176E-3</v>
      </c>
      <c r="K92" s="20">
        <v>0.31269648094051433</v>
      </c>
      <c r="L92" s="20">
        <v>0</v>
      </c>
    </row>
    <row r="93" spans="1:12">
      <c r="A93" s="2" t="s">
        <v>464</v>
      </c>
      <c r="B93" s="3" t="s">
        <v>465</v>
      </c>
      <c r="D93" s="20">
        <v>1.9694884761661691E-4</v>
      </c>
      <c r="E93" s="20">
        <v>0.80793226513318328</v>
      </c>
      <c r="F93" s="20">
        <v>0.64658802770820267</v>
      </c>
      <c r="G93" s="20">
        <v>0.12238359722475682</v>
      </c>
      <c r="H93" s="20">
        <v>0</v>
      </c>
      <c r="I93" s="20">
        <v>3.8960640200223752E-2</v>
      </c>
      <c r="J93" s="20">
        <v>1.659691402919009E-3</v>
      </c>
      <c r="K93" s="20">
        <v>0.19021109461628116</v>
      </c>
      <c r="L93" s="20">
        <v>0</v>
      </c>
    </row>
    <row r="94" spans="1:12">
      <c r="A94" s="2" t="s">
        <v>466</v>
      </c>
      <c r="B94" s="3" t="s">
        <v>467</v>
      </c>
      <c r="D94" s="20">
        <v>1.8338989064693701E-18</v>
      </c>
      <c r="E94" s="20">
        <v>0.99958650423394568</v>
      </c>
      <c r="F94" s="20">
        <v>0.10503200969331318</v>
      </c>
      <c r="G94" s="20">
        <v>1.3802576724311392E-5</v>
      </c>
      <c r="H94" s="20">
        <v>0</v>
      </c>
      <c r="I94" s="20">
        <v>0.89454069196390817</v>
      </c>
      <c r="J94" s="20">
        <v>2.5402804033976116E-4</v>
      </c>
      <c r="K94" s="20">
        <v>1.5946772571445299E-4</v>
      </c>
      <c r="L94" s="20">
        <v>0</v>
      </c>
    </row>
    <row r="95" spans="1:12">
      <c r="A95" s="2" t="s">
        <v>468</v>
      </c>
      <c r="B95" s="3" t="s">
        <v>469</v>
      </c>
      <c r="D95" s="20">
        <v>2.0222812186540576E-18</v>
      </c>
      <c r="E95" s="20">
        <v>0.88251252233506716</v>
      </c>
      <c r="F95" s="20">
        <v>0.70115778982324317</v>
      </c>
      <c r="G95" s="20">
        <v>0.17346478363746315</v>
      </c>
      <c r="H95" s="20">
        <v>0</v>
      </c>
      <c r="I95" s="20">
        <v>7.8899488743608501E-3</v>
      </c>
      <c r="J95" s="20">
        <v>2.3745897992805448E-3</v>
      </c>
      <c r="K95" s="20">
        <v>0.1151128878656521</v>
      </c>
      <c r="L95" s="20">
        <v>0</v>
      </c>
    </row>
    <row r="96" spans="1:12">
      <c r="A96" s="2" t="s">
        <v>470</v>
      </c>
      <c r="B96" s="163">
        <v>354656</v>
      </c>
      <c r="D96" s="20">
        <v>3.6851116245210512E-10</v>
      </c>
      <c r="E96" s="20">
        <v>0.96964770190107297</v>
      </c>
      <c r="F96" s="20">
        <v>9.8248258801286346E-4</v>
      </c>
      <c r="G96" s="20">
        <v>3.8003221918917314E-4</v>
      </c>
      <c r="H96" s="20">
        <v>0</v>
      </c>
      <c r="I96" s="20">
        <v>0.9682851870938709</v>
      </c>
      <c r="J96" s="20">
        <v>2.5461580113730138E-4</v>
      </c>
      <c r="K96" s="20">
        <v>3.0097681929278659E-2</v>
      </c>
      <c r="L96" s="20">
        <v>0</v>
      </c>
    </row>
    <row r="97" spans="1:12">
      <c r="A97" s="2" t="s">
        <v>472</v>
      </c>
      <c r="B97" s="3" t="s">
        <v>473</v>
      </c>
      <c r="D97" s="20">
        <v>5.6634750871224345E-10</v>
      </c>
      <c r="E97" s="20">
        <v>0.93688255560905931</v>
      </c>
      <c r="F97" s="20">
        <v>4.1836679621549818E-3</v>
      </c>
      <c r="G97" s="20">
        <v>1.4502830281918726E-3</v>
      </c>
      <c r="H97" s="20">
        <v>0</v>
      </c>
      <c r="I97" s="20">
        <v>0.93124860461871251</v>
      </c>
      <c r="J97" s="20">
        <v>2.5874378642838029E-4</v>
      </c>
      <c r="K97" s="20">
        <v>6.2858700038164739E-2</v>
      </c>
      <c r="L97" s="20">
        <v>0</v>
      </c>
    </row>
    <row r="98" spans="1:12">
      <c r="A98" s="2" t="s">
        <v>474</v>
      </c>
      <c r="B98" s="3" t="s">
        <v>475</v>
      </c>
      <c r="D98" s="20">
        <v>4.6757948325506136E-20</v>
      </c>
      <c r="E98" s="20">
        <v>0.85859439409261151</v>
      </c>
      <c r="F98" s="20">
        <v>0.71339434359291798</v>
      </c>
      <c r="G98" s="20">
        <v>0.12683094166825987</v>
      </c>
      <c r="H98" s="20">
        <v>0</v>
      </c>
      <c r="I98" s="20">
        <v>1.8369108831433667E-2</v>
      </c>
      <c r="J98" s="20">
        <v>1.7244412608503434E-3</v>
      </c>
      <c r="K98" s="20">
        <v>0.13968116464653813</v>
      </c>
      <c r="L98" s="20">
        <v>0</v>
      </c>
    </row>
    <row r="99" spans="1:12">
      <c r="A99" s="2" t="s">
        <v>476</v>
      </c>
      <c r="B99" s="3" t="s">
        <v>477</v>
      </c>
      <c r="D99" s="20">
        <v>1.7403309608438313E-7</v>
      </c>
      <c r="E99" s="20">
        <v>0.99137381754284715</v>
      </c>
      <c r="F99" s="20">
        <v>8.2509900108945338E-5</v>
      </c>
      <c r="G99" s="20">
        <v>3.8370867388453069E-5</v>
      </c>
      <c r="H99" s="20">
        <v>0</v>
      </c>
      <c r="I99" s="20">
        <v>0.99125293677534976</v>
      </c>
      <c r="J99" s="20">
        <v>2.5622448170311673E-4</v>
      </c>
      <c r="K99" s="20">
        <v>8.3697839423536851E-3</v>
      </c>
      <c r="L99" s="20">
        <v>0</v>
      </c>
    </row>
    <row r="100" spans="1:12">
      <c r="A100" s="2" t="s">
        <v>478</v>
      </c>
      <c r="B100" s="3" t="s">
        <v>479</v>
      </c>
      <c r="D100" s="20">
        <v>5.1079415172839161E-11</v>
      </c>
      <c r="E100" s="20">
        <v>0.67208079547489907</v>
      </c>
      <c r="F100" s="20">
        <v>0.2105329767824827</v>
      </c>
      <c r="G100" s="20">
        <v>5.147729129165976E-2</v>
      </c>
      <c r="H100" s="20">
        <v>0</v>
      </c>
      <c r="I100" s="20">
        <v>0.41007052740075667</v>
      </c>
      <c r="J100" s="20">
        <v>7.8322110511185776E-4</v>
      </c>
      <c r="K100" s="20">
        <v>0.32713598336890948</v>
      </c>
      <c r="L100" s="20">
        <v>0</v>
      </c>
    </row>
    <row r="101" spans="1:12">
      <c r="A101" s="2" t="s">
        <v>480</v>
      </c>
      <c r="B101" s="3" t="s">
        <v>481</v>
      </c>
      <c r="D101" s="20">
        <v>4.6823627723680711E-11</v>
      </c>
      <c r="E101" s="20">
        <v>0.98573102838850235</v>
      </c>
      <c r="F101" s="20">
        <v>2.2301766945492004E-4</v>
      </c>
      <c r="G101" s="20">
        <v>9.6346252843353217E-5</v>
      </c>
      <c r="H101" s="20">
        <v>0</v>
      </c>
      <c r="I101" s="20">
        <v>0.9854116644662041</v>
      </c>
      <c r="J101" s="20">
        <v>2.5544442238616984E-4</v>
      </c>
      <c r="K101" s="20">
        <v>1.4013527142287811E-2</v>
      </c>
      <c r="L101" s="20">
        <v>0</v>
      </c>
    </row>
    <row r="102" spans="1:12">
      <c r="A102" s="2" t="s">
        <v>482</v>
      </c>
      <c r="B102" s="3" t="s">
        <v>483</v>
      </c>
      <c r="D102" s="20">
        <v>2.9431770652660104E-27</v>
      </c>
      <c r="E102" s="20">
        <v>0.99618412206873896</v>
      </c>
      <c r="F102" s="20">
        <v>1.5918077158108372E-5</v>
      </c>
      <c r="G102" s="20">
        <v>8.3596127725373295E-6</v>
      </c>
      <c r="H102" s="20">
        <v>0</v>
      </c>
      <c r="I102" s="20">
        <v>0.99615984437880833</v>
      </c>
      <c r="J102" s="20">
        <v>2.5711718642147657E-4</v>
      </c>
      <c r="K102" s="20">
        <v>3.5587607448394061E-3</v>
      </c>
      <c r="L102" s="20">
        <v>0</v>
      </c>
    </row>
    <row r="103" spans="1:12">
      <c r="A103" s="2" t="s">
        <v>484</v>
      </c>
      <c r="B103" s="3" t="s">
        <v>485</v>
      </c>
      <c r="D103" s="20">
        <v>2.3474782833968219E-13</v>
      </c>
      <c r="E103" s="20">
        <v>0.9916400200965898</v>
      </c>
      <c r="F103" s="20">
        <v>7.7531073659788677E-5</v>
      </c>
      <c r="G103" s="20">
        <v>3.6221910533083736E-5</v>
      </c>
      <c r="H103" s="20">
        <v>0</v>
      </c>
      <c r="I103" s="20">
        <v>0.99152626711239689</v>
      </c>
      <c r="J103" s="20">
        <v>2.5626816478974585E-4</v>
      </c>
      <c r="K103" s="20">
        <v>8.1037117383857098E-3</v>
      </c>
      <c r="L103" s="20">
        <v>0</v>
      </c>
    </row>
    <row r="104" spans="1:12">
      <c r="A104" s="2" t="s">
        <v>486</v>
      </c>
      <c r="B104" s="3" t="s">
        <v>487</v>
      </c>
      <c r="D104" s="20">
        <v>2.8889234925812419E-9</v>
      </c>
      <c r="E104" s="20">
        <v>0.95428554192783988</v>
      </c>
      <c r="F104" s="20">
        <v>2.2029784837150914E-3</v>
      </c>
      <c r="G104" s="20">
        <v>8.0187340677429191E-4</v>
      </c>
      <c r="H104" s="20">
        <v>0</v>
      </c>
      <c r="I104" s="20">
        <v>0.9512806900373505</v>
      </c>
      <c r="J104" s="20">
        <v>2.5560555342954688E-4</v>
      </c>
      <c r="K104" s="20">
        <v>4.5458849629807001E-2</v>
      </c>
      <c r="L104" s="20">
        <v>0</v>
      </c>
    </row>
    <row r="105" spans="1:12">
      <c r="A105" s="2" t="s">
        <v>488</v>
      </c>
      <c r="B105" s="3" t="s">
        <v>489</v>
      </c>
      <c r="D105" s="20">
        <v>2.3406842725558324E-16</v>
      </c>
      <c r="E105" s="20">
        <v>0.99547502067615468</v>
      </c>
      <c r="F105" s="20">
        <v>2.2574443445388822E-5</v>
      </c>
      <c r="G105" s="20">
        <v>1.1553474424772745E-5</v>
      </c>
      <c r="H105" s="20">
        <v>0</v>
      </c>
      <c r="I105" s="20">
        <v>0.99544089275828451</v>
      </c>
      <c r="J105" s="20">
        <v>2.5697119546955676E-4</v>
      </c>
      <c r="K105" s="20">
        <v>4.2680081283756723E-3</v>
      </c>
      <c r="L105" s="20">
        <v>0</v>
      </c>
    </row>
    <row r="106" spans="1:12">
      <c r="A106" s="2" t="s">
        <v>490</v>
      </c>
      <c r="B106" s="3" t="s">
        <v>491</v>
      </c>
      <c r="D106" s="20">
        <v>1.2721675457556007E-8</v>
      </c>
      <c r="E106" s="20">
        <v>0.85467680313878569</v>
      </c>
      <c r="F106" s="20">
        <v>2.3271186515642386E-2</v>
      </c>
      <c r="G106" s="20">
        <v>7.0455367144783695E-3</v>
      </c>
      <c r="H106" s="20">
        <v>0</v>
      </c>
      <c r="I106" s="20">
        <v>0.82436007990866489</v>
      </c>
      <c r="J106" s="20">
        <v>3.0358079502588168E-4</v>
      </c>
      <c r="K106" s="20">
        <v>0.14501960334451292</v>
      </c>
      <c r="L106" s="20">
        <v>0</v>
      </c>
    </row>
    <row r="107" spans="1:12">
      <c r="A107" s="2" t="s">
        <v>492</v>
      </c>
      <c r="B107" s="3" t="s">
        <v>493</v>
      </c>
      <c r="D107" s="20">
        <v>2.1974074816821704E-16</v>
      </c>
      <c r="E107" s="20">
        <v>0.87523981599039413</v>
      </c>
      <c r="F107" s="20">
        <v>0.73415001795591162</v>
      </c>
      <c r="G107" s="20">
        <v>0.12743254866180159</v>
      </c>
      <c r="H107" s="20">
        <v>0</v>
      </c>
      <c r="I107" s="20">
        <v>1.3657249372680903E-2</v>
      </c>
      <c r="J107" s="20">
        <v>1.7352899641711213E-3</v>
      </c>
      <c r="K107" s="20">
        <v>0.12302489404543454</v>
      </c>
      <c r="L107" s="20">
        <v>0</v>
      </c>
    </row>
    <row r="108" spans="1:12">
      <c r="A108" s="2" t="s">
        <v>291</v>
      </c>
      <c r="B108" s="3" t="s">
        <v>494</v>
      </c>
      <c r="D108" s="20">
        <v>2.9409098077837482E-10</v>
      </c>
      <c r="E108" s="20">
        <v>0.68557999803640657</v>
      </c>
      <c r="F108" s="20">
        <v>0.17074811605416895</v>
      </c>
      <c r="G108" s="20">
        <v>4.2840198648423831E-2</v>
      </c>
      <c r="H108" s="20">
        <v>0</v>
      </c>
      <c r="I108" s="20">
        <v>0.47199168333381381</v>
      </c>
      <c r="J108" s="20">
        <v>6.8418129897147525E-4</v>
      </c>
      <c r="K108" s="20">
        <v>0.3137358203705311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3.6306762127020061E-9</v>
      </c>
      <c r="E2" s="14">
        <v>3.0924320125266082E-5</v>
      </c>
      <c r="F2" s="14">
        <v>1.4759163190485749E-6</v>
      </c>
      <c r="G2" s="14">
        <v>4.2988994784606247E-7</v>
      </c>
      <c r="H2" s="14">
        <v>0</v>
      </c>
      <c r="I2" s="14">
        <v>1.3544405935583947E-8</v>
      </c>
      <c r="J2" s="14">
        <v>7.1526985256909991E-6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1.4403781429448707E-7</v>
      </c>
      <c r="E3" s="14">
        <v>2.6291124581680339E-8</v>
      </c>
      <c r="F3" s="14">
        <v>9.7487904968115067E-6</v>
      </c>
      <c r="G3" s="14">
        <v>2.6414737111583165E-5</v>
      </c>
      <c r="H3" s="14">
        <v>0</v>
      </c>
      <c r="I3" s="14">
        <v>3.7187548508676836E-7</v>
      </c>
      <c r="J3" s="14">
        <v>3.2942679676423943E-6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1.7651350143202302E-16</v>
      </c>
      <c r="E4" s="14">
        <v>1.4145248145019751E-5</v>
      </c>
      <c r="F4" s="14">
        <v>1.005199224481389E-5</v>
      </c>
      <c r="G4" s="14">
        <v>2.3996488824854616E-6</v>
      </c>
      <c r="H4" s="14">
        <v>0</v>
      </c>
      <c r="I4" s="14">
        <v>3.5298677869313815E-8</v>
      </c>
      <c r="J4" s="14">
        <v>1.3367812049635077E-5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4.8089217825591757E-9</v>
      </c>
      <c r="E5" s="14">
        <v>2.7708968176018296E-7</v>
      </c>
      <c r="F5" s="14">
        <v>2.7084568949783215E-5</v>
      </c>
      <c r="G5" s="14">
        <v>7.8599083782397192E-6</v>
      </c>
      <c r="H5" s="14">
        <v>0</v>
      </c>
      <c r="I5" s="14">
        <v>1.0778114472337124E-7</v>
      </c>
      <c r="J5" s="14">
        <v>4.6658429237109573E-6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4.7268852110432921E-10</v>
      </c>
      <c r="E6" s="14">
        <v>1.1842617338271603E-8</v>
      </c>
      <c r="F6" s="14">
        <v>6.2625220902619035E-6</v>
      </c>
      <c r="G6" s="14">
        <v>3.0757060447132729E-5</v>
      </c>
      <c r="H6" s="14">
        <v>0</v>
      </c>
      <c r="I6" s="14">
        <v>4.3613856355361196E-7</v>
      </c>
      <c r="J6" s="14">
        <v>2.5319635931923875E-6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6.9371718487630923E-10</v>
      </c>
      <c r="E7" s="14">
        <v>2.3558904604239862E-8</v>
      </c>
      <c r="F7" s="14">
        <v>9.201458419747936E-6</v>
      </c>
      <c r="G7" s="14">
        <v>2.7198955301015654E-5</v>
      </c>
      <c r="H7" s="14">
        <v>0</v>
      </c>
      <c r="I7" s="14">
        <v>3.833191695135606E-7</v>
      </c>
      <c r="J7" s="14">
        <v>3.192014487933744E-6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6.5128043957754834E-9</v>
      </c>
      <c r="E8" s="14">
        <v>5.2165175812252488E-8</v>
      </c>
      <c r="F8" s="14">
        <v>1.3920096620251817E-5</v>
      </c>
      <c r="G8" s="14">
        <v>2.1733907037578215E-5</v>
      </c>
      <c r="H8" s="14">
        <v>0</v>
      </c>
      <c r="I8" s="14">
        <v>3.0395031159590222E-7</v>
      </c>
      <c r="J8" s="14">
        <v>3.9833680503660374E-6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4.0593874200836065E-9</v>
      </c>
      <c r="E9" s="14">
        <v>2.3764744096394691E-6</v>
      </c>
      <c r="F9" s="14">
        <v>2.3918542745181216E-5</v>
      </c>
      <c r="G9" s="14">
        <v>4.6971050344745669E-6</v>
      </c>
      <c r="H9" s="14">
        <v>0</v>
      </c>
      <c r="I9" s="14">
        <v>6.3707601852129358E-8</v>
      </c>
      <c r="J9" s="14">
        <v>8.9401108214325369E-6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6.1791437353073446E-11</v>
      </c>
      <c r="E10" s="14">
        <v>2.5771573659526511E-7</v>
      </c>
      <c r="F10" s="14">
        <v>2.6533987029280863E-5</v>
      </c>
      <c r="G10" s="14">
        <v>8.4003632803452022E-6</v>
      </c>
      <c r="H10" s="14">
        <v>0</v>
      </c>
      <c r="I10" s="14">
        <v>1.1530282545530104E-7</v>
      </c>
      <c r="J10" s="14">
        <v>4.6925693368860205E-6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3.2189672793446178E-9</v>
      </c>
      <c r="E11" s="14">
        <v>2.2768226475520927E-7</v>
      </c>
      <c r="F11" s="14">
        <v>2.5561761417723283E-5</v>
      </c>
      <c r="G11" s="14">
        <v>9.3559163974185653E-6</v>
      </c>
      <c r="H11" s="14">
        <v>0</v>
      </c>
      <c r="I11" s="14">
        <v>1.2862738657638554E-7</v>
      </c>
      <c r="J11" s="14">
        <v>4.7227935662472121E-6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2.1241197316487957E-9</v>
      </c>
      <c r="E12" s="14">
        <v>1.5254277190230741E-6</v>
      </c>
      <c r="F12" s="14">
        <v>2.5956922961171856E-5</v>
      </c>
      <c r="G12" s="14">
        <v>4.9039808265742617E-6</v>
      </c>
      <c r="H12" s="14">
        <v>0</v>
      </c>
      <c r="I12" s="14">
        <v>6.6507022077518114E-8</v>
      </c>
      <c r="J12" s="14">
        <v>7.5450373514216473E-6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6.3182710791886134E-9</v>
      </c>
      <c r="E13" s="14">
        <v>2.2800842545263444E-6</v>
      </c>
      <c r="F13" s="14">
        <v>2.4125285962417151E-5</v>
      </c>
      <c r="G13" s="14">
        <v>4.7202828705219716E-6</v>
      </c>
      <c r="H13" s="14">
        <v>0</v>
      </c>
      <c r="I13" s="14">
        <v>6.4016034756972447E-8</v>
      </c>
      <c r="J13" s="14">
        <v>8.8040126066983771E-6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2.1485511014182648E-9</v>
      </c>
      <c r="E14" s="14">
        <v>1.5132069525397901E-7</v>
      </c>
      <c r="F14" s="14">
        <v>2.2218764321896613E-5</v>
      </c>
      <c r="G14" s="14">
        <v>1.2750154804030321E-5</v>
      </c>
      <c r="H14" s="14">
        <v>0</v>
      </c>
      <c r="I14" s="14">
        <v>1.7620204414455118E-7</v>
      </c>
      <c r="J14" s="14">
        <v>4.7014095835731187E-6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3.5037772050378226E-12</v>
      </c>
      <c r="E15" s="14">
        <v>2.4235340365948916E-7</v>
      </c>
      <c r="F15" s="14">
        <v>2.6056177120656245E-5</v>
      </c>
      <c r="G15" s="14">
        <v>8.8696453105511999E-6</v>
      </c>
      <c r="H15" s="14">
        <v>0</v>
      </c>
      <c r="I15" s="14">
        <v>1.2184260606983695E-7</v>
      </c>
      <c r="J15" s="14">
        <v>4.709978055286023E-6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1.6917139852353591E-8</v>
      </c>
      <c r="E16" s="14">
        <v>5.3958464218147031E-8</v>
      </c>
      <c r="F16" s="14">
        <v>1.4151456948050655E-5</v>
      </c>
      <c r="G16" s="14">
        <v>2.1463310574056979E-5</v>
      </c>
      <c r="H16" s="14">
        <v>0</v>
      </c>
      <c r="I16" s="14">
        <v>3.0006135692024068E-7</v>
      </c>
      <c r="J16" s="14">
        <v>4.0142955169016353E-6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1.2352519601358585E-9</v>
      </c>
      <c r="E17" s="14">
        <v>2.7052548995883687E-7</v>
      </c>
      <c r="F17" s="14">
        <v>2.6904799912612075E-5</v>
      </c>
      <c r="G17" s="14">
        <v>8.0375802476811711E-6</v>
      </c>
      <c r="H17" s="14">
        <v>0</v>
      </c>
      <c r="I17" s="14">
        <v>1.1025261056851962E-7</v>
      </c>
      <c r="J17" s="14">
        <v>4.6756064872192647E-6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1.2199304142039851E-7</v>
      </c>
      <c r="E18" s="14">
        <v>2.846739316360815E-6</v>
      </c>
      <c r="F18" s="14">
        <v>2.2877537387725171E-5</v>
      </c>
      <c r="G18" s="14">
        <v>4.5677763242477205E-6</v>
      </c>
      <c r="H18" s="14">
        <v>0</v>
      </c>
      <c r="I18" s="14">
        <v>6.1996189753478786E-8</v>
      </c>
      <c r="J18" s="14">
        <v>9.5239577404924211E-6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1.2280362926372471E-11</v>
      </c>
      <c r="E19" s="14">
        <v>2.3936676059905199E-7</v>
      </c>
      <c r="F19" s="14">
        <v>2.5958848077443949E-5</v>
      </c>
      <c r="G19" s="14">
        <v>8.9656333031831374E-6</v>
      </c>
      <c r="H19" s="14">
        <v>0</v>
      </c>
      <c r="I19" s="14">
        <v>1.2318121849344203E-7</v>
      </c>
      <c r="J19" s="14">
        <v>4.7129583599174915E-6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9.5643723576161398E-10</v>
      </c>
      <c r="E20" s="14">
        <v>2.2803899386342654E-6</v>
      </c>
      <c r="F20" s="14">
        <v>2.4128520367682267E-5</v>
      </c>
      <c r="G20" s="14">
        <v>4.720915704793576E-6</v>
      </c>
      <c r="H20" s="14">
        <v>0</v>
      </c>
      <c r="I20" s="14">
        <v>6.4024617196168932E-8</v>
      </c>
      <c r="J20" s="14">
        <v>8.8051929344579602E-6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1.7977174424347686E-8</v>
      </c>
      <c r="E21" s="14">
        <v>1.7100707268952441E-7</v>
      </c>
      <c r="F21" s="14">
        <v>2.3227135158431237E-5</v>
      </c>
      <c r="G21" s="14">
        <v>1.1697450133684789E-5</v>
      </c>
      <c r="H21" s="14">
        <v>0</v>
      </c>
      <c r="I21" s="14">
        <v>1.6140848179699846E-7</v>
      </c>
      <c r="J21" s="14">
        <v>4.7250219789731074E-6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7.8518568967557819E-8</v>
      </c>
      <c r="E22" s="14">
        <v>2.24742401053517E-5</v>
      </c>
      <c r="F22" s="14">
        <v>4.8089093520551993E-6</v>
      </c>
      <c r="G22" s="14">
        <v>1.254128814166487E-6</v>
      </c>
      <c r="H22" s="14">
        <v>0</v>
      </c>
      <c r="I22" s="14">
        <v>2.2203377078593734E-8</v>
      </c>
      <c r="J22" s="14">
        <v>1.136199978238047E-5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3.3448757592221147E-9</v>
      </c>
      <c r="E23" s="14">
        <v>2.8407474905223952E-5</v>
      </c>
      <c r="F23" s="14">
        <v>2.2922089611582622E-6</v>
      </c>
      <c r="G23" s="14">
        <v>6.4231751010092807E-7</v>
      </c>
      <c r="H23" s="14">
        <v>0</v>
      </c>
      <c r="I23" s="14">
        <v>1.567527198724871E-8</v>
      </c>
      <c r="J23" s="14">
        <v>8.6389784757703965E-6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2.896497649057846E-9</v>
      </c>
      <c r="E24" s="14">
        <v>6.962509823015928E-6</v>
      </c>
      <c r="F24" s="14">
        <v>1.6847962811752481E-5</v>
      </c>
      <c r="G24" s="14">
        <v>3.6748782099892305E-6</v>
      </c>
      <c r="H24" s="14">
        <v>0</v>
      </c>
      <c r="I24" s="14">
        <v>5.0675614084798691E-8</v>
      </c>
      <c r="J24" s="14">
        <v>1.2461077043508508E-5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5.3031803263410465E-7</v>
      </c>
      <c r="E25" s="14">
        <v>8.3009736531890004E-7</v>
      </c>
      <c r="F25" s="14">
        <v>2.7746653438070781E-5</v>
      </c>
      <c r="G25" s="14">
        <v>4.9877670874441956E-6</v>
      </c>
      <c r="H25" s="14">
        <v>0</v>
      </c>
      <c r="I25" s="14">
        <v>6.7772921968230285E-8</v>
      </c>
      <c r="J25" s="14">
        <v>5.8373911545637878E-6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1.442440639889442E-8</v>
      </c>
      <c r="E26" s="14">
        <v>1.8524674703589866E-7</v>
      </c>
      <c r="F26" s="14">
        <v>2.3887580562916948E-5</v>
      </c>
      <c r="G26" s="14">
        <v>1.1027262683111518E-5</v>
      </c>
      <c r="H26" s="14">
        <v>0</v>
      </c>
      <c r="I26" s="14">
        <v>1.5200773441825498E-7</v>
      </c>
      <c r="J26" s="14">
        <v>4.7334778661184868E-6</v>
      </c>
      <c r="K26" s="14">
        <v>0</v>
      </c>
    </row>
    <row r="27" spans="1:13">
      <c r="A27" s="2" t="s">
        <v>353</v>
      </c>
      <c r="B27" s="3" t="s">
        <v>354</v>
      </c>
      <c r="D27" s="14">
        <v>9.9811588509014386E-8</v>
      </c>
      <c r="E27" s="14">
        <v>2.8894395168655666E-8</v>
      </c>
      <c r="F27" s="14">
        <v>1.0260184782955156E-5</v>
      </c>
      <c r="G27" s="14">
        <v>2.585536884899524E-5</v>
      </c>
      <c r="H27" s="14">
        <v>0</v>
      </c>
      <c r="I27" s="14">
        <v>3.6368161316040545E-7</v>
      </c>
      <c r="J27" s="14">
        <v>3.3920587712115343E-6</v>
      </c>
      <c r="K27" s="14">
        <v>0</v>
      </c>
    </row>
    <row r="28" spans="1:13">
      <c r="A28" s="2" t="s">
        <v>355</v>
      </c>
      <c r="B28" s="3" t="s">
        <v>356</v>
      </c>
      <c r="D28" s="14">
        <v>5.4252929502241301E-9</v>
      </c>
      <c r="E28" s="14">
        <v>1.0246034983432384E-7</v>
      </c>
      <c r="F28" s="14">
        <v>1.9006292503604068E-5</v>
      </c>
      <c r="G28" s="14">
        <v>1.6135891467007121E-5</v>
      </c>
      <c r="H28" s="14">
        <v>0</v>
      </c>
      <c r="I28" s="14">
        <v>2.2402371014543135E-7</v>
      </c>
      <c r="J28" s="14">
        <v>4.5259066764588337E-6</v>
      </c>
      <c r="K28" s="14">
        <v>0</v>
      </c>
    </row>
    <row r="29" spans="1:13">
      <c r="A29" s="2" t="s">
        <v>357</v>
      </c>
      <c r="B29" s="3" t="s">
        <v>358</v>
      </c>
      <c r="D29" s="14">
        <v>1.0912085809048891E-6</v>
      </c>
      <c r="E29" s="14">
        <v>1.5340531721123512E-7</v>
      </c>
      <c r="F29" s="14">
        <v>2.1947344838312095E-5</v>
      </c>
      <c r="G29" s="14">
        <v>1.2058062837145613E-5</v>
      </c>
      <c r="H29" s="14">
        <v>0</v>
      </c>
      <c r="I29" s="14">
        <v>1.6655296164561861E-7</v>
      </c>
      <c r="J29" s="14">
        <v>4.5834254647805494E-6</v>
      </c>
      <c r="K29" s="14">
        <v>0</v>
      </c>
    </row>
    <row r="30" spans="1:13">
      <c r="A30" s="2" t="s">
        <v>359</v>
      </c>
      <c r="B30" s="3" t="s">
        <v>360</v>
      </c>
      <c r="D30" s="14">
        <v>5.4252929502241301E-9</v>
      </c>
      <c r="E30" s="14">
        <v>1.0246034983432384E-7</v>
      </c>
      <c r="F30" s="14">
        <v>1.9006292503604068E-5</v>
      </c>
      <c r="G30" s="14">
        <v>1.6135891467007121E-5</v>
      </c>
      <c r="H30" s="14">
        <v>0</v>
      </c>
      <c r="I30" s="14">
        <v>2.2402371014543135E-7</v>
      </c>
      <c r="J30" s="14">
        <v>4.5259066764588337E-6</v>
      </c>
      <c r="K30" s="14">
        <v>0</v>
      </c>
    </row>
    <row r="31" spans="1:13">
      <c r="A31" s="2" t="s">
        <v>283</v>
      </c>
      <c r="B31" s="3" t="s">
        <v>284</v>
      </c>
      <c r="D31" s="14">
        <v>1.048459848144141E-12</v>
      </c>
      <c r="E31" s="14">
        <v>3.9021543498070555E-5</v>
      </c>
      <c r="F31" s="14">
        <v>2.4011871925673731E-8</v>
      </c>
      <c r="G31" s="14">
        <v>9.6365498781421553E-9</v>
      </c>
      <c r="H31" s="14">
        <v>0</v>
      </c>
      <c r="I31" s="14">
        <v>1.0188895567449225E-8</v>
      </c>
      <c r="J31" s="14">
        <v>9.3461813609833423E-7</v>
      </c>
      <c r="K31" s="14">
        <v>0</v>
      </c>
    </row>
    <row r="32" spans="1:13">
      <c r="A32" s="2" t="s">
        <v>361</v>
      </c>
      <c r="B32" s="3" t="s">
        <v>362</v>
      </c>
      <c r="D32" s="14">
        <v>8.5322578104002848E-13</v>
      </c>
      <c r="E32" s="14">
        <v>1.7367718833555476E-5</v>
      </c>
      <c r="F32" s="14">
        <v>7.8075769733586403E-6</v>
      </c>
      <c r="G32" s="14">
        <v>1.9250186260852312E-6</v>
      </c>
      <c r="H32" s="14">
        <v>0</v>
      </c>
      <c r="I32" s="14">
        <v>3.0602760886123381E-8</v>
      </c>
      <c r="J32" s="14">
        <v>1.2869081952888755E-5</v>
      </c>
      <c r="K32" s="14">
        <v>0</v>
      </c>
    </row>
    <row r="33" spans="1:11">
      <c r="A33" s="2" t="s">
        <v>364</v>
      </c>
      <c r="B33" s="3" t="s">
        <v>365</v>
      </c>
      <c r="D33" s="14">
        <v>4.8274388263403808E-15</v>
      </c>
      <c r="E33" s="14">
        <v>3.9819295563733244E-5</v>
      </c>
      <c r="F33" s="14">
        <v>1.6804869608311932E-7</v>
      </c>
      <c r="G33" s="14">
        <v>5.138808924607224E-11</v>
      </c>
      <c r="H33" s="14">
        <v>0</v>
      </c>
      <c r="I33" s="14">
        <v>1.0319931756395223E-8</v>
      </c>
      <c r="J33" s="14">
        <v>2.2844155105656248E-9</v>
      </c>
      <c r="K33" s="14">
        <v>0</v>
      </c>
    </row>
    <row r="34" spans="1:11">
      <c r="A34" s="2" t="s">
        <v>285</v>
      </c>
      <c r="B34" s="3" t="s">
        <v>286</v>
      </c>
      <c r="D34" s="14">
        <v>1.4353351435140948E-14</v>
      </c>
      <c r="E34" s="14">
        <v>2.1899776993724828E-5</v>
      </c>
      <c r="F34" s="14">
        <v>1.8081783574314299E-5</v>
      </c>
      <c r="G34" s="14">
        <v>1.4849634827583111E-9</v>
      </c>
      <c r="H34" s="14">
        <v>0</v>
      </c>
      <c r="I34" s="14">
        <v>9.1699956829831055E-9</v>
      </c>
      <c r="J34" s="14">
        <v>7.7844584417785941E-9</v>
      </c>
      <c r="K34" s="14">
        <v>0</v>
      </c>
    </row>
    <row r="35" spans="1:11">
      <c r="A35" s="2" t="s">
        <v>287</v>
      </c>
      <c r="B35" s="3" t="s">
        <v>288</v>
      </c>
      <c r="D35" s="14">
        <v>4.1810311321272899E-16</v>
      </c>
      <c r="E35" s="14">
        <v>1.2965229090708887E-5</v>
      </c>
      <c r="F35" s="14">
        <v>2.7002362876541349E-5</v>
      </c>
      <c r="G35" s="14">
        <v>5.2291258232968385E-9</v>
      </c>
      <c r="H35" s="14">
        <v>0</v>
      </c>
      <c r="I35" s="14">
        <v>8.3362677335091018E-9</v>
      </c>
      <c r="J35" s="14">
        <v>1.8842638774855535E-8</v>
      </c>
      <c r="K35" s="14">
        <v>0</v>
      </c>
    </row>
    <row r="36" spans="1:11">
      <c r="A36" s="2" t="s">
        <v>366</v>
      </c>
      <c r="B36" s="3" t="s">
        <v>305</v>
      </c>
      <c r="D36" s="14">
        <v>7.371156741709318E-13</v>
      </c>
      <c r="E36" s="14">
        <v>4.3248923304633353E-6</v>
      </c>
      <c r="F36" s="14">
        <v>3.5636650217604526E-5</v>
      </c>
      <c r="G36" s="14">
        <v>1.0203253054192726E-8</v>
      </c>
      <c r="H36" s="14">
        <v>0</v>
      </c>
      <c r="I36" s="14">
        <v>7.1938050099760898E-9</v>
      </c>
      <c r="J36" s="14">
        <v>2.105965675230217E-8</v>
      </c>
      <c r="K36" s="14">
        <v>0</v>
      </c>
    </row>
    <row r="37" spans="1:11">
      <c r="A37" s="2" t="s">
        <v>289</v>
      </c>
      <c r="B37" s="3" t="s">
        <v>290</v>
      </c>
      <c r="D37" s="14">
        <v>1.6765949306891195E-19</v>
      </c>
      <c r="E37" s="14">
        <v>8.3231360884674347E-6</v>
      </c>
      <c r="F37" s="14">
        <v>2.7877162715068129E-5</v>
      </c>
      <c r="G37" s="14">
        <v>9.5173944915704074E-7</v>
      </c>
      <c r="H37" s="14">
        <v>0</v>
      </c>
      <c r="I37" s="14">
        <v>1.8976377197333052E-8</v>
      </c>
      <c r="J37" s="14">
        <v>2.8289853701099008E-6</v>
      </c>
      <c r="K37" s="14">
        <v>0</v>
      </c>
    </row>
    <row r="38" spans="1:11">
      <c r="A38" s="2" t="s">
        <v>291</v>
      </c>
      <c r="B38" s="3" t="s">
        <v>292</v>
      </c>
      <c r="D38" s="14">
        <v>4.8314608669529524E-17</v>
      </c>
      <c r="E38" s="14">
        <v>2.4523491347800946E-5</v>
      </c>
      <c r="F38" s="14">
        <v>1.5378850460046676E-5</v>
      </c>
      <c r="G38" s="14">
        <v>1.2848159567622058E-8</v>
      </c>
      <c r="H38" s="14">
        <v>0</v>
      </c>
      <c r="I38" s="14">
        <v>9.5172144736212407E-9</v>
      </c>
      <c r="J38" s="14">
        <v>7.5292818062821733E-8</v>
      </c>
      <c r="K38" s="14">
        <v>0</v>
      </c>
    </row>
    <row r="39" spans="1:11">
      <c r="A39" s="2" t="s">
        <v>367</v>
      </c>
      <c r="B39" s="3" t="s">
        <v>368</v>
      </c>
      <c r="D39" s="14">
        <v>5.8102407062133368E-10</v>
      </c>
      <c r="E39" s="14">
        <v>4.1387268567517498E-7</v>
      </c>
      <c r="F39" s="14">
        <v>2.987915695101876E-5</v>
      </c>
      <c r="G39" s="14">
        <v>5.2187187823245867E-6</v>
      </c>
      <c r="H39" s="14">
        <v>0</v>
      </c>
      <c r="I39" s="14">
        <v>7.1187939138024474E-8</v>
      </c>
      <c r="J39" s="14">
        <v>4.4164826177728345E-6</v>
      </c>
      <c r="K39" s="14">
        <v>0</v>
      </c>
    </row>
    <row r="40" spans="1:11">
      <c r="A40" s="2" t="s">
        <v>369</v>
      </c>
      <c r="B40" s="3" t="s">
        <v>370</v>
      </c>
      <c r="D40" s="14">
        <v>3.6933235311862921E-17</v>
      </c>
      <c r="E40" s="14">
        <v>4.02666379454683E-8</v>
      </c>
      <c r="F40" s="14">
        <v>3.6738967267419013E-5</v>
      </c>
      <c r="G40" s="14">
        <v>2.6579531463002489E-6</v>
      </c>
      <c r="H40" s="14">
        <v>0</v>
      </c>
      <c r="I40" s="14">
        <v>4.4723899960904972E-7</v>
      </c>
      <c r="J40" s="14">
        <v>1.155739486892918E-7</v>
      </c>
      <c r="K40" s="14">
        <v>0</v>
      </c>
    </row>
    <row r="41" spans="1:11">
      <c r="A41" s="2" t="s">
        <v>371</v>
      </c>
      <c r="B41" s="3" t="s">
        <v>372</v>
      </c>
      <c r="D41" s="14">
        <v>3.2715026460339978E-6</v>
      </c>
      <c r="E41" s="14">
        <v>3.6534226460818671E-5</v>
      </c>
      <c r="F41" s="14">
        <v>1.1184626627896606E-9</v>
      </c>
      <c r="G41" s="14">
        <v>5.5990848139317402E-10</v>
      </c>
      <c r="H41" s="14">
        <v>0</v>
      </c>
      <c r="I41" s="14">
        <v>9.4329260917037809E-9</v>
      </c>
      <c r="J41" s="14">
        <v>1.831595959114445E-7</v>
      </c>
      <c r="K41" s="14">
        <v>0</v>
      </c>
    </row>
    <row r="42" spans="1:11">
      <c r="A42" s="2" t="s">
        <v>293</v>
      </c>
      <c r="B42" s="3" t="s">
        <v>294</v>
      </c>
      <c r="D42" s="14">
        <v>7.0094660911406967E-13</v>
      </c>
      <c r="E42" s="14">
        <v>2.0982516809852292E-5</v>
      </c>
      <c r="F42" s="14">
        <v>5.6228843874711665E-6</v>
      </c>
      <c r="G42" s="14">
        <v>1.4422970306771132E-6</v>
      </c>
      <c r="H42" s="14">
        <v>0</v>
      </c>
      <c r="I42" s="14">
        <v>2.4309049159446847E-8</v>
      </c>
      <c r="J42" s="14">
        <v>1.1927992021893376E-5</v>
      </c>
      <c r="K42" s="14">
        <v>0</v>
      </c>
    </row>
    <row r="43" spans="1:11">
      <c r="A43" s="2" t="s">
        <v>373</v>
      </c>
      <c r="B43" s="3" t="s">
        <v>374</v>
      </c>
      <c r="D43" s="14">
        <v>1.724966085852933E-12</v>
      </c>
      <c r="E43" s="14">
        <v>3.525809710889199E-7</v>
      </c>
      <c r="F43" s="14">
        <v>3.958406981366763E-5</v>
      </c>
      <c r="G43" s="14">
        <v>3.3422764227447264E-8</v>
      </c>
      <c r="H43" s="14">
        <v>0</v>
      </c>
      <c r="I43" s="14">
        <v>1.3053175562017454E-8</v>
      </c>
      <c r="J43" s="14">
        <v>1.687155048789643E-8</v>
      </c>
      <c r="K43" s="14">
        <v>0</v>
      </c>
    </row>
    <row r="44" spans="1:11">
      <c r="A44" s="2" t="s">
        <v>375</v>
      </c>
      <c r="B44" s="3" t="s">
        <v>376</v>
      </c>
      <c r="D44" s="14">
        <v>3.4054818346951839E-6</v>
      </c>
      <c r="E44" s="14">
        <v>3.047833291895753E-5</v>
      </c>
      <c r="F44" s="14">
        <v>7.7848954230633975E-7</v>
      </c>
      <c r="G44" s="14">
        <v>2.3743696826181624E-7</v>
      </c>
      <c r="H44" s="14">
        <v>0</v>
      </c>
      <c r="I44" s="14">
        <v>1.0924555240299683E-8</v>
      </c>
      <c r="J44" s="14">
        <v>5.089334180538832E-6</v>
      </c>
      <c r="K44" s="14">
        <v>0</v>
      </c>
    </row>
    <row r="45" spans="1:11">
      <c r="A45" s="2" t="s">
        <v>377</v>
      </c>
      <c r="B45" s="3" t="s">
        <v>378</v>
      </c>
      <c r="D45" s="14">
        <v>2.6665428106088261E-8</v>
      </c>
      <c r="E45" s="14">
        <v>1.9572270129942064E-5</v>
      </c>
      <c r="F45" s="14">
        <v>6.4065286911823251E-6</v>
      </c>
      <c r="G45" s="14">
        <v>1.6192664988557056E-6</v>
      </c>
      <c r="H45" s="14">
        <v>0</v>
      </c>
      <c r="I45" s="14">
        <v>2.6292831576681777E-8</v>
      </c>
      <c r="J45" s="14">
        <v>1.2348976420337138E-5</v>
      </c>
      <c r="K45" s="14">
        <v>0</v>
      </c>
    </row>
    <row r="46" spans="1:11">
      <c r="A46" s="2" t="s">
        <v>379</v>
      </c>
      <c r="B46" s="3" t="s">
        <v>380</v>
      </c>
      <c r="D46" s="14">
        <v>8.0180826238162701E-8</v>
      </c>
      <c r="E46" s="14">
        <v>2.0420349353446834E-5</v>
      </c>
      <c r="F46" s="14">
        <v>5.8985428961399901E-6</v>
      </c>
      <c r="G46" s="14">
        <v>1.5046666578161004E-6</v>
      </c>
      <c r="H46" s="14">
        <v>0</v>
      </c>
      <c r="I46" s="14">
        <v>2.499126545030132E-8</v>
      </c>
      <c r="J46" s="14">
        <v>1.2071269000908617E-5</v>
      </c>
      <c r="K46" s="14">
        <v>0</v>
      </c>
    </row>
    <row r="47" spans="1:11">
      <c r="A47" s="2" t="s">
        <v>381</v>
      </c>
      <c r="B47" s="3" t="s">
        <v>382</v>
      </c>
      <c r="D47" s="14">
        <v>1.69841257736416E-12</v>
      </c>
      <c r="E47" s="14">
        <v>2.6386138508311139E-8</v>
      </c>
      <c r="F47" s="14">
        <v>9.7840218107906934E-6</v>
      </c>
      <c r="G47" s="14">
        <v>2.6510197763564583E-5</v>
      </c>
      <c r="H47" s="14">
        <v>0</v>
      </c>
      <c r="I47" s="14">
        <v>3.7321941200575791E-7</v>
      </c>
      <c r="J47" s="14">
        <v>3.3061731767180788E-6</v>
      </c>
      <c r="K47" s="14">
        <v>0</v>
      </c>
    </row>
    <row r="48" spans="1:11">
      <c r="A48" s="2" t="s">
        <v>383</v>
      </c>
      <c r="B48" s="3" t="s">
        <v>384</v>
      </c>
      <c r="D48" s="14">
        <v>4.707821437544833E-7</v>
      </c>
      <c r="E48" s="14">
        <v>3.6120405960086897E-5</v>
      </c>
      <c r="F48" s="14">
        <v>2.5135885944561825E-7</v>
      </c>
      <c r="G48" s="14">
        <v>8.4370330904999117E-8</v>
      </c>
      <c r="H48" s="14">
        <v>0</v>
      </c>
      <c r="I48" s="14">
        <v>1.0397342787673444E-8</v>
      </c>
      <c r="J48" s="14">
        <v>3.0626853630203354E-6</v>
      </c>
      <c r="K48" s="14">
        <v>0</v>
      </c>
    </row>
    <row r="49" spans="1:11">
      <c r="A49" s="2" t="s">
        <v>385</v>
      </c>
      <c r="B49" s="3" t="s">
        <v>386</v>
      </c>
      <c r="D49" s="14">
        <v>8.7903707231213755E-7</v>
      </c>
      <c r="E49" s="14">
        <v>3.446988479082442E-5</v>
      </c>
      <c r="F49" s="14">
        <v>4.482098600039975E-7</v>
      </c>
      <c r="G49" s="14">
        <v>1.4367359590890725E-7</v>
      </c>
      <c r="H49" s="14">
        <v>0</v>
      </c>
      <c r="I49" s="14">
        <v>1.0737109882377465E-8</v>
      </c>
      <c r="J49" s="14">
        <v>4.0484575710681673E-6</v>
      </c>
      <c r="K49" s="14">
        <v>0</v>
      </c>
    </row>
    <row r="50" spans="1:11">
      <c r="A50" s="2" t="s">
        <v>387</v>
      </c>
      <c r="B50" s="3" t="s">
        <v>388</v>
      </c>
      <c r="D50" s="14">
        <v>2.6348210308723421E-7</v>
      </c>
      <c r="E50" s="14">
        <v>3.0126158858188861E-6</v>
      </c>
      <c r="F50" s="14">
        <v>2.2460805970121123E-5</v>
      </c>
      <c r="G50" s="14">
        <v>4.5094221272508165E-6</v>
      </c>
      <c r="H50" s="14">
        <v>0</v>
      </c>
      <c r="I50" s="14">
        <v>6.1224967520943189E-8</v>
      </c>
      <c r="J50" s="14">
        <v>9.6924489462010052E-6</v>
      </c>
      <c r="K50" s="14">
        <v>0</v>
      </c>
    </row>
    <row r="51" spans="1:11">
      <c r="A51" s="2" t="s">
        <v>295</v>
      </c>
      <c r="B51" s="3" t="s">
        <v>296</v>
      </c>
      <c r="D51" s="14">
        <v>2.621515348745284E-6</v>
      </c>
      <c r="E51" s="14">
        <v>3.6129757395940865E-5</v>
      </c>
      <c r="F51" s="14">
        <v>4.0516005340320972E-8</v>
      </c>
      <c r="G51" s="14">
        <v>1.5556868298631672E-8</v>
      </c>
      <c r="H51" s="14">
        <v>0</v>
      </c>
      <c r="I51" s="14">
        <v>9.5180097453158634E-9</v>
      </c>
      <c r="J51" s="14">
        <v>1.1831363719295863E-6</v>
      </c>
      <c r="K51" s="14">
        <v>0</v>
      </c>
    </row>
    <row r="52" spans="1:11">
      <c r="A52" s="2" t="s">
        <v>389</v>
      </c>
      <c r="B52" s="3" t="s">
        <v>390</v>
      </c>
      <c r="D52" s="14">
        <v>2.7571605339440338E-6</v>
      </c>
      <c r="E52" s="14">
        <v>2.8895798085190887E-5</v>
      </c>
      <c r="F52" s="14">
        <v>1.3450433085701716E-6</v>
      </c>
      <c r="G52" s="14">
        <v>3.9249291685076797E-7</v>
      </c>
      <c r="H52" s="14">
        <v>0</v>
      </c>
      <c r="I52" s="14">
        <v>1.2535989868756405E-8</v>
      </c>
      <c r="J52" s="14">
        <v>6.596969165575389E-6</v>
      </c>
      <c r="K52" s="14">
        <v>0</v>
      </c>
    </row>
    <row r="53" spans="1:11">
      <c r="A53" s="2" t="s">
        <v>391</v>
      </c>
      <c r="B53" s="3" t="s">
        <v>392</v>
      </c>
      <c r="D53" s="14">
        <v>7.8734203745044996E-8</v>
      </c>
      <c r="E53" s="14">
        <v>1.514802734047344E-5</v>
      </c>
      <c r="F53" s="14">
        <v>9.2648342613452628E-6</v>
      </c>
      <c r="G53" s="14">
        <v>2.2363162007147137E-6</v>
      </c>
      <c r="H53" s="14">
        <v>0</v>
      </c>
      <c r="I53" s="14">
        <v>3.3372759730169846E-8</v>
      </c>
      <c r="J53" s="14">
        <v>1.3238715233991376E-5</v>
      </c>
      <c r="K53" s="14">
        <v>0</v>
      </c>
    </row>
    <row r="54" spans="1:11">
      <c r="A54" s="2" t="s">
        <v>393</v>
      </c>
      <c r="B54" s="3" t="s">
        <v>394</v>
      </c>
      <c r="D54" s="14">
        <v>7.8090789446746015E-9</v>
      </c>
      <c r="E54" s="14">
        <v>3.6729283285262954E-8</v>
      </c>
      <c r="F54" s="14">
        <v>1.1653973552671551E-5</v>
      </c>
      <c r="G54" s="14">
        <v>2.4320336720471324E-5</v>
      </c>
      <c r="H54" s="14">
        <v>0</v>
      </c>
      <c r="I54" s="14">
        <v>3.4131202894166498E-7</v>
      </c>
      <c r="J54" s="14">
        <v>3.6398393356855223E-6</v>
      </c>
      <c r="K54" s="14">
        <v>0</v>
      </c>
    </row>
    <row r="55" spans="1:11">
      <c r="A55" s="2" t="s">
        <v>395</v>
      </c>
      <c r="B55" s="3" t="s">
        <v>396</v>
      </c>
      <c r="D55" s="14">
        <v>5.3206753146263264E-6</v>
      </c>
      <c r="E55" s="14">
        <v>5.4512914030251205E-6</v>
      </c>
      <c r="F55" s="14">
        <v>1.5326428818461915E-5</v>
      </c>
      <c r="G55" s="14">
        <v>3.3062563835686791E-6</v>
      </c>
      <c r="H55" s="14">
        <v>0</v>
      </c>
      <c r="I55" s="14">
        <v>4.542827331274562E-8</v>
      </c>
      <c r="J55" s="14">
        <v>1.0549919807005213E-5</v>
      </c>
      <c r="K55" s="14">
        <v>0</v>
      </c>
    </row>
    <row r="56" spans="1:11">
      <c r="A56" s="2" t="s">
        <v>397</v>
      </c>
      <c r="B56" s="3" t="s">
        <v>398</v>
      </c>
      <c r="D56" s="14">
        <v>2.4152042533064258E-5</v>
      </c>
      <c r="E56" s="14">
        <v>6.4468342630599421E-7</v>
      </c>
      <c r="F56" s="14">
        <v>1.0177194621132518E-5</v>
      </c>
      <c r="G56" s="14">
        <v>1.9334085512366608E-6</v>
      </c>
      <c r="H56" s="14">
        <v>0</v>
      </c>
      <c r="I56" s="14">
        <v>2.6218199618847675E-8</v>
      </c>
      <c r="J56" s="14">
        <v>3.0664526686417329E-6</v>
      </c>
      <c r="K56" s="14">
        <v>0</v>
      </c>
    </row>
    <row r="57" spans="1:11">
      <c r="A57" s="2" t="s">
        <v>399</v>
      </c>
      <c r="B57" s="3" t="s">
        <v>400</v>
      </c>
      <c r="D57" s="14">
        <v>3.0661978574256922E-5</v>
      </c>
      <c r="E57" s="14">
        <v>1.1650721377480494E-6</v>
      </c>
      <c r="F57" s="14">
        <v>4.5339256154820644E-6</v>
      </c>
      <c r="G57" s="14">
        <v>9.5492650122373618E-7</v>
      </c>
      <c r="H57" s="14">
        <v>0</v>
      </c>
      <c r="I57" s="14">
        <v>1.3043733924126551E-8</v>
      </c>
      <c r="J57" s="14">
        <v>2.6710534373651082E-6</v>
      </c>
      <c r="K57" s="14">
        <v>0</v>
      </c>
    </row>
    <row r="58" spans="1:11">
      <c r="A58" s="2" t="s">
        <v>297</v>
      </c>
      <c r="B58" s="3" t="s">
        <v>298</v>
      </c>
      <c r="D58" s="14">
        <v>3.7264046162571135E-5</v>
      </c>
      <c r="E58" s="14">
        <v>2.3665879547805981E-6</v>
      </c>
      <c r="F58" s="14">
        <v>3.9515203611273021E-8</v>
      </c>
      <c r="G58" s="14">
        <v>1.2435400572857381E-8</v>
      </c>
      <c r="H58" s="14">
        <v>0</v>
      </c>
      <c r="I58" s="14">
        <v>7.7044226363157861E-10</v>
      </c>
      <c r="J58" s="14">
        <v>3.1664483620050818E-7</v>
      </c>
      <c r="K58" s="14">
        <v>0</v>
      </c>
    </row>
    <row r="59" spans="1:11">
      <c r="A59" s="2" t="s">
        <v>401</v>
      </c>
      <c r="B59" s="3" t="s">
        <v>402</v>
      </c>
      <c r="D59" s="14">
        <v>3.6362287549063813E-5</v>
      </c>
      <c r="E59" s="14">
        <v>4.792739643524051E-7</v>
      </c>
      <c r="F59" s="14">
        <v>1.7303159524842293E-6</v>
      </c>
      <c r="G59" s="14">
        <v>3.6645526614986987E-7</v>
      </c>
      <c r="H59" s="14">
        <v>0</v>
      </c>
      <c r="I59" s="14">
        <v>5.0113306502179527E-9</v>
      </c>
      <c r="J59" s="14">
        <v>1.0566559372994714E-6</v>
      </c>
      <c r="K59" s="14">
        <v>0</v>
      </c>
    </row>
    <row r="60" spans="1:11">
      <c r="A60" s="2" t="s">
        <v>299</v>
      </c>
      <c r="B60" s="3" t="s">
        <v>300</v>
      </c>
      <c r="D60" s="14">
        <v>3.9921605383897335E-5</v>
      </c>
      <c r="E60" s="14">
        <v>1.7911033162637686E-8</v>
      </c>
      <c r="F60" s="14">
        <v>2.8332324828695954E-8</v>
      </c>
      <c r="G60" s="14">
        <v>6.3764325150164384E-9</v>
      </c>
      <c r="H60" s="14">
        <v>0</v>
      </c>
      <c r="I60" s="14">
        <v>8.9185189050569466E-11</v>
      </c>
      <c r="J60" s="14">
        <v>2.5685640407255824E-8</v>
      </c>
      <c r="K60" s="14">
        <v>0</v>
      </c>
    </row>
    <row r="61" spans="1:11">
      <c r="A61" s="2" t="s">
        <v>403</v>
      </c>
      <c r="B61" s="3" t="s">
        <v>404</v>
      </c>
      <c r="D61" s="14">
        <v>1.7885758824838232E-48</v>
      </c>
      <c r="E61" s="14">
        <v>1.1358474592525143E-5</v>
      </c>
      <c r="F61" s="14">
        <v>1.2347572511041059E-5</v>
      </c>
      <c r="G61" s="14">
        <v>2.8567822618787813E-6</v>
      </c>
      <c r="H61" s="14">
        <v>0</v>
      </c>
      <c r="I61" s="14">
        <v>4.0719287730276071E-8</v>
      </c>
      <c r="J61" s="14">
        <v>1.3396451346824749E-5</v>
      </c>
      <c r="K61" s="14">
        <v>0</v>
      </c>
    </row>
    <row r="62" spans="1:11">
      <c r="A62" s="2" t="s">
        <v>405</v>
      </c>
      <c r="B62" s="3" t="s">
        <v>406</v>
      </c>
      <c r="D62" s="14">
        <v>4.3054830062301871E-12</v>
      </c>
      <c r="E62" s="14">
        <v>1.5555877696306612E-7</v>
      </c>
      <c r="F62" s="14">
        <v>2.2448953186617892E-5</v>
      </c>
      <c r="G62" s="14">
        <v>1.2513870307186646E-5</v>
      </c>
      <c r="H62" s="14">
        <v>0</v>
      </c>
      <c r="I62" s="14">
        <v>1.7287809324423593E-7</v>
      </c>
      <c r="J62" s="14">
        <v>4.7087353305051581E-6</v>
      </c>
      <c r="K62" s="14">
        <v>0</v>
      </c>
    </row>
    <row r="63" spans="1:11">
      <c r="A63" s="2" t="s">
        <v>407</v>
      </c>
      <c r="B63" s="3" t="s">
        <v>408</v>
      </c>
      <c r="D63" s="14">
        <v>1.0500385830401097E-9</v>
      </c>
      <c r="E63" s="14">
        <v>1.4476977446471525E-8</v>
      </c>
      <c r="F63" s="14">
        <v>7.0206847469233649E-6</v>
      </c>
      <c r="G63" s="14">
        <v>2.982462745456923E-5</v>
      </c>
      <c r="H63" s="14">
        <v>0</v>
      </c>
      <c r="I63" s="14">
        <v>4.2217317176009226E-7</v>
      </c>
      <c r="J63" s="14">
        <v>2.7169876107178017E-6</v>
      </c>
      <c r="K63" s="14">
        <v>0</v>
      </c>
    </row>
    <row r="64" spans="1:11">
      <c r="A64" s="2" t="s">
        <v>409</v>
      </c>
      <c r="B64" s="3" t="s">
        <v>410</v>
      </c>
      <c r="D64" s="14">
        <v>1.3073772634614474E-10</v>
      </c>
      <c r="E64" s="14">
        <v>5.0444470584146956E-9</v>
      </c>
      <c r="F64" s="14">
        <v>3.8043033770723129E-6</v>
      </c>
      <c r="G64" s="14">
        <v>3.3866529805337077E-5</v>
      </c>
      <c r="H64" s="14">
        <v>0</v>
      </c>
      <c r="I64" s="14">
        <v>4.8371408014951483E-7</v>
      </c>
      <c r="J64" s="14">
        <v>1.8402775526563485E-6</v>
      </c>
      <c r="K64" s="14">
        <v>0</v>
      </c>
    </row>
    <row r="65" spans="1:11">
      <c r="A65" s="2" t="s">
        <v>301</v>
      </c>
      <c r="B65" s="3" t="s">
        <v>302</v>
      </c>
      <c r="D65" s="14">
        <v>1.6219355232701047E-11</v>
      </c>
      <c r="E65" s="14">
        <v>1.4222181814171281E-9</v>
      </c>
      <c r="F65" s="14">
        <v>1.7721798760205037E-6</v>
      </c>
      <c r="G65" s="14">
        <v>3.659344997070724E-5</v>
      </c>
      <c r="H65" s="14">
        <v>0</v>
      </c>
      <c r="I65" s="14">
        <v>5.2804949148178548E-7</v>
      </c>
      <c r="J65" s="14">
        <v>1.1048822242538209E-6</v>
      </c>
      <c r="K65" s="14">
        <v>0</v>
      </c>
    </row>
    <row r="66" spans="1:11">
      <c r="A66" s="2" t="s">
        <v>303</v>
      </c>
      <c r="B66" s="3" t="s">
        <v>304</v>
      </c>
      <c r="D66" s="14">
        <v>1.5623593121524487E-17</v>
      </c>
      <c r="E66" s="14">
        <v>2.9423447761493491E-9</v>
      </c>
      <c r="F66" s="14">
        <v>2.7552127224591855E-6</v>
      </c>
      <c r="G66" s="14">
        <v>3.5249315712778851E-5</v>
      </c>
      <c r="H66" s="14">
        <v>0</v>
      </c>
      <c r="I66" s="14">
        <v>5.056923531339304E-7</v>
      </c>
      <c r="J66" s="14">
        <v>1.4868368668362695E-6</v>
      </c>
      <c r="K66" s="14">
        <v>0</v>
      </c>
    </row>
    <row r="67" spans="1:11">
      <c r="A67" s="2" t="s">
        <v>411</v>
      </c>
      <c r="B67" s="3" t="s">
        <v>412</v>
      </c>
      <c r="D67" s="14">
        <v>1.8625525123719549E-7</v>
      </c>
      <c r="E67" s="14">
        <v>3.2466925656417507E-5</v>
      </c>
      <c r="F67" s="14">
        <v>1.012937713218479E-6</v>
      </c>
      <c r="G67" s="14">
        <v>3.0442358513706259E-7</v>
      </c>
      <c r="H67" s="14">
        <v>0</v>
      </c>
      <c r="I67" s="14">
        <v>1.2306564197785759E-8</v>
      </c>
      <c r="J67" s="14">
        <v>6.0171512297919773E-6</v>
      </c>
      <c r="K67" s="14">
        <v>0</v>
      </c>
    </row>
    <row r="68" spans="1:11">
      <c r="A68" s="2" t="s">
        <v>413</v>
      </c>
      <c r="B68" s="3" t="s">
        <v>414</v>
      </c>
      <c r="D68" s="14">
        <v>3.9961942427805085E-7</v>
      </c>
      <c r="E68" s="14">
        <v>2.9608692547568611E-5</v>
      </c>
      <c r="F68" s="14">
        <v>1.7697862013803271E-6</v>
      </c>
      <c r="G68" s="14">
        <v>5.0700980718749379E-7</v>
      </c>
      <c r="H68" s="14">
        <v>0</v>
      </c>
      <c r="I68" s="14">
        <v>1.4213547154365075E-8</v>
      </c>
      <c r="J68" s="14">
        <v>7.7006784724311513E-6</v>
      </c>
      <c r="K68" s="14">
        <v>0</v>
      </c>
    </row>
    <row r="69" spans="1:11">
      <c r="A69" s="2" t="s">
        <v>415</v>
      </c>
      <c r="B69" s="3" t="s">
        <v>416</v>
      </c>
      <c r="D69" s="14">
        <v>5.0097964535224911E-8</v>
      </c>
      <c r="E69" s="14">
        <v>5.6719542809633909E-8</v>
      </c>
      <c r="F69" s="14">
        <v>1.4494201541115228E-5</v>
      </c>
      <c r="G69" s="14">
        <v>2.1046983046724479E-5</v>
      </c>
      <c r="H69" s="14">
        <v>0</v>
      </c>
      <c r="I69" s="14">
        <v>2.9408723990379421E-7</v>
      </c>
      <c r="J69" s="14">
        <v>4.0579106649116415E-6</v>
      </c>
      <c r="K69" s="14">
        <v>0</v>
      </c>
    </row>
    <row r="70" spans="1:11">
      <c r="A70" s="2" t="s">
        <v>417</v>
      </c>
      <c r="B70" s="3" t="s">
        <v>418</v>
      </c>
      <c r="D70" s="14">
        <v>1.2756416435424257E-7</v>
      </c>
      <c r="E70" s="14">
        <v>1.0253244860114248E-6</v>
      </c>
      <c r="F70" s="14">
        <v>2.7365469482827472E-5</v>
      </c>
      <c r="G70" s="14">
        <v>5.0014791040546284E-6</v>
      </c>
      <c r="H70" s="14">
        <v>0</v>
      </c>
      <c r="I70" s="14">
        <v>6.7903268949048406E-8</v>
      </c>
      <c r="J70" s="14">
        <v>6.4122594938031896E-6</v>
      </c>
      <c r="K70" s="14">
        <v>0</v>
      </c>
    </row>
    <row r="71" spans="1:11">
      <c r="A71" s="2" t="s">
        <v>419</v>
      </c>
      <c r="B71" s="3" t="s">
        <v>420</v>
      </c>
      <c r="D71" s="14">
        <v>9.810028232226121E-7</v>
      </c>
      <c r="E71" s="14">
        <v>2.9626673937755887E-5</v>
      </c>
      <c r="F71" s="14">
        <v>1.6023023591629529E-6</v>
      </c>
      <c r="G71" s="14">
        <v>4.6242363950495742E-7</v>
      </c>
      <c r="H71" s="14">
        <v>0</v>
      </c>
      <c r="I71" s="14">
        <v>1.363594031289665E-8</v>
      </c>
      <c r="J71" s="14">
        <v>7.3139613000407003E-6</v>
      </c>
      <c r="K71" s="14">
        <v>0</v>
      </c>
    </row>
    <row r="72" spans="1:11">
      <c r="A72" s="2" t="s">
        <v>421</v>
      </c>
      <c r="B72" s="3" t="s">
        <v>422</v>
      </c>
      <c r="D72" s="14">
        <v>5.3457072042673215E-7</v>
      </c>
      <c r="E72" s="14">
        <v>1.184562032100713E-6</v>
      </c>
      <c r="F72" s="14">
        <v>2.653868396700887E-5</v>
      </c>
      <c r="G72" s="14">
        <v>4.9133187311893969E-6</v>
      </c>
      <c r="H72" s="14">
        <v>0</v>
      </c>
      <c r="I72" s="14">
        <v>6.6671442866399552E-8</v>
      </c>
      <c r="J72" s="14">
        <v>6.7621931064078951E-6</v>
      </c>
      <c r="K72" s="14">
        <v>0</v>
      </c>
    </row>
    <row r="73" spans="1:11">
      <c r="A73" s="2" t="s">
        <v>423</v>
      </c>
      <c r="B73" s="3" t="s">
        <v>424</v>
      </c>
      <c r="D73" s="14">
        <v>5.2083240559418205E-7</v>
      </c>
      <c r="E73" s="14">
        <v>1.0452270445235397E-5</v>
      </c>
      <c r="F73" s="14">
        <v>1.2875740421234096E-5</v>
      </c>
      <c r="G73" s="14">
        <v>2.9516697737423922E-6</v>
      </c>
      <c r="H73" s="14">
        <v>0</v>
      </c>
      <c r="I73" s="14">
        <v>4.1774277866162279E-8</v>
      </c>
      <c r="J73" s="14">
        <v>1.3157712676327779E-5</v>
      </c>
      <c r="K73" s="14">
        <v>0</v>
      </c>
    </row>
    <row r="74" spans="1:11">
      <c r="A74" s="2" t="s">
        <v>425</v>
      </c>
      <c r="B74" s="3" t="s">
        <v>426</v>
      </c>
      <c r="D74" s="14">
        <v>1.968390918570094E-7</v>
      </c>
      <c r="E74" s="14">
        <v>1.0699512569051671E-6</v>
      </c>
      <c r="F74" s="14">
        <v>2.7163489979866275E-5</v>
      </c>
      <c r="G74" s="14">
        <v>4.9828879687680714E-6</v>
      </c>
      <c r="H74" s="14">
        <v>0</v>
      </c>
      <c r="I74" s="14">
        <v>6.7639978014179201E-8</v>
      </c>
      <c r="J74" s="14">
        <v>6.5191917245892989E-6</v>
      </c>
      <c r="K74" s="14">
        <v>0</v>
      </c>
    </row>
    <row r="75" spans="1:11">
      <c r="A75" s="2" t="s">
        <v>427</v>
      </c>
      <c r="B75" s="3" t="s">
        <v>428</v>
      </c>
      <c r="D75" s="14">
        <v>2.2005628652568312E-14</v>
      </c>
      <c r="E75" s="14">
        <v>1.7264994239048584E-7</v>
      </c>
      <c r="F75" s="14">
        <v>3.9765643258635326E-5</v>
      </c>
      <c r="G75" s="14">
        <v>1.5344693608182826E-8</v>
      </c>
      <c r="H75" s="14">
        <v>0</v>
      </c>
      <c r="I75" s="14">
        <v>4.3021126624500371E-8</v>
      </c>
      <c r="J75" s="14">
        <v>3.3409567358826026E-9</v>
      </c>
      <c r="K75" s="14">
        <v>0</v>
      </c>
    </row>
    <row r="76" spans="1:11">
      <c r="A76" s="2" t="s">
        <v>429</v>
      </c>
      <c r="B76" s="3" t="s">
        <v>430</v>
      </c>
      <c r="D76" s="14">
        <v>5.5275640058870312E-16</v>
      </c>
      <c r="E76" s="14">
        <v>1.7264994248308176E-7</v>
      </c>
      <c r="F76" s="14">
        <v>3.9765643279962497E-5</v>
      </c>
      <c r="G76" s="14">
        <v>1.5344693616412522E-8</v>
      </c>
      <c r="H76" s="14">
        <v>0</v>
      </c>
      <c r="I76" s="14">
        <v>4.3021126647573535E-8</v>
      </c>
      <c r="J76" s="14">
        <v>3.3409567376744296E-9</v>
      </c>
      <c r="K76" s="14">
        <v>0</v>
      </c>
    </row>
    <row r="77" spans="1:11">
      <c r="A77" s="2" t="s">
        <v>431</v>
      </c>
      <c r="B77" s="3" t="s">
        <v>432</v>
      </c>
      <c r="D77" s="14">
        <v>9.4986607032855323E-7</v>
      </c>
      <c r="E77" s="14">
        <v>4.0440360212596222E-6</v>
      </c>
      <c r="F77" s="14">
        <v>2.0208616839279694E-5</v>
      </c>
      <c r="G77" s="14">
        <v>4.1786129417920084E-6</v>
      </c>
      <c r="H77" s="14">
        <v>0</v>
      </c>
      <c r="I77" s="14">
        <v>5.6901873445220765E-8</v>
      </c>
      <c r="J77" s="14">
        <v>1.0561966253894896E-5</v>
      </c>
      <c r="K77" s="14">
        <v>0</v>
      </c>
    </row>
    <row r="78" spans="1:11">
      <c r="A78" s="2" t="s">
        <v>433</v>
      </c>
      <c r="B78" s="3" t="s">
        <v>434</v>
      </c>
      <c r="D78" s="14">
        <v>1.3327400992428658E-6</v>
      </c>
      <c r="E78" s="14">
        <v>2.0948749589201541E-5</v>
      </c>
      <c r="F78" s="14">
        <v>5.0794849721011217E-6</v>
      </c>
      <c r="G78" s="14">
        <v>1.3125481226892233E-6</v>
      </c>
      <c r="H78" s="14">
        <v>0</v>
      </c>
      <c r="I78" s="14">
        <v>2.2588699482742898E-8</v>
      </c>
      <c r="J78" s="14">
        <v>1.1303888517282507E-5</v>
      </c>
      <c r="K78" s="14">
        <v>0</v>
      </c>
    </row>
    <row r="79" spans="1:11">
      <c r="A79" s="2" t="s">
        <v>435</v>
      </c>
      <c r="B79" s="3" t="s">
        <v>436</v>
      </c>
      <c r="D79" s="14">
        <v>3.116859746185787E-7</v>
      </c>
      <c r="E79" s="14">
        <v>1.4716004118663297E-5</v>
      </c>
      <c r="F79" s="14">
        <v>9.4621858742582544E-6</v>
      </c>
      <c r="G79" s="14">
        <v>2.2755533944149398E-6</v>
      </c>
      <c r="H79" s="14">
        <v>0</v>
      </c>
      <c r="I79" s="14">
        <v>3.3788581612625911E-8</v>
      </c>
      <c r="J79" s="14">
        <v>1.320078205643231E-5</v>
      </c>
      <c r="K79" s="14">
        <v>0</v>
      </c>
    </row>
    <row r="80" spans="1:11">
      <c r="A80" s="2" t="s">
        <v>437</v>
      </c>
      <c r="B80" s="3" t="s">
        <v>438</v>
      </c>
      <c r="D80" s="14">
        <v>7.8711548736394422E-15</v>
      </c>
      <c r="E80" s="14">
        <v>1.1694216114996543E-7</v>
      </c>
      <c r="F80" s="14">
        <v>3.9766071576607155E-5</v>
      </c>
      <c r="G80" s="14">
        <v>2.9475616606587586E-8</v>
      </c>
      <c r="H80" s="14">
        <v>0</v>
      </c>
      <c r="I80" s="14">
        <v>8.3442688484240154E-8</v>
      </c>
      <c r="J80" s="14">
        <v>4.0679492809071097E-9</v>
      </c>
      <c r="K80" s="14">
        <v>0</v>
      </c>
    </row>
    <row r="81" spans="1:11">
      <c r="A81" s="2" t="s">
        <v>440</v>
      </c>
      <c r="B81" s="3" t="s">
        <v>441</v>
      </c>
      <c r="D81" s="14">
        <v>7.3939112726014195E-18</v>
      </c>
      <c r="E81" s="14">
        <v>3.8779917003634955E-5</v>
      </c>
      <c r="F81" s="14">
        <v>3.6504671916406652E-8</v>
      </c>
      <c r="G81" s="14">
        <v>1.4198550321130629E-8</v>
      </c>
      <c r="H81" s="14">
        <v>0</v>
      </c>
      <c r="I81" s="14">
        <v>1.0184410279752273E-8</v>
      </c>
      <c r="J81" s="14">
        <v>1.1591953638403641E-6</v>
      </c>
      <c r="K81" s="14">
        <v>0</v>
      </c>
    </row>
    <row r="82" spans="1:11">
      <c r="A82" s="2" t="s">
        <v>442</v>
      </c>
      <c r="B82" s="3" t="s">
        <v>443</v>
      </c>
      <c r="D82" s="14">
        <v>3.2978130381867416E-9</v>
      </c>
      <c r="E82" s="14">
        <v>2.8668084193938541E-5</v>
      </c>
      <c r="F82" s="14">
        <v>2.2003929539171799E-6</v>
      </c>
      <c r="G82" s="14">
        <v>6.1886482779957317E-7</v>
      </c>
      <c r="H82" s="14">
        <v>0</v>
      </c>
      <c r="I82" s="14">
        <v>1.5435023786485937E-8</v>
      </c>
      <c r="J82" s="14">
        <v>8.4939251875200368E-6</v>
      </c>
      <c r="K82" s="14">
        <v>0</v>
      </c>
    </row>
    <row r="83" spans="1:11">
      <c r="A83" s="2" t="s">
        <v>444</v>
      </c>
      <c r="B83" s="3" t="s">
        <v>445</v>
      </c>
      <c r="D83" s="14">
        <v>2.0232238391379526E-8</v>
      </c>
      <c r="E83" s="14">
        <v>5.0799165045580795E-6</v>
      </c>
      <c r="F83" s="14">
        <v>1.9280493615805736E-5</v>
      </c>
      <c r="G83" s="14">
        <v>4.0683068676312556E-6</v>
      </c>
      <c r="H83" s="14">
        <v>0</v>
      </c>
      <c r="I83" s="14">
        <v>5.5591309076235494E-8</v>
      </c>
      <c r="J83" s="14">
        <v>1.1495459464537319E-5</v>
      </c>
      <c r="K83" s="14">
        <v>0</v>
      </c>
    </row>
    <row r="84" spans="1:11">
      <c r="A84" s="2" t="s">
        <v>446</v>
      </c>
      <c r="B84" s="3" t="s">
        <v>447</v>
      </c>
      <c r="D84" s="14">
        <v>2.2672328887817808E-19</v>
      </c>
      <c r="E84" s="14">
        <v>3.7285397154637383E-5</v>
      </c>
      <c r="F84" s="14">
        <v>1.6336926222293519E-7</v>
      </c>
      <c r="G84" s="14">
        <v>5.6736939204153956E-8</v>
      </c>
      <c r="H84" s="14">
        <v>0</v>
      </c>
      <c r="I84" s="14">
        <v>1.0342540016356904E-8</v>
      </c>
      <c r="J84" s="14">
        <v>2.4841541039189417E-6</v>
      </c>
      <c r="K84" s="14">
        <v>0</v>
      </c>
    </row>
    <row r="85" spans="1:11">
      <c r="A85" s="2" t="s">
        <v>448</v>
      </c>
      <c r="B85" s="3" t="s">
        <v>449</v>
      </c>
      <c r="D85" s="14">
        <v>1.5948399966611177E-12</v>
      </c>
      <c r="E85" s="14">
        <v>3.9496604325700487E-5</v>
      </c>
      <c r="F85" s="14">
        <v>6.7048850034688043E-9</v>
      </c>
      <c r="G85" s="14">
        <v>2.9586043330848726E-9</v>
      </c>
      <c r="H85" s="14">
        <v>0</v>
      </c>
      <c r="I85" s="14">
        <v>1.02272044511102E-8</v>
      </c>
      <c r="J85" s="14">
        <v>4.83503385671846E-7</v>
      </c>
      <c r="K85" s="14">
        <v>0</v>
      </c>
    </row>
    <row r="86" spans="1:11">
      <c r="A86" s="2" t="s">
        <v>450</v>
      </c>
      <c r="B86" s="3" t="s">
        <v>451</v>
      </c>
      <c r="D86" s="14">
        <v>5.7040797173242053E-13</v>
      </c>
      <c r="E86" s="14">
        <v>3.7354955805162592E-5</v>
      </c>
      <c r="F86" s="14">
        <v>1.5568967112725779E-7</v>
      </c>
      <c r="G86" s="14">
        <v>5.4269442056716932E-8</v>
      </c>
      <c r="H86" s="14">
        <v>0</v>
      </c>
      <c r="I86" s="14">
        <v>1.0328820979053408E-8</v>
      </c>
      <c r="J86" s="14">
        <v>2.4247556902664105E-6</v>
      </c>
      <c r="K86" s="14">
        <v>0</v>
      </c>
    </row>
    <row r="87" spans="1:11">
      <c r="A87" s="2" t="s">
        <v>452</v>
      </c>
      <c r="B87" s="3" t="s">
        <v>453</v>
      </c>
      <c r="D87" s="14">
        <v>1.9575695405553469E-12</v>
      </c>
      <c r="E87" s="14">
        <v>2.100534598948077E-8</v>
      </c>
      <c r="F87" s="14">
        <v>8.6415453562869044E-6</v>
      </c>
      <c r="G87" s="14">
        <v>2.7866791557897069E-5</v>
      </c>
      <c r="H87" s="14">
        <v>0</v>
      </c>
      <c r="I87" s="14">
        <v>3.9314488322873772E-7</v>
      </c>
      <c r="J87" s="14">
        <v>3.0775108990282663E-6</v>
      </c>
      <c r="K87" s="14">
        <v>0</v>
      </c>
    </row>
    <row r="88" spans="1:11">
      <c r="A88" s="2" t="s">
        <v>454</v>
      </c>
      <c r="B88" s="3" t="s">
        <v>455</v>
      </c>
      <c r="D88" s="14">
        <v>1.5957197114756973E-9</v>
      </c>
      <c r="E88" s="14">
        <v>2.3999889953795467E-5</v>
      </c>
      <c r="F88" s="14">
        <v>4.1004434296650196E-6</v>
      </c>
      <c r="G88" s="14">
        <v>1.0872423987316641E-6</v>
      </c>
      <c r="H88" s="14">
        <v>0</v>
      </c>
      <c r="I88" s="14">
        <v>2.0392065814367495E-8</v>
      </c>
      <c r="J88" s="14">
        <v>1.0790436432282012E-5</v>
      </c>
      <c r="K88" s="14">
        <v>0</v>
      </c>
    </row>
    <row r="89" spans="1:11">
      <c r="A89" s="2" t="s">
        <v>456</v>
      </c>
      <c r="B89" s="3" t="s">
        <v>457</v>
      </c>
      <c r="D89" s="14">
        <v>1.0874542959612783E-21</v>
      </c>
      <c r="E89" s="14">
        <v>2.7875563404016146E-5</v>
      </c>
      <c r="F89" s="14">
        <v>2.4859090085786195E-6</v>
      </c>
      <c r="G89" s="14">
        <v>6.9148184728877171E-7</v>
      </c>
      <c r="H89" s="14">
        <v>0</v>
      </c>
      <c r="I89" s="14">
        <v>1.6183011979953838E-8</v>
      </c>
      <c r="J89" s="14">
        <v>8.9308627281365085E-6</v>
      </c>
      <c r="K89" s="14">
        <v>0</v>
      </c>
    </row>
    <row r="90" spans="1:11">
      <c r="A90" s="2" t="s">
        <v>458</v>
      </c>
      <c r="B90" s="3" t="s">
        <v>459</v>
      </c>
      <c r="D90" s="14">
        <v>1.6804943810414825E-33</v>
      </c>
      <c r="E90" s="14">
        <v>3.4531043712832391E-5</v>
      </c>
      <c r="F90" s="14">
        <v>5.911684927192521E-7</v>
      </c>
      <c r="G90" s="14">
        <v>1.8569783264776641E-7</v>
      </c>
      <c r="H90" s="14">
        <v>0</v>
      </c>
      <c r="I90" s="14">
        <v>1.1296639833079533E-8</v>
      </c>
      <c r="J90" s="14">
        <v>4.6807933219675132E-6</v>
      </c>
      <c r="K90" s="14">
        <v>0</v>
      </c>
    </row>
    <row r="91" spans="1:11">
      <c r="A91" s="2" t="s">
        <v>460</v>
      </c>
      <c r="B91" s="3" t="s">
        <v>461</v>
      </c>
      <c r="D91" s="14">
        <v>2.0136780259440672E-12</v>
      </c>
      <c r="E91" s="14">
        <v>1.3528905756595309E-7</v>
      </c>
      <c r="F91" s="14">
        <v>2.1289440388953422E-5</v>
      </c>
      <c r="G91" s="14">
        <v>1.3720179749963614E-5</v>
      </c>
      <c r="H91" s="14">
        <v>0</v>
      </c>
      <c r="I91" s="14">
        <v>1.8986553590556533E-7</v>
      </c>
      <c r="J91" s="14">
        <v>4.665223253933422E-6</v>
      </c>
      <c r="K91" s="14">
        <v>0</v>
      </c>
    </row>
    <row r="92" spans="1:11">
      <c r="A92" s="2" t="s">
        <v>462</v>
      </c>
      <c r="B92" s="3" t="s">
        <v>463</v>
      </c>
      <c r="D92" s="14">
        <v>1.7746004375803935E-13</v>
      </c>
      <c r="E92" s="14">
        <v>7.0803255179241561E-6</v>
      </c>
      <c r="F92" s="14">
        <v>1.670993648625392E-5</v>
      </c>
      <c r="G92" s="14">
        <v>3.6514920087786426E-6</v>
      </c>
      <c r="H92" s="14">
        <v>0</v>
      </c>
      <c r="I92" s="14">
        <v>5.0386571962664709E-8</v>
      </c>
      <c r="J92" s="14">
        <v>1.2507859237620574E-5</v>
      </c>
      <c r="K92" s="14">
        <v>0</v>
      </c>
    </row>
    <row r="93" spans="1:11">
      <c r="A93" s="2" t="s">
        <v>464</v>
      </c>
      <c r="B93" s="3" t="s">
        <v>465</v>
      </c>
      <c r="D93" s="14">
        <v>7.8779539046646779E-9</v>
      </c>
      <c r="E93" s="14">
        <v>1.5584256080089503E-6</v>
      </c>
      <c r="F93" s="14">
        <v>2.5863521108328109E-5</v>
      </c>
      <c r="G93" s="14">
        <v>4.8953438889902733E-6</v>
      </c>
      <c r="H93" s="14">
        <v>0</v>
      </c>
      <c r="I93" s="14">
        <v>6.6387656116760363E-8</v>
      </c>
      <c r="J93" s="14">
        <v>7.6084437846512467E-6</v>
      </c>
      <c r="K93" s="14">
        <v>0</v>
      </c>
    </row>
    <row r="94" spans="1:11">
      <c r="A94" s="2" t="s">
        <v>466</v>
      </c>
      <c r="B94" s="3" t="s">
        <v>467</v>
      </c>
      <c r="D94" s="14">
        <v>7.3355956258774815E-23</v>
      </c>
      <c r="E94" s="14">
        <v>3.5781627678556329E-5</v>
      </c>
      <c r="F94" s="14">
        <v>4.2012803877325277E-6</v>
      </c>
      <c r="G94" s="14">
        <v>5.5210306897245568E-10</v>
      </c>
      <c r="H94" s="14">
        <v>0</v>
      </c>
      <c r="I94" s="14">
        <v>1.0161121613590447E-8</v>
      </c>
      <c r="J94" s="14">
        <v>6.3787090285781202E-9</v>
      </c>
      <c r="K94" s="14">
        <v>0</v>
      </c>
    </row>
    <row r="95" spans="1:11">
      <c r="A95" s="2" t="s">
        <v>468</v>
      </c>
      <c r="B95" s="3" t="s">
        <v>469</v>
      </c>
      <c r="D95" s="14">
        <v>8.0891248746162314E-23</v>
      </c>
      <c r="E95" s="14">
        <v>3.1559795497443404E-7</v>
      </c>
      <c r="F95" s="14">
        <v>2.804631159292973E-5</v>
      </c>
      <c r="G95" s="14">
        <v>6.9385913454985265E-6</v>
      </c>
      <c r="H95" s="14">
        <v>0</v>
      </c>
      <c r="I95" s="14">
        <v>9.4983591971221805E-8</v>
      </c>
      <c r="J95" s="14">
        <v>4.6045155146260843E-6</v>
      </c>
      <c r="K95" s="14">
        <v>0</v>
      </c>
    </row>
    <row r="96" spans="1:11">
      <c r="A96" s="2" t="s">
        <v>470</v>
      </c>
      <c r="B96" s="163">
        <v>354656</v>
      </c>
      <c r="D96" s="14">
        <v>1.4740446498084208E-14</v>
      </c>
      <c r="E96" s="14">
        <v>3.873140748375484E-5</v>
      </c>
      <c r="F96" s="14">
        <v>3.9299303520514538E-8</v>
      </c>
      <c r="G96" s="14">
        <v>1.5201288767566927E-8</v>
      </c>
      <c r="H96" s="14">
        <v>0</v>
      </c>
      <c r="I96" s="14">
        <v>1.0184632045492055E-8</v>
      </c>
      <c r="J96" s="14">
        <v>1.2039072771711465E-6</v>
      </c>
      <c r="K96" s="14">
        <v>0</v>
      </c>
    </row>
    <row r="97" spans="1:11">
      <c r="A97" s="2" t="s">
        <v>472</v>
      </c>
      <c r="B97" s="3" t="s">
        <v>473</v>
      </c>
      <c r="D97" s="14">
        <v>2.2653900348489738E-14</v>
      </c>
      <c r="E97" s="14">
        <v>3.7249944184748502E-5</v>
      </c>
      <c r="F97" s="14">
        <v>1.673467184861993E-7</v>
      </c>
      <c r="G97" s="14">
        <v>5.8011321127674906E-8</v>
      </c>
      <c r="H97" s="14">
        <v>0</v>
      </c>
      <c r="I97" s="14">
        <v>1.0349751457135213E-8</v>
      </c>
      <c r="J97" s="14">
        <v>2.51434800152659E-6</v>
      </c>
      <c r="K97" s="14">
        <v>0</v>
      </c>
    </row>
    <row r="98" spans="1:11">
      <c r="A98" s="2" t="s">
        <v>474</v>
      </c>
      <c r="B98" s="3" t="s">
        <v>475</v>
      </c>
      <c r="D98" s="14">
        <v>1.8703179330202455E-24</v>
      </c>
      <c r="E98" s="14">
        <v>7.3476435325734673E-7</v>
      </c>
      <c r="F98" s="14">
        <v>2.8535773743716722E-5</v>
      </c>
      <c r="G98" s="14">
        <v>5.0732376667303957E-6</v>
      </c>
      <c r="H98" s="14">
        <v>0</v>
      </c>
      <c r="I98" s="14">
        <v>6.8977650434013751E-8</v>
      </c>
      <c r="J98" s="14">
        <v>5.5872465858615261E-6</v>
      </c>
      <c r="K98" s="14">
        <v>0</v>
      </c>
    </row>
    <row r="99" spans="1:11">
      <c r="A99" s="2" t="s">
        <v>476</v>
      </c>
      <c r="B99" s="3" t="s">
        <v>477</v>
      </c>
      <c r="D99" s="14">
        <v>6.9613238433753256E-12</v>
      </c>
      <c r="E99" s="14">
        <v>3.9650117471013997E-5</v>
      </c>
      <c r="F99" s="14">
        <v>3.300396004357814E-9</v>
      </c>
      <c r="G99" s="14">
        <v>1.5348346955381229E-9</v>
      </c>
      <c r="H99" s="14">
        <v>0</v>
      </c>
      <c r="I99" s="14">
        <v>1.0248979268124671E-8</v>
      </c>
      <c r="J99" s="14">
        <v>3.3479135769414747E-7</v>
      </c>
      <c r="K99" s="14">
        <v>0</v>
      </c>
    </row>
    <row r="100" spans="1:11">
      <c r="A100" s="2" t="s">
        <v>478</v>
      </c>
      <c r="B100" s="3" t="s">
        <v>479</v>
      </c>
      <c r="D100" s="14">
        <v>2.0431766069135667E-15</v>
      </c>
      <c r="E100" s="14">
        <v>1.6402821096030269E-5</v>
      </c>
      <c r="F100" s="14">
        <v>8.4213190712993088E-6</v>
      </c>
      <c r="G100" s="14">
        <v>2.0590916516663907E-6</v>
      </c>
      <c r="H100" s="14">
        <v>0</v>
      </c>
      <c r="I100" s="14">
        <v>3.1328844204474315E-8</v>
      </c>
      <c r="J100" s="14">
        <v>1.3085439334756381E-5</v>
      </c>
      <c r="K100" s="14">
        <v>0</v>
      </c>
    </row>
    <row r="101" spans="1:11">
      <c r="A101" s="2" t="s">
        <v>480</v>
      </c>
      <c r="B101" s="3" t="s">
        <v>481</v>
      </c>
      <c r="D101" s="14">
        <v>1.8729451089472287E-15</v>
      </c>
      <c r="E101" s="14">
        <v>3.9416466578648171E-5</v>
      </c>
      <c r="F101" s="14">
        <v>8.920706778196803E-9</v>
      </c>
      <c r="G101" s="14">
        <v>3.8538501137341292E-9</v>
      </c>
      <c r="H101" s="14">
        <v>0</v>
      </c>
      <c r="I101" s="14">
        <v>1.0217776895446795E-8</v>
      </c>
      <c r="J101" s="14">
        <v>5.6054108569151254E-7</v>
      </c>
      <c r="K101" s="14">
        <v>0</v>
      </c>
    </row>
    <row r="102" spans="1:11">
      <c r="A102" s="2" t="s">
        <v>482</v>
      </c>
      <c r="B102" s="3" t="s">
        <v>483</v>
      </c>
      <c r="D102" s="14">
        <v>1.1772708261064042E-31</v>
      </c>
      <c r="E102" s="14">
        <v>3.9846393775152335E-5</v>
      </c>
      <c r="F102" s="14">
        <v>6.3672308632433502E-10</v>
      </c>
      <c r="G102" s="14">
        <v>3.3438451090149319E-10</v>
      </c>
      <c r="H102" s="14">
        <v>0</v>
      </c>
      <c r="I102" s="14">
        <v>1.0284687456859066E-8</v>
      </c>
      <c r="J102" s="14">
        <v>1.4235042979357627E-7</v>
      </c>
      <c r="K102" s="14">
        <v>0</v>
      </c>
    </row>
    <row r="103" spans="1:11">
      <c r="A103" s="2" t="s">
        <v>484</v>
      </c>
      <c r="B103" s="3" t="s">
        <v>485</v>
      </c>
      <c r="D103" s="14">
        <v>9.389913133587289E-18</v>
      </c>
      <c r="E103" s="14">
        <v>3.9661050684495878E-5</v>
      </c>
      <c r="F103" s="14">
        <v>3.1012429463915475E-9</v>
      </c>
      <c r="G103" s="14">
        <v>1.4488764213233494E-9</v>
      </c>
      <c r="H103" s="14">
        <v>0</v>
      </c>
      <c r="I103" s="14">
        <v>1.0250726591589834E-8</v>
      </c>
      <c r="J103" s="14">
        <v>3.2414846953542843E-7</v>
      </c>
      <c r="K103" s="14">
        <v>0</v>
      </c>
    </row>
    <row r="104" spans="1:11">
      <c r="A104" s="2" t="s">
        <v>486</v>
      </c>
      <c r="B104" s="3" t="s">
        <v>487</v>
      </c>
      <c r="D104" s="14">
        <v>1.155569397032497E-13</v>
      </c>
      <c r="E104" s="14">
        <v>3.805122760149402E-5</v>
      </c>
      <c r="F104" s="14">
        <v>8.811913934860366E-8</v>
      </c>
      <c r="G104" s="14">
        <v>3.2074936270971677E-8</v>
      </c>
      <c r="H104" s="14">
        <v>0</v>
      </c>
      <c r="I104" s="14">
        <v>1.0224222137181877E-8</v>
      </c>
      <c r="J104" s="14">
        <v>1.8183539851922804E-6</v>
      </c>
      <c r="K104" s="14">
        <v>0</v>
      </c>
    </row>
    <row r="105" spans="1:11">
      <c r="A105" s="2" t="s">
        <v>488</v>
      </c>
      <c r="B105" s="3" t="s">
        <v>489</v>
      </c>
      <c r="D105" s="14">
        <v>9.3627370902233315E-21</v>
      </c>
      <c r="E105" s="14">
        <v>3.9817635710331383E-5</v>
      </c>
      <c r="F105" s="14">
        <v>9.0297773781555298E-10</v>
      </c>
      <c r="G105" s="14">
        <v>4.6213897699090984E-10</v>
      </c>
      <c r="H105" s="14">
        <v>0</v>
      </c>
      <c r="I105" s="14">
        <v>1.0278847818782272E-8</v>
      </c>
      <c r="J105" s="14">
        <v>1.707203251350269E-7</v>
      </c>
      <c r="K105" s="14">
        <v>0</v>
      </c>
    </row>
    <row r="106" spans="1:11">
      <c r="A106" s="2" t="s">
        <v>490</v>
      </c>
      <c r="B106" s="3" t="s">
        <v>491</v>
      </c>
      <c r="D106" s="14">
        <v>5.0886701830224036E-13</v>
      </c>
      <c r="E106" s="14">
        <v>3.2974403196346603E-5</v>
      </c>
      <c r="F106" s="14">
        <v>9.3084746062569556E-7</v>
      </c>
      <c r="G106" s="14">
        <v>2.8182146857913479E-7</v>
      </c>
      <c r="H106" s="14">
        <v>0</v>
      </c>
      <c r="I106" s="14">
        <v>1.2143231801035269E-8</v>
      </c>
      <c r="J106" s="14">
        <v>5.8007841337805175E-6</v>
      </c>
      <c r="K106" s="14">
        <v>0</v>
      </c>
    </row>
    <row r="107" spans="1:11">
      <c r="A107" s="2" t="s">
        <v>492</v>
      </c>
      <c r="B107" s="3" t="s">
        <v>493</v>
      </c>
      <c r="D107" s="14">
        <v>8.7896299267286828E-21</v>
      </c>
      <c r="E107" s="14">
        <v>5.4628997490723615E-7</v>
      </c>
      <c r="F107" s="14">
        <v>2.9366000718236468E-5</v>
      </c>
      <c r="G107" s="14">
        <v>5.0973019464720637E-6</v>
      </c>
      <c r="H107" s="14">
        <v>0</v>
      </c>
      <c r="I107" s="14">
        <v>6.9411598566844862E-8</v>
      </c>
      <c r="J107" s="14">
        <v>4.9209957618173819E-6</v>
      </c>
      <c r="K107" s="14">
        <v>0</v>
      </c>
    </row>
    <row r="108" spans="1:11">
      <c r="A108" s="2" t="s">
        <v>291</v>
      </c>
      <c r="B108" s="3" t="s">
        <v>494</v>
      </c>
      <c r="D108" s="14">
        <v>1.1763639231134995E-14</v>
      </c>
      <c r="E108" s="14">
        <v>1.8879667333352555E-5</v>
      </c>
      <c r="F108" s="14">
        <v>6.8299246421667586E-6</v>
      </c>
      <c r="G108" s="14">
        <v>1.7136079459369534E-6</v>
      </c>
      <c r="H108" s="14">
        <v>0</v>
      </c>
      <c r="I108" s="14">
        <v>2.7367251958859015E-8</v>
      </c>
      <c r="J108" s="14">
        <v>1.2549432814821244E-5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08"/>
  <sheetViews>
    <sheetView tabSelected="1" topLeftCell="A77" workbookViewId="0">
      <selection activeCell="A84" sqref="A84:D10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1.3544405935583947E-8</v>
      </c>
      <c r="B2">
        <f>'Mass Balance'!E2</f>
        <v>3.0924320125266082E-5</v>
      </c>
      <c r="C2">
        <f>SUM('Mass Balance'!E2:H2)</f>
        <v>3.2830126392160717E-5</v>
      </c>
      <c r="D2">
        <f>Concentrations!F2/Concentrations!E2</f>
        <v>0.94563593622416298</v>
      </c>
    </row>
    <row r="3" spans="1:4">
      <c r="A3">
        <f>'Mass Balance'!I3</f>
        <v>3.7187548508676836E-7</v>
      </c>
      <c r="B3">
        <f>'Mass Balance'!E3</f>
        <v>2.6291124581680339E-8</v>
      </c>
      <c r="C3">
        <f>SUM('Mass Balance'!E3:H3)</f>
        <v>3.6189818732976356E-5</v>
      </c>
      <c r="D3">
        <f>Concentrations!F3/Concentrations!E3</f>
        <v>7.2932166972692735E-4</v>
      </c>
    </row>
    <row r="4" spans="1:4">
      <c r="A4">
        <f>'Mass Balance'!I4</f>
        <v>3.5298677869313815E-8</v>
      </c>
      <c r="B4">
        <f>'Mass Balance'!E4</f>
        <v>1.4145248145019751E-5</v>
      </c>
      <c r="C4">
        <f>SUM('Mass Balance'!E4:H4)</f>
        <v>2.6596889272319103E-5</v>
      </c>
      <c r="D4">
        <f>Concentrations!F4/Concentrations!E4</f>
        <v>0.53391987495413595</v>
      </c>
    </row>
    <row r="5" spans="1:4">
      <c r="A5">
        <f>'Mass Balance'!I5</f>
        <v>1.0778114472337124E-7</v>
      </c>
      <c r="B5">
        <f>'Mass Balance'!E5</f>
        <v>2.7708968176018296E-7</v>
      </c>
      <c r="C5">
        <f>SUM('Mass Balance'!E5:H5)</f>
        <v>3.522156700978312E-5</v>
      </c>
      <c r="D5">
        <f>Concentrations!F5/Concentrations!E5</f>
        <v>7.8978347458445244E-3</v>
      </c>
    </row>
    <row r="6" spans="1:4">
      <c r="A6">
        <f>'Mass Balance'!I6</f>
        <v>4.3613856355361196E-7</v>
      </c>
      <c r="B6">
        <f>'Mass Balance'!E6</f>
        <v>1.1842617338271603E-8</v>
      </c>
      <c r="C6">
        <f>SUM('Mass Balance'!E6:H6)</f>
        <v>3.7031425154732903E-5</v>
      </c>
      <c r="D6">
        <f>Concentrations!F6/Concentrations!E6</f>
        <v>3.2105070844138669E-4</v>
      </c>
    </row>
    <row r="7" spans="1:4">
      <c r="A7">
        <f>'Mass Balance'!I7</f>
        <v>3.833191695135606E-7</v>
      </c>
      <c r="B7">
        <f>'Mass Balance'!E7</f>
        <v>2.3558904604239862E-8</v>
      </c>
      <c r="C7">
        <f>SUM('Mass Balance'!E7:H7)</f>
        <v>3.6423972625367832E-5</v>
      </c>
      <c r="D7">
        <f>Concentrations!F7/Concentrations!E7</f>
        <v>6.4932802139476542E-4</v>
      </c>
    </row>
    <row r="8" spans="1:4">
      <c r="A8">
        <f>'Mass Balance'!I8</f>
        <v>3.0395031159590222E-7</v>
      </c>
      <c r="B8">
        <f>'Mass Balance'!E8</f>
        <v>5.2165175812252488E-8</v>
      </c>
      <c r="C8">
        <f>SUM('Mass Balance'!E8:H8)</f>
        <v>3.5706168833642284E-5</v>
      </c>
      <c r="D8">
        <f>Concentrations!F8/Concentrations!E8</f>
        <v>1.4666746427414962E-3</v>
      </c>
    </row>
    <row r="9" spans="1:4">
      <c r="A9">
        <f>'Mass Balance'!I9</f>
        <v>6.3707601852129358E-8</v>
      </c>
      <c r="B9">
        <f>'Mass Balance'!E9</f>
        <v>2.3764744096394691E-6</v>
      </c>
      <c r="C9">
        <f>SUM('Mass Balance'!E9:H9)</f>
        <v>3.0992122189295253E-5</v>
      </c>
      <c r="D9">
        <f>Concentrations!F9/Concentrations!E9</f>
        <v>7.6980049987451254E-2</v>
      </c>
    </row>
    <row r="10" spans="1:4">
      <c r="A10">
        <f>'Mass Balance'!I10</f>
        <v>1.1530282545530104E-7</v>
      </c>
      <c r="B10">
        <f>'Mass Balance'!E10</f>
        <v>2.5771573659526511E-7</v>
      </c>
      <c r="C10">
        <f>SUM('Mass Balance'!E10:H10)</f>
        <v>3.5192066046221333E-5</v>
      </c>
      <c r="D10">
        <f>Concentrations!F10/Concentrations!E10</f>
        <v>7.3517805761136156E-3</v>
      </c>
    </row>
    <row r="11" spans="1:4">
      <c r="A11">
        <f>'Mass Balance'!I11</f>
        <v>1.2862738657638554E-7</v>
      </c>
      <c r="B11">
        <f>'Mass Balance'!E11</f>
        <v>2.2768226475520927E-7</v>
      </c>
      <c r="C11">
        <f>SUM('Mass Balance'!E11:H11)</f>
        <v>3.5145360079897055E-5</v>
      </c>
      <c r="D11">
        <f>Concentrations!F11/Concentrations!E11</f>
        <v>6.5036560878853978E-3</v>
      </c>
    </row>
    <row r="12" spans="1:4">
      <c r="A12">
        <f>'Mass Balance'!I12</f>
        <v>6.6507022077518114E-8</v>
      </c>
      <c r="B12">
        <f>'Mass Balance'!E12</f>
        <v>1.5254277190230741E-6</v>
      </c>
      <c r="C12">
        <f>SUM('Mass Balance'!E12:H12)</f>
        <v>3.2386331506769191E-5</v>
      </c>
      <c r="D12">
        <f>Concentrations!F12/Concentrations!E12</f>
        <v>4.7285309840487087E-2</v>
      </c>
    </row>
    <row r="13" spans="1:4">
      <c r="A13">
        <f>'Mass Balance'!I13</f>
        <v>6.4016034756972447E-8</v>
      </c>
      <c r="B13">
        <f>'Mass Balance'!E13</f>
        <v>2.2800842545263444E-6</v>
      </c>
      <c r="C13">
        <f>SUM('Mass Balance'!E13:H13)</f>
        <v>3.1125653087465466E-5</v>
      </c>
      <c r="D13">
        <f>Concentrations!F13/Concentrations!E13</f>
        <v>7.3540873690213074E-2</v>
      </c>
    </row>
    <row r="14" spans="1:4">
      <c r="A14">
        <f>'Mass Balance'!I14</f>
        <v>1.7620204414455118E-7</v>
      </c>
      <c r="B14">
        <f>'Mass Balance'!E14</f>
        <v>1.5132069525397901E-7</v>
      </c>
      <c r="C14">
        <f>SUM('Mass Balance'!E14:H14)</f>
        <v>3.5120239821180915E-5</v>
      </c>
      <c r="D14">
        <f>Concentrations!F14/Concentrations!E14</f>
        <v>4.3255089750456237E-3</v>
      </c>
    </row>
    <row r="15" spans="1:4">
      <c r="A15">
        <f>'Mass Balance'!I15</f>
        <v>1.2184260606983695E-7</v>
      </c>
      <c r="B15">
        <f>'Mass Balance'!E15</f>
        <v>2.4235340365948916E-7</v>
      </c>
      <c r="C15">
        <f>SUM('Mass Balance'!E15:H15)</f>
        <v>3.516817583486693E-5</v>
      </c>
      <c r="D15">
        <f>Concentrations!F15/Concentrations!E15</f>
        <v>6.9182403118300583E-3</v>
      </c>
    </row>
    <row r="16" spans="1:4">
      <c r="A16">
        <f>'Mass Balance'!I16</f>
        <v>3.0006135692024068E-7</v>
      </c>
      <c r="B16">
        <f>'Mass Balance'!E16</f>
        <v>5.3958464218147031E-8</v>
      </c>
      <c r="C16">
        <f>SUM('Mass Balance'!E16:H16)</f>
        <v>3.5668725986325782E-5</v>
      </c>
      <c r="D16">
        <f>Concentrations!F16/Concentrations!E16</f>
        <v>1.5186872432767797E-3</v>
      </c>
    </row>
    <row r="17" spans="1:4">
      <c r="A17">
        <f>'Mass Balance'!I17</f>
        <v>1.1025261056851962E-7</v>
      </c>
      <c r="B17">
        <f>'Mass Balance'!E17</f>
        <v>2.7052548995883687E-7</v>
      </c>
      <c r="C17">
        <f>SUM('Mass Balance'!E17:H17)</f>
        <v>3.5212905650252086E-5</v>
      </c>
      <c r="D17">
        <f>Concentrations!F17/Concentrations!E17</f>
        <v>7.7126334484831239E-3</v>
      </c>
    </row>
    <row r="18" spans="1:4">
      <c r="A18">
        <f>'Mass Balance'!I18</f>
        <v>6.1996189753478786E-8</v>
      </c>
      <c r="B18">
        <f>'Mass Balance'!E18</f>
        <v>2.846739316360815E-6</v>
      </c>
      <c r="C18">
        <f>SUM('Mass Balance'!E18:H18)</f>
        <v>3.0292053028333708E-5</v>
      </c>
      <c r="D18">
        <f>Concentrations!F18/Concentrations!E18</f>
        <v>9.4344231965447389E-2</v>
      </c>
    </row>
    <row r="19" spans="1:4">
      <c r="A19">
        <f>'Mass Balance'!I19</f>
        <v>1.2318121849344203E-7</v>
      </c>
      <c r="B19">
        <f>'Mass Balance'!E19</f>
        <v>2.3936676059905199E-7</v>
      </c>
      <c r="C19">
        <f>SUM('Mass Balance'!E19:H19)</f>
        <v>3.5163848141226137E-5</v>
      </c>
      <c r="D19">
        <f>Concentrations!F19/Concentrations!E19</f>
        <v>6.8338243025118017E-3</v>
      </c>
    </row>
    <row r="20" spans="1:4">
      <c r="A20">
        <f>'Mass Balance'!I20</f>
        <v>6.4024617196168932E-8</v>
      </c>
      <c r="B20">
        <f>'Mass Balance'!E20</f>
        <v>2.2803899386342654E-6</v>
      </c>
      <c r="C20">
        <f>SUM('Mass Balance'!E20:H20)</f>
        <v>3.1129826011110103E-5</v>
      </c>
      <c r="D20">
        <f>Concentrations!F20/Concentrations!E20</f>
        <v>7.3540873690213088E-2</v>
      </c>
    </row>
    <row r="21" spans="1:4">
      <c r="A21">
        <f>'Mass Balance'!I21</f>
        <v>1.6140848179699846E-7</v>
      </c>
      <c r="B21">
        <f>'Mass Balance'!E21</f>
        <v>1.7100707268952441E-7</v>
      </c>
      <c r="C21">
        <f>SUM('Mass Balance'!E21:H21)</f>
        <v>3.5095592364805552E-5</v>
      </c>
      <c r="D21">
        <f>Concentrations!F21/Concentrations!E21</f>
        <v>4.8916779614992974E-3</v>
      </c>
    </row>
    <row r="22" spans="1:4">
      <c r="A22">
        <f>'Mass Balance'!I22</f>
        <v>2.2203377078593734E-8</v>
      </c>
      <c r="B22">
        <f>'Mass Balance'!E22</f>
        <v>2.24742401053517E-5</v>
      </c>
      <c r="C22">
        <f>SUM('Mass Balance'!E22:H22)</f>
        <v>2.8537278271573388E-5</v>
      </c>
      <c r="D22">
        <f>Concentrations!F22/Concentrations!E22</f>
        <v>0.79062187913500215</v>
      </c>
    </row>
    <row r="23" spans="1:4">
      <c r="A23">
        <f>'Mass Balance'!I23</f>
        <v>1.567527198724871E-8</v>
      </c>
      <c r="B23">
        <f>'Mass Balance'!E23</f>
        <v>2.8407474905223952E-5</v>
      </c>
      <c r="C23">
        <f>SUM('Mass Balance'!E23:H23)</f>
        <v>3.1342001376483142E-5</v>
      </c>
      <c r="D23">
        <f>Concentrations!F23/Concentrations!E23</f>
        <v>0.90991802583642012</v>
      </c>
    </row>
    <row r="24" spans="1:4">
      <c r="A24">
        <f>'Mass Balance'!I24</f>
        <v>5.0675614084798691E-8</v>
      </c>
      <c r="B24">
        <f>'Mass Balance'!E24</f>
        <v>6.962509823015928E-6</v>
      </c>
      <c r="C24">
        <f>SUM('Mass Balance'!E24:H24)</f>
        <v>2.748535084475764E-5</v>
      </c>
      <c r="D24">
        <f>Concentrations!F24/Concentrations!E24</f>
        <v>0.25430851284398492</v>
      </c>
    </row>
    <row r="25" spans="1:4">
      <c r="A25">
        <f>'Mass Balance'!I25</f>
        <v>6.7772921968230285E-8</v>
      </c>
      <c r="B25">
        <f>'Mass Balance'!E25</f>
        <v>8.3009736531890004E-7</v>
      </c>
      <c r="C25">
        <f>SUM('Mass Balance'!E25:H25)</f>
        <v>3.3564517890833875E-5</v>
      </c>
      <c r="D25">
        <f>Concentrations!F25/Concentrations!E25</f>
        <v>2.4828185657071927E-2</v>
      </c>
    </row>
    <row r="26" spans="1:4">
      <c r="A26">
        <f>'Mass Balance'!I26</f>
        <v>1.5200773441825498E-7</v>
      </c>
      <c r="B26">
        <f>'Mass Balance'!E26</f>
        <v>1.8524674703589866E-7</v>
      </c>
      <c r="C26">
        <f>SUM('Mass Balance'!E26:H26)</f>
        <v>3.5100089993064364E-5</v>
      </c>
      <c r="D26">
        <f>Concentrations!F26/Concentrations!E26</f>
        <v>5.2983265655727274E-3</v>
      </c>
    </row>
    <row r="27" spans="1:4">
      <c r="A27">
        <f>'Mass Balance'!I27</f>
        <v>3.6368161316040545E-7</v>
      </c>
      <c r="B27">
        <f>'Mass Balance'!E27</f>
        <v>2.8894395168655666E-8</v>
      </c>
      <c r="C27">
        <f>SUM('Mass Balance'!E27:H27)</f>
        <v>3.6144448027119051E-5</v>
      </c>
      <c r="D27">
        <f>Concentrations!F27/Concentrations!E27</f>
        <v>8.0254311530271677E-4</v>
      </c>
    </row>
    <row r="28" spans="1:4">
      <c r="A28">
        <f>'Mass Balance'!I28</f>
        <v>2.2402371014543135E-7</v>
      </c>
      <c r="B28">
        <f>'Mass Balance'!E28</f>
        <v>1.0246034983432384E-7</v>
      </c>
      <c r="C28">
        <f>SUM('Mass Balance'!E28:H28)</f>
        <v>3.5244644320445512E-5</v>
      </c>
      <c r="D28">
        <f>Concentrations!F28/Concentrations!E28</f>
        <v>2.9184957454671035E-3</v>
      </c>
    </row>
    <row r="29" spans="1:4">
      <c r="A29">
        <f>'Mass Balance'!I29</f>
        <v>1.6655296164561861E-7</v>
      </c>
      <c r="B29">
        <f>'Mass Balance'!E29</f>
        <v>1.5340531721123512E-7</v>
      </c>
      <c r="C29">
        <f>SUM('Mass Balance'!E29:H29)</f>
        <v>3.4158812992668941E-5</v>
      </c>
      <c r="D29">
        <f>Concentrations!F29/Concentrations!E29</f>
        <v>4.5085200424820797E-3</v>
      </c>
    </row>
    <row r="30" spans="1:4">
      <c r="A30">
        <f>'Mass Balance'!I30</f>
        <v>2.2402371014543135E-7</v>
      </c>
      <c r="B30">
        <f>'Mass Balance'!E30</f>
        <v>1.0246034983432384E-7</v>
      </c>
      <c r="C30">
        <f>SUM('Mass Balance'!E30:H30)</f>
        <v>3.5244644320445512E-5</v>
      </c>
      <c r="D30">
        <f>Concentrations!F30/Concentrations!E30</f>
        <v>2.9184957454671035E-3</v>
      </c>
    </row>
    <row r="31" spans="1:4">
      <c r="A31">
        <f>'Mass Balance'!I31</f>
        <v>1.0188895567449225E-8</v>
      </c>
      <c r="B31">
        <f>'Mass Balance'!E31</f>
        <v>3.9021543498070555E-5</v>
      </c>
      <c r="C31">
        <f>SUM('Mass Balance'!E31:H31)</f>
        <v>3.9055191919874373E-5</v>
      </c>
      <c r="D31">
        <f>Concentrations!F31/Concentrations!E31</f>
        <v>1.0030487243621815</v>
      </c>
    </row>
    <row r="32" spans="1:4">
      <c r="A32">
        <f>'Mass Balance'!I32</f>
        <v>3.0602760886123381E-8</v>
      </c>
      <c r="B32">
        <f>'Mass Balance'!E32</f>
        <v>1.7367718833555476E-5</v>
      </c>
      <c r="C32">
        <f>SUM('Mass Balance'!E32:H32)</f>
        <v>2.7100314432999347E-5</v>
      </c>
      <c r="D32">
        <f>Concentrations!F32/Concentrations!E32</f>
        <v>0.64337593466145515</v>
      </c>
    </row>
    <row r="33" spans="1:4">
      <c r="A33">
        <f>'Mass Balance'!I33</f>
        <v>1.0319931756395223E-8</v>
      </c>
      <c r="B33">
        <f>'Mass Balance'!E33</f>
        <v>3.9819295563733244E-5</v>
      </c>
      <c r="C33">
        <f>SUM('Mass Balance'!E33:H33)</f>
        <v>3.9987395647905607E-5</v>
      </c>
      <c r="D33">
        <f>Concentrations!F33/Concentrations!E33</f>
        <v>0.99969337789726764</v>
      </c>
    </row>
    <row r="34" spans="1:4">
      <c r="A34">
        <f>'Mass Balance'!I34</f>
        <v>9.1699956829831055E-9</v>
      </c>
      <c r="B34">
        <f>'Mass Balance'!E34</f>
        <v>2.1899776993724828E-5</v>
      </c>
      <c r="C34">
        <f>SUM('Mass Balance'!E34:H34)</f>
        <v>3.9983045531521885E-5</v>
      </c>
      <c r="D34">
        <f>Concentrations!F34/Concentrations!E34</f>
        <v>0.54987019915558144</v>
      </c>
    </row>
    <row r="35" spans="1:4">
      <c r="A35">
        <f>'Mass Balance'!I35</f>
        <v>8.3362677335091018E-9</v>
      </c>
      <c r="B35">
        <f>'Mass Balance'!E35</f>
        <v>1.2965229090708887E-5</v>
      </c>
      <c r="C35">
        <f>SUM('Mass Balance'!E35:H35)</f>
        <v>3.9972821093073534E-5</v>
      </c>
      <c r="D35">
        <f>Concentrations!F35/Concentrations!E35</f>
        <v>0.32562051399863756</v>
      </c>
    </row>
    <row r="36" spans="1:4">
      <c r="A36">
        <f>'Mass Balance'!I36</f>
        <v>7.1938050099760898E-9</v>
      </c>
      <c r="B36">
        <f>'Mass Balance'!E36</f>
        <v>4.3248923304633353E-6</v>
      </c>
      <c r="C36">
        <f>SUM('Mass Balance'!E36:H36)</f>
        <v>3.9971745801122052E-5</v>
      </c>
      <c r="D36">
        <f>Concentrations!F36/Concentrations!E36</f>
        <v>0.10862218771257093</v>
      </c>
    </row>
    <row r="37" spans="1:4">
      <c r="A37">
        <f>'Mass Balance'!I37</f>
        <v>1.8976377197333052E-8</v>
      </c>
      <c r="B37">
        <f>'Mass Balance'!E37</f>
        <v>8.3231360884674347E-6</v>
      </c>
      <c r="C37">
        <f>SUM('Mass Balance'!E37:H37)</f>
        <v>3.7152038252692605E-5</v>
      </c>
      <c r="D37">
        <f>Concentrations!F37/Concentrations!E37</f>
        <v>0.22490582970047907</v>
      </c>
    </row>
    <row r="38" spans="1:4">
      <c r="A38">
        <f>'Mass Balance'!I38</f>
        <v>9.5172144736212407E-9</v>
      </c>
      <c r="B38">
        <f>'Mass Balance'!E38</f>
        <v>2.4523491347800946E-5</v>
      </c>
      <c r="C38">
        <f>SUM('Mass Balance'!E38:H38)</f>
        <v>3.9915189967415245E-5</v>
      </c>
      <c r="D38">
        <f>Concentrations!F38/Concentrations!E38</f>
        <v>0.61679445598249316</v>
      </c>
    </row>
    <row r="39" spans="1:4">
      <c r="A39">
        <f>'Mass Balance'!I39</f>
        <v>7.1187939138024474E-8</v>
      </c>
      <c r="B39">
        <f>'Mass Balance'!E39</f>
        <v>4.1387268567517498E-7</v>
      </c>
      <c r="C39">
        <f>SUM('Mass Balance'!E39:H39)</f>
        <v>3.5511748419018524E-5</v>
      </c>
      <c r="D39">
        <f>Concentrations!F39/Concentrations!E39</f>
        <v>1.1700140373438877E-2</v>
      </c>
    </row>
    <row r="40" spans="1:4">
      <c r="A40">
        <f>'Mass Balance'!I40</f>
        <v>4.4723899960904972E-7</v>
      </c>
      <c r="B40">
        <f>'Mass Balance'!E40</f>
        <v>4.02666379454683E-8</v>
      </c>
      <c r="C40">
        <f>SUM('Mass Balance'!E40:H40)</f>
        <v>3.9437187051664727E-5</v>
      </c>
      <c r="D40">
        <f>Concentrations!F40/Concentrations!E40</f>
        <v>1.0250281720648683E-3</v>
      </c>
    </row>
    <row r="41" spans="1:4">
      <c r="A41">
        <f>'Mass Balance'!I41</f>
        <v>9.4329260917037809E-9</v>
      </c>
      <c r="B41">
        <f>'Mass Balance'!E41</f>
        <v>3.6534226460818671E-5</v>
      </c>
      <c r="C41">
        <f>SUM('Mass Balance'!E41:H41)</f>
        <v>3.6535904831962857E-5</v>
      </c>
      <c r="D41">
        <f>Concentrations!F41/Concentrations!E41</f>
        <v>1.0038675396339611</v>
      </c>
    </row>
    <row r="42" spans="1:4">
      <c r="A42">
        <f>'Mass Balance'!I42</f>
        <v>2.4309049159446847E-8</v>
      </c>
      <c r="B42">
        <f>'Mass Balance'!E42</f>
        <v>2.0982516809852292E-5</v>
      </c>
      <c r="C42">
        <f>SUM('Mass Balance'!E42:H42)</f>
        <v>2.8047698228000572E-5</v>
      </c>
      <c r="D42">
        <f>Concentrations!F42/Concentrations!E42</f>
        <v>0.75102901537292643</v>
      </c>
    </row>
    <row r="43" spans="1:4">
      <c r="A43">
        <f>'Mass Balance'!I43</f>
        <v>1.3053175562017454E-8</v>
      </c>
      <c r="B43">
        <f>'Mass Balance'!E43</f>
        <v>3.525809710889199E-7</v>
      </c>
      <c r="C43">
        <f>SUM('Mass Balance'!E43:H43)</f>
        <v>3.9970073548983993E-5</v>
      </c>
      <c r="D43">
        <f>Concentrations!F43/Concentrations!E43</f>
        <v>8.8556467538360353E-3</v>
      </c>
    </row>
    <row r="44" spans="1:4">
      <c r="A44">
        <f>'Mass Balance'!I44</f>
        <v>1.0924555240299683E-8</v>
      </c>
      <c r="B44">
        <f>'Mass Balance'!E44</f>
        <v>3.047833291895753E-5</v>
      </c>
      <c r="C44">
        <f>SUM('Mass Balance'!E44:H44)</f>
        <v>3.1494259429525687E-5</v>
      </c>
      <c r="D44">
        <f>Concentrations!F44/Concentrations!E44</f>
        <v>0.97152989827926506</v>
      </c>
    </row>
    <row r="45" spans="1:4">
      <c r="A45">
        <f>'Mass Balance'!I45</f>
        <v>2.6292831576681777E-8</v>
      </c>
      <c r="B45">
        <f>'Mass Balance'!E45</f>
        <v>1.9572270129942064E-5</v>
      </c>
      <c r="C45">
        <f>SUM('Mass Balance'!E45:H45)</f>
        <v>2.7598065319980093E-5</v>
      </c>
      <c r="D45">
        <f>Concentrations!F45/Concentrations!E45</f>
        <v>0.7119654604094906</v>
      </c>
    </row>
    <row r="46" spans="1:4">
      <c r="A46">
        <f>'Mass Balance'!I46</f>
        <v>2.499126545030132E-8</v>
      </c>
      <c r="B46">
        <f>'Mass Balance'!E46</f>
        <v>2.0420349353446834E-5</v>
      </c>
      <c r="C46">
        <f>SUM('Mass Balance'!E46:H46)</f>
        <v>2.7823558907402924E-5</v>
      </c>
      <c r="D46">
        <f>Concentrations!F46/Concentrations!E46</f>
        <v>0.73679530590858944</v>
      </c>
    </row>
    <row r="47" spans="1:4">
      <c r="A47">
        <f>'Mass Balance'!I47</f>
        <v>3.7321941200575791E-7</v>
      </c>
      <c r="B47">
        <f>'Mass Balance'!E47</f>
        <v>2.6386138508311139E-8</v>
      </c>
      <c r="C47">
        <f>SUM('Mass Balance'!E47:H47)</f>
        <v>3.6320605712863592E-5</v>
      </c>
      <c r="D47">
        <f>Concentrations!F47/Concentrations!E47</f>
        <v>7.2932166972692735E-4</v>
      </c>
    </row>
    <row r="48" spans="1:4">
      <c r="A48">
        <f>'Mass Balance'!I48</f>
        <v>1.0397342787673444E-8</v>
      </c>
      <c r="B48">
        <f>'Mass Balance'!E48</f>
        <v>3.6120405960086897E-5</v>
      </c>
      <c r="C48">
        <f>SUM('Mass Balance'!E48:H48)</f>
        <v>3.6456135150437518E-5</v>
      </c>
      <c r="D48">
        <f>Concentrations!F48/Concentrations!E48</f>
        <v>0.99466848831057519</v>
      </c>
    </row>
    <row r="49" spans="1:4">
      <c r="A49">
        <f>'Mass Balance'!I49</f>
        <v>1.0737109882377465E-8</v>
      </c>
      <c r="B49">
        <f>'Mass Balance'!E49</f>
        <v>3.446988479082442E-5</v>
      </c>
      <c r="C49">
        <f>SUM('Mass Balance'!E49:H49)</f>
        <v>3.5061768246737319E-5</v>
      </c>
      <c r="D49">
        <f>Concentrations!F49/Concentrations!E49</f>
        <v>0.98696642602903828</v>
      </c>
    </row>
    <row r="50" spans="1:4">
      <c r="A50">
        <f>'Mass Balance'!I50</f>
        <v>6.1224967520943189E-8</v>
      </c>
      <c r="B50">
        <f>'Mass Balance'!E50</f>
        <v>3.0126158858188861E-6</v>
      </c>
      <c r="C50">
        <f>SUM('Mass Balance'!E50:H50)</f>
        <v>2.9982843983190828E-5</v>
      </c>
      <c r="D50">
        <f>Concentrations!F50/Concentrations!E50</f>
        <v>0.1008712259839544</v>
      </c>
    </row>
    <row r="51" spans="1:4">
      <c r="A51">
        <f>'Mass Balance'!I51</f>
        <v>9.5180097453158634E-9</v>
      </c>
      <c r="B51">
        <f>'Mass Balance'!E51</f>
        <v>3.6129757395940865E-5</v>
      </c>
      <c r="C51">
        <f>SUM('Mass Balance'!E51:H51)</f>
        <v>3.618583026957982E-5</v>
      </c>
      <c r="D51">
        <f>Concentrations!F51/Concentrations!E51</f>
        <v>1.002358011511207</v>
      </c>
    </row>
    <row r="52" spans="1:4">
      <c r="A52">
        <f>'Mass Balance'!I52</f>
        <v>1.2535989868756405E-8</v>
      </c>
      <c r="B52">
        <f>'Mass Balance'!E52</f>
        <v>2.8895798085190887E-5</v>
      </c>
      <c r="C52">
        <f>SUM('Mass Balance'!E52:H52)</f>
        <v>3.063333431061183E-5</v>
      </c>
      <c r="D52">
        <f>Concentrations!F52/Concentrations!E52</f>
        <v>0.94697123184535303</v>
      </c>
    </row>
    <row r="53" spans="1:4">
      <c r="A53">
        <f>'Mass Balance'!I53</f>
        <v>3.3372759730169846E-8</v>
      </c>
      <c r="B53">
        <f>'Mass Balance'!E53</f>
        <v>1.514802734047344E-5</v>
      </c>
      <c r="C53">
        <f>SUM('Mass Balance'!E53:H53)</f>
        <v>2.6649177802533417E-5</v>
      </c>
      <c r="D53">
        <f>Concentrations!F53/Concentrations!E53</f>
        <v>0.57064843187288916</v>
      </c>
    </row>
    <row r="54" spans="1:4">
      <c r="A54">
        <f>'Mass Balance'!I54</f>
        <v>3.4131202894166498E-7</v>
      </c>
      <c r="B54">
        <f>'Mass Balance'!E54</f>
        <v>3.6729283285262954E-8</v>
      </c>
      <c r="C54">
        <f>SUM('Mass Balance'!E54:H54)</f>
        <v>3.6011039556428138E-5</v>
      </c>
      <c r="D54">
        <f>Concentrations!F54/Concentrations!E54</f>
        <v>1.0239368137133337E-3</v>
      </c>
    </row>
    <row r="55" spans="1:4">
      <c r="A55">
        <f>'Mass Balance'!I55</f>
        <v>4.542827331274562E-8</v>
      </c>
      <c r="B55">
        <f>'Mass Balance'!E55</f>
        <v>5.4512914030251205E-6</v>
      </c>
      <c r="C55">
        <f>SUM('Mass Balance'!E55:H55)</f>
        <v>2.4083976605055715E-5</v>
      </c>
      <c r="D55">
        <f>Concentrations!F55/Concentrations!E55</f>
        <v>0.22723099168919017</v>
      </c>
    </row>
    <row r="56" spans="1:4">
      <c r="A56">
        <f>'Mass Balance'!I56</f>
        <v>2.6218199618847675E-8</v>
      </c>
      <c r="B56">
        <f>'Mass Balance'!E56</f>
        <v>6.4468342630599421E-7</v>
      </c>
      <c r="C56">
        <f>SUM('Mass Balance'!E56:H56)</f>
        <v>1.2755286598675174E-5</v>
      </c>
      <c r="D56">
        <f>Concentrations!F56/Concentrations!E56</f>
        <v>5.0740255117251006E-2</v>
      </c>
    </row>
    <row r="57" spans="1:4">
      <c r="A57">
        <f>'Mass Balance'!I57</f>
        <v>1.3043733924126551E-8</v>
      </c>
      <c r="B57">
        <f>'Mass Balance'!E57</f>
        <v>1.1650721377480494E-6</v>
      </c>
      <c r="C57">
        <f>SUM('Mass Balance'!E57:H57)</f>
        <v>6.6539242544538505E-6</v>
      </c>
      <c r="D57">
        <f>Concentrations!F57/Concentrations!E57</f>
        <v>0.17578075519766787</v>
      </c>
    </row>
    <row r="58" spans="1:4">
      <c r="A58">
        <f>'Mass Balance'!I58</f>
        <v>7.7044226363157861E-10</v>
      </c>
      <c r="B58">
        <f>'Mass Balance'!E58</f>
        <v>2.3665879547805981E-6</v>
      </c>
      <c r="C58">
        <f>SUM('Mass Balance'!E58:H58)</f>
        <v>2.4185385589647287E-6</v>
      </c>
      <c r="D58">
        <f>Concentrations!F58/Concentrations!E58</f>
        <v>0.98234942729794861</v>
      </c>
    </row>
    <row r="59" spans="1:4">
      <c r="A59">
        <f>'Mass Balance'!I59</f>
        <v>5.0113306502179527E-9</v>
      </c>
      <c r="B59">
        <f>'Mass Balance'!E59</f>
        <v>4.792739643524051E-7</v>
      </c>
      <c r="C59">
        <f>SUM('Mass Balance'!E59:H59)</f>
        <v>2.5760451829865039E-6</v>
      </c>
      <c r="D59">
        <f>Concentrations!F59/Concentrations!E59</f>
        <v>0.18677843130853472</v>
      </c>
    </row>
    <row r="60" spans="1:4">
      <c r="A60">
        <f>'Mass Balance'!I60</f>
        <v>8.9185189050569466E-11</v>
      </c>
      <c r="B60">
        <f>'Mass Balance'!E60</f>
        <v>1.7911033162637686E-8</v>
      </c>
      <c r="C60">
        <f>SUM('Mass Balance'!E60:H60)</f>
        <v>5.2619790506350072E-8</v>
      </c>
      <c r="D60">
        <f>Concentrations!F60/Concentrations!E60</f>
        <v>0.34171802338874779</v>
      </c>
    </row>
    <row r="61" spans="1:4">
      <c r="A61">
        <f>'Mass Balance'!I61</f>
        <v>4.0719287730276071E-8</v>
      </c>
      <c r="B61">
        <f>'Mass Balance'!E61</f>
        <v>1.1358474592525143E-5</v>
      </c>
      <c r="C61">
        <f>SUM('Mass Balance'!E61:H61)</f>
        <v>2.6562829365444984E-5</v>
      </c>
      <c r="D61">
        <f>Concentrations!F61/Concentrations!E61</f>
        <v>0.42928136943734024</v>
      </c>
    </row>
    <row r="62" spans="1:4">
      <c r="A62">
        <f>'Mass Balance'!I62</f>
        <v>1.7287809324423593E-7</v>
      </c>
      <c r="B62">
        <f>'Mass Balance'!E62</f>
        <v>1.5555877696306612E-7</v>
      </c>
      <c r="C62">
        <f>SUM('Mass Balance'!E62:H62)</f>
        <v>3.5118382270767603E-5</v>
      </c>
      <c r="D62">
        <f>Concentrations!F62/Concentrations!E62</f>
        <v>4.4468899351751291E-3</v>
      </c>
    </row>
    <row r="63" spans="1:4">
      <c r="A63">
        <f>'Mass Balance'!I63</f>
        <v>4.2217317176009226E-7</v>
      </c>
      <c r="B63">
        <f>'Mass Balance'!E63</f>
        <v>1.4476977446471525E-8</v>
      </c>
      <c r="C63">
        <f>SUM('Mass Balance'!E63:H63)</f>
        <v>3.6859789178939063E-5</v>
      </c>
      <c r="D63">
        <f>Concentrations!F63/Concentrations!E63</f>
        <v>3.9429513012256986E-4</v>
      </c>
    </row>
    <row r="64" spans="1:4">
      <c r="A64">
        <f>'Mass Balance'!I64</f>
        <v>4.8371408014951483E-7</v>
      </c>
      <c r="B64">
        <f>'Mass Balance'!E64</f>
        <v>5.0444470584146956E-9</v>
      </c>
      <c r="C64">
        <f>SUM('Mass Balance'!E64:H64)</f>
        <v>3.7675877629467805E-5</v>
      </c>
      <c r="D64">
        <f>Concentrations!F64/Concentrations!E64</f>
        <v>1.3441463378141346E-4</v>
      </c>
    </row>
    <row r="65" spans="1:4">
      <c r="A65">
        <f>'Mass Balance'!I65</f>
        <v>5.2804949148178548E-7</v>
      </c>
      <c r="B65">
        <f>'Mass Balance'!E65</f>
        <v>1.4222181814171281E-9</v>
      </c>
      <c r="C65">
        <f>SUM('Mass Balance'!E65:H65)</f>
        <v>3.8367052064909161E-5</v>
      </c>
      <c r="D65">
        <f>Concentrations!F65/Concentrations!E65</f>
        <v>3.7213811818105853E-5</v>
      </c>
    </row>
    <row r="66" spans="1:4">
      <c r="A66">
        <f>'Mass Balance'!I66</f>
        <v>5.056923531339304E-7</v>
      </c>
      <c r="B66">
        <f>'Mass Balance'!E66</f>
        <v>2.9423447761493491E-9</v>
      </c>
      <c r="C66">
        <f>SUM('Mass Balance'!E66:H66)</f>
        <v>3.8007470780014185E-5</v>
      </c>
      <c r="D66">
        <f>Concentrations!F66/Concentrations!E66</f>
        <v>7.7717881346988244E-5</v>
      </c>
    </row>
    <row r="67" spans="1:4">
      <c r="A67">
        <f>'Mass Balance'!I67</f>
        <v>1.2306564197785759E-8</v>
      </c>
      <c r="B67">
        <f>'Mass Balance'!E67</f>
        <v>3.2466925656417507E-5</v>
      </c>
      <c r="C67">
        <f>SUM('Mass Balance'!E67:H67)</f>
        <v>3.3784286954773047E-5</v>
      </c>
      <c r="D67">
        <f>Concentrations!F67/Concentrations!E67</f>
        <v>0.96476773687511463</v>
      </c>
    </row>
    <row r="68" spans="1:4">
      <c r="A68">
        <f>'Mass Balance'!I68</f>
        <v>1.4213547154365075E-8</v>
      </c>
      <c r="B68">
        <f>'Mass Balance'!E68</f>
        <v>2.9608692547568611E-5</v>
      </c>
      <c r="C68">
        <f>SUM('Mass Balance'!E68:H68)</f>
        <v>3.1885488556136428E-5</v>
      </c>
      <c r="D68">
        <f>Concentrations!F68/Concentrations!E68</f>
        <v>0.93222880251935281</v>
      </c>
    </row>
    <row r="69" spans="1:4">
      <c r="A69">
        <f>'Mass Balance'!I69</f>
        <v>2.9408723990379421E-7</v>
      </c>
      <c r="B69">
        <f>'Mass Balance'!E69</f>
        <v>5.6719542809633909E-8</v>
      </c>
      <c r="C69">
        <f>SUM('Mass Balance'!E69:H69)</f>
        <v>3.5597904130649341E-5</v>
      </c>
      <c r="D69">
        <f>Concentrations!F69/Concentrations!E69</f>
        <v>1.5995751726402133E-3</v>
      </c>
    </row>
    <row r="70" spans="1:4">
      <c r="A70">
        <f>'Mass Balance'!I70</f>
        <v>6.7903268949048406E-8</v>
      </c>
      <c r="B70">
        <f>'Mass Balance'!E70</f>
        <v>1.0253244860114248E-6</v>
      </c>
      <c r="C70">
        <f>SUM('Mass Balance'!E70:H70)</f>
        <v>3.3392273072893529E-5</v>
      </c>
      <c r="D70">
        <f>Concentrations!F70/Concentrations!E70</f>
        <v>3.0825612024579736E-2</v>
      </c>
    </row>
    <row r="71" spans="1:4">
      <c r="A71">
        <f>'Mass Balance'!I71</f>
        <v>1.363594031289665E-8</v>
      </c>
      <c r="B71">
        <f>'Mass Balance'!E71</f>
        <v>2.9626673937755887E-5</v>
      </c>
      <c r="C71">
        <f>SUM('Mass Balance'!E71:H71)</f>
        <v>3.1691399936423794E-5</v>
      </c>
      <c r="D71">
        <f>Concentrations!F71/Concentrations!E71</f>
        <v>0.93850769095966746</v>
      </c>
    </row>
    <row r="72" spans="1:4">
      <c r="A72">
        <f>'Mass Balance'!I72</f>
        <v>6.6671442866399552E-8</v>
      </c>
      <c r="B72">
        <f>'Mass Balance'!E72</f>
        <v>1.184562032100713E-6</v>
      </c>
      <c r="C72">
        <f>SUM('Mass Balance'!E72:H72)</f>
        <v>3.263656473029898E-5</v>
      </c>
      <c r="D72">
        <f>Concentrations!F72/Concentrations!E72</f>
        <v>3.6437597259925146E-2</v>
      </c>
    </row>
    <row r="73" spans="1:4">
      <c r="A73">
        <f>'Mass Balance'!I73</f>
        <v>4.1774277866162279E-8</v>
      </c>
      <c r="B73">
        <f>'Mass Balance'!E73</f>
        <v>1.0452270445235397E-5</v>
      </c>
      <c r="C73">
        <f>SUM('Mass Balance'!E73:H73)</f>
        <v>2.6279680640211883E-5</v>
      </c>
      <c r="D73">
        <f>Concentrations!F73/Concentrations!E73</f>
        <v>0.39928860591166576</v>
      </c>
    </row>
    <row r="74" spans="1:4">
      <c r="A74">
        <f>'Mass Balance'!I74</f>
        <v>6.7639978014179201E-8</v>
      </c>
      <c r="B74">
        <f>'Mass Balance'!E74</f>
        <v>1.0699512569051671E-6</v>
      </c>
      <c r="C74">
        <f>SUM('Mass Balance'!E74:H74)</f>
        <v>3.3216329205539512E-5</v>
      </c>
      <c r="D74">
        <f>Concentrations!F74/Concentrations!E74</f>
        <v>3.2337669598745414E-2</v>
      </c>
    </row>
    <row r="75" spans="1:4">
      <c r="A75">
        <f>'Mass Balance'!I75</f>
        <v>4.3021126624500371E-8</v>
      </c>
      <c r="B75">
        <f>'Mass Balance'!E75</f>
        <v>1.7264994239048584E-7</v>
      </c>
      <c r="C75">
        <f>SUM('Mass Balance'!E75:H75)</f>
        <v>3.9953637894633994E-5</v>
      </c>
      <c r="D75">
        <f>Concentrations!F75/Concentrations!E75</f>
        <v>4.3381690424097374E-3</v>
      </c>
    </row>
    <row r="76" spans="1:4">
      <c r="A76">
        <f>'Mass Balance'!I76</f>
        <v>4.3021126647573535E-8</v>
      </c>
      <c r="B76">
        <f>'Mass Balance'!E76</f>
        <v>1.7264994248308176E-7</v>
      </c>
      <c r="C76">
        <f>SUM('Mass Balance'!E76:H76)</f>
        <v>3.9953637916061997E-5</v>
      </c>
      <c r="D76">
        <f>Concentrations!F76/Concentrations!E76</f>
        <v>4.3381690424097383E-3</v>
      </c>
    </row>
    <row r="77" spans="1:4">
      <c r="A77">
        <f>'Mass Balance'!I77</f>
        <v>5.6901873445220765E-8</v>
      </c>
      <c r="B77">
        <f>'Mass Balance'!E77</f>
        <v>4.0440360212596222E-6</v>
      </c>
      <c r="C77">
        <f>SUM('Mass Balance'!E77:H77)</f>
        <v>2.8431265802331323E-5</v>
      </c>
      <c r="D77">
        <f>Concentrations!F77/Concentrations!E77</f>
        <v>0.14279571719987916</v>
      </c>
    </row>
    <row r="78" spans="1:4">
      <c r="A78">
        <f>'Mass Balance'!I78</f>
        <v>2.2588699482742898E-8</v>
      </c>
      <c r="B78">
        <f>'Mass Balance'!E78</f>
        <v>2.0948749589201541E-5</v>
      </c>
      <c r="C78">
        <f>SUM('Mass Balance'!E78:H78)</f>
        <v>2.7340782683991883E-5</v>
      </c>
      <c r="D78">
        <f>Concentrations!F78/Concentrations!E78</f>
        <v>0.76920752608869425</v>
      </c>
    </row>
    <row r="79" spans="1:4">
      <c r="A79">
        <f>'Mass Balance'!I79</f>
        <v>3.3788581612625911E-8</v>
      </c>
      <c r="B79">
        <f>'Mass Balance'!E79</f>
        <v>1.4716004118663297E-5</v>
      </c>
      <c r="C79">
        <f>SUM('Mass Balance'!E79:H79)</f>
        <v>2.6453743387336493E-5</v>
      </c>
      <c r="D79">
        <f>Concentrations!F79/Concentrations!E79</f>
        <v>0.5584690716502958</v>
      </c>
    </row>
    <row r="80" spans="1:4">
      <c r="A80">
        <f>'Mass Balance'!I80</f>
        <v>8.3442688484240154E-8</v>
      </c>
      <c r="B80">
        <f>'Mass Balance'!E80</f>
        <v>1.1694216114996543E-7</v>
      </c>
      <c r="C80">
        <f>SUM('Mass Balance'!E80:H80)</f>
        <v>3.9912489354363705E-5</v>
      </c>
      <c r="D80">
        <f>Concentrations!F80/Concentrations!E80</f>
        <v>2.9414309795428046E-3</v>
      </c>
    </row>
    <row r="81" spans="1:4">
      <c r="A81">
        <f>'Mass Balance'!I81</f>
        <v>1.0184410279752273E-8</v>
      </c>
      <c r="B81">
        <f>'Mass Balance'!E81</f>
        <v>3.8779917003634955E-5</v>
      </c>
      <c r="C81">
        <f>SUM('Mass Balance'!E81:H81)</f>
        <v>3.8830620225872491E-5</v>
      </c>
      <c r="D81">
        <f>Concentrations!F81/Concentrations!E81</f>
        <v>1.0026027931264743</v>
      </c>
    </row>
    <row r="82" spans="1:4">
      <c r="A82">
        <f>'Mass Balance'!I82</f>
        <v>1.5435023786485937E-8</v>
      </c>
      <c r="B82">
        <f>'Mass Balance'!E82</f>
        <v>2.8668084193938541E-5</v>
      </c>
      <c r="C82">
        <f>SUM('Mass Balance'!E82:H82)</f>
        <v>3.1487341975655291E-5</v>
      </c>
      <c r="D82">
        <f>Concentrations!F82/Concentrations!E82</f>
        <v>0.91402701646221429</v>
      </c>
    </row>
    <row r="83" spans="1:4">
      <c r="A83">
        <f>'Mass Balance'!I83</f>
        <v>5.5591309076235494E-8</v>
      </c>
      <c r="B83">
        <f>'Mass Balance'!E83</f>
        <v>5.0799165045580795E-6</v>
      </c>
      <c r="C83">
        <f>SUM('Mass Balance'!E83:H83)</f>
        <v>2.8428716987995071E-5</v>
      </c>
      <c r="D83">
        <f>Concentrations!F83/Concentrations!E83</f>
        <v>0.17938894525213361</v>
      </c>
    </row>
    <row r="84" spans="1:4">
      <c r="A84">
        <f>'Mass Balance'!I84</f>
        <v>1.0342540016356904E-8</v>
      </c>
      <c r="B84">
        <f>'Mass Balance'!E84</f>
        <v>3.7285397154637383E-5</v>
      </c>
      <c r="C84">
        <f>SUM('Mass Balance'!E84:H84)</f>
        <v>3.7505503356064472E-5</v>
      </c>
      <c r="D84">
        <f>Concentrations!F84/Concentrations!E84</f>
        <v>0.99802205172041059</v>
      </c>
    </row>
    <row r="85" spans="1:4">
      <c r="A85">
        <f>'Mass Balance'!I85</f>
        <v>1.02272044511102E-8</v>
      </c>
      <c r="B85">
        <f>'Mass Balance'!E85</f>
        <v>3.9496604325700487E-5</v>
      </c>
      <c r="C85">
        <f>SUM('Mass Balance'!E85:H85)</f>
        <v>3.9506267815037038E-5</v>
      </c>
      <c r="D85">
        <f>Concentrations!F85/Concentrations!E85</f>
        <v>1.0036680932087843</v>
      </c>
    </row>
    <row r="86" spans="1:4">
      <c r="A86">
        <f>'Mass Balance'!I86</f>
        <v>1.0328820979053408E-8</v>
      </c>
      <c r="B86">
        <f>'Mass Balance'!E86</f>
        <v>3.7354955805162592E-5</v>
      </c>
      <c r="C86">
        <f>SUM('Mass Balance'!E86:H86)</f>
        <v>3.7564914918346564E-5</v>
      </c>
      <c r="D86">
        <f>Concentrations!F86/Concentrations!E86</f>
        <v>0.9983025482944875</v>
      </c>
    </row>
    <row r="87" spans="1:4">
      <c r="A87">
        <f>'Mass Balance'!I87</f>
        <v>3.9314488322873772E-7</v>
      </c>
      <c r="B87">
        <f>'Mass Balance'!E87</f>
        <v>2.100534598948077E-8</v>
      </c>
      <c r="C87">
        <f>SUM('Mass Balance'!E87:H87)</f>
        <v>3.6529342260173452E-5</v>
      </c>
      <c r="D87">
        <f>Concentrations!F87/Concentrations!E87</f>
        <v>5.7727712584221215E-4</v>
      </c>
    </row>
    <row r="88" spans="1:4">
      <c r="A88">
        <f>'Mass Balance'!I88</f>
        <v>2.0392065814367495E-8</v>
      </c>
      <c r="B88">
        <f>'Mass Balance'!E88</f>
        <v>2.3999889953795467E-5</v>
      </c>
      <c r="C88">
        <f>SUM('Mass Balance'!E88:H88)</f>
        <v>2.9187575782192148E-5</v>
      </c>
      <c r="D88">
        <f>Concentrations!F88/Concentrations!E88</f>
        <v>0.8254819609178794</v>
      </c>
    </row>
    <row r="89" spans="1:4">
      <c r="A89">
        <f>'Mass Balance'!I89</f>
        <v>1.6183011979953838E-8</v>
      </c>
      <c r="B89">
        <f>'Mass Balance'!E89</f>
        <v>2.7875563404016146E-5</v>
      </c>
      <c r="C89">
        <f>SUM('Mass Balance'!E89:H89)</f>
        <v>3.1052954259883535E-5</v>
      </c>
      <c r="D89">
        <f>Concentrations!F89/Concentrations!E89</f>
        <v>0.90119151188221713</v>
      </c>
    </row>
    <row r="90" spans="1:4">
      <c r="A90">
        <f>'Mass Balance'!I90</f>
        <v>1.1296639833079533E-8</v>
      </c>
      <c r="B90">
        <f>'Mass Balance'!E90</f>
        <v>3.4531043712832391E-5</v>
      </c>
      <c r="C90">
        <f>SUM('Mass Balance'!E90:H90)</f>
        <v>3.5307910038199406E-5</v>
      </c>
      <c r="D90">
        <f>Concentrations!F90/Concentrations!E90</f>
        <v>0.98182493204176768</v>
      </c>
    </row>
    <row r="91" spans="1:4">
      <c r="A91">
        <f>'Mass Balance'!I91</f>
        <v>1.8986553590556533E-7</v>
      </c>
      <c r="B91">
        <f>'Mass Balance'!E91</f>
        <v>1.3528905756595309E-7</v>
      </c>
      <c r="C91">
        <f>SUM('Mass Balance'!E91:H91)</f>
        <v>3.5144909196482988E-5</v>
      </c>
      <c r="D91">
        <f>Concentrations!F91/Concentrations!E91</f>
        <v>3.8645293340741375E-3</v>
      </c>
    </row>
    <row r="92" spans="1:4">
      <c r="A92">
        <f>'Mass Balance'!I92</f>
        <v>5.0386571962664709E-8</v>
      </c>
      <c r="B92">
        <f>'Mass Balance'!E92</f>
        <v>7.0803255179241561E-6</v>
      </c>
      <c r="C92">
        <f>SUM('Mass Balance'!E92:H92)</f>
        <v>2.7441754012956717E-5</v>
      </c>
      <c r="D92">
        <f>Concentrations!F92/Concentrations!E92</f>
        <v>0.25902263682185789</v>
      </c>
    </row>
    <row r="93" spans="1:4">
      <c r="A93">
        <f>'Mass Balance'!I93</f>
        <v>6.6387656116760363E-8</v>
      </c>
      <c r="B93">
        <f>'Mass Balance'!E93</f>
        <v>1.5584256080089503E-6</v>
      </c>
      <c r="C93">
        <f>SUM('Mass Balance'!E93:H93)</f>
        <v>3.2317290605327334E-5</v>
      </c>
      <c r="D93">
        <f>Concentrations!F93/Concentrations!E93</f>
        <v>4.8411383565722318E-2</v>
      </c>
    </row>
    <row r="94" spans="1:4">
      <c r="A94">
        <f>'Mass Balance'!I94</f>
        <v>1.0161121613590447E-8</v>
      </c>
      <c r="B94">
        <f>'Mass Balance'!E94</f>
        <v>3.5781627678556329E-5</v>
      </c>
      <c r="C94">
        <f>SUM('Mass Balance'!E94:H94)</f>
        <v>3.9983460169357826E-5</v>
      </c>
      <c r="D94">
        <f>Concentrations!F94/Concentrations!E94</f>
        <v>0.89841310742128699</v>
      </c>
    </row>
    <row r="95" spans="1:4">
      <c r="A95">
        <f>'Mass Balance'!I95</f>
        <v>9.4983591971221805E-8</v>
      </c>
      <c r="B95">
        <f>'Mass Balance'!E95</f>
        <v>3.1559795497443404E-7</v>
      </c>
      <c r="C95">
        <f>SUM('Mass Balance'!E95:H95)</f>
        <v>3.5300500893402694E-5</v>
      </c>
      <c r="D95">
        <f>Concentrations!F95/Concentrations!E95</f>
        <v>8.9753144885108566E-3</v>
      </c>
    </row>
    <row r="96" spans="1:4">
      <c r="A96">
        <f>'Mass Balance'!I96</f>
        <v>1.0184632045492055E-8</v>
      </c>
      <c r="B96">
        <f>'Mass Balance'!E96</f>
        <v>3.873140748375484E-5</v>
      </c>
      <c r="C96">
        <f>SUM('Mass Balance'!E96:H96)</f>
        <v>3.8785908076042924E-5</v>
      </c>
      <c r="D96">
        <f>Concentrations!F96/Concentrations!E96</f>
        <v>1.0025029928797253</v>
      </c>
    </row>
    <row r="97" spans="1:4">
      <c r="A97">
        <f>'Mass Balance'!I97</f>
        <v>1.0349751457135213E-8</v>
      </c>
      <c r="B97">
        <f>'Mass Balance'!E97</f>
        <v>3.7249944184748502E-5</v>
      </c>
      <c r="C97">
        <f>SUM('Mass Balance'!E97:H97)</f>
        <v>3.7475302224362374E-5</v>
      </c>
      <c r="D97">
        <f>Concentrations!F97/Concentrations!E97</f>
        <v>0.99787661392795624</v>
      </c>
    </row>
    <row r="98" spans="1:4">
      <c r="A98">
        <f>'Mass Balance'!I98</f>
        <v>6.8977650434013751E-8</v>
      </c>
      <c r="B98">
        <f>'Mass Balance'!E98</f>
        <v>7.3476435325734673E-7</v>
      </c>
      <c r="C98">
        <f>SUM('Mass Balance'!E98:H98)</f>
        <v>3.4343775763704461E-5</v>
      </c>
      <c r="D98">
        <f>Concentrations!F98/Concentrations!E98</f>
        <v>2.1478126749584537E-2</v>
      </c>
    </row>
    <row r="99" spans="1:4">
      <c r="A99">
        <f>'Mass Balance'!I99</f>
        <v>1.0248979268124671E-8</v>
      </c>
      <c r="B99">
        <f>'Mass Balance'!E99</f>
        <v>3.9650117471013997E-5</v>
      </c>
      <c r="C99">
        <f>SUM('Mass Balance'!E99:H99)</f>
        <v>3.9654952701713889E-5</v>
      </c>
      <c r="D99">
        <f>Concentrations!F99/Concentrations!E99</f>
        <v>1.0037912472179731</v>
      </c>
    </row>
    <row r="100" spans="1:4">
      <c r="A100">
        <f>'Mass Balance'!I100</f>
        <v>3.1328844204474315E-8</v>
      </c>
      <c r="B100">
        <f>'Mass Balance'!E100</f>
        <v>1.6402821096030269E-5</v>
      </c>
      <c r="C100">
        <f>SUM('Mass Balance'!E100:H100)</f>
        <v>2.6883231818995969E-5</v>
      </c>
      <c r="D100">
        <f>Concentrations!F100/Concentrations!E100</f>
        <v>0.61253856018918551</v>
      </c>
    </row>
    <row r="101" spans="1:4">
      <c r="A101">
        <f>'Mass Balance'!I101</f>
        <v>1.0217776895446795E-8</v>
      </c>
      <c r="B101">
        <f>'Mass Balance'!E101</f>
        <v>3.9416466578648171E-5</v>
      </c>
      <c r="C101">
        <f>SUM('Mass Balance'!E101:H101)</f>
        <v>3.9429241135540102E-5</v>
      </c>
      <c r="D101">
        <f>Concentrations!F101/Concentrations!E101</f>
        <v>1.0035884021450032</v>
      </c>
    </row>
    <row r="102" spans="1:4">
      <c r="A102">
        <f>'Mass Balance'!I102</f>
        <v>1.0284687456859066E-8</v>
      </c>
      <c r="B102">
        <f>'Mass Balance'!E102</f>
        <v>3.9846393775152335E-5</v>
      </c>
      <c r="C102">
        <f>SUM('Mass Balance'!E102:H102)</f>
        <v>3.9847364882749557E-5</v>
      </c>
      <c r="D102">
        <f>Concentrations!F102/Concentrations!E102</f>
        <v>1.0038891909364549</v>
      </c>
    </row>
    <row r="103" spans="1:4">
      <c r="A103">
        <f>'Mass Balance'!I103</f>
        <v>1.0250726591589834E-8</v>
      </c>
      <c r="B103">
        <f>'Mass Balance'!E103</f>
        <v>3.9661050684495878E-5</v>
      </c>
      <c r="C103">
        <f>SUM('Mass Balance'!E103:H103)</f>
        <v>3.9665600803863596E-5</v>
      </c>
      <c r="D103">
        <f>Concentrations!F103/Concentrations!E103</f>
        <v>1.0037984960831403</v>
      </c>
    </row>
    <row r="104" spans="1:4">
      <c r="A104">
        <f>'Mass Balance'!I104</f>
        <v>1.0224222137181877E-8</v>
      </c>
      <c r="B104">
        <f>'Mass Balance'!E104</f>
        <v>3.805122760149402E-5</v>
      </c>
      <c r="C104">
        <f>SUM('Mass Balance'!E104:H104)</f>
        <v>3.8171421677113594E-5</v>
      </c>
      <c r="D104">
        <f>Concentrations!F104/Concentrations!E104</f>
        <v>1.0007525362272784</v>
      </c>
    </row>
    <row r="105" spans="1:4">
      <c r="A105">
        <f>'Mass Balance'!I105</f>
        <v>1.0278847818782272E-8</v>
      </c>
      <c r="B105">
        <f>'Mass Balance'!E105</f>
        <v>3.9817635710331383E-5</v>
      </c>
      <c r="C105">
        <f>SUM('Mass Balance'!E105:H105)</f>
        <v>3.9819000827046188E-5</v>
      </c>
      <c r="D105">
        <f>Concentrations!F105/Concentrations!E105</f>
        <v>1.0038792397804066</v>
      </c>
    </row>
    <row r="106" spans="1:4">
      <c r="A106">
        <f>'Mass Balance'!I106</f>
        <v>1.2143231801035269E-8</v>
      </c>
      <c r="B106">
        <f>'Mass Balance'!E106</f>
        <v>3.2974403196346603E-5</v>
      </c>
      <c r="C106">
        <f>SUM('Mass Balance'!E106:H106)</f>
        <v>3.4187072125551432E-5</v>
      </c>
      <c r="D106">
        <f>Concentrations!F106/Concentrations!E106</f>
        <v>0.96830326910358988</v>
      </c>
    </row>
    <row r="107" spans="1:4">
      <c r="A107">
        <f>'Mass Balance'!I107</f>
        <v>6.9411598566844862E-8</v>
      </c>
      <c r="B107">
        <f>'Mass Balance'!E107</f>
        <v>5.4628997490723615E-7</v>
      </c>
      <c r="C107">
        <f>SUM('Mass Balance'!E107:H107)</f>
        <v>3.500959263961577E-5</v>
      </c>
      <c r="D107">
        <f>Concentrations!F107/Concentrations!E107</f>
        <v>1.5665077058658022E-2</v>
      </c>
    </row>
    <row r="108" spans="1:4">
      <c r="A108">
        <f>'Mass Balance'!I108</f>
        <v>2.7367251958859015E-8</v>
      </c>
      <c r="B108">
        <f>'Mass Balance'!E108</f>
        <v>1.8879667333352555E-5</v>
      </c>
      <c r="C108">
        <f>SUM('Mass Balance'!E108:H108)</f>
        <v>2.7423199921456266E-5</v>
      </c>
      <c r="D108">
        <f>Concentrations!F108/Concentrations!E108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0.77624712892374126</v>
      </c>
      <c r="M2" s="115">
        <v>1.2340019985043684</v>
      </c>
      <c r="N2" s="115">
        <v>52.9366593952372</v>
      </c>
      <c r="O2" s="115">
        <v>1.1296871234511014</v>
      </c>
      <c r="P2" s="115">
        <v>1.1594854699856161</v>
      </c>
      <c r="Q2" s="111">
        <v>1.1296871234511014</v>
      </c>
      <c r="R2" s="68">
        <v>1.1594854699856161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6.669492934311777E-4</v>
      </c>
      <c r="M3" s="115">
        <v>33.880783991141428</v>
      </c>
      <c r="N3" s="115">
        <v>3635.3441771393054</v>
      </c>
      <c r="O3" s="115">
        <v>21.925025389710488</v>
      </c>
      <c r="P3" s="115">
        <v>9.3916188881555236</v>
      </c>
      <c r="Q3" s="111">
        <v>21.925025389710488</v>
      </c>
      <c r="R3" s="68">
        <v>9.3916188881555236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0.35806157995971544</v>
      </c>
      <c r="M4" s="115">
        <v>3.2159874152071626</v>
      </c>
      <c r="N4" s="115">
        <v>302.93324814216027</v>
      </c>
      <c r="O4" s="115">
        <v>3.2650235086725119</v>
      </c>
      <c r="P4" s="115">
        <v>3.0586640376830978</v>
      </c>
      <c r="Q4" s="111">
        <v>3.2650235086725123</v>
      </c>
      <c r="R4" s="68">
        <v>3.0586640376830978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7.0280376377540388E-3</v>
      </c>
      <c r="M5" s="115">
        <v>9.8197107073042318</v>
      </c>
      <c r="N5" s="115">
        <v>1044.0390068282782</v>
      </c>
      <c r="O5" s="115">
        <v>9.195998779262835</v>
      </c>
      <c r="P5" s="115">
        <v>7.7541364943869837</v>
      </c>
      <c r="Q5" s="111">
        <v>9.195998779262835</v>
      </c>
      <c r="R5" s="68">
        <v>7.7541364943869837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3.0043363055323356E-4</v>
      </c>
      <c r="M6" s="115">
        <v>39.735656300438407</v>
      </c>
      <c r="N6" s="115">
        <v>4273.1099480508319</v>
      </c>
      <c r="O6" s="115">
        <v>25.038685557644378</v>
      </c>
      <c r="P6" s="115">
        <v>9.9185690548342631</v>
      </c>
      <c r="Q6" s="111">
        <v>25.038685557644378</v>
      </c>
      <c r="R6" s="68">
        <v>9.9185690548342649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5.9764222605871277E-4</v>
      </c>
      <c r="M7" s="115">
        <v>34.923393723903118</v>
      </c>
      <c r="N7" s="115">
        <v>3748.4477762786987</v>
      </c>
      <c r="O7" s="115">
        <v>22.492133247070694</v>
      </c>
      <c r="P7" s="115">
        <v>9.5020769432779151</v>
      </c>
      <c r="Q7" s="111">
        <v>22.492133247070694</v>
      </c>
      <c r="R7" s="68">
        <v>9.5020769432779151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1.3232691770814875E-3</v>
      </c>
      <c r="M8" s="115">
        <v>27.692265998168935</v>
      </c>
      <c r="N8" s="115">
        <v>2965.0843078421181</v>
      </c>
      <c r="O8" s="115">
        <v>18.653725299215903</v>
      </c>
      <c r="P8" s="115">
        <v>8.9227723766369245</v>
      </c>
      <c r="Q8" s="111">
        <v>18.653725299215907</v>
      </c>
      <c r="R8" s="68">
        <v>8.9227723766369245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6.0260096134374302E-2</v>
      </c>
      <c r="M9" s="115">
        <v>5.8042640171400643</v>
      </c>
      <c r="N9" s="115">
        <v>607.6164360965256</v>
      </c>
      <c r="O9" s="115">
        <v>6.3843332583683363</v>
      </c>
      <c r="P9" s="115">
        <v>6.2671726764663021</v>
      </c>
      <c r="Q9" s="111">
        <v>6.3843332583683372</v>
      </c>
      <c r="R9" s="68">
        <v>6.2671726764663021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6.5366898054319581E-3</v>
      </c>
      <c r="M10" s="115">
        <v>10.504995030548564</v>
      </c>
      <c r="N10" s="115">
        <v>1117.3707776359211</v>
      </c>
      <c r="O10" s="115">
        <v>9.5566042694153222</v>
      </c>
      <c r="P10" s="115">
        <v>7.7904227324939068</v>
      </c>
      <c r="Q10" s="111">
        <v>9.5566042694153222</v>
      </c>
      <c r="R10" s="68">
        <v>7.7904227324939077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5.7749909441099593E-3</v>
      </c>
      <c r="M11" s="115">
        <v>11.718967435895182</v>
      </c>
      <c r="N11" s="115">
        <v>1247.3420795315396</v>
      </c>
      <c r="O11" s="115">
        <v>10.195098071449992</v>
      </c>
      <c r="P11" s="115">
        <v>7.8551872095867186</v>
      </c>
      <c r="Q11" s="111">
        <v>10.195098071449994</v>
      </c>
      <c r="R11" s="68">
        <v>7.8551872095867186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3.8683462294710647E-2</v>
      </c>
      <c r="M12" s="115">
        <v>6.059313235925484</v>
      </c>
      <c r="N12" s="115">
        <v>637.45275848279289</v>
      </c>
      <c r="O12" s="115">
        <v>6.7645788086757603</v>
      </c>
      <c r="P12" s="115">
        <v>6.725737696027287</v>
      </c>
      <c r="Q12" s="111">
        <v>6.7645788086757612</v>
      </c>
      <c r="R12" s="68">
        <v>6.725737696027287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5.781648922831998E-2</v>
      </c>
      <c r="M13" s="115">
        <v>5.8323646826687723</v>
      </c>
      <c r="N13" s="115">
        <v>610.8959789086291</v>
      </c>
      <c r="O13" s="115">
        <v>6.4243151619944028</v>
      </c>
      <c r="P13" s="115">
        <v>6.314016199542885</v>
      </c>
      <c r="Q13" s="111">
        <v>6.4243151619944028</v>
      </c>
      <c r="R13" s="68">
        <v>6.3140161995428858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3.8382687525844407E-3</v>
      </c>
      <c r="M14" s="115">
        <v>16.053393234744092</v>
      </c>
      <c r="N14" s="115">
        <v>1712.0431210379384</v>
      </c>
      <c r="O14" s="115">
        <v>12.482947395857417</v>
      </c>
      <c r="P14" s="115">
        <v>8.1111482656785743</v>
      </c>
      <c r="Q14" s="111">
        <v>12.482947395857417</v>
      </c>
      <c r="R14" s="68">
        <v>8.1111482656785743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6.1470772652762887E-3</v>
      </c>
      <c r="M15" s="115">
        <v>11.100820523855408</v>
      </c>
      <c r="N15" s="115">
        <v>1181.1511969712367</v>
      </c>
      <c r="O15" s="115">
        <v>9.8700143037652754</v>
      </c>
      <c r="P15" s="115">
        <v>7.8221046807924823</v>
      </c>
      <c r="Q15" s="111">
        <v>9.8700143037652772</v>
      </c>
      <c r="R15" s="68">
        <v>7.8221046807924823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1.3687566574743452E-3</v>
      </c>
      <c r="M16" s="115">
        <v>27.337951614453416</v>
      </c>
      <c r="N16" s="115">
        <v>2926.8195759630507</v>
      </c>
      <c r="O16" s="115">
        <v>18.464569079054172</v>
      </c>
      <c r="P16" s="115">
        <v>8.8940464114216837</v>
      </c>
      <c r="Q16" s="111">
        <v>18.464569079054172</v>
      </c>
      <c r="R16" s="68">
        <v>8.8940464114216837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6.8615621061814021E-3</v>
      </c>
      <c r="M17" s="115">
        <v>10.04488070048466</v>
      </c>
      <c r="N17" s="115">
        <v>1068.1311073087409</v>
      </c>
      <c r="O17" s="115">
        <v>9.3146483143628007</v>
      </c>
      <c r="P17" s="115">
        <v>7.766302334330164</v>
      </c>
      <c r="Q17" s="111">
        <v>9.3146483143628025</v>
      </c>
      <c r="R17" s="68">
        <v>7.7663023343301649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7.2181139217054893E-2</v>
      </c>
      <c r="M18" s="115">
        <v>5.6483409031959537</v>
      </c>
      <c r="N18" s="115">
        <v>589.66326174136077</v>
      </c>
      <c r="O18" s="115">
        <v>6.1734105150673892</v>
      </c>
      <c r="P18" s="115">
        <v>6.0276526953040488</v>
      </c>
      <c r="Q18" s="111">
        <v>6.1734105150673892</v>
      </c>
      <c r="R18" s="68">
        <v>6.0276526953040488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6.0713309411111081E-3</v>
      </c>
      <c r="M19" s="115">
        <v>11.222778652828172</v>
      </c>
      <c r="N19" s="115">
        <v>1194.2086523032574</v>
      </c>
      <c r="O19" s="115">
        <v>9.9341946066734188</v>
      </c>
      <c r="P19" s="115">
        <v>7.8286811302686283</v>
      </c>
      <c r="Q19" s="111">
        <v>9.9341946066734188</v>
      </c>
      <c r="R19" s="68">
        <v>7.8286811302686283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5.7824240512904225E-2</v>
      </c>
      <c r="M20" s="115">
        <v>5.8331466104381304</v>
      </c>
      <c r="N20" s="115">
        <v>610.97787991381097</v>
      </c>
      <c r="O20" s="115">
        <v>6.4251764508022173</v>
      </c>
      <c r="P20" s="115">
        <v>6.3148627008971774</v>
      </c>
      <c r="Q20" s="111">
        <v>6.4251764508022173</v>
      </c>
      <c r="R20" s="68">
        <v>6.3148627008971774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4.3375741856635803E-3</v>
      </c>
      <c r="M21" s="115">
        <v>14.705583254099711</v>
      </c>
      <c r="N21" s="115">
        <v>1567.4382613920795</v>
      </c>
      <c r="O21" s="115">
        <v>11.769010771870038</v>
      </c>
      <c r="P21" s="115">
        <v>8.0254227188329299</v>
      </c>
      <c r="Q21" s="111">
        <v>11.769010771870038</v>
      </c>
      <c r="R21" s="68">
        <v>8.0254227188329299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0.56732889760394989</v>
      </c>
      <c r="M22" s="115">
        <v>2.0229024306298955</v>
      </c>
      <c r="N22" s="115">
        <v>156.58183826326155</v>
      </c>
      <c r="O22" s="115">
        <v>1.9625996725938377</v>
      </c>
      <c r="P22" s="115">
        <v>1.866539129125333</v>
      </c>
      <c r="Q22" s="111">
        <v>1.9625996725938377</v>
      </c>
      <c r="R22" s="68">
        <v>1.866539129125333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0.71455619780650625</v>
      </c>
      <c r="M23" s="115">
        <v>1.428140669392193</v>
      </c>
      <c r="N23" s="115">
        <v>79.478379329505231</v>
      </c>
      <c r="O23" s="115">
        <v>1.3321385206445275</v>
      </c>
      <c r="P23" s="115">
        <v>1.3246600323620936</v>
      </c>
      <c r="Q23" s="111">
        <v>1.3321385206445275</v>
      </c>
      <c r="R23" s="68">
        <v>1.3246600323620938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0.17645887496870721</v>
      </c>
      <c r="M24" s="115">
        <v>4.6169473473759739</v>
      </c>
      <c r="N24" s="115">
        <v>469.18291793266201</v>
      </c>
      <c r="O24" s="115">
        <v>4.8743174533674027</v>
      </c>
      <c r="P24" s="115">
        <v>4.6361003840304464</v>
      </c>
      <c r="Q24" s="111">
        <v>4.8743174533674027</v>
      </c>
      <c r="R24" s="68">
        <v>4.6361003840304464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2.1052088621726597E-2</v>
      </c>
      <c r="M25" s="115">
        <v>6.1746466807789986</v>
      </c>
      <c r="N25" s="115">
        <v>652.38716234640094</v>
      </c>
      <c r="O25" s="115">
        <v>7.0272460228698588</v>
      </c>
      <c r="P25" s="115">
        <v>7.1040239580183391</v>
      </c>
      <c r="Q25" s="111">
        <v>7.0272460228698588</v>
      </c>
      <c r="R25" s="68">
        <v>7.1040239580183391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4.6987309165293194E-3</v>
      </c>
      <c r="M26" s="115">
        <v>13.849101167843932</v>
      </c>
      <c r="N26" s="115">
        <v>1475.5942744253023</v>
      </c>
      <c r="O26" s="115">
        <v>11.317106906685829</v>
      </c>
      <c r="P26" s="115">
        <v>7.9748693442239205</v>
      </c>
      <c r="Q26" s="111">
        <v>11.317106906685829</v>
      </c>
      <c r="R26" s="68">
        <v>7.9748693442239205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7.3298510951342482E-4</v>
      </c>
      <c r="M27" s="115">
        <v>33.134257758783299</v>
      </c>
      <c r="N27" s="115">
        <v>3554.266424664524</v>
      </c>
      <c r="O27" s="115">
        <v>21.533400042786248</v>
      </c>
      <c r="P27" s="115">
        <v>9.3374560886300646</v>
      </c>
      <c r="Q27" s="111">
        <v>21.533400042786248</v>
      </c>
      <c r="R27" s="68">
        <v>9.3374560886300646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2.5989929288022847E-3</v>
      </c>
      <c r="M28" s="115">
        <v>20.410323446194546</v>
      </c>
      <c r="N28" s="115">
        <v>2180.1792673331875</v>
      </c>
      <c r="O28" s="115">
        <v>14.789633758576558</v>
      </c>
      <c r="P28" s="115">
        <v>8.3959717062945138</v>
      </c>
      <c r="Q28" s="111">
        <v>14.789633758576558</v>
      </c>
      <c r="R28" s="68">
        <v>8.3959717062945138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3.8911329677383745E-3</v>
      </c>
      <c r="M29" s="115">
        <v>15.174285864214523</v>
      </c>
      <c r="N29" s="115">
        <v>1617.99354262631</v>
      </c>
      <c r="O29" s="115">
        <v>11.909369321028489</v>
      </c>
      <c r="P29" s="115">
        <v>7.8628098130099593</v>
      </c>
      <c r="Q29" s="111">
        <v>11.909369321028491</v>
      </c>
      <c r="R29" s="68">
        <v>7.8628098130099593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2.5989929288022847E-3</v>
      </c>
      <c r="M30" s="115">
        <v>20.410323446194546</v>
      </c>
      <c r="N30" s="115">
        <v>2180.1792673331875</v>
      </c>
      <c r="O30" s="115">
        <v>14.789633758576558</v>
      </c>
      <c r="P30" s="115">
        <v>8.3959717062945138</v>
      </c>
      <c r="Q30" s="111">
        <v>14.789633758576558</v>
      </c>
      <c r="R30" s="68">
        <v>8.3959717062945138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0.97289032507185758</v>
      </c>
      <c r="M31" s="115">
        <v>0.92828859032882882</v>
      </c>
      <c r="N31" s="115">
        <v>1.1400419043019956</v>
      </c>
      <c r="O31" s="115">
        <v>0.81347634670113256</v>
      </c>
      <c r="P31" s="115">
        <v>0.9415043632542075</v>
      </c>
      <c r="Q31" s="111">
        <v>0.81347634670113267</v>
      </c>
      <c r="R31" s="68">
        <v>0.94150436325420761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0.45016256211717753</v>
      </c>
      <c r="M32" s="115">
        <v>2.7881524130943314</v>
      </c>
      <c r="N32" s="115">
        <v>242.92144683836722</v>
      </c>
      <c r="O32" s="115">
        <v>2.4874568274090203</v>
      </c>
      <c r="P32" s="115">
        <v>2.28489018576269</v>
      </c>
      <c r="Q32" s="111">
        <v>2.4874568274090207</v>
      </c>
      <c r="R32" s="68">
        <v>2.28489018576269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0.99268364840921919</v>
      </c>
      <c r="M33" s="115">
        <v>0.94022701862201374</v>
      </c>
      <c r="N33" s="115">
        <v>0.59120894952985137</v>
      </c>
      <c r="O33" s="115">
        <v>0.84203601605663869</v>
      </c>
      <c r="P33" s="115">
        <v>0.98987714862971476</v>
      </c>
      <c r="Q33" s="111">
        <v>0.8420360160566388</v>
      </c>
      <c r="R33" s="68">
        <v>0.98987714862971488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0.55070308351101105</v>
      </c>
      <c r="M34" s="115">
        <v>0.83545879035924797</v>
      </c>
      <c r="N34" s="115">
        <v>45.011435800179555</v>
      </c>
      <c r="O34" s="115">
        <v>2.6267428350286326</v>
      </c>
      <c r="P34" s="115">
        <v>4.2942429661087127</v>
      </c>
      <c r="Q34" s="111">
        <v>2.626742835028633</v>
      </c>
      <c r="R34" s="68">
        <v>4.2942429661087127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0.32763502790714688</v>
      </c>
      <c r="M35" s="115">
        <v>0.75949961128909449</v>
      </c>
      <c r="N35" s="115">
        <v>63.695334386921822</v>
      </c>
      <c r="O35" s="115">
        <v>3.5071064108594658</v>
      </c>
      <c r="P35" s="115">
        <v>5.9361884789243629</v>
      </c>
      <c r="Q35" s="111">
        <v>3.5071064108594663</v>
      </c>
      <c r="R35" s="68">
        <v>5.9361884789243629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0.10990873398767868</v>
      </c>
      <c r="M36" s="115">
        <v>0.65541226402843389</v>
      </c>
      <c r="N36" s="115">
        <v>77.400905696815315</v>
      </c>
      <c r="O36" s="115">
        <v>4.3482216206342734</v>
      </c>
      <c r="P36" s="115">
        <v>7.5214273670433531</v>
      </c>
      <c r="Q36" s="111">
        <v>4.3482216206342734</v>
      </c>
      <c r="R36" s="68">
        <v>7.5214273670433531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0.21092711128005956</v>
      </c>
      <c r="M37" s="115">
        <v>1.7288973394071658</v>
      </c>
      <c r="N37" s="115">
        <v>174.91320699561638</v>
      </c>
      <c r="O37" s="115">
        <v>4.0997851599512192</v>
      </c>
      <c r="P37" s="115">
        <v>6.1252004707337839</v>
      </c>
      <c r="Q37" s="111">
        <v>4.0997851599512192</v>
      </c>
      <c r="R37" s="68">
        <v>6.1252004707337839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0.61593651909439961</v>
      </c>
      <c r="M38" s="115">
        <v>0.86709315539552112</v>
      </c>
      <c r="N38" s="115">
        <v>40.304237247653859</v>
      </c>
      <c r="O38" s="115">
        <v>2.3646972563216475</v>
      </c>
      <c r="P38" s="115">
        <v>3.7958247315939206</v>
      </c>
      <c r="Q38" s="111">
        <v>2.364697256321648</v>
      </c>
      <c r="R38" s="68">
        <v>3.7958247315939206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1.0496855079431893E-2</v>
      </c>
      <c r="M39" s="115">
        <v>6.4857816270066024</v>
      </c>
      <c r="N39" s="115">
        <v>687.64317395870194</v>
      </c>
      <c r="O39" s="115">
        <v>7.4507532047321208</v>
      </c>
      <c r="P39" s="115">
        <v>7.6008053055547222</v>
      </c>
      <c r="Q39" s="111">
        <v>7.4507532047321217</v>
      </c>
      <c r="R39" s="68">
        <v>7.6008053055547222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1.0266332626996321E-3</v>
      </c>
      <c r="M40" s="115">
        <v>40.746993404614592</v>
      </c>
      <c r="N40" s="115">
        <v>5613.9511371972967</v>
      </c>
      <c r="O40" s="115">
        <v>19.814766015252491</v>
      </c>
      <c r="P40" s="115">
        <v>12.993407675081864</v>
      </c>
      <c r="Q40" s="111">
        <v>19.814766015252495</v>
      </c>
      <c r="R40" s="68">
        <v>12.993407675081865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0.91070615114200471</v>
      </c>
      <c r="M41" s="115">
        <v>0.85941382030828906</v>
      </c>
      <c r="N41" s="115">
        <v>6.4434177248934882E-2</v>
      </c>
      <c r="O41" s="115">
        <v>0.7528818678829956</v>
      </c>
      <c r="P41" s="115">
        <v>0.87485320238079567</v>
      </c>
      <c r="Q41" s="111">
        <v>0.75288186788299571</v>
      </c>
      <c r="R41" s="68">
        <v>0.87485320238079567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0.53002636512139201</v>
      </c>
      <c r="M42" s="115">
        <v>2.2147457324568922</v>
      </c>
      <c r="N42" s="115">
        <v>180.44878021685753</v>
      </c>
      <c r="O42" s="115">
        <v>2.1682407343705949</v>
      </c>
      <c r="P42" s="115">
        <v>2.0495246065974113</v>
      </c>
      <c r="Q42" s="111">
        <v>2.1682407343705949</v>
      </c>
      <c r="R42" s="68">
        <v>2.0495246065974113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8.9902657358996163E-3</v>
      </c>
      <c r="M43" s="115">
        <v>1.1892470446444472</v>
      </c>
      <c r="N43" s="115">
        <v>164.57209144260617</v>
      </c>
      <c r="O43" s="115">
        <v>4.9523893407528883</v>
      </c>
      <c r="P43" s="115">
        <v>8.323582921283931</v>
      </c>
      <c r="Q43" s="111">
        <v>4.9523893407528892</v>
      </c>
      <c r="R43" s="68">
        <v>8.3235829212839327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0.76334831175352702</v>
      </c>
      <c r="M44" s="115">
        <v>0.99531297743255132</v>
      </c>
      <c r="N44" s="115">
        <v>29.07017054139202</v>
      </c>
      <c r="O44" s="115">
        <v>0.89531507018974088</v>
      </c>
      <c r="P44" s="115">
        <v>0.95340985295777025</v>
      </c>
      <c r="Q44" s="111">
        <v>0.89531507018974088</v>
      </c>
      <c r="R44" s="68">
        <v>0.95340985295777025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0.49466686874155202</v>
      </c>
      <c r="M45" s="115">
        <v>2.3954839264469547</v>
      </c>
      <c r="N45" s="115">
        <v>202.96332644765397</v>
      </c>
      <c r="O45" s="115">
        <v>2.3637016438425076</v>
      </c>
      <c r="P45" s="115">
        <v>2.2252316988840239</v>
      </c>
      <c r="Q45" s="111">
        <v>2.3637016438425076</v>
      </c>
      <c r="R45" s="68">
        <v>2.2252316988840239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0.51593246169114049</v>
      </c>
      <c r="M46" s="115">
        <v>2.2769010067694353</v>
      </c>
      <c r="N46" s="115">
        <v>188.38205872336249</v>
      </c>
      <c r="O46" s="115">
        <v>2.2357228400065035</v>
      </c>
      <c r="P46" s="115">
        <v>2.1097809573841881</v>
      </c>
      <c r="Q46" s="111">
        <v>2.2357228400065035</v>
      </c>
      <c r="R46" s="68">
        <v>2.1097809573841881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6.6935959242906426E-4</v>
      </c>
      <c r="M47" s="115">
        <v>34.003226312477942</v>
      </c>
      <c r="N47" s="115">
        <v>3648.4820071264298</v>
      </c>
      <c r="O47" s="115">
        <v>22.004260598812493</v>
      </c>
      <c r="P47" s="115">
        <v>9.4255594137960834</v>
      </c>
      <c r="Q47" s="111">
        <v>22.004260598812497</v>
      </c>
      <c r="R47" s="68">
        <v>9.4255594137960834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0.9019531083699085</v>
      </c>
      <c r="M48" s="115">
        <v>0.94727977292943188</v>
      </c>
      <c r="N48" s="115">
        <v>10.206785634903463</v>
      </c>
      <c r="O48" s="115">
        <v>0.83579375209834372</v>
      </c>
      <c r="P48" s="115">
        <v>0.93882141361769966</v>
      </c>
      <c r="Q48" s="111">
        <v>0.83579375209834372</v>
      </c>
      <c r="R48" s="68">
        <v>0.93882141361769966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0.86173002055471648</v>
      </c>
      <c r="M49" s="115">
        <v>0.97823522980844257</v>
      </c>
      <c r="N49" s="115">
        <v>17.48139970324792</v>
      </c>
      <c r="O49" s="115">
        <v>0.86896706924237688</v>
      </c>
      <c r="P49" s="115">
        <v>0.95574181033244243</v>
      </c>
      <c r="Q49" s="111">
        <v>0.86896706924237699</v>
      </c>
      <c r="R49" s="68">
        <v>0.95574181033244243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7.6385707427729391E-2</v>
      </c>
      <c r="M50" s="115">
        <v>5.5780764869663981</v>
      </c>
      <c r="N50" s="115">
        <v>581.72822082671132</v>
      </c>
      <c r="O50" s="115">
        <v>6.0836740860106708</v>
      </c>
      <c r="P50" s="115">
        <v>5.9295200635968106</v>
      </c>
      <c r="Q50" s="111">
        <v>6.0836740860106708</v>
      </c>
      <c r="R50" s="68">
        <v>5.9295200635968106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0.90092410340434137</v>
      </c>
      <c r="M51" s="115">
        <v>0.86716561090705768</v>
      </c>
      <c r="N51" s="115">
        <v>1.8506377480274372</v>
      </c>
      <c r="O51" s="115">
        <v>0.76023904959803901</v>
      </c>
      <c r="P51" s="115">
        <v>0.87725915645541308</v>
      </c>
      <c r="Q51" s="111">
        <v>0.76023904959803901</v>
      </c>
      <c r="R51" s="68">
        <v>0.87725915645541319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0.72525829076002268</v>
      </c>
      <c r="M52" s="115">
        <v>1.14212735684734</v>
      </c>
      <c r="N52" s="115">
        <v>48.320460544382357</v>
      </c>
      <c r="O52" s="115">
        <v>1.0447320478567594</v>
      </c>
      <c r="P52" s="115">
        <v>1.0739365919033859</v>
      </c>
      <c r="Q52" s="111">
        <v>1.0447320478567594</v>
      </c>
      <c r="R52" s="68">
        <v>1.0739365919033861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0.38335225746886803</v>
      </c>
      <c r="M53" s="115">
        <v>3.0405211124425882</v>
      </c>
      <c r="N53" s="115">
        <v>281.92426137703865</v>
      </c>
      <c r="O53" s="115">
        <v>3.0707020674589387</v>
      </c>
      <c r="P53" s="115">
        <v>2.875993972900615</v>
      </c>
      <c r="Q53" s="111">
        <v>3.0707020674589387</v>
      </c>
      <c r="R53" s="68">
        <v>2.875993972900615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9.3172660412260569E-4</v>
      </c>
      <c r="M54" s="115">
        <v>31.096212549349943</v>
      </c>
      <c r="N54" s="115">
        <v>3333.2571919334969</v>
      </c>
      <c r="O54" s="115">
        <v>20.460885798101042</v>
      </c>
      <c r="P54" s="115">
        <v>9.1880502812731546</v>
      </c>
      <c r="Q54" s="111">
        <v>20.460885798101042</v>
      </c>
      <c r="R54" s="68">
        <v>9.1880502812731546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0.13816989050775011</v>
      </c>
      <c r="M55" s="115">
        <v>4.1388732974440252</v>
      </c>
      <c r="N55" s="115">
        <v>422.70342735445161</v>
      </c>
      <c r="O55" s="115">
        <v>4.3890792917373203</v>
      </c>
      <c r="P55" s="115">
        <v>4.1867841696952839</v>
      </c>
      <c r="Q55" s="111">
        <v>4.3890792917373203</v>
      </c>
      <c r="R55" s="68">
        <v>4.1867841696952848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1.6348416643385738E-2</v>
      </c>
      <c r="M56" s="115">
        <v>2.3886843676063845</v>
      </c>
      <c r="N56" s="115">
        <v>251.14404010232153</v>
      </c>
      <c r="O56" s="115">
        <v>2.6610524424832414</v>
      </c>
      <c r="P56" s="115">
        <v>2.6409173953796623</v>
      </c>
      <c r="Q56" s="111">
        <v>2.6610524424832414</v>
      </c>
      <c r="R56" s="68">
        <v>2.6409173953796623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2.9534660554189619E-2</v>
      </c>
      <c r="M57" s="115">
        <v>1.188386837110655</v>
      </c>
      <c r="N57" s="115">
        <v>122.4529317443547</v>
      </c>
      <c r="O57" s="115">
        <v>1.2722433934427402</v>
      </c>
      <c r="P57" s="115">
        <v>1.221844641184102</v>
      </c>
      <c r="Q57" s="111">
        <v>1.2722433934427402</v>
      </c>
      <c r="R57" s="68">
        <v>1.221844641184102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5.9199426860933539E-2</v>
      </c>
      <c r="M58" s="115">
        <v>7.0193354922702136E-2</v>
      </c>
      <c r="N58" s="115">
        <v>1.5165579874312209</v>
      </c>
      <c r="O58" s="115">
        <v>6.2598042452810976E-2</v>
      </c>
      <c r="P58" s="115">
        <v>6.8108127784601763E-2</v>
      </c>
      <c r="Q58" s="111">
        <v>6.2598042452810976E-2</v>
      </c>
      <c r="R58" s="68">
        <v>6.8108127784601763E-2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1.21492492944197E-2</v>
      </c>
      <c r="M59" s="115">
        <v>0.45657167002714588</v>
      </c>
      <c r="N59" s="115">
        <v>46.959147964592525</v>
      </c>
      <c r="O59" s="115">
        <v>0.48772743853859968</v>
      </c>
      <c r="P59" s="115">
        <v>0.46765408183662183</v>
      </c>
      <c r="Q59" s="111">
        <v>0.48772743853859973</v>
      </c>
      <c r="R59" s="68">
        <v>0.46765408183662183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4.5380373352001645E-4</v>
      </c>
      <c r="M60" s="115">
        <v>8.1254727633536319E-3</v>
      </c>
      <c r="N60" s="115">
        <v>0.81091812769163096</v>
      </c>
      <c r="O60" s="115">
        <v>8.4682262319089908E-3</v>
      </c>
      <c r="P60" s="115">
        <v>7.9955772262584046E-3</v>
      </c>
      <c r="Q60" s="111">
        <v>8.4682262319089908E-3</v>
      </c>
      <c r="R60" s="68">
        <v>7.9955772262584046E-3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0.28768008773184156</v>
      </c>
      <c r="M61" s="115">
        <v>3.7098476430645109</v>
      </c>
      <c r="N61" s="115">
        <v>362.05652760516807</v>
      </c>
      <c r="O61" s="115">
        <v>3.8205226361048372</v>
      </c>
      <c r="P61" s="115">
        <v>3.5897102662572546</v>
      </c>
      <c r="Q61" s="111">
        <v>3.8205226361048377</v>
      </c>
      <c r="R61" s="68">
        <v>3.5897102662572546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3.9457598038009087E-3</v>
      </c>
      <c r="M62" s="115">
        <v>15.750555142514207</v>
      </c>
      <c r="N62" s="115">
        <v>1679.5420863070706</v>
      </c>
      <c r="O62" s="115">
        <v>12.323039205467422</v>
      </c>
      <c r="P62" s="115">
        <v>8.0926618270952027</v>
      </c>
      <c r="Q62" s="111">
        <v>12.323039205467424</v>
      </c>
      <c r="R62" s="68">
        <v>8.0926618270952027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3.6726079325140819E-4</v>
      </c>
      <c r="M63" s="115">
        <v>38.463299176393242</v>
      </c>
      <c r="N63" s="115">
        <v>4134.0361386990489</v>
      </c>
      <c r="O63" s="115">
        <v>24.366485231055972</v>
      </c>
      <c r="P63" s="115">
        <v>9.8056729026112492</v>
      </c>
      <c r="Q63" s="111">
        <v>24.366485231055972</v>
      </c>
      <c r="R63" s="68">
        <v>9.8056729026112492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1.2797686761568201E-4</v>
      </c>
      <c r="M64" s="115">
        <v>44.070160363476212</v>
      </c>
      <c r="N64" s="115">
        <v>4749.7411197018537</v>
      </c>
      <c r="O64" s="115">
        <v>27.316611153113772</v>
      </c>
      <c r="P64" s="115">
        <v>10.31982479229138</v>
      </c>
      <c r="Q64" s="111">
        <v>27.316611153113772</v>
      </c>
      <c r="R64" s="68">
        <v>10.31982479229138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3.6083452816698519E-5</v>
      </c>
      <c r="M65" s="115">
        <v>48.109465331795327</v>
      </c>
      <c r="N65" s="115">
        <v>5201.1885435674058</v>
      </c>
      <c r="O65" s="115">
        <v>29.40199835661879</v>
      </c>
      <c r="P65" s="115">
        <v>10.724017921073443</v>
      </c>
      <c r="Q65" s="111">
        <v>29.401998356618794</v>
      </c>
      <c r="R65" s="68">
        <v>10.724017921073443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7.4648625767454897E-5</v>
      </c>
      <c r="M66" s="115">
        <v>46.072554039170043</v>
      </c>
      <c r="N66" s="115">
        <v>4972.2153713651887</v>
      </c>
      <c r="O66" s="115">
        <v>28.35777329413558</v>
      </c>
      <c r="P66" s="115">
        <v>10.51578213014125</v>
      </c>
      <c r="Q66" s="111">
        <v>28.35777329413558</v>
      </c>
      <c r="R66" s="68">
        <v>10.515782130141252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0.8136959806252182</v>
      </c>
      <c r="M67" s="115">
        <v>1.1212248722472449</v>
      </c>
      <c r="N67" s="115">
        <v>37.340277189230882</v>
      </c>
      <c r="O67" s="115">
        <v>1.0136208245881242</v>
      </c>
      <c r="P67" s="115">
        <v>1.0672803793246173</v>
      </c>
      <c r="Q67" s="111">
        <v>1.0136208245881242</v>
      </c>
      <c r="R67" s="68">
        <v>1.0672803793246173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0.74387945825822122</v>
      </c>
      <c r="M68" s="115">
        <v>1.2949660308277218</v>
      </c>
      <c r="N68" s="115">
        <v>62.562717022310466</v>
      </c>
      <c r="O68" s="115">
        <v>1.1946058366312151</v>
      </c>
      <c r="P68" s="115">
        <v>1.2093122498309314</v>
      </c>
      <c r="Q68" s="111">
        <v>1.1946058366312153</v>
      </c>
      <c r="R68" s="68">
        <v>1.2093122498309314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1.4387922801060034E-3</v>
      </c>
      <c r="M69" s="115">
        <v>26.793662527678045</v>
      </c>
      <c r="N69" s="115">
        <v>2868.065679155593</v>
      </c>
      <c r="O69" s="115">
        <v>18.1723000734893</v>
      </c>
      <c r="P69" s="115">
        <v>8.847221500189848</v>
      </c>
      <c r="Q69" s="111">
        <v>18.172300073489303</v>
      </c>
      <c r="R69" s="68">
        <v>8.847221500189848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2.6002676533416445E-2</v>
      </c>
      <c r="M70" s="115">
        <v>6.1865223167864807</v>
      </c>
      <c r="N70" s="115">
        <v>652.82638676691556</v>
      </c>
      <c r="O70" s="115">
        <v>6.9955506246977786</v>
      </c>
      <c r="P70" s="115">
        <v>7.032824068134536</v>
      </c>
      <c r="Q70" s="111">
        <v>6.9955506246977794</v>
      </c>
      <c r="R70" s="68">
        <v>7.0328240681345369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0.74403688422402536</v>
      </c>
      <c r="M71" s="115">
        <v>1.2423415008105549</v>
      </c>
      <c r="N71" s="115">
        <v>57.008454676866592</v>
      </c>
      <c r="O71" s="115">
        <v>1.1420792935103579</v>
      </c>
      <c r="P71" s="115">
        <v>1.1632359995351689</v>
      </c>
      <c r="Q71" s="111">
        <v>1.1420792935103581</v>
      </c>
      <c r="R71" s="68">
        <v>1.1632359995351689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3.0040442222330259E-2</v>
      </c>
      <c r="M72" s="115">
        <v>6.0742932640670144</v>
      </c>
      <c r="N72" s="115">
        <v>640.28625565716436</v>
      </c>
      <c r="O72" s="115">
        <v>6.8344638489174363</v>
      </c>
      <c r="P72" s="115">
        <v>6.8413045886492743</v>
      </c>
      <c r="Q72" s="111">
        <v>6.8344638489174363</v>
      </c>
      <c r="R72" s="68">
        <v>6.8413045886492743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0.2647635367392695</v>
      </c>
      <c r="M73" s="115">
        <v>3.8059655490308195</v>
      </c>
      <c r="N73" s="115">
        <v>374.51309644000156</v>
      </c>
      <c r="O73" s="115">
        <v>3.9353587174659586</v>
      </c>
      <c r="P73" s="115">
        <v>3.7028900083669241</v>
      </c>
      <c r="Q73" s="111">
        <v>3.9353587174659586</v>
      </c>
      <c r="R73" s="68">
        <v>3.7028900083669245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2.7134289650280613E-2</v>
      </c>
      <c r="M74" s="115">
        <v>6.162534440067347</v>
      </c>
      <c r="N74" s="115">
        <v>650.10029668588163</v>
      </c>
      <c r="O74" s="115">
        <v>6.9584877527251932</v>
      </c>
      <c r="P74" s="115">
        <v>6.9869427703106055</v>
      </c>
      <c r="Q74" s="111">
        <v>6.958487752725194</v>
      </c>
      <c r="R74" s="68">
        <v>6.9869427703106064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4.4036655387111635E-3</v>
      </c>
      <c r="M75" s="115">
        <v>3.9195632857598737</v>
      </c>
      <c r="N75" s="115">
        <v>549.71659245725186</v>
      </c>
      <c r="O75" s="115">
        <v>5.9806194794424936</v>
      </c>
      <c r="P75" s="115">
        <v>8.7262254603051375</v>
      </c>
      <c r="Q75" s="111">
        <v>5.9806194794424945</v>
      </c>
      <c r="R75" s="68">
        <v>8.7262254603051375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4.4036655410729444E-3</v>
      </c>
      <c r="M76" s="115">
        <v>3.9195632878620206</v>
      </c>
      <c r="N76" s="115">
        <v>549.71659275207685</v>
      </c>
      <c r="O76" s="115">
        <v>5.9806194826500301</v>
      </c>
      <c r="P76" s="115">
        <v>8.7262254649852018</v>
      </c>
      <c r="Q76" s="111">
        <v>5.9806194826500301</v>
      </c>
      <c r="R76" s="68">
        <v>8.7262254649852018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0.10252598459838667</v>
      </c>
      <c r="M77" s="115">
        <v>5.1842085864814829</v>
      </c>
      <c r="N77" s="115">
        <v>537.07060884784016</v>
      </c>
      <c r="O77" s="115">
        <v>5.5900868216133555</v>
      </c>
      <c r="P77" s="115">
        <v>5.3983673373198648</v>
      </c>
      <c r="Q77" s="111">
        <v>5.5900868216133555</v>
      </c>
      <c r="R77" s="68">
        <v>5.3983673373198657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0.52902097986401608</v>
      </c>
      <c r="M78" s="115">
        <v>2.0580083347980045</v>
      </c>
      <c r="N78" s="115">
        <v>164.0644460262298</v>
      </c>
      <c r="O78" s="115">
        <v>2.0067579501580339</v>
      </c>
      <c r="P78" s="115">
        <v>1.9016605781682021</v>
      </c>
      <c r="Q78" s="111">
        <v>2.0067579501580339</v>
      </c>
      <c r="R78" s="68">
        <v>1.9016605781682023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0.37245015294655243</v>
      </c>
      <c r="M79" s="115">
        <v>3.0784057591678127</v>
      </c>
      <c r="N79" s="115">
        <v>287.00289116902394</v>
      </c>
      <c r="O79" s="115">
        <v>3.1144558331762791</v>
      </c>
      <c r="P79" s="115">
        <v>2.9170278705419554</v>
      </c>
      <c r="Q79" s="111">
        <v>3.1144558331762795</v>
      </c>
      <c r="R79" s="68">
        <v>2.9170278705419554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2.9828123623201184E-3</v>
      </c>
      <c r="M80" s="115">
        <v>7.6022857584038039</v>
      </c>
      <c r="N80" s="115">
        <v>1066.9486630187605</v>
      </c>
      <c r="O80" s="115">
        <v>7.3495352527649382</v>
      </c>
      <c r="P80" s="115">
        <v>9.22176064678834</v>
      </c>
      <c r="Q80" s="111">
        <v>7.3495352527649391</v>
      </c>
      <c r="R80" s="68">
        <v>9.22176064678834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0.96695833228793393</v>
      </c>
      <c r="M81" s="115">
        <v>0.92787994531270712</v>
      </c>
      <c r="N81" s="115">
        <v>1.6863326404821493</v>
      </c>
      <c r="O81" s="115">
        <v>0.81333653108266646</v>
      </c>
      <c r="P81" s="115">
        <v>0.93950479990771529</v>
      </c>
      <c r="Q81" s="111">
        <v>0.81333653108266646</v>
      </c>
      <c r="R81" s="68">
        <v>0.9395047999077154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0.72096752737721048</v>
      </c>
      <c r="M82" s="115">
        <v>1.4062521671361095</v>
      </c>
      <c r="N82" s="115">
        <v>76.541160434102764</v>
      </c>
      <c r="O82" s="115">
        <v>1.309223931234744</v>
      </c>
      <c r="P82" s="115">
        <v>1.3056563874837861</v>
      </c>
      <c r="Q82" s="111">
        <v>1.309223931234744</v>
      </c>
      <c r="R82" s="68">
        <v>1.3056563874837861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0.12877492670844104</v>
      </c>
      <c r="M83" s="115">
        <v>5.0648058560710183</v>
      </c>
      <c r="N83" s="115">
        <v>521.57041034819918</v>
      </c>
      <c r="O83" s="115">
        <v>5.4182727759177682</v>
      </c>
      <c r="P83" s="115">
        <v>5.2008305261439229</v>
      </c>
      <c r="Q83" s="111">
        <v>5.4182727759177682</v>
      </c>
      <c r="R83" s="68">
        <v>5.2008305261439229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0.93051234685629447</v>
      </c>
      <c r="M84" s="115">
        <v>0.94228680907041751</v>
      </c>
      <c r="N84" s="115">
        <v>6.8346321384579323</v>
      </c>
      <c r="O84" s="115">
        <v>0.82895226737918726</v>
      </c>
      <c r="P84" s="115">
        <v>0.94119731447512223</v>
      </c>
      <c r="Q84" s="111">
        <v>0.82895226737918737</v>
      </c>
      <c r="R84" s="68">
        <v>0.94119731447512223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0.98459798448420277</v>
      </c>
      <c r="M85" s="115">
        <v>0.93177883118715377</v>
      </c>
      <c r="N85" s="115">
        <v>0.34588850581093689</v>
      </c>
      <c r="O85" s="115">
        <v>0.81630379578726409</v>
      </c>
      <c r="P85" s="115">
        <v>0.94754268822210197</v>
      </c>
      <c r="Q85" s="111">
        <v>0.81630379578726409</v>
      </c>
      <c r="R85" s="68">
        <v>0.94754268822210208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0.93220153186582355</v>
      </c>
      <c r="M86" s="115">
        <v>0.94103689677964708</v>
      </c>
      <c r="N86" s="115">
        <v>6.5343831761870321</v>
      </c>
      <c r="O86" s="115">
        <v>0.82765363376141632</v>
      </c>
      <c r="P86" s="115">
        <v>0.94062168305359806</v>
      </c>
      <c r="Q86" s="111">
        <v>0.82765363376141643</v>
      </c>
      <c r="R86" s="68">
        <v>0.94062168305359806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5.3286665416646427E-4</v>
      </c>
      <c r="M87" s="115">
        <v>35.818593588624061</v>
      </c>
      <c r="N87" s="115">
        <v>3845.7957078154295</v>
      </c>
      <c r="O87" s="115">
        <v>22.966674789699169</v>
      </c>
      <c r="P87" s="115">
        <v>9.5776306180889712</v>
      </c>
      <c r="Q87" s="111">
        <v>22.966674789699169</v>
      </c>
      <c r="R87" s="68">
        <v>9.5776306180889712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0.60539591338141852</v>
      </c>
      <c r="M88" s="115">
        <v>1.8578777163235691</v>
      </c>
      <c r="N88" s="115">
        <v>135.46453836073675</v>
      </c>
      <c r="O88" s="115">
        <v>1.786029111067053</v>
      </c>
      <c r="P88" s="115">
        <v>1.7119111012440769</v>
      </c>
      <c r="Q88" s="111">
        <v>1.7860291110670532</v>
      </c>
      <c r="R88" s="68">
        <v>1.7119111012440769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0.70145546356640642</v>
      </c>
      <c r="M89" s="115">
        <v>1.4743997795147445</v>
      </c>
      <c r="N89" s="115">
        <v>85.64066379535069</v>
      </c>
      <c r="O89" s="115">
        <v>1.3806216025043552</v>
      </c>
      <c r="P89" s="115">
        <v>1.3650988739948187</v>
      </c>
      <c r="Q89" s="111">
        <v>1.3806216025043552</v>
      </c>
      <c r="R89" s="68">
        <v>1.3650988739948187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0.86383945357446246</v>
      </c>
      <c r="M90" s="115">
        <v>1.0292128127805698</v>
      </c>
      <c r="N90" s="115">
        <v>22.651975135057747</v>
      </c>
      <c r="O90" s="115">
        <v>0.91824775661280833</v>
      </c>
      <c r="P90" s="115">
        <v>0.99791782844538546</v>
      </c>
      <c r="Q90" s="111">
        <v>0.91824775661280833</v>
      </c>
      <c r="R90" s="68">
        <v>0.99791782844538546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3.4316532580806894E-3</v>
      </c>
      <c r="M91" s="115">
        <v>17.298244889355441</v>
      </c>
      <c r="N91" s="115">
        <v>1845.6912037206225</v>
      </c>
      <c r="O91" s="115">
        <v>13.141718673711759</v>
      </c>
      <c r="P91" s="115">
        <v>8.1904807180736423</v>
      </c>
      <c r="Q91" s="111">
        <v>13.141718673711759</v>
      </c>
      <c r="R91" s="68">
        <v>8.1904807180736423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0.17944213015213617</v>
      </c>
      <c r="M92" s="115">
        <v>4.5906133347908806</v>
      </c>
      <c r="N92" s="115">
        <v>466.08979674364753</v>
      </c>
      <c r="O92" s="115">
        <v>4.84289806309343</v>
      </c>
      <c r="P92" s="115">
        <v>4.6040433183139378</v>
      </c>
      <c r="Q92" s="111">
        <v>4.84289806309343</v>
      </c>
      <c r="R92" s="68">
        <v>4.6040433183139378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3.9520124179761119E-2</v>
      </c>
      <c r="M93" s="115">
        <v>6.0484380572850185</v>
      </c>
      <c r="N93" s="115">
        <v>636.18356708738361</v>
      </c>
      <c r="O93" s="115">
        <v>6.7476561442128169</v>
      </c>
      <c r="P93" s="115">
        <v>6.7048029840796159</v>
      </c>
      <c r="Q93" s="111">
        <v>6.7476561442128169</v>
      </c>
      <c r="R93" s="68">
        <v>6.7048029840796159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0.89379138599884411</v>
      </c>
      <c r="M94" s="115">
        <v>0.92575816450350268</v>
      </c>
      <c r="N94" s="115">
        <v>11.876920493014449</v>
      </c>
      <c r="O94" s="115">
        <v>1.247259613645981</v>
      </c>
      <c r="P94" s="115">
        <v>1.7350285639196654</v>
      </c>
      <c r="Q94" s="111">
        <v>1.247259613645981</v>
      </c>
      <c r="R94" s="68">
        <v>1.7350285639196656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8.0046388628849854E-3</v>
      </c>
      <c r="M95" s="115">
        <v>8.6537529128299759</v>
      </c>
      <c r="N95" s="115">
        <v>919.32813490613535</v>
      </c>
      <c r="O95" s="115">
        <v>8.5846745632584831</v>
      </c>
      <c r="P95" s="115">
        <v>7.6974216862670009</v>
      </c>
      <c r="Q95" s="111">
        <v>8.5846745632584849</v>
      </c>
      <c r="R95" s="68">
        <v>7.6974216862670017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0.96576904886714665</v>
      </c>
      <c r="M96" s="115">
        <v>0.92790014991727898</v>
      </c>
      <c r="N96" s="115">
        <v>1.8066733997410513</v>
      </c>
      <c r="O96" s="115">
        <v>0.81340665481113483</v>
      </c>
      <c r="P96" s="115">
        <v>0.9391856529090078</v>
      </c>
      <c r="Q96" s="111">
        <v>0.81340665481113483</v>
      </c>
      <c r="R96" s="68">
        <v>0.93918565290900791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0.9296515931662267</v>
      </c>
      <c r="M97" s="115">
        <v>0.94294382809176502</v>
      </c>
      <c r="N97" s="115">
        <v>6.989755706464007</v>
      </c>
      <c r="O97" s="115">
        <v>0.82963407868141792</v>
      </c>
      <c r="P97" s="115">
        <v>0.94150825363195179</v>
      </c>
      <c r="Q97" s="111">
        <v>0.82963407868141792</v>
      </c>
      <c r="R97" s="68">
        <v>0.94150825363195179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1.8634593492151113E-2</v>
      </c>
      <c r="M98" s="115">
        <v>6.2844069272971712</v>
      </c>
      <c r="N98" s="115">
        <v>664.48387979665767</v>
      </c>
      <c r="O98" s="115">
        <v>7.1830858876127479</v>
      </c>
      <c r="P98" s="115">
        <v>7.2885014641059103</v>
      </c>
      <c r="Q98" s="111">
        <v>7.1830858876127479</v>
      </c>
      <c r="R98" s="68">
        <v>7.2885014641059103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0.98839600968104957</v>
      </c>
      <c r="M99" s="115">
        <v>0.93376268842243715</v>
      </c>
      <c r="N99" s="115">
        <v>0.17826285153378482</v>
      </c>
      <c r="O99" s="115">
        <v>0.81801831241762679</v>
      </c>
      <c r="P99" s="115">
        <v>0.95014037697227582</v>
      </c>
      <c r="Q99" s="111">
        <v>0.81801831241762679</v>
      </c>
      <c r="R99" s="68">
        <v>0.95014037697227594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0.41497613787002924</v>
      </c>
      <c r="M100" s="115">
        <v>2.8543043189207649</v>
      </c>
      <c r="N100" s="115">
        <v>259.164146062339</v>
      </c>
      <c r="O100" s="115">
        <v>2.8645693102674286</v>
      </c>
      <c r="P100" s="115">
        <v>2.6839893610010703</v>
      </c>
      <c r="Q100" s="111">
        <v>2.864569310267429</v>
      </c>
      <c r="R100" s="68">
        <v>2.6839893610010703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0.98261840208843143</v>
      </c>
      <c r="M101" s="115">
        <v>0.93091990665513802</v>
      </c>
      <c r="N101" s="115">
        <v>0.45174573507953297</v>
      </c>
      <c r="O101" s="115">
        <v>0.81557277542546835</v>
      </c>
      <c r="P101" s="115">
        <v>0.946317431705338</v>
      </c>
      <c r="Q101" s="111">
        <v>0.81557277542546835</v>
      </c>
      <c r="R101" s="68">
        <v>0.94631743170533811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0.99326463925905939</v>
      </c>
      <c r="M102" s="115">
        <v>0.93701598550100806</v>
      </c>
      <c r="N102" s="115">
        <v>3.82512290006429E-2</v>
      </c>
      <c r="O102" s="115">
        <v>0.82086678542018321</v>
      </c>
      <c r="P102" s="115">
        <v>0.95397420386908616</v>
      </c>
      <c r="Q102" s="111">
        <v>0.82086678542018321</v>
      </c>
      <c r="R102" s="68">
        <v>0.95397420386908616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0.98866681931382394</v>
      </c>
      <c r="M103" s="115">
        <v>0.93392188334455484</v>
      </c>
      <c r="N103" s="115">
        <v>0.16818241568038506</v>
      </c>
      <c r="O103" s="115">
        <v>0.81815692600255119</v>
      </c>
      <c r="P103" s="115">
        <v>0.95033841175164135</v>
      </c>
      <c r="Q103" s="111">
        <v>0.81815692600255119</v>
      </c>
      <c r="R103" s="68">
        <v>0.95033841175164147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0.94914330484354303</v>
      </c>
      <c r="M104" s="115">
        <v>0.93150711891234295</v>
      </c>
      <c r="N104" s="115">
        <v>3.8411834007588994</v>
      </c>
      <c r="O104" s="115">
        <v>0.81761437002970094</v>
      </c>
      <c r="P104" s="115">
        <v>0.9374502996262698</v>
      </c>
      <c r="Q104" s="111">
        <v>0.81761437002970094</v>
      </c>
      <c r="R104" s="68">
        <v>0.9374502996262698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0.99255031786820891</v>
      </c>
      <c r="M105" s="115">
        <v>0.93648394850421579</v>
      </c>
      <c r="N105" s="115">
        <v>5.3036131643463408E-2</v>
      </c>
      <c r="O105" s="115">
        <v>0.82039936972656924</v>
      </c>
      <c r="P105" s="115">
        <v>0.95337418636001303</v>
      </c>
      <c r="Q105" s="111">
        <v>0.82039936972656935</v>
      </c>
      <c r="R105" s="68">
        <v>0.95337418636001303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0.82613393105685562</v>
      </c>
      <c r="M106" s="115">
        <v>1.106344005196362</v>
      </c>
      <c r="N106" s="115">
        <v>34.536101735027103</v>
      </c>
      <c r="O106" s="115">
        <v>0.99760109415409592</v>
      </c>
      <c r="P106" s="115">
        <v>1.0564403068577726</v>
      </c>
      <c r="Q106" s="111">
        <v>0.99760109415409592</v>
      </c>
      <c r="R106" s="68">
        <v>1.0564403068577726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1.3854985706466675E-2</v>
      </c>
      <c r="M107" s="115">
        <v>6.3239430181163323</v>
      </c>
      <c r="N107" s="115">
        <v>669.637246173628</v>
      </c>
      <c r="O107" s="115">
        <v>7.2966067481563428</v>
      </c>
      <c r="P107" s="115">
        <v>7.4632648695376194</v>
      </c>
      <c r="Q107" s="111">
        <v>7.2966067481563437</v>
      </c>
      <c r="R107" s="68">
        <v>7.4632648695376194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0.47727929476494257</v>
      </c>
      <c r="M108" s="115">
        <v>2.4933720807998374</v>
      </c>
      <c r="N108" s="115">
        <v>214.98626198142514</v>
      </c>
      <c r="O108" s="115">
        <v>2.469806067164809</v>
      </c>
      <c r="P108" s="115">
        <v>2.3214955034858669</v>
      </c>
      <c r="Q108" s="111">
        <v>2.469806067164809</v>
      </c>
      <c r="R108" s="68">
        <v>2.3214955034858669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2024-10-28T23:29:37Z</dcterms:modified>
</cp:coreProperties>
</file>