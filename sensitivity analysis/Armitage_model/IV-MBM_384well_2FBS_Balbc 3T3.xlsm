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93715A45-C5E7-46A6-AFD4-8ADCCBF21295}" xr6:coauthVersionLast="47" xr6:coauthVersionMax="47" xr10:uidLastSave="{00000000-0000-0000-0000-000000000000}"/>
  <bookViews>
    <workbookView xWindow="43080" yWindow="-120" windowWidth="29040" windowHeight="15720" tabRatio="841" firstSheet="2" activeTab="1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<sst xmlns="http://schemas.openxmlformats.org/spreadsheetml/2006/main" count="2915" uniqueCount="495">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</sst>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8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4.8000000000000001E-2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1.3440000000000001E-2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1.3440000000000001E-2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3.3600000000000004E-4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4.7712000000000007E-5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14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1.4217840591498537E-5</v>
      </c>
      <c r="J2" s="67" t="s">
        <v>231</v>
      </c>
      <c r="K2" s="68">
        <v>7.9072028350798546E-3</v>
      </c>
      <c r="L2" s="67" t="s">
        <v>231</v>
      </c>
      <c r="M2" s="68">
        <v>5.502428743488786E-2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2.9920508267766007E-3</v>
      </c>
      <c r="J3" s="67" t="s">
        <v>231</v>
      </c>
      <c r="K3" s="68">
        <v>1.4237470827934346</v>
      </c>
      <c r="L3" s="67" t="s">
        <v>232</v>
      </c>
      <c r="M3" s="68">
        <v>10.711823034180899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2.3842957090926134E-3</v>
      </c>
      <c r="J4" s="67" t="s">
        <v>231</v>
      </c>
      <c r="K4" s="68">
        <v>5.572341805395551E-2</v>
      </c>
      <c r="L4" s="67" t="s">
        <v>231</v>
      </c>
      <c r="M4" s="68">
        <v>0.4127477269943699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6.0072175059518867E-3</v>
      </c>
      <c r="J5" s="67" t="s">
        <v>231</v>
      </c>
      <c r="K5" s="68">
        <v>0.54030817388932839</v>
      </c>
      <c r="L5" s="67" t="s">
        <v>231</v>
      </c>
      <c r="M5" s="68">
        <v>4.0482470142667548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8.0165432718052789E-3</v>
      </c>
      <c r="J6" s="67" t="s">
        <v>231</v>
      </c>
      <c r="K6" s="68">
        <v>1.6360113664205471</v>
      </c>
      <c r="L6" s="67" t="s">
        <v>232</v>
      </c>
      <c r="M6" s="68">
        <v>12.322102319391725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1.1929283495445806E-3</v>
      </c>
      <c r="J7" s="67" t="s">
        <v>231</v>
      </c>
      <c r="K7" s="68">
        <v>1.4703741297394517</v>
      </c>
      <c r="L7" s="67" t="s">
        <v>232</v>
      </c>
      <c r="M7" s="68">
        <v>11.064381329298294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2.40749838482314E-3</v>
      </c>
      <c r="J8" s="67" t="s">
        <v>231</v>
      </c>
      <c r="K8" s="68">
        <v>1.2223308005904117</v>
      </c>
      <c r="L8" s="67" t="s">
        <v>232</v>
      </c>
      <c r="M8" s="68">
        <v>9.1871703225853949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5.7046953541939967E-4</v>
      </c>
      <c r="J9" s="67" t="s">
        <v>231</v>
      </c>
      <c r="K9" s="68">
        <v>0.21299626676425049</v>
      </c>
      <c r="L9" s="67" t="s">
        <v>231</v>
      </c>
      <c r="M9" s="68">
        <v>1.5901571434459312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3.5704510184179179E-3</v>
      </c>
      <c r="J10" s="67" t="s">
        <v>231</v>
      </c>
      <c r="K10" s="68">
        <v>0.57081744355601161</v>
      </c>
      <c r="L10" s="67" t="s">
        <v>231</v>
      </c>
      <c r="M10" s="68">
        <v>4.2775522415580891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8.60185507348799E-4</v>
      </c>
      <c r="J11" s="67" t="s">
        <v>231</v>
      </c>
      <c r="K11" s="68">
        <v>0.62308026434710528</v>
      </c>
      <c r="L11" s="67" t="s">
        <v>231</v>
      </c>
      <c r="M11" s="68">
        <v>4.6704898352884925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1.4071378792662364E-3</v>
      </c>
      <c r="J12" s="67" t="s">
        <v>231</v>
      </c>
      <c r="K12" s="68">
        <v>0.25639409354387144</v>
      </c>
      <c r="L12" s="67" t="s">
        <v>231</v>
      </c>
      <c r="M12" s="68">
        <v>1.9156024197953032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2.6943157282764897E-2</v>
      </c>
      <c r="J13" s="67" t="s">
        <v>232</v>
      </c>
      <c r="K13" s="68">
        <v>0.21699391449517344</v>
      </c>
      <c r="L13" s="67" t="s">
        <v>231</v>
      </c>
      <c r="M13" s="68">
        <v>1.6201257337399775</v>
      </c>
      <c r="N13" s="67" t="s">
        <v>231</v>
      </c>
      <c r="P13" s="109" t="s">
        <v>192</v>
      </c>
      <c r="Q13" s="103">
        <f>COUNTIF(J2:J50000,"Yes")</f>
        <v>7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7.69843770777309E-3</v>
      </c>
      <c r="J14" s="67" t="s">
        <v>231</v>
      </c>
      <c r="K14" s="68">
        <v>0.79936354895874118</v>
      </c>
      <c r="L14" s="67" t="s">
        <v>231</v>
      </c>
      <c r="M14" s="68">
        <v>5.9969660376170086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4.1698750681696886E-3</v>
      </c>
      <c r="J15" s="67" t="s">
        <v>231</v>
      </c>
      <c r="K15" s="68">
        <v>0.59673849331687101</v>
      </c>
      <c r="L15" s="67" t="s">
        <v>231</v>
      </c>
      <c r="M15" s="68">
        <v>4.472418287001557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2.5374460909652792E-3</v>
      </c>
      <c r="J16" s="67" t="s">
        <v>231</v>
      </c>
      <c r="K16" s="68">
        <v>1.2093314671729889</v>
      </c>
      <c r="L16" s="67" t="s">
        <v>232</v>
      </c>
      <c r="M16" s="68">
        <v>9.088981708332259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2.5205666270566502E-3</v>
      </c>
      <c r="J17" s="67" t="s">
        <v>231</v>
      </c>
      <c r="K17" s="68">
        <v>0.55047739892118297</v>
      </c>
      <c r="L17" s="67" t="s">
        <v>231</v>
      </c>
      <c r="M17" s="68">
        <v>4.1246699503502899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3.9747518008466402E-3</v>
      </c>
      <c r="J18" s="67" t="s">
        <v>231</v>
      </c>
      <c r="K18" s="68">
        <v>0.19378449107382831</v>
      </c>
      <c r="L18" s="67" t="s">
        <v>231</v>
      </c>
      <c r="M18" s="68">
        <v>1.4462133263352637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2.5297940955522014E-2</v>
      </c>
      <c r="J19" s="67" t="s">
        <v>232</v>
      </c>
      <c r="K19" s="68">
        <v>0.60199577107413171</v>
      </c>
      <c r="L19" s="67" t="s">
        <v>231</v>
      </c>
      <c r="M19" s="68">
        <v>4.5119453634081594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2.7885528203237596E-3</v>
      </c>
      <c r="J20" s="67" t="s">
        <v>231</v>
      </c>
      <c r="K20" s="68">
        <v>0.21707108425953853</v>
      </c>
      <c r="L20" s="67" t="s">
        <v>231</v>
      </c>
      <c r="M20" s="68">
        <v>1.6207019006864349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1.1293670398247663E-2</v>
      </c>
      <c r="J21" s="67" t="s">
        <v>232</v>
      </c>
      <c r="K21" s="68">
        <v>0.74531490369893572</v>
      </c>
      <c r="L21" s="67" t="s">
        <v>231</v>
      </c>
      <c r="M21" s="68">
        <v>5.5901124898478809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9.9223419664594859E-5</v>
      </c>
      <c r="J22" s="67" t="s">
        <v>231</v>
      </c>
      <c r="K22" s="68">
        <v>2.4537993982476063E-2</v>
      </c>
      <c r="L22" s="67" t="s">
        <v>231</v>
      </c>
      <c r="M22" s="68">
        <v>0.17952584551803899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3.1196483697075012E-5</v>
      </c>
      <c r="J23" s="67" t="s">
        <v>231</v>
      </c>
      <c r="K23" s="68">
        <v>1.1850292281826307E-2</v>
      </c>
      <c r="L23" s="67" t="s">
        <v>231</v>
      </c>
      <c r="M23" s="68">
        <v>8.4567224172173466E-2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1.4604682120896063E-4</v>
      </c>
      <c r="J24" s="67" t="s">
        <v>231</v>
      </c>
      <c r="K24" s="68">
        <v>0.11279448150540257</v>
      </c>
      <c r="L24" s="67" t="s">
        <v>231</v>
      </c>
      <c r="M24" s="68">
        <v>0.8396879722814381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1.3927436654339997E-3</v>
      </c>
      <c r="J25" s="67" t="s">
        <v>231</v>
      </c>
      <c r="K25" s="68">
        <v>0.29962937121292232</v>
      </c>
      <c r="L25" s="67" t="s">
        <v>231</v>
      </c>
      <c r="M25" s="68">
        <v>2.2405885784198141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3.0260560434702049E-3</v>
      </c>
      <c r="J26" s="67" t="s">
        <v>231</v>
      </c>
      <c r="K26" s="68">
        <v>0.71100899006455243</v>
      </c>
      <c r="L26" s="67" t="s">
        <v>231</v>
      </c>
      <c r="M26" s="68">
        <v>5.3319318493267858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1.6542357536555169E-3</v>
      </c>
      <c r="J27" s="67" t="s">
        <v>231</v>
      </c>
      <c r="K27" s="68">
        <v>1.4017409775405261</v>
      </c>
      <c r="L27" s="67" t="s">
        <v>232</v>
      </c>
      <c r="M27" s="68">
        <v>10.544863403154773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9.8994687944610363E-4</v>
      </c>
      <c r="J28" s="67" t="s">
        <v>231</v>
      </c>
      <c r="K28" s="68">
        <v>0.96386212847570407</v>
      </c>
      <c r="L28" s="67" t="s">
        <v>231</v>
      </c>
      <c r="M28" s="68">
        <v>7.2363488002166525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6.0166408280143066E-4</v>
      </c>
      <c r="J29" s="67" t="s">
        <v>231</v>
      </c>
      <c r="K29" s="68">
        <v>0.71137272073949243</v>
      </c>
      <c r="L29" s="67" t="s">
        <v>231</v>
      </c>
      <c r="M29" s="68">
        <v>5.3364076603948192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9.8994687944610363E-4</v>
      </c>
      <c r="J30" s="67" t="s">
        <v>231</v>
      </c>
      <c r="K30" s="68">
        <v>0.96386212847570407</v>
      </c>
      <c r="L30" s="67" t="s">
        <v>231</v>
      </c>
      <c r="M30" s="68">
        <v>7.2363488002166525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8.1115534847699814E-8</v>
      </c>
      <c r="J31" s="67" t="s">
        <v>231</v>
      </c>
      <c r="K31" s="68">
        <v>7.5347075483219372E-4</v>
      </c>
      <c r="L31" s="67" t="s">
        <v>231</v>
      </c>
      <c r="M31" s="68">
        <v>1.1369968409833558E-3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1.0625016839151634E-5</v>
      </c>
      <c r="J32" s="67" t="s">
        <v>231</v>
      </c>
      <c r="K32" s="68">
        <v>4.1568325870618844E-2</v>
      </c>
      <c r="L32" s="67" t="s">
        <v>231</v>
      </c>
      <c r="M32" s="68">
        <v>0.30638837324314727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8.1343766582865091E-8</v>
      </c>
      <c r="J33" s="67" t="s">
        <v>231</v>
      </c>
      <c r="K33" s="68">
        <v>6.8330944958062923E-4</v>
      </c>
      <c r="L33" s="67" t="s">
        <v>231</v>
      </c>
      <c r="M33" s="68">
        <v>5.9138893823871728E-4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3.2437722348952613E-10</v>
      </c>
      <c r="J34" s="67" t="s">
        <v>231</v>
      </c>
      <c r="K34" s="68">
        <v>9.4478996643091295E-3</v>
      </c>
      <c r="L34" s="67" t="s">
        <v>231</v>
      </c>
      <c r="M34" s="68">
        <v>7.5431427331974027E-2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4.9895686224046812E-7</v>
      </c>
      <c r="J35" s="67" t="s">
        <v>231</v>
      </c>
      <c r="K35" s="68">
        <v>1.946893552831E-2</v>
      </c>
      <c r="L35" s="67" t="s">
        <v>231</v>
      </c>
      <c r="M35" s="68">
        <v>0.16090696278224545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8.9444940569136929E-7</v>
      </c>
      <c r="J36" s="67" t="s">
        <v>231</v>
      </c>
      <c r="K36" s="68">
        <v>4.5702854387840636E-2</v>
      </c>
      <c r="L36" s="67" t="s">
        <v>231</v>
      </c>
      <c r="M36" s="68">
        <v>0.38462558518832846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5.3871337958135908E-6</v>
      </c>
      <c r="J37" s="67" t="s">
        <v>231</v>
      </c>
      <c r="K37" s="68">
        <v>6.3210641606339338E-2</v>
      </c>
      <c r="L37" s="67" t="s">
        <v>231</v>
      </c>
      <c r="M37" s="68">
        <v>0.48690065361496138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1.6005919326726207E-6</v>
      </c>
      <c r="J38" s="67" t="s">
        <v>231</v>
      </c>
      <c r="K38" s="68">
        <v>7.831591124503344E-3</v>
      </c>
      <c r="L38" s="67" t="s">
        <v>231</v>
      </c>
      <c r="M38" s="68">
        <v>6.1314322433999209E-2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8.7564718250988949E-4</v>
      </c>
      <c r="J39" s="67" t="s">
        <v>231</v>
      </c>
      <c r="K39" s="68">
        <v>0.38371130432534173</v>
      </c>
      <c r="L39" s="67" t="s">
        <v>231</v>
      </c>
      <c r="M39" s="68">
        <v>2.8720899475690866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2.5050916500512159E-9</v>
      </c>
      <c r="J40" s="67" t="s">
        <v>231</v>
      </c>
      <c r="K40" s="68">
        <v>2.0421444375940339</v>
      </c>
      <c r="L40" s="67" t="s">
        <v>232</v>
      </c>
      <c r="M40" s="68">
        <v>17.207221534865337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2.6155401098959237E-8</v>
      </c>
      <c r="J41" s="67" t="s">
        <v>231</v>
      </c>
      <c r="K41" s="68">
        <v>5.6977937146012554E-4</v>
      </c>
      <c r="L41" s="67" t="s">
        <v>231</v>
      </c>
      <c r="M41" s="68">
        <v>6.4232771260794668E-5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1.1118491514895928E-3</v>
      </c>
      <c r="J42" s="67" t="s">
        <v>231</v>
      </c>
      <c r="K42" s="68">
        <v>2.8902021024526825E-2</v>
      </c>
      <c r="L42" s="67" t="s">
        <v>231</v>
      </c>
      <c r="M42" s="68">
        <v>0.21215965900662825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4.0996347621431916E-8</v>
      </c>
      <c r="J43" s="67" t="s">
        <v>231</v>
      </c>
      <c r="K43" s="68">
        <v>0.16930341307928515</v>
      </c>
      <c r="L43" s="67" t="s">
        <v>231</v>
      </c>
      <c r="M43" s="68">
        <v>1.4330036547445362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1.0868476436255525E-6</v>
      </c>
      <c r="J44" s="67" t="s">
        <v>231</v>
      </c>
      <c r="K44" s="68">
        <v>4.4731307802379867E-3</v>
      </c>
      <c r="L44" s="67" t="s">
        <v>231</v>
      </c>
      <c r="M44" s="68">
        <v>2.9632390792792423E-2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9.98180437410554E-5</v>
      </c>
      <c r="J45" s="67" t="s">
        <v>231</v>
      </c>
      <c r="K45" s="68">
        <v>3.3239911377692999E-2</v>
      </c>
      <c r="L45" s="67" t="s">
        <v>231</v>
      </c>
      <c r="M45" s="68">
        <v>0.24460693397206978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2.2099733058948781E-6</v>
      </c>
      <c r="J46" s="67" t="s">
        <v>231</v>
      </c>
      <c r="K46" s="68">
        <v>3.0404807122173045E-2</v>
      </c>
      <c r="L46" s="67" t="s">
        <v>231</v>
      </c>
      <c r="M46" s="68">
        <v>0.22340915975287251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7.6478510183170144E-3</v>
      </c>
      <c r="J47" s="142" t="s">
        <v>231</v>
      </c>
      <c r="K47" s="143">
        <v>1.439015526197019</v>
      </c>
      <c r="L47" s="142" t="s">
        <v>232</v>
      </c>
      <c r="M47" s="143">
        <v>10.826697976312971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1.8128778253995475E-6</v>
      </c>
      <c r="J48" s="142" t="s">
        <v>231</v>
      </c>
      <c r="K48" s="143">
        <v>1.942179159554514E-3</v>
      </c>
      <c r="L48" s="142" t="s">
        <v>231</v>
      </c>
      <c r="M48" s="143">
        <v>1.0247603918400315E-2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5.0799819801945016E-6</v>
      </c>
      <c r="J49" s="142" t="s">
        <v>231</v>
      </c>
      <c r="K49" s="143">
        <v>2.9173646993307482E-3</v>
      </c>
      <c r="L49" s="142" t="s">
        <v>231</v>
      </c>
      <c r="M49" s="143">
        <v>1.7650484939618436E-2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1.7029178483565874E-5</v>
      </c>
      <c r="J50" s="142" t="s">
        <v>231</v>
      </c>
      <c r="K50" s="143">
        <v>0.18645848413378061</v>
      </c>
      <c r="L50" s="142" t="s">
        <v>231</v>
      </c>
      <c r="M50" s="143">
        <v>1.3913667273512329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4.0151592228711201E-8</v>
      </c>
      <c r="J51" s="142" t="s">
        <v>231</v>
      </c>
      <c r="K51" s="143">
        <v>8.0540196576728978E-4</v>
      </c>
      <c r="L51" s="142" t="s">
        <v>231</v>
      </c>
      <c r="M51" s="143">
        <v>1.8470304201587146E-3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1.1145221959323555E-5</v>
      </c>
      <c r="J52" s="142" t="s">
        <v>231</v>
      </c>
      <c r="K52" s="143">
        <v>7.2030165145682045E-3</v>
      </c>
      <c r="L52" s="142" t="s">
        <v>231</v>
      </c>
      <c r="M52" s="143">
        <v>5.0048475660771793E-2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2.0569209418289585E-4</v>
      </c>
      <c r="J53" s="142" t="s">
        <v>231</v>
      </c>
      <c r="K53" s="143">
        <v>5.0493365450882864E-2</v>
      </c>
      <c r="L53" s="142" t="s">
        <v>231</v>
      </c>
      <c r="M53" s="143">
        <v>0.37364479901885295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2.6503978249125641E-3</v>
      </c>
      <c r="J54" s="67" t="s">
        <v>231</v>
      </c>
      <c r="K54" s="68">
        <v>1.3391966988632329</v>
      </c>
      <c r="L54" s="67" t="s">
        <v>232</v>
      </c>
      <c r="M54" s="68">
        <v>10.070896655654677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2.8587333317904356E-4</v>
      </c>
      <c r="J55" s="67" t="s">
        <v>231</v>
      </c>
      <c r="K55" s="68">
        <v>9.4727989606019997E-2</v>
      </c>
      <c r="L55" s="67" t="s">
        <v>231</v>
      </c>
      <c r="M55" s="68">
        <v>0.70546989661776238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6.8874923238422024E-5</v>
      </c>
      <c r="J56" s="67" t="s">
        <v>231</v>
      </c>
      <c r="K56" s="68">
        <v>4.553982968024551E-2</v>
      </c>
      <c r="L56" s="67" t="s">
        <v>231</v>
      </c>
      <c r="M56" s="68">
        <v>0.34020753040383889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2.7148928922151566E-5</v>
      </c>
      <c r="J57" s="67" t="s">
        <v>231</v>
      </c>
      <c r="K57" s="68">
        <v>1.8632576383539896E-2</v>
      </c>
      <c r="L57" s="67" t="s">
        <v>231</v>
      </c>
      <c r="M57" s="68">
        <v>0.13886734919225413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2.5869420479023182E-7</v>
      </c>
      <c r="J58" s="67" t="s">
        <v>231</v>
      </c>
      <c r="K58" s="68">
        <v>2.4121226380333492E-4</v>
      </c>
      <c r="L58" s="67" t="s">
        <v>231</v>
      </c>
      <c r="M58" s="68">
        <v>1.5179222654071037E-3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6.0189756386659985E-6</v>
      </c>
      <c r="J59" s="67" t="s">
        <v>231</v>
      </c>
      <c r="K59" s="68">
        <v>6.5997226839685022E-3</v>
      </c>
      <c r="L59" s="67" t="s">
        <v>231</v>
      </c>
      <c r="M59" s="68">
        <v>4.9179248257763174E-2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8.9778998483090569E-8</v>
      </c>
      <c r="J60" s="67" t="s">
        <v>231</v>
      </c>
      <c r="K60" s="68">
        <v>1.0915391152236814E-4</v>
      </c>
      <c r="L60" s="67" t="s">
        <v>231</v>
      </c>
      <c r="M60" s="68">
        <v>8.1152267238318717E-4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5.0055395777018563E-2</v>
      </c>
      <c r="J61" s="67" t="s">
        <v>232</v>
      </c>
      <c r="K61" s="68">
        <v>7.2331223411427226E-2</v>
      </c>
      <c r="L61" s="67" t="s">
        <v>231</v>
      </c>
      <c r="M61" s="68">
        <v>0.5369597648722173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1.3357556932666392E-4</v>
      </c>
      <c r="J62" s="67" t="s">
        <v>231</v>
      </c>
      <c r="K62" s="68">
        <v>0.78762725084894414</v>
      </c>
      <c r="L62" s="67" t="s">
        <v>231</v>
      </c>
      <c r="M62" s="68">
        <v>5.9085967252634317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7.7934194795916995E-4</v>
      </c>
      <c r="J63" s="67" t="s">
        <v>231</v>
      </c>
      <c r="K63" s="68">
        <v>1.5918346250732727</v>
      </c>
      <c r="L63" s="67" t="s">
        <v>232</v>
      </c>
      <c r="M63" s="68">
        <v>11.986232152399602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5.5516604756260853E-4</v>
      </c>
      <c r="J64" s="67" t="s">
        <v>231</v>
      </c>
      <c r="K64" s="68">
        <v>1.7897497742326804</v>
      </c>
      <c r="L64" s="67" t="s">
        <v>232</v>
      </c>
      <c r="M64" s="68">
        <v>13.494435643424838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8.4608935576351452E-4</v>
      </c>
      <c r="J65" s="67" t="s">
        <v>231</v>
      </c>
      <c r="K65" s="68">
        <v>1.9402284630430784</v>
      </c>
      <c r="L65" s="67" t="s">
        <v>232</v>
      </c>
      <c r="M65" s="68">
        <v>14.650919067664709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3.3414086548941243E-6</v>
      </c>
      <c r="J66" s="67" t="s">
        <v>231</v>
      </c>
      <c r="K66" s="68">
        <v>1.8632998599053865</v>
      </c>
      <c r="L66" s="67" t="s">
        <v>232</v>
      </c>
      <c r="M66" s="68">
        <v>14.058083144659365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3.821939545277874E-4</v>
      </c>
      <c r="J67" s="67" t="s">
        <v>231</v>
      </c>
      <c r="K67" s="68">
        <v>5.6757552242004215E-3</v>
      </c>
      <c r="L67" s="67" t="s">
        <v>231</v>
      </c>
      <c r="M67" s="68">
        <v>3.8306772617151173E-2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1.5539746262628983E-4</v>
      </c>
      <c r="J68" s="67" t="s">
        <v>231</v>
      </c>
      <c r="K68" s="68">
        <v>9.309570196344168E-3</v>
      </c>
      <c r="L68" s="67" t="s">
        <v>231</v>
      </c>
      <c r="M68" s="68">
        <v>6.5578806710146736E-2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6.5571702450845858E-7</v>
      </c>
      <c r="J69" s="67" t="s">
        <v>231</v>
      </c>
      <c r="K69" s="68">
        <v>1.1881428221128909</v>
      </c>
      <c r="L69" s="67" t="s">
        <v>232</v>
      </c>
      <c r="M69" s="68">
        <v>8.9290200492344134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7.4223818443616175E-4</v>
      </c>
      <c r="J70" s="67" t="s">
        <v>231</v>
      </c>
      <c r="K70" s="68">
        <v>0.29159367514856177</v>
      </c>
      <c r="L70" s="67" t="s">
        <v>231</v>
      </c>
      <c r="M70" s="68">
        <v>2.1798820654344864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2.8935948548000564E-4</v>
      </c>
      <c r="J71" s="67" t="s">
        <v>231</v>
      </c>
      <c r="K71" s="68">
        <v>8.4863905806434863E-3</v>
      </c>
      <c r="L71" s="67" t="s">
        <v>231</v>
      </c>
      <c r="M71" s="68">
        <v>5.9473957594968194E-2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4.2074008160696856E-6</v>
      </c>
      <c r="J72" s="67" t="s">
        <v>231</v>
      </c>
      <c r="K72" s="68">
        <v>0.26808716743143451</v>
      </c>
      <c r="L72" s="67" t="s">
        <v>231</v>
      </c>
      <c r="M72" s="68">
        <v>2.0037008300901684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7.3928111066499528E-3</v>
      </c>
      <c r="J73" s="67" t="s">
        <v>231</v>
      </c>
      <c r="K73" s="68">
        <v>7.6315490880859718E-2</v>
      </c>
      <c r="L73" s="67" t="s">
        <v>231</v>
      </c>
      <c r="M73" s="68">
        <v>0.56684202132419947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0.15305201210895802</v>
      </c>
      <c r="J74" s="67" t="s">
        <v>232</v>
      </c>
      <c r="K74" s="68">
        <v>0.28576411949752234</v>
      </c>
      <c r="L74" s="67" t="s">
        <v>231</v>
      </c>
      <c r="M74" s="68">
        <v>2.1361651499356045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1.8097923192467931E-12</v>
      </c>
      <c r="J75" s="67" t="s">
        <v>231</v>
      </c>
      <c r="K75" s="68">
        <v>0.51529400664987624</v>
      </c>
      <c r="L75" s="67" t="s">
        <v>231</v>
      </c>
      <c r="M75" s="68">
        <v>4.3761481233884929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9.9565362785910432E-13</v>
      </c>
      <c r="J76" s="67" t="s">
        <v>231</v>
      </c>
      <c r="K76" s="68">
        <v>0.51529400884993204</v>
      </c>
      <c r="L76" s="67" t="s">
        <v>231</v>
      </c>
      <c r="M76" s="68">
        <v>4.3761481420725259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5.2781212878355323E-7</v>
      </c>
      <c r="J77" s="67" t="s">
        <v>231</v>
      </c>
      <c r="K77" s="68">
        <v>0.1518166145533236</v>
      </c>
      <c r="L77" s="67" t="s">
        <v>231</v>
      </c>
      <c r="M77" s="68">
        <v>1.1320541607162153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1.0524707304973805E-3</v>
      </c>
      <c r="J78" s="67" t="s">
        <v>231</v>
      </c>
      <c r="K78" s="68">
        <v>2.5875161778721862E-2</v>
      </c>
      <c r="L78" s="67" t="s">
        <v>231</v>
      </c>
      <c r="M78" s="68">
        <v>0.18967439562559105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2.2427597205881767E-5</v>
      </c>
      <c r="J79" s="67" t="s">
        <v>231</v>
      </c>
      <c r="K79" s="68">
        <v>5.1738488238272713E-2</v>
      </c>
      <c r="L79" s="67" t="s">
        <v>231</v>
      </c>
      <c r="M79" s="68">
        <v>0.38298747578243314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9.3430679348900705E-14</v>
      </c>
      <c r="J80" s="67" t="s">
        <v>231</v>
      </c>
      <c r="K80" s="68">
        <v>0.86799270072156609</v>
      </c>
      <c r="L80" s="67" t="s">
        <v>231</v>
      </c>
      <c r="M80" s="68">
        <v>7.3716861484536969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2.1989234943616481E-5</v>
      </c>
      <c r="J81" s="67" t="s">
        <v>231</v>
      </c>
      <c r="K81" s="68">
        <v>8.2372568651667053E-4</v>
      </c>
      <c r="L81" s="67" t="s">
        <v>231</v>
      </c>
      <c r="M81" s="68">
        <v>1.6824682987070672E-3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3.5393012539354773E-5</v>
      </c>
      <c r="J82" s="67" t="s">
        <v>231</v>
      </c>
      <c r="K82" s="68">
        <v>1.1404236556900628E-2</v>
      </c>
      <c r="L82" s="67" t="s">
        <v>231</v>
      </c>
      <c r="M82" s="68">
        <v>8.1226633787315941E-2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5.5806503749730867E-5</v>
      </c>
      <c r="J83" s="67" t="s">
        <v>231</v>
      </c>
      <c r="K83" s="68">
        <v>0.1407525954649535</v>
      </c>
      <c r="L83" s="67" t="s">
        <v>231</v>
      </c>
      <c r="M83" s="68">
        <v>1.0489631644363153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6.0739728175944119E-6</v>
      </c>
      <c r="J84" s="67" t="s">
        <v>231</v>
      </c>
      <c r="K84" s="68">
        <v>1.4997603131729374E-3</v>
      </c>
      <c r="L84" s="67" t="s">
        <v>231</v>
      </c>
      <c r="M84" s="68">
        <v>6.8443819650169709E-3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3.2987353055784028E-8</v>
      </c>
      <c r="J85" s="67" t="s">
        <v>231</v>
      </c>
      <c r="K85" s="68">
        <v>6.5324472342367804E-4</v>
      </c>
      <c r="L85" s="67" t="s">
        <v>231</v>
      </c>
      <c r="M85" s="68">
        <v>3.4477658301663788E-4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2.3830551158608214E-6</v>
      </c>
      <c r="J86" s="67" t="s">
        <v>231</v>
      </c>
      <c r="K86" s="68">
        <v>1.4599455607641329E-3</v>
      </c>
      <c r="L86" s="67" t="s">
        <v>231</v>
      </c>
      <c r="M86" s="68">
        <v>6.5422533307916914E-3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8.7596299042148485E-3</v>
      </c>
      <c r="J87" s="67" t="s">
        <v>231</v>
      </c>
      <c r="K87" s="68">
        <v>1.5010310452815177</v>
      </c>
      <c r="L87" s="67" t="s">
        <v>232</v>
      </c>
      <c r="M87" s="68">
        <v>11.296856360939232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1.1071530363261299E-4</v>
      </c>
      <c r="J88" s="67" t="s">
        <v>231</v>
      </c>
      <c r="K88" s="68">
        <v>2.0861792346688671E-2</v>
      </c>
      <c r="L88" s="67" t="s">
        <v>231</v>
      </c>
      <c r="M88" s="68">
        <v>0.152014843966988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2.8743792219868996E-5</v>
      </c>
      <c r="J89" s="67" t="s">
        <v>231</v>
      </c>
      <c r="K89" s="68">
        <v>1.2794301492264197E-2</v>
      </c>
      <c r="L89" s="67" t="s">
        <v>231</v>
      </c>
      <c r="M89" s="68">
        <v>9.1635806925930319E-2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1.7853171795548176E-6</v>
      </c>
      <c r="J90" s="67" t="s">
        <v>231</v>
      </c>
      <c r="K90" s="68">
        <v>3.6360782586948382E-3</v>
      </c>
      <c r="L90" s="67" t="s">
        <v>231</v>
      </c>
      <c r="M90" s="68">
        <v>2.2962333784411752E-2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7.9344951939731585E-3</v>
      </c>
      <c r="J91" s="67" t="s">
        <v>231</v>
      </c>
      <c r="K91" s="68">
        <v>0.84759667920526161</v>
      </c>
      <c r="L91" s="67" t="s">
        <v>231</v>
      </c>
      <c r="M91" s="68">
        <v>6.3602009885812478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3.2961292297168529E-2</v>
      </c>
      <c r="J92" s="67" t="s">
        <v>232</v>
      </c>
      <c r="K92" s="68">
        <v>0.11135876885322524</v>
      </c>
      <c r="L92" s="67" t="s">
        <v>231</v>
      </c>
      <c r="M92" s="68">
        <v>0.82894322734863934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1.6924534103503926E-2</v>
      </c>
      <c r="J93" s="67" t="s">
        <v>232</v>
      </c>
      <c r="K93" s="68">
        <v>0.25417707488675939</v>
      </c>
      <c r="L93" s="67" t="s">
        <v>231</v>
      </c>
      <c r="M93" s="68">
        <v>1.8989733117016767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7.1300474452829482E-9</v>
      </c>
      <c r="J94" s="67" t="s">
        <v>231</v>
      </c>
      <c r="K94" s="68">
        <v>2.1453373816356768E-3</v>
      </c>
      <c r="L94" s="67" t="s">
        <v>231</v>
      </c>
      <c r="M94" s="68">
        <v>1.3065763622362348E-2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1.7515995645954189E-4</v>
      </c>
      <c r="J95" s="67" t="s">
        <v>231</v>
      </c>
      <c r="K95" s="68">
        <v>0.48757253950741403</v>
      </c>
      <c r="L95" s="67" t="s">
        <v>231</v>
      </c>
      <c r="M95" s="68">
        <v>3.6519988794824667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9.6970201976299891E-8</v>
      </c>
      <c r="J96" s="67" t="s">
        <v>231</v>
      </c>
      <c r="K96" s="68">
        <v>8.3927743384649414E-4</v>
      </c>
      <c r="L96" s="67" t="s">
        <v>231</v>
      </c>
      <c r="M96" s="68">
        <v>1.8026852750308948E-3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3.4500423755665347E-8</v>
      </c>
      <c r="J97" s="67" t="s">
        <v>231</v>
      </c>
      <c r="K97" s="68">
        <v>1.5203443064423002E-3</v>
      </c>
      <c r="L97" s="67" t="s">
        <v>231</v>
      </c>
      <c r="M97" s="68">
        <v>7.0005303723637922E-3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3.1846021495559293E-5</v>
      </c>
      <c r="J98" s="67" t="s">
        <v>231</v>
      </c>
      <c r="K98" s="68">
        <v>0.32664440982841869</v>
      </c>
      <c r="L98" s="67" t="s">
        <v>231</v>
      </c>
      <c r="M98" s="68">
        <v>2.4430544222135562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4.1866919514443241E-8</v>
      </c>
      <c r="J99" s="67" t="s">
        <v>231</v>
      </c>
      <c r="K99" s="68">
        <v>6.3289165086918787E-4</v>
      </c>
      <c r="L99" s="67" t="s">
        <v>231</v>
      </c>
      <c r="M99" s="68">
        <v>1.7766946638836996E-4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6.4454506973714708E-5</v>
      </c>
      <c r="J100" s="67" t="s">
        <v>231</v>
      </c>
      <c r="K100" s="68">
        <v>4.5153623824654827E-2</v>
      </c>
      <c r="L100" s="67" t="s">
        <v>231</v>
      </c>
      <c r="M100" s="68">
        <v>0.33370146330136313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1.305640480928253E-5</v>
      </c>
      <c r="J101" s="67" t="s">
        <v>231</v>
      </c>
      <c r="K101" s="68">
        <v>6.6635024522523597E-4</v>
      </c>
      <c r="L101" s="67" t="s">
        <v>231</v>
      </c>
      <c r="M101" s="68">
        <v>4.5032602171912565E-4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6.4338892264788813E-11</v>
      </c>
      <c r="J102" s="67" t="s">
        <v>231</v>
      </c>
      <c r="K102" s="68">
        <v>6.1691505520447207E-4</v>
      </c>
      <c r="L102" s="67" t="s">
        <v>231</v>
      </c>
      <c r="M102" s="68">
        <v>3.8120179671773039E-5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9.159062437736209E-9</v>
      </c>
      <c r="J103" s="67" t="s">
        <v>231</v>
      </c>
      <c r="K103" s="68">
        <v>6.3169323465859617E-4</v>
      </c>
      <c r="L103" s="67" t="s">
        <v>231</v>
      </c>
      <c r="M103" s="68">
        <v>1.6762142736646423E-4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4.2155495862649447E-7</v>
      </c>
      <c r="J104" s="67" t="s">
        <v>231</v>
      </c>
      <c r="K104" s="68">
        <v>1.1046091287832817E-3</v>
      </c>
      <c r="L104" s="67" t="s">
        <v>231</v>
      </c>
      <c r="M104" s="68">
        <v>3.8382580839479209E-3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5.7875273624583545E-8</v>
      </c>
      <c r="J105" s="67" t="s">
        <v>231</v>
      </c>
      <c r="K105" s="68">
        <v>6.1848099451099279E-4</v>
      </c>
      <c r="L105" s="67" t="s">
        <v>231</v>
      </c>
      <c r="M105" s="68">
        <v>5.2854993970875062E-5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5.1877087646056838E-7</v>
      </c>
      <c r="J106" s="67" t="s">
        <v>231</v>
      </c>
      <c r="K106" s="68">
        <v>5.2842675333243071E-3</v>
      </c>
      <c r="L106" s="67" t="s">
        <v>231</v>
      </c>
      <c r="M106" s="68">
        <v>3.5347331111269795E-2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2.4442444813638307E-4</v>
      </c>
      <c r="J107" s="67" t="s">
        <v>231</v>
      </c>
      <c r="K107" s="68">
        <v>0.35380212350078971</v>
      </c>
      <c r="L107" s="67" t="s">
        <v>231</v>
      </c>
      <c r="M107" s="68">
        <v>2.6472089069545528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8.2441070836740125E-5</v>
      </c>
      <c r="J108" s="67" t="s">
        <v>231</v>
      </c>
      <c r="K108" s="68">
        <v>3.5651742050296469E-2</v>
      </c>
      <c r="L108" s="67" t="s">
        <v>231</v>
      </c>
      <c r="M108" s="68">
        <v>0.26264142516968264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9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0.81137946420933327</v>
      </c>
      <c r="F2" s="14">
        <v>0.80674155361485489</v>
      </c>
      <c r="G2" s="14">
        <v>1.0482935528412294E-6</v>
      </c>
      <c r="H2" s="14">
        <v>10.900700994634269</v>
      </c>
      <c r="I2" s="14">
        <v>29.397581152303498</v>
      </c>
      <c r="J2" s="14">
        <v>0</v>
      </c>
      <c r="K2" s="14">
        <v>1.239554347385716</v>
      </c>
      <c r="L2" s="14">
        <v>0.80674155361485489</v>
      </c>
      <c r="M2" s="14">
        <v>0.66193144474098842</v>
      </c>
      <c r="N2" s="14">
        <v>7.907202835079854</v>
      </c>
      <c r="O2" s="14">
        <v>1455.795113966552</v>
      </c>
      <c r="P2" s="8">
        <v>7.907202835079854</v>
      </c>
      <c r="Q2" s="54">
        <v>0.12546182422236868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0.26834012643779148</v>
      </c>
      <c r="F3" s="14">
        <v>1.9443005062583717E-3</v>
      </c>
      <c r="G3" s="14">
        <v>1.1789404720949733E-4</v>
      </c>
      <c r="H3" s="14">
        <v>204.1095800940555</v>
      </c>
      <c r="I3" s="14">
        <v>5120.5965588776317</v>
      </c>
      <c r="J3" s="14">
        <v>0</v>
      </c>
      <c r="K3" s="14">
        <v>514.32378728554079</v>
      </c>
      <c r="L3" s="14">
        <v>1.9443005062583717E-3</v>
      </c>
      <c r="M3" s="14">
        <v>1.595298565384994E-3</v>
      </c>
      <c r="N3" s="14">
        <v>1423.7470827934346</v>
      </c>
      <c r="O3" s="14">
        <v>519539.54798215226</v>
      </c>
      <c r="P3" s="8">
        <v>1423.7470827934346</v>
      </c>
      <c r="Q3" s="54">
        <v>0.16380251290896283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0.52593453578449312</v>
      </c>
      <c r="F4" s="14">
        <v>0.48370958165224148</v>
      </c>
      <c r="G4" s="14">
        <v>6.6805647546572668E-14</v>
      </c>
      <c r="H4" s="14">
        <v>97.316098717626275</v>
      </c>
      <c r="I4" s="14">
        <v>215.10071849350828</v>
      </c>
      <c r="J4" s="14">
        <v>0</v>
      </c>
      <c r="K4" s="14">
        <v>2.0673561945666412</v>
      </c>
      <c r="L4" s="14">
        <v>0.48370958165224148</v>
      </c>
      <c r="M4" s="14">
        <v>0.39688371174566417</v>
      </c>
      <c r="N4" s="14">
        <v>55.723418053955513</v>
      </c>
      <c r="O4" s="14">
        <v>17682.155016881163</v>
      </c>
      <c r="P4" s="8">
        <v>55.723418053955513</v>
      </c>
      <c r="Q4" s="54">
        <v>0.30735611712677163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0.36569673232388694</v>
      </c>
      <c r="F5" s="14">
        <v>2.6965408526337206E-2</v>
      </c>
      <c r="G5" s="14">
        <v>5.1795912904817677E-6</v>
      </c>
      <c r="H5" s="14">
        <v>746.22020538066829</v>
      </c>
      <c r="I5" s="14">
        <v>2005.0452350335604</v>
      </c>
      <c r="J5" s="14">
        <v>0</v>
      </c>
      <c r="K5" s="14">
        <v>37.084548488234347</v>
      </c>
      <c r="L5" s="14">
        <v>2.6965408526337206E-2</v>
      </c>
      <c r="M5" s="14">
        <v>2.2125117695859679E-2</v>
      </c>
      <c r="N5" s="14">
        <v>540.30817388932837</v>
      </c>
      <c r="O5" s="14">
        <v>189426.64268385962</v>
      </c>
      <c r="P5" s="8">
        <v>540.30817388932837</v>
      </c>
      <c r="Q5" s="54">
        <v>0.30529815167237984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0.26773444211175956</v>
      </c>
      <c r="F6" s="14">
        <v>8.5708680819868697E-4</v>
      </c>
      <c r="G6" s="14">
        <v>3.7862849781407373E-7</v>
      </c>
      <c r="H6" s="14">
        <v>128.31718120856323</v>
      </c>
      <c r="I6" s="14">
        <v>5835.01506299635</v>
      </c>
      <c r="J6" s="14">
        <v>0</v>
      </c>
      <c r="K6" s="14">
        <v>1166.7429604962294</v>
      </c>
      <c r="L6" s="14">
        <v>8.5708680819868697E-4</v>
      </c>
      <c r="M6" s="14">
        <v>7.0323972612702269E-4</v>
      </c>
      <c r="N6" s="14">
        <v>1636.0113664205471</v>
      </c>
      <c r="O6" s="14">
        <v>579949.66928241972</v>
      </c>
      <c r="P6" s="8">
        <v>1636.0113664205471</v>
      </c>
      <c r="Q6" s="54">
        <v>0.12320887198914007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0.27035449775279902</v>
      </c>
      <c r="F7" s="14">
        <v>1.7452881306124761E-3</v>
      </c>
      <c r="G7" s="14">
        <v>5.687948071563559E-7</v>
      </c>
      <c r="H7" s="14">
        <v>192.98659123048787</v>
      </c>
      <c r="I7" s="14">
        <v>5281.8286249151715</v>
      </c>
      <c r="J7" s="14">
        <v>0</v>
      </c>
      <c r="K7" s="14">
        <v>572.97129480223339</v>
      </c>
      <c r="L7" s="14">
        <v>1.7452881306124764E-3</v>
      </c>
      <c r="M7" s="14">
        <v>1.4320089111675368E-3</v>
      </c>
      <c r="N7" s="14">
        <v>1470.3741297394517</v>
      </c>
      <c r="O7" s="14">
        <v>521232.92525133828</v>
      </c>
      <c r="P7" s="8">
        <v>1470.374129739452</v>
      </c>
      <c r="Q7" s="54">
        <v>0.15899530710741833</v>
      </c>
    </row>
    <row r="8" spans="1:20">
      <c r="A8" s="2" t="s">
        <v>323</v>
      </c>
      <c r="B8" s="16" t="s">
        <v>324</v>
      </c>
      <c r="D8" s="14">
        <v>1</v>
      </c>
      <c r="E8" s="14">
        <v>0.28023552951936614</v>
      </c>
      <c r="F8" s="14">
        <v>4.0565960917997206E-3</v>
      </c>
      <c r="G8" s="14">
        <v>5.6054470641133908E-6</v>
      </c>
      <c r="H8" s="14">
        <v>306.46562455416984</v>
      </c>
      <c r="I8" s="14">
        <v>4430.3591975749396</v>
      </c>
      <c r="J8" s="14">
        <v>0</v>
      </c>
      <c r="K8" s="14">
        <v>246.51209471444989</v>
      </c>
      <c r="L8" s="14">
        <v>4.0565960917997206E-3</v>
      </c>
      <c r="M8" s="14">
        <v>3.3284370933216712E-3</v>
      </c>
      <c r="N8" s="14">
        <v>1222.3308005904116</v>
      </c>
      <c r="O8" s="14">
        <v>391194.74942095537</v>
      </c>
      <c r="P8" s="8">
        <v>1222.3308005904116</v>
      </c>
      <c r="Q8" s="54">
        <v>0.20827586109137769</v>
      </c>
    </row>
    <row r="9" spans="1:20">
      <c r="A9" s="2" t="s">
        <v>325</v>
      </c>
      <c r="B9" s="16" t="s">
        <v>326</v>
      </c>
      <c r="D9" s="14">
        <v>1</v>
      </c>
      <c r="E9" s="14">
        <v>0.34325174408858411</v>
      </c>
      <c r="F9" s="14">
        <v>0.15609178409902782</v>
      </c>
      <c r="G9" s="14">
        <v>2.9509953980221565E-6</v>
      </c>
      <c r="H9" s="14">
        <v>444.77466838129629</v>
      </c>
      <c r="I9" s="14">
        <v>808.71819703668882</v>
      </c>
      <c r="J9" s="14">
        <v>0</v>
      </c>
      <c r="K9" s="14">
        <v>6.4064870920149106</v>
      </c>
      <c r="L9" s="14">
        <v>0.15609178409902782</v>
      </c>
      <c r="M9" s="14">
        <v>0.12807330885325233</v>
      </c>
      <c r="N9" s="14">
        <v>212.99626676425049</v>
      </c>
      <c r="O9" s="14">
        <v>64825.41378969964</v>
      </c>
      <c r="P9" s="8">
        <v>212.99626676425049</v>
      </c>
      <c r="Q9" s="54">
        <v>0.39481824646764369</v>
      </c>
    </row>
    <row r="10" spans="1:20">
      <c r="A10" s="2" t="s">
        <v>275</v>
      </c>
      <c r="B10" s="16" t="s">
        <v>276</v>
      </c>
      <c r="D10" s="14">
        <v>1</v>
      </c>
      <c r="E10" s="14">
        <v>0.35909356685864774</v>
      </c>
      <c r="F10" s="14">
        <v>2.4761407205604963E-2</v>
      </c>
      <c r="G10" s="14">
        <v>6.5708841448007361E-8</v>
      </c>
      <c r="H10" s="14">
        <v>721.76417558943695</v>
      </c>
      <c r="I10" s="14">
        <v>2115.6922394905341</v>
      </c>
      <c r="J10" s="14">
        <v>0</v>
      </c>
      <c r="K10" s="14">
        <v>40.385426874028433</v>
      </c>
      <c r="L10" s="14">
        <v>2.4761407205604963E-2</v>
      </c>
      <c r="M10" s="14">
        <v>2.0316734612198874E-2</v>
      </c>
      <c r="N10" s="14">
        <v>570.81744355601165</v>
      </c>
      <c r="O10" s="14">
        <v>211482.15466306676</v>
      </c>
      <c r="P10" s="8">
        <v>570.81744355601165</v>
      </c>
      <c r="Q10" s="54">
        <v>0.30314645435979148</v>
      </c>
    </row>
    <row r="11" spans="1:20">
      <c r="A11" s="2" t="s">
        <v>327</v>
      </c>
      <c r="B11" s="16" t="s">
        <v>328</v>
      </c>
      <c r="D11" s="14">
        <v>1</v>
      </c>
      <c r="E11" s="14">
        <v>0.3482484773091703</v>
      </c>
      <c r="F11" s="14">
        <v>2.1396484882969788E-2</v>
      </c>
      <c r="G11" s="14">
        <v>3.348042165686778E-6</v>
      </c>
      <c r="H11" s="14">
        <v>680.08380221500192</v>
      </c>
      <c r="I11" s="14">
        <v>2304.7275963300267</v>
      </c>
      <c r="J11" s="14">
        <v>0</v>
      </c>
      <c r="K11" s="14">
        <v>46.736648821972388</v>
      </c>
      <c r="L11" s="14">
        <v>2.1396484882969788E-2</v>
      </c>
      <c r="M11" s="14">
        <v>1.7555815846476711E-2</v>
      </c>
      <c r="N11" s="14">
        <v>623.0802643471053</v>
      </c>
      <c r="O11" s="14">
        <v>237337.5034924559</v>
      </c>
      <c r="P11" s="8">
        <v>623.0802643471053</v>
      </c>
      <c r="Q11" s="54">
        <v>0.29841428030082107</v>
      </c>
    </row>
    <row r="12" spans="1:20">
      <c r="A12" s="2" t="s">
        <v>329</v>
      </c>
      <c r="B12" s="16" t="s">
        <v>330</v>
      </c>
      <c r="D12" s="14">
        <v>1</v>
      </c>
      <c r="E12" s="14">
        <v>0.3468542430275412</v>
      </c>
      <c r="F12" s="14">
        <v>0.11504966991125418</v>
      </c>
      <c r="G12" s="14">
        <v>1.7731025919325346E-6</v>
      </c>
      <c r="H12" s="14">
        <v>554.24958547078393</v>
      </c>
      <c r="I12" s="14">
        <v>969.53289283064885</v>
      </c>
      <c r="J12" s="14">
        <v>0</v>
      </c>
      <c r="K12" s="14">
        <v>8.6918980364860623</v>
      </c>
      <c r="L12" s="14">
        <v>0.11504966991125419</v>
      </c>
      <c r="M12" s="14">
        <v>9.4398254162184059E-2</v>
      </c>
      <c r="N12" s="14">
        <v>256.39409354387146</v>
      </c>
      <c r="O12" s="14">
        <v>70354.539268438326</v>
      </c>
      <c r="P12" s="8">
        <v>256.39409354387146</v>
      </c>
      <c r="Q12" s="54">
        <v>0.38261548955819968</v>
      </c>
    </row>
    <row r="13" spans="1:20">
      <c r="A13" s="2" t="s">
        <v>277</v>
      </c>
      <c r="B13" s="16" t="s">
        <v>278</v>
      </c>
      <c r="D13" s="14">
        <v>1</v>
      </c>
      <c r="E13" s="14">
        <v>0.34295443610474158</v>
      </c>
      <c r="F13" s="14">
        <v>0.15176398452240186</v>
      </c>
      <c r="G13" s="14">
        <v>4.6545447277228658E-6</v>
      </c>
      <c r="H13" s="14">
        <v>454.62019123123918</v>
      </c>
      <c r="I13" s="14">
        <v>823.58018871754632</v>
      </c>
      <c r="J13" s="14">
        <v>0</v>
      </c>
      <c r="K13" s="14">
        <v>6.589178606155996</v>
      </c>
      <c r="L13" s="14">
        <v>0.15176398452240186</v>
      </c>
      <c r="M13" s="14">
        <v>0.12452234930063073</v>
      </c>
      <c r="N13" s="14">
        <v>216.99391449517344</v>
      </c>
      <c r="O13" s="14">
        <v>88301.333625520929</v>
      </c>
      <c r="P13" s="8">
        <v>216.99391449517347</v>
      </c>
      <c r="Q13" s="54">
        <v>0.39400877222958486</v>
      </c>
    </row>
    <row r="14" spans="1:20">
      <c r="A14" s="2" t="s">
        <v>331</v>
      </c>
      <c r="B14" s="16" t="s">
        <v>332</v>
      </c>
      <c r="D14" s="14">
        <v>1</v>
      </c>
      <c r="E14" s="14">
        <v>0.31952179233545241</v>
      </c>
      <c r="F14" s="14">
        <v>1.3303061208808106E-2</v>
      </c>
      <c r="G14" s="14">
        <v>2.0905476793842628E-6</v>
      </c>
      <c r="H14" s="14">
        <v>553.00822324520016</v>
      </c>
      <c r="I14" s="14">
        <v>2938.2501033009139</v>
      </c>
      <c r="J14" s="14">
        <v>0</v>
      </c>
      <c r="K14" s="14">
        <v>75.170668187100318</v>
      </c>
      <c r="L14" s="14">
        <v>1.3303061208808108E-2</v>
      </c>
      <c r="M14" s="14">
        <v>1.0915161721827053E-2</v>
      </c>
      <c r="N14" s="14">
        <v>799.36354895874115</v>
      </c>
      <c r="O14" s="14">
        <v>304485.5694338741</v>
      </c>
      <c r="P14" s="8">
        <v>799.36354895874126</v>
      </c>
      <c r="Q14" s="54">
        <v>0.2779001364982045</v>
      </c>
    </row>
    <row r="15" spans="1:20">
      <c r="A15" s="2" t="s">
        <v>333</v>
      </c>
      <c r="B15" s="16" t="s">
        <v>334</v>
      </c>
      <c r="D15" s="14">
        <v>1</v>
      </c>
      <c r="E15" s="14">
        <v>0.3536383056256388</v>
      </c>
      <c r="F15" s="14">
        <v>2.3031510121953536E-2</v>
      </c>
      <c r="G15" s="14">
        <v>3.6852834961097987E-9</v>
      </c>
      <c r="H15" s="14">
        <v>701.03937995289289</v>
      </c>
      <c r="I15" s="14">
        <v>2209.5283859201409</v>
      </c>
      <c r="J15" s="14">
        <v>0</v>
      </c>
      <c r="K15" s="14">
        <v>43.418776914971126</v>
      </c>
      <c r="L15" s="14">
        <v>2.3031510121953536E-2</v>
      </c>
      <c r="M15" s="14">
        <v>1.8897354055062876E-2</v>
      </c>
      <c r="N15" s="14">
        <v>596.73849331687109</v>
      </c>
      <c r="O15" s="14">
        <v>229434.0159104706</v>
      </c>
      <c r="P15" s="8">
        <v>596.73849331687109</v>
      </c>
      <c r="Q15" s="54">
        <v>0.30095362953745514</v>
      </c>
    </row>
    <row r="16" spans="1:20">
      <c r="A16" s="2" t="s">
        <v>335</v>
      </c>
      <c r="B16" s="16" t="s">
        <v>336</v>
      </c>
      <c r="D16" s="14">
        <v>1</v>
      </c>
      <c r="E16" s="14">
        <v>0.28070018603270169</v>
      </c>
      <c r="F16" s="14">
        <v>4.2054766830192372E-3</v>
      </c>
      <c r="G16" s="14">
        <v>1.459297092179609E-5</v>
      </c>
      <c r="H16" s="14">
        <v>312.25919042141311</v>
      </c>
      <c r="I16" s="14">
        <v>4385.0282961800685</v>
      </c>
      <c r="J16" s="14">
        <v>0</v>
      </c>
      <c r="K16" s="14">
        <v>237.7851728527645</v>
      </c>
      <c r="L16" s="14">
        <v>4.2054766830192372E-3</v>
      </c>
      <c r="M16" s="14">
        <v>3.450593618417284E-3</v>
      </c>
      <c r="N16" s="14">
        <v>1209.3314671729891</v>
      </c>
      <c r="O16" s="14">
        <v>451467.62332502025</v>
      </c>
      <c r="P16" s="8">
        <v>1209.3314671729891</v>
      </c>
      <c r="Q16" s="54">
        <v>0.21036447468959338</v>
      </c>
    </row>
    <row r="17" spans="1:21">
      <c r="A17" s="2" t="s">
        <v>337</v>
      </c>
      <c r="B17" s="16" t="s">
        <v>338</v>
      </c>
      <c r="D17" s="14">
        <v>1</v>
      </c>
      <c r="E17" s="14">
        <v>0.36354004366988429</v>
      </c>
      <c r="F17" s="14">
        <v>2.6218582181565538E-2</v>
      </c>
      <c r="G17" s="14">
        <v>1.3250055286650862E-6</v>
      </c>
      <c r="H17" s="14">
        <v>738.22577208248254</v>
      </c>
      <c r="I17" s="14">
        <v>2041.9559708130473</v>
      </c>
      <c r="J17" s="14">
        <v>0</v>
      </c>
      <c r="K17" s="14">
        <v>38.140887751859701</v>
      </c>
      <c r="L17" s="14">
        <v>2.6218582181565538E-2</v>
      </c>
      <c r="M17" s="14">
        <v>2.1512346679974523E-2</v>
      </c>
      <c r="N17" s="14">
        <v>550.47739892118295</v>
      </c>
      <c r="O17" s="14">
        <v>214311.86094799492</v>
      </c>
      <c r="P17" s="8">
        <v>550.47739892118295</v>
      </c>
      <c r="Q17" s="54">
        <v>0.30468170236163744</v>
      </c>
    </row>
    <row r="18" spans="1:21">
      <c r="A18" s="2" t="s">
        <v>279</v>
      </c>
      <c r="B18" s="16" t="s">
        <v>280</v>
      </c>
      <c r="D18" s="14">
        <v>1</v>
      </c>
      <c r="E18" s="14">
        <v>0.34344480788325138</v>
      </c>
      <c r="F18" s="14">
        <v>0.17523157282998186</v>
      </c>
      <c r="G18" s="14">
        <v>8.3111447606993744E-5</v>
      </c>
      <c r="H18" s="14">
        <v>398.68726093976397</v>
      </c>
      <c r="I18" s="14">
        <v>737.03740633092195</v>
      </c>
      <c r="J18" s="14">
        <v>0</v>
      </c>
      <c r="K18" s="14">
        <v>5.7067341452801337</v>
      </c>
      <c r="L18" s="14">
        <v>0.17523157282998186</v>
      </c>
      <c r="M18" s="14">
        <v>0.14377750550700011</v>
      </c>
      <c r="N18" s="14">
        <v>193.78449107382832</v>
      </c>
      <c r="O18" s="14">
        <v>56358.343539001486</v>
      </c>
      <c r="P18" s="8">
        <v>193.78449107382832</v>
      </c>
      <c r="Q18" s="54">
        <v>0.39417541166113618</v>
      </c>
    </row>
    <row r="19" spans="1:21">
      <c r="A19" s="2" t="s">
        <v>339</v>
      </c>
      <c r="B19" s="16" t="s">
        <v>340</v>
      </c>
      <c r="D19" s="14">
        <v>1</v>
      </c>
      <c r="E19" s="14">
        <v>0.3525671373583612</v>
      </c>
      <c r="F19" s="14">
        <v>2.2697803504633442E-2</v>
      </c>
      <c r="G19" s="14">
        <v>1.2888201567100591E-8</v>
      </c>
      <c r="H19" s="14">
        <v>696.88935705904464</v>
      </c>
      <c r="I19" s="14">
        <v>2228.5429204682032</v>
      </c>
      <c r="J19" s="14">
        <v>0</v>
      </c>
      <c r="K19" s="14">
        <v>44.057126487849978</v>
      </c>
      <c r="L19" s="14">
        <v>2.2697803504633442E-2</v>
      </c>
      <c r="M19" s="14">
        <v>1.8623547775551738E-2</v>
      </c>
      <c r="N19" s="14">
        <v>601.99577107413177</v>
      </c>
      <c r="O19" s="14">
        <v>208079.83827177362</v>
      </c>
      <c r="P19" s="8">
        <v>601.99577107413177</v>
      </c>
      <c r="Q19" s="54">
        <v>0.30048375844524788</v>
      </c>
    </row>
    <row r="20" spans="1:21">
      <c r="A20" s="2" t="s">
        <v>281</v>
      </c>
      <c r="B20" s="16" t="s">
        <v>282</v>
      </c>
      <c r="D20" s="14">
        <v>1</v>
      </c>
      <c r="E20" s="14">
        <v>0.34307640133627232</v>
      </c>
      <c r="F20" s="14">
        <v>0.15181795650107208</v>
      </c>
      <c r="G20" s="14">
        <v>7.0474439275790157E-7</v>
      </c>
      <c r="H20" s="14">
        <v>454.78186826773367</v>
      </c>
      <c r="I20" s="14">
        <v>823.87307936955801</v>
      </c>
      <c r="J20" s="14">
        <v>0</v>
      </c>
      <c r="K20" s="14">
        <v>6.586836122991409</v>
      </c>
      <c r="L20" s="14">
        <v>0.15181795650107208</v>
      </c>
      <c r="M20" s="14">
        <v>0.12456663330912963</v>
      </c>
      <c r="N20" s="14">
        <v>217.07108425953854</v>
      </c>
      <c r="O20" s="14">
        <v>63224.124001433185</v>
      </c>
      <c r="P20" s="8">
        <v>217.07108425953854</v>
      </c>
      <c r="Q20" s="54">
        <v>0.39414889396609287</v>
      </c>
    </row>
    <row r="21" spans="1:21">
      <c r="A21" s="2" t="s">
        <v>341</v>
      </c>
      <c r="B21" s="16" t="s">
        <v>342</v>
      </c>
      <c r="D21" s="14">
        <v>1</v>
      </c>
      <c r="E21" s="14">
        <v>0.32668833682117288</v>
      </c>
      <c r="F21" s="14">
        <v>1.5306663939171995E-2</v>
      </c>
      <c r="G21" s="14">
        <v>1.7809389611667735E-5</v>
      </c>
      <c r="H21" s="14">
        <v>588.60039238667912</v>
      </c>
      <c r="I21" s="14">
        <v>2744.5915256458356</v>
      </c>
      <c r="J21" s="14">
        <v>0</v>
      </c>
      <c r="K21" s="14">
        <v>65.331022094295378</v>
      </c>
      <c r="L21" s="14">
        <v>1.5306663939171995E-2</v>
      </c>
      <c r="M21" s="14">
        <v>1.2559117762090623E-2</v>
      </c>
      <c r="N21" s="14">
        <v>745.31490369893572</v>
      </c>
      <c r="O21" s="14">
        <v>249889.18091217914</v>
      </c>
      <c r="P21" s="8">
        <v>745.31490369893572</v>
      </c>
      <c r="Q21" s="54">
        <v>0.2843660320678808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0.66383266762290039</v>
      </c>
      <c r="F22" s="14">
        <v>0.64670613484667527</v>
      </c>
      <c r="G22" s="14">
        <v>2.5006647285526178E-5</v>
      </c>
      <c r="H22" s="14">
        <v>39.176621507013394</v>
      </c>
      <c r="I22" s="14">
        <v>94.598478547529496</v>
      </c>
      <c r="J22" s="14">
        <v>0</v>
      </c>
      <c r="K22" s="14">
        <v>1.5462973769950175</v>
      </c>
      <c r="L22" s="14">
        <v>0.64670613484667527</v>
      </c>
      <c r="M22" s="14">
        <v>0.53062238364169712</v>
      </c>
      <c r="N22" s="14">
        <v>24.537993982476063</v>
      </c>
      <c r="O22" s="14">
        <v>4029.138611922569</v>
      </c>
      <c r="P22" s="8">
        <v>24.537993982476063</v>
      </c>
      <c r="Q22" s="54">
        <v>0.21982857849672086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0.76612644239617655</v>
      </c>
      <c r="F23" s="14">
        <v>0.7586161351872176</v>
      </c>
      <c r="G23" s="14">
        <v>9.8862266605125206E-7</v>
      </c>
      <c r="H23" s="14">
        <v>17.330140177181722</v>
      </c>
      <c r="I23" s="14">
        <v>44.963410609492819</v>
      </c>
      <c r="J23" s="14">
        <v>0</v>
      </c>
      <c r="K23" s="14">
        <v>1.3181897320879046</v>
      </c>
      <c r="L23" s="14">
        <v>0.7586161351872176</v>
      </c>
      <c r="M23" s="14">
        <v>0.62244453892111207</v>
      </c>
      <c r="N23" s="14">
        <v>11.850292281826308</v>
      </c>
      <c r="O23" s="14">
        <v>1791.2901813208646</v>
      </c>
      <c r="P23" s="8">
        <v>11.850292281826308</v>
      </c>
      <c r="Q23" s="54">
        <v>0.15511694626610004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0.40443749330177686</v>
      </c>
      <c r="F24" s="14">
        <v>0.31273603981548975</v>
      </c>
      <c r="G24" s="14">
        <v>1.4399467106039597E-6</v>
      </c>
      <c r="H24" s="14">
        <v>214.2485702324087</v>
      </c>
      <c r="I24" s="14">
        <v>432.68825140731855</v>
      </c>
      <c r="J24" s="14">
        <v>0</v>
      </c>
      <c r="K24" s="14">
        <v>3.1975847765738385</v>
      </c>
      <c r="L24" s="14">
        <v>0.31273603981548981</v>
      </c>
      <c r="M24" s="14">
        <v>0.25659992066860937</v>
      </c>
      <c r="N24" s="14">
        <v>112.79448150540257</v>
      </c>
      <c r="O24" s="14">
        <v>19880.027365327202</v>
      </c>
      <c r="P24" s="8">
        <v>112.79448150540257</v>
      </c>
      <c r="Q24" s="54">
        <v>0.37633542685320609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0.35258567362005683</v>
      </c>
      <c r="F25" s="14">
        <v>7.1552056058855132E-2</v>
      </c>
      <c r="G25" s="14">
        <v>5.0593020160350931E-4</v>
      </c>
      <c r="H25" s="14">
        <v>677.11450582896146</v>
      </c>
      <c r="I25" s="14">
        <v>1126.9879916808916</v>
      </c>
      <c r="J25" s="14">
        <v>0</v>
      </c>
      <c r="K25" s="14">
        <v>13.975838782011381</v>
      </c>
      <c r="L25" s="14">
        <v>7.1552056058855132E-2</v>
      </c>
      <c r="M25" s="14">
        <v>5.8708461996290637E-2</v>
      </c>
      <c r="N25" s="14">
        <v>299.62937121292231</v>
      </c>
      <c r="O25" s="14">
        <v>57618.728084244962</v>
      </c>
      <c r="P25" s="8">
        <v>299.62937121292231</v>
      </c>
      <c r="Q25" s="54">
        <v>0.33831346916795763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0.33219765911185367</v>
      </c>
      <c r="F26" s="14">
        <v>1.6799818500988772E-2</v>
      </c>
      <c r="G26" s="14">
        <v>1.4478150189476157E-5</v>
      </c>
      <c r="H26" s="14">
        <v>613.31641691046877</v>
      </c>
      <c r="I26" s="14">
        <v>2621.4510980613168</v>
      </c>
      <c r="J26" s="14">
        <v>0</v>
      </c>
      <c r="K26" s="14">
        <v>59.524452596981547</v>
      </c>
      <c r="L26" s="14">
        <v>1.6799818500988776E-2</v>
      </c>
      <c r="M26" s="14">
        <v>1.378425108006129E-2</v>
      </c>
      <c r="N26" s="14">
        <v>711.00899006455245</v>
      </c>
      <c r="O26" s="14">
        <v>158107.06912065452</v>
      </c>
      <c r="P26" s="8">
        <v>711.00899006455245</v>
      </c>
      <c r="Q26" s="54">
        <v>0.2886301935288475</v>
      </c>
    </row>
    <row r="27" spans="1:21">
      <c r="A27" s="2" t="s">
        <v>353</v>
      </c>
      <c r="B27" s="16" t="s">
        <v>354</v>
      </c>
      <c r="D27" s="14">
        <v>1</v>
      </c>
      <c r="E27" s="14">
        <v>0.27002139147159931</v>
      </c>
      <c r="F27" s="14">
        <v>2.1514980575170904E-3</v>
      </c>
      <c r="G27" s="14">
        <v>8.2256352188747953E-5</v>
      </c>
      <c r="H27" s="14">
        <v>216.29224993432928</v>
      </c>
      <c r="I27" s="14">
        <v>5046.5912351892266</v>
      </c>
      <c r="J27" s="14">
        <v>0</v>
      </c>
      <c r="K27" s="14">
        <v>464.7924252155903</v>
      </c>
      <c r="L27" s="14">
        <v>2.1514980575170904E-3</v>
      </c>
      <c r="M27" s="14">
        <v>1.7653041561927728E-3</v>
      </c>
      <c r="N27" s="14">
        <v>1401.740977540526</v>
      </c>
      <c r="O27" s="14">
        <v>331357.54968080495</v>
      </c>
      <c r="P27" s="8">
        <v>1401.740977540526</v>
      </c>
      <c r="Q27" s="54">
        <v>0.16982363365501271</v>
      </c>
    </row>
    <row r="28" spans="1:21">
      <c r="A28" s="2" t="s">
        <v>355</v>
      </c>
      <c r="B28" s="16" t="s">
        <v>356</v>
      </c>
      <c r="D28" s="14">
        <v>1</v>
      </c>
      <c r="E28" s="14">
        <v>0.30013770962079656</v>
      </c>
      <c r="F28" s="14">
        <v>8.5353137929079018E-3</v>
      </c>
      <c r="G28" s="14">
        <v>5.0020494389080105E-6</v>
      </c>
      <c r="H28" s="14">
        <v>448.24916804367791</v>
      </c>
      <c r="I28" s="14">
        <v>3523.5193671086854</v>
      </c>
      <c r="J28" s="14">
        <v>0</v>
      </c>
      <c r="K28" s="14">
        <v>117.16030883725827</v>
      </c>
      <c r="L28" s="14">
        <v>8.5353137929079018E-3</v>
      </c>
      <c r="M28" s="14">
        <v>7.0032249670809333E-3</v>
      </c>
      <c r="N28" s="14">
        <v>963.86212847570403</v>
      </c>
      <c r="O28" s="14">
        <v>249061.97399812189</v>
      </c>
      <c r="P28" s="8">
        <v>963.86212847570414</v>
      </c>
      <c r="Q28" s="54">
        <v>0.25349924076425895</v>
      </c>
    </row>
    <row r="29" spans="1:21">
      <c r="A29" s="2" t="s">
        <v>357</v>
      </c>
      <c r="B29" s="16" t="s">
        <v>358</v>
      </c>
      <c r="D29" s="14">
        <v>1</v>
      </c>
      <c r="E29" s="14">
        <v>0.29308195732234238</v>
      </c>
      <c r="F29" s="14">
        <v>1.2698399873732984E-2</v>
      </c>
      <c r="G29" s="14">
        <v>9.9971794228434063E-4</v>
      </c>
      <c r="H29" s="14">
        <v>514.33845849778049</v>
      </c>
      <c r="I29" s="14">
        <v>2616.4122251304489</v>
      </c>
      <c r="J29" s="14">
        <v>0</v>
      </c>
      <c r="K29" s="14">
        <v>78.750079533133118</v>
      </c>
      <c r="L29" s="14">
        <v>1.2698399873732984E-2</v>
      </c>
      <c r="M29" s="14">
        <v>1.0419037096397915E-2</v>
      </c>
      <c r="N29" s="14">
        <v>711.37272073949248</v>
      </c>
      <c r="O29" s="14">
        <v>168161.39745560862</v>
      </c>
      <c r="P29" s="8">
        <v>711.37272073949248</v>
      </c>
      <c r="Q29" s="54">
        <v>0.25509748074992833</v>
      </c>
    </row>
    <row r="30" spans="1:21">
      <c r="A30" s="2" t="s">
        <v>359</v>
      </c>
      <c r="B30" s="16" t="s">
        <v>360</v>
      </c>
      <c r="D30" s="14">
        <v>1</v>
      </c>
      <c r="E30" s="14">
        <v>0.30013770962079656</v>
      </c>
      <c r="F30" s="14">
        <v>8.5353137929079018E-3</v>
      </c>
      <c r="G30" s="14">
        <v>5.0020494389080105E-6</v>
      </c>
      <c r="H30" s="14">
        <v>448.24916804367791</v>
      </c>
      <c r="I30" s="14">
        <v>3523.5193671086854</v>
      </c>
      <c r="J30" s="14">
        <v>0</v>
      </c>
      <c r="K30" s="14">
        <v>117.16030883725827</v>
      </c>
      <c r="L30" s="14">
        <v>8.5353137929079018E-3</v>
      </c>
      <c r="M30" s="14">
        <v>7.0032249670809333E-3</v>
      </c>
      <c r="N30" s="14">
        <v>963.86212847570403</v>
      </c>
      <c r="O30" s="14">
        <v>249061.97399812189</v>
      </c>
      <c r="P30" s="8">
        <v>963.86212847570414</v>
      </c>
      <c r="Q30" s="54">
        <v>0.25349924076425895</v>
      </c>
    </row>
    <row r="31" spans="1:21">
      <c r="A31" s="2" t="s">
        <v>283</v>
      </c>
      <c r="B31" s="16" t="s">
        <v>284</v>
      </c>
      <c r="D31" s="14">
        <v>1</v>
      </c>
      <c r="E31" s="14">
        <v>0.97644376364195795</v>
      </c>
      <c r="F31" s="14">
        <v>0.97674063984666348</v>
      </c>
      <c r="G31" s="14">
        <v>2.9046094483685085E-10</v>
      </c>
      <c r="H31" s="14">
        <v>0.17016069787270924</v>
      </c>
      <c r="I31" s="14">
        <v>0.63229016823165762</v>
      </c>
      <c r="J31" s="14">
        <v>0</v>
      </c>
      <c r="K31" s="14">
        <v>1.0238132408998442</v>
      </c>
      <c r="L31" s="14">
        <v>0.97674063984666348</v>
      </c>
      <c r="M31" s="14">
        <v>0.80141569499418741</v>
      </c>
      <c r="N31" s="14">
        <v>0.75347075483219372</v>
      </c>
      <c r="O31" s="14">
        <v>146.3164858808637</v>
      </c>
      <c r="P31" s="8">
        <v>0.75347075483219372</v>
      </c>
      <c r="Q31" s="54">
        <v>1.572955472897997E-2</v>
      </c>
    </row>
    <row r="32" spans="1:21">
      <c r="A32" s="2" t="s">
        <v>361</v>
      </c>
      <c r="B32" s="16" t="s">
        <v>362</v>
      </c>
      <c r="D32" s="14">
        <v>1</v>
      </c>
      <c r="E32" s="14">
        <v>0.58024987706301623</v>
      </c>
      <c r="F32" s="14">
        <v>0.54977574069744028</v>
      </c>
      <c r="G32" s="14">
        <v>2.9892889069050043E-10</v>
      </c>
      <c r="H32" s="14">
        <v>69.970905284040981</v>
      </c>
      <c r="I32" s="14">
        <v>159.73414803138152</v>
      </c>
      <c r="J32" s="14">
        <v>0</v>
      </c>
      <c r="K32" s="14">
        <v>1.8189234736538384</v>
      </c>
      <c r="L32" s="14">
        <v>0.54977574069744028</v>
      </c>
      <c r="M32" s="14">
        <v>0.45109099524224977</v>
      </c>
      <c r="N32" s="14">
        <v>41.568325870618843</v>
      </c>
      <c r="O32" s="14">
        <v>10645.23257220678</v>
      </c>
      <c r="P32" s="8">
        <v>41.56832587061885</v>
      </c>
      <c r="Q32" s="54">
        <v>0.27390361851507755</v>
      </c>
    </row>
    <row r="33" spans="1:17">
      <c r="A33" s="2" t="s">
        <v>364</v>
      </c>
      <c r="B33" s="16" t="s">
        <v>365</v>
      </c>
      <c r="D33" s="14">
        <v>1</v>
      </c>
      <c r="E33" s="14">
        <v>0.9997132801296652</v>
      </c>
      <c r="F33" s="14">
        <v>0.99968261824940774</v>
      </c>
      <c r="G33" s="14">
        <v>1.341363472344865E-12</v>
      </c>
      <c r="H33" s="14">
        <v>1.1944339552665666</v>
      </c>
      <c r="I33" s="14">
        <v>3.3818246005114317E-3</v>
      </c>
      <c r="J33" s="14">
        <v>0</v>
      </c>
      <c r="K33" s="14">
        <v>1.0003174825137482</v>
      </c>
      <c r="L33" s="14">
        <v>0.99968261824940785</v>
      </c>
      <c r="M33" s="14">
        <v>0.82023958827363908</v>
      </c>
      <c r="N33" s="14">
        <v>0.68330944958062934</v>
      </c>
      <c r="O33" s="14">
        <v>202.36209349330335</v>
      </c>
      <c r="P33" s="8">
        <v>0.68330944958062934</v>
      </c>
      <c r="Q33" s="54">
        <v>3.8561247823022959E-5</v>
      </c>
    </row>
    <row r="34" spans="1:17">
      <c r="A34" s="2" t="s">
        <v>285</v>
      </c>
      <c r="B34" s="16" t="s">
        <v>286</v>
      </c>
      <c r="D34" s="14">
        <v>1</v>
      </c>
      <c r="E34" s="14">
        <v>0.99649936976338005</v>
      </c>
      <c r="F34" s="14">
        <v>0.92109732806735889</v>
      </c>
      <c r="G34" s="14">
        <v>6.6815969869212204E-12</v>
      </c>
      <c r="H34" s="14">
        <v>215.31065518331482</v>
      </c>
      <c r="I34" s="14">
        <v>0.16371996572274092</v>
      </c>
      <c r="J34" s="14">
        <v>0</v>
      </c>
      <c r="K34" s="14">
        <v>1.0856616011450104</v>
      </c>
      <c r="L34" s="14">
        <v>0.921097328067359</v>
      </c>
      <c r="M34" s="14">
        <v>0.75576035767926808</v>
      </c>
      <c r="N34" s="14">
        <v>9.44789966430913</v>
      </c>
      <c r="O34" s="14">
        <v>2088.3637417988898</v>
      </c>
      <c r="P34" s="8">
        <v>9.44789966430913</v>
      </c>
      <c r="Q34" s="54">
        <v>2.2014135994609266E-4</v>
      </c>
    </row>
    <row r="35" spans="1:17">
      <c r="A35" s="2" t="s">
        <v>287</v>
      </c>
      <c r="B35" s="16" t="s">
        <v>288</v>
      </c>
      <c r="D35" s="14">
        <v>1</v>
      </c>
      <c r="E35" s="14">
        <v>0.99226843219641903</v>
      </c>
      <c r="F35" s="14">
        <v>0.82202264462179309</v>
      </c>
      <c r="G35" s="14">
        <v>2.9339189755768766E-13</v>
      </c>
      <c r="H35" s="14">
        <v>484.68968956758169</v>
      </c>
      <c r="I35" s="14">
        <v>0.86906591966638036</v>
      </c>
      <c r="J35" s="14">
        <v>0</v>
      </c>
      <c r="K35" s="14">
        <v>1.2165114994612989</v>
      </c>
      <c r="L35" s="14">
        <v>0.8220226446217932</v>
      </c>
      <c r="M35" s="14">
        <v>0.67446957991218126</v>
      </c>
      <c r="N35" s="14">
        <v>19.468935528309999</v>
      </c>
      <c r="O35" s="14">
        <v>4482.91709474866</v>
      </c>
      <c r="P35" s="8">
        <v>19.468935528309999</v>
      </c>
      <c r="Q35" s="54">
        <v>8.0325367177288176E-4</v>
      </c>
    </row>
    <row r="36" spans="1:17">
      <c r="A36" s="2" t="s">
        <v>366</v>
      </c>
      <c r="B36" s="16" t="s">
        <v>305</v>
      </c>
      <c r="D36" s="14">
        <v>1</v>
      </c>
      <c r="E36" s="14">
        <v>0.98202747415231173</v>
      </c>
      <c r="F36" s="14">
        <v>0.53939112757410013</v>
      </c>
      <c r="G36" s="14">
        <v>1.0174785746192472E-9</v>
      </c>
      <c r="H36" s="14">
        <v>1258.298846502342</v>
      </c>
      <c r="I36" s="14">
        <v>3.3357016316056698</v>
      </c>
      <c r="J36" s="14">
        <v>0</v>
      </c>
      <c r="K36" s="14">
        <v>1.8539422487304862</v>
      </c>
      <c r="L36" s="14">
        <v>0.53939112757410024</v>
      </c>
      <c r="M36" s="14">
        <v>0.44257042017454923</v>
      </c>
      <c r="N36" s="14">
        <v>45.702854387840638</v>
      </c>
      <c r="O36" s="14">
        <v>9427.5848031237674</v>
      </c>
      <c r="P36" s="8">
        <v>45.702854387840638</v>
      </c>
      <c r="Q36" s="54">
        <v>1.7659857602038249E-3</v>
      </c>
    </row>
    <row r="37" spans="1:17">
      <c r="A37" s="2" t="s">
        <v>289</v>
      </c>
      <c r="B37" s="16" t="s">
        <v>290</v>
      </c>
      <c r="D37" s="14">
        <v>1</v>
      </c>
      <c r="E37" s="14">
        <v>0.78188717908184724</v>
      </c>
      <c r="F37" s="14">
        <v>0.5814884885758459</v>
      </c>
      <c r="G37" s="14">
        <v>1.2964130763635153E-16</v>
      </c>
      <c r="H37" s="14">
        <v>551.39283909218523</v>
      </c>
      <c r="I37" s="14">
        <v>174.29793347877239</v>
      </c>
      <c r="J37" s="14">
        <v>0</v>
      </c>
      <c r="K37" s="14">
        <v>1.719724499532489</v>
      </c>
      <c r="L37" s="14">
        <v>0.5814884885758459</v>
      </c>
      <c r="M37" s="14">
        <v>0.47711130487648151</v>
      </c>
      <c r="N37" s="14">
        <v>63.21064160633933</v>
      </c>
      <c r="O37" s="14">
        <v>22023.851748480753</v>
      </c>
      <c r="P37" s="8">
        <v>63.210641606339337</v>
      </c>
      <c r="Q37" s="54">
        <v>0.13288998060342744</v>
      </c>
    </row>
    <row r="38" spans="1:17">
      <c r="A38" s="2" t="s">
        <v>291</v>
      </c>
      <c r="B38" s="16" t="s">
        <v>292</v>
      </c>
      <c r="D38" s="14">
        <v>1</v>
      </c>
      <c r="E38" s="14">
        <v>0.99450503526815281</v>
      </c>
      <c r="F38" s="14">
        <v>0.93633206761709009</v>
      </c>
      <c r="G38" s="14">
        <v>2.0416777328683622E-14</v>
      </c>
      <c r="H38" s="14">
        <v>166.23784388020727</v>
      </c>
      <c r="I38" s="14">
        <v>1.2859040392219159</v>
      </c>
      <c r="J38" s="14">
        <v>0</v>
      </c>
      <c r="K38" s="14">
        <v>1.0679971717138141</v>
      </c>
      <c r="L38" s="14">
        <v>0.93633206761709009</v>
      </c>
      <c r="M38" s="14">
        <v>0.76826046147982241</v>
      </c>
      <c r="N38" s="14">
        <v>7.8315911245033432</v>
      </c>
      <c r="O38" s="14">
        <v>2414.7144914181158</v>
      </c>
      <c r="P38" s="8">
        <v>7.831591124503344</v>
      </c>
      <c r="Q38" s="54">
        <v>1.9328963257191341E-3</v>
      </c>
    </row>
    <row r="39" spans="1:17">
      <c r="A39" s="2" t="s">
        <v>367</v>
      </c>
      <c r="B39" s="16" t="s">
        <v>368</v>
      </c>
      <c r="D39" s="14">
        <v>1</v>
      </c>
      <c r="E39" s="14">
        <v>0.40985254017800143</v>
      </c>
      <c r="F39" s="14">
        <v>4.3384843675213801E-2</v>
      </c>
      <c r="G39" s="14">
        <v>6.741034108820709E-7</v>
      </c>
      <c r="H39" s="14">
        <v>886.74354745520873</v>
      </c>
      <c r="I39" s="14">
        <v>1434.0199977264554</v>
      </c>
      <c r="J39" s="14">
        <v>0</v>
      </c>
      <c r="K39" s="14">
        <v>23.049524103075424</v>
      </c>
      <c r="L39" s="14">
        <v>4.3384843675213808E-2</v>
      </c>
      <c r="M39" s="14">
        <v>3.5597264235512925E-2</v>
      </c>
      <c r="N39" s="14">
        <v>383.71130432534176</v>
      </c>
      <c r="O39" s="14">
        <v>106802.20444591562</v>
      </c>
      <c r="P39" s="8">
        <v>383.71130432534176</v>
      </c>
      <c r="Q39" s="54">
        <v>0.31128285977665043</v>
      </c>
    </row>
    <row r="40" spans="1:17">
      <c r="A40" s="2" t="s">
        <v>369</v>
      </c>
      <c r="B40" s="16" t="s">
        <v>370</v>
      </c>
      <c r="D40" s="14">
        <v>1</v>
      </c>
      <c r="E40" s="14">
        <v>0.30498337772896356</v>
      </c>
      <c r="F40" s="14">
        <v>3.0975894933711096E-3</v>
      </c>
      <c r="G40" s="14">
        <v>3.1445389178145263E-14</v>
      </c>
      <c r="H40" s="14">
        <v>800.13609539892332</v>
      </c>
      <c r="I40" s="14">
        <v>535.97663144008789</v>
      </c>
      <c r="J40" s="14">
        <v>0</v>
      </c>
      <c r="K40" s="14">
        <v>322.83167351258641</v>
      </c>
      <c r="L40" s="14">
        <v>3.0975894933711096E-3</v>
      </c>
      <c r="M40" s="14">
        <v>2.5415721793109955E-3</v>
      </c>
      <c r="N40" s="14">
        <v>2042.1444375940341</v>
      </c>
      <c r="O40" s="14">
        <v>830948.57165701233</v>
      </c>
      <c r="P40" s="8">
        <v>2042.1444375940341</v>
      </c>
      <c r="Q40" s="54">
        <v>5.9778615847123932E-3</v>
      </c>
    </row>
    <row r="41" spans="1:17">
      <c r="A41" s="2" t="s">
        <v>371</v>
      </c>
      <c r="B41" s="16" t="s">
        <v>372</v>
      </c>
      <c r="D41" s="14">
        <v>1</v>
      </c>
      <c r="E41" s="14">
        <v>0.91371195949598216</v>
      </c>
      <c r="F41" s="14">
        <v>0.91406411543836164</v>
      </c>
      <c r="G41" s="14">
        <v>9.0591019529011752E-4</v>
      </c>
      <c r="H41" s="14">
        <v>7.9223980589017886E-3</v>
      </c>
      <c r="I41" s="14">
        <v>3.6720943420823306E-2</v>
      </c>
      <c r="J41" s="14">
        <v>0</v>
      </c>
      <c r="K41" s="14">
        <v>1.0940151605453035</v>
      </c>
      <c r="L41" s="14">
        <v>0.91406411543836164</v>
      </c>
      <c r="M41" s="14">
        <v>0.74998960671717574</v>
      </c>
      <c r="N41" s="14">
        <v>0.56977937146012547</v>
      </c>
      <c r="O41" s="14">
        <v>79.877370084994993</v>
      </c>
      <c r="P41" s="8">
        <v>0.56977937146012558</v>
      </c>
      <c r="Q41" s="54">
        <v>3.0811570148902867E-3</v>
      </c>
    </row>
    <row r="42" spans="1:17">
      <c r="A42" s="2" t="s">
        <v>293</v>
      </c>
      <c r="B42" s="16" t="s">
        <v>294</v>
      </c>
      <c r="D42" s="14">
        <v>1</v>
      </c>
      <c r="E42" s="14">
        <v>0.63968543311084347</v>
      </c>
      <c r="F42" s="14">
        <v>0.61915988186397053</v>
      </c>
      <c r="G42" s="14">
        <v>2.2892398452466884E-10</v>
      </c>
      <c r="H42" s="14">
        <v>46.974569502304568</v>
      </c>
      <c r="I42" s="14">
        <v>111.56294740863042</v>
      </c>
      <c r="J42" s="14">
        <v>0</v>
      </c>
      <c r="K42" s="14">
        <v>1.6150917223343293</v>
      </c>
      <c r="L42" s="14">
        <v>0.61915988186397053</v>
      </c>
      <c r="M42" s="14">
        <v>0.50802068306938786</v>
      </c>
      <c r="N42" s="14">
        <v>28.902021024526825</v>
      </c>
      <c r="O42" s="14">
        <v>9548.0716656626828</v>
      </c>
      <c r="P42" s="8">
        <v>28.902021024526825</v>
      </c>
      <c r="Q42" s="54">
        <v>0.23665734037468586</v>
      </c>
    </row>
    <row r="43" spans="1:17">
      <c r="A43" s="2" t="s">
        <v>373</v>
      </c>
      <c r="B43" s="16" t="s">
        <v>374</v>
      </c>
      <c r="D43" s="14">
        <v>1</v>
      </c>
      <c r="E43" s="14">
        <v>0.93944097212868483</v>
      </c>
      <c r="F43" s="14">
        <v>7.7052431887631681E-2</v>
      </c>
      <c r="G43" s="14">
        <v>4.1722389185013735E-9</v>
      </c>
      <c r="H43" s="14">
        <v>2449.0990522355237</v>
      </c>
      <c r="I43" s="14">
        <v>19.146521646147889</v>
      </c>
      <c r="J43" s="14">
        <v>0</v>
      </c>
      <c r="K43" s="14">
        <v>12.978175711031882</v>
      </c>
      <c r="L43" s="14">
        <v>7.7052431887631681E-2</v>
      </c>
      <c r="M43" s="14">
        <v>6.3221520363801798E-2</v>
      </c>
      <c r="N43" s="14">
        <v>169.30341307928515</v>
      </c>
      <c r="O43" s="14">
        <v>45092.271039536805</v>
      </c>
      <c r="P43" s="8">
        <v>169.30341307928515</v>
      </c>
      <c r="Q43" s="54">
        <v>2.4790762632414588E-3</v>
      </c>
    </row>
    <row r="44" spans="1:17">
      <c r="A44" s="2" t="s">
        <v>375</v>
      </c>
      <c r="B44" s="16" t="s">
        <v>376</v>
      </c>
      <c r="D44" s="14">
        <v>1</v>
      </c>
      <c r="E44" s="14">
        <v>0.78201936109862125</v>
      </c>
      <c r="F44" s="14">
        <v>0.77973439615692863</v>
      </c>
      <c r="G44" s="14">
        <v>9.6426228409937208E-4</v>
      </c>
      <c r="H44" s="14">
        <v>5.6385403485555834</v>
      </c>
      <c r="I44" s="14">
        <v>15.922962169860318</v>
      </c>
      <c r="J44" s="14">
        <v>0</v>
      </c>
      <c r="K44" s="14">
        <v>1.2824879919735399</v>
      </c>
      <c r="L44" s="14">
        <v>0.77973439615692863</v>
      </c>
      <c r="M44" s="14">
        <v>0.6397720720467599</v>
      </c>
      <c r="N44" s="14">
        <v>4.4731307802379865</v>
      </c>
      <c r="O44" s="14">
        <v>668.2857385675552</v>
      </c>
      <c r="P44" s="8">
        <v>4.4731307802379865</v>
      </c>
      <c r="Q44" s="54">
        <v>8.7543491438435761E-2</v>
      </c>
    </row>
    <row r="45" spans="1:17">
      <c r="A45" s="2" t="s">
        <v>377</v>
      </c>
      <c r="B45" s="16" t="s">
        <v>378</v>
      </c>
      <c r="D45" s="14">
        <v>1</v>
      </c>
      <c r="E45" s="14">
        <v>0.61596011033626619</v>
      </c>
      <c r="F45" s="14">
        <v>0.59200962006251279</v>
      </c>
      <c r="G45" s="14">
        <v>8.9268297412301346E-6</v>
      </c>
      <c r="H45" s="14">
        <v>54.861637221267316</v>
      </c>
      <c r="I45" s="14">
        <v>128.38844379231128</v>
      </c>
      <c r="J45" s="14">
        <v>0</v>
      </c>
      <c r="K45" s="14">
        <v>1.6891617401325434</v>
      </c>
      <c r="L45" s="14">
        <v>0.59200962006251279</v>
      </c>
      <c r="M45" s="14">
        <v>0.48574389326129175</v>
      </c>
      <c r="N45" s="14">
        <v>33.239911377692998</v>
      </c>
      <c r="O45" s="14">
        <v>7387.2379045784919</v>
      </c>
      <c r="P45" s="8">
        <v>33.239911377692998</v>
      </c>
      <c r="Q45" s="54">
        <v>0.25114580871577985</v>
      </c>
    </row>
    <row r="46" spans="1:17">
      <c r="A46" s="2" t="s">
        <v>379</v>
      </c>
      <c r="B46" s="16" t="s">
        <v>380</v>
      </c>
      <c r="D46" s="14">
        <v>1</v>
      </c>
      <c r="E46" s="14">
        <v>0.62951278726570337</v>
      </c>
      <c r="F46" s="14">
        <v>0.60780039106606853</v>
      </c>
      <c r="G46" s="14">
        <v>2.6413713497915501E-5</v>
      </c>
      <c r="H46" s="14">
        <v>49.705102666419357</v>
      </c>
      <c r="I46" s="14">
        <v>117.39731005092156</v>
      </c>
      <c r="J46" s="14">
        <v>0</v>
      </c>
      <c r="K46" s="14">
        <v>1.6452769933991356</v>
      </c>
      <c r="L46" s="14">
        <v>0.60780039106606853</v>
      </c>
      <c r="M46" s="14">
        <v>0.49870022086970928</v>
      </c>
      <c r="N46" s="14">
        <v>30.404807122173043</v>
      </c>
      <c r="O46" s="14">
        <v>3908.8420036265666</v>
      </c>
      <c r="P46" s="8">
        <v>30.404807122173047</v>
      </c>
      <c r="Q46" s="54">
        <v>0.24157842524534306</v>
      </c>
    </row>
    <row r="47" spans="1:17">
      <c r="A47" s="2" t="s">
        <v>381</v>
      </c>
      <c r="B47" s="16" t="s">
        <v>382</v>
      </c>
      <c r="D47" s="14">
        <v>1</v>
      </c>
      <c r="E47" s="14">
        <v>0.2712178398202747</v>
      </c>
      <c r="F47" s="14">
        <v>1.9651514302729944E-3</v>
      </c>
      <c r="G47" s="14">
        <v>1.3999886328962848E-9</v>
      </c>
      <c r="H47" s="14">
        <v>206.29847699116516</v>
      </c>
      <c r="I47" s="14">
        <v>5175.5104826332563</v>
      </c>
      <c r="J47" s="14">
        <v>0</v>
      </c>
      <c r="K47" s="14">
        <v>508.86663724488767</v>
      </c>
      <c r="L47" s="14">
        <v>1.9651514302729944E-3</v>
      </c>
      <c r="M47" s="14">
        <v>1.6124067485389919E-3</v>
      </c>
      <c r="N47" s="14">
        <v>1439.015526197019</v>
      </c>
      <c r="O47" s="14">
        <v>563072.38524563157</v>
      </c>
      <c r="P47" s="8">
        <v>1439.015526197019</v>
      </c>
      <c r="Q47" s="54">
        <v>0.16555915173052121</v>
      </c>
    </row>
    <row r="48" spans="1:17">
      <c r="A48" s="2" t="s">
        <v>383</v>
      </c>
      <c r="B48" s="16" t="s">
        <v>384</v>
      </c>
      <c r="D48" s="14">
        <v>1</v>
      </c>
      <c r="E48" s="14">
        <v>0.91065747005471642</v>
      </c>
      <c r="F48" s="14">
        <v>0.91016961103659844</v>
      </c>
      <c r="G48" s="14">
        <v>1.3129579547534054E-4</v>
      </c>
      <c r="H48" s="14">
        <v>1.7931735782949854</v>
      </c>
      <c r="I48" s="14">
        <v>5.5728775657150136</v>
      </c>
      <c r="J48" s="14">
        <v>0</v>
      </c>
      <c r="K48" s="14">
        <v>1.0986963175589801</v>
      </c>
      <c r="L48" s="14">
        <v>0.91016961103659855</v>
      </c>
      <c r="M48" s="14">
        <v>0.74679416585552905</v>
      </c>
      <c r="N48" s="14">
        <v>1.9421791595545141</v>
      </c>
      <c r="O48" s="14">
        <v>180.87514512931187</v>
      </c>
      <c r="P48" s="8">
        <v>1.9421791595545141</v>
      </c>
      <c r="Q48" s="54">
        <v>5.1889501904552437E-2</v>
      </c>
    </row>
    <row r="49" spans="1:17">
      <c r="A49" s="2" t="s">
        <v>385</v>
      </c>
      <c r="B49" s="16" t="s">
        <v>386</v>
      </c>
      <c r="D49" s="14">
        <v>1</v>
      </c>
      <c r="E49" s="14">
        <v>0.87464089496234887</v>
      </c>
      <c r="F49" s="14">
        <v>0.87348739447152135</v>
      </c>
      <c r="G49" s="14">
        <v>2.4653871590488597E-4</v>
      </c>
      <c r="H49" s="14">
        <v>3.2155601801649012</v>
      </c>
      <c r="I49" s="14">
        <v>9.5436348131322646</v>
      </c>
      <c r="J49" s="14">
        <v>0</v>
      </c>
      <c r="K49" s="14">
        <v>1.1448362120955637</v>
      </c>
      <c r="L49" s="14">
        <v>0.87348739447152135</v>
      </c>
      <c r="M49" s="14">
        <v>0.71669640716388328</v>
      </c>
      <c r="N49" s="14">
        <v>2.9173646993307485</v>
      </c>
      <c r="O49" s="14">
        <v>324.17756538963278</v>
      </c>
      <c r="P49" s="8">
        <v>2.9173646993307485</v>
      </c>
      <c r="Q49" s="54">
        <v>6.8978510595384429E-2</v>
      </c>
    </row>
    <row r="50" spans="1:17">
      <c r="A50" s="2" t="s">
        <v>387</v>
      </c>
      <c r="B50" s="16" t="s">
        <v>388</v>
      </c>
      <c r="D50" s="14">
        <v>1</v>
      </c>
      <c r="E50" s="14">
        <v>0.34203968648628386</v>
      </c>
      <c r="F50" s="14">
        <v>0.18084296279818046</v>
      </c>
      <c r="G50" s="14">
        <v>1.7505321899437214E-4</v>
      </c>
      <c r="H50" s="14">
        <v>381.71709811739083</v>
      </c>
      <c r="I50" s="14">
        <v>709.57578176573327</v>
      </c>
      <c r="J50" s="14">
        <v>0</v>
      </c>
      <c r="K50" s="14">
        <v>5.5296594599370348</v>
      </c>
      <c r="L50" s="14">
        <v>0.18084296279818049</v>
      </c>
      <c r="M50" s="14">
        <v>0.14838165097590708</v>
      </c>
      <c r="N50" s="14">
        <v>186.45848413378062</v>
      </c>
      <c r="O50" s="14">
        <v>36816.227692214983</v>
      </c>
      <c r="P50" s="8">
        <v>186.45848413378062</v>
      </c>
      <c r="Q50" s="54">
        <v>0.39119994436630884</v>
      </c>
    </row>
    <row r="51" spans="1:17">
      <c r="A51" s="2" t="s">
        <v>295</v>
      </c>
      <c r="B51" s="16" t="s">
        <v>296</v>
      </c>
      <c r="D51" s="14">
        <v>1</v>
      </c>
      <c r="E51" s="14">
        <v>0.90479849592994377</v>
      </c>
      <c r="F51" s="14">
        <v>0.90501139663673069</v>
      </c>
      <c r="G51" s="14">
        <v>7.2677927757705042E-4</v>
      </c>
      <c r="H51" s="14">
        <v>0.28732541868957762</v>
      </c>
      <c r="I51" s="14">
        <v>1.0214831780572928</v>
      </c>
      <c r="J51" s="14">
        <v>0</v>
      </c>
      <c r="K51" s="14">
        <v>1.1049584609832237</v>
      </c>
      <c r="L51" s="14">
        <v>0.9050113966367308</v>
      </c>
      <c r="M51" s="14">
        <v>0.74256185094043758</v>
      </c>
      <c r="N51" s="14">
        <v>0.80540196576728973</v>
      </c>
      <c r="O51" s="14">
        <v>46.777746171764186</v>
      </c>
      <c r="P51" s="8">
        <v>0.80540196576728984</v>
      </c>
      <c r="Q51" s="54">
        <v>1.9926508968646218E-2</v>
      </c>
    </row>
    <row r="52" spans="1:17">
      <c r="A52" s="2" t="s">
        <v>389</v>
      </c>
      <c r="B52" s="16" t="s">
        <v>390</v>
      </c>
      <c r="D52" s="14">
        <v>1</v>
      </c>
      <c r="E52" s="14">
        <v>0.75536358687448069</v>
      </c>
      <c r="F52" s="14">
        <v>0.75115723492638875</v>
      </c>
      <c r="G52" s="14">
        <v>7.9326691657065677E-4</v>
      </c>
      <c r="H52" s="14">
        <v>9.8989892950520808</v>
      </c>
      <c r="I52" s="14">
        <v>26.745333973276555</v>
      </c>
      <c r="J52" s="14">
        <v>0</v>
      </c>
      <c r="K52" s="14">
        <v>1.3312791962897048</v>
      </c>
      <c r="L52" s="14">
        <v>0.75115723492638886</v>
      </c>
      <c r="M52" s="14">
        <v>0.61632451125710208</v>
      </c>
      <c r="N52" s="14">
        <v>7.2030165145682048</v>
      </c>
      <c r="O52" s="14">
        <v>771.8032195359832</v>
      </c>
      <c r="P52" s="8">
        <v>7.2030165145682048</v>
      </c>
      <c r="Q52" s="54">
        <v>0.1153049695325539</v>
      </c>
    </row>
    <row r="53" spans="1:17">
      <c r="A53" s="2" t="s">
        <v>391</v>
      </c>
      <c r="B53" s="16" t="s">
        <v>392</v>
      </c>
      <c r="D53" s="14">
        <v>1</v>
      </c>
      <c r="E53" s="14">
        <v>0.54178134675863254</v>
      </c>
      <c r="F53" s="14">
        <v>0.50387051030501473</v>
      </c>
      <c r="G53" s="14">
        <v>2.8985942684800854E-5</v>
      </c>
      <c r="H53" s="14">
        <v>87.248695322086391</v>
      </c>
      <c r="I53" s="14">
        <v>194.99169397979568</v>
      </c>
      <c r="J53" s="14">
        <v>0</v>
      </c>
      <c r="K53" s="14">
        <v>1.9846368849700224</v>
      </c>
      <c r="L53" s="14">
        <v>0.50387051030501473</v>
      </c>
      <c r="M53" s="14">
        <v>0.41342575370526458</v>
      </c>
      <c r="N53" s="14">
        <v>50.493365450882862</v>
      </c>
      <c r="O53" s="14">
        <v>8180.9350703520422</v>
      </c>
      <c r="P53" s="8">
        <v>50.49336545088287</v>
      </c>
      <c r="Q53" s="54">
        <v>0.29608479963556106</v>
      </c>
    </row>
    <row r="54" spans="1:17">
      <c r="A54" s="2" t="s">
        <v>393</v>
      </c>
      <c r="B54" s="16" t="s">
        <v>394</v>
      </c>
      <c r="D54" s="14">
        <v>1</v>
      </c>
      <c r="E54" s="14">
        <v>0.27451043900123651</v>
      </c>
      <c r="F54" s="14">
        <v>2.7851471104973361E-3</v>
      </c>
      <c r="G54" s="14">
        <v>6.55385195814429E-6</v>
      </c>
      <c r="H54" s="14">
        <v>250.18895860451318</v>
      </c>
      <c r="I54" s="14">
        <v>4834.2077488704426</v>
      </c>
      <c r="J54" s="14">
        <v>0</v>
      </c>
      <c r="K54" s="14">
        <v>359.04746152580526</v>
      </c>
      <c r="L54" s="14">
        <v>2.7851471104973361E-3</v>
      </c>
      <c r="M54" s="14">
        <v>2.2852132041630644E-3</v>
      </c>
      <c r="N54" s="14">
        <v>1339.1966988632328</v>
      </c>
      <c r="O54" s="14">
        <v>312555.11754768988</v>
      </c>
      <c r="P54" s="8">
        <v>1339.196698863233</v>
      </c>
      <c r="Q54" s="54">
        <v>0.18557749586552705</v>
      </c>
    </row>
    <row r="55" spans="1:17">
      <c r="A55" s="2" t="s">
        <v>395</v>
      </c>
      <c r="B55" s="16" t="s">
        <v>396</v>
      </c>
      <c r="D55" s="14">
        <v>1</v>
      </c>
      <c r="E55" s="14">
        <v>0.30599158009598243</v>
      </c>
      <c r="F55" s="14">
        <v>0.22833815445070499</v>
      </c>
      <c r="G55" s="14">
        <v>2.4666468400778162E-3</v>
      </c>
      <c r="H55" s="14">
        <v>181.75170202847607</v>
      </c>
      <c r="I55" s="14">
        <v>363.02426709761761</v>
      </c>
      <c r="J55" s="14">
        <v>0</v>
      </c>
      <c r="K55" s="14">
        <v>4.3794695739992324</v>
      </c>
      <c r="L55" s="14">
        <v>0.22833815445070499</v>
      </c>
      <c r="M55" s="14">
        <v>0.18735145572680345</v>
      </c>
      <c r="N55" s="14">
        <v>94.727989606019989</v>
      </c>
      <c r="O55" s="14">
        <v>12141.286427803581</v>
      </c>
      <c r="P55" s="8">
        <v>94.727989606019989</v>
      </c>
      <c r="Q55" s="54">
        <v>0.29712257985783919</v>
      </c>
    </row>
    <row r="56" spans="1:17">
      <c r="A56" s="2" t="s">
        <v>397</v>
      </c>
      <c r="B56" s="16" t="s">
        <v>398</v>
      </c>
      <c r="D56" s="14">
        <v>1</v>
      </c>
      <c r="E56" s="14">
        <v>6.2923106438048174E-2</v>
      </c>
      <c r="F56" s="14">
        <v>2.1918151393652777E-2</v>
      </c>
      <c r="G56" s="14">
        <v>9.0880856228014763E-3</v>
      </c>
      <c r="H56" s="14">
        <v>97.958905114721745</v>
      </c>
      <c r="I56" s="14">
        <v>172.30627476239454</v>
      </c>
      <c r="J56" s="14">
        <v>0</v>
      </c>
      <c r="K56" s="14">
        <v>45.624285645256897</v>
      </c>
      <c r="L56" s="14">
        <v>2.1918151393652781E-2</v>
      </c>
      <c r="M56" s="14">
        <v>1.7983843218492106E-2</v>
      </c>
      <c r="N56" s="14">
        <v>45.539829680245511</v>
      </c>
      <c r="O56" s="14">
        <v>8263.2020954805485</v>
      </c>
      <c r="P56" s="8">
        <v>45.539829680245518</v>
      </c>
      <c r="Q56" s="54">
        <v>7.0097268197648208E-2</v>
      </c>
    </row>
    <row r="57" spans="1:17">
      <c r="A57" s="2" t="s">
        <v>399</v>
      </c>
      <c r="B57" s="16" t="s">
        <v>400</v>
      </c>
      <c r="D57" s="14">
        <v>1</v>
      </c>
      <c r="E57" s="14">
        <v>4.8709039371647972E-2</v>
      </c>
      <c r="F57" s="14">
        <v>3.3160429381996176E-2</v>
      </c>
      <c r="G57" s="14">
        <v>9.6589214251591397E-3</v>
      </c>
      <c r="H57" s="14">
        <v>36.534245722503044</v>
      </c>
      <c r="I57" s="14">
        <v>71.245479906226322</v>
      </c>
      <c r="J57" s="14">
        <v>0</v>
      </c>
      <c r="K57" s="14">
        <v>30.156424950966738</v>
      </c>
      <c r="L57" s="14">
        <v>3.3160429381996176E-2</v>
      </c>
      <c r="M57" s="14">
        <v>2.7208132307927867E-2</v>
      </c>
      <c r="N57" s="14">
        <v>18.632576383539895</v>
      </c>
      <c r="O57" s="14">
        <v>2738.9887283803646</v>
      </c>
      <c r="P57" s="8">
        <v>18.632576383539895</v>
      </c>
      <c r="Q57" s="54">
        <v>5.1116053521933061E-2</v>
      </c>
    </row>
    <row r="58" spans="1:17">
      <c r="A58" s="2" t="s">
        <v>297</v>
      </c>
      <c r="B58" s="16" t="s">
        <v>298</v>
      </c>
      <c r="D58" s="14">
        <v>1</v>
      </c>
      <c r="E58" s="14">
        <v>5.9556498866384026E-2</v>
      </c>
      <c r="F58" s="14">
        <v>5.9449681384312107E-2</v>
      </c>
      <c r="G58" s="14">
        <v>1.0360435685082374E-2</v>
      </c>
      <c r="H58" s="14">
        <v>0.28102796036642735</v>
      </c>
      <c r="I58" s="14">
        <v>0.81885442861725422</v>
      </c>
      <c r="J58" s="14">
        <v>0</v>
      </c>
      <c r="K58" s="14">
        <v>16.820948013758155</v>
      </c>
      <c r="L58" s="14">
        <v>5.9449681384312114E-2</v>
      </c>
      <c r="M58" s="14">
        <v>4.8778463575828088E-2</v>
      </c>
      <c r="N58" s="14">
        <v>0.24121226380333491</v>
      </c>
      <c r="O58" s="14">
        <v>20.486157564817237</v>
      </c>
      <c r="P58" s="8">
        <v>0.24121226380333494</v>
      </c>
      <c r="Q58" s="54">
        <v>5.3481884550061736E-3</v>
      </c>
    </row>
    <row r="59" spans="1:17">
      <c r="A59" s="2" t="s">
        <v>401</v>
      </c>
      <c r="B59" s="16" t="s">
        <v>402</v>
      </c>
      <c r="D59" s="14">
        <v>1</v>
      </c>
      <c r="E59" s="14">
        <v>1.808226914163779E-2</v>
      </c>
      <c r="F59" s="14">
        <v>1.2597428031509966E-2</v>
      </c>
      <c r="G59" s="14">
        <v>1.0578165893516792E-2</v>
      </c>
      <c r="H59" s="14">
        <v>12.876027214545871</v>
      </c>
      <c r="I59" s="14">
        <v>25.248702008047584</v>
      </c>
      <c r="J59" s="14">
        <v>0</v>
      </c>
      <c r="K59" s="14">
        <v>79.381283028464111</v>
      </c>
      <c r="L59" s="14">
        <v>1.2597428031509966E-2</v>
      </c>
      <c r="M59" s="14">
        <v>1.0336189699853927E-2</v>
      </c>
      <c r="N59" s="14">
        <v>6.5997226839685021</v>
      </c>
      <c r="O59" s="14">
        <v>1094.4320126824969</v>
      </c>
      <c r="P59" s="8">
        <v>6.599722683968503</v>
      </c>
      <c r="Q59" s="54">
        <v>1.8674073193525525E-2</v>
      </c>
    </row>
    <row r="60" spans="1:17">
      <c r="A60" s="2" t="s">
        <v>299</v>
      </c>
      <c r="B60" s="16" t="s">
        <v>300</v>
      </c>
      <c r="D60" s="14">
        <v>1</v>
      </c>
      <c r="E60" s="14">
        <v>5.3652460391581897E-4</v>
      </c>
      <c r="F60" s="14">
        <v>4.4986339629709984E-4</v>
      </c>
      <c r="G60" s="14">
        <v>1.1097601999459654E-2</v>
      </c>
      <c r="H60" s="14">
        <v>0.20146548686542415</v>
      </c>
      <c r="I60" s="14">
        <v>0.41981488069475736</v>
      </c>
      <c r="J60" s="14">
        <v>0</v>
      </c>
      <c r="K60" s="14">
        <v>2222.8970132515014</v>
      </c>
      <c r="L60" s="14">
        <v>4.498633962970999E-4</v>
      </c>
      <c r="M60" s="14">
        <v>3.6911291666177047E-4</v>
      </c>
      <c r="N60" s="14">
        <v>0.10915391152236814</v>
      </c>
      <c r="O60" s="14">
        <v>8.9659022924473195</v>
      </c>
      <c r="P60" s="8">
        <v>0.10915391152236814</v>
      </c>
      <c r="Q60" s="54">
        <v>4.3376831804961373E-4</v>
      </c>
    </row>
    <row r="61" spans="1:17">
      <c r="A61" s="2" t="s">
        <v>403</v>
      </c>
      <c r="B61" s="16" t="s">
        <v>404</v>
      </c>
      <c r="D61" s="14">
        <v>1</v>
      </c>
      <c r="E61" s="14">
        <v>0.47899558515526192</v>
      </c>
      <c r="F61" s="14">
        <v>0.4227871164660022</v>
      </c>
      <c r="G61" s="14">
        <v>7.3683497533380721E-46</v>
      </c>
      <c r="H61" s="14">
        <v>130.11930790650038</v>
      </c>
      <c r="I61" s="14">
        <v>278.73975591893895</v>
      </c>
      <c r="J61" s="14">
        <v>0</v>
      </c>
      <c r="K61" s="14">
        <v>2.3652565583332135</v>
      </c>
      <c r="L61" s="14">
        <v>0.42278711646600226</v>
      </c>
      <c r="M61" s="14">
        <v>0.34689682906035485</v>
      </c>
      <c r="N61" s="14">
        <v>72.331223411427231</v>
      </c>
      <c r="O61" s="14">
        <v>86986.252586816496</v>
      </c>
      <c r="P61" s="8">
        <v>72.331223411427231</v>
      </c>
      <c r="Q61" s="54">
        <v>0.3352732585504864</v>
      </c>
    </row>
    <row r="62" spans="1:17">
      <c r="A62" s="2" t="s">
        <v>405</v>
      </c>
      <c r="B62" s="16" t="s">
        <v>406</v>
      </c>
      <c r="D62" s="14">
        <v>1</v>
      </c>
      <c r="E62" s="14">
        <v>0.32122585903340839</v>
      </c>
      <c r="F62" s="14">
        <v>1.373486355596429E-2</v>
      </c>
      <c r="G62" s="14">
        <v>4.2073906464496834E-9</v>
      </c>
      <c r="H62" s="14">
        <v>561.15695433771702</v>
      </c>
      <c r="I62" s="14">
        <v>2896.2865016439573</v>
      </c>
      <c r="J62" s="14">
        <v>0</v>
      </c>
      <c r="K62" s="14">
        <v>72.807421488053677</v>
      </c>
      <c r="L62" s="14">
        <v>1.3734863555964292E-2</v>
      </c>
      <c r="M62" s="14">
        <v>1.1269455547668701E-2</v>
      </c>
      <c r="N62" s="14">
        <v>787.62725084894407</v>
      </c>
      <c r="O62" s="14">
        <v>251142.82520569433</v>
      </c>
      <c r="P62" s="8">
        <v>787.62725084894419</v>
      </c>
      <c r="Q62" s="54">
        <v>0.27953842906092707</v>
      </c>
    </row>
    <row r="63" spans="1:17">
      <c r="A63" s="2" t="s">
        <v>407</v>
      </c>
      <c r="B63" s="16" t="s">
        <v>408</v>
      </c>
      <c r="D63" s="14">
        <v>1</v>
      </c>
      <c r="E63" s="14">
        <v>0.26812647922021504</v>
      </c>
      <c r="F63" s="14">
        <v>1.0534712429071899E-3</v>
      </c>
      <c r="G63" s="14">
        <v>8.4568995602928055E-7</v>
      </c>
      <c r="H63" s="14">
        <v>144.63809227128911</v>
      </c>
      <c r="I63" s="14">
        <v>5689.0513757317585</v>
      </c>
      <c r="J63" s="14">
        <v>0</v>
      </c>
      <c r="K63" s="14">
        <v>949.24280727433143</v>
      </c>
      <c r="L63" s="14">
        <v>1.0534712429071899E-3</v>
      </c>
      <c r="M63" s="14">
        <v>8.643731548053493E-4</v>
      </c>
      <c r="N63" s="14">
        <v>1591.8346250732727</v>
      </c>
      <c r="O63" s="14">
        <v>773297.34251434519</v>
      </c>
      <c r="P63" s="8">
        <v>1591.8346250732727</v>
      </c>
      <c r="Q63" s="54">
        <v>0.13293515789490787</v>
      </c>
    </row>
    <row r="64" spans="1:17">
      <c r="A64" s="2" t="s">
        <v>409</v>
      </c>
      <c r="B64" s="16" t="s">
        <v>410</v>
      </c>
      <c r="D64" s="14">
        <v>1</v>
      </c>
      <c r="E64" s="14">
        <v>0.26792499766859718</v>
      </c>
      <c r="F64" s="14">
        <v>3.5969526965361497E-4</v>
      </c>
      <c r="G64" s="14">
        <v>1.0317707556662239E-7</v>
      </c>
      <c r="H64" s="14">
        <v>76.798851694328377</v>
      </c>
      <c r="I64" s="14">
        <v>6330.1193326951325</v>
      </c>
      <c r="J64" s="14">
        <v>0</v>
      </c>
      <c r="K64" s="14">
        <v>2780.1310841896693</v>
      </c>
      <c r="L64" s="14">
        <v>3.5969526965361497E-4</v>
      </c>
      <c r="M64" s="14">
        <v>2.9512996875079105E-4</v>
      </c>
      <c r="N64" s="14">
        <v>1789.7497742326805</v>
      </c>
      <c r="O64" s="14">
        <v>1010653.8000114525</v>
      </c>
      <c r="P64" s="8">
        <v>1789.7497742326807</v>
      </c>
      <c r="Q64" s="54">
        <v>8.8229109770384256E-2</v>
      </c>
    </row>
    <row r="65" spans="1:17">
      <c r="A65" s="2" t="s">
        <v>301</v>
      </c>
      <c r="B65" s="16" t="s">
        <v>302</v>
      </c>
      <c r="D65" s="14">
        <v>1</v>
      </c>
      <c r="E65" s="14">
        <v>0.27027516649413674</v>
      </c>
      <c r="F65" s="14">
        <v>1.0054601654535132E-4</v>
      </c>
      <c r="G65" s="14">
        <v>1.2690927321148083E-8</v>
      </c>
      <c r="H65" s="14">
        <v>35.470300624197215</v>
      </c>
      <c r="I65" s="14">
        <v>6781.441818495603</v>
      </c>
      <c r="J65" s="14">
        <v>0</v>
      </c>
      <c r="K65" s="14">
        <v>9945.6948605114521</v>
      </c>
      <c r="L65" s="14">
        <v>1.0054601654535132E-4</v>
      </c>
      <c r="M65" s="14">
        <v>8.2498006575460766E-5</v>
      </c>
      <c r="N65" s="14">
        <v>1940.2284630430784</v>
      </c>
      <c r="O65" s="14">
        <v>1248692.2342452644</v>
      </c>
      <c r="P65" s="8">
        <v>1940.2284630430784</v>
      </c>
      <c r="Q65" s="54">
        <v>5.2519676224452957E-2</v>
      </c>
    </row>
    <row r="66" spans="1:17">
      <c r="A66" s="2" t="s">
        <v>303</v>
      </c>
      <c r="B66" s="16" t="s">
        <v>304</v>
      </c>
      <c r="D66" s="14">
        <v>1</v>
      </c>
      <c r="E66" s="14">
        <v>0.26883686390647593</v>
      </c>
      <c r="F66" s="14">
        <v>2.0878827566588558E-4</v>
      </c>
      <c r="G66" s="14">
        <v>1.2270283449372457E-14</v>
      </c>
      <c r="H66" s="14">
        <v>55.35108106985831</v>
      </c>
      <c r="I66" s="14">
        <v>6556.6692805582225</v>
      </c>
      <c r="J66" s="14">
        <v>0</v>
      </c>
      <c r="K66" s="14">
        <v>4789.5409682881555</v>
      </c>
      <c r="L66" s="14">
        <v>2.0878827566588561E-4</v>
      </c>
      <c r="M66" s="14">
        <v>1.7131078018385912E-4</v>
      </c>
      <c r="N66" s="14">
        <v>1863.2998599053865</v>
      </c>
      <c r="O66" s="14">
        <v>1202406.0325955448</v>
      </c>
      <c r="P66" s="8">
        <v>1863.2998599053865</v>
      </c>
      <c r="Q66" s="54">
        <v>7.0938708635841702E-2</v>
      </c>
    </row>
    <row r="67" spans="1:17">
      <c r="A67" s="2" t="s">
        <v>411</v>
      </c>
      <c r="B67" s="16" t="s">
        <v>412</v>
      </c>
      <c r="D67" s="14">
        <v>1</v>
      </c>
      <c r="E67" s="14">
        <v>0.83899364422537304</v>
      </c>
      <c r="F67" s="14">
        <v>0.8359408795133958</v>
      </c>
      <c r="G67" s="14">
        <v>5.3076716907947976E-5</v>
      </c>
      <c r="H67" s="14">
        <v>7.3837258563499262</v>
      </c>
      <c r="I67" s="14">
        <v>20.546257872328745</v>
      </c>
      <c r="J67" s="14">
        <v>0</v>
      </c>
      <c r="K67" s="14">
        <v>1.1962568460368914</v>
      </c>
      <c r="L67" s="14">
        <v>0.83594087951339591</v>
      </c>
      <c r="M67" s="14">
        <v>0.68588949164074131</v>
      </c>
      <c r="N67" s="14">
        <v>5.6757552242004214</v>
      </c>
      <c r="O67" s="14">
        <v>1703.2941427825467</v>
      </c>
      <c r="P67" s="8">
        <v>5.6757552242004223</v>
      </c>
      <c r="Q67" s="54">
        <v>0.10416761831086672</v>
      </c>
    </row>
    <row r="68" spans="1:17">
      <c r="A68" s="2" t="s">
        <v>413</v>
      </c>
      <c r="B68" s="16" t="s">
        <v>414</v>
      </c>
      <c r="D68" s="14">
        <v>1</v>
      </c>
      <c r="E68" s="14">
        <v>0.78460184360737717</v>
      </c>
      <c r="F68" s="14">
        <v>0.77893910972829816</v>
      </c>
      <c r="G68" s="14">
        <v>1.1635686124997179E-4</v>
      </c>
      <c r="H68" s="14">
        <v>13.181459811133688</v>
      </c>
      <c r="I68" s="14">
        <v>34.963965307005942</v>
      </c>
      <c r="J68" s="14">
        <v>0</v>
      </c>
      <c r="K68" s="14">
        <v>1.2837973950862605</v>
      </c>
      <c r="L68" s="14">
        <v>0.77893910972829816</v>
      </c>
      <c r="M68" s="14">
        <v>0.63911953953206868</v>
      </c>
      <c r="N68" s="14">
        <v>9.3095701963441684</v>
      </c>
      <c r="O68" s="14">
        <v>3054.9354599303383</v>
      </c>
      <c r="P68" s="8">
        <v>9.3095701963441684</v>
      </c>
      <c r="Q68" s="54">
        <v>0.13621366572355381</v>
      </c>
    </row>
    <row r="69" spans="1:17">
      <c r="A69" s="2" t="s">
        <v>415</v>
      </c>
      <c r="B69" s="16" t="s">
        <v>416</v>
      </c>
      <c r="D69" s="14">
        <v>1</v>
      </c>
      <c r="E69" s="14">
        <v>0.281052043275205</v>
      </c>
      <c r="F69" s="14">
        <v>4.4318371957013615E-3</v>
      </c>
      <c r="G69" s="14">
        <v>4.3324372959400716E-5</v>
      </c>
      <c r="H69" s="14">
        <v>320.62973651215287</v>
      </c>
      <c r="I69" s="14">
        <v>4310.830718223162</v>
      </c>
      <c r="J69" s="14">
        <v>0</v>
      </c>
      <c r="K69" s="14">
        <v>225.64005757475593</v>
      </c>
      <c r="L69" s="14">
        <v>4.4318371957013615E-3</v>
      </c>
      <c r="M69" s="14">
        <v>3.6363224190729673E-3</v>
      </c>
      <c r="N69" s="14">
        <v>1188.1428221128908</v>
      </c>
      <c r="O69" s="14">
        <v>551393.32088615035</v>
      </c>
      <c r="P69" s="8">
        <v>1188.1428221128911</v>
      </c>
      <c r="Q69" s="54">
        <v>0.21318712307674945</v>
      </c>
    </row>
    <row r="70" spans="1:17">
      <c r="A70" s="2" t="s">
        <v>417</v>
      </c>
      <c r="B70" s="16" t="s">
        <v>418</v>
      </c>
      <c r="D70" s="14">
        <v>1</v>
      </c>
      <c r="E70" s="14">
        <v>0.35608901333185838</v>
      </c>
      <c r="F70" s="14">
        <v>8.592766260505183E-2</v>
      </c>
      <c r="G70" s="14">
        <v>1.1832090587799475E-4</v>
      </c>
      <c r="H70" s="14">
        <v>649.28145461146642</v>
      </c>
      <c r="I70" s="14">
        <v>1098.7279414815307</v>
      </c>
      <c r="J70" s="14">
        <v>0</v>
      </c>
      <c r="K70" s="14">
        <v>11.63769582091726</v>
      </c>
      <c r="L70" s="14">
        <v>8.592766260505183E-2</v>
      </c>
      <c r="M70" s="14">
        <v>7.0503647167445033E-2</v>
      </c>
      <c r="N70" s="14">
        <v>291.59367514856177</v>
      </c>
      <c r="O70" s="14">
        <v>91574.993680405823</v>
      </c>
      <c r="P70" s="8">
        <v>291.59367514856177</v>
      </c>
      <c r="Q70" s="54">
        <v>0.36131847544521362</v>
      </c>
    </row>
    <row r="71" spans="1:17">
      <c r="A71" s="2" t="s">
        <v>419</v>
      </c>
      <c r="B71" s="16" t="s">
        <v>420</v>
      </c>
      <c r="D71" s="14">
        <v>1</v>
      </c>
      <c r="E71" s="14">
        <v>0.7808059498526333</v>
      </c>
      <c r="F71" s="14">
        <v>0.77572330453901572</v>
      </c>
      <c r="G71" s="14">
        <v>2.8428590421655629E-4</v>
      </c>
      <c r="H71" s="14">
        <v>11.877549221903461</v>
      </c>
      <c r="I71" s="14">
        <v>31.738325484854027</v>
      </c>
      <c r="J71" s="14">
        <v>0</v>
      </c>
      <c r="K71" s="14">
        <v>1.2891194503873564</v>
      </c>
      <c r="L71" s="14">
        <v>0.77572330453901583</v>
      </c>
      <c r="M71" s="14">
        <v>0.63648097137426241</v>
      </c>
      <c r="N71" s="14">
        <v>8.4863905806434854</v>
      </c>
      <c r="O71" s="14">
        <v>1816.4270398809317</v>
      </c>
      <c r="P71" s="8">
        <v>8.4863905806434854</v>
      </c>
      <c r="Q71" s="54">
        <v>0.12876090178462685</v>
      </c>
    </row>
    <row r="72" spans="1:17">
      <c r="A72" s="2" t="s">
        <v>421</v>
      </c>
      <c r="B72" s="16" t="s">
        <v>422</v>
      </c>
      <c r="D72" s="14">
        <v>1</v>
      </c>
      <c r="E72" s="14">
        <v>0.33906352151278207</v>
      </c>
      <c r="F72" s="14">
        <v>9.303639590397221E-2</v>
      </c>
      <c r="G72" s="14">
        <v>4.6468790187253735E-4</v>
      </c>
      <c r="H72" s="14">
        <v>590.10986935433232</v>
      </c>
      <c r="I72" s="14">
        <v>1011.5562758884423</v>
      </c>
      <c r="J72" s="14">
        <v>0</v>
      </c>
      <c r="K72" s="14">
        <v>10.748481712814337</v>
      </c>
      <c r="L72" s="14">
        <v>9.303639590397221E-2</v>
      </c>
      <c r="M72" s="14">
        <v>7.6336362839209207E-2</v>
      </c>
      <c r="N72" s="14">
        <v>268.08716743143452</v>
      </c>
      <c r="O72" s="14">
        <v>111006.85341833408</v>
      </c>
      <c r="P72" s="8">
        <v>268.08716743143452</v>
      </c>
      <c r="Q72" s="54">
        <v>0.357100163366666</v>
      </c>
    </row>
    <row r="73" spans="1:17">
      <c r="A73" s="2" t="s">
        <v>423</v>
      </c>
      <c r="B73" s="16" t="s">
        <v>424</v>
      </c>
      <c r="D73" s="14">
        <v>1</v>
      </c>
      <c r="E73" s="14">
        <v>0.45678102534563142</v>
      </c>
      <c r="F73" s="14">
        <v>0.39704710888392092</v>
      </c>
      <c r="G73" s="14">
        <v>2.1897297848897968E-4</v>
      </c>
      <c r="H73" s="14">
        <v>138.47202331266351</v>
      </c>
      <c r="I73" s="14">
        <v>293.91327958711213</v>
      </c>
      <c r="J73" s="14">
        <v>0</v>
      </c>
      <c r="K73" s="14">
        <v>2.5185928259519348</v>
      </c>
      <c r="L73" s="14">
        <v>0.39704710888392097</v>
      </c>
      <c r="M73" s="14">
        <v>0.32577715283925712</v>
      </c>
      <c r="N73" s="14">
        <v>76.315490880859713</v>
      </c>
      <c r="O73" s="14">
        <v>32676.003730457705</v>
      </c>
      <c r="P73" s="8">
        <v>76.315490880859713</v>
      </c>
      <c r="Q73" s="54">
        <v>0.33606184611671425</v>
      </c>
    </row>
    <row r="74" spans="1:17">
      <c r="A74" s="2" t="s">
        <v>425</v>
      </c>
      <c r="B74" s="16" t="s">
        <v>426</v>
      </c>
      <c r="D74" s="14">
        <v>1</v>
      </c>
      <c r="E74" s="14">
        <v>0.35227796325310412</v>
      </c>
      <c r="F74" s="14">
        <v>8.8237831310670062E-2</v>
      </c>
      <c r="G74" s="14">
        <v>1.7966493029933128E-4</v>
      </c>
      <c r="H74" s="14">
        <v>634.21254100251144</v>
      </c>
      <c r="I74" s="14">
        <v>1077.1892145333836</v>
      </c>
      <c r="J74" s="14">
        <v>0</v>
      </c>
      <c r="K74" s="14">
        <v>11.333007454355647</v>
      </c>
      <c r="L74" s="14">
        <v>8.8237831310670076E-2</v>
      </c>
      <c r="M74" s="14">
        <v>7.2399140590404795E-2</v>
      </c>
      <c r="N74" s="14">
        <v>285.7641194975223</v>
      </c>
      <c r="O74" s="14">
        <v>150934.89263620132</v>
      </c>
      <c r="P74" s="8">
        <v>285.76411949752236</v>
      </c>
      <c r="Q74" s="54">
        <v>0.36148642798643221</v>
      </c>
    </row>
    <row r="75" spans="1:17">
      <c r="A75" s="2" t="s">
        <v>427</v>
      </c>
      <c r="B75" s="16" t="s">
        <v>428</v>
      </c>
      <c r="D75" s="14">
        <v>1</v>
      </c>
      <c r="E75" s="14">
        <v>0.82619629760472546</v>
      </c>
      <c r="F75" s="14">
        <v>3.4494986277920602E-2</v>
      </c>
      <c r="G75" s="14">
        <v>4.8661382900281335E-11</v>
      </c>
      <c r="H75" s="14">
        <v>2249.3445067450484</v>
      </c>
      <c r="I75" s="14">
        <v>8.036515765195789</v>
      </c>
      <c r="J75" s="14">
        <v>0</v>
      </c>
      <c r="K75" s="14">
        <v>28.989720185512166</v>
      </c>
      <c r="L75" s="14">
        <v>3.4494986277920602E-2</v>
      </c>
      <c r="M75" s="14">
        <v>2.8303136241033856E-2</v>
      </c>
      <c r="N75" s="14">
        <v>515.29400664987622</v>
      </c>
      <c r="O75" s="14">
        <v>290672.19621112867</v>
      </c>
      <c r="P75" s="8">
        <v>515.29400664987622</v>
      </c>
      <c r="Q75" s="54">
        <v>4.4881545243945074E-4</v>
      </c>
    </row>
    <row r="76" spans="1:17">
      <c r="A76" s="2" t="s">
        <v>429</v>
      </c>
      <c r="B76" s="16" t="s">
        <v>430</v>
      </c>
      <c r="D76" s="14">
        <v>1</v>
      </c>
      <c r="E76" s="14">
        <v>0.82619630113218345</v>
      </c>
      <c r="F76" s="14">
        <v>3.4494986425197494E-2</v>
      </c>
      <c r="G76" s="14">
        <v>1.2223186796757988E-12</v>
      </c>
      <c r="H76" s="14">
        <v>2249.3445163486604</v>
      </c>
      <c r="I76" s="14">
        <v>8.0365157995078196</v>
      </c>
      <c r="J76" s="14">
        <v>0</v>
      </c>
      <c r="K76" s="14">
        <v>28.989720061740094</v>
      </c>
      <c r="L76" s="14">
        <v>3.4494986425197494E-2</v>
      </c>
      <c r="M76" s="14">
        <v>2.8303136361874544E-2</v>
      </c>
      <c r="N76" s="14">
        <v>515.29400884993208</v>
      </c>
      <c r="O76" s="14">
        <v>257713.99264611653</v>
      </c>
      <c r="P76" s="8">
        <v>515.29400884993208</v>
      </c>
      <c r="Q76" s="54">
        <v>4.488154543556754E-4</v>
      </c>
    </row>
    <row r="77" spans="1:17">
      <c r="A77" s="2" t="s">
        <v>431</v>
      </c>
      <c r="B77" s="16" t="s">
        <v>432</v>
      </c>
      <c r="D77" s="14">
        <v>1</v>
      </c>
      <c r="E77" s="14">
        <v>0.34236464746835382</v>
      </c>
      <c r="F77" s="14">
        <v>0.2139376422460679</v>
      </c>
      <c r="G77" s="14">
        <v>5.5615480396175134E-4</v>
      </c>
      <c r="H77" s="14">
        <v>302.66848662641212</v>
      </c>
      <c r="I77" s="14">
        <v>579.46121942374555</v>
      </c>
      <c r="J77" s="14">
        <v>0</v>
      </c>
      <c r="K77" s="14">
        <v>4.6742592350803545</v>
      </c>
      <c r="L77" s="14">
        <v>0.21393764224606793</v>
      </c>
      <c r="M77" s="14">
        <v>0.17553583546289872</v>
      </c>
      <c r="N77" s="14">
        <v>151.8166145533236</v>
      </c>
      <c r="O77" s="14">
        <v>55270.356694282993</v>
      </c>
      <c r="P77" s="8">
        <v>151.8166145533236</v>
      </c>
      <c r="Q77" s="54">
        <v>0.37568545043749096</v>
      </c>
    </row>
    <row r="78" spans="1:17">
      <c r="A78" s="2" t="s">
        <v>433</v>
      </c>
      <c r="B78" s="16" t="s">
        <v>434</v>
      </c>
      <c r="D78" s="14">
        <v>1</v>
      </c>
      <c r="E78" s="14">
        <v>0.62607676990714711</v>
      </c>
      <c r="F78" s="14">
        <v>0.60783920600706653</v>
      </c>
      <c r="G78" s="14">
        <v>4.2799352289192382E-4</v>
      </c>
      <c r="H78" s="14">
        <v>41.726187850465365</v>
      </c>
      <c r="I78" s="14">
        <v>99.831105337964743</v>
      </c>
      <c r="J78" s="14">
        <v>0</v>
      </c>
      <c r="K78" s="14">
        <v>1.6451719305325203</v>
      </c>
      <c r="L78" s="14">
        <v>0.60783920600706653</v>
      </c>
      <c r="M78" s="14">
        <v>0.49873206852879809</v>
      </c>
      <c r="N78" s="14">
        <v>25.875161778721864</v>
      </c>
      <c r="O78" s="14">
        <v>6832.3364676715082</v>
      </c>
      <c r="P78" s="8">
        <v>25.875161778721864</v>
      </c>
      <c r="Q78" s="54">
        <v>0.22052908710557703</v>
      </c>
    </row>
    <row r="79" spans="1:17">
      <c r="A79" s="2" t="s">
        <v>435</v>
      </c>
      <c r="B79" s="16" t="s">
        <v>436</v>
      </c>
      <c r="D79" s="14">
        <v>1</v>
      </c>
      <c r="E79" s="14">
        <v>0.5318272015273886</v>
      </c>
      <c r="F79" s="14">
        <v>0.49286113425494021</v>
      </c>
      <c r="G79" s="14">
        <v>1.155348646389841E-4</v>
      </c>
      <c r="H79" s="14">
        <v>89.719030542314925</v>
      </c>
      <c r="I79" s="14">
        <v>199.77527765837351</v>
      </c>
      <c r="J79" s="14">
        <v>0</v>
      </c>
      <c r="K79" s="14">
        <v>2.0289690756640879</v>
      </c>
      <c r="L79" s="14">
        <v>0.49286113425494021</v>
      </c>
      <c r="M79" s="14">
        <v>0.40439256065617846</v>
      </c>
      <c r="N79" s="14">
        <v>51.738488238272716</v>
      </c>
      <c r="O79" s="14">
        <v>20701.086529015294</v>
      </c>
      <c r="P79" s="8">
        <v>51.738488238272716</v>
      </c>
      <c r="Q79" s="54">
        <v>0.29726360680975411</v>
      </c>
    </row>
    <row r="80" spans="1:17">
      <c r="A80" s="2" t="s">
        <v>437</v>
      </c>
      <c r="B80" s="16" t="s">
        <v>438</v>
      </c>
      <c r="D80" s="14">
        <v>1</v>
      </c>
      <c r="E80" s="14">
        <v>0.70765180152030738</v>
      </c>
      <c r="F80" s="14">
        <v>2.0278265258428331E-2</v>
      </c>
      <c r="G80" s="14">
        <v>1.5106340519747264E-11</v>
      </c>
      <c r="H80" s="14">
        <v>1952.2291792670546</v>
      </c>
      <c r="I80" s="14">
        <v>13.398081775971713</v>
      </c>
      <c r="J80" s="14">
        <v>0</v>
      </c>
      <c r="K80" s="14">
        <v>49.313882980417475</v>
      </c>
      <c r="L80" s="14">
        <v>2.0278265258428334E-2</v>
      </c>
      <c r="M80" s="14">
        <v>1.6638316644540449E-2</v>
      </c>
      <c r="N80" s="14">
        <v>867.99270072156605</v>
      </c>
      <c r="O80" s="14">
        <v>446217.68758694275</v>
      </c>
      <c r="P80" s="8">
        <v>867.99270072156617</v>
      </c>
      <c r="Q80" s="54">
        <v>4.7428853243124087E-4</v>
      </c>
    </row>
    <row r="81" spans="1:17">
      <c r="A81" s="2" t="s">
        <v>440</v>
      </c>
      <c r="B81" s="16" t="s">
        <v>441</v>
      </c>
      <c r="D81" s="14">
        <v>1</v>
      </c>
      <c r="E81" s="14">
        <v>0.97080975337700759</v>
      </c>
      <c r="F81" s="14">
        <v>0.97106184454528399</v>
      </c>
      <c r="G81" s="14">
        <v>2.0491576778588461E-15</v>
      </c>
      <c r="H81" s="14">
        <v>0.2587896420819028</v>
      </c>
      <c r="I81" s="14">
        <v>0.93197456660765476</v>
      </c>
      <c r="J81" s="14">
        <v>0</v>
      </c>
      <c r="K81" s="14">
        <v>1.0298005277596574</v>
      </c>
      <c r="L81" s="14">
        <v>0.9710618445452841</v>
      </c>
      <c r="M81" s="14">
        <v>0.79675624344940554</v>
      </c>
      <c r="N81" s="14">
        <v>0.82372568651667055</v>
      </c>
      <c r="O81" s="14">
        <v>228.38618384361206</v>
      </c>
      <c r="P81" s="8">
        <v>0.82372568651667055</v>
      </c>
      <c r="Q81" s="54">
        <v>1.9516595484693273E-2</v>
      </c>
    </row>
    <row r="82" spans="1:17">
      <c r="A82" s="2" t="s">
        <v>442</v>
      </c>
      <c r="B82" s="16" t="s">
        <v>443</v>
      </c>
      <c r="D82" s="14">
        <v>1</v>
      </c>
      <c r="E82" s="14">
        <v>0.77073364659826282</v>
      </c>
      <c r="F82" s="14">
        <v>0.76355171240826436</v>
      </c>
      <c r="G82" s="14">
        <v>9.7213581422003531E-7</v>
      </c>
      <c r="H82" s="14">
        <v>16.591989166406766</v>
      </c>
      <c r="I82" s="14">
        <v>43.207150559349074</v>
      </c>
      <c r="J82" s="14">
        <v>0</v>
      </c>
      <c r="K82" s="14">
        <v>1.3096689899967231</v>
      </c>
      <c r="L82" s="14">
        <v>0.76355171240826436</v>
      </c>
      <c r="M82" s="14">
        <v>0.6264941800309809</v>
      </c>
      <c r="N82" s="14">
        <v>11.404236556900628</v>
      </c>
      <c r="O82" s="14">
        <v>1883.8658368344145</v>
      </c>
      <c r="P82" s="8">
        <v>11.404236556900628</v>
      </c>
      <c r="Q82" s="54">
        <v>0.15210925044435364</v>
      </c>
    </row>
    <row r="83" spans="1:17">
      <c r="A83" s="2" t="s">
        <v>444</v>
      </c>
      <c r="B83" s="16" t="s">
        <v>445</v>
      </c>
      <c r="D83" s="14">
        <v>1</v>
      </c>
      <c r="E83" s="14">
        <v>0.37370877172327543</v>
      </c>
      <c r="F83" s="14">
        <v>0.25641311678661705</v>
      </c>
      <c r="G83" s="14">
        <v>1.1302869812642166E-5</v>
      </c>
      <c r="H83" s="14">
        <v>275.52450936694999</v>
      </c>
      <c r="I83" s="14">
        <v>538.29135922207411</v>
      </c>
      <c r="J83" s="14">
        <v>0</v>
      </c>
      <c r="K83" s="14">
        <v>3.8999564941608829</v>
      </c>
      <c r="L83" s="14">
        <v>0.25641311678661705</v>
      </c>
      <c r="M83" s="14">
        <v>0.21038696232341927</v>
      </c>
      <c r="N83" s="14">
        <v>140.75259546495352</v>
      </c>
      <c r="O83" s="14">
        <v>25369.24780660322</v>
      </c>
      <c r="P83" s="8">
        <v>140.75259546495352</v>
      </c>
      <c r="Q83" s="54">
        <v>0.39013724109421954</v>
      </c>
    </row>
    <row r="84" spans="1:17">
      <c r="A84" s="2" t="s">
        <v>446</v>
      </c>
      <c r="B84" s="16" t="s">
        <v>447</v>
      </c>
      <c r="D84" s="14">
        <v>1</v>
      </c>
      <c r="E84" s="14">
        <v>0.93730363475735023</v>
      </c>
      <c r="F84" s="14">
        <v>0.93711791032818448</v>
      </c>
      <c r="G84" s="14">
        <v>6.3068532520629095E-17</v>
      </c>
      <c r="H84" s="14">
        <v>1.1624766500777721</v>
      </c>
      <c r="I84" s="14">
        <v>3.7380181780191983</v>
      </c>
      <c r="J84" s="14">
        <v>0</v>
      </c>
      <c r="K84" s="14">
        <v>1.0671015770574632</v>
      </c>
      <c r="L84" s="14">
        <v>0.93711791032818448</v>
      </c>
      <c r="M84" s="14">
        <v>0.76890524542427541</v>
      </c>
      <c r="N84" s="14">
        <v>1.4997603131729373</v>
      </c>
      <c r="O84" s="14">
        <v>583.24178818982364</v>
      </c>
      <c r="P84" s="8">
        <v>1.4997603131729376</v>
      </c>
      <c r="Q84" s="54">
        <v>4.1979900899757061E-2</v>
      </c>
    </row>
    <row r="85" spans="1:17">
      <c r="A85" s="2" t="s">
        <v>448</v>
      </c>
      <c r="B85" s="16" t="s">
        <v>449</v>
      </c>
      <c r="D85" s="14">
        <v>1</v>
      </c>
      <c r="E85" s="14">
        <v>0.9877317431724344</v>
      </c>
      <c r="F85" s="14">
        <v>0.98809286023242571</v>
      </c>
      <c r="G85" s="14">
        <v>4.4158696875290727E-10</v>
      </c>
      <c r="H85" s="14">
        <v>4.7488424470543737E-2</v>
      </c>
      <c r="I85" s="14">
        <v>0.1940192993669746</v>
      </c>
      <c r="J85" s="14">
        <v>0</v>
      </c>
      <c r="K85" s="14">
        <v>1.012050628282825</v>
      </c>
      <c r="L85" s="14">
        <v>0.98809286023242571</v>
      </c>
      <c r="M85" s="14">
        <v>0.81073019182070527</v>
      </c>
      <c r="N85" s="14">
        <v>0.65324472342367801</v>
      </c>
      <c r="O85" s="14">
        <v>117.08758422646005</v>
      </c>
      <c r="P85" s="8">
        <v>0.65324472342367801</v>
      </c>
      <c r="Q85" s="54">
        <v>8.1328906289258544E-3</v>
      </c>
    </row>
    <row r="86" spans="1:17">
      <c r="A86" s="2" t="s">
        <v>450</v>
      </c>
      <c r="B86" s="16" t="s">
        <v>451</v>
      </c>
      <c r="D86" s="14">
        <v>1</v>
      </c>
      <c r="E86" s="14">
        <v>0.93881754103241033</v>
      </c>
      <c r="F86" s="14">
        <v>0.93865793746137272</v>
      </c>
      <c r="G86" s="14">
        <v>1.5863749545022209E-10</v>
      </c>
      <c r="H86" s="14">
        <v>1.1075857434231431</v>
      </c>
      <c r="I86" s="14">
        <v>3.5746582476702859</v>
      </c>
      <c r="J86" s="14">
        <v>0</v>
      </c>
      <c r="K86" s="14">
        <v>1.0653508164055254</v>
      </c>
      <c r="L86" s="14">
        <v>0.93865793746137272</v>
      </c>
      <c r="M86" s="14">
        <v>0.77016883768705635</v>
      </c>
      <c r="N86" s="14">
        <v>1.459945560764133</v>
      </c>
      <c r="O86" s="14">
        <v>381.17718645990743</v>
      </c>
      <c r="P86" s="8">
        <v>1.459945560764133</v>
      </c>
      <c r="Q86" s="54">
        <v>4.0967034512713836E-2</v>
      </c>
    </row>
    <row r="87" spans="1:17">
      <c r="A87" s="2" t="s">
        <v>452</v>
      </c>
      <c r="B87" s="16" t="s">
        <v>453</v>
      </c>
      <c r="D87" s="14">
        <v>1</v>
      </c>
      <c r="E87" s="14">
        <v>0.2696520899544021</v>
      </c>
      <c r="F87" s="14">
        <v>1.5485941229825256E-3</v>
      </c>
      <c r="G87" s="14">
        <v>1.5972985390587772E-9</v>
      </c>
      <c r="H87" s="14">
        <v>180.36721800816895</v>
      </c>
      <c r="I87" s="14">
        <v>5385.3604618778518</v>
      </c>
      <c r="J87" s="14">
        <v>0</v>
      </c>
      <c r="K87" s="14">
        <v>645.74699410200719</v>
      </c>
      <c r="L87" s="14">
        <v>1.5485941229825256E-3</v>
      </c>
      <c r="M87" s="14">
        <v>1.2706214779071622E-3</v>
      </c>
      <c r="N87" s="14">
        <v>1501.0310452815177</v>
      </c>
      <c r="O87" s="14">
        <v>624879.22415069584</v>
      </c>
      <c r="P87" s="8">
        <v>1501.0310452815177</v>
      </c>
      <c r="Q87" s="54">
        <v>0.15255090117504411</v>
      </c>
    </row>
    <row r="88" spans="1:17">
      <c r="A88" s="2" t="s">
        <v>454</v>
      </c>
      <c r="B88" s="16" t="s">
        <v>455</v>
      </c>
      <c r="D88" s="14">
        <v>1</v>
      </c>
      <c r="E88" s="14">
        <v>0.690226868883969</v>
      </c>
      <c r="F88" s="14">
        <v>0.67593665478817055</v>
      </c>
      <c r="G88" s="14">
        <v>4.9740996977760637E-7</v>
      </c>
      <c r="H88" s="14">
        <v>32.695350547146781</v>
      </c>
      <c r="I88" s="14">
        <v>80.26813433665528</v>
      </c>
      <c r="J88" s="14">
        <v>0</v>
      </c>
      <c r="K88" s="14">
        <v>1.4794285720655089</v>
      </c>
      <c r="L88" s="14">
        <v>0.67593665478817055</v>
      </c>
      <c r="M88" s="14">
        <v>0.55460602525369396</v>
      </c>
      <c r="N88" s="14">
        <v>20.86179234668867</v>
      </c>
      <c r="O88" s="14">
        <v>3990.2350221511419</v>
      </c>
      <c r="P88" s="8">
        <v>20.86179234668867</v>
      </c>
      <c r="Q88" s="54">
        <v>0.20433519134342784</v>
      </c>
    </row>
    <row r="89" spans="1:17">
      <c r="A89" s="2" t="s">
        <v>456</v>
      </c>
      <c r="B89" s="16" t="s">
        <v>457</v>
      </c>
      <c r="D89" s="14">
        <v>1</v>
      </c>
      <c r="E89" s="14">
        <v>0.75679976329351673</v>
      </c>
      <c r="F89" s="14">
        <v>0.74859204636069621</v>
      </c>
      <c r="G89" s="14">
        <v>3.2321662880331592E-19</v>
      </c>
      <c r="H89" s="14">
        <v>18.900148153505906</v>
      </c>
      <c r="I89" s="14">
        <v>48.676840259058501</v>
      </c>
      <c r="J89" s="14">
        <v>0</v>
      </c>
      <c r="K89" s="14">
        <v>1.3358410697275389</v>
      </c>
      <c r="L89" s="14">
        <v>0.74859204636069632</v>
      </c>
      <c r="M89" s="14">
        <v>0.61421977403895134</v>
      </c>
      <c r="N89" s="14">
        <v>12.794301492264196</v>
      </c>
      <c r="O89" s="14">
        <v>5021.2515636540065</v>
      </c>
      <c r="P89" s="8">
        <v>12.794301492264196</v>
      </c>
      <c r="Q89" s="54">
        <v>0.16125841219843073</v>
      </c>
    </row>
    <row r="90" spans="1:17">
      <c r="A90" s="2" t="s">
        <v>458</v>
      </c>
      <c r="B90" s="16" t="s">
        <v>459</v>
      </c>
      <c r="D90" s="14">
        <v>1</v>
      </c>
      <c r="E90" s="14">
        <v>0.880155135579475</v>
      </c>
      <c r="F90" s="14">
        <v>0.87852884549973342</v>
      </c>
      <c r="G90" s="14">
        <v>4.7319975741911023E-31</v>
      </c>
      <c r="H90" s="14">
        <v>4.2581016585108982</v>
      </c>
      <c r="I90" s="14">
        <v>12.38434940370394</v>
      </c>
      <c r="J90" s="14">
        <v>0</v>
      </c>
      <c r="K90" s="14">
        <v>1.1382665522281972</v>
      </c>
      <c r="L90" s="14">
        <v>0.87852884549973342</v>
      </c>
      <c r="M90" s="14">
        <v>0.72083291773253133</v>
      </c>
      <c r="N90" s="14">
        <v>3.6360782586948379</v>
      </c>
      <c r="O90" s="14">
        <v>2839.5589553451468</v>
      </c>
      <c r="P90" s="8">
        <v>3.6360782586948384</v>
      </c>
      <c r="Q90" s="54">
        <v>8.0070620934782274E-2</v>
      </c>
    </row>
    <row r="91" spans="1:17">
      <c r="A91" s="2" t="s">
        <v>460</v>
      </c>
      <c r="B91" s="16" t="s">
        <v>461</v>
      </c>
      <c r="D91" s="14">
        <v>1</v>
      </c>
      <c r="E91" s="14">
        <v>0.31330157535665398</v>
      </c>
      <c r="F91" s="14">
        <v>1.1700672939544778E-2</v>
      </c>
      <c r="G91" s="14">
        <v>1.9275219292546061E-9</v>
      </c>
      <c r="H91" s="14">
        <v>521.27973277661874</v>
      </c>
      <c r="I91" s="14">
        <v>3110.4842796663797</v>
      </c>
      <c r="J91" s="14">
        <v>0</v>
      </c>
      <c r="K91" s="14">
        <v>85.465169838249125</v>
      </c>
      <c r="L91" s="14">
        <v>1.1700672939544778E-2</v>
      </c>
      <c r="M91" s="14">
        <v>9.6004021468964907E-3</v>
      </c>
      <c r="N91" s="14">
        <v>847.59667920526158</v>
      </c>
      <c r="O91" s="14">
        <v>259703.62250849215</v>
      </c>
      <c r="P91" s="8">
        <v>847.59667920526169</v>
      </c>
      <c r="Q91" s="54">
        <v>0.27128639269354804</v>
      </c>
    </row>
    <row r="92" spans="1:17">
      <c r="A92" s="2" t="s">
        <v>462</v>
      </c>
      <c r="B92" s="16" t="s">
        <v>463</v>
      </c>
      <c r="D92" s="14">
        <v>1</v>
      </c>
      <c r="E92" s="14">
        <v>0.40645106119510366</v>
      </c>
      <c r="F92" s="14">
        <v>0.3160419899195292</v>
      </c>
      <c r="G92" s="14">
        <v>8.7670457987786664E-11</v>
      </c>
      <c r="H92" s="14">
        <v>211.16638616850923</v>
      </c>
      <c r="I92" s="14">
        <v>427.24988882621989</v>
      </c>
      <c r="J92" s="14">
        <v>0</v>
      </c>
      <c r="K92" s="14">
        <v>3.1641365131722545</v>
      </c>
      <c r="L92" s="14">
        <v>0.3160419899195292</v>
      </c>
      <c r="M92" s="14">
        <v>0.25931245272897374</v>
      </c>
      <c r="N92" s="14">
        <v>111.35876885322524</v>
      </c>
      <c r="O92" s="14">
        <v>37507.860525143326</v>
      </c>
      <c r="P92" s="8">
        <v>111.35876885322524</v>
      </c>
      <c r="Q92" s="54">
        <v>0.37538935959141317</v>
      </c>
    </row>
    <row r="93" spans="1:17">
      <c r="A93" s="2" t="s">
        <v>464</v>
      </c>
      <c r="B93" s="16" t="s">
        <v>465</v>
      </c>
      <c r="D93" s="14">
        <v>1</v>
      </c>
      <c r="E93" s="14">
        <v>0.34623885957687095</v>
      </c>
      <c r="F93" s="14">
        <v>0.11675053011099747</v>
      </c>
      <c r="G93" s="14">
        <v>6.5320176394759339E-6</v>
      </c>
      <c r="H93" s="14">
        <v>548.55333680072374</v>
      </c>
      <c r="I93" s="14">
        <v>961.33782822540297</v>
      </c>
      <c r="J93" s="14">
        <v>0</v>
      </c>
      <c r="K93" s="14">
        <v>8.5652716013304317</v>
      </c>
      <c r="L93" s="14">
        <v>0.11675053011099747</v>
      </c>
      <c r="M93" s="14">
        <v>9.5793809956073422E-2</v>
      </c>
      <c r="N93" s="14">
        <v>254.17707488675941</v>
      </c>
      <c r="O93" s="14">
        <v>118215.21575908293</v>
      </c>
      <c r="P93" s="8">
        <v>254.17707488675941</v>
      </c>
      <c r="Q93" s="54">
        <v>0.38324458912969689</v>
      </c>
    </row>
    <row r="94" spans="1:17">
      <c r="A94" s="2" t="s">
        <v>466</v>
      </c>
      <c r="B94" s="16" t="s">
        <v>467</v>
      </c>
      <c r="D94" s="14">
        <v>1</v>
      </c>
      <c r="E94" s="14">
        <v>0.99910373668629004</v>
      </c>
      <c r="F94" s="14">
        <v>0.98793281498866414</v>
      </c>
      <c r="G94" s="14">
        <v>2.2416294819978996E-20</v>
      </c>
      <c r="H94" s="14">
        <v>32.840322331202735</v>
      </c>
      <c r="I94" s="14">
        <v>3.9958347648290891E-2</v>
      </c>
      <c r="J94" s="14">
        <v>0</v>
      </c>
      <c r="K94" s="14">
        <v>1.0122145806154583</v>
      </c>
      <c r="L94" s="14">
        <v>0.98793281498866425</v>
      </c>
      <c r="M94" s="14">
        <v>0.81059887469819902</v>
      </c>
      <c r="N94" s="14">
        <v>2.1453373816356764</v>
      </c>
      <c r="O94" s="14">
        <v>709.54888560218376</v>
      </c>
      <c r="P94" s="8">
        <v>2.1453373816356769</v>
      </c>
      <c r="Q94" s="54">
        <v>1.1841521859931673E-4</v>
      </c>
    </row>
    <row r="95" spans="1:17">
      <c r="A95" s="2" t="s">
        <v>468</v>
      </c>
      <c r="B95" s="16" t="s">
        <v>469</v>
      </c>
      <c r="D95" s="14">
        <v>1</v>
      </c>
      <c r="E95" s="14">
        <v>0.37889370361513325</v>
      </c>
      <c r="F95" s="14">
        <v>3.1465210073882997E-2</v>
      </c>
      <c r="G95" s="14">
        <v>8.926046054850836E-20</v>
      </c>
      <c r="H95" s="14">
        <v>791.64529618510744</v>
      </c>
      <c r="I95" s="14">
        <v>1813.3757612888749</v>
      </c>
      <c r="J95" s="14">
        <v>0</v>
      </c>
      <c r="K95" s="14">
        <v>31.781132166348634</v>
      </c>
      <c r="L95" s="14">
        <v>3.1465210073882997E-2</v>
      </c>
      <c r="M95" s="14">
        <v>2.5817204865620998E-2</v>
      </c>
      <c r="N95" s="14">
        <v>487.57253950741404</v>
      </c>
      <c r="O95" s="14">
        <v>240860.83451666252</v>
      </c>
      <c r="P95" s="8">
        <v>487.57253950741404</v>
      </c>
      <c r="Q95" s="54">
        <v>0.30866529809950344</v>
      </c>
    </row>
    <row r="96" spans="1:17">
      <c r="A96" s="2" t="s">
        <v>470</v>
      </c>
      <c r="B96" s="166">
        <v>354656</v>
      </c>
      <c r="D96" s="14">
        <v>1</v>
      </c>
      <c r="E96" s="14">
        <v>0.96968675933858106</v>
      </c>
      <c r="F96" s="14">
        <v>0.96992892571735034</v>
      </c>
      <c r="G96" s="14">
        <v>4.0855299538806316E-12</v>
      </c>
      <c r="H96" s="14">
        <v>0.27862489079957387</v>
      </c>
      <c r="I96" s="14">
        <v>0.99787715930200394</v>
      </c>
      <c r="J96" s="14">
        <v>0</v>
      </c>
      <c r="K96" s="14">
        <v>1.0310033792016351</v>
      </c>
      <c r="L96" s="14">
        <v>0.96992892571735034</v>
      </c>
      <c r="M96" s="14">
        <v>0.79582668355108599</v>
      </c>
      <c r="N96" s="14">
        <v>0.83927743384649411</v>
      </c>
      <c r="O96" s="14">
        <v>165.49711718019017</v>
      </c>
      <c r="P96" s="8">
        <v>0.83927743384649423</v>
      </c>
      <c r="Q96" s="54">
        <v>2.0271089076265351E-2</v>
      </c>
    </row>
    <row r="97" spans="1:17">
      <c r="A97" s="2" t="s">
        <v>472</v>
      </c>
      <c r="B97" s="16" t="s">
        <v>473</v>
      </c>
      <c r="D97" s="14">
        <v>1</v>
      </c>
      <c r="E97" s="14">
        <v>0.93653356740393812</v>
      </c>
      <c r="F97" s="14">
        <v>0.93633432440781283</v>
      </c>
      <c r="G97" s="14">
        <v>6.3024503327953875E-12</v>
      </c>
      <c r="H97" s="14">
        <v>1.1909154902420336</v>
      </c>
      <c r="I97" s="14">
        <v>3.8224174490977028</v>
      </c>
      <c r="J97" s="14">
        <v>0</v>
      </c>
      <c r="K97" s="14">
        <v>1.0679945975839908</v>
      </c>
      <c r="L97" s="14">
        <v>0.93633432440781283</v>
      </c>
      <c r="M97" s="14">
        <v>0.76826231317661042</v>
      </c>
      <c r="N97" s="14">
        <v>1.5203443064423001</v>
      </c>
      <c r="O97" s="14">
        <v>243.52875100592766</v>
      </c>
      <c r="P97" s="8">
        <v>1.5203443064423001</v>
      </c>
      <c r="Q97" s="54">
        <v>4.2495027530766789E-2</v>
      </c>
    </row>
    <row r="98" spans="1:17">
      <c r="A98" s="2" t="s">
        <v>474</v>
      </c>
      <c r="B98" s="16" t="s">
        <v>475</v>
      </c>
      <c r="D98" s="14">
        <v>1</v>
      </c>
      <c r="E98" s="14">
        <v>0.37669297778201472</v>
      </c>
      <c r="F98" s="14">
        <v>6.780053823893277E-2</v>
      </c>
      <c r="G98" s="14">
        <v>1.9101242985293844E-21</v>
      </c>
      <c r="H98" s="14">
        <v>745.47509934621314</v>
      </c>
      <c r="I98" s="14">
        <v>1227.1292618667728</v>
      </c>
      <c r="J98" s="14">
        <v>0</v>
      </c>
      <c r="K98" s="14">
        <v>14.749145448904047</v>
      </c>
      <c r="L98" s="14">
        <v>6.780053823893277E-2</v>
      </c>
      <c r="M98" s="14">
        <v>5.5630341625044336E-2</v>
      </c>
      <c r="N98" s="14">
        <v>326.6444098284187</v>
      </c>
      <c r="O98" s="14">
        <v>173588.63871511654</v>
      </c>
      <c r="P98" s="8">
        <v>326.64440982841876</v>
      </c>
      <c r="Q98" s="54">
        <v>0.34664928784805471</v>
      </c>
    </row>
    <row r="99" spans="1:17">
      <c r="A99" s="2" t="s">
        <v>476</v>
      </c>
      <c r="B99" s="16" t="s">
        <v>477</v>
      </c>
      <c r="D99" s="14">
        <v>1</v>
      </c>
      <c r="E99" s="14">
        <v>0.99144525158369734</v>
      </c>
      <c r="F99" s="14">
        <v>0.99181985479683055</v>
      </c>
      <c r="G99" s="14">
        <v>1.9272643395966172E-9</v>
      </c>
      <c r="H99" s="14">
        <v>2.3372910603630032E-2</v>
      </c>
      <c r="I99" s="14">
        <v>0.10063984720948829</v>
      </c>
      <c r="J99" s="14">
        <v>0</v>
      </c>
      <c r="K99" s="14">
        <v>1.008247611865811</v>
      </c>
      <c r="L99" s="14">
        <v>0.99181985479683066</v>
      </c>
      <c r="M99" s="14">
        <v>0.81378819086079957</v>
      </c>
      <c r="N99" s="14">
        <v>0.63289165086918786</v>
      </c>
      <c r="O99" s="14">
        <v>81.744285626264301</v>
      </c>
      <c r="P99" s="8">
        <v>0.63289165086918786</v>
      </c>
      <c r="Q99" s="54">
        <v>5.6307982732785736E-3</v>
      </c>
    </row>
    <row r="100" spans="1:17">
      <c r="A100" s="2" t="s">
        <v>478</v>
      </c>
      <c r="B100" s="16" t="s">
        <v>479</v>
      </c>
      <c r="D100" s="14">
        <v>1</v>
      </c>
      <c r="E100" s="14">
        <v>0.56360593313095719</v>
      </c>
      <c r="F100" s="14">
        <v>0.53007596306739679</v>
      </c>
      <c r="G100" s="14">
        <v>7.3077990861240298E-13</v>
      </c>
      <c r="H100" s="14">
        <v>77.047421862457313</v>
      </c>
      <c r="I100" s="14">
        <v>174.42763076093703</v>
      </c>
      <c r="J100" s="14">
        <v>0</v>
      </c>
      <c r="K100" s="14">
        <v>1.8865220641458411</v>
      </c>
      <c r="L100" s="14">
        <v>0.53007596306739679</v>
      </c>
      <c r="M100" s="14">
        <v>0.43492732769679909</v>
      </c>
      <c r="N100" s="14">
        <v>45.153623824654829</v>
      </c>
      <c r="O100" s="14">
        <v>13537.056422631518</v>
      </c>
      <c r="P100" s="8">
        <v>45.153623824654829</v>
      </c>
      <c r="Q100" s="54">
        <v>0.28432515320877727</v>
      </c>
    </row>
    <row r="101" spans="1:17">
      <c r="A101" s="2" t="s">
        <v>480</v>
      </c>
      <c r="B101" s="16" t="s">
        <v>481</v>
      </c>
      <c r="D101" s="14">
        <v>1</v>
      </c>
      <c r="E101" s="14">
        <v>0.98580661981384299</v>
      </c>
      <c r="F101" s="14">
        <v>0.98615922810244749</v>
      </c>
      <c r="G101" s="14">
        <v>5.1862748734455371E-13</v>
      </c>
      <c r="H101" s="14">
        <v>6.318689912512139E-2</v>
      </c>
      <c r="I101" s="14">
        <v>0.25274595501833763</v>
      </c>
      <c r="J101" s="14">
        <v>0</v>
      </c>
      <c r="K101" s="14">
        <v>1.014035027511921</v>
      </c>
      <c r="L101" s="14">
        <v>0.98615922810244749</v>
      </c>
      <c r="M101" s="14">
        <v>0.80914364665805816</v>
      </c>
      <c r="N101" s="14">
        <v>0.66635024522523589</v>
      </c>
      <c r="O101" s="14">
        <v>158.69797440284219</v>
      </c>
      <c r="P101" s="8">
        <v>0.666350245225236</v>
      </c>
      <c r="Q101" s="54">
        <v>9.4294033585323941E-3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0.99624614816844936</v>
      </c>
      <c r="F102" s="14">
        <v>0.99663225583564707</v>
      </c>
      <c r="G102" s="14">
        <v>3.2589929922947727E-29</v>
      </c>
      <c r="H102" s="14">
        <v>4.5087373716621894E-3</v>
      </c>
      <c r="I102" s="14">
        <v>2.1923612115919189E-2</v>
      </c>
      <c r="J102" s="14">
        <v>0</v>
      </c>
      <c r="K102" s="14">
        <v>1.0033791241901249</v>
      </c>
      <c r="L102" s="14">
        <v>0.99663225583564707</v>
      </c>
      <c r="M102" s="14">
        <v>0.81773676591314848</v>
      </c>
      <c r="N102" s="14">
        <v>0.6169150552044721</v>
      </c>
      <c r="O102" s="14">
        <v>284.04619886779511</v>
      </c>
      <c r="P102" s="8">
        <v>0.6169150552044721</v>
      </c>
      <c r="Q102" s="54">
        <v>2.3939336517762445E-3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0.99171107002954684</v>
      </c>
      <c r="F103" s="14">
        <v>0.99208648767086216</v>
      </c>
      <c r="G103" s="14">
        <v>2.5996089423557748E-15</v>
      </c>
      <c r="H103" s="14">
        <v>2.1962386723872664E-2</v>
      </c>
      <c r="I103" s="14">
        <v>9.500286561396383E-2</v>
      </c>
      <c r="J103" s="14">
        <v>0</v>
      </c>
      <c r="K103" s="14">
        <v>1.0079766355327715</v>
      </c>
      <c r="L103" s="14">
        <v>0.99208648767086216</v>
      </c>
      <c r="M103" s="14">
        <v>0.8140069631339425</v>
      </c>
      <c r="N103" s="14">
        <v>0.63169323465859617</v>
      </c>
      <c r="O103" s="14">
        <v>129.65503641367687</v>
      </c>
      <c r="P103" s="8">
        <v>0.63169323465859628</v>
      </c>
      <c r="Q103" s="54">
        <v>5.4517597042773366E-3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0.95420461875572116</v>
      </c>
      <c r="F104" s="14">
        <v>0.95427637750915073</v>
      </c>
      <c r="G104" s="14">
        <v>3.2074704278537019E-11</v>
      </c>
      <c r="H104" s="14">
        <v>0.62565392478960358</v>
      </c>
      <c r="I104" s="14">
        <v>2.1085861231738661</v>
      </c>
      <c r="J104" s="14">
        <v>0</v>
      </c>
      <c r="K104" s="14">
        <v>1.0479144444612545</v>
      </c>
      <c r="L104" s="14">
        <v>0.95427637750915073</v>
      </c>
      <c r="M104" s="14">
        <v>0.78298376774625822</v>
      </c>
      <c r="N104" s="14">
        <v>1.1046091287832818</v>
      </c>
      <c r="O104" s="14">
        <v>166.97271590688086</v>
      </c>
      <c r="P104" s="8">
        <v>1.1046091287832818</v>
      </c>
      <c r="Q104" s="54">
        <v>3.0661355040941911E-2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0.99553875905700129</v>
      </c>
      <c r="F105" s="14">
        <v>0.99592360878078623</v>
      </c>
      <c r="G105" s="14">
        <v>2.5918777608138703E-18</v>
      </c>
      <c r="H105" s="14">
        <v>6.3941972241198216E-3</v>
      </c>
      <c r="I105" s="14">
        <v>3.0300039760440572E-2</v>
      </c>
      <c r="J105" s="14">
        <v>0</v>
      </c>
      <c r="K105" s="14">
        <v>1.0040930761990914</v>
      </c>
      <c r="L105" s="14">
        <v>0.99592360878078623</v>
      </c>
      <c r="M105" s="14">
        <v>0.81715532100463517</v>
      </c>
      <c r="N105" s="14">
        <v>0.61848099451099281</v>
      </c>
      <c r="O105" s="14">
        <v>209.88771029725052</v>
      </c>
      <c r="P105" s="8">
        <v>0.61848099451099281</v>
      </c>
      <c r="Q105" s="54">
        <v>2.871066146968936E-3</v>
      </c>
    </row>
    <row r="106" spans="1:17">
      <c r="A106" s="2" t="s">
        <v>490</v>
      </c>
      <c r="B106" s="16" t="s">
        <v>491</v>
      </c>
      <c r="D106" s="14">
        <v>1</v>
      </c>
      <c r="E106" s="14">
        <v>0.84979845858405045</v>
      </c>
      <c r="F106" s="14">
        <v>0.84702577888418029</v>
      </c>
      <c r="G106" s="14">
        <v>1.4467221001194834E-10</v>
      </c>
      <c r="H106" s="14">
        <v>6.7695005538416302</v>
      </c>
      <c r="I106" s="14">
        <v>18.976398806492163</v>
      </c>
      <c r="J106" s="14">
        <v>0</v>
      </c>
      <c r="K106" s="14">
        <v>1.180601612051688</v>
      </c>
      <c r="L106" s="14">
        <v>0.8470257788841804</v>
      </c>
      <c r="M106" s="14">
        <v>0.69498465157446998</v>
      </c>
      <c r="N106" s="14">
        <v>5.2842675333243072</v>
      </c>
      <c r="O106" s="14">
        <v>1015.2663211775991</v>
      </c>
      <c r="P106" s="8">
        <v>5.2842675333243072</v>
      </c>
      <c r="Q106" s="54">
        <v>0.10018755979037111</v>
      </c>
    </row>
    <row r="107" spans="1:17">
      <c r="A107" s="2" t="s">
        <v>492</v>
      </c>
      <c r="B107" s="16" t="s">
        <v>493</v>
      </c>
      <c r="D107" s="14">
        <v>1</v>
      </c>
      <c r="E107" s="14">
        <v>0.394780669116575</v>
      </c>
      <c r="F107" s="14">
        <v>5.4201114335255082E-2</v>
      </c>
      <c r="G107" s="14">
        <v>9.6519864398498309E-18</v>
      </c>
      <c r="H107" s="14">
        <v>824.87514062142066</v>
      </c>
      <c r="I107" s="14">
        <v>1325.7003965129404</v>
      </c>
      <c r="J107" s="14">
        <v>0</v>
      </c>
      <c r="K107" s="14">
        <v>18.449805179550534</v>
      </c>
      <c r="L107" s="14">
        <v>5.4201114335255089E-2</v>
      </c>
      <c r="M107" s="14">
        <v>4.4472014312076799E-2</v>
      </c>
      <c r="N107" s="14">
        <v>353.80212350078966</v>
      </c>
      <c r="O107" s="14">
        <v>160838.445343459</v>
      </c>
      <c r="P107" s="8">
        <v>353.80212350078972</v>
      </c>
      <c r="Q107" s="54">
        <v>0.32828072673633213</v>
      </c>
    </row>
    <row r="108" spans="1:17">
      <c r="A108" s="2" t="s">
        <v>291</v>
      </c>
      <c r="B108" s="16" t="s">
        <v>494</v>
      </c>
      <c r="D108" s="14">
        <v>1</v>
      </c>
      <c r="E108" s="14">
        <v>0.60474060267316676</v>
      </c>
      <c r="F108" s="14">
        <v>0.57887291044963285</v>
      </c>
      <c r="G108" s="14">
        <v>3.992010859427521E-12</v>
      </c>
      <c r="H108" s="14">
        <v>59.287512105759525</v>
      </c>
      <c r="I108" s="14">
        <v>137.7274152540291</v>
      </c>
      <c r="J108" s="14">
        <v>0</v>
      </c>
      <c r="K108" s="14">
        <v>1.7274948990500547</v>
      </c>
      <c r="L108" s="14">
        <v>0.57887291044963296</v>
      </c>
      <c r="M108" s="14">
        <v>0.4749652230239238</v>
      </c>
      <c r="N108" s="14">
        <v>35.65174205029647</v>
      </c>
      <c r="O108" s="14">
        <v>10992.50162636791</v>
      </c>
      <c r="P108" s="8">
        <v>35.65174205029647</v>
      </c>
      <c r="Q108" s="54">
        <v>0.25871427785609052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9.4346419755710626E-5</v>
      </c>
      <c r="E2" s="20">
        <v>0.81137946420933327</v>
      </c>
      <c r="F2" s="20">
        <v>3.8353026379521209E-3</v>
      </c>
      <c r="G2" s="20">
        <v>1.1171080837875328E-3</v>
      </c>
      <c r="H2" s="20">
        <v>0</v>
      </c>
      <c r="I2" s="20">
        <v>0.80642705348759358</v>
      </c>
      <c r="J2" s="20">
        <v>2.6568201525868306E-3</v>
      </c>
      <c r="K2" s="20">
        <v>0.18586936921832398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1.0610464248854758E-2</v>
      </c>
      <c r="E3" s="20">
        <v>0.26834012643779154</v>
      </c>
      <c r="F3" s="20">
        <v>7.1813914660292494E-2</v>
      </c>
      <c r="G3" s="20">
        <v>0.19458266923735001</v>
      </c>
      <c r="H3" s="20">
        <v>0</v>
      </c>
      <c r="I3" s="20">
        <v>1.9435425401490122E-3</v>
      </c>
      <c r="J3" s="20">
        <v>0.47837901981859399</v>
      </c>
      <c r="K3" s="20">
        <v>0.24267038949475975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6.0125082791915399E-12</v>
      </c>
      <c r="E4" s="20">
        <v>0.52593453578449312</v>
      </c>
      <c r="F4" s="20">
        <v>3.4239696172809628E-2</v>
      </c>
      <c r="G4" s="20">
        <v>8.1738273027533153E-3</v>
      </c>
      <c r="H4" s="20">
        <v>0</v>
      </c>
      <c r="I4" s="20">
        <v>0.48352101230893013</v>
      </c>
      <c r="J4" s="20">
        <v>1.8723068466129051E-2</v>
      </c>
      <c r="K4" s="20">
        <v>0.45534239574336538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4.6616321614335903E-4</v>
      </c>
      <c r="E5" s="20">
        <v>0.36569673232388694</v>
      </c>
      <c r="F5" s="20">
        <v>0.26255011706113435</v>
      </c>
      <c r="G5" s="20">
        <v>7.6191718931275298E-2</v>
      </c>
      <c r="H5" s="20">
        <v>0</v>
      </c>
      <c r="I5" s="20">
        <v>2.6954896331477299E-2</v>
      </c>
      <c r="J5" s="20">
        <v>0.18154354642681433</v>
      </c>
      <c r="K5" s="20">
        <v>0.45229355803315524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3.4076564803266633E-5</v>
      </c>
      <c r="E6" s="20">
        <v>0.26773444211175956</v>
      </c>
      <c r="F6" s="20">
        <v>4.5147117036420888E-2</v>
      </c>
      <c r="G6" s="20">
        <v>0.22173057239386132</v>
      </c>
      <c r="H6" s="20">
        <v>0</v>
      </c>
      <c r="I6" s="20">
        <v>8.5675268147737877E-4</v>
      </c>
      <c r="J6" s="20">
        <v>0.5496998191173037</v>
      </c>
      <c r="K6" s="20">
        <v>0.18253166220613343</v>
      </c>
      <c r="L6" s="20">
        <v>0</v>
      </c>
    </row>
    <row r="7" spans="1:14">
      <c r="A7" s="2" t="s">
        <v>321</v>
      </c>
      <c r="B7" s="3" t="s">
        <v>322</v>
      </c>
      <c r="D7" s="20">
        <v>5.1191532644072015E-5</v>
      </c>
      <c r="E7" s="20">
        <v>0.27035449775279902</v>
      </c>
      <c r="F7" s="20">
        <v>6.7900402258534859E-2</v>
      </c>
      <c r="G7" s="20">
        <v>0.20070948774677652</v>
      </c>
      <c r="H7" s="20">
        <v>0</v>
      </c>
      <c r="I7" s="20">
        <v>1.7446077474876382E-3</v>
      </c>
      <c r="J7" s="20">
        <v>0.49404570759245575</v>
      </c>
      <c r="K7" s="20">
        <v>0.23554860312210124</v>
      </c>
      <c r="L7" s="20">
        <v>0</v>
      </c>
    </row>
    <row r="8" spans="1:14">
      <c r="A8" s="2" t="s">
        <v>323</v>
      </c>
      <c r="B8" s="3" t="s">
        <v>324</v>
      </c>
      <c r="D8" s="20">
        <v>5.0449023577020513E-4</v>
      </c>
      <c r="E8" s="20">
        <v>0.28023552951936614</v>
      </c>
      <c r="F8" s="20">
        <v>0.10782686534313912</v>
      </c>
      <c r="G8" s="20">
        <v>0.16835364950784773</v>
      </c>
      <c r="H8" s="20">
        <v>0</v>
      </c>
      <c r="I8" s="20">
        <v>4.0550146683792938E-3</v>
      </c>
      <c r="J8" s="20">
        <v>0.41070314899837823</v>
      </c>
      <c r="K8" s="20">
        <v>0.30855683124648547</v>
      </c>
      <c r="L8" s="20">
        <v>0</v>
      </c>
    </row>
    <row r="9" spans="1:14">
      <c r="A9" s="2" t="s">
        <v>325</v>
      </c>
      <c r="B9" s="3" t="s">
        <v>326</v>
      </c>
      <c r="D9" s="20">
        <v>2.6558958582199404E-4</v>
      </c>
      <c r="E9" s="20">
        <v>0.34325174408858417</v>
      </c>
      <c r="F9" s="20">
        <v>0.15648951932327529</v>
      </c>
      <c r="G9" s="20">
        <v>3.0731291487394178E-2</v>
      </c>
      <c r="H9" s="20">
        <v>0</v>
      </c>
      <c r="I9" s="20">
        <v>0.15603093327791467</v>
      </c>
      <c r="J9" s="20">
        <v>7.1566745632788156E-2</v>
      </c>
      <c r="K9" s="20">
        <v>0.58491592069280551</v>
      </c>
      <c r="L9" s="20">
        <v>0</v>
      </c>
    </row>
    <row r="10" spans="1:14">
      <c r="A10" s="2" t="s">
        <v>275</v>
      </c>
      <c r="B10" s="3" t="s">
        <v>276</v>
      </c>
      <c r="D10" s="20">
        <v>5.9137957303206617E-6</v>
      </c>
      <c r="E10" s="20">
        <v>0.35909356685864774</v>
      </c>
      <c r="F10" s="20">
        <v>0.25394550753938749</v>
      </c>
      <c r="G10" s="20">
        <v>8.0396305100640289E-2</v>
      </c>
      <c r="H10" s="20">
        <v>0</v>
      </c>
      <c r="I10" s="20">
        <v>2.4751754218619932E-2</v>
      </c>
      <c r="J10" s="20">
        <v>0.1917946610348199</v>
      </c>
      <c r="K10" s="20">
        <v>0.44910585831080224</v>
      </c>
      <c r="L10" s="20">
        <v>0</v>
      </c>
    </row>
    <row r="11" spans="1:14">
      <c r="A11" s="2" t="s">
        <v>327</v>
      </c>
      <c r="B11" s="3" t="s">
        <v>328</v>
      </c>
      <c r="D11" s="20">
        <v>3.0132379491180998E-4</v>
      </c>
      <c r="E11" s="20">
        <v>0.3482484773091703</v>
      </c>
      <c r="F11" s="20">
        <v>0.23928068497132629</v>
      </c>
      <c r="G11" s="20">
        <v>8.7579648660541007E-2</v>
      </c>
      <c r="H11" s="20">
        <v>0</v>
      </c>
      <c r="I11" s="20">
        <v>2.1388143677303011E-2</v>
      </c>
      <c r="J11" s="20">
        <v>0.20935496882062737</v>
      </c>
      <c r="K11" s="20">
        <v>0.4420952300752905</v>
      </c>
      <c r="L11" s="20">
        <v>0</v>
      </c>
    </row>
    <row r="12" spans="1:14">
      <c r="A12" s="2" t="s">
        <v>329</v>
      </c>
      <c r="B12" s="3" t="s">
        <v>330</v>
      </c>
      <c r="D12" s="20">
        <v>1.5957923327392809E-4</v>
      </c>
      <c r="E12" s="20">
        <v>0.34685424302754125</v>
      </c>
      <c r="F12" s="20">
        <v>0.19500717415204061</v>
      </c>
      <c r="G12" s="20">
        <v>3.6842249927564658E-2</v>
      </c>
      <c r="H12" s="20">
        <v>0</v>
      </c>
      <c r="I12" s="20">
        <v>0.11500481894793597</v>
      </c>
      <c r="J12" s="20">
        <v>8.6148415430740796E-2</v>
      </c>
      <c r="K12" s="20">
        <v>0.56683776230844396</v>
      </c>
      <c r="L12" s="20">
        <v>0</v>
      </c>
    </row>
    <row r="13" spans="1:14">
      <c r="A13" s="2" t="s">
        <v>277</v>
      </c>
      <c r="B13" s="3" t="s">
        <v>278</v>
      </c>
      <c r="D13" s="20">
        <v>4.1890902549505786E-4</v>
      </c>
      <c r="E13" s="20">
        <v>0.34295443610474158</v>
      </c>
      <c r="F13" s="20">
        <v>0.1599535680827992</v>
      </c>
      <c r="G13" s="20">
        <v>3.1296047171266765E-2</v>
      </c>
      <c r="H13" s="20">
        <v>0</v>
      </c>
      <c r="I13" s="20">
        <v>0.15170482085067563</v>
      </c>
      <c r="J13" s="20">
        <v>7.2909955270378274E-2</v>
      </c>
      <c r="K13" s="20">
        <v>0.58371669959938499</v>
      </c>
      <c r="L13" s="20">
        <v>0</v>
      </c>
    </row>
    <row r="14" spans="1:14">
      <c r="A14" s="2" t="s">
        <v>331</v>
      </c>
      <c r="B14" s="3" t="s">
        <v>332</v>
      </c>
      <c r="D14" s="20">
        <v>1.8814929114458362E-4</v>
      </c>
      <c r="E14" s="20">
        <v>0.31952179233545241</v>
      </c>
      <c r="F14" s="20">
        <v>0.19457041326659122</v>
      </c>
      <c r="G14" s="20">
        <v>0.11165350392543472</v>
      </c>
      <c r="H14" s="20">
        <v>0</v>
      </c>
      <c r="I14" s="20">
        <v>1.3297875143426468E-2</v>
      </c>
      <c r="J14" s="20">
        <v>0.26858615245013701</v>
      </c>
      <c r="K14" s="20">
        <v>0.41170390592326594</v>
      </c>
      <c r="L14" s="20">
        <v>0</v>
      </c>
    </row>
    <row r="15" spans="1:14">
      <c r="A15" s="2" t="s">
        <v>333</v>
      </c>
      <c r="B15" s="3" t="s">
        <v>334</v>
      </c>
      <c r="D15" s="20">
        <v>3.3167551464988184E-7</v>
      </c>
      <c r="E15" s="20">
        <v>0.3536383056256388</v>
      </c>
      <c r="F15" s="20">
        <v>0.24665369544262586</v>
      </c>
      <c r="G15" s="20">
        <v>8.3962078664965356E-2</v>
      </c>
      <c r="H15" s="20">
        <v>0</v>
      </c>
      <c r="I15" s="20">
        <v>2.302253151804759E-2</v>
      </c>
      <c r="J15" s="20">
        <v>0.20050413375446866</v>
      </c>
      <c r="K15" s="20">
        <v>0.44585722894437807</v>
      </c>
      <c r="L15" s="20">
        <v>0</v>
      </c>
    </row>
    <row r="16" spans="1:14">
      <c r="A16" s="2" t="s">
        <v>335</v>
      </c>
      <c r="B16" s="3" t="s">
        <v>336</v>
      </c>
      <c r="D16" s="20">
        <v>1.313367382961648E-3</v>
      </c>
      <c r="E16" s="20">
        <v>0.28070018603270175</v>
      </c>
      <c r="F16" s="20">
        <v>0.10986527355787</v>
      </c>
      <c r="G16" s="20">
        <v>0.16663107525484261</v>
      </c>
      <c r="H16" s="20">
        <v>0</v>
      </c>
      <c r="I16" s="20">
        <v>4.2038372199891287E-3</v>
      </c>
      <c r="J16" s="20">
        <v>0.40633537297012423</v>
      </c>
      <c r="K16" s="20">
        <v>0.3116510736142124</v>
      </c>
      <c r="L16" s="20">
        <v>0</v>
      </c>
    </row>
    <row r="17" spans="1:12">
      <c r="A17" s="2" t="s">
        <v>337</v>
      </c>
      <c r="B17" s="3" t="s">
        <v>338</v>
      </c>
      <c r="D17" s="20">
        <v>1.1925049757985774E-4</v>
      </c>
      <c r="E17" s="20">
        <v>0.36354004366988429</v>
      </c>
      <c r="F17" s="20">
        <v>0.25973735564950062</v>
      </c>
      <c r="G17" s="20">
        <v>7.7594326890895807E-2</v>
      </c>
      <c r="H17" s="20">
        <v>0</v>
      </c>
      <c r="I17" s="20">
        <v>2.6208361129487875E-2</v>
      </c>
      <c r="J17" s="20">
        <v>0.18496040603751743</v>
      </c>
      <c r="K17" s="20">
        <v>0.45138029979501854</v>
      </c>
      <c r="L17" s="20">
        <v>0</v>
      </c>
    </row>
    <row r="18" spans="1:12">
      <c r="A18" s="2" t="s">
        <v>279</v>
      </c>
      <c r="B18" s="3" t="s">
        <v>280</v>
      </c>
      <c r="D18" s="20">
        <v>7.4800302846294358E-3</v>
      </c>
      <c r="E18" s="20">
        <v>0.34344480788325144</v>
      </c>
      <c r="F18" s="20">
        <v>0.14027412588904656</v>
      </c>
      <c r="G18" s="20">
        <v>2.8007421440575032E-2</v>
      </c>
      <c r="H18" s="20">
        <v>0</v>
      </c>
      <c r="I18" s="20">
        <v>0.17516326055362982</v>
      </c>
      <c r="J18" s="20">
        <v>6.5111589000806311E-2</v>
      </c>
      <c r="K18" s="20">
        <v>0.58396357283131295</v>
      </c>
      <c r="L18" s="20">
        <v>0</v>
      </c>
    </row>
    <row r="19" spans="1:12">
      <c r="A19" s="2" t="s">
        <v>339</v>
      </c>
      <c r="B19" s="3" t="s">
        <v>340</v>
      </c>
      <c r="D19" s="20">
        <v>1.159938141039053E-6</v>
      </c>
      <c r="E19" s="20">
        <v>0.35256713735836126</v>
      </c>
      <c r="F19" s="20">
        <v>0.24519355138765431</v>
      </c>
      <c r="G19" s="20">
        <v>8.4684630977791733E-2</v>
      </c>
      <c r="H19" s="20">
        <v>0</v>
      </c>
      <c r="I19" s="20">
        <v>2.2688954992915195E-2</v>
      </c>
      <c r="J19" s="20">
        <v>0.20227057908090826</v>
      </c>
      <c r="K19" s="20">
        <v>0.44516112362258947</v>
      </c>
      <c r="L19" s="20">
        <v>0</v>
      </c>
    </row>
    <row r="20" spans="1:12">
      <c r="A20" s="2" t="s">
        <v>281</v>
      </c>
      <c r="B20" s="3" t="s">
        <v>282</v>
      </c>
      <c r="D20" s="20">
        <v>6.3426995348211132E-5</v>
      </c>
      <c r="E20" s="20">
        <v>0.34307640133627232</v>
      </c>
      <c r="F20" s="20">
        <v>0.16001045253131943</v>
      </c>
      <c r="G20" s="20">
        <v>3.13071770160432E-2</v>
      </c>
      <c r="H20" s="20">
        <v>0</v>
      </c>
      <c r="I20" s="20">
        <v>0.1517587717889097</v>
      </c>
      <c r="J20" s="20">
        <v>7.2935884311204943E-2</v>
      </c>
      <c r="K20" s="20">
        <v>0.58392428735717461</v>
      </c>
      <c r="L20" s="20">
        <v>0</v>
      </c>
    </row>
    <row r="21" spans="1:12">
      <c r="A21" s="2" t="s">
        <v>341</v>
      </c>
      <c r="B21" s="3" t="s">
        <v>342</v>
      </c>
      <c r="D21" s="20">
        <v>1.6028450650500963E-3</v>
      </c>
      <c r="E21" s="20">
        <v>0.32668833682117288</v>
      </c>
      <c r="F21" s="20">
        <v>0.20709316205732919</v>
      </c>
      <c r="G21" s="20">
        <v>0.10429447797454175</v>
      </c>
      <c r="H21" s="20">
        <v>0</v>
      </c>
      <c r="I21" s="20">
        <v>1.5300696789301948E-2</v>
      </c>
      <c r="J21" s="20">
        <v>0.25042580764284239</v>
      </c>
      <c r="K21" s="20">
        <v>0.42128301047093453</v>
      </c>
      <c r="L21" s="20">
        <v>0</v>
      </c>
    </row>
    <row r="22" spans="1:12">
      <c r="A22" s="2" t="s">
        <v>343</v>
      </c>
      <c r="B22" s="3" t="s">
        <v>344</v>
      </c>
      <c r="D22" s="20">
        <v>2.2505982556973556E-3</v>
      </c>
      <c r="E22" s="20">
        <v>0.66383266762290039</v>
      </c>
      <c r="F22" s="20">
        <v>1.3783902511027594E-2</v>
      </c>
      <c r="G22" s="20">
        <v>3.5947421848061211E-3</v>
      </c>
      <c r="H22" s="20">
        <v>0</v>
      </c>
      <c r="I22" s="20">
        <v>0.64645402292706666</v>
      </c>
      <c r="J22" s="20">
        <v>8.2447659781119554E-3</v>
      </c>
      <c r="K22" s="20">
        <v>0.32567196814329019</v>
      </c>
      <c r="L22" s="20">
        <v>0</v>
      </c>
    </row>
    <row r="23" spans="1:12">
      <c r="A23" s="2" t="s">
        <v>345</v>
      </c>
      <c r="B23" s="3" t="s">
        <v>346</v>
      </c>
      <c r="D23" s="20">
        <v>8.8976039944612664E-5</v>
      </c>
      <c r="E23" s="20">
        <v>0.76612644239617655</v>
      </c>
      <c r="F23" s="20">
        <v>6.0974365199396178E-3</v>
      </c>
      <c r="G23" s="20">
        <v>1.7086096031607271E-3</v>
      </c>
      <c r="H23" s="20">
        <v>0</v>
      </c>
      <c r="I23" s="20">
        <v>0.75832039627307624</v>
      </c>
      <c r="J23" s="20">
        <v>3.9816982066936384E-3</v>
      </c>
      <c r="K23" s="20">
        <v>0.22980288335718524</v>
      </c>
      <c r="L23" s="20">
        <v>0</v>
      </c>
    </row>
    <row r="24" spans="1:12">
      <c r="A24" s="2" t="s">
        <v>347</v>
      </c>
      <c r="B24" s="3" t="s">
        <v>348</v>
      </c>
      <c r="D24" s="20">
        <v>1.2959520395435637E-4</v>
      </c>
      <c r="E24" s="20">
        <v>0.40443749330177692</v>
      </c>
      <c r="F24" s="20">
        <v>7.5381216950570692E-2</v>
      </c>
      <c r="G24" s="20">
        <v>1.6442153553478105E-2</v>
      </c>
      <c r="H24" s="20">
        <v>0</v>
      </c>
      <c r="I24" s="20">
        <v>0.3126141227977281</v>
      </c>
      <c r="J24" s="20">
        <v>3.7898945785815256E-2</v>
      </c>
      <c r="K24" s="20">
        <v>0.55753396570845348</v>
      </c>
      <c r="L24" s="20">
        <v>0</v>
      </c>
    </row>
    <row r="25" spans="1:12">
      <c r="A25" s="2" t="s">
        <v>349</v>
      </c>
      <c r="B25" s="3" t="s">
        <v>350</v>
      </c>
      <c r="D25" s="20">
        <v>4.5533718144315831E-2</v>
      </c>
      <c r="E25" s="20">
        <v>0.35258567362005683</v>
      </c>
      <c r="F25" s="20">
        <v>0.23823596773086181</v>
      </c>
      <c r="G25" s="20">
        <v>4.2825543683873882E-2</v>
      </c>
      <c r="H25" s="20">
        <v>0</v>
      </c>
      <c r="I25" s="20">
        <v>7.1524162205321137E-2</v>
      </c>
      <c r="J25" s="20">
        <v>0.10067546872754189</v>
      </c>
      <c r="K25" s="20">
        <v>0.50120513950808543</v>
      </c>
      <c r="L25" s="20">
        <v>0</v>
      </c>
    </row>
    <row r="26" spans="1:12">
      <c r="A26" s="2" t="s">
        <v>351</v>
      </c>
      <c r="B26" s="3" t="s">
        <v>352</v>
      </c>
      <c r="D26" s="20">
        <v>1.303033517052854E-3</v>
      </c>
      <c r="E26" s="20">
        <v>0.33219765911185373</v>
      </c>
      <c r="F26" s="20">
        <v>0.21578924812577932</v>
      </c>
      <c r="G26" s="20">
        <v>9.9615141726330042E-2</v>
      </c>
      <c r="H26" s="20">
        <v>0</v>
      </c>
      <c r="I26" s="20">
        <v>1.6793269259744351E-2</v>
      </c>
      <c r="J26" s="20">
        <v>0.23889902066168958</v>
      </c>
      <c r="K26" s="20">
        <v>0.42760028670940364</v>
      </c>
      <c r="L26" s="20">
        <v>0</v>
      </c>
    </row>
    <row r="27" spans="1:12">
      <c r="A27" s="2" t="s">
        <v>353</v>
      </c>
      <c r="B27" s="3" t="s">
        <v>354</v>
      </c>
      <c r="D27" s="20">
        <v>7.4030716969873149E-3</v>
      </c>
      <c r="E27" s="20">
        <v>0.27002139147159937</v>
      </c>
      <c r="F27" s="20">
        <v>7.6100265216894419E-2</v>
      </c>
      <c r="G27" s="20">
        <v>0.19177046693719058</v>
      </c>
      <c r="H27" s="20">
        <v>0</v>
      </c>
      <c r="I27" s="20">
        <v>2.1506593175143478E-3</v>
      </c>
      <c r="J27" s="20">
        <v>0.4709849684536167</v>
      </c>
      <c r="K27" s="20">
        <v>0.25159056837779664</v>
      </c>
      <c r="L27" s="20">
        <v>0</v>
      </c>
    </row>
    <row r="28" spans="1:12">
      <c r="A28" s="2" t="s">
        <v>355</v>
      </c>
      <c r="B28" s="3" t="s">
        <v>356</v>
      </c>
      <c r="D28" s="20">
        <v>4.501844495017209E-4</v>
      </c>
      <c r="E28" s="20">
        <v>0.30013770962079656</v>
      </c>
      <c r="F28" s="20">
        <v>0.15771198728448765</v>
      </c>
      <c r="G28" s="20">
        <v>0.13389373595013004</v>
      </c>
      <c r="H28" s="20">
        <v>0</v>
      </c>
      <c r="I28" s="20">
        <v>8.5319863861788737E-3</v>
      </c>
      <c r="J28" s="20">
        <v>0.32385767516783653</v>
      </c>
      <c r="K28" s="20">
        <v>0.37555443076186512</v>
      </c>
      <c r="L28" s="20">
        <v>0</v>
      </c>
    </row>
    <row r="29" spans="1:12">
      <c r="A29" s="2" t="s">
        <v>357</v>
      </c>
      <c r="B29" s="3" t="s">
        <v>358</v>
      </c>
      <c r="D29" s="20">
        <v>8.9974614805590644E-2</v>
      </c>
      <c r="E29" s="20">
        <v>0.29308195732234238</v>
      </c>
      <c r="F29" s="20">
        <v>0.18096484323785911</v>
      </c>
      <c r="G29" s="20">
        <v>9.9423664554957061E-2</v>
      </c>
      <c r="H29" s="20">
        <v>0</v>
      </c>
      <c r="I29" s="20">
        <v>1.2693449529526208E-2</v>
      </c>
      <c r="J29" s="20">
        <v>0.23902123416846943</v>
      </c>
      <c r="K29" s="20">
        <v>0.37792219370359748</v>
      </c>
      <c r="L29" s="20">
        <v>0</v>
      </c>
    </row>
    <row r="30" spans="1:12">
      <c r="A30" s="2" t="s">
        <v>359</v>
      </c>
      <c r="B30" s="3" t="s">
        <v>360</v>
      </c>
      <c r="D30" s="20">
        <v>4.501844495017209E-4</v>
      </c>
      <c r="E30" s="20">
        <v>0.30013770962079656</v>
      </c>
      <c r="F30" s="20">
        <v>0.15771198728448765</v>
      </c>
      <c r="G30" s="20">
        <v>0.13389373595013004</v>
      </c>
      <c r="H30" s="20">
        <v>0</v>
      </c>
      <c r="I30" s="20">
        <v>8.5319863861788737E-3</v>
      </c>
      <c r="J30" s="20">
        <v>0.32385767516783653</v>
      </c>
      <c r="K30" s="20">
        <v>0.37555443076186512</v>
      </c>
      <c r="L30" s="20">
        <v>0</v>
      </c>
    </row>
    <row r="31" spans="1:12">
      <c r="A31" s="2" t="s">
        <v>283</v>
      </c>
      <c r="B31" s="3" t="s">
        <v>284</v>
      </c>
      <c r="D31" s="20">
        <v>2.6141485035316577E-8</v>
      </c>
      <c r="E31" s="20">
        <v>0.97644376364195795</v>
      </c>
      <c r="F31" s="20">
        <v>5.9869339939534027E-5</v>
      </c>
      <c r="G31" s="20">
        <v>2.4027026392802991E-5</v>
      </c>
      <c r="H31" s="20">
        <v>0</v>
      </c>
      <c r="I31" s="20">
        <v>0.97635986727562563</v>
      </c>
      <c r="J31" s="20">
        <v>2.5316617362361709E-4</v>
      </c>
      <c r="K31" s="20">
        <v>2.3303044042933291E-2</v>
      </c>
      <c r="L31" s="20">
        <v>0</v>
      </c>
    </row>
    <row r="32" spans="1:12">
      <c r="A32" s="2" t="s">
        <v>361</v>
      </c>
      <c r="B32" s="3" t="s">
        <v>362</v>
      </c>
      <c r="D32" s="20">
        <v>2.6903600162145034E-8</v>
      </c>
      <c r="E32" s="20">
        <v>0.58024987706301634</v>
      </c>
      <c r="F32" s="20">
        <v>2.4618563315136975E-2</v>
      </c>
      <c r="G32" s="20">
        <v>6.069897625192497E-3</v>
      </c>
      <c r="H32" s="20">
        <v>0</v>
      </c>
      <c r="I32" s="20">
        <v>0.54956141612268683</v>
      </c>
      <c r="J32" s="20">
        <v>1.3966957492527932E-2</v>
      </c>
      <c r="K32" s="20">
        <v>0.40578313854085563</v>
      </c>
      <c r="L32" s="20">
        <v>0</v>
      </c>
    </row>
    <row r="33" spans="1:12">
      <c r="A33" s="2" t="s">
        <v>364</v>
      </c>
      <c r="B33" s="3" t="s">
        <v>365</v>
      </c>
      <c r="D33" s="20">
        <v>1.2072271251103783E-10</v>
      </c>
      <c r="E33" s="20">
        <v>0.9997132801296652</v>
      </c>
      <c r="F33" s="20">
        <v>4.202496428209888E-4</v>
      </c>
      <c r="G33" s="20">
        <v>1.2850933481943441E-7</v>
      </c>
      <c r="H33" s="20">
        <v>0</v>
      </c>
      <c r="I33" s="20">
        <v>0.99929290197750942</v>
      </c>
      <c r="J33" s="20">
        <v>2.2959197505909143E-4</v>
      </c>
      <c r="K33" s="20">
        <v>5.712777455262661E-5</v>
      </c>
      <c r="L33" s="20">
        <v>0</v>
      </c>
    </row>
    <row r="34" spans="1:12">
      <c r="A34" s="2" t="s">
        <v>285</v>
      </c>
      <c r="B34" s="3" t="s">
        <v>286</v>
      </c>
      <c r="D34" s="20">
        <v>6.0134372882290977E-10</v>
      </c>
      <c r="E34" s="20">
        <v>0.99649936976338005</v>
      </c>
      <c r="F34" s="20">
        <v>7.5754900919697485E-2</v>
      </c>
      <c r="G34" s="20">
        <v>6.2213586974641544E-6</v>
      </c>
      <c r="H34" s="20">
        <v>0</v>
      </c>
      <c r="I34" s="20">
        <v>0.92073824748498512</v>
      </c>
      <c r="J34" s="20">
        <v>3.1744942872078672E-3</v>
      </c>
      <c r="K34" s="20">
        <v>3.2613534806828542E-4</v>
      </c>
      <c r="L34" s="20">
        <v>0</v>
      </c>
    </row>
    <row r="35" spans="1:12">
      <c r="A35" s="2" t="s">
        <v>287</v>
      </c>
      <c r="B35" s="3" t="s">
        <v>288</v>
      </c>
      <c r="D35" s="20">
        <v>2.6405270780191883E-11</v>
      </c>
      <c r="E35" s="20">
        <v>0.99226843219641903</v>
      </c>
      <c r="F35" s="20">
        <v>0.17053322037745794</v>
      </c>
      <c r="G35" s="20">
        <v>3.3024504947322454E-5</v>
      </c>
      <c r="H35" s="20">
        <v>0</v>
      </c>
      <c r="I35" s="20">
        <v>0.82170218731401379</v>
      </c>
      <c r="J35" s="20">
        <v>6.5415623375121596E-3</v>
      </c>
      <c r="K35" s="20">
        <v>1.1900054396635285E-3</v>
      </c>
      <c r="L35" s="20">
        <v>0</v>
      </c>
    </row>
    <row r="36" spans="1:12">
      <c r="A36" s="2" t="s">
        <v>366</v>
      </c>
      <c r="B36" s="3" t="s">
        <v>305</v>
      </c>
      <c r="D36" s="20">
        <v>9.1573071715732228E-8</v>
      </c>
      <c r="E36" s="20">
        <v>0.98202747415231184</v>
      </c>
      <c r="F36" s="20">
        <v>0.44271986615338405</v>
      </c>
      <c r="G36" s="20">
        <v>1.2675666200101545E-4</v>
      </c>
      <c r="H36" s="20">
        <v>0</v>
      </c>
      <c r="I36" s="20">
        <v>0.53918085133692673</v>
      </c>
      <c r="J36" s="20">
        <v>1.5356159074314453E-2</v>
      </c>
      <c r="K36" s="20">
        <v>2.6162752003019629E-3</v>
      </c>
      <c r="L36" s="20">
        <v>0</v>
      </c>
    </row>
    <row r="37" spans="1:12">
      <c r="A37" s="2" t="s">
        <v>289</v>
      </c>
      <c r="B37" s="3" t="s">
        <v>290</v>
      </c>
      <c r="D37" s="20">
        <v>1.1667717687271636E-14</v>
      </c>
      <c r="E37" s="20">
        <v>0.78188717908184724</v>
      </c>
      <c r="F37" s="20">
        <v>0.19400205650619445</v>
      </c>
      <c r="G37" s="20">
        <v>6.623321472193351E-3</v>
      </c>
      <c r="H37" s="20">
        <v>0</v>
      </c>
      <c r="I37" s="20">
        <v>0.58126180110345949</v>
      </c>
      <c r="J37" s="20">
        <v>2.1238775579730012E-2</v>
      </c>
      <c r="K37" s="20">
        <v>0.19687404533841102</v>
      </c>
      <c r="L37" s="20">
        <v>0</v>
      </c>
    </row>
    <row r="38" spans="1:12">
      <c r="A38" s="2" t="s">
        <v>291</v>
      </c>
      <c r="B38" s="3" t="s">
        <v>292</v>
      </c>
      <c r="D38" s="20">
        <v>1.8375099595815257E-12</v>
      </c>
      <c r="E38" s="20">
        <v>0.99450503526815293</v>
      </c>
      <c r="F38" s="20">
        <v>5.8489122990812131E-2</v>
      </c>
      <c r="G38" s="20">
        <v>4.8864353490432806E-5</v>
      </c>
      <c r="H38" s="20">
        <v>0</v>
      </c>
      <c r="I38" s="20">
        <v>0.93596704792385033</v>
      </c>
      <c r="J38" s="20">
        <v>2.6314146178331231E-3</v>
      </c>
      <c r="K38" s="20">
        <v>2.863550112176495E-3</v>
      </c>
      <c r="L38" s="20">
        <v>0</v>
      </c>
    </row>
    <row r="39" spans="1:12">
      <c r="A39" s="2" t="s">
        <v>367</v>
      </c>
      <c r="B39" s="3" t="s">
        <v>368</v>
      </c>
      <c r="D39" s="20">
        <v>6.066930697938638E-5</v>
      </c>
      <c r="E39" s="20">
        <v>0.40985254017800143</v>
      </c>
      <c r="F39" s="20">
        <v>0.31199184973664068</v>
      </c>
      <c r="G39" s="20">
        <v>5.4492759913605304E-2</v>
      </c>
      <c r="H39" s="20">
        <v>0</v>
      </c>
      <c r="I39" s="20">
        <v>4.3367930527755463E-2</v>
      </c>
      <c r="J39" s="20">
        <v>0.1289269982533148</v>
      </c>
      <c r="K39" s="20">
        <v>0.46115979226170439</v>
      </c>
      <c r="L39" s="20">
        <v>0</v>
      </c>
    </row>
    <row r="40" spans="1:12">
      <c r="A40" s="2" t="s">
        <v>369</v>
      </c>
      <c r="B40" s="3" t="s">
        <v>370</v>
      </c>
      <c r="D40" s="20">
        <v>2.8300850260330731E-12</v>
      </c>
      <c r="E40" s="20">
        <v>0.30498337772896356</v>
      </c>
      <c r="F40" s="20">
        <v>0.28151988380515719</v>
      </c>
      <c r="G40" s="20">
        <v>2.0367111994723339E-2</v>
      </c>
      <c r="H40" s="20">
        <v>0</v>
      </c>
      <c r="I40" s="20">
        <v>3.0963819290830137E-3</v>
      </c>
      <c r="J40" s="20">
        <v>0.68616053103159536</v>
      </c>
      <c r="K40" s="20">
        <v>8.856091236610953E-3</v>
      </c>
      <c r="L40" s="20">
        <v>0</v>
      </c>
    </row>
    <row r="41" spans="1:12">
      <c r="A41" s="2" t="s">
        <v>371</v>
      </c>
      <c r="B41" s="3" t="s">
        <v>372</v>
      </c>
      <c r="D41" s="20">
        <v>8.1531917576110571E-2</v>
      </c>
      <c r="E41" s="20">
        <v>0.91371195949598227</v>
      </c>
      <c r="F41" s="20">
        <v>2.7874165330440054E-6</v>
      </c>
      <c r="G41" s="20">
        <v>1.3953958499912855E-6</v>
      </c>
      <c r="H41" s="20">
        <v>0</v>
      </c>
      <c r="I41" s="20">
        <v>0.91370777668359926</v>
      </c>
      <c r="J41" s="20">
        <v>1.9144586881060215E-4</v>
      </c>
      <c r="K41" s="20">
        <v>4.5646770590967211E-3</v>
      </c>
      <c r="L41" s="20">
        <v>0</v>
      </c>
    </row>
    <row r="42" spans="1:12">
      <c r="A42" s="2" t="s">
        <v>293</v>
      </c>
      <c r="B42" s="3" t="s">
        <v>294</v>
      </c>
      <c r="D42" s="20">
        <v>2.0603158607220195E-8</v>
      </c>
      <c r="E42" s="20">
        <v>0.63968543311084347</v>
      </c>
      <c r="F42" s="20">
        <v>1.6527532533690839E-2</v>
      </c>
      <c r="G42" s="20">
        <v>4.2393920015279564E-3</v>
      </c>
      <c r="H42" s="20">
        <v>0</v>
      </c>
      <c r="I42" s="20">
        <v>0.61891850857562469</v>
      </c>
      <c r="J42" s="20">
        <v>9.711079064241011E-3</v>
      </c>
      <c r="K42" s="20">
        <v>0.35060346722175684</v>
      </c>
      <c r="L42" s="20">
        <v>0</v>
      </c>
    </row>
    <row r="43" spans="1:12">
      <c r="A43" s="2" t="s">
        <v>373</v>
      </c>
      <c r="B43" s="3" t="s">
        <v>374</v>
      </c>
      <c r="D43" s="20">
        <v>3.7550150266512356E-7</v>
      </c>
      <c r="E43" s="20">
        <v>0.93944097212868494</v>
      </c>
      <c r="F43" s="20">
        <v>0.86169101053854669</v>
      </c>
      <c r="G43" s="20">
        <v>7.2756782255361965E-4</v>
      </c>
      <c r="H43" s="20">
        <v>0</v>
      </c>
      <c r="I43" s="20">
        <v>7.7022393767584615E-2</v>
      </c>
      <c r="J43" s="20">
        <v>5.6885946794639805E-2</v>
      </c>
      <c r="K43" s="20">
        <v>3.6727055751725316E-3</v>
      </c>
      <c r="L43" s="20">
        <v>0</v>
      </c>
    </row>
    <row r="44" spans="1:12">
      <c r="A44" s="2" t="s">
        <v>375</v>
      </c>
      <c r="B44" s="3" t="s">
        <v>376</v>
      </c>
      <c r="D44" s="20">
        <v>8.6783605568943475E-2</v>
      </c>
      <c r="E44" s="20">
        <v>0.78201936109862125</v>
      </c>
      <c r="F44" s="20">
        <v>1.9838640362357966E-3</v>
      </c>
      <c r="G44" s="20">
        <v>6.050725624546921E-4</v>
      </c>
      <c r="H44" s="20">
        <v>0</v>
      </c>
      <c r="I44" s="20">
        <v>0.77943042449993072</v>
      </c>
      <c r="J44" s="20">
        <v>1.5029719421599632E-3</v>
      </c>
      <c r="K44" s="20">
        <v>0.12969406139027517</v>
      </c>
      <c r="L44" s="20">
        <v>0</v>
      </c>
    </row>
    <row r="45" spans="1:12">
      <c r="A45" s="2" t="s">
        <v>377</v>
      </c>
      <c r="B45" s="3" t="s">
        <v>378</v>
      </c>
      <c r="D45" s="20">
        <v>8.0341467671071201E-4</v>
      </c>
      <c r="E45" s="20">
        <v>0.61596011033626619</v>
      </c>
      <c r="F45" s="20">
        <v>1.9302518439930694E-2</v>
      </c>
      <c r="G45" s="20">
        <v>4.8787608641078289E-3</v>
      </c>
      <c r="H45" s="20">
        <v>0</v>
      </c>
      <c r="I45" s="20">
        <v>0.59177883103222761</v>
      </c>
      <c r="J45" s="20">
        <v>1.1168610222904846E-2</v>
      </c>
      <c r="K45" s="20">
        <v>0.37206786476411829</v>
      </c>
      <c r="L45" s="20">
        <v>0</v>
      </c>
    </row>
    <row r="46" spans="1:12">
      <c r="A46" s="2" t="s">
        <v>379</v>
      </c>
      <c r="B46" s="3" t="s">
        <v>380</v>
      </c>
      <c r="D46" s="20">
        <v>2.3772342148123946E-3</v>
      </c>
      <c r="E46" s="20">
        <v>0.62951278726570337</v>
      </c>
      <c r="F46" s="20">
        <v>1.7488243322152989E-2</v>
      </c>
      <c r="G46" s="20">
        <v>4.4610977819350191E-3</v>
      </c>
      <c r="H46" s="20">
        <v>0</v>
      </c>
      <c r="I46" s="20">
        <v>0.60756344616161539</v>
      </c>
      <c r="J46" s="20">
        <v>1.0216015193050142E-2</v>
      </c>
      <c r="K46" s="20">
        <v>0.35789396332643414</v>
      </c>
      <c r="L46" s="20">
        <v>0</v>
      </c>
    </row>
    <row r="47" spans="1:12">
      <c r="A47" s="2" t="s">
        <v>381</v>
      </c>
      <c r="B47" s="3" t="s">
        <v>382</v>
      </c>
      <c r="D47" s="20">
        <v>1.2599897696066563E-7</v>
      </c>
      <c r="E47" s="20">
        <v>0.2712178398202747</v>
      </c>
      <c r="F47" s="20">
        <v>7.2584056144571557E-2</v>
      </c>
      <c r="G47" s="20">
        <v>0.19666939834006375</v>
      </c>
      <c r="H47" s="20">
        <v>0</v>
      </c>
      <c r="I47" s="20">
        <v>1.9643853356394168E-3</v>
      </c>
      <c r="J47" s="20">
        <v>0.48350921680219833</v>
      </c>
      <c r="K47" s="20">
        <v>0.24527281737854995</v>
      </c>
      <c r="L47" s="20">
        <v>0</v>
      </c>
    </row>
    <row r="48" spans="1:12">
      <c r="A48" s="2" t="s">
        <v>383</v>
      </c>
      <c r="B48" s="3" t="s">
        <v>384</v>
      </c>
      <c r="D48" s="20">
        <v>1.1816621592780645E-2</v>
      </c>
      <c r="E48" s="20">
        <v>0.91065747005471653</v>
      </c>
      <c r="F48" s="20">
        <v>6.3091019178730765E-4</v>
      </c>
      <c r="G48" s="20">
        <v>2.1176934749717055E-4</v>
      </c>
      <c r="H48" s="20">
        <v>0</v>
      </c>
      <c r="I48" s="20">
        <v>0.90981479051543201</v>
      </c>
      <c r="J48" s="20">
        <v>6.5257219761031659E-4</v>
      </c>
      <c r="K48" s="20">
        <v>7.6873336154892516E-2</v>
      </c>
      <c r="L48" s="20">
        <v>0</v>
      </c>
    </row>
    <row r="49" spans="1:12">
      <c r="A49" s="2" t="s">
        <v>385</v>
      </c>
      <c r="B49" s="3" t="s">
        <v>386</v>
      </c>
      <c r="D49" s="20">
        <v>2.2188484431439736E-2</v>
      </c>
      <c r="E49" s="20">
        <v>0.87464089496234887</v>
      </c>
      <c r="F49" s="20">
        <v>1.1313626937892189E-3</v>
      </c>
      <c r="G49" s="20">
        <v>3.6265812289902605E-4</v>
      </c>
      <c r="H49" s="20">
        <v>0</v>
      </c>
      <c r="I49" s="20">
        <v>0.87314687414566061</v>
      </c>
      <c r="J49" s="20">
        <v>9.802345389751312E-4</v>
      </c>
      <c r="K49" s="20">
        <v>0.1021903860672362</v>
      </c>
      <c r="L49" s="20">
        <v>0</v>
      </c>
    </row>
    <row r="50" spans="1:12">
      <c r="A50" s="2" t="s">
        <v>387</v>
      </c>
      <c r="B50" s="3" t="s">
        <v>388</v>
      </c>
      <c r="D50" s="20">
        <v>1.575478970949349E-2</v>
      </c>
      <c r="E50" s="20">
        <v>0.34203968648628386</v>
      </c>
      <c r="F50" s="20">
        <v>0.13430334380162279</v>
      </c>
      <c r="G50" s="20">
        <v>2.6963879707097863E-2</v>
      </c>
      <c r="H50" s="20">
        <v>0</v>
      </c>
      <c r="I50" s="20">
        <v>0.18077246297756322</v>
      </c>
      <c r="J50" s="20">
        <v>6.2650050668950283E-2</v>
      </c>
      <c r="K50" s="20">
        <v>0.57955547313527234</v>
      </c>
      <c r="L50" s="20">
        <v>0</v>
      </c>
    </row>
    <row r="51" spans="1:12">
      <c r="A51" s="2" t="s">
        <v>295</v>
      </c>
      <c r="B51" s="3" t="s">
        <v>296</v>
      </c>
      <c r="D51" s="20">
        <v>6.5410134981934528E-2</v>
      </c>
      <c r="E51" s="20">
        <v>0.90479849592994377</v>
      </c>
      <c r="F51" s="20">
        <v>1.01092575311741E-4</v>
      </c>
      <c r="G51" s="20">
        <v>3.8816360766177127E-5</v>
      </c>
      <c r="H51" s="20">
        <v>0</v>
      </c>
      <c r="I51" s="20">
        <v>0.90465858699386581</v>
      </c>
      <c r="J51" s="20">
        <v>2.7061506049780933E-4</v>
      </c>
      <c r="K51" s="20">
        <v>2.9520754027624024E-2</v>
      </c>
      <c r="L51" s="20">
        <v>0</v>
      </c>
    </row>
    <row r="52" spans="1:12">
      <c r="A52" s="2" t="s">
        <v>389</v>
      </c>
      <c r="B52" s="3" t="s">
        <v>390</v>
      </c>
      <c r="D52" s="20">
        <v>7.1394022491359094E-2</v>
      </c>
      <c r="E52" s="20">
        <v>0.7553635868744808</v>
      </c>
      <c r="F52" s="20">
        <v>3.482860393571124E-3</v>
      </c>
      <c r="G52" s="20">
        <v>1.016322690984509E-3</v>
      </c>
      <c r="H52" s="20">
        <v>0</v>
      </c>
      <c r="I52" s="20">
        <v>0.75086440378992514</v>
      </c>
      <c r="J52" s="20">
        <v>2.4202135488949165E-3</v>
      </c>
      <c r="K52" s="20">
        <v>0.17082217708526504</v>
      </c>
      <c r="L52" s="20">
        <v>0</v>
      </c>
    </row>
    <row r="53" spans="1:12">
      <c r="A53" s="2" t="s">
        <v>391</v>
      </c>
      <c r="B53" s="3" t="s">
        <v>392</v>
      </c>
      <c r="D53" s="20">
        <v>2.6087348416320762E-3</v>
      </c>
      <c r="E53" s="20">
        <v>0.54178134675863243</v>
      </c>
      <c r="F53" s="20">
        <v>3.069758096212288E-2</v>
      </c>
      <c r="G53" s="20">
        <v>7.4096843712322356E-3</v>
      </c>
      <c r="H53" s="20">
        <v>0</v>
      </c>
      <c r="I53" s="20">
        <v>0.50367408142527736</v>
      </c>
      <c r="J53" s="20">
        <v>1.6965770791496641E-2</v>
      </c>
      <c r="K53" s="20">
        <v>0.43864414760823861</v>
      </c>
      <c r="L53" s="20">
        <v>0</v>
      </c>
    </row>
    <row r="54" spans="1:12">
      <c r="A54" s="2" t="s">
        <v>393</v>
      </c>
      <c r="B54" s="3" t="s">
        <v>394</v>
      </c>
      <c r="D54" s="20">
        <v>5.8984667623298605E-4</v>
      </c>
      <c r="E54" s="20">
        <v>0.27451043900123651</v>
      </c>
      <c r="F54" s="20">
        <v>8.8026483195411925E-2</v>
      </c>
      <c r="G54" s="20">
        <v>0.18369989445707682</v>
      </c>
      <c r="H54" s="20">
        <v>0</v>
      </c>
      <c r="I54" s="20">
        <v>2.7840613487477798E-3</v>
      </c>
      <c r="J54" s="20">
        <v>0.44997009081804618</v>
      </c>
      <c r="K54" s="20">
        <v>0.27492962350448452</v>
      </c>
      <c r="L54" s="20">
        <v>0</v>
      </c>
    </row>
    <row r="55" spans="1:12">
      <c r="A55" s="2" t="s">
        <v>395</v>
      </c>
      <c r="B55" s="3" t="s">
        <v>396</v>
      </c>
      <c r="D55" s="20">
        <v>0.22199821560700342</v>
      </c>
      <c r="E55" s="20">
        <v>0.30599158009598243</v>
      </c>
      <c r="F55" s="20">
        <v>6.3947518841699025E-2</v>
      </c>
      <c r="G55" s="20">
        <v>1.3794922149709468E-2</v>
      </c>
      <c r="H55" s="20">
        <v>0</v>
      </c>
      <c r="I55" s="20">
        <v>0.22824913910457392</v>
      </c>
      <c r="J55" s="20">
        <v>3.1828604507622718E-2</v>
      </c>
      <c r="K55" s="20">
        <v>0.44018159978939131</v>
      </c>
      <c r="L55" s="20">
        <v>0</v>
      </c>
    </row>
    <row r="56" spans="1:12">
      <c r="A56" s="2" t="s">
        <v>397</v>
      </c>
      <c r="B56" s="3" t="s">
        <v>398</v>
      </c>
      <c r="D56" s="20">
        <v>0.81792770605213272</v>
      </c>
      <c r="E56" s="20">
        <v>6.2923106438048174E-2</v>
      </c>
      <c r="F56" s="20">
        <v>3.4465861175563703E-2</v>
      </c>
      <c r="G56" s="20">
        <v>6.5476384409709921E-3</v>
      </c>
      <c r="H56" s="20">
        <v>0</v>
      </c>
      <c r="I56" s="20">
        <v>2.190960682151348E-2</v>
      </c>
      <c r="J56" s="20">
        <v>1.5301382772562492E-2</v>
      </c>
      <c r="K56" s="20">
        <v>0.1038478047372566</v>
      </c>
      <c r="L56" s="20">
        <v>0</v>
      </c>
    </row>
    <row r="57" spans="1:12">
      <c r="A57" s="2" t="s">
        <v>399</v>
      </c>
      <c r="B57" s="3" t="s">
        <v>400</v>
      </c>
      <c r="D57" s="20">
        <v>0.86930292826432232</v>
      </c>
      <c r="E57" s="20">
        <v>4.8709039371647979E-2</v>
      </c>
      <c r="F57" s="20">
        <v>1.2854209015005473E-2</v>
      </c>
      <c r="G57" s="20">
        <v>2.7073282364366001E-3</v>
      </c>
      <c r="H57" s="20">
        <v>0</v>
      </c>
      <c r="I57" s="20">
        <v>3.3147502120205903E-2</v>
      </c>
      <c r="J57" s="20">
        <v>6.2605456648694045E-3</v>
      </c>
      <c r="K57" s="20">
        <v>7.5727486699160088E-2</v>
      </c>
      <c r="L57" s="20">
        <v>0</v>
      </c>
    </row>
    <row r="58" spans="1:12">
      <c r="A58" s="2" t="s">
        <v>297</v>
      </c>
      <c r="B58" s="3" t="s">
        <v>298</v>
      </c>
      <c r="D58" s="20">
        <v>0.9324392116574135</v>
      </c>
      <c r="E58" s="20">
        <v>5.9556498866384026E-2</v>
      </c>
      <c r="F58" s="20">
        <v>9.8876877575323791E-5</v>
      </c>
      <c r="G58" s="20">
        <v>3.1116468287455659E-5</v>
      </c>
      <c r="H58" s="20">
        <v>0</v>
      </c>
      <c r="I58" s="20">
        <v>5.9426505520521249E-2</v>
      </c>
      <c r="J58" s="20">
        <v>8.1047320637920523E-5</v>
      </c>
      <c r="K58" s="20">
        <v>7.9232421555647022E-3</v>
      </c>
      <c r="L58" s="20">
        <v>0</v>
      </c>
    </row>
    <row r="59" spans="1:12">
      <c r="A59" s="2" t="s">
        <v>401</v>
      </c>
      <c r="B59" s="3" t="s">
        <v>402</v>
      </c>
      <c r="D59" s="20">
        <v>0.9520349304165111</v>
      </c>
      <c r="E59" s="20">
        <v>1.808226914163779E-2</v>
      </c>
      <c r="F59" s="20">
        <v>4.5303014151658206E-3</v>
      </c>
      <c r="G59" s="20">
        <v>9.5945067630580805E-4</v>
      </c>
      <c r="H59" s="20">
        <v>0</v>
      </c>
      <c r="I59" s="20">
        <v>1.2592517050166162E-2</v>
      </c>
      <c r="J59" s="20">
        <v>2.2175068218134165E-3</v>
      </c>
      <c r="K59" s="20">
        <v>2.7665293620037813E-2</v>
      </c>
      <c r="L59" s="20">
        <v>0</v>
      </c>
    </row>
    <row r="60" spans="1:12">
      <c r="A60" s="2" t="s">
        <v>299</v>
      </c>
      <c r="B60" s="3" t="s">
        <v>300</v>
      </c>
      <c r="D60" s="20">
        <v>0.9987841799513687</v>
      </c>
      <c r="E60" s="20">
        <v>5.3652460391581907E-4</v>
      </c>
      <c r="F60" s="20">
        <v>7.0883616898730848E-5</v>
      </c>
      <c r="G60" s="20">
        <v>1.5952965466400778E-5</v>
      </c>
      <c r="H60" s="20">
        <v>0</v>
      </c>
      <c r="I60" s="20">
        <v>4.496880215506874E-4</v>
      </c>
      <c r="J60" s="20">
        <v>3.667571427151569E-5</v>
      </c>
      <c r="K60" s="20">
        <v>6.4261973044387225E-4</v>
      </c>
      <c r="L60" s="20">
        <v>0</v>
      </c>
    </row>
    <row r="61" spans="1:12">
      <c r="A61" s="2" t="s">
        <v>403</v>
      </c>
      <c r="B61" s="3" t="s">
        <v>404</v>
      </c>
      <c r="D61" s="20">
        <v>6.6315147780042635E-44</v>
      </c>
      <c r="E61" s="20">
        <v>0.47899558515526192</v>
      </c>
      <c r="F61" s="20">
        <v>4.5781177293823104E-2</v>
      </c>
      <c r="G61" s="20">
        <v>1.059211072491968E-2</v>
      </c>
      <c r="H61" s="20">
        <v>0</v>
      </c>
      <c r="I61" s="20">
        <v>0.42262229713651911</v>
      </c>
      <c r="J61" s="20">
        <v>2.4303291066239546E-2</v>
      </c>
      <c r="K61" s="20">
        <v>0.4967011237784984</v>
      </c>
      <c r="L61" s="20">
        <v>0</v>
      </c>
    </row>
    <row r="62" spans="1:12">
      <c r="A62" s="2" t="s">
        <v>405</v>
      </c>
      <c r="B62" s="3" t="s">
        <v>406</v>
      </c>
      <c r="D62" s="20">
        <v>3.7866515818047143E-7</v>
      </c>
      <c r="E62" s="20">
        <v>0.32122585903340839</v>
      </c>
      <c r="F62" s="20">
        <v>0.19743746281418237</v>
      </c>
      <c r="G62" s="20">
        <v>0.11005888706247038</v>
      </c>
      <c r="H62" s="20">
        <v>0</v>
      </c>
      <c r="I62" s="20">
        <v>1.3729509156755634E-2</v>
      </c>
      <c r="J62" s="20">
        <v>0.2646427562852452</v>
      </c>
      <c r="K62" s="20">
        <v>0.41413100601618824</v>
      </c>
      <c r="L62" s="20">
        <v>0</v>
      </c>
    </row>
    <row r="63" spans="1:12">
      <c r="A63" s="2" t="s">
        <v>407</v>
      </c>
      <c r="B63" s="3" t="s">
        <v>408</v>
      </c>
      <c r="D63" s="20">
        <v>7.6112096042635249E-5</v>
      </c>
      <c r="E63" s="20">
        <v>0.26812647922021504</v>
      </c>
      <c r="F63" s="20">
        <v>5.088946638473036E-2</v>
      </c>
      <c r="G63" s="20">
        <v>0.21618395227780685</v>
      </c>
      <c r="H63" s="20">
        <v>0</v>
      </c>
      <c r="I63" s="20">
        <v>1.0530605576778548E-3</v>
      </c>
      <c r="J63" s="20">
        <v>0.53485643402461958</v>
      </c>
      <c r="K63" s="20">
        <v>0.19694097465912278</v>
      </c>
      <c r="L63" s="20">
        <v>0</v>
      </c>
    </row>
    <row r="64" spans="1:12">
      <c r="A64" s="2" t="s">
        <v>409</v>
      </c>
      <c r="B64" s="3" t="s">
        <v>410</v>
      </c>
      <c r="D64" s="20">
        <v>9.2859368009960142E-6</v>
      </c>
      <c r="E64" s="20">
        <v>0.26792499766859723</v>
      </c>
      <c r="F64" s="20">
        <v>2.70209079801325E-2</v>
      </c>
      <c r="G64" s="20">
        <v>0.24054453464241501</v>
      </c>
      <c r="H64" s="20">
        <v>0</v>
      </c>
      <c r="I64" s="20">
        <v>3.595550460496932E-4</v>
      </c>
      <c r="J64" s="20">
        <v>0.60135592414218064</v>
      </c>
      <c r="K64" s="20">
        <v>0.13070979225242113</v>
      </c>
      <c r="L64" s="20">
        <v>0</v>
      </c>
    </row>
    <row r="65" spans="1:12">
      <c r="A65" s="2" t="s">
        <v>301</v>
      </c>
      <c r="B65" s="3" t="s">
        <v>302</v>
      </c>
      <c r="D65" s="20">
        <v>1.1421834589033274E-6</v>
      </c>
      <c r="E65" s="20">
        <v>0.27027516649413674</v>
      </c>
      <c r="F65" s="20">
        <v>1.2479870571617549E-2</v>
      </c>
      <c r="G65" s="20">
        <v>0.25769478910283294</v>
      </c>
      <c r="H65" s="20">
        <v>0</v>
      </c>
      <c r="I65" s="20">
        <v>1.0050681968626128E-4</v>
      </c>
      <c r="J65" s="20">
        <v>0.65191676358247419</v>
      </c>
      <c r="K65" s="20">
        <v>7.7806927739930309E-2</v>
      </c>
      <c r="L65" s="20">
        <v>0</v>
      </c>
    </row>
    <row r="66" spans="1:12">
      <c r="A66" s="2" t="s">
        <v>303</v>
      </c>
      <c r="B66" s="3" t="s">
        <v>304</v>
      </c>
      <c r="D66" s="20">
        <v>1.104325510443521E-12</v>
      </c>
      <c r="E66" s="20">
        <v>0.26883686390647593</v>
      </c>
      <c r="F66" s="20">
        <v>1.947472436361895E-2</v>
      </c>
      <c r="G66" s="20">
        <v>0.24915343266121248</v>
      </c>
      <c r="H66" s="20">
        <v>0</v>
      </c>
      <c r="I66" s="20">
        <v>2.0870688164450002E-4</v>
      </c>
      <c r="J66" s="20">
        <v>0.62606875292820974</v>
      </c>
      <c r="K66" s="20">
        <v>0.10509438316420994</v>
      </c>
      <c r="L66" s="20">
        <v>0</v>
      </c>
    </row>
    <row r="67" spans="1:12">
      <c r="A67" s="2" t="s">
        <v>411</v>
      </c>
      <c r="B67" s="3" t="s">
        <v>412</v>
      </c>
      <c r="D67" s="20">
        <v>4.776904521715317E-3</v>
      </c>
      <c r="E67" s="20">
        <v>0.83899364422537304</v>
      </c>
      <c r="F67" s="20">
        <v>2.5978901052981585E-3</v>
      </c>
      <c r="G67" s="20">
        <v>7.8075779914849237E-4</v>
      </c>
      <c r="H67" s="20">
        <v>0</v>
      </c>
      <c r="I67" s="20">
        <v>0.8356149963209264</v>
      </c>
      <c r="J67" s="20">
        <v>1.9070537553313417E-3</v>
      </c>
      <c r="K67" s="20">
        <v>0.15432239749758034</v>
      </c>
      <c r="L67" s="20">
        <v>0</v>
      </c>
    </row>
    <row r="68" spans="1:12">
      <c r="A68" s="2" t="s">
        <v>413</v>
      </c>
      <c r="B68" s="3" t="s">
        <v>414</v>
      </c>
      <c r="D68" s="20">
        <v>1.0472117512497459E-2</v>
      </c>
      <c r="E68" s="20">
        <v>0.78460184360737717</v>
      </c>
      <c r="F68" s="20">
        <v>4.6377648199492768E-3</v>
      </c>
      <c r="G68" s="20">
        <v>1.328630681666226E-3</v>
      </c>
      <c r="H68" s="20">
        <v>0</v>
      </c>
      <c r="I68" s="20">
        <v>0.77863544810576168</v>
      </c>
      <c r="J68" s="20">
        <v>3.1280155859716397E-3</v>
      </c>
      <c r="K68" s="20">
        <v>0.20179802329415378</v>
      </c>
      <c r="L68" s="20">
        <v>0</v>
      </c>
    </row>
    <row r="69" spans="1:12">
      <c r="A69" s="2" t="s">
        <v>415</v>
      </c>
      <c r="B69" s="3" t="s">
        <v>416</v>
      </c>
      <c r="D69" s="20">
        <v>3.8991935663460642E-3</v>
      </c>
      <c r="E69" s="20">
        <v>0.281052043275205</v>
      </c>
      <c r="F69" s="20">
        <v>0.11281036649443586</v>
      </c>
      <c r="G69" s="20">
        <v>0.16381156729248017</v>
      </c>
      <c r="H69" s="20">
        <v>0</v>
      </c>
      <c r="I69" s="20">
        <v>4.4301094882889889E-3</v>
      </c>
      <c r="J69" s="20">
        <v>0.39921598822993126</v>
      </c>
      <c r="K69" s="20">
        <v>0.31583277492851775</v>
      </c>
      <c r="L69" s="20">
        <v>0</v>
      </c>
    </row>
    <row r="70" spans="1:12">
      <c r="A70" s="2" t="s">
        <v>417</v>
      </c>
      <c r="B70" s="3" t="s">
        <v>418</v>
      </c>
      <c r="D70" s="20">
        <v>1.0648881529019525E-2</v>
      </c>
      <c r="E70" s="20">
        <v>0.35608901333185838</v>
      </c>
      <c r="F70" s="20">
        <v>0.22844318699049837</v>
      </c>
      <c r="G70" s="20">
        <v>4.175166177629816E-2</v>
      </c>
      <c r="H70" s="20">
        <v>0</v>
      </c>
      <c r="I70" s="20">
        <v>8.5894164565061867E-2</v>
      </c>
      <c r="J70" s="20">
        <v>9.7975474849916741E-2</v>
      </c>
      <c r="K70" s="20">
        <v>0.53528663028920542</v>
      </c>
      <c r="L70" s="20">
        <v>0</v>
      </c>
    </row>
    <row r="71" spans="1:12">
      <c r="A71" s="2" t="s">
        <v>419</v>
      </c>
      <c r="B71" s="3" t="s">
        <v>420</v>
      </c>
      <c r="D71" s="20">
        <v>2.5585731379490065E-2</v>
      </c>
      <c r="E71" s="20">
        <v>0.7808059498526333</v>
      </c>
      <c r="F71" s="20">
        <v>4.1789969182345144E-3</v>
      </c>
      <c r="G71" s="20">
        <v>1.2060563684244531E-3</v>
      </c>
      <c r="H71" s="20">
        <v>0</v>
      </c>
      <c r="I71" s="20">
        <v>0.77542089656597435</v>
      </c>
      <c r="J71" s="20">
        <v>2.8514272350962109E-3</v>
      </c>
      <c r="K71" s="20">
        <v>0.1907568915327805</v>
      </c>
      <c r="L71" s="20">
        <v>0</v>
      </c>
    </row>
    <row r="72" spans="1:12">
      <c r="A72" s="2" t="s">
        <v>421</v>
      </c>
      <c r="B72" s="3" t="s">
        <v>422</v>
      </c>
      <c r="D72" s="20">
        <v>4.1821911168528354E-2</v>
      </c>
      <c r="E72" s="20">
        <v>0.33906352151278207</v>
      </c>
      <c r="F72" s="20">
        <v>0.20762425643362828</v>
      </c>
      <c r="G72" s="20">
        <v>3.8439138483760807E-2</v>
      </c>
      <c r="H72" s="20">
        <v>0</v>
      </c>
      <c r="I72" s="20">
        <v>9.3000126595393015E-2</v>
      </c>
      <c r="J72" s="20">
        <v>9.0077288256961985E-2</v>
      </c>
      <c r="K72" s="20">
        <v>0.52903727906172737</v>
      </c>
      <c r="L72" s="20">
        <v>0</v>
      </c>
    </row>
    <row r="73" spans="1:12">
      <c r="A73" s="2" t="s">
        <v>423</v>
      </c>
      <c r="B73" s="3" t="s">
        <v>424</v>
      </c>
      <c r="D73" s="20">
        <v>1.9707568064008165E-2</v>
      </c>
      <c r="E73" s="20">
        <v>0.45678102534563142</v>
      </c>
      <c r="F73" s="20">
        <v>4.8719996682327536E-2</v>
      </c>
      <c r="G73" s="20">
        <v>1.116870462431026E-2</v>
      </c>
      <c r="H73" s="20">
        <v>0</v>
      </c>
      <c r="I73" s="20">
        <v>0.3968923240389936</v>
      </c>
      <c r="J73" s="20">
        <v>2.5642004935968864E-2</v>
      </c>
      <c r="K73" s="20">
        <v>0.49786940165439147</v>
      </c>
      <c r="L73" s="20">
        <v>0</v>
      </c>
    </row>
    <row r="74" spans="1:12">
      <c r="A74" s="2" t="s">
        <v>425</v>
      </c>
      <c r="B74" s="3" t="s">
        <v>426</v>
      </c>
      <c r="D74" s="20">
        <v>1.6169843726939814E-2</v>
      </c>
      <c r="E74" s="20">
        <v>0.35227796325310418</v>
      </c>
      <c r="F74" s="20">
        <v>0.22314134042632366</v>
      </c>
      <c r="G74" s="20">
        <v>4.0933190152268574E-2</v>
      </c>
      <c r="H74" s="20">
        <v>0</v>
      </c>
      <c r="I74" s="20">
        <v>8.8203432674511917E-2</v>
      </c>
      <c r="J74" s="20">
        <v>9.6016744151167482E-2</v>
      </c>
      <c r="K74" s="20">
        <v>0.53553544886878857</v>
      </c>
      <c r="L74" s="20">
        <v>0</v>
      </c>
    </row>
    <row r="75" spans="1:12">
      <c r="A75" s="2" t="s">
        <v>427</v>
      </c>
      <c r="B75" s="3" t="s">
        <v>428</v>
      </c>
      <c r="D75" s="20">
        <v>4.3795244610253199E-9</v>
      </c>
      <c r="E75" s="20">
        <v>0.82619629760472546</v>
      </c>
      <c r="F75" s="20">
        <v>0.79140937125317801</v>
      </c>
      <c r="G75" s="20">
        <v>3.0538759907744001E-4</v>
      </c>
      <c r="H75" s="20">
        <v>0</v>
      </c>
      <c r="I75" s="20">
        <v>3.4481538752470023E-2</v>
      </c>
      <c r="J75" s="20">
        <v>0.17313878623435838</v>
      </c>
      <c r="K75" s="20">
        <v>6.6491178139177888E-4</v>
      </c>
      <c r="L75" s="20">
        <v>0</v>
      </c>
    </row>
    <row r="76" spans="1:12">
      <c r="A76" s="2" t="s">
        <v>429</v>
      </c>
      <c r="B76" s="3" t="s">
        <v>430</v>
      </c>
      <c r="D76" s="20">
        <v>1.1000868117082187E-10</v>
      </c>
      <c r="E76" s="20">
        <v>0.82619630113218356</v>
      </c>
      <c r="F76" s="20">
        <v>0.79140937463211281</v>
      </c>
      <c r="G76" s="20">
        <v>3.0538760038129715E-4</v>
      </c>
      <c r="H76" s="20">
        <v>0</v>
      </c>
      <c r="I76" s="20">
        <v>3.4481538899689489E-2</v>
      </c>
      <c r="J76" s="20">
        <v>0.17313878697357715</v>
      </c>
      <c r="K76" s="20">
        <v>6.6491178423063021E-4</v>
      </c>
      <c r="L76" s="20">
        <v>0</v>
      </c>
    </row>
    <row r="77" spans="1:12">
      <c r="A77" s="2" t="s">
        <v>431</v>
      </c>
      <c r="B77" s="3" t="s">
        <v>432</v>
      </c>
      <c r="D77" s="20">
        <v>5.0053932356557612E-2</v>
      </c>
      <c r="E77" s="20">
        <v>0.34236464746835388</v>
      </c>
      <c r="F77" s="20">
        <v>0.10649088033463684</v>
      </c>
      <c r="G77" s="20">
        <v>2.2019526338102328E-2</v>
      </c>
      <c r="H77" s="20">
        <v>0</v>
      </c>
      <c r="I77" s="20">
        <v>0.21385424079561469</v>
      </c>
      <c r="J77" s="20">
        <v>5.1010382489916725E-2</v>
      </c>
      <c r="K77" s="20">
        <v>0.5565710376851718</v>
      </c>
      <c r="L77" s="20">
        <v>0</v>
      </c>
    </row>
    <row r="78" spans="1:12">
      <c r="A78" s="2" t="s">
        <v>433</v>
      </c>
      <c r="B78" s="3" t="s">
        <v>434</v>
      </c>
      <c r="D78" s="20">
        <v>3.8519417060273141E-2</v>
      </c>
      <c r="E78" s="20">
        <v>0.62607676990714711</v>
      </c>
      <c r="F78" s="20">
        <v>1.4680941933307734E-2</v>
      </c>
      <c r="G78" s="20">
        <v>3.7935820028426599E-3</v>
      </c>
      <c r="H78" s="20">
        <v>0</v>
      </c>
      <c r="I78" s="20">
        <v>0.60760224597099677</v>
      </c>
      <c r="J78" s="20">
        <v>8.6940543576505443E-3</v>
      </c>
      <c r="K78" s="20">
        <v>0.32670975867492891</v>
      </c>
      <c r="L78" s="20">
        <v>0</v>
      </c>
    </row>
    <row r="79" spans="1:12">
      <c r="A79" s="2" t="s">
        <v>435</v>
      </c>
      <c r="B79" s="3" t="s">
        <v>436</v>
      </c>
      <c r="D79" s="20">
        <v>1.0398137817508568E-2</v>
      </c>
      <c r="E79" s="20">
        <v>0.5318272015273886</v>
      </c>
      <c r="F79" s="20">
        <v>3.1566743706008087E-2</v>
      </c>
      <c r="G79" s="20">
        <v>7.5914605510181924E-3</v>
      </c>
      <c r="H79" s="20">
        <v>0</v>
      </c>
      <c r="I79" s="20">
        <v>0.49266899727036234</v>
      </c>
      <c r="J79" s="20">
        <v>1.7384132048059629E-2</v>
      </c>
      <c r="K79" s="20">
        <v>0.4403905286070432</v>
      </c>
      <c r="L79" s="20">
        <v>0</v>
      </c>
    </row>
    <row r="80" spans="1:12">
      <c r="A80" s="2" t="s">
        <v>437</v>
      </c>
      <c r="B80" s="3" t="s">
        <v>438</v>
      </c>
      <c r="D80" s="20">
        <v>1.3595706467772536E-9</v>
      </c>
      <c r="E80" s="20">
        <v>0.70765180152030749</v>
      </c>
      <c r="F80" s="20">
        <v>0.68687231443332053</v>
      </c>
      <c r="G80" s="20">
        <v>5.0912710748692513E-4</v>
      </c>
      <c r="H80" s="20">
        <v>0</v>
      </c>
      <c r="I80" s="20">
        <v>2.027035997949999E-2</v>
      </c>
      <c r="J80" s="20">
        <v>0.2916455474424462</v>
      </c>
      <c r="K80" s="20">
        <v>7.0264967767591242E-4</v>
      </c>
      <c r="L80" s="20">
        <v>0</v>
      </c>
    </row>
    <row r="81" spans="1:12">
      <c r="A81" s="2" t="s">
        <v>440</v>
      </c>
      <c r="B81" s="3" t="s">
        <v>441</v>
      </c>
      <c r="D81" s="20">
        <v>1.8442419100729614E-13</v>
      </c>
      <c r="E81" s="20">
        <v>0.97080975337700759</v>
      </c>
      <c r="F81" s="20">
        <v>9.1052547670096687E-5</v>
      </c>
      <c r="G81" s="20">
        <v>3.541503353109088E-5</v>
      </c>
      <c r="H81" s="20">
        <v>0</v>
      </c>
      <c r="I81" s="20">
        <v>0.97068328579580643</v>
      </c>
      <c r="J81" s="20">
        <v>2.7677183066960128E-4</v>
      </c>
      <c r="K81" s="20">
        <v>2.8913474792138179E-2</v>
      </c>
      <c r="L81" s="20">
        <v>0</v>
      </c>
    </row>
    <row r="82" spans="1:12">
      <c r="A82" s="2" t="s">
        <v>442</v>
      </c>
      <c r="B82" s="3" t="s">
        <v>443</v>
      </c>
      <c r="D82" s="20">
        <v>8.7492223279803184E-5</v>
      </c>
      <c r="E82" s="20">
        <v>0.77073364659826293</v>
      </c>
      <c r="F82" s="20">
        <v>5.8377254683085562E-3</v>
      </c>
      <c r="G82" s="20">
        <v>1.6418717212552648E-3</v>
      </c>
      <c r="H82" s="20">
        <v>0</v>
      </c>
      <c r="I82" s="20">
        <v>0.76325404940869912</v>
      </c>
      <c r="J82" s="20">
        <v>3.83182348311861E-3</v>
      </c>
      <c r="K82" s="20">
        <v>0.2253470376953387</v>
      </c>
      <c r="L82" s="20">
        <v>0</v>
      </c>
    </row>
    <row r="83" spans="1:12">
      <c r="A83" s="2" t="s">
        <v>444</v>
      </c>
      <c r="B83" s="3" t="s">
        <v>445</v>
      </c>
      <c r="D83" s="20">
        <v>1.0172582831377947E-3</v>
      </c>
      <c r="E83" s="20">
        <v>0.37370877172327549</v>
      </c>
      <c r="F83" s="20">
        <v>9.6940543375667682E-2</v>
      </c>
      <c r="G83" s="20">
        <v>2.0455071650438816E-2</v>
      </c>
      <c r="H83" s="20">
        <v>0</v>
      </c>
      <c r="I83" s="20">
        <v>0.25631315669716898</v>
      </c>
      <c r="J83" s="20">
        <v>4.7292872076224374E-2</v>
      </c>
      <c r="K83" s="20">
        <v>0.57798109791736219</v>
      </c>
      <c r="L83" s="20">
        <v>0</v>
      </c>
    </row>
    <row r="84" spans="1:12">
      <c r="A84" s="2" t="s">
        <v>446</v>
      </c>
      <c r="B84" s="3" t="s">
        <v>447</v>
      </c>
      <c r="D84" s="20">
        <v>5.6761679268566177E-15</v>
      </c>
      <c r="E84" s="20">
        <v>0.93730363475735035</v>
      </c>
      <c r="F84" s="20">
        <v>4.0900578456336338E-4</v>
      </c>
      <c r="G84" s="20">
        <v>1.4204469076472951E-4</v>
      </c>
      <c r="H84" s="20">
        <v>0</v>
      </c>
      <c r="I84" s="20">
        <v>0.93675258428202224</v>
      </c>
      <c r="J84" s="20">
        <v>5.039194652261069E-4</v>
      </c>
      <c r="K84" s="20">
        <v>6.2192445777417865E-2</v>
      </c>
      <c r="L84" s="20">
        <v>0</v>
      </c>
    </row>
    <row r="85" spans="1:12">
      <c r="A85" s="2" t="s">
        <v>448</v>
      </c>
      <c r="B85" s="3" t="s">
        <v>449</v>
      </c>
      <c r="D85" s="20">
        <v>3.9742827187761643E-8</v>
      </c>
      <c r="E85" s="20">
        <v>0.98773174317243451</v>
      </c>
      <c r="F85" s="20">
        <v>1.670832726571611E-5</v>
      </c>
      <c r="G85" s="20">
        <v>7.3727333759450349E-6</v>
      </c>
      <c r="H85" s="20">
        <v>0</v>
      </c>
      <c r="I85" s="20">
        <v>0.98770766211179284</v>
      </c>
      <c r="J85" s="20">
        <v>2.1949022707035579E-4</v>
      </c>
      <c r="K85" s="20">
        <v>1.2048726857667934E-2</v>
      </c>
      <c r="L85" s="20">
        <v>0</v>
      </c>
    </row>
    <row r="86" spans="1:12">
      <c r="A86" s="2" t="s">
        <v>450</v>
      </c>
      <c r="B86" s="3" t="s">
        <v>451</v>
      </c>
      <c r="D86" s="20">
        <v>1.4277374590519989E-8</v>
      </c>
      <c r="E86" s="20">
        <v>0.93881754103241033</v>
      </c>
      <c r="F86" s="20">
        <v>3.8969296796599866E-4</v>
      </c>
      <c r="G86" s="20">
        <v>1.3583701341147086E-4</v>
      </c>
      <c r="H86" s="20">
        <v>0</v>
      </c>
      <c r="I86" s="20">
        <v>0.93829201105103288</v>
      </c>
      <c r="J86" s="20">
        <v>4.9054170841674859E-4</v>
      </c>
      <c r="K86" s="20">
        <v>6.0691902981798281E-2</v>
      </c>
      <c r="L86" s="20">
        <v>0</v>
      </c>
    </row>
    <row r="87" spans="1:12">
      <c r="A87" s="2" t="s">
        <v>452</v>
      </c>
      <c r="B87" s="3" t="s">
        <v>453</v>
      </c>
      <c r="D87" s="20">
        <v>1.4375686851528993E-7</v>
      </c>
      <c r="E87" s="20">
        <v>0.2696520899544021</v>
      </c>
      <c r="F87" s="20">
        <v>6.3460401983994164E-2</v>
      </c>
      <c r="G87" s="20">
        <v>0.20464369755135833</v>
      </c>
      <c r="H87" s="20">
        <v>0</v>
      </c>
      <c r="I87" s="20">
        <v>1.547990419049622E-3</v>
      </c>
      <c r="J87" s="20">
        <v>0.50434643121458989</v>
      </c>
      <c r="K87" s="20">
        <v>0.22600133507413944</v>
      </c>
      <c r="L87" s="20">
        <v>0</v>
      </c>
    </row>
    <row r="88" spans="1:12">
      <c r="A88" s="2" t="s">
        <v>454</v>
      </c>
      <c r="B88" s="3" t="s">
        <v>455</v>
      </c>
      <c r="D88" s="20">
        <v>4.4766897279984571E-5</v>
      </c>
      <c r="E88" s="20">
        <v>0.690226868883969</v>
      </c>
      <c r="F88" s="20">
        <v>1.1503532136508125E-2</v>
      </c>
      <c r="G88" s="20">
        <v>3.0501891047929005E-3</v>
      </c>
      <c r="H88" s="20">
        <v>0</v>
      </c>
      <c r="I88" s="20">
        <v>0.67567314764266795</v>
      </c>
      <c r="J88" s="20">
        <v>7.0095622284873926E-3</v>
      </c>
      <c r="K88" s="20">
        <v>0.30271880199026346</v>
      </c>
      <c r="L88" s="20">
        <v>0</v>
      </c>
    </row>
    <row r="89" spans="1:12">
      <c r="A89" s="2" t="s">
        <v>456</v>
      </c>
      <c r="B89" s="3" t="s">
        <v>457</v>
      </c>
      <c r="D89" s="20">
        <v>2.9089496592298432E-17</v>
      </c>
      <c r="E89" s="20">
        <v>0.75679976329351673</v>
      </c>
      <c r="F89" s="20">
        <v>6.6498281263295189E-3</v>
      </c>
      <c r="G89" s="20">
        <v>1.8497199298442228E-3</v>
      </c>
      <c r="H89" s="20">
        <v>0</v>
      </c>
      <c r="I89" s="20">
        <v>0.74830021523734302</v>
      </c>
      <c r="J89" s="20">
        <v>4.2988853014007695E-3</v>
      </c>
      <c r="K89" s="20">
        <v>0.23890135140508259</v>
      </c>
      <c r="L89" s="20">
        <v>0</v>
      </c>
    </row>
    <row r="90" spans="1:12">
      <c r="A90" s="2" t="s">
        <v>458</v>
      </c>
      <c r="B90" s="3" t="s">
        <v>459</v>
      </c>
      <c r="D90" s="20">
        <v>4.2587978167719919E-29</v>
      </c>
      <c r="E90" s="20">
        <v>0.880155135579475</v>
      </c>
      <c r="F90" s="20">
        <v>1.4981704875304744E-3</v>
      </c>
      <c r="G90" s="20">
        <v>4.7060527734074973E-4</v>
      </c>
      <c r="H90" s="20">
        <v>0</v>
      </c>
      <c r="I90" s="20">
        <v>0.8781863598146038</v>
      </c>
      <c r="J90" s="20">
        <v>1.2217222949214655E-3</v>
      </c>
      <c r="K90" s="20">
        <v>0.11862314212560338</v>
      </c>
      <c r="L90" s="20">
        <v>0</v>
      </c>
    </row>
    <row r="91" spans="1:12">
      <c r="A91" s="2" t="s">
        <v>460</v>
      </c>
      <c r="B91" s="3" t="s">
        <v>461</v>
      </c>
      <c r="D91" s="20">
        <v>1.734769736329145E-7</v>
      </c>
      <c r="E91" s="20">
        <v>0.31330157535665404</v>
      </c>
      <c r="F91" s="20">
        <v>0.18340706118012556</v>
      </c>
      <c r="G91" s="20">
        <v>0.11819840262732242</v>
      </c>
      <c r="H91" s="20">
        <v>0</v>
      </c>
      <c r="I91" s="20">
        <v>1.1696111549206026E-2</v>
      </c>
      <c r="J91" s="20">
        <v>0.28479248421296788</v>
      </c>
      <c r="K91" s="20">
        <v>0.40190576695340458</v>
      </c>
      <c r="L91" s="20">
        <v>0</v>
      </c>
    </row>
    <row r="92" spans="1:12">
      <c r="A92" s="2" t="s">
        <v>462</v>
      </c>
      <c r="B92" s="3" t="s">
        <v>463</v>
      </c>
      <c r="D92" s="20">
        <v>7.8903412189007985E-9</v>
      </c>
      <c r="E92" s="20">
        <v>0.40645106119510366</v>
      </c>
      <c r="F92" s="20">
        <v>7.4296781309528298E-2</v>
      </c>
      <c r="G92" s="20">
        <v>1.6235495775396354E-2</v>
      </c>
      <c r="H92" s="20">
        <v>0</v>
      </c>
      <c r="I92" s="20">
        <v>0.31591878411017899</v>
      </c>
      <c r="J92" s="20">
        <v>3.7416546334683679E-2</v>
      </c>
      <c r="K92" s="20">
        <v>0.55613238457987135</v>
      </c>
      <c r="L92" s="20">
        <v>0</v>
      </c>
    </row>
    <row r="93" spans="1:12">
      <c r="A93" s="2" t="s">
        <v>464</v>
      </c>
      <c r="B93" s="3" t="s">
        <v>465</v>
      </c>
      <c r="D93" s="20">
        <v>5.8788158755283403E-4</v>
      </c>
      <c r="E93" s="20">
        <v>0.34623885957687095</v>
      </c>
      <c r="F93" s="20">
        <v>0.19300300601996662</v>
      </c>
      <c r="G93" s="20">
        <v>3.653083747256531E-2</v>
      </c>
      <c r="H93" s="20">
        <v>0</v>
      </c>
      <c r="I93" s="20">
        <v>0.116705016084339</v>
      </c>
      <c r="J93" s="20">
        <v>8.5403497161951156E-2</v>
      </c>
      <c r="K93" s="20">
        <v>0.56776976167362503</v>
      </c>
      <c r="L93" s="20">
        <v>0</v>
      </c>
    </row>
    <row r="94" spans="1:12">
      <c r="A94" s="2" t="s">
        <v>466</v>
      </c>
      <c r="B94" s="3" t="s">
        <v>467</v>
      </c>
      <c r="D94" s="20">
        <v>2.0174665337981092E-18</v>
      </c>
      <c r="E94" s="20">
        <v>0.99910373668629016</v>
      </c>
      <c r="F94" s="20">
        <v>1.1554539009010371E-2</v>
      </c>
      <c r="G94" s="20">
        <v>1.5184172106350537E-6</v>
      </c>
      <c r="H94" s="20">
        <v>0</v>
      </c>
      <c r="I94" s="20">
        <v>0.98754767926006914</v>
      </c>
      <c r="J94" s="20">
        <v>7.208333602295872E-4</v>
      </c>
      <c r="K94" s="20">
        <v>1.7542995348046925E-4</v>
      </c>
      <c r="L94" s="20">
        <v>0</v>
      </c>
    </row>
    <row r="95" spans="1:12">
      <c r="A95" s="2" t="s">
        <v>468</v>
      </c>
      <c r="B95" s="3" t="s">
        <v>469</v>
      </c>
      <c r="D95" s="20">
        <v>8.0334414493657515E-18</v>
      </c>
      <c r="E95" s="20">
        <v>0.3788937036151333</v>
      </c>
      <c r="F95" s="20">
        <v>0.27853248100976824</v>
      </c>
      <c r="G95" s="20">
        <v>6.8908278928977246E-2</v>
      </c>
      <c r="H95" s="20">
        <v>0</v>
      </c>
      <c r="I95" s="20">
        <v>3.1452943676387797E-2</v>
      </c>
      <c r="J95" s="20">
        <v>0.16382437327449109</v>
      </c>
      <c r="K95" s="20">
        <v>0.45728192311037552</v>
      </c>
      <c r="L95" s="20">
        <v>0</v>
      </c>
    </row>
    <row r="96" spans="1:12">
      <c r="A96" s="2" t="s">
        <v>470</v>
      </c>
      <c r="B96" s="165">
        <v>354656</v>
      </c>
      <c r="D96" s="20">
        <v>3.6769769584925682E-10</v>
      </c>
      <c r="E96" s="20">
        <v>0.96968675933858117</v>
      </c>
      <c r="F96" s="20">
        <v>9.8031381578922062E-5</v>
      </c>
      <c r="G96" s="20">
        <v>3.7919332053476147E-5</v>
      </c>
      <c r="H96" s="20">
        <v>0</v>
      </c>
      <c r="I96" s="20">
        <v>0.9695508086249488</v>
      </c>
      <c r="J96" s="20">
        <v>2.8199721777242198E-4</v>
      </c>
      <c r="K96" s="20">
        <v>3.0031243075948667E-2</v>
      </c>
      <c r="L96" s="20">
        <v>0</v>
      </c>
    </row>
    <row r="97" spans="1:12">
      <c r="A97" s="2" t="s">
        <v>472</v>
      </c>
      <c r="B97" s="3" t="s">
        <v>473</v>
      </c>
      <c r="D97" s="20">
        <v>5.6722052995158482E-10</v>
      </c>
      <c r="E97" s="20">
        <v>0.93653356740393823</v>
      </c>
      <c r="F97" s="20">
        <v>4.1901170608675705E-4</v>
      </c>
      <c r="G97" s="20">
        <v>1.4525186306571272E-4</v>
      </c>
      <c r="H97" s="20">
        <v>0</v>
      </c>
      <c r="I97" s="20">
        <v>0.93596930383478572</v>
      </c>
      <c r="J97" s="20">
        <v>5.1083568696461286E-4</v>
      </c>
      <c r="K97" s="20">
        <v>6.2955596341876724E-2</v>
      </c>
      <c r="L97" s="20">
        <v>0</v>
      </c>
    </row>
    <row r="98" spans="1:12">
      <c r="A98" s="2" t="s">
        <v>474</v>
      </c>
      <c r="B98" s="3" t="s">
        <v>475</v>
      </c>
      <c r="D98" s="20">
        <v>1.719111868676446E-19</v>
      </c>
      <c r="E98" s="20">
        <v>0.37669297778201472</v>
      </c>
      <c r="F98" s="20">
        <v>0.26228795895397167</v>
      </c>
      <c r="G98" s="20">
        <v>4.6630911950937361E-2</v>
      </c>
      <c r="H98" s="20">
        <v>0</v>
      </c>
      <c r="I98" s="20">
        <v>6.7774106877105694E-2</v>
      </c>
      <c r="J98" s="20">
        <v>0.10975252170234867</v>
      </c>
      <c r="K98" s="20">
        <v>0.51355450051563667</v>
      </c>
      <c r="L98" s="20">
        <v>0</v>
      </c>
    </row>
    <row r="99" spans="1:12">
      <c r="A99" s="2" t="s">
        <v>476</v>
      </c>
      <c r="B99" s="3" t="s">
        <v>477</v>
      </c>
      <c r="D99" s="20">
        <v>1.7345379056369552E-7</v>
      </c>
      <c r="E99" s="20">
        <v>0.99144525158369734</v>
      </c>
      <c r="F99" s="20">
        <v>8.2235248667811909E-6</v>
      </c>
      <c r="G99" s="20">
        <v>3.8243141939605549E-6</v>
      </c>
      <c r="H99" s="20">
        <v>0</v>
      </c>
      <c r="I99" s="20">
        <v>0.99143320374463662</v>
      </c>
      <c r="J99" s="20">
        <v>2.1265159469204711E-4</v>
      </c>
      <c r="K99" s="20">
        <v>8.3419233678201088E-3</v>
      </c>
      <c r="L99" s="20">
        <v>0</v>
      </c>
    </row>
    <row r="100" spans="1:12">
      <c r="A100" s="2" t="s">
        <v>478</v>
      </c>
      <c r="B100" s="3" t="s">
        <v>479</v>
      </c>
      <c r="D100" s="20">
        <v>6.5770191775116259E-11</v>
      </c>
      <c r="E100" s="20">
        <v>0.56360593313095719</v>
      </c>
      <c r="F100" s="20">
        <v>2.7108364908086987E-2</v>
      </c>
      <c r="G100" s="20">
        <v>6.6282499689156067E-3</v>
      </c>
      <c r="H100" s="20">
        <v>0</v>
      </c>
      <c r="I100" s="20">
        <v>0.52986931825395456</v>
      </c>
      <c r="J100" s="20">
        <v>1.5171617605084021E-2</v>
      </c>
      <c r="K100" s="20">
        <v>0.42122244919818858</v>
      </c>
      <c r="L100" s="20">
        <v>0</v>
      </c>
    </row>
    <row r="101" spans="1:12">
      <c r="A101" s="2" t="s">
        <v>480</v>
      </c>
      <c r="B101" s="3" t="s">
        <v>481</v>
      </c>
      <c r="D101" s="20">
        <v>4.6676473861009825E-11</v>
      </c>
      <c r="E101" s="20">
        <v>0.98580661981384299</v>
      </c>
      <c r="F101" s="20">
        <v>2.2231678588182713E-5</v>
      </c>
      <c r="G101" s="20">
        <v>9.6043462906968317E-6</v>
      </c>
      <c r="H101" s="20">
        <v>0</v>
      </c>
      <c r="I101" s="20">
        <v>0.9857747837889641</v>
      </c>
      <c r="J101" s="20">
        <v>2.2389368239567926E-4</v>
      </c>
      <c r="K101" s="20">
        <v>1.3969486457085029E-2</v>
      </c>
      <c r="L101" s="20">
        <v>0</v>
      </c>
    </row>
    <row r="102" spans="1:12">
      <c r="A102" s="2" t="s">
        <v>482</v>
      </c>
      <c r="B102" s="3" t="s">
        <v>483</v>
      </c>
      <c r="D102" s="20">
        <v>2.9330936930652949E-27</v>
      </c>
      <c r="E102" s="20">
        <v>0.99624614816844936</v>
      </c>
      <c r="F102" s="20">
        <v>1.5863541568456247E-6</v>
      </c>
      <c r="G102" s="20">
        <v>8.3309726040492921E-7</v>
      </c>
      <c r="H102" s="20">
        <v>0</v>
      </c>
      <c r="I102" s="20">
        <v>0.99624372871703215</v>
      </c>
      <c r="J102" s="20">
        <v>2.0728345854870262E-4</v>
      </c>
      <c r="K102" s="20">
        <v>3.5465683730018433E-3</v>
      </c>
      <c r="L102" s="20">
        <v>0</v>
      </c>
    </row>
    <row r="103" spans="1:12">
      <c r="A103" s="2" t="s">
        <v>484</v>
      </c>
      <c r="B103" s="3" t="s">
        <v>485</v>
      </c>
      <c r="D103" s="20">
        <v>2.339648048120197E-13</v>
      </c>
      <c r="E103" s="20">
        <v>0.99171107002954684</v>
      </c>
      <c r="F103" s="20">
        <v>7.7272461449273596E-6</v>
      </c>
      <c r="G103" s="20">
        <v>3.6101088933306253E-6</v>
      </c>
      <c r="H103" s="20">
        <v>0</v>
      </c>
      <c r="I103" s="20">
        <v>0.99169973267450862</v>
      </c>
      <c r="J103" s="20">
        <v>2.1224892684528829E-4</v>
      </c>
      <c r="K103" s="20">
        <v>8.0766810433738311E-3</v>
      </c>
      <c r="L103" s="20">
        <v>0</v>
      </c>
    </row>
    <row r="104" spans="1:12">
      <c r="A104" s="2" t="s">
        <v>486</v>
      </c>
      <c r="B104" s="3" t="s">
        <v>487</v>
      </c>
      <c r="D104" s="20">
        <v>2.8867233850683311E-9</v>
      </c>
      <c r="E104" s="20">
        <v>0.95420461875572116</v>
      </c>
      <c r="F104" s="20">
        <v>2.2013007689797415E-4</v>
      </c>
      <c r="G104" s="20">
        <v>8.0126272680606906E-5</v>
      </c>
      <c r="H104" s="20">
        <v>0</v>
      </c>
      <c r="I104" s="20">
        <v>0.95390436240614263</v>
      </c>
      <c r="J104" s="20">
        <v>3.7114866727118261E-4</v>
      </c>
      <c r="K104" s="20">
        <v>4.5424229690284312E-2</v>
      </c>
      <c r="L104" s="20">
        <v>0</v>
      </c>
    </row>
    <row r="105" spans="1:12">
      <c r="A105" s="2" t="s">
        <v>488</v>
      </c>
      <c r="B105" s="3" t="s">
        <v>489</v>
      </c>
      <c r="D105" s="20">
        <v>2.3326899847324829E-16</v>
      </c>
      <c r="E105" s="20">
        <v>0.9955387590570014</v>
      </c>
      <c r="F105" s="20">
        <v>2.249734351334318E-6</v>
      </c>
      <c r="G105" s="20">
        <v>1.1514015108967418E-6</v>
      </c>
      <c r="H105" s="20">
        <v>0</v>
      </c>
      <c r="I105" s="20">
        <v>0.99553535792113912</v>
      </c>
      <c r="J105" s="20">
        <v>2.0780961415569357E-4</v>
      </c>
      <c r="K105" s="20">
        <v>4.253431328842869E-3</v>
      </c>
      <c r="L105" s="20">
        <v>0</v>
      </c>
    </row>
    <row r="106" spans="1:12">
      <c r="A106" s="2" t="s">
        <v>490</v>
      </c>
      <c r="B106" s="3" t="s">
        <v>491</v>
      </c>
      <c r="D106" s="20">
        <v>1.302049890107535E-8</v>
      </c>
      <c r="E106" s="20">
        <v>0.84979845858405056</v>
      </c>
      <c r="F106" s="20">
        <v>2.3817810748636395E-3</v>
      </c>
      <c r="G106" s="20">
        <v>7.2110315464670219E-4</v>
      </c>
      <c r="H106" s="20">
        <v>0</v>
      </c>
      <c r="I106" s="20">
        <v>0.84669557435454024</v>
      </c>
      <c r="J106" s="20">
        <v>1.7755138911969672E-3</v>
      </c>
      <c r="K106" s="20">
        <v>0.1484260145042535</v>
      </c>
      <c r="L106" s="20">
        <v>0</v>
      </c>
    </row>
    <row r="107" spans="1:12">
      <c r="A107" s="2" t="s">
        <v>492</v>
      </c>
      <c r="B107" s="3" t="s">
        <v>493</v>
      </c>
      <c r="D107" s="20">
        <v>8.6867877958648461E-16</v>
      </c>
      <c r="E107" s="20">
        <v>0.394780669116575</v>
      </c>
      <c r="F107" s="20">
        <v>0.29022406947624063</v>
      </c>
      <c r="G107" s="20">
        <v>5.0376615067491741E-2</v>
      </c>
      <c r="H107" s="20">
        <v>0</v>
      </c>
      <c r="I107" s="20">
        <v>5.4179984572842635E-2</v>
      </c>
      <c r="J107" s="20">
        <v>0.11887751349626531</v>
      </c>
      <c r="K107" s="20">
        <v>0.48634181738715865</v>
      </c>
      <c r="L107" s="20">
        <v>0</v>
      </c>
    </row>
    <row r="108" spans="1:12">
      <c r="A108" s="2" t="s">
        <v>291</v>
      </c>
      <c r="B108" s="3" t="s">
        <v>494</v>
      </c>
      <c r="D108" s="20">
        <v>3.5928097734847683E-10</v>
      </c>
      <c r="E108" s="20">
        <v>0.60474060267316687</v>
      </c>
      <c r="F108" s="20">
        <v>2.0859718259290432E-2</v>
      </c>
      <c r="G108" s="20">
        <v>5.2336417796531058E-3</v>
      </c>
      <c r="H108" s="20">
        <v>0</v>
      </c>
      <c r="I108" s="20">
        <v>0.57864724263422329</v>
      </c>
      <c r="J108" s="20">
        <v>1.1978985328899612E-2</v>
      </c>
      <c r="K108" s="20">
        <v>0.38328041163865262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3.7738567902284255E-9</v>
      </c>
      <c r="E2" s="14">
        <v>3.2257082139503749E-5</v>
      </c>
      <c r="F2" s="14">
        <v>1.5341210551808485E-7</v>
      </c>
      <c r="G2" s="14">
        <v>4.4684323351501321E-8</v>
      </c>
      <c r="H2" s="14">
        <v>0</v>
      </c>
      <c r="I2" s="14">
        <v>1.0627280610347323E-7</v>
      </c>
      <c r="J2" s="14">
        <v>7.43477476873296E-6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4.2441856995419038E-7</v>
      </c>
      <c r="E3" s="14">
        <v>7.7741701605960498E-8</v>
      </c>
      <c r="F3" s="14">
        <v>2.8725565864117E-6</v>
      </c>
      <c r="G3" s="14">
        <v>7.7833067694940014E-6</v>
      </c>
      <c r="H3" s="14">
        <v>0</v>
      </c>
      <c r="I3" s="14">
        <v>1.913516079274376E-5</v>
      </c>
      <c r="J3" s="14">
        <v>9.7068155797903908E-6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2.4050033116766161E-16</v>
      </c>
      <c r="E4" s="14">
        <v>1.9340840492357209E-5</v>
      </c>
      <c r="F4" s="14">
        <v>1.3695878469123853E-6</v>
      </c>
      <c r="G4" s="14">
        <v>3.2695309211013259E-7</v>
      </c>
      <c r="H4" s="14">
        <v>0</v>
      </c>
      <c r="I4" s="14">
        <v>7.4892273864516206E-7</v>
      </c>
      <c r="J4" s="14">
        <v>1.8213695829734618E-5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1.8646528645734363E-8</v>
      </c>
      <c r="E5" s="14">
        <v>1.0781958532590921E-6</v>
      </c>
      <c r="F5" s="14">
        <v>1.0502004682445375E-5</v>
      </c>
      <c r="G5" s="14">
        <v>3.047668757251012E-6</v>
      </c>
      <c r="H5" s="14">
        <v>0</v>
      </c>
      <c r="I5" s="14">
        <v>7.2617418570725738E-6</v>
      </c>
      <c r="J5" s="14">
        <v>1.8091742321326211E-5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1.3630625921306655E-9</v>
      </c>
      <c r="E6" s="14">
        <v>3.4270107259095156E-8</v>
      </c>
      <c r="F6" s="14">
        <v>1.8058846814568357E-6</v>
      </c>
      <c r="G6" s="14">
        <v>8.8692228957544534E-6</v>
      </c>
      <c r="H6" s="14">
        <v>0</v>
      </c>
      <c r="I6" s="14">
        <v>2.1987992764692151E-5</v>
      </c>
      <c r="J6" s="14">
        <v>7.3012664882453374E-6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2.0476613057628808E-9</v>
      </c>
      <c r="E7" s="14">
        <v>6.9784309899505534E-8</v>
      </c>
      <c r="F7" s="14">
        <v>2.7160160903413946E-6</v>
      </c>
      <c r="G7" s="14">
        <v>8.0283795098710609E-6</v>
      </c>
      <c r="H7" s="14">
        <v>0</v>
      </c>
      <c r="I7" s="14">
        <v>1.976182830369823E-5</v>
      </c>
      <c r="J7" s="14">
        <v>9.4219441248840516E-6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2.0179609430808207E-8</v>
      </c>
      <c r="E8" s="14">
        <v>1.6220058673517178E-7</v>
      </c>
      <c r="F8" s="14">
        <v>4.3130746137255654E-6</v>
      </c>
      <c r="G8" s="14">
        <v>6.7341459803139095E-6</v>
      </c>
      <c r="H8" s="14">
        <v>0</v>
      </c>
      <c r="I8" s="14">
        <v>1.6428125959935132E-5</v>
      </c>
      <c r="J8" s="14">
        <v>1.234227324985942E-5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1.0623583432879764E-8</v>
      </c>
      <c r="E9" s="14">
        <v>6.2412373311165869E-6</v>
      </c>
      <c r="F9" s="14">
        <v>6.2595807729310123E-6</v>
      </c>
      <c r="G9" s="14">
        <v>1.2292516594957672E-6</v>
      </c>
      <c r="H9" s="14">
        <v>0</v>
      </c>
      <c r="I9" s="14">
        <v>2.8626698253115267E-6</v>
      </c>
      <c r="J9" s="14">
        <v>2.3396636827712221E-5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2.365518292128265E-10</v>
      </c>
      <c r="E10" s="14">
        <v>9.9007016874479739E-7</v>
      </c>
      <c r="F10" s="14">
        <v>1.0157820301575502E-5</v>
      </c>
      <c r="G10" s="14">
        <v>3.2158522040256116E-6</v>
      </c>
      <c r="H10" s="14">
        <v>0</v>
      </c>
      <c r="I10" s="14">
        <v>7.6717864413927957E-6</v>
      </c>
      <c r="J10" s="14">
        <v>1.796423433243209E-5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1.2052951796472401E-8</v>
      </c>
      <c r="E11" s="14">
        <v>8.5552574709212057E-7</v>
      </c>
      <c r="F11" s="14">
        <v>9.5712273988530524E-6</v>
      </c>
      <c r="G11" s="14">
        <v>3.5031859464216405E-6</v>
      </c>
      <c r="H11" s="14">
        <v>0</v>
      </c>
      <c r="I11" s="14">
        <v>8.3741987528250956E-6</v>
      </c>
      <c r="J11" s="14">
        <v>1.7683809203011622E-5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6.3831693309571246E-9</v>
      </c>
      <c r="E12" s="14">
        <v>4.6001927579174395E-6</v>
      </c>
      <c r="F12" s="14">
        <v>7.8002869660816244E-6</v>
      </c>
      <c r="G12" s="14">
        <v>1.4736899971025865E-6</v>
      </c>
      <c r="H12" s="14">
        <v>0</v>
      </c>
      <c r="I12" s="14">
        <v>3.4459366172296324E-6</v>
      </c>
      <c r="J12" s="14">
        <v>2.2673510492337761E-5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1.6756361019802317E-8</v>
      </c>
      <c r="E13" s="14">
        <v>6.0681928340270261E-6</v>
      </c>
      <c r="F13" s="14">
        <v>6.398142723311968E-6</v>
      </c>
      <c r="G13" s="14">
        <v>1.2518418868506707E-6</v>
      </c>
      <c r="H13" s="14">
        <v>0</v>
      </c>
      <c r="I13" s="14">
        <v>2.9163982108151309E-6</v>
      </c>
      <c r="J13" s="14">
        <v>2.3348667983975402E-5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7.5259716457833467E-9</v>
      </c>
      <c r="E14" s="14">
        <v>5.3191500573705869E-7</v>
      </c>
      <c r="F14" s="14">
        <v>7.7828165306636493E-6</v>
      </c>
      <c r="G14" s="14">
        <v>4.4661401570173889E-6</v>
      </c>
      <c r="H14" s="14">
        <v>0</v>
      </c>
      <c r="I14" s="14">
        <v>1.0743446098005482E-5</v>
      </c>
      <c r="J14" s="14">
        <v>1.6468156236930639E-5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1.3267020585995275E-11</v>
      </c>
      <c r="E15" s="14">
        <v>9.209012607219038E-7</v>
      </c>
      <c r="F15" s="14">
        <v>9.8661478177050351E-6</v>
      </c>
      <c r="G15" s="14">
        <v>3.3584831465986145E-6</v>
      </c>
      <c r="H15" s="14">
        <v>0</v>
      </c>
      <c r="I15" s="14">
        <v>8.0201653501787474E-6</v>
      </c>
      <c r="J15" s="14">
        <v>1.7834289157775122E-5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5.2534695318465924E-8</v>
      </c>
      <c r="E16" s="14">
        <v>1.6815348879956517E-7</v>
      </c>
      <c r="F16" s="14">
        <v>4.3946109423148001E-6</v>
      </c>
      <c r="G16" s="14">
        <v>6.6652430101937047E-6</v>
      </c>
      <c r="H16" s="14">
        <v>0</v>
      </c>
      <c r="I16" s="14">
        <v>1.625341491880497E-5</v>
      </c>
      <c r="J16" s="14">
        <v>1.2466042944568499E-5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4.7700199031943106E-9</v>
      </c>
      <c r="E17" s="14">
        <v>1.0483344451795152E-6</v>
      </c>
      <c r="F17" s="14">
        <v>1.0389494225980026E-5</v>
      </c>
      <c r="G17" s="14">
        <v>3.1037730756358326E-6</v>
      </c>
      <c r="H17" s="14">
        <v>0</v>
      </c>
      <c r="I17" s="14">
        <v>7.3984162415006982E-6</v>
      </c>
      <c r="J17" s="14">
        <v>1.8055211991800744E-5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2.9920121138517746E-7</v>
      </c>
      <c r="E18" s="14">
        <v>7.0065304221451935E-6</v>
      </c>
      <c r="F18" s="14">
        <v>5.6109650355618628E-6</v>
      </c>
      <c r="G18" s="14">
        <v>1.1202968576230014E-6</v>
      </c>
      <c r="H18" s="14">
        <v>0</v>
      </c>
      <c r="I18" s="14">
        <v>2.6044635600322526E-6</v>
      </c>
      <c r="J18" s="14">
        <v>2.3358542913252518E-5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4.6397525641562125E-11</v>
      </c>
      <c r="E19" s="14">
        <v>9.0755819971660786E-7</v>
      </c>
      <c r="F19" s="14">
        <v>9.8077420555061732E-6</v>
      </c>
      <c r="G19" s="14">
        <v>3.3873852391116697E-6</v>
      </c>
      <c r="H19" s="14">
        <v>0</v>
      </c>
      <c r="I19" s="14">
        <v>8.0908231632363306E-6</v>
      </c>
      <c r="J19" s="14">
        <v>1.7806444944903582E-5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2.5370798139284456E-9</v>
      </c>
      <c r="E20" s="14">
        <v>6.0703508715563885E-6</v>
      </c>
      <c r="F20" s="14">
        <v>6.4004181012527776E-6</v>
      </c>
      <c r="G20" s="14">
        <v>1.2522870806417282E-6</v>
      </c>
      <c r="H20" s="14">
        <v>0</v>
      </c>
      <c r="I20" s="14">
        <v>2.917435372448198E-6</v>
      </c>
      <c r="J20" s="14">
        <v>2.3356971494286989E-5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6.4113802602003849E-8</v>
      </c>
      <c r="E21" s="14">
        <v>6.1202787157207802E-7</v>
      </c>
      <c r="F21" s="14">
        <v>8.2837264822931684E-6</v>
      </c>
      <c r="G21" s="14">
        <v>4.17177911898167E-6</v>
      </c>
      <c r="H21" s="14">
        <v>0</v>
      </c>
      <c r="I21" s="14">
        <v>1.0017032305713696E-5</v>
      </c>
      <c r="J21" s="14">
        <v>1.6851320418837383E-5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9.0023930227894238E-8</v>
      </c>
      <c r="E22" s="14">
        <v>2.585816091708267E-5</v>
      </c>
      <c r="F22" s="14">
        <v>5.5135610044110376E-7</v>
      </c>
      <c r="G22" s="14">
        <v>1.4378968739224486E-7</v>
      </c>
      <c r="H22" s="14">
        <v>0</v>
      </c>
      <c r="I22" s="14">
        <v>3.297906391244783E-7</v>
      </c>
      <c r="J22" s="14">
        <v>1.3026878725731609E-5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3.559041597784507E-9</v>
      </c>
      <c r="E23" s="14">
        <v>3.0332815850923051E-5</v>
      </c>
      <c r="F23" s="14">
        <v>2.4389746079758476E-7</v>
      </c>
      <c r="G23" s="14">
        <v>6.8344384126429087E-8</v>
      </c>
      <c r="H23" s="14">
        <v>0</v>
      </c>
      <c r="I23" s="14">
        <v>1.5926792826774555E-7</v>
      </c>
      <c r="J23" s="14">
        <v>9.1921153342874114E-6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5.1838081581742554E-9</v>
      </c>
      <c r="E24" s="14">
        <v>1.2504564911909126E-5</v>
      </c>
      <c r="F24" s="14">
        <v>3.0152486780228281E-6</v>
      </c>
      <c r="G24" s="14">
        <v>6.576861421391242E-7</v>
      </c>
      <c r="H24" s="14">
        <v>0</v>
      </c>
      <c r="I24" s="14">
        <v>1.5159578314326104E-6</v>
      </c>
      <c r="J24" s="14">
        <v>2.2301358628338139E-5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1.8213487257726332E-6</v>
      </c>
      <c r="E25" s="14">
        <v>2.860966488212846E-6</v>
      </c>
      <c r="F25" s="14">
        <v>9.5294387092344743E-6</v>
      </c>
      <c r="G25" s="14">
        <v>1.7130217473549555E-6</v>
      </c>
      <c r="H25" s="14">
        <v>0</v>
      </c>
      <c r="I25" s="14">
        <v>4.027018749101676E-6</v>
      </c>
      <c r="J25" s="14">
        <v>2.0048205580323417E-5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5.2121340682114167E-8</v>
      </c>
      <c r="E26" s="14">
        <v>6.7173077038977405E-7</v>
      </c>
      <c r="F26" s="14">
        <v>8.6315699250311739E-6</v>
      </c>
      <c r="G26" s="14">
        <v>3.9846056690532022E-6</v>
      </c>
      <c r="H26" s="14">
        <v>0</v>
      </c>
      <c r="I26" s="14">
        <v>9.5559608264675838E-6</v>
      </c>
      <c r="J26" s="14">
        <v>1.7104011468376149E-5</v>
      </c>
      <c r="K26" s="14">
        <v>0</v>
      </c>
    </row>
    <row r="27" spans="1:13">
      <c r="A27" s="2" t="s">
        <v>353</v>
      </c>
      <c r="B27" s="3" t="s">
        <v>354</v>
      </c>
      <c r="D27" s="14">
        <v>2.9612286787949263E-7</v>
      </c>
      <c r="E27" s="14">
        <v>8.6026372700573928E-8</v>
      </c>
      <c r="F27" s="14">
        <v>3.0440106086757772E-6</v>
      </c>
      <c r="G27" s="14">
        <v>7.6708186774876244E-6</v>
      </c>
      <c r="H27" s="14">
        <v>0</v>
      </c>
      <c r="I27" s="14">
        <v>1.8839398738144669E-5</v>
      </c>
      <c r="J27" s="14">
        <v>1.0063622735111866E-5</v>
      </c>
      <c r="K27" s="14">
        <v>0</v>
      </c>
    </row>
    <row r="28" spans="1:13">
      <c r="A28" s="2" t="s">
        <v>355</v>
      </c>
      <c r="B28" s="3" t="s">
        <v>356</v>
      </c>
      <c r="D28" s="14">
        <v>1.8007377980068837E-8</v>
      </c>
      <c r="E28" s="14">
        <v>3.4127945544715502E-7</v>
      </c>
      <c r="F28" s="14">
        <v>6.3084794913795064E-6</v>
      </c>
      <c r="G28" s="14">
        <v>5.3557494380052027E-6</v>
      </c>
      <c r="H28" s="14">
        <v>0</v>
      </c>
      <c r="I28" s="14">
        <v>1.2954307006713463E-5</v>
      </c>
      <c r="J28" s="14">
        <v>1.5022177230474608E-5</v>
      </c>
      <c r="K28" s="14">
        <v>0</v>
      </c>
    </row>
    <row r="29" spans="1:13">
      <c r="A29" s="2" t="s">
        <v>357</v>
      </c>
      <c r="B29" s="3" t="s">
        <v>358</v>
      </c>
      <c r="D29" s="14">
        <v>3.5989845922236262E-6</v>
      </c>
      <c r="E29" s="14">
        <v>5.0773798118104837E-7</v>
      </c>
      <c r="F29" s="14">
        <v>7.238593729514365E-6</v>
      </c>
      <c r="G29" s="14">
        <v>3.9769465821982826E-6</v>
      </c>
      <c r="H29" s="14">
        <v>0</v>
      </c>
      <c r="I29" s="14">
        <v>9.5608493667387785E-6</v>
      </c>
      <c r="J29" s="14">
        <v>1.5116887748143901E-5</v>
      </c>
      <c r="K29" s="14">
        <v>0</v>
      </c>
    </row>
    <row r="30" spans="1:13">
      <c r="A30" s="2" t="s">
        <v>359</v>
      </c>
      <c r="B30" s="3" t="s">
        <v>360</v>
      </c>
      <c r="D30" s="14">
        <v>1.8007377980068837E-8</v>
      </c>
      <c r="E30" s="14">
        <v>3.4127945544715502E-7</v>
      </c>
      <c r="F30" s="14">
        <v>6.3084794913795064E-6</v>
      </c>
      <c r="G30" s="14">
        <v>5.3557494380052027E-6</v>
      </c>
      <c r="H30" s="14">
        <v>0</v>
      </c>
      <c r="I30" s="14">
        <v>1.2954307006713463E-5</v>
      </c>
      <c r="J30" s="14">
        <v>1.5022177230474608E-5</v>
      </c>
      <c r="K30" s="14">
        <v>0</v>
      </c>
    </row>
    <row r="31" spans="1:13">
      <c r="A31" s="2" t="s">
        <v>283</v>
      </c>
      <c r="B31" s="3" t="s">
        <v>284</v>
      </c>
      <c r="D31" s="14">
        <v>1.0456594014126632E-12</v>
      </c>
      <c r="E31" s="14">
        <v>3.905439469102503E-5</v>
      </c>
      <c r="F31" s="14">
        <v>2.3947735975813614E-9</v>
      </c>
      <c r="G31" s="14">
        <v>9.6108105571211979E-10</v>
      </c>
      <c r="H31" s="14">
        <v>0</v>
      </c>
      <c r="I31" s="14">
        <v>1.0126646944944683E-8</v>
      </c>
      <c r="J31" s="14">
        <v>9.3212176171733176E-7</v>
      </c>
      <c r="K31" s="14">
        <v>0</v>
      </c>
    </row>
    <row r="32" spans="1:13">
      <c r="A32" s="2" t="s">
        <v>361</v>
      </c>
      <c r="B32" s="3" t="s">
        <v>362</v>
      </c>
      <c r="D32" s="14">
        <v>1.0761440064858014E-12</v>
      </c>
      <c r="E32" s="14">
        <v>2.1982456644907475E-5</v>
      </c>
      <c r="F32" s="14">
        <v>9.8474253260547926E-7</v>
      </c>
      <c r="G32" s="14">
        <v>2.427959050076999E-7</v>
      </c>
      <c r="H32" s="14">
        <v>0</v>
      </c>
      <c r="I32" s="14">
        <v>5.5867829970111733E-7</v>
      </c>
      <c r="J32" s="14">
        <v>1.6231325541634229E-5</v>
      </c>
      <c r="K32" s="14">
        <v>0</v>
      </c>
    </row>
    <row r="33" spans="1:11">
      <c r="A33" s="2" t="s">
        <v>364</v>
      </c>
      <c r="B33" s="3" t="s">
        <v>365</v>
      </c>
      <c r="D33" s="14">
        <v>4.8289085004415137E-15</v>
      </c>
      <c r="E33" s="14">
        <v>3.9971716079100381E-5</v>
      </c>
      <c r="F33" s="14">
        <v>1.6809985712839554E-8</v>
      </c>
      <c r="G33" s="14">
        <v>5.1403733927773773E-12</v>
      </c>
      <c r="H33" s="14">
        <v>0</v>
      </c>
      <c r="I33" s="14">
        <v>9.1836790023636586E-9</v>
      </c>
      <c r="J33" s="14">
        <v>2.2851109821050646E-9</v>
      </c>
      <c r="K33" s="14">
        <v>0</v>
      </c>
    </row>
    <row r="34" spans="1:11">
      <c r="A34" s="2" t="s">
        <v>285</v>
      </c>
      <c r="B34" s="3" t="s">
        <v>286</v>
      </c>
      <c r="D34" s="14">
        <v>2.4053749152916394E-14</v>
      </c>
      <c r="E34" s="14">
        <v>3.6829529899399407E-5</v>
      </c>
      <c r="F34" s="14">
        <v>3.0301960367879001E-6</v>
      </c>
      <c r="G34" s="14">
        <v>2.4885434789856618E-10</v>
      </c>
      <c r="H34" s="14">
        <v>0</v>
      </c>
      <c r="I34" s="14">
        <v>1.2697977148831469E-7</v>
      </c>
      <c r="J34" s="14">
        <v>1.3045413922731418E-8</v>
      </c>
      <c r="K34" s="14">
        <v>0</v>
      </c>
    </row>
    <row r="35" spans="1:11">
      <c r="A35" s="2" t="s">
        <v>287</v>
      </c>
      <c r="B35" s="3" t="s">
        <v>288</v>
      </c>
      <c r="D35" s="14">
        <v>1.0562108312076754E-15</v>
      </c>
      <c r="E35" s="14">
        <v>3.2868087492560551E-5</v>
      </c>
      <c r="F35" s="14">
        <v>6.8213288150983188E-6</v>
      </c>
      <c r="G35" s="14">
        <v>1.3209801978928982E-9</v>
      </c>
      <c r="H35" s="14">
        <v>0</v>
      </c>
      <c r="I35" s="14">
        <v>2.6166249350048638E-7</v>
      </c>
      <c r="J35" s="14">
        <v>4.7600217586541149E-8</v>
      </c>
      <c r="K35" s="14">
        <v>0</v>
      </c>
    </row>
    <row r="36" spans="1:11">
      <c r="A36" s="2" t="s">
        <v>366</v>
      </c>
      <c r="B36" s="3" t="s">
        <v>305</v>
      </c>
      <c r="D36" s="14">
        <v>3.6629228686292899E-12</v>
      </c>
      <c r="E36" s="14">
        <v>2.1567234053477072E-5</v>
      </c>
      <c r="F36" s="14">
        <v>1.7708794646135363E-5</v>
      </c>
      <c r="G36" s="14">
        <v>5.0702664800406189E-9</v>
      </c>
      <c r="H36" s="14">
        <v>0</v>
      </c>
      <c r="I36" s="14">
        <v>6.1424636297257818E-7</v>
      </c>
      <c r="J36" s="14">
        <v>1.0465100801207854E-7</v>
      </c>
      <c r="K36" s="14">
        <v>0</v>
      </c>
    </row>
    <row r="37" spans="1:11">
      <c r="A37" s="2" t="s">
        <v>289</v>
      </c>
      <c r="B37" s="3" t="s">
        <v>290</v>
      </c>
      <c r="D37" s="14">
        <v>4.6670870749086546E-19</v>
      </c>
      <c r="E37" s="14">
        <v>2.3250472044138383E-5</v>
      </c>
      <c r="F37" s="14">
        <v>7.7600822602477792E-6</v>
      </c>
      <c r="G37" s="14">
        <v>2.6493285888773407E-7</v>
      </c>
      <c r="H37" s="14">
        <v>0</v>
      </c>
      <c r="I37" s="14">
        <v>8.4955102318920057E-7</v>
      </c>
      <c r="J37" s="14">
        <v>7.8749618135364415E-6</v>
      </c>
      <c r="K37" s="14">
        <v>0</v>
      </c>
    </row>
    <row r="38" spans="1:11">
      <c r="A38" s="2" t="s">
        <v>291</v>
      </c>
      <c r="B38" s="3" t="s">
        <v>292</v>
      </c>
      <c r="D38" s="14">
        <v>7.3500398383261031E-17</v>
      </c>
      <c r="E38" s="14">
        <v>3.7438681916954019E-5</v>
      </c>
      <c r="F38" s="14">
        <v>2.3395649196324853E-6</v>
      </c>
      <c r="G38" s="14">
        <v>1.9545741396173124E-9</v>
      </c>
      <c r="H38" s="14">
        <v>0</v>
      </c>
      <c r="I38" s="14">
        <v>1.0525658471332493E-7</v>
      </c>
      <c r="J38" s="14">
        <v>1.1454200448705981E-7</v>
      </c>
      <c r="K38" s="14">
        <v>0</v>
      </c>
    </row>
    <row r="39" spans="1:11">
      <c r="A39" s="2" t="s">
        <v>367</v>
      </c>
      <c r="B39" s="3" t="s">
        <v>368</v>
      </c>
      <c r="D39" s="14">
        <v>2.4267722791754557E-9</v>
      </c>
      <c r="E39" s="14">
        <v>1.7347172211102187E-6</v>
      </c>
      <c r="F39" s="14">
        <v>1.2479673989465628E-5</v>
      </c>
      <c r="G39" s="14">
        <v>2.1797103965442124E-6</v>
      </c>
      <c r="H39" s="14">
        <v>0</v>
      </c>
      <c r="I39" s="14">
        <v>5.1570799301325928E-6</v>
      </c>
      <c r="J39" s="14">
        <v>1.8446391690468179E-5</v>
      </c>
      <c r="K39" s="14">
        <v>0</v>
      </c>
    </row>
    <row r="40" spans="1:11">
      <c r="A40" s="2" t="s">
        <v>369</v>
      </c>
      <c r="B40" s="3" t="s">
        <v>370</v>
      </c>
      <c r="D40" s="14">
        <v>1.1320340104132294E-16</v>
      </c>
      <c r="E40" s="14">
        <v>1.2385527716332057E-7</v>
      </c>
      <c r="F40" s="14">
        <v>1.126079535220629E-5</v>
      </c>
      <c r="G40" s="14">
        <v>8.1468447978893362E-7</v>
      </c>
      <c r="H40" s="14">
        <v>0</v>
      </c>
      <c r="I40" s="14">
        <v>2.7446421241263816E-5</v>
      </c>
      <c r="J40" s="14">
        <v>3.5424364946443815E-7</v>
      </c>
      <c r="K40" s="14">
        <v>0</v>
      </c>
    </row>
    <row r="41" spans="1:11">
      <c r="A41" s="2" t="s">
        <v>371</v>
      </c>
      <c r="B41" s="3" t="s">
        <v>372</v>
      </c>
      <c r="D41" s="14">
        <v>3.261276703044423E-6</v>
      </c>
      <c r="E41" s="14">
        <v>3.6548311067343972E-5</v>
      </c>
      <c r="F41" s="14">
        <v>1.1149666132176024E-10</v>
      </c>
      <c r="G41" s="14">
        <v>5.5815833999651427E-11</v>
      </c>
      <c r="H41" s="14">
        <v>0</v>
      </c>
      <c r="I41" s="14">
        <v>7.6578347524240868E-9</v>
      </c>
      <c r="J41" s="14">
        <v>1.8258708236386886E-7</v>
      </c>
      <c r="K41" s="14">
        <v>0</v>
      </c>
    </row>
    <row r="42" spans="1:11">
      <c r="A42" s="2" t="s">
        <v>293</v>
      </c>
      <c r="B42" s="3" t="s">
        <v>294</v>
      </c>
      <c r="D42" s="14">
        <v>8.2412634428880785E-13</v>
      </c>
      <c r="E42" s="14">
        <v>2.4756740343024992E-5</v>
      </c>
      <c r="F42" s="14">
        <v>6.6110130134763362E-7</v>
      </c>
      <c r="G42" s="14">
        <v>1.6957568006111826E-7</v>
      </c>
      <c r="H42" s="14">
        <v>0</v>
      </c>
      <c r="I42" s="14">
        <v>3.8844316256964049E-7</v>
      </c>
      <c r="J42" s="14">
        <v>1.4024138688870275E-5</v>
      </c>
      <c r="K42" s="14">
        <v>0</v>
      </c>
    </row>
    <row r="43" spans="1:11">
      <c r="A43" s="2" t="s">
        <v>373</v>
      </c>
      <c r="B43" s="3" t="s">
        <v>374</v>
      </c>
      <c r="D43" s="14">
        <v>1.5020060106604943E-11</v>
      </c>
      <c r="E43" s="14">
        <v>3.0808957507033851E-6</v>
      </c>
      <c r="F43" s="14">
        <v>3.4467640421541868E-5</v>
      </c>
      <c r="G43" s="14">
        <v>2.9102712902144792E-8</v>
      </c>
      <c r="H43" s="14">
        <v>0</v>
      </c>
      <c r="I43" s="14">
        <v>2.2754378717855927E-6</v>
      </c>
      <c r="J43" s="14">
        <v>1.4690822300690128E-7</v>
      </c>
      <c r="K43" s="14">
        <v>0</v>
      </c>
    </row>
    <row r="44" spans="1:11">
      <c r="A44" s="2" t="s">
        <v>375</v>
      </c>
      <c r="B44" s="3" t="s">
        <v>376</v>
      </c>
      <c r="D44" s="14">
        <v>3.4713442227577394E-6</v>
      </c>
      <c r="E44" s="14">
        <v>3.1177216979997232E-5</v>
      </c>
      <c r="F44" s="14">
        <v>7.9354561449431864E-8</v>
      </c>
      <c r="G44" s="14">
        <v>2.4202902498187686E-8</v>
      </c>
      <c r="H44" s="14">
        <v>0</v>
      </c>
      <c r="I44" s="14">
        <v>6.0118877686398536E-8</v>
      </c>
      <c r="J44" s="14">
        <v>5.1877624556110076E-6</v>
      </c>
      <c r="K44" s="14">
        <v>0</v>
      </c>
    </row>
    <row r="45" spans="1:11">
      <c r="A45" s="2" t="s">
        <v>377</v>
      </c>
      <c r="B45" s="3" t="s">
        <v>378</v>
      </c>
      <c r="D45" s="14">
        <v>3.2136587068428479E-8</v>
      </c>
      <c r="E45" s="14">
        <v>2.3671153241289108E-5</v>
      </c>
      <c r="F45" s="14">
        <v>7.7210073759722791E-7</v>
      </c>
      <c r="G45" s="14">
        <v>1.9515043456431316E-7</v>
      </c>
      <c r="H45" s="14">
        <v>0</v>
      </c>
      <c r="I45" s="14">
        <v>4.4674440891619392E-7</v>
      </c>
      <c r="J45" s="14">
        <v>1.4882714590564733E-5</v>
      </c>
      <c r="K45" s="14">
        <v>0</v>
      </c>
    </row>
    <row r="46" spans="1:11">
      <c r="A46" s="2" t="s">
        <v>379</v>
      </c>
      <c r="B46" s="3" t="s">
        <v>380</v>
      </c>
      <c r="D46" s="14">
        <v>9.5089368592495798E-8</v>
      </c>
      <c r="E46" s="14">
        <v>2.4302537846464616E-5</v>
      </c>
      <c r="F46" s="14">
        <v>6.995297328861196E-7</v>
      </c>
      <c r="G46" s="14">
        <v>1.7844391127740078E-7</v>
      </c>
      <c r="H46" s="14">
        <v>0</v>
      </c>
      <c r="I46" s="14">
        <v>4.0864060772200571E-7</v>
      </c>
      <c r="J46" s="14">
        <v>1.4315758533057367E-5</v>
      </c>
      <c r="K46" s="14">
        <v>0</v>
      </c>
    </row>
    <row r="47" spans="1:11">
      <c r="A47" s="2" t="s">
        <v>381</v>
      </c>
      <c r="B47" s="3" t="s">
        <v>382</v>
      </c>
      <c r="D47" s="14">
        <v>5.0399590784266257E-12</v>
      </c>
      <c r="E47" s="14">
        <v>7.8575413425576673E-8</v>
      </c>
      <c r="F47" s="14">
        <v>2.9033622457828623E-6</v>
      </c>
      <c r="G47" s="14">
        <v>7.8667759336025509E-6</v>
      </c>
      <c r="H47" s="14">
        <v>0</v>
      </c>
      <c r="I47" s="14">
        <v>1.9340368672087936E-5</v>
      </c>
      <c r="J47" s="14">
        <v>9.8109126951419987E-6</v>
      </c>
      <c r="K47" s="14">
        <v>0</v>
      </c>
    </row>
    <row r="48" spans="1:11">
      <c r="A48" s="2" t="s">
        <v>383</v>
      </c>
      <c r="B48" s="3" t="s">
        <v>384</v>
      </c>
      <c r="D48" s="14">
        <v>4.7266486371122589E-7</v>
      </c>
      <c r="E48" s="14">
        <v>3.6392591620617283E-5</v>
      </c>
      <c r="F48" s="14">
        <v>2.523640767149231E-8</v>
      </c>
      <c r="G48" s="14">
        <v>8.4707738998868228E-9</v>
      </c>
      <c r="H48" s="14">
        <v>0</v>
      </c>
      <c r="I48" s="14">
        <v>2.6102887904412669E-8</v>
      </c>
      <c r="J48" s="14">
        <v>3.0749334461957006E-6</v>
      </c>
      <c r="K48" s="14">
        <v>0</v>
      </c>
    </row>
    <row r="49" spans="1:11">
      <c r="A49" s="2" t="s">
        <v>385</v>
      </c>
      <c r="B49" s="3" t="s">
        <v>386</v>
      </c>
      <c r="D49" s="14">
        <v>8.8753937725758948E-7</v>
      </c>
      <c r="E49" s="14">
        <v>3.4925874965826431E-5</v>
      </c>
      <c r="F49" s="14">
        <v>4.5254507751568763E-8</v>
      </c>
      <c r="G49" s="14">
        <v>1.4506324915961043E-8</v>
      </c>
      <c r="H49" s="14">
        <v>0</v>
      </c>
      <c r="I49" s="14">
        <v>3.9209381559005253E-8</v>
      </c>
      <c r="J49" s="14">
        <v>4.0876154426894488E-6</v>
      </c>
      <c r="K49" s="14">
        <v>0</v>
      </c>
    </row>
    <row r="50" spans="1:11">
      <c r="A50" s="2" t="s">
        <v>387</v>
      </c>
      <c r="B50" s="3" t="s">
        <v>388</v>
      </c>
      <c r="D50" s="14">
        <v>6.3019158837973969E-7</v>
      </c>
      <c r="E50" s="14">
        <v>7.2308985191025299E-6</v>
      </c>
      <c r="F50" s="14">
        <v>5.3721337520649126E-6</v>
      </c>
      <c r="G50" s="14">
        <v>1.0785551882839146E-6</v>
      </c>
      <c r="H50" s="14">
        <v>0</v>
      </c>
      <c r="I50" s="14">
        <v>2.5060020267580116E-6</v>
      </c>
      <c r="J50" s="14">
        <v>2.3182218925410897E-5</v>
      </c>
      <c r="K50" s="14">
        <v>0</v>
      </c>
    </row>
    <row r="51" spans="1:11">
      <c r="A51" s="2" t="s">
        <v>295</v>
      </c>
      <c r="B51" s="3" t="s">
        <v>296</v>
      </c>
      <c r="D51" s="14">
        <v>2.6164053992773815E-6</v>
      </c>
      <c r="E51" s="14">
        <v>3.6186343479754637E-5</v>
      </c>
      <c r="F51" s="14">
        <v>4.0437030124696403E-9</v>
      </c>
      <c r="G51" s="14">
        <v>1.5526544306470853E-9</v>
      </c>
      <c r="H51" s="14">
        <v>0</v>
      </c>
      <c r="I51" s="14">
        <v>1.0824602419912375E-8</v>
      </c>
      <c r="J51" s="14">
        <v>1.1808301611049612E-6</v>
      </c>
      <c r="K51" s="14">
        <v>0</v>
      </c>
    </row>
    <row r="52" spans="1:11">
      <c r="A52" s="2" t="s">
        <v>389</v>
      </c>
      <c r="B52" s="3" t="s">
        <v>390</v>
      </c>
      <c r="D52" s="14">
        <v>2.8557608996543643E-6</v>
      </c>
      <c r="E52" s="14">
        <v>3.0034576151597007E-5</v>
      </c>
      <c r="F52" s="14">
        <v>1.3931441574284498E-7</v>
      </c>
      <c r="G52" s="14">
        <v>4.0652907639380359E-8</v>
      </c>
      <c r="H52" s="14">
        <v>0</v>
      </c>
      <c r="I52" s="14">
        <v>9.6808541955796669E-8</v>
      </c>
      <c r="J52" s="14">
        <v>6.8328870834106019E-6</v>
      </c>
      <c r="K52" s="14">
        <v>0</v>
      </c>
    </row>
    <row r="53" spans="1:11">
      <c r="A53" s="2" t="s">
        <v>391</v>
      </c>
      <c r="B53" s="3" t="s">
        <v>392</v>
      </c>
      <c r="D53" s="14">
        <v>1.0434939366528306E-7</v>
      </c>
      <c r="E53" s="14">
        <v>2.0146963257011098E-5</v>
      </c>
      <c r="F53" s="14">
        <v>1.2279032384849154E-6</v>
      </c>
      <c r="G53" s="14">
        <v>2.9638737484928947E-7</v>
      </c>
      <c r="H53" s="14">
        <v>0</v>
      </c>
      <c r="I53" s="14">
        <v>6.7863083165986575E-7</v>
      </c>
      <c r="J53" s="14">
        <v>1.7545765904329547E-5</v>
      </c>
      <c r="K53" s="14">
        <v>0</v>
      </c>
    </row>
    <row r="54" spans="1:11">
      <c r="A54" s="2" t="s">
        <v>393</v>
      </c>
      <c r="B54" s="3" t="s">
        <v>394</v>
      </c>
      <c r="D54" s="14">
        <v>2.3593867049319443E-8</v>
      </c>
      <c r="E54" s="14">
        <v>1.113624539499112E-7</v>
      </c>
      <c r="F54" s="14">
        <v>3.5210593278164771E-6</v>
      </c>
      <c r="G54" s="14">
        <v>7.3479957782830728E-6</v>
      </c>
      <c r="H54" s="14">
        <v>0</v>
      </c>
      <c r="I54" s="14">
        <v>1.7998803632721851E-5</v>
      </c>
      <c r="J54" s="14">
        <v>1.0997184940179382E-5</v>
      </c>
      <c r="K54" s="14">
        <v>0</v>
      </c>
    </row>
    <row r="55" spans="1:11">
      <c r="A55" s="2" t="s">
        <v>395</v>
      </c>
      <c r="B55" s="3" t="s">
        <v>396</v>
      </c>
      <c r="D55" s="14">
        <v>8.8799286242801375E-6</v>
      </c>
      <c r="E55" s="14">
        <v>9.1299655641829573E-6</v>
      </c>
      <c r="F55" s="14">
        <v>2.5579007536679615E-6</v>
      </c>
      <c r="G55" s="14">
        <v>5.517968859883788E-7</v>
      </c>
      <c r="H55" s="14">
        <v>0</v>
      </c>
      <c r="I55" s="14">
        <v>1.2731441803049087E-6</v>
      </c>
      <c r="J55" s="14">
        <v>1.7607263991575656E-5</v>
      </c>
      <c r="K55" s="14">
        <v>0</v>
      </c>
    </row>
    <row r="56" spans="1:11">
      <c r="A56" s="2" t="s">
        <v>397</v>
      </c>
      <c r="B56" s="3" t="s">
        <v>398</v>
      </c>
      <c r="D56" s="14">
        <v>3.271710824208531E-5</v>
      </c>
      <c r="E56" s="14">
        <v>8.7638427286053921E-7</v>
      </c>
      <c r="F56" s="14">
        <v>1.3786344470225484E-6</v>
      </c>
      <c r="G56" s="14">
        <v>2.6190553763883972E-7</v>
      </c>
      <c r="H56" s="14">
        <v>0</v>
      </c>
      <c r="I56" s="14">
        <v>6.1205531090249976E-7</v>
      </c>
      <c r="J56" s="14">
        <v>4.1539121894902646E-6</v>
      </c>
      <c r="K56" s="14">
        <v>0</v>
      </c>
    </row>
    <row r="57" spans="1:11">
      <c r="A57" s="2" t="s">
        <v>399</v>
      </c>
      <c r="B57" s="3" t="s">
        <v>400</v>
      </c>
      <c r="D57" s="14">
        <v>3.4772117130572899E-5</v>
      </c>
      <c r="E57" s="14">
        <v>1.3259000848082363E-6</v>
      </c>
      <c r="F57" s="14">
        <v>5.1416836060021897E-7</v>
      </c>
      <c r="G57" s="14">
        <v>1.0829312945746401E-7</v>
      </c>
      <c r="H57" s="14">
        <v>0</v>
      </c>
      <c r="I57" s="14">
        <v>2.5042182659477621E-7</v>
      </c>
      <c r="J57" s="14">
        <v>3.0290994679664038E-6</v>
      </c>
      <c r="K57" s="14">
        <v>0</v>
      </c>
    </row>
    <row r="58" spans="1:11">
      <c r="A58" s="2" t="s">
        <v>297</v>
      </c>
      <c r="B58" s="3" t="s">
        <v>298</v>
      </c>
      <c r="D58" s="14">
        <v>3.7297568466296543E-5</v>
      </c>
      <c r="E58" s="14">
        <v>2.3770602208208501E-6</v>
      </c>
      <c r="F58" s="14">
        <v>3.9550751030129521E-9</v>
      </c>
      <c r="G58" s="14">
        <v>1.2446587314982266E-9</v>
      </c>
      <c r="H58" s="14">
        <v>0</v>
      </c>
      <c r="I58" s="14">
        <v>3.2418928255168211E-9</v>
      </c>
      <c r="J58" s="14">
        <v>3.1692968622258813E-7</v>
      </c>
      <c r="K58" s="14">
        <v>0</v>
      </c>
    </row>
    <row r="59" spans="1:11">
      <c r="A59" s="2" t="s">
        <v>401</v>
      </c>
      <c r="B59" s="3" t="s">
        <v>402</v>
      </c>
      <c r="D59" s="14">
        <v>3.8081397216660446E-5</v>
      </c>
      <c r="E59" s="14">
        <v>5.0370068200664654E-7</v>
      </c>
      <c r="F59" s="14">
        <v>1.8121205660663283E-7</v>
      </c>
      <c r="G59" s="14">
        <v>3.8378027052232326E-8</v>
      </c>
      <c r="H59" s="14">
        <v>0</v>
      </c>
      <c r="I59" s="14">
        <v>8.8700272872536673E-8</v>
      </c>
      <c r="J59" s="14">
        <v>1.1066117448015127E-6</v>
      </c>
      <c r="K59" s="14">
        <v>0</v>
      </c>
    </row>
    <row r="60" spans="1:11">
      <c r="A60" s="2" t="s">
        <v>299</v>
      </c>
      <c r="B60" s="3" t="s">
        <v>300</v>
      </c>
      <c r="D60" s="14">
        <v>3.995136719805475E-5</v>
      </c>
      <c r="E60" s="14">
        <v>1.7987520862027496E-8</v>
      </c>
      <c r="F60" s="14">
        <v>2.8353446759492341E-9</v>
      </c>
      <c r="G60" s="14">
        <v>6.3811861865603129E-10</v>
      </c>
      <c r="H60" s="14">
        <v>0</v>
      </c>
      <c r="I60" s="14">
        <v>1.4670285708606278E-9</v>
      </c>
      <c r="J60" s="14">
        <v>2.5704789217754892E-8</v>
      </c>
      <c r="K60" s="14">
        <v>0</v>
      </c>
    </row>
    <row r="61" spans="1:11">
      <c r="A61" s="2" t="s">
        <v>403</v>
      </c>
      <c r="B61" s="3" t="s">
        <v>404</v>
      </c>
      <c r="D61" s="14">
        <v>2.6526059112017059E-48</v>
      </c>
      <c r="E61" s="14">
        <v>1.6904891885460765E-5</v>
      </c>
      <c r="F61" s="14">
        <v>1.8312470917529244E-6</v>
      </c>
      <c r="G61" s="14">
        <v>4.2368442899678722E-7</v>
      </c>
      <c r="H61" s="14">
        <v>0</v>
      </c>
      <c r="I61" s="14">
        <v>9.7213164264958193E-7</v>
      </c>
      <c r="J61" s="14">
        <v>1.9868044951139938E-5</v>
      </c>
      <c r="K61" s="14">
        <v>0</v>
      </c>
    </row>
    <row r="62" spans="1:11">
      <c r="A62" s="2" t="s">
        <v>405</v>
      </c>
      <c r="B62" s="3" t="s">
        <v>406</v>
      </c>
      <c r="D62" s="14">
        <v>1.5146606327218859E-11</v>
      </c>
      <c r="E62" s="14">
        <v>5.4918036627022543E-7</v>
      </c>
      <c r="F62" s="14">
        <v>7.8974985125672951E-6</v>
      </c>
      <c r="G62" s="14">
        <v>4.4023554824988156E-6</v>
      </c>
      <c r="H62" s="14">
        <v>0</v>
      </c>
      <c r="I62" s="14">
        <v>1.0585710251409809E-5</v>
      </c>
      <c r="J62" s="14">
        <v>1.6565240240647533E-5</v>
      </c>
      <c r="K62" s="14">
        <v>0</v>
      </c>
    </row>
    <row r="63" spans="1:11">
      <c r="A63" s="2" t="s">
        <v>407</v>
      </c>
      <c r="B63" s="3" t="s">
        <v>408</v>
      </c>
      <c r="D63" s="14">
        <v>3.0444838417054102E-9</v>
      </c>
      <c r="E63" s="14">
        <v>4.2122422307114196E-8</v>
      </c>
      <c r="F63" s="14">
        <v>2.0355786553892148E-6</v>
      </c>
      <c r="G63" s="14">
        <v>8.6473580911122743E-6</v>
      </c>
      <c r="H63" s="14">
        <v>0</v>
      </c>
      <c r="I63" s="14">
        <v>2.1394257360984783E-5</v>
      </c>
      <c r="J63" s="14">
        <v>7.8776389863649115E-6</v>
      </c>
      <c r="K63" s="14">
        <v>0</v>
      </c>
    </row>
    <row r="64" spans="1:11">
      <c r="A64" s="2" t="s">
        <v>409</v>
      </c>
      <c r="B64" s="3" t="s">
        <v>410</v>
      </c>
      <c r="D64" s="14">
        <v>3.7143747203984059E-10</v>
      </c>
      <c r="E64" s="14">
        <v>1.438220184198773E-8</v>
      </c>
      <c r="F64" s="14">
        <v>1.0808363192053001E-6</v>
      </c>
      <c r="G64" s="14">
        <v>9.6217813856966012E-6</v>
      </c>
      <c r="H64" s="14">
        <v>0</v>
      </c>
      <c r="I64" s="14">
        <v>2.4054236965687226E-5</v>
      </c>
      <c r="J64" s="14">
        <v>5.2283916900968454E-6</v>
      </c>
      <c r="K64" s="14">
        <v>0</v>
      </c>
    </row>
    <row r="65" spans="1:11">
      <c r="A65" s="2" t="s">
        <v>301</v>
      </c>
      <c r="B65" s="3" t="s">
        <v>302</v>
      </c>
      <c r="D65" s="14">
        <v>4.5687338356133094E-11</v>
      </c>
      <c r="E65" s="14">
        <v>4.0202727874504515E-9</v>
      </c>
      <c r="F65" s="14">
        <v>4.9919482286470204E-7</v>
      </c>
      <c r="G65" s="14">
        <v>1.0307791564113318E-5</v>
      </c>
      <c r="H65" s="14">
        <v>0</v>
      </c>
      <c r="I65" s="14">
        <v>2.6076670543298972E-5</v>
      </c>
      <c r="J65" s="14">
        <v>3.1122771095972126E-6</v>
      </c>
      <c r="K65" s="14">
        <v>0</v>
      </c>
    </row>
    <row r="66" spans="1:11">
      <c r="A66" s="2" t="s">
        <v>303</v>
      </c>
      <c r="B66" s="3" t="s">
        <v>304</v>
      </c>
      <c r="D66" s="14">
        <v>4.4173020417740846E-17</v>
      </c>
      <c r="E66" s="14">
        <v>8.3482752657800011E-9</v>
      </c>
      <c r="F66" s="14">
        <v>7.7898897454475802E-7</v>
      </c>
      <c r="G66" s="14">
        <v>9.9661373064484995E-6</v>
      </c>
      <c r="H66" s="14">
        <v>0</v>
      </c>
      <c r="I66" s="14">
        <v>2.5042750117128394E-5</v>
      </c>
      <c r="J66" s="14">
        <v>4.203775326568398E-6</v>
      </c>
      <c r="K66" s="14">
        <v>0</v>
      </c>
    </row>
    <row r="67" spans="1:11">
      <c r="A67" s="2" t="s">
        <v>411</v>
      </c>
      <c r="B67" s="3" t="s">
        <v>412</v>
      </c>
      <c r="D67" s="14">
        <v>1.910761808686127E-7</v>
      </c>
      <c r="E67" s="14">
        <v>3.3424599852837057E-5</v>
      </c>
      <c r="F67" s="14">
        <v>1.0391560421192634E-7</v>
      </c>
      <c r="G67" s="14">
        <v>3.1230311965939696E-8</v>
      </c>
      <c r="H67" s="14">
        <v>0</v>
      </c>
      <c r="I67" s="14">
        <v>7.6282150213253669E-8</v>
      </c>
      <c r="J67" s="14">
        <v>6.1728958999032144E-6</v>
      </c>
      <c r="K67" s="14">
        <v>0</v>
      </c>
    </row>
    <row r="68" spans="1:11">
      <c r="A68" s="2" t="s">
        <v>413</v>
      </c>
      <c r="B68" s="3" t="s">
        <v>414</v>
      </c>
      <c r="D68" s="14">
        <v>4.1888470049989842E-7</v>
      </c>
      <c r="E68" s="14">
        <v>3.1145417924230468E-5</v>
      </c>
      <c r="F68" s="14">
        <v>1.8551059279797111E-7</v>
      </c>
      <c r="G68" s="14">
        <v>5.3145227266649042E-8</v>
      </c>
      <c r="H68" s="14">
        <v>0</v>
      </c>
      <c r="I68" s="14">
        <v>1.2512062343886562E-7</v>
      </c>
      <c r="J68" s="14">
        <v>8.0719209317661519E-6</v>
      </c>
      <c r="K68" s="14">
        <v>0</v>
      </c>
    </row>
    <row r="69" spans="1:11">
      <c r="A69" s="2" t="s">
        <v>415</v>
      </c>
      <c r="B69" s="3" t="s">
        <v>416</v>
      </c>
      <c r="D69" s="14">
        <v>1.5596774265384257E-7</v>
      </c>
      <c r="E69" s="14">
        <v>1.7720437953155958E-7</v>
      </c>
      <c r="F69" s="14">
        <v>4.5124146597774349E-6</v>
      </c>
      <c r="G69" s="14">
        <v>6.5524626916992069E-6</v>
      </c>
      <c r="H69" s="14">
        <v>0</v>
      </c>
      <c r="I69" s="14">
        <v>1.5968639529197252E-5</v>
      </c>
      <c r="J69" s="14">
        <v>1.2633310997140711E-5</v>
      </c>
      <c r="K69" s="14">
        <v>0</v>
      </c>
    </row>
    <row r="70" spans="1:11">
      <c r="A70" s="2" t="s">
        <v>417</v>
      </c>
      <c r="B70" s="3" t="s">
        <v>418</v>
      </c>
      <c r="D70" s="14">
        <v>4.2595526116078104E-7</v>
      </c>
      <c r="E70" s="14">
        <v>3.4357665826024754E-6</v>
      </c>
      <c r="F70" s="14">
        <v>9.1377274796199358E-6</v>
      </c>
      <c r="G70" s="14">
        <v>1.6700664710519266E-6</v>
      </c>
      <c r="H70" s="14">
        <v>0</v>
      </c>
      <c r="I70" s="14">
        <v>3.9190189939966696E-6</v>
      </c>
      <c r="J70" s="14">
        <v>2.1411465211568218E-5</v>
      </c>
      <c r="K70" s="14">
        <v>0</v>
      </c>
    </row>
    <row r="71" spans="1:11">
      <c r="A71" s="2" t="s">
        <v>419</v>
      </c>
      <c r="B71" s="3" t="s">
        <v>420</v>
      </c>
      <c r="D71" s="14">
        <v>1.0234292551796027E-6</v>
      </c>
      <c r="E71" s="14">
        <v>3.101683586263898E-5</v>
      </c>
      <c r="F71" s="14">
        <v>1.6715987672938057E-7</v>
      </c>
      <c r="G71" s="14">
        <v>4.8242254736978126E-8</v>
      </c>
      <c r="H71" s="14">
        <v>0</v>
      </c>
      <c r="I71" s="14">
        <v>1.1405708940384845E-7</v>
      </c>
      <c r="J71" s="14">
        <v>7.6302756613112212E-6</v>
      </c>
      <c r="K71" s="14">
        <v>0</v>
      </c>
    </row>
    <row r="72" spans="1:11">
      <c r="A72" s="2" t="s">
        <v>421</v>
      </c>
      <c r="B72" s="3" t="s">
        <v>422</v>
      </c>
      <c r="D72" s="14">
        <v>1.6728764467411344E-6</v>
      </c>
      <c r="E72" s="14">
        <v>3.7200050638157209E-6</v>
      </c>
      <c r="F72" s="14">
        <v>8.3049702573451321E-6</v>
      </c>
      <c r="G72" s="14">
        <v>1.5375655393504325E-6</v>
      </c>
      <c r="H72" s="14">
        <v>0</v>
      </c>
      <c r="I72" s="14">
        <v>3.6030915302784801E-6</v>
      </c>
      <c r="J72" s="14">
        <v>2.1161491162469098E-5</v>
      </c>
      <c r="K72" s="14">
        <v>0</v>
      </c>
    </row>
    <row r="73" spans="1:11">
      <c r="A73" s="2" t="s">
        <v>423</v>
      </c>
      <c r="B73" s="3" t="s">
        <v>424</v>
      </c>
      <c r="D73" s="14">
        <v>7.8830272256032676E-7</v>
      </c>
      <c r="E73" s="14">
        <v>1.5875692961559746E-5</v>
      </c>
      <c r="F73" s="14">
        <v>1.9487998672931017E-6</v>
      </c>
      <c r="G73" s="14">
        <v>4.4674818497241042E-7</v>
      </c>
      <c r="H73" s="14">
        <v>0</v>
      </c>
      <c r="I73" s="14">
        <v>1.0256801974387546E-6</v>
      </c>
      <c r="J73" s="14">
        <v>1.9914776066175661E-5</v>
      </c>
      <c r="K73" s="14">
        <v>0</v>
      </c>
    </row>
    <row r="74" spans="1:11">
      <c r="A74" s="2" t="s">
        <v>425</v>
      </c>
      <c r="B74" s="3" t="s">
        <v>426</v>
      </c>
      <c r="D74" s="14">
        <v>6.4679374907759264E-7</v>
      </c>
      <c r="E74" s="14">
        <v>3.5281373069804772E-6</v>
      </c>
      <c r="F74" s="14">
        <v>8.9256536170529477E-6</v>
      </c>
      <c r="G74" s="14">
        <v>1.6373276060907432E-6</v>
      </c>
      <c r="H74" s="14">
        <v>0</v>
      </c>
      <c r="I74" s="14">
        <v>3.8406697660466996E-6</v>
      </c>
      <c r="J74" s="14">
        <v>2.1421417954751545E-5</v>
      </c>
      <c r="K74" s="14">
        <v>0</v>
      </c>
    </row>
    <row r="75" spans="1:11">
      <c r="A75" s="2" t="s">
        <v>427</v>
      </c>
      <c r="B75" s="3" t="s">
        <v>428</v>
      </c>
      <c r="D75" s="14">
        <v>1.7518097844101281E-13</v>
      </c>
      <c r="E75" s="14">
        <v>1.379261550098801E-6</v>
      </c>
      <c r="F75" s="14">
        <v>3.1656374850127124E-5</v>
      </c>
      <c r="G75" s="14">
        <v>1.2215503963097603E-8</v>
      </c>
      <c r="H75" s="14">
        <v>0</v>
      </c>
      <c r="I75" s="14">
        <v>6.9255514493743358E-6</v>
      </c>
      <c r="J75" s="14">
        <v>2.6596471255671161E-8</v>
      </c>
      <c r="K75" s="14">
        <v>0</v>
      </c>
    </row>
    <row r="76" spans="1:11">
      <c r="A76" s="2" t="s">
        <v>429</v>
      </c>
      <c r="B76" s="3" t="s">
        <v>430</v>
      </c>
      <c r="D76" s="14">
        <v>4.4003472468328752E-15</v>
      </c>
      <c r="E76" s="14">
        <v>1.3792615559875797E-6</v>
      </c>
      <c r="F76" s="14">
        <v>3.1656374985284512E-5</v>
      </c>
      <c r="G76" s="14">
        <v>1.2215504015251888E-8</v>
      </c>
      <c r="H76" s="14">
        <v>0</v>
      </c>
      <c r="I76" s="14">
        <v>6.9255514789430871E-6</v>
      </c>
      <c r="J76" s="14">
        <v>2.6596471369225209E-8</v>
      </c>
      <c r="K76" s="14">
        <v>0</v>
      </c>
    </row>
    <row r="77" spans="1:11">
      <c r="A77" s="2" t="s">
        <v>431</v>
      </c>
      <c r="B77" s="3" t="s">
        <v>432</v>
      </c>
      <c r="D77" s="14">
        <v>2.0021572942623045E-6</v>
      </c>
      <c r="E77" s="14">
        <v>8.5541696318245881E-6</v>
      </c>
      <c r="F77" s="14">
        <v>4.2596352133854741E-6</v>
      </c>
      <c r="G77" s="14">
        <v>8.8078105352409326E-7</v>
      </c>
      <c r="H77" s="14">
        <v>0</v>
      </c>
      <c r="I77" s="14">
        <v>2.0404152995966692E-6</v>
      </c>
      <c r="J77" s="14">
        <v>2.2262841507406873E-5</v>
      </c>
      <c r="K77" s="14">
        <v>0</v>
      </c>
    </row>
    <row r="78" spans="1:11">
      <c r="A78" s="2" t="s">
        <v>433</v>
      </c>
      <c r="B78" s="3" t="s">
        <v>434</v>
      </c>
      <c r="D78" s="14">
        <v>1.5407766824109258E-6</v>
      </c>
      <c r="E78" s="14">
        <v>2.4304089838839872E-5</v>
      </c>
      <c r="F78" s="14">
        <v>5.872376773323095E-7</v>
      </c>
      <c r="G78" s="14">
        <v>1.5174328011370641E-7</v>
      </c>
      <c r="H78" s="14">
        <v>0</v>
      </c>
      <c r="I78" s="14">
        <v>3.4776217430602182E-7</v>
      </c>
      <c r="J78" s="14">
        <v>1.3068390346997158E-5</v>
      </c>
      <c r="K78" s="14">
        <v>0</v>
      </c>
    </row>
    <row r="79" spans="1:11">
      <c r="A79" s="2" t="s">
        <v>435</v>
      </c>
      <c r="B79" s="3" t="s">
        <v>436</v>
      </c>
      <c r="D79" s="14">
        <v>4.1592551270034274E-7</v>
      </c>
      <c r="E79" s="14">
        <v>1.9706759890814495E-5</v>
      </c>
      <c r="F79" s="14">
        <v>1.2626697482403235E-6</v>
      </c>
      <c r="G79" s="14">
        <v>3.0365842204072773E-7</v>
      </c>
      <c r="H79" s="14">
        <v>0</v>
      </c>
      <c r="I79" s="14">
        <v>6.953652819223852E-7</v>
      </c>
      <c r="J79" s="14">
        <v>1.7615621144281731E-5</v>
      </c>
      <c r="K79" s="14">
        <v>0</v>
      </c>
    </row>
    <row r="80" spans="1:11">
      <c r="A80" s="2" t="s">
        <v>437</v>
      </c>
      <c r="B80" s="3" t="s">
        <v>438</v>
      </c>
      <c r="D80" s="14">
        <v>5.4382825871090151E-14</v>
      </c>
      <c r="E80" s="14">
        <v>8.1081439917999965E-7</v>
      </c>
      <c r="F80" s="14">
        <v>2.7474892577332824E-5</v>
      </c>
      <c r="G80" s="14">
        <v>2.036508429947701E-8</v>
      </c>
      <c r="H80" s="14">
        <v>0</v>
      </c>
      <c r="I80" s="14">
        <v>1.1665821897697849E-5</v>
      </c>
      <c r="J80" s="14">
        <v>2.8105987107036499E-8</v>
      </c>
      <c r="K80" s="14">
        <v>0</v>
      </c>
    </row>
    <row r="81" spans="1:11">
      <c r="A81" s="2" t="s">
        <v>440</v>
      </c>
      <c r="B81" s="3" t="s">
        <v>441</v>
      </c>
      <c r="D81" s="14">
        <v>7.3769676402918459E-18</v>
      </c>
      <c r="E81" s="14">
        <v>3.8827331431832262E-5</v>
      </c>
      <c r="F81" s="14">
        <v>3.6421019068038681E-9</v>
      </c>
      <c r="G81" s="14">
        <v>1.4166013412436355E-9</v>
      </c>
      <c r="H81" s="14">
        <v>0</v>
      </c>
      <c r="I81" s="14">
        <v>1.1070873226784052E-8</v>
      </c>
      <c r="J81" s="14">
        <v>1.1565389916855272E-6</v>
      </c>
      <c r="K81" s="14">
        <v>0</v>
      </c>
    </row>
    <row r="82" spans="1:11">
      <c r="A82" s="2" t="s">
        <v>442</v>
      </c>
      <c r="B82" s="3" t="s">
        <v>443</v>
      </c>
      <c r="D82" s="14">
        <v>3.4996889311921277E-9</v>
      </c>
      <c r="E82" s="14">
        <v>3.0530161976347964E-5</v>
      </c>
      <c r="F82" s="14">
        <v>2.3350901873234227E-7</v>
      </c>
      <c r="G82" s="14">
        <v>6.56748688502106E-8</v>
      </c>
      <c r="H82" s="14">
        <v>0</v>
      </c>
      <c r="I82" s="14">
        <v>1.5327293932474443E-7</v>
      </c>
      <c r="J82" s="14">
        <v>9.0138815078135499E-6</v>
      </c>
      <c r="K82" s="14">
        <v>0</v>
      </c>
    </row>
    <row r="83" spans="1:11">
      <c r="A83" s="2" t="s">
        <v>444</v>
      </c>
      <c r="B83" s="3" t="s">
        <v>445</v>
      </c>
      <c r="D83" s="14">
        <v>4.0690331325511796E-8</v>
      </c>
      <c r="E83" s="14">
        <v>1.025252626788676E-5</v>
      </c>
      <c r="F83" s="14">
        <v>3.8776217350267075E-6</v>
      </c>
      <c r="G83" s="14">
        <v>8.1820286601755262E-7</v>
      </c>
      <c r="H83" s="14">
        <v>0</v>
      </c>
      <c r="I83" s="14">
        <v>1.8917148830489754E-6</v>
      </c>
      <c r="J83" s="14">
        <v>2.311924391669449E-5</v>
      </c>
      <c r="K83" s="14">
        <v>0</v>
      </c>
    </row>
    <row r="84" spans="1:11">
      <c r="A84" s="2" t="s">
        <v>446</v>
      </c>
      <c r="B84" s="3" t="s">
        <v>447</v>
      </c>
      <c r="D84" s="14">
        <v>2.2704671707426472E-19</v>
      </c>
      <c r="E84" s="14">
        <v>3.7470103371280894E-5</v>
      </c>
      <c r="F84" s="14">
        <v>1.6360231382534535E-8</v>
      </c>
      <c r="G84" s="14">
        <v>5.6817876305891814E-9</v>
      </c>
      <c r="H84" s="14">
        <v>0</v>
      </c>
      <c r="I84" s="14">
        <v>2.0156778609044279E-8</v>
      </c>
      <c r="J84" s="14">
        <v>2.4876978310967148E-6</v>
      </c>
      <c r="K84" s="14">
        <v>0</v>
      </c>
    </row>
    <row r="85" spans="1:11">
      <c r="A85" s="2" t="s">
        <v>448</v>
      </c>
      <c r="B85" s="3" t="s">
        <v>449</v>
      </c>
      <c r="D85" s="14">
        <v>1.589713087510466E-12</v>
      </c>
      <c r="E85" s="14">
        <v>3.9508306484471715E-5</v>
      </c>
      <c r="F85" s="14">
        <v>6.6833309062864446E-10</v>
      </c>
      <c r="G85" s="14">
        <v>2.9490933503780143E-10</v>
      </c>
      <c r="H85" s="14">
        <v>0</v>
      </c>
      <c r="I85" s="14">
        <v>8.7796090828142319E-9</v>
      </c>
      <c r="J85" s="14">
        <v>4.8194907430671743E-7</v>
      </c>
      <c r="K85" s="14">
        <v>0</v>
      </c>
    </row>
    <row r="86" spans="1:11">
      <c r="A86" s="2" t="s">
        <v>450</v>
      </c>
      <c r="B86" s="3" t="s">
        <v>451</v>
      </c>
      <c r="D86" s="14">
        <v>5.7109498362079959E-13</v>
      </c>
      <c r="E86" s="14">
        <v>3.7531680442041318E-5</v>
      </c>
      <c r="F86" s="14">
        <v>1.5587718718639948E-8</v>
      </c>
      <c r="G86" s="14">
        <v>5.4334805364588349E-9</v>
      </c>
      <c r="H86" s="14">
        <v>0</v>
      </c>
      <c r="I86" s="14">
        <v>1.9621668336669946E-8</v>
      </c>
      <c r="J86" s="14">
        <v>2.4276761192719314E-6</v>
      </c>
      <c r="K86" s="14">
        <v>0</v>
      </c>
    </row>
    <row r="87" spans="1:11">
      <c r="A87" s="2" t="s">
        <v>452</v>
      </c>
      <c r="B87" s="3" t="s">
        <v>453</v>
      </c>
      <c r="D87" s="14">
        <v>5.7502747406115976E-12</v>
      </c>
      <c r="E87" s="14">
        <v>6.1919616761984895E-8</v>
      </c>
      <c r="F87" s="14">
        <v>2.5384160793597668E-6</v>
      </c>
      <c r="G87" s="14">
        <v>8.1857479020543344E-6</v>
      </c>
      <c r="H87" s="14">
        <v>0</v>
      </c>
      <c r="I87" s="14">
        <v>2.0173857248583596E-5</v>
      </c>
      <c r="J87" s="14">
        <v>9.0400534029655788E-6</v>
      </c>
      <c r="K87" s="14">
        <v>0</v>
      </c>
    </row>
    <row r="88" spans="1:11">
      <c r="A88" s="2" t="s">
        <v>454</v>
      </c>
      <c r="B88" s="3" t="s">
        <v>455</v>
      </c>
      <c r="D88" s="14">
        <v>1.7906758911993831E-9</v>
      </c>
      <c r="E88" s="14">
        <v>2.7026925905706722E-5</v>
      </c>
      <c r="F88" s="14">
        <v>4.6014128546032502E-7</v>
      </c>
      <c r="G88" s="14">
        <v>1.2200756419171603E-7</v>
      </c>
      <c r="H88" s="14">
        <v>0</v>
      </c>
      <c r="I88" s="14">
        <v>2.8038248913949574E-7</v>
      </c>
      <c r="J88" s="14">
        <v>1.210875207961054E-5</v>
      </c>
      <c r="K88" s="14">
        <v>0</v>
      </c>
    </row>
    <row r="89" spans="1:11">
      <c r="A89" s="2" t="s">
        <v>456</v>
      </c>
      <c r="B89" s="3" t="s">
        <v>457</v>
      </c>
      <c r="D89" s="14">
        <v>1.1635798636919374E-21</v>
      </c>
      <c r="E89" s="14">
        <v>2.9932008609493724E-5</v>
      </c>
      <c r="F89" s="14">
        <v>2.6599312505318077E-7</v>
      </c>
      <c r="G89" s="14">
        <v>7.3988797193768918E-8</v>
      </c>
      <c r="H89" s="14">
        <v>0</v>
      </c>
      <c r="I89" s="14">
        <v>1.719554120560308E-7</v>
      </c>
      <c r="J89" s="14">
        <v>9.5560540562033049E-6</v>
      </c>
      <c r="K89" s="14">
        <v>0</v>
      </c>
    </row>
    <row r="90" spans="1:11">
      <c r="A90" s="2" t="s">
        <v>458</v>
      </c>
      <c r="B90" s="3" t="s">
        <v>459</v>
      </c>
      <c r="D90" s="14">
        <v>1.7035191267087969E-33</v>
      </c>
      <c r="E90" s="14">
        <v>3.5127454392584151E-5</v>
      </c>
      <c r="F90" s="14">
        <v>5.9926819501218985E-8</v>
      </c>
      <c r="G90" s="14">
        <v>1.8824211093629991E-8</v>
      </c>
      <c r="H90" s="14">
        <v>0</v>
      </c>
      <c r="I90" s="14">
        <v>4.8868891796858627E-8</v>
      </c>
      <c r="J90" s="14">
        <v>4.7449256850241353E-6</v>
      </c>
      <c r="K90" s="14">
        <v>0</v>
      </c>
    </row>
    <row r="91" spans="1:11">
      <c r="A91" s="2" t="s">
        <v>460</v>
      </c>
      <c r="B91" s="3" t="s">
        <v>461</v>
      </c>
      <c r="D91" s="14">
        <v>6.9390789453165807E-12</v>
      </c>
      <c r="E91" s="14">
        <v>4.6784446196824111E-7</v>
      </c>
      <c r="F91" s="14">
        <v>7.3362824472050234E-6</v>
      </c>
      <c r="G91" s="14">
        <v>4.7279361050928976E-6</v>
      </c>
      <c r="H91" s="14">
        <v>0</v>
      </c>
      <c r="I91" s="14">
        <v>1.1391699368518716E-5</v>
      </c>
      <c r="J91" s="14">
        <v>1.6076230678136186E-5</v>
      </c>
      <c r="K91" s="14">
        <v>0</v>
      </c>
    </row>
    <row r="92" spans="1:11">
      <c r="A92" s="2" t="s">
        <v>462</v>
      </c>
      <c r="B92" s="3" t="s">
        <v>463</v>
      </c>
      <c r="D92" s="14">
        <v>3.1561364875603198E-13</v>
      </c>
      <c r="E92" s="14">
        <v>1.2636751364407162E-5</v>
      </c>
      <c r="F92" s="14">
        <v>2.971871252381132E-6</v>
      </c>
      <c r="G92" s="14">
        <v>6.4941983101585426E-7</v>
      </c>
      <c r="H92" s="14">
        <v>0</v>
      </c>
      <c r="I92" s="14">
        <v>1.4966618533873473E-6</v>
      </c>
      <c r="J92" s="14">
        <v>2.2245295383194854E-5</v>
      </c>
      <c r="K92" s="14">
        <v>0</v>
      </c>
    </row>
    <row r="93" spans="1:11">
      <c r="A93" s="2" t="s">
        <v>464</v>
      </c>
      <c r="B93" s="3" t="s">
        <v>465</v>
      </c>
      <c r="D93" s="14">
        <v>2.3515263502113363E-8</v>
      </c>
      <c r="E93" s="14">
        <v>4.6682006433735605E-6</v>
      </c>
      <c r="F93" s="14">
        <v>7.7201202407986654E-6</v>
      </c>
      <c r="G93" s="14">
        <v>1.4612334989026128E-6</v>
      </c>
      <c r="H93" s="14">
        <v>0</v>
      </c>
      <c r="I93" s="14">
        <v>3.4161398864780466E-6</v>
      </c>
      <c r="J93" s="14">
        <v>2.2710790466945007E-5</v>
      </c>
      <c r="K93" s="14">
        <v>0</v>
      </c>
    </row>
    <row r="94" spans="1:11">
      <c r="A94" s="2" t="s">
        <v>466</v>
      </c>
      <c r="B94" s="3" t="s">
        <v>467</v>
      </c>
      <c r="D94" s="14">
        <v>8.0698661351924369E-23</v>
      </c>
      <c r="E94" s="14">
        <v>3.9501907170402769E-5</v>
      </c>
      <c r="F94" s="14">
        <v>4.6218156036041492E-7</v>
      </c>
      <c r="G94" s="14">
        <v>6.0736688425402164E-11</v>
      </c>
      <c r="H94" s="14">
        <v>0</v>
      </c>
      <c r="I94" s="14">
        <v>2.883333440918349E-8</v>
      </c>
      <c r="J94" s="14">
        <v>7.0171981392187706E-9</v>
      </c>
      <c r="K94" s="14">
        <v>0</v>
      </c>
    </row>
    <row r="95" spans="1:11">
      <c r="A95" s="2" t="s">
        <v>468</v>
      </c>
      <c r="B95" s="3" t="s">
        <v>469</v>
      </c>
      <c r="D95" s="14">
        <v>3.2133765797463007E-22</v>
      </c>
      <c r="E95" s="14">
        <v>1.258117747055512E-6</v>
      </c>
      <c r="F95" s="14">
        <v>1.1141299240390731E-5</v>
      </c>
      <c r="G95" s="14">
        <v>2.7563311571590898E-6</v>
      </c>
      <c r="H95" s="14">
        <v>0</v>
      </c>
      <c r="I95" s="14">
        <v>6.5529749309796445E-6</v>
      </c>
      <c r="J95" s="14">
        <v>1.8291276924415024E-5</v>
      </c>
      <c r="K95" s="14">
        <v>0</v>
      </c>
    </row>
    <row r="96" spans="1:11">
      <c r="A96" s="2" t="s">
        <v>470</v>
      </c>
      <c r="B96" s="165">
        <v>354656</v>
      </c>
      <c r="D96" s="14">
        <v>1.4707907833970275E-14</v>
      </c>
      <c r="E96" s="14">
        <v>3.8782032344997952E-5</v>
      </c>
      <c r="F96" s="14">
        <v>3.9212552631568828E-9</v>
      </c>
      <c r="G96" s="14">
        <v>1.5167732821390461E-9</v>
      </c>
      <c r="H96" s="14">
        <v>0</v>
      </c>
      <c r="I96" s="14">
        <v>1.127988871089688E-8</v>
      </c>
      <c r="J96" s="14">
        <v>1.2012497230379467E-6</v>
      </c>
      <c r="K96" s="14">
        <v>0</v>
      </c>
    </row>
    <row r="97" spans="1:11">
      <c r="A97" s="2" t="s">
        <v>472</v>
      </c>
      <c r="B97" s="3" t="s">
        <v>473</v>
      </c>
      <c r="D97" s="14">
        <v>2.2688821198063394E-14</v>
      </c>
      <c r="E97" s="14">
        <v>3.7438772153391434E-5</v>
      </c>
      <c r="F97" s="14">
        <v>1.6760468243470283E-8</v>
      </c>
      <c r="G97" s="14">
        <v>5.8100745226285093E-9</v>
      </c>
      <c r="H97" s="14">
        <v>0</v>
      </c>
      <c r="I97" s="14">
        <v>2.0433427478584513E-8</v>
      </c>
      <c r="J97" s="14">
        <v>2.5182238536750695E-6</v>
      </c>
      <c r="K97" s="14">
        <v>0</v>
      </c>
    </row>
    <row r="98" spans="1:11">
      <c r="A98" s="2" t="s">
        <v>474</v>
      </c>
      <c r="B98" s="3" t="s">
        <v>475</v>
      </c>
      <c r="D98" s="14">
        <v>6.8764474747057846E-24</v>
      </c>
      <c r="E98" s="14">
        <v>2.7109642750842282E-6</v>
      </c>
      <c r="F98" s="14">
        <v>1.0491518358158866E-5</v>
      </c>
      <c r="G98" s="14">
        <v>1.8652364780374947E-6</v>
      </c>
      <c r="H98" s="14">
        <v>0</v>
      </c>
      <c r="I98" s="14">
        <v>4.3901008680939468E-6</v>
      </c>
      <c r="J98" s="14">
        <v>2.0542180020625466E-5</v>
      </c>
      <c r="K98" s="14">
        <v>0</v>
      </c>
    </row>
    <row r="99" spans="1:11">
      <c r="A99" s="2" t="s">
        <v>476</v>
      </c>
      <c r="B99" s="3" t="s">
        <v>477</v>
      </c>
      <c r="D99" s="14">
        <v>6.9381516225478215E-12</v>
      </c>
      <c r="E99" s="14">
        <v>3.9657328149785472E-5</v>
      </c>
      <c r="F99" s="14">
        <v>3.2894099467124765E-10</v>
      </c>
      <c r="G99" s="14">
        <v>1.5297256775842221E-10</v>
      </c>
      <c r="H99" s="14">
        <v>0</v>
      </c>
      <c r="I99" s="14">
        <v>8.5060637876818851E-9</v>
      </c>
      <c r="J99" s="14">
        <v>3.3367693471280438E-7</v>
      </c>
      <c r="K99" s="14">
        <v>0</v>
      </c>
    </row>
    <row r="100" spans="1:11">
      <c r="A100" s="2" t="s">
        <v>478</v>
      </c>
      <c r="B100" s="3" t="s">
        <v>479</v>
      </c>
      <c r="D100" s="14">
        <v>2.6308076710046505E-15</v>
      </c>
      <c r="E100" s="14">
        <v>2.1194772730158185E-5</v>
      </c>
      <c r="F100" s="14">
        <v>1.0843345963234796E-6</v>
      </c>
      <c r="G100" s="14">
        <v>2.6512999875662429E-7</v>
      </c>
      <c r="H100" s="14">
        <v>0</v>
      </c>
      <c r="I100" s="14">
        <v>6.068647042033609E-7</v>
      </c>
      <c r="J100" s="14">
        <v>1.6848897967927543E-5</v>
      </c>
      <c r="K100" s="14">
        <v>0</v>
      </c>
    </row>
    <row r="101" spans="1:11">
      <c r="A101" s="2" t="s">
        <v>480</v>
      </c>
      <c r="B101" s="3" t="s">
        <v>481</v>
      </c>
      <c r="D101" s="14">
        <v>1.8670589544403933E-15</v>
      </c>
      <c r="E101" s="14">
        <v>3.943099135155857E-5</v>
      </c>
      <c r="F101" s="14">
        <v>8.892671435273086E-10</v>
      </c>
      <c r="G101" s="14">
        <v>3.8417385162787326E-10</v>
      </c>
      <c r="H101" s="14">
        <v>0</v>
      </c>
      <c r="I101" s="14">
        <v>8.9557472958271714E-9</v>
      </c>
      <c r="J101" s="14">
        <v>5.5877945828340121E-7</v>
      </c>
      <c r="K101" s="14">
        <v>0</v>
      </c>
    </row>
    <row r="102" spans="1:11">
      <c r="A102" s="2" t="s">
        <v>482</v>
      </c>
      <c r="B102" s="3" t="s">
        <v>483</v>
      </c>
      <c r="D102" s="14">
        <v>1.173237477226118E-31</v>
      </c>
      <c r="E102" s="14">
        <v>3.9849749148681292E-5</v>
      </c>
      <c r="F102" s="14">
        <v>6.3454166273824996E-11</v>
      </c>
      <c r="G102" s="14">
        <v>3.332389041619717E-11</v>
      </c>
      <c r="H102" s="14">
        <v>0</v>
      </c>
      <c r="I102" s="14">
        <v>8.2913383419481056E-9</v>
      </c>
      <c r="J102" s="14">
        <v>1.4186273492007376E-7</v>
      </c>
      <c r="K102" s="14">
        <v>0</v>
      </c>
    </row>
    <row r="103" spans="1:11">
      <c r="A103" s="2" t="s">
        <v>484</v>
      </c>
      <c r="B103" s="3" t="s">
        <v>485</v>
      </c>
      <c r="D103" s="14">
        <v>9.3585921924807895E-18</v>
      </c>
      <c r="E103" s="14">
        <v>3.9667989306980349E-5</v>
      </c>
      <c r="F103" s="14">
        <v>3.090898457970944E-10</v>
      </c>
      <c r="G103" s="14">
        <v>1.4440435573322502E-10</v>
      </c>
      <c r="H103" s="14">
        <v>0</v>
      </c>
      <c r="I103" s="14">
        <v>8.4899570738115328E-9</v>
      </c>
      <c r="J103" s="14">
        <v>3.2306724173495327E-7</v>
      </c>
      <c r="K103" s="14">
        <v>0</v>
      </c>
    </row>
    <row r="104" spans="1:11">
      <c r="A104" s="2" t="s">
        <v>486</v>
      </c>
      <c r="B104" s="3" t="s">
        <v>487</v>
      </c>
      <c r="D104" s="14">
        <v>1.1546893540273327E-13</v>
      </c>
      <c r="E104" s="14">
        <v>3.8156174496245712E-5</v>
      </c>
      <c r="F104" s="14">
        <v>8.8052030759189661E-9</v>
      </c>
      <c r="G104" s="14">
        <v>3.2050509072242767E-9</v>
      </c>
      <c r="H104" s="14">
        <v>0</v>
      </c>
      <c r="I104" s="14">
        <v>1.4845946690847307E-8</v>
      </c>
      <c r="J104" s="14">
        <v>1.8169691876113728E-6</v>
      </c>
      <c r="K104" s="14">
        <v>0</v>
      </c>
    </row>
    <row r="105" spans="1:11">
      <c r="A105" s="2" t="s">
        <v>488</v>
      </c>
      <c r="B105" s="3" t="s">
        <v>489</v>
      </c>
      <c r="D105" s="14">
        <v>9.3307599389299323E-21</v>
      </c>
      <c r="E105" s="14">
        <v>3.9821414316845572E-5</v>
      </c>
      <c r="F105" s="14">
        <v>8.9989374053372735E-11</v>
      </c>
      <c r="G105" s="14">
        <v>4.605606043586968E-11</v>
      </c>
      <c r="H105" s="14">
        <v>0</v>
      </c>
      <c r="I105" s="14">
        <v>8.3123845662277446E-9</v>
      </c>
      <c r="J105" s="14">
        <v>1.7013725315371478E-7</v>
      </c>
      <c r="K105" s="14">
        <v>0</v>
      </c>
    </row>
    <row r="106" spans="1:11">
      <c r="A106" s="2" t="s">
        <v>490</v>
      </c>
      <c r="B106" s="3" t="s">
        <v>491</v>
      </c>
      <c r="D106" s="14">
        <v>5.2081995604301408E-13</v>
      </c>
      <c r="E106" s="14">
        <v>3.3867822974181613E-5</v>
      </c>
      <c r="F106" s="14">
        <v>9.5271242994545599E-8</v>
      </c>
      <c r="G106" s="14">
        <v>2.884412618586809E-8</v>
      </c>
      <c r="H106" s="14">
        <v>0</v>
      </c>
      <c r="I106" s="14">
        <v>7.1020555647878691E-8</v>
      </c>
      <c r="J106" s="14">
        <v>5.9370405801701404E-6</v>
      </c>
      <c r="K106" s="14">
        <v>0</v>
      </c>
    </row>
    <row r="107" spans="1:11">
      <c r="A107" s="2" t="s">
        <v>492</v>
      </c>
      <c r="B107" s="3" t="s">
        <v>493</v>
      </c>
      <c r="D107" s="14">
        <v>3.4747151183459384E-20</v>
      </c>
      <c r="E107" s="14">
        <v>2.1671993829137057E-6</v>
      </c>
      <c r="F107" s="14">
        <v>1.1608962779049627E-5</v>
      </c>
      <c r="G107" s="14">
        <v>2.0150646026996697E-6</v>
      </c>
      <c r="H107" s="14">
        <v>0</v>
      </c>
      <c r="I107" s="14">
        <v>4.7551005398506133E-6</v>
      </c>
      <c r="J107" s="14">
        <v>1.9453672695486349E-5</v>
      </c>
      <c r="K107" s="14">
        <v>0</v>
      </c>
    </row>
    <row r="108" spans="1:11">
      <c r="A108" s="2" t="s">
        <v>291</v>
      </c>
      <c r="B108" s="3" t="s">
        <v>494</v>
      </c>
      <c r="D108" s="14">
        <v>1.4371239093939075E-14</v>
      </c>
      <c r="E108" s="14">
        <v>2.3145889705368935E-5</v>
      </c>
      <c r="F108" s="14">
        <v>8.3438873037161738E-7</v>
      </c>
      <c r="G108" s="14">
        <v>2.0934567118612427E-7</v>
      </c>
      <c r="H108" s="14">
        <v>0</v>
      </c>
      <c r="I108" s="14">
        <v>4.7915941315598456E-7</v>
      </c>
      <c r="J108" s="14">
        <v>1.5331216465546106E-5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0.80215943003802248</v>
      </c>
      <c r="M2" s="115">
        <v>7.907202835079854</v>
      </c>
      <c r="N2" s="115">
        <v>55.02428743488786</v>
      </c>
      <c r="O2" s="115">
        <v>1.1742378476919477</v>
      </c>
      <c r="P2" s="115">
        <v>1.2052113319187792</v>
      </c>
      <c r="Q2" s="111">
        <v>1.1742378476919479</v>
      </c>
      <c r="R2" s="68">
        <v>1.2052113319187794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1.933434318233662E-3</v>
      </c>
      <c r="M3" s="115">
        <v>1423.7470827934346</v>
      </c>
      <c r="N3" s="115">
        <v>10711.823034180899</v>
      </c>
      <c r="O3" s="115">
        <v>64.603784552612424</v>
      </c>
      <c r="P3" s="115">
        <v>27.673132070140635</v>
      </c>
      <c r="Q3" s="111">
        <v>64.603784552612439</v>
      </c>
      <c r="R3" s="68">
        <v>27.673132070140639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0.48099716363188139</v>
      </c>
      <c r="M4" s="115">
        <v>55.723418053955513</v>
      </c>
      <c r="N4" s="115">
        <v>412.74772699436988</v>
      </c>
      <c r="O4" s="115">
        <v>4.4486072098475846</v>
      </c>
      <c r="P4" s="115">
        <v>4.1674416292551539</v>
      </c>
      <c r="Q4" s="111">
        <v>4.4486072098475846</v>
      </c>
      <c r="R4" s="68">
        <v>4.1674416292551539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2.6814570258854503E-2</v>
      </c>
      <c r="M5" s="115">
        <v>540.30817388932837</v>
      </c>
      <c r="N5" s="115">
        <v>4048.2470142667548</v>
      </c>
      <c r="O5" s="115">
        <v>35.657359885859741</v>
      </c>
      <c r="P5" s="115">
        <v>30.066558534993579</v>
      </c>
      <c r="Q5" s="111">
        <v>35.657359885859748</v>
      </c>
      <c r="R5" s="68">
        <v>30.066558534993582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8.5229789432757566E-4</v>
      </c>
      <c r="M6" s="115">
        <v>1636.0113664205471</v>
      </c>
      <c r="N6" s="115">
        <v>12322.102319391724</v>
      </c>
      <c r="O6" s="115">
        <v>72.202505700819771</v>
      </c>
      <c r="P6" s="115">
        <v>28.60156285268754</v>
      </c>
      <c r="Q6" s="111">
        <v>72.202505700819771</v>
      </c>
      <c r="R6" s="68">
        <v>28.601562852687543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1.7355345058471807E-3</v>
      </c>
      <c r="M7" s="115">
        <v>1470.3741297394517</v>
      </c>
      <c r="N7" s="115">
        <v>11064.381329298294</v>
      </c>
      <c r="O7" s="115">
        <v>66.390557907688844</v>
      </c>
      <c r="P7" s="115">
        <v>28.047503659003404</v>
      </c>
      <c r="Q7" s="111">
        <v>66.390557907688844</v>
      </c>
      <c r="R7" s="68">
        <v>28.047503659003407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4.0339198813701006E-3</v>
      </c>
      <c r="M8" s="115">
        <v>1222.3308005904116</v>
      </c>
      <c r="N8" s="115">
        <v>9187.1703225853962</v>
      </c>
      <c r="O8" s="115">
        <v>57.797665658733756</v>
      </c>
      <c r="P8" s="115">
        <v>27.646778662250583</v>
      </c>
      <c r="Q8" s="111">
        <v>57.797665658733756</v>
      </c>
      <c r="R8" s="68">
        <v>27.646778662250586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0.15521796790620218</v>
      </c>
      <c r="M9" s="115">
        <v>212.99626676425049</v>
      </c>
      <c r="N9" s="115">
        <v>1590.1571434459313</v>
      </c>
      <c r="O9" s="115">
        <v>16.708062082970205</v>
      </c>
      <c r="P9" s="115">
        <v>16.401448033095811</v>
      </c>
      <c r="Q9" s="111">
        <v>16.708062082970205</v>
      </c>
      <c r="R9" s="68">
        <v>16.401448033095811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2.4622902613269458E-2</v>
      </c>
      <c r="M10" s="115">
        <v>570.81744355601165</v>
      </c>
      <c r="N10" s="115">
        <v>4277.552241558089</v>
      </c>
      <c r="O10" s="115">
        <v>36.584878388184315</v>
      </c>
      <c r="P10" s="115">
        <v>29.82352938616274</v>
      </c>
      <c r="Q10" s="111">
        <v>36.584878388184315</v>
      </c>
      <c r="R10" s="68">
        <v>29.82352938616274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2.1276809372364675E-2</v>
      </c>
      <c r="M11" s="115">
        <v>623.0802643471053</v>
      </c>
      <c r="N11" s="115">
        <v>4670.4898352884929</v>
      </c>
      <c r="O11" s="115">
        <v>38.174052406184785</v>
      </c>
      <c r="P11" s="115">
        <v>29.412598691805204</v>
      </c>
      <c r="Q11" s="111">
        <v>38.174052406184785</v>
      </c>
      <c r="R11" s="68">
        <v>29.412598691805204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0.11440571627425256</v>
      </c>
      <c r="M12" s="115">
        <v>256.39409354387146</v>
      </c>
      <c r="N12" s="115">
        <v>1915.6024197953031</v>
      </c>
      <c r="O12" s="115">
        <v>20.32816293028106</v>
      </c>
      <c r="P12" s="115">
        <v>20.211441920940622</v>
      </c>
      <c r="Q12" s="111">
        <v>20.32816293028106</v>
      </c>
      <c r="R12" s="68">
        <v>20.211441920940622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0.15091440967543085</v>
      </c>
      <c r="M13" s="115">
        <v>216.99391449517344</v>
      </c>
      <c r="N13" s="115">
        <v>1620.1257337399775</v>
      </c>
      <c r="O13" s="115">
        <v>17.03759506519814</v>
      </c>
      <c r="P13" s="115">
        <v>16.745076872834574</v>
      </c>
      <c r="Q13" s="111">
        <v>17.03759506519814</v>
      </c>
      <c r="R13" s="68">
        <v>16.745076872834574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1.3228667752568604E-2</v>
      </c>
      <c r="M14" s="115">
        <v>799.36354895874115</v>
      </c>
      <c r="N14" s="115">
        <v>5996.9660376170086</v>
      </c>
      <c r="O14" s="115">
        <v>43.725424121871605</v>
      </c>
      <c r="P14" s="115">
        <v>28.411831499816888</v>
      </c>
      <c r="Q14" s="111">
        <v>43.725424121871605</v>
      </c>
      <c r="R14" s="68">
        <v>28.411831499816891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2.2902685686333146E-2</v>
      </c>
      <c r="M15" s="115">
        <v>596.73849331687109</v>
      </c>
      <c r="N15" s="115">
        <v>4472.4182870015566</v>
      </c>
      <c r="O15" s="115">
        <v>37.372719579271376</v>
      </c>
      <c r="P15" s="115">
        <v>29.618328379062458</v>
      </c>
      <c r="Q15" s="111">
        <v>37.372719579271376</v>
      </c>
      <c r="R15" s="68">
        <v>29.618328379062458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4.1819679645961113E-3</v>
      </c>
      <c r="M16" s="115">
        <v>1209.3314671729891</v>
      </c>
      <c r="N16" s="115">
        <v>9088.9817083322578</v>
      </c>
      <c r="O16" s="115">
        <v>57.340101176731871</v>
      </c>
      <c r="P16" s="115">
        <v>27.619681722222559</v>
      </c>
      <c r="Q16" s="111">
        <v>57.340101176731871</v>
      </c>
      <c r="R16" s="68">
        <v>27.619681722222559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2.6071923255789133E-2</v>
      </c>
      <c r="M17" s="115">
        <v>550.47739892118295</v>
      </c>
      <c r="N17" s="115">
        <v>4124.6699503502905</v>
      </c>
      <c r="O17" s="115">
        <v>35.969226752636899</v>
      </c>
      <c r="P17" s="115">
        <v>29.990170349460438</v>
      </c>
      <c r="Q17" s="111">
        <v>35.969226752636899</v>
      </c>
      <c r="R17" s="68">
        <v>29.990170349460438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0.17425053523120598</v>
      </c>
      <c r="M18" s="115">
        <v>193.78449107382832</v>
      </c>
      <c r="N18" s="115">
        <v>1446.2133263352637</v>
      </c>
      <c r="O18" s="115">
        <v>15.140961180899799</v>
      </c>
      <c r="P18" s="115">
        <v>14.783474264152089</v>
      </c>
      <c r="Q18" s="111">
        <v>15.140961180899801</v>
      </c>
      <c r="R18" s="68">
        <v>14.78347426415209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2.2570846383003954E-2</v>
      </c>
      <c r="M19" s="115">
        <v>601.99577107413177</v>
      </c>
      <c r="N19" s="115">
        <v>4511.9453634081601</v>
      </c>
      <c r="O19" s="115">
        <v>37.533259542480884</v>
      </c>
      <c r="P19" s="115">
        <v>29.578232798087839</v>
      </c>
      <c r="Q19" s="111">
        <v>37.533259542480891</v>
      </c>
      <c r="R19" s="68">
        <v>29.578232798087843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0.15096807951894253</v>
      </c>
      <c r="M20" s="115">
        <v>217.07108425953854</v>
      </c>
      <c r="N20" s="115">
        <v>1620.7019006864348</v>
      </c>
      <c r="O20" s="115">
        <v>17.043654162291197</v>
      </c>
      <c r="P20" s="115">
        <v>16.751031941388259</v>
      </c>
      <c r="Q20" s="111">
        <v>17.043654162291197</v>
      </c>
      <c r="R20" s="68">
        <v>16.751031941388263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1.5221061385277622E-2</v>
      </c>
      <c r="M21" s="115">
        <v>745.31490369893572</v>
      </c>
      <c r="N21" s="115">
        <v>5590.1124898478811</v>
      </c>
      <c r="O21" s="115">
        <v>41.973005080630855</v>
      </c>
      <c r="P21" s="115">
        <v>28.621871037531633</v>
      </c>
      <c r="Q21" s="111">
        <v>41.973005080630855</v>
      </c>
      <c r="R21" s="68">
        <v>28.621871037531633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0.64307023935087204</v>
      </c>
      <c r="M22" s="115">
        <v>24.537993982476063</v>
      </c>
      <c r="N22" s="115">
        <v>179.52584551803901</v>
      </c>
      <c r="O22" s="115">
        <v>2.2501802861928932</v>
      </c>
      <c r="P22" s="115">
        <v>2.1400439480429285</v>
      </c>
      <c r="Q22" s="111">
        <v>2.2501802861928932</v>
      </c>
      <c r="R22" s="68">
        <v>2.140043948042929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0.75432906077420514</v>
      </c>
      <c r="M23" s="115">
        <v>11.850292281826308</v>
      </c>
      <c r="N23" s="115">
        <v>84.567224172173468</v>
      </c>
      <c r="O23" s="115">
        <v>1.4174327389928498</v>
      </c>
      <c r="P23" s="115">
        <v>1.4094754177642981</v>
      </c>
      <c r="Q23" s="111">
        <v>1.4174327389928498</v>
      </c>
      <c r="R23" s="68">
        <v>1.4094754177642983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0.31098424341752595</v>
      </c>
      <c r="M24" s="115">
        <v>112.79448150540257</v>
      </c>
      <c r="N24" s="115">
        <v>839.68797228143819</v>
      </c>
      <c r="O24" s="115">
        <v>8.7234756045860973</v>
      </c>
      <c r="P24" s="115">
        <v>8.2971429307629556</v>
      </c>
      <c r="Q24" s="111">
        <v>8.7234756045860973</v>
      </c>
      <c r="R24" s="68">
        <v>8.2971429307629556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7.1151641871332522E-2</v>
      </c>
      <c r="M25" s="115">
        <v>299.62937121292231</v>
      </c>
      <c r="N25" s="115">
        <v>2240.588578419814</v>
      </c>
      <c r="O25" s="115">
        <v>24.134698052546881</v>
      </c>
      <c r="P25" s="115">
        <v>24.398387736368402</v>
      </c>
      <c r="Q25" s="111">
        <v>24.134698052546881</v>
      </c>
      <c r="R25" s="68">
        <v>24.398387736368406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1.670586214516823E-2</v>
      </c>
      <c r="M26" s="115">
        <v>711.00899006455245</v>
      </c>
      <c r="N26" s="115">
        <v>5331.9318493267856</v>
      </c>
      <c r="O26" s="115">
        <v>40.893383637921502</v>
      </c>
      <c r="P26" s="115">
        <v>28.816498266265036</v>
      </c>
      <c r="Q26" s="111">
        <v>40.893383637921509</v>
      </c>
      <c r="R26" s="68">
        <v>28.81649826626504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2.1394735519117756E-3</v>
      </c>
      <c r="M27" s="115">
        <v>1401.740977540526</v>
      </c>
      <c r="N27" s="115">
        <v>10544.863403154774</v>
      </c>
      <c r="O27" s="115">
        <v>63.885689739226642</v>
      </c>
      <c r="P27" s="115">
        <v>27.702537520623096</v>
      </c>
      <c r="Q27" s="111">
        <v>63.885689739226649</v>
      </c>
      <c r="R27" s="68">
        <v>27.7025375206231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8.4875901058373386E-3</v>
      </c>
      <c r="M28" s="115">
        <v>963.86212847570403</v>
      </c>
      <c r="N28" s="115">
        <v>7236.3488002166523</v>
      </c>
      <c r="O28" s="115">
        <v>49.089058917357058</v>
      </c>
      <c r="P28" s="115">
        <v>27.867515618481555</v>
      </c>
      <c r="Q28" s="111">
        <v>49.089058917357065</v>
      </c>
      <c r="R28" s="68">
        <v>27.867515618481555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1.2627386554496042E-2</v>
      </c>
      <c r="M29" s="115">
        <v>711.37272073949248</v>
      </c>
      <c r="N29" s="115">
        <v>5336.4076603948197</v>
      </c>
      <c r="O29" s="115">
        <v>39.279050256312225</v>
      </c>
      <c r="P29" s="115">
        <v>25.932834348810964</v>
      </c>
      <c r="Q29" s="111">
        <v>39.279050256312225</v>
      </c>
      <c r="R29" s="68">
        <v>25.932834348810964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8.4875901058373386E-3</v>
      </c>
      <c r="M30" s="115">
        <v>963.86212847570403</v>
      </c>
      <c r="N30" s="115">
        <v>7236.3488002166523</v>
      </c>
      <c r="O30" s="115">
        <v>49.089058917357058</v>
      </c>
      <c r="P30" s="115">
        <v>27.867515618481555</v>
      </c>
      <c r="Q30" s="111">
        <v>49.089058917357065</v>
      </c>
      <c r="R30" s="68">
        <v>27.867515618481555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0.97033586230927149</v>
      </c>
      <c r="M31" s="115">
        <v>0.75347075483219372</v>
      </c>
      <c r="N31" s="115">
        <v>1.1369968409833557</v>
      </c>
      <c r="O31" s="115">
        <v>0.81130354325015996</v>
      </c>
      <c r="P31" s="115">
        <v>0.93898959569165896</v>
      </c>
      <c r="Q31" s="111">
        <v>0.81130354325015996</v>
      </c>
      <c r="R31" s="68">
        <v>0.93898959569165896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0.54781152770041974</v>
      </c>
      <c r="M32" s="115">
        <v>41.568325870618843</v>
      </c>
      <c r="N32" s="115">
        <v>306.38837324314727</v>
      </c>
      <c r="O32" s="115">
        <v>3.1373427944775392</v>
      </c>
      <c r="P32" s="115">
        <v>2.8818525336746617</v>
      </c>
      <c r="Q32" s="111">
        <v>3.1373427944775392</v>
      </c>
      <c r="R32" s="68">
        <v>2.8818525336746617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0.99302391793393041</v>
      </c>
      <c r="M33" s="115">
        <v>0.68330944958062934</v>
      </c>
      <c r="N33" s="115">
        <v>0.5913889382387173</v>
      </c>
      <c r="O33" s="115">
        <v>0.84229236700577303</v>
      </c>
      <c r="P33" s="115">
        <v>0.99017850859738676</v>
      </c>
      <c r="Q33" s="111">
        <v>0.84229236700577303</v>
      </c>
      <c r="R33" s="68">
        <v>0.99017850859738687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0.91601789479382234</v>
      </c>
      <c r="M34" s="115">
        <v>9.44789966430913</v>
      </c>
      <c r="N34" s="115">
        <v>75.431427331974035</v>
      </c>
      <c r="O34" s="115">
        <v>4.4019693608497459</v>
      </c>
      <c r="P34" s="115">
        <v>7.196412877870868</v>
      </c>
      <c r="Q34" s="111">
        <v>4.4019693608497459</v>
      </c>
      <c r="R34" s="68">
        <v>7.196412877870868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0.81752678601711049</v>
      </c>
      <c r="M35" s="115">
        <v>19.468935528309999</v>
      </c>
      <c r="N35" s="115">
        <v>160.90696278224547</v>
      </c>
      <c r="O35" s="115">
        <v>8.8596417015028113</v>
      </c>
      <c r="P35" s="115">
        <v>14.995981539941438</v>
      </c>
      <c r="Q35" s="111">
        <v>8.8596417015028113</v>
      </c>
      <c r="R35" s="68">
        <v>14.995981539941438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0.53645418589383143</v>
      </c>
      <c r="M36" s="115">
        <v>45.702854387840638</v>
      </c>
      <c r="N36" s="115">
        <v>384.6255851883285</v>
      </c>
      <c r="O36" s="115">
        <v>21.607464025240883</v>
      </c>
      <c r="P36" s="115">
        <v>37.375963193924086</v>
      </c>
      <c r="Q36" s="111">
        <v>21.607464025240887</v>
      </c>
      <c r="R36" s="68">
        <v>37.375963193924086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0.57825549275000954</v>
      </c>
      <c r="M37" s="115">
        <v>63.21064160633933</v>
      </c>
      <c r="N37" s="115">
        <v>486.90065361496136</v>
      </c>
      <c r="O37" s="115">
        <v>11.412449113183293</v>
      </c>
      <c r="P37" s="115">
        <v>17.050537028903094</v>
      </c>
      <c r="Q37" s="111">
        <v>11.412449113183293</v>
      </c>
      <c r="R37" s="68">
        <v>17.050537028903094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0.93114525009206239</v>
      </c>
      <c r="M38" s="115">
        <v>7.8315911245033432</v>
      </c>
      <c r="N38" s="115">
        <v>61.314322433999209</v>
      </c>
      <c r="O38" s="115">
        <v>3.5973837971921614</v>
      </c>
      <c r="P38" s="115">
        <v>5.7745397851300622</v>
      </c>
      <c r="Q38" s="111">
        <v>3.5973837971921614</v>
      </c>
      <c r="R38" s="68">
        <v>5.7745397851300622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4.3142106783929136E-2</v>
      </c>
      <c r="M39" s="115">
        <v>383.71130432534176</v>
      </c>
      <c r="N39" s="115">
        <v>2872.0899475690862</v>
      </c>
      <c r="O39" s="115">
        <v>31.119676878250321</v>
      </c>
      <c r="P39" s="115">
        <v>31.746401823258061</v>
      </c>
      <c r="Q39" s="111">
        <v>31.119676878250324</v>
      </c>
      <c r="R39" s="68">
        <v>31.746401823258065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3.080728492843297E-3</v>
      </c>
      <c r="M40" s="115">
        <v>2042.1444375940341</v>
      </c>
      <c r="N40" s="115">
        <v>17207.221534865334</v>
      </c>
      <c r="O40" s="115">
        <v>60.73388601956902</v>
      </c>
      <c r="P40" s="115">
        <v>39.825862194727485</v>
      </c>
      <c r="Q40" s="111">
        <v>60.73388601956902</v>
      </c>
      <c r="R40" s="68">
        <v>39.825862194727485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0.90786504906774645</v>
      </c>
      <c r="M41" s="115">
        <v>0.56977937146012547</v>
      </c>
      <c r="N41" s="115">
        <v>6.4232771260794672E-2</v>
      </c>
      <c r="O41" s="115">
        <v>0.75052853735208824</v>
      </c>
      <c r="P41" s="115">
        <v>0.87211861832577786</v>
      </c>
      <c r="Q41" s="111">
        <v>0.75052853735208824</v>
      </c>
      <c r="R41" s="68">
        <v>0.87211861832577797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0.61568129241786607</v>
      </c>
      <c r="M42" s="115">
        <v>28.902021024526825</v>
      </c>
      <c r="N42" s="115">
        <v>212.15965900662826</v>
      </c>
      <c r="O42" s="115">
        <v>2.5492730640546175</v>
      </c>
      <c r="P42" s="115">
        <v>2.4096945467785389</v>
      </c>
      <c r="Q42" s="111">
        <v>2.5492730640546175</v>
      </c>
      <c r="R42" s="68">
        <v>2.4096945467785389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7.663348793440386E-2</v>
      </c>
      <c r="M43" s="115">
        <v>169.30341307928515</v>
      </c>
      <c r="N43" s="115">
        <v>1433.0036547445361</v>
      </c>
      <c r="O43" s="115">
        <v>43.122694515258985</v>
      </c>
      <c r="P43" s="115">
        <v>72.47720219274737</v>
      </c>
      <c r="Q43" s="111">
        <v>43.122694515258985</v>
      </c>
      <c r="R43" s="68">
        <v>72.47720219274737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0.77526367056255285</v>
      </c>
      <c r="M44" s="115">
        <v>4.4731307802379865</v>
      </c>
      <c r="N44" s="115">
        <v>29.632390792792421</v>
      </c>
      <c r="O44" s="115">
        <v>0.91263056075860149</v>
      </c>
      <c r="P44" s="115">
        <v>0.9718489029266828</v>
      </c>
      <c r="Q44" s="111">
        <v>0.91263056075860149</v>
      </c>
      <c r="R44" s="68">
        <v>0.9718489029266828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0.58868530216623793</v>
      </c>
      <c r="M45" s="115">
        <v>33.239911377692998</v>
      </c>
      <c r="N45" s="115">
        <v>244.60693397206978</v>
      </c>
      <c r="O45" s="115">
        <v>2.8486811979511684</v>
      </c>
      <c r="P45" s="115">
        <v>2.6818002679014166</v>
      </c>
      <c r="Q45" s="111">
        <v>2.8486811979511688</v>
      </c>
      <c r="R45" s="68">
        <v>2.6818002679014166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0.60438632461224973</v>
      </c>
      <c r="M46" s="115">
        <v>30.404807122173043</v>
      </c>
      <c r="N46" s="115">
        <v>223.40915975287251</v>
      </c>
      <c r="O46" s="115">
        <v>2.6514253242111687</v>
      </c>
      <c r="P46" s="115">
        <v>2.5020662484848293</v>
      </c>
      <c r="Q46" s="111">
        <v>2.6514253242111687</v>
      </c>
      <c r="R46" s="68">
        <v>2.5020662484848293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1.9541687118765122E-3</v>
      </c>
      <c r="M47" s="115">
        <v>1439.015526197019</v>
      </c>
      <c r="N47" s="115">
        <v>10826.697976312971</v>
      </c>
      <c r="O47" s="115">
        <v>65.296603691643483</v>
      </c>
      <c r="P47" s="115">
        <v>27.969902231020509</v>
      </c>
      <c r="Q47" s="111">
        <v>65.296603691643483</v>
      </c>
      <c r="R47" s="68">
        <v>27.969902231020512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0.90475332402457243</v>
      </c>
      <c r="M48" s="115">
        <v>1.9421791595545141</v>
      </c>
      <c r="N48" s="115">
        <v>10.247603918400316</v>
      </c>
      <c r="O48" s="115">
        <v>0.83913620167437719</v>
      </c>
      <c r="P48" s="115">
        <v>0.94257588441631401</v>
      </c>
      <c r="Q48" s="111">
        <v>0.83913620167437719</v>
      </c>
      <c r="R48" s="68">
        <v>0.94257588441631412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0.86839828148459308</v>
      </c>
      <c r="M49" s="115">
        <v>2.9173646993307485</v>
      </c>
      <c r="N49" s="115">
        <v>17.650484939618437</v>
      </c>
      <c r="O49" s="115">
        <v>0.87737197415818546</v>
      </c>
      <c r="P49" s="115">
        <v>0.96498602605043338</v>
      </c>
      <c r="Q49" s="111">
        <v>0.87737197415818557</v>
      </c>
      <c r="R49" s="68">
        <v>0.96498602605043349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0.17983048272989777</v>
      </c>
      <c r="M50" s="115">
        <v>186.45848413378062</v>
      </c>
      <c r="N50" s="115">
        <v>1391.3667273512328</v>
      </c>
      <c r="O50" s="115">
        <v>14.550818406737847</v>
      </c>
      <c r="P50" s="115">
        <v>14.182115686128572</v>
      </c>
      <c r="Q50" s="111">
        <v>14.550818406737848</v>
      </c>
      <c r="R50" s="68">
        <v>14.182115686128572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0.89919117158628292</v>
      </c>
      <c r="M51" s="115">
        <v>0.80540196576728973</v>
      </c>
      <c r="N51" s="115">
        <v>1.8470304201587147</v>
      </c>
      <c r="O51" s="115">
        <v>0.75875716503503943</v>
      </c>
      <c r="P51" s="115">
        <v>0.87554917220455331</v>
      </c>
      <c r="Q51" s="111">
        <v>0.75875716503503943</v>
      </c>
      <c r="R51" s="68">
        <v>0.87554917220455331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0.74688954892779347</v>
      </c>
      <c r="M52" s="115">
        <v>7.2030165145682048</v>
      </c>
      <c r="N52" s="115">
        <v>50.048475660771793</v>
      </c>
      <c r="O52" s="115">
        <v>1.0820932971274444</v>
      </c>
      <c r="P52" s="115">
        <v>1.1123422412690056</v>
      </c>
      <c r="Q52" s="111">
        <v>1.0820932971274444</v>
      </c>
      <c r="R52" s="68">
        <v>1.1123422412690056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0.50104445449138901</v>
      </c>
      <c r="M53" s="115">
        <v>50.493365450882862</v>
      </c>
      <c r="N53" s="115">
        <v>373.64479901885295</v>
      </c>
      <c r="O53" s="115">
        <v>4.0697166367956923</v>
      </c>
      <c r="P53" s="115">
        <v>3.8116626952752344</v>
      </c>
      <c r="Q53" s="111">
        <v>4.0697166367956923</v>
      </c>
      <c r="R53" s="68">
        <v>3.8116626952752344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2.7695800425233874E-3</v>
      </c>
      <c r="M54" s="115">
        <v>1339.1966988632328</v>
      </c>
      <c r="N54" s="115">
        <v>10070.896655654677</v>
      </c>
      <c r="O54" s="115">
        <v>61.819252008063835</v>
      </c>
      <c r="P54" s="115">
        <v>27.760205565171688</v>
      </c>
      <c r="Q54" s="111">
        <v>61.819252008063835</v>
      </c>
      <c r="R54" s="68">
        <v>27.760205565171688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0.22705922160962391</v>
      </c>
      <c r="M55" s="115">
        <v>94.727989606019989</v>
      </c>
      <c r="N55" s="115">
        <v>705.4698966177624</v>
      </c>
      <c r="O55" s="115">
        <v>7.3251436203583928</v>
      </c>
      <c r="P55" s="115">
        <v>6.9875236494807904</v>
      </c>
      <c r="Q55" s="111">
        <v>7.3251436203583937</v>
      </c>
      <c r="R55" s="68">
        <v>6.9875236494807913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2.1795468844052625E-2</v>
      </c>
      <c r="M56" s="115">
        <v>45.539829680245511</v>
      </c>
      <c r="N56" s="115">
        <v>340.20753040383892</v>
      </c>
      <c r="O56" s="115">
        <v>3.6047444301823131</v>
      </c>
      <c r="P56" s="115">
        <v>3.5774688689271756</v>
      </c>
      <c r="Q56" s="111">
        <v>3.6047444301823131</v>
      </c>
      <c r="R56" s="68">
        <v>3.5774688689271756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3.2974726232298912E-2</v>
      </c>
      <c r="M57" s="115">
        <v>18.632576383539895</v>
      </c>
      <c r="N57" s="115">
        <v>138.86734919225412</v>
      </c>
      <c r="O57" s="115">
        <v>1.44278348470735</v>
      </c>
      <c r="P57" s="115">
        <v>1.3856289435374782</v>
      </c>
      <c r="Q57" s="111">
        <v>1.4427834847073502</v>
      </c>
      <c r="R57" s="68">
        <v>1.3856289435374782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5.9105640707185235E-2</v>
      </c>
      <c r="M58" s="115">
        <v>0.24121226380333491</v>
      </c>
      <c r="N58" s="115">
        <v>1.5179222654071036</v>
      </c>
      <c r="O58" s="115">
        <v>6.2654354925765862E-2</v>
      </c>
      <c r="P58" s="115">
        <v>6.8169397066413076E-2</v>
      </c>
      <c r="Q58" s="111">
        <v>6.2654354925765862E-2</v>
      </c>
      <c r="R58" s="68">
        <v>6.816939706641309E-2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1.2526878156757596E-2</v>
      </c>
      <c r="M59" s="115">
        <v>6.5997226839685021</v>
      </c>
      <c r="N59" s="115">
        <v>49.179248257763177</v>
      </c>
      <c r="O59" s="115">
        <v>0.51078586008626825</v>
      </c>
      <c r="P59" s="115">
        <v>0.48976348988999563</v>
      </c>
      <c r="Q59" s="111">
        <v>0.51078586008626825</v>
      </c>
      <c r="R59" s="68">
        <v>0.48976348988999563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4.4734277218211002E-4</v>
      </c>
      <c r="M60" s="115">
        <v>0.10915391152236814</v>
      </c>
      <c r="N60" s="115">
        <v>0.8115226723831872</v>
      </c>
      <c r="O60" s="115">
        <v>8.474539349152984E-3</v>
      </c>
      <c r="P60" s="115">
        <v>8.0015379806218836E-3</v>
      </c>
      <c r="Q60" s="111">
        <v>8.474539349152984E-3</v>
      </c>
      <c r="R60" s="68">
        <v>8.0015379806218836E-3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0.42041745073611347</v>
      </c>
      <c r="M61" s="115">
        <v>72.331223411427231</v>
      </c>
      <c r="N61" s="115">
        <v>536.95976487221731</v>
      </c>
      <c r="O61" s="115">
        <v>5.6661509459346497</v>
      </c>
      <c r="P61" s="115">
        <v>5.3238371181389148</v>
      </c>
      <c r="Q61" s="111">
        <v>5.6661509459346497</v>
      </c>
      <c r="R61" s="68">
        <v>5.3238371181389148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1.3658054468333793E-2</v>
      </c>
      <c r="M62" s="115">
        <v>787.62725084894407</v>
      </c>
      <c r="N62" s="115">
        <v>5908.5967252634318</v>
      </c>
      <c r="O62" s="115">
        <v>43.352214682999914</v>
      </c>
      <c r="P62" s="115">
        <v>28.469828508659859</v>
      </c>
      <c r="Q62" s="111">
        <v>43.352214682999922</v>
      </c>
      <c r="R62" s="68">
        <v>28.469828508659859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1.0475847094904107E-3</v>
      </c>
      <c r="M63" s="115">
        <v>1591.8346250732727</v>
      </c>
      <c r="N63" s="115">
        <v>11986.232152399602</v>
      </c>
      <c r="O63" s="115">
        <v>70.648233087135765</v>
      </c>
      <c r="P63" s="115">
        <v>28.430586448182158</v>
      </c>
      <c r="Q63" s="111">
        <v>70.648233087135765</v>
      </c>
      <c r="R63" s="68">
        <v>28.430586448182162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3.5768596367874677E-4</v>
      </c>
      <c r="M64" s="115">
        <v>1789.7497742326805</v>
      </c>
      <c r="N64" s="115">
        <v>13494.435643424838</v>
      </c>
      <c r="O64" s="115">
        <v>77.608914236002363</v>
      </c>
      <c r="P64" s="115">
        <v>29.319537212953964</v>
      </c>
      <c r="Q64" s="111">
        <v>77.608914236002363</v>
      </c>
      <c r="R64" s="68">
        <v>29.319537212953968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9.998453593720588E-5</v>
      </c>
      <c r="M65" s="115">
        <v>1940.2284630430784</v>
      </c>
      <c r="N65" s="115">
        <v>14650.919067664709</v>
      </c>
      <c r="O65" s="115">
        <v>82.820742747959969</v>
      </c>
      <c r="P65" s="115">
        <v>30.207849095597158</v>
      </c>
      <c r="Q65" s="111">
        <v>82.820742747959969</v>
      </c>
      <c r="R65" s="68">
        <v>30.207849095597158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2.0762212058590034E-4</v>
      </c>
      <c r="M66" s="115">
        <v>1863.2998599053865</v>
      </c>
      <c r="N66" s="115">
        <v>14058.083144659366</v>
      </c>
      <c r="O66" s="115">
        <v>80.176723048282298</v>
      </c>
      <c r="P66" s="115">
        <v>29.7315639962031</v>
      </c>
      <c r="Q66" s="111">
        <v>80.176723048282298</v>
      </c>
      <c r="R66" s="68">
        <v>29.7315639962031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0.83116467871775357</v>
      </c>
      <c r="M67" s="115">
        <v>5.6757552242004214</v>
      </c>
      <c r="N67" s="115">
        <v>38.306772617151175</v>
      </c>
      <c r="O67" s="115">
        <v>1.0398568347721022</v>
      </c>
      <c r="P67" s="115">
        <v>1.0949052842416001</v>
      </c>
      <c r="Q67" s="111">
        <v>1.0398568347721022</v>
      </c>
      <c r="R67" s="68">
        <v>1.0949052842416001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0.77452562908601041</v>
      </c>
      <c r="M68" s="115">
        <v>9.3095701963441684</v>
      </c>
      <c r="N68" s="115">
        <v>65.578806710146736</v>
      </c>
      <c r="O68" s="115">
        <v>1.2521966593508798</v>
      </c>
      <c r="P68" s="115">
        <v>1.2676120548855689</v>
      </c>
      <c r="Q68" s="111">
        <v>1.25219665935088</v>
      </c>
      <c r="R68" s="68">
        <v>1.2676120548855689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4.4070626871402716E-3</v>
      </c>
      <c r="M69" s="115">
        <v>1188.1428221128908</v>
      </c>
      <c r="N69" s="115">
        <v>8929.0200492344138</v>
      </c>
      <c r="O69" s="115">
        <v>56.575005543339685</v>
      </c>
      <c r="P69" s="115">
        <v>27.543657291164607</v>
      </c>
      <c r="Q69" s="111">
        <v>56.575005543339692</v>
      </c>
      <c r="R69" s="68">
        <v>27.543657291164607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8.5446771448710143E-2</v>
      </c>
      <c r="M70" s="115">
        <v>291.59367514856177</v>
      </c>
      <c r="N70" s="115">
        <v>2179.8820654344863</v>
      </c>
      <c r="O70" s="115">
        <v>23.359158964360859</v>
      </c>
      <c r="P70" s="115">
        <v>23.4836204023661</v>
      </c>
      <c r="Q70" s="111">
        <v>23.359158964360862</v>
      </c>
      <c r="R70" s="68">
        <v>23.4836204023661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0.77132353420293176</v>
      </c>
      <c r="M71" s="115">
        <v>8.4863905806434854</v>
      </c>
      <c r="N71" s="115">
        <v>59.473957594968198</v>
      </c>
      <c r="O71" s="115">
        <v>1.1914719642433858</v>
      </c>
      <c r="P71" s="115">
        <v>1.2135436559617618</v>
      </c>
      <c r="Q71" s="111">
        <v>1.1914719642433858</v>
      </c>
      <c r="R71" s="68">
        <v>1.2135436559617618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9.2515695663751368E-2</v>
      </c>
      <c r="M72" s="115">
        <v>268.08716743143452</v>
      </c>
      <c r="N72" s="115">
        <v>2003.7008300901687</v>
      </c>
      <c r="O72" s="115">
        <v>21.38765398492259</v>
      </c>
      <c r="P72" s="115">
        <v>21.40906127854792</v>
      </c>
      <c r="Q72" s="111">
        <v>21.38765398492259</v>
      </c>
      <c r="R72" s="68">
        <v>21.40906127854792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0.39482196788189527</v>
      </c>
      <c r="M73" s="115">
        <v>76.315490880859713</v>
      </c>
      <c r="N73" s="115">
        <v>566.84202132419944</v>
      </c>
      <c r="O73" s="115">
        <v>5.956338272943638</v>
      </c>
      <c r="P73" s="115">
        <v>5.6044866709224666</v>
      </c>
      <c r="Q73" s="111">
        <v>5.956338272943638</v>
      </c>
      <c r="R73" s="68">
        <v>5.6044866709224674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8.7744004577202384E-2</v>
      </c>
      <c r="M74" s="115">
        <v>285.7641194975223</v>
      </c>
      <c r="N74" s="115">
        <v>2136.1651499356044</v>
      </c>
      <c r="O74" s="115">
        <v>22.864901168946187</v>
      </c>
      <c r="P74" s="115">
        <v>22.958401536838085</v>
      </c>
      <c r="Q74" s="111">
        <v>22.86490116894619</v>
      </c>
      <c r="R74" s="68">
        <v>22.958401536838089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3.430759063532722E-2</v>
      </c>
      <c r="M75" s="115">
        <v>515.29400664987622</v>
      </c>
      <c r="N75" s="115">
        <v>4376.1481233884924</v>
      </c>
      <c r="O75" s="115">
        <v>47.610126874054977</v>
      </c>
      <c r="P75" s="115">
        <v>69.467168530753057</v>
      </c>
      <c r="Q75" s="111">
        <v>47.610126874054977</v>
      </c>
      <c r="R75" s="68">
        <v>69.467168530753057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3.4307590781804016E-2</v>
      </c>
      <c r="M76" s="115">
        <v>515.29400884993208</v>
      </c>
      <c r="N76" s="115">
        <v>4376.1481420725258</v>
      </c>
      <c r="O76" s="115">
        <v>47.610127077327164</v>
      </c>
      <c r="P76" s="115">
        <v>69.467168827344224</v>
      </c>
      <c r="Q76" s="111">
        <v>47.610127077327164</v>
      </c>
      <c r="R76" s="68">
        <v>69.467168827344238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0.21273969145443505</v>
      </c>
      <c r="M77" s="115">
        <v>151.8166145533236</v>
      </c>
      <c r="N77" s="115">
        <v>1132.0541607162154</v>
      </c>
      <c r="O77" s="115">
        <v>11.782959150842634</v>
      </c>
      <c r="P77" s="115">
        <v>11.378846849202418</v>
      </c>
      <c r="Q77" s="111">
        <v>11.782959150842634</v>
      </c>
      <c r="R77" s="68">
        <v>11.37884684920242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0.60442321113997843</v>
      </c>
      <c r="M78" s="115">
        <v>25.875161778721864</v>
      </c>
      <c r="N78" s="115">
        <v>189.67439562559105</v>
      </c>
      <c r="O78" s="115">
        <v>2.320006622898795</v>
      </c>
      <c r="P78" s="115">
        <v>2.1985038781126258</v>
      </c>
      <c r="Q78" s="111">
        <v>2.320006622898795</v>
      </c>
      <c r="R78" s="68">
        <v>2.1985038781126258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0.49009702461504989</v>
      </c>
      <c r="M79" s="115">
        <v>51.738488238272716</v>
      </c>
      <c r="N79" s="115">
        <v>382.98747578243314</v>
      </c>
      <c r="O79" s="115">
        <v>4.1560472548744682</v>
      </c>
      <c r="P79" s="115">
        <v>3.8925919400161315</v>
      </c>
      <c r="Q79" s="111">
        <v>4.1560472548744682</v>
      </c>
      <c r="R79" s="68">
        <v>3.8925919400161315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2.0168103509410833E-2</v>
      </c>
      <c r="M80" s="115">
        <v>867.99270072156605</v>
      </c>
      <c r="N80" s="115">
        <v>7371.6861484536967</v>
      </c>
      <c r="O80" s="115">
        <v>50.778888524111494</v>
      </c>
      <c r="P80" s="115">
        <v>63.714335638180273</v>
      </c>
      <c r="Q80" s="111">
        <v>50.778888524111494</v>
      </c>
      <c r="R80" s="68">
        <v>63.714335638180273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0.96477765485413924</v>
      </c>
      <c r="M81" s="115">
        <v>0.82372568651667055</v>
      </c>
      <c r="N81" s="115">
        <v>1.6824682987070674</v>
      </c>
      <c r="O81" s="115">
        <v>0.8114727171121533</v>
      </c>
      <c r="P81" s="115">
        <v>0.9373518630795844</v>
      </c>
      <c r="Q81" s="111">
        <v>0.8114727171121533</v>
      </c>
      <c r="R81" s="68">
        <v>0.9373518630795844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0.75923504766385508</v>
      </c>
      <c r="M82" s="115">
        <v>11.404236556900628</v>
      </c>
      <c r="N82" s="115">
        <v>81.226633787315947</v>
      </c>
      <c r="O82" s="115">
        <v>1.389368180530137</v>
      </c>
      <c r="P82" s="115">
        <v>1.385582249298682</v>
      </c>
      <c r="Q82" s="111">
        <v>1.389368180530137</v>
      </c>
      <c r="R82" s="68">
        <v>1.385582249298682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0.2549771500376018</v>
      </c>
      <c r="M83" s="115">
        <v>140.75259546495352</v>
      </c>
      <c r="N83" s="115">
        <v>1048.9631644363153</v>
      </c>
      <c r="O83" s="115">
        <v>10.897030284006147</v>
      </c>
      <c r="P83" s="115">
        <v>10.459718454424687</v>
      </c>
      <c r="Q83" s="111">
        <v>10.897030284006147</v>
      </c>
      <c r="R83" s="68">
        <v>10.459718454424687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0.9314336939962502</v>
      </c>
      <c r="M84" s="115">
        <v>1.4997603131729373</v>
      </c>
      <c r="N84" s="115">
        <v>6.8443819650169706</v>
      </c>
      <c r="O84" s="115">
        <v>0.83013479493428288</v>
      </c>
      <c r="P84" s="115">
        <v>0.94253996326558598</v>
      </c>
      <c r="Q84" s="111">
        <v>0.83013479493428299</v>
      </c>
      <c r="R84" s="68">
        <v>0.94253996326558598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0.98145769259504367</v>
      </c>
      <c r="M85" s="115">
        <v>0.65324472342367801</v>
      </c>
      <c r="N85" s="115">
        <v>0.34477658301663783</v>
      </c>
      <c r="O85" s="115">
        <v>0.81367963574042856</v>
      </c>
      <c r="P85" s="115">
        <v>0.94449663639931769</v>
      </c>
      <c r="Q85" s="111">
        <v>0.81367963574042868</v>
      </c>
      <c r="R85" s="68">
        <v>0.94449663639931769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0.93295191144002032</v>
      </c>
      <c r="M86" s="115">
        <v>1.459945560764133</v>
      </c>
      <c r="N86" s="115">
        <v>6.5422533307916915</v>
      </c>
      <c r="O86" s="115">
        <v>0.82865047797473834</v>
      </c>
      <c r="P86" s="115">
        <v>0.94175458846647686</v>
      </c>
      <c r="Q86" s="111">
        <v>0.82865047797473834</v>
      </c>
      <c r="R86" s="68">
        <v>0.94175458846647686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1.5399400288621536E-3</v>
      </c>
      <c r="M87" s="115">
        <v>1501.0310452815177</v>
      </c>
      <c r="N87" s="115">
        <v>11296.856360939233</v>
      </c>
      <c r="O87" s="115">
        <v>67.463600747272864</v>
      </c>
      <c r="P87" s="115">
        <v>28.133870228937663</v>
      </c>
      <c r="Q87" s="111">
        <v>67.463600747272864</v>
      </c>
      <c r="R87" s="68">
        <v>28.133870228937663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0.6721332083234739</v>
      </c>
      <c r="M88" s="115">
        <v>20.86179234668867</v>
      </c>
      <c r="N88" s="115">
        <v>152.014843966988</v>
      </c>
      <c r="O88" s="115">
        <v>2.0042362372088456</v>
      </c>
      <c r="P88" s="115">
        <v>1.9210629002254078</v>
      </c>
      <c r="Q88" s="111">
        <v>2.004236237208846</v>
      </c>
      <c r="R88" s="68">
        <v>1.9210629002254078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0.74436474921434925</v>
      </c>
      <c r="M89" s="115">
        <v>12.794301492264196</v>
      </c>
      <c r="N89" s="115">
        <v>91.635806925930325</v>
      </c>
      <c r="O89" s="115">
        <v>1.4772698972439058</v>
      </c>
      <c r="P89" s="115">
        <v>1.460660523966947</v>
      </c>
      <c r="Q89" s="111">
        <v>1.4772698972439058</v>
      </c>
      <c r="R89" s="68">
        <v>1.460660523966947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0.87344786888560055</v>
      </c>
      <c r="M90" s="115">
        <v>3.6360782586948379</v>
      </c>
      <c r="N90" s="115">
        <v>22.962333784411754</v>
      </c>
      <c r="O90" s="115">
        <v>0.93082882876283179</v>
      </c>
      <c r="P90" s="115">
        <v>1.0115904741001682</v>
      </c>
      <c r="Q90" s="111">
        <v>0.93082882876283179</v>
      </c>
      <c r="R90" s="68">
        <v>1.0115904741001682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1.1635243442358311E-2</v>
      </c>
      <c r="M91" s="115">
        <v>847.59667920526158</v>
      </c>
      <c r="N91" s="115">
        <v>6360.2009885812477</v>
      </c>
      <c r="O91" s="115">
        <v>45.286000134641185</v>
      </c>
      <c r="P91" s="115">
        <v>28.224170681984145</v>
      </c>
      <c r="Q91" s="111">
        <v>45.286000134641192</v>
      </c>
      <c r="R91" s="68">
        <v>28.224170681984148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0.31427164923922041</v>
      </c>
      <c r="M92" s="115">
        <v>111.35876885322524</v>
      </c>
      <c r="N92" s="115">
        <v>828.94322734863943</v>
      </c>
      <c r="O92" s="115">
        <v>8.613120429128676</v>
      </c>
      <c r="P92" s="115">
        <v>8.1883159721584491</v>
      </c>
      <c r="Q92" s="111">
        <v>8.613120429128676</v>
      </c>
      <c r="R92" s="68">
        <v>8.1883159721584509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0.11609705163816264</v>
      </c>
      <c r="M93" s="115">
        <v>254.17707488675941</v>
      </c>
      <c r="N93" s="115">
        <v>1898.9733117016767</v>
      </c>
      <c r="O93" s="115">
        <v>20.141386224520247</v>
      </c>
      <c r="P93" s="115">
        <v>20.01347187459827</v>
      </c>
      <c r="Q93" s="111">
        <v>20.141386224520247</v>
      </c>
      <c r="R93" s="68">
        <v>20.01347187459827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0.98218331228115996</v>
      </c>
      <c r="M94" s="115">
        <v>2.1453373816356764</v>
      </c>
      <c r="N94" s="115">
        <v>13.065763622362349</v>
      </c>
      <c r="O94" s="115">
        <v>1.3721064561476435</v>
      </c>
      <c r="P94" s="115">
        <v>1.9086995747386262</v>
      </c>
      <c r="Q94" s="111">
        <v>1.3721064561476435</v>
      </c>
      <c r="R94" s="68">
        <v>1.9086995747386262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3.1289189226708307E-2</v>
      </c>
      <c r="M95" s="115">
        <v>487.57253950741404</v>
      </c>
      <c r="N95" s="115">
        <v>3651.9988794824667</v>
      </c>
      <c r="O95" s="115">
        <v>34.102319612944967</v>
      </c>
      <c r="P95" s="115">
        <v>30.577738574291864</v>
      </c>
      <c r="Q95" s="111">
        <v>34.102319612944974</v>
      </c>
      <c r="R95" s="68">
        <v>30.577738574291864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0.96366851579232438</v>
      </c>
      <c r="M96" s="115">
        <v>0.83927743384649411</v>
      </c>
      <c r="N96" s="115">
        <v>1.8026852750308948</v>
      </c>
      <c r="O96" s="115">
        <v>0.81161110771340095</v>
      </c>
      <c r="P96" s="115">
        <v>0.93711245610967053</v>
      </c>
      <c r="Q96" s="111">
        <v>0.81161110771340095</v>
      </c>
      <c r="R96" s="68">
        <v>0.93711245610967064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0.9306610308604607</v>
      </c>
      <c r="M97" s="115">
        <v>1.5203443064423001</v>
      </c>
      <c r="N97" s="115">
        <v>7.0005303723637926</v>
      </c>
      <c r="O97" s="115">
        <v>0.8309129545666798</v>
      </c>
      <c r="P97" s="115">
        <v>0.94295958287732062</v>
      </c>
      <c r="Q97" s="111">
        <v>0.83091295456667991</v>
      </c>
      <c r="R97" s="68">
        <v>0.94295958287732062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6.7421133099245592E-2</v>
      </c>
      <c r="M98" s="115">
        <v>326.6444098284187</v>
      </c>
      <c r="N98" s="115">
        <v>2443.0544222135563</v>
      </c>
      <c r="O98" s="115">
        <v>26.409473993924841</v>
      </c>
      <c r="P98" s="115">
        <v>26.797046963190283</v>
      </c>
      <c r="Q98" s="111">
        <v>26.409473993924845</v>
      </c>
      <c r="R98" s="68">
        <v>26.797046963190283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0.98512025254195423</v>
      </c>
      <c r="M99" s="115">
        <v>0.63289165086918786</v>
      </c>
      <c r="N99" s="115">
        <v>0.17766946638836997</v>
      </c>
      <c r="O99" s="115">
        <v>0.81529536755788989</v>
      </c>
      <c r="P99" s="115">
        <v>0.94697763621668229</v>
      </c>
      <c r="Q99" s="111">
        <v>0.81529536755789001</v>
      </c>
      <c r="R99" s="68">
        <v>0.94697763621668229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0.52710211543387542</v>
      </c>
      <c r="M100" s="115">
        <v>45.153623824654829</v>
      </c>
      <c r="N100" s="115">
        <v>333.70146330136316</v>
      </c>
      <c r="O100" s="115">
        <v>3.6884383317995071</v>
      </c>
      <c r="P100" s="115">
        <v>3.4559223984474654</v>
      </c>
      <c r="Q100" s="111">
        <v>3.6884383317995075</v>
      </c>
      <c r="R100" s="68">
        <v>3.4559223984474654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0.97956052119749559</v>
      </c>
      <c r="M101" s="115">
        <v>0.66635024522523589</v>
      </c>
      <c r="N101" s="115">
        <v>0.45032602171912561</v>
      </c>
      <c r="O101" s="115">
        <v>0.81300965312957729</v>
      </c>
      <c r="P101" s="115">
        <v>0.94334341469388383</v>
      </c>
      <c r="Q101" s="111">
        <v>0.8130096531295774</v>
      </c>
      <c r="R101" s="68">
        <v>0.94334341469388383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0.98986505903882183</v>
      </c>
      <c r="M102" s="115">
        <v>0.6169150552044721</v>
      </c>
      <c r="N102" s="115">
        <v>3.8120179671773037E-2</v>
      </c>
      <c r="O102" s="115">
        <v>0.81805448254439672</v>
      </c>
      <c r="P102" s="115">
        <v>0.95070587282607311</v>
      </c>
      <c r="Q102" s="111">
        <v>0.81805448254439672</v>
      </c>
      <c r="R102" s="68">
        <v>0.95070587282607311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0.98538263161227235</v>
      </c>
      <c r="M103" s="115">
        <v>0.63169323465859617</v>
      </c>
      <c r="N103" s="115">
        <v>0.16762142736646424</v>
      </c>
      <c r="O103" s="115">
        <v>0.81542788639050834</v>
      </c>
      <c r="P103" s="115">
        <v>0.94716846832381063</v>
      </c>
      <c r="Q103" s="111">
        <v>0.81542788639050845</v>
      </c>
      <c r="R103" s="68">
        <v>0.94716846832381063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0.94832078285579124</v>
      </c>
      <c r="M104" s="115">
        <v>1.1046091287832818</v>
      </c>
      <c r="N104" s="115">
        <v>3.8382580839479212</v>
      </c>
      <c r="O104" s="115">
        <v>0.81699170227031381</v>
      </c>
      <c r="P104" s="115">
        <v>0.93673636883077283</v>
      </c>
      <c r="Q104" s="111">
        <v>0.81699170227031381</v>
      </c>
      <c r="R104" s="68">
        <v>0.93673636883077283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0.98916501402196133</v>
      </c>
      <c r="M105" s="115">
        <v>0.61848099451099281</v>
      </c>
      <c r="N105" s="115">
        <v>5.2854993970875064E-2</v>
      </c>
      <c r="O105" s="115">
        <v>0.81759740759584265</v>
      </c>
      <c r="P105" s="115">
        <v>0.95011806688312528</v>
      </c>
      <c r="Q105" s="111">
        <v>0.81759740759584265</v>
      </c>
      <c r="R105" s="68">
        <v>0.95011806688312528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0.84217804994942946</v>
      </c>
      <c r="M106" s="115">
        <v>5.2842675333243072</v>
      </c>
      <c r="N106" s="115">
        <v>35.347331111269796</v>
      </c>
      <c r="O106" s="115">
        <v>1.0210340606063828</v>
      </c>
      <c r="P106" s="115">
        <v>1.08125536611794</v>
      </c>
      <c r="Q106" s="111">
        <v>1.0210340606063828</v>
      </c>
      <c r="R106" s="68">
        <v>1.08125536611794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5.3897835796340693E-2</v>
      </c>
      <c r="M107" s="115">
        <v>353.80212350078966</v>
      </c>
      <c r="N107" s="115">
        <v>2647.2089069545527</v>
      </c>
      <c r="O107" s="115">
        <v>28.84493430530577</v>
      </c>
      <c r="P107" s="115">
        <v>29.50376692827853</v>
      </c>
      <c r="Q107" s="111">
        <v>28.84493430530577</v>
      </c>
      <c r="R107" s="68">
        <v>29.50376692827853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0.57562310835351826</v>
      </c>
      <c r="M108" s="115">
        <v>35.65174205029647</v>
      </c>
      <c r="N108" s="115">
        <v>262.64142516968263</v>
      </c>
      <c r="O108" s="115">
        <v>3.0172783106901027</v>
      </c>
      <c r="P108" s="115">
        <v>2.8360923248817547</v>
      </c>
      <c r="Q108" s="111">
        <v>3.0172783106901031</v>
      </c>
      <c r="R108" s="68">
        <v>2.8360923248817547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108"/>
  <sheetViews>
    <sheetView tabSelected="1" topLeftCell="A77" workbookViewId="0">
      <selection activeCell="A84" sqref="A84:D108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1.0627280610347323E-7</v>
      </c>
      <c r="B2">
        <f>'Mass Balance'!E2</f>
        <v>3.2257082139503749E-5</v>
      </c>
      <c r="C2">
        <f>SUM('Mass Balance'!E2:H2)</f>
        <v>3.2455178568373331E-5</v>
      </c>
      <c r="D2">
        <f>Concentrations!F2/Concentrations!E2</f>
        <v>0.99428391917831205</v>
      </c>
    </row>
    <row r="3" spans="1:4">
      <c r="A3" s="164">
        <f>'Mass Balance'!I3</f>
        <v>1.913516079274376E-5</v>
      </c>
      <c r="B3">
        <f>'Mass Balance'!E3</f>
        <v>7.7741701605960498E-8</v>
      </c>
      <c r="C3">
        <f>SUM('Mass Balance'!E3:H3)</f>
        <v>1.0733605057511662E-5</v>
      </c>
      <c r="D3">
        <f>Concentrations!F3/Concentrations!E3</f>
        <v>7.245656965541877E-3</v>
      </c>
    </row>
    <row r="4" spans="1:4">
      <c r="A4" s="164">
        <f>'Mass Balance'!I4</f>
        <v>7.4892273864516206E-7</v>
      </c>
      <c r="B4">
        <f>'Mass Balance'!E4</f>
        <v>1.9340840492357209E-5</v>
      </c>
      <c r="C4">
        <f>SUM('Mass Balance'!E4:H4)</f>
        <v>2.1037381431379729E-5</v>
      </c>
      <c r="D4">
        <f>Concentrations!F4/Concentrations!E4</f>
        <v>0.91971442972599593</v>
      </c>
    </row>
    <row r="5" spans="1:4">
      <c r="A5" s="164">
        <f>'Mass Balance'!I5</f>
        <v>7.2617418570725738E-6</v>
      </c>
      <c r="B5">
        <f>'Mass Balance'!E5</f>
        <v>1.0781958532590921E-6</v>
      </c>
      <c r="C5">
        <f>SUM('Mass Balance'!E5:H5)</f>
        <v>1.462786929295548E-5</v>
      </c>
      <c r="D5">
        <f>Concentrations!F5/Concentrations!E5</f>
        <v>7.3737078138436107E-2</v>
      </c>
    </row>
    <row r="6" spans="1:4">
      <c r="A6" s="164">
        <f>'Mass Balance'!I6</f>
        <v>2.1987992764692151E-5</v>
      </c>
      <c r="B6">
        <f>'Mass Balance'!E6</f>
        <v>3.4270107259095156E-8</v>
      </c>
      <c r="C6">
        <f>SUM('Mass Balance'!E6:H6)</f>
        <v>1.0709377684470384E-5</v>
      </c>
      <c r="D6">
        <f>Concentrations!F6/Concentrations!E6</f>
        <v>3.2012571914110171E-3</v>
      </c>
    </row>
    <row r="7" spans="1:4">
      <c r="A7" s="164">
        <f>'Mass Balance'!I7</f>
        <v>1.976182830369823E-5</v>
      </c>
      <c r="B7">
        <f>'Mass Balance'!E7</f>
        <v>6.9784309899505534E-8</v>
      </c>
      <c r="C7">
        <f>SUM('Mass Balance'!E7:H7)</f>
        <v>1.0814179910111962E-5</v>
      </c>
      <c r="D7">
        <f>Concentrations!F7/Concentrations!E7</f>
        <v>6.4555542634555886E-3</v>
      </c>
    </row>
    <row r="8" spans="1:4">
      <c r="A8" s="164">
        <f>'Mass Balance'!I8</f>
        <v>1.6428125959935132E-5</v>
      </c>
      <c r="B8">
        <f>'Mass Balance'!E8</f>
        <v>1.6220058673517178E-7</v>
      </c>
      <c r="C8">
        <f>SUM('Mass Balance'!E8:H8)</f>
        <v>1.1209421180774648E-5</v>
      </c>
      <c r="D8">
        <f>Concentrations!F8/Concentrations!E8</f>
        <v>1.4475666589305132E-2</v>
      </c>
    </row>
    <row r="9" spans="1:4">
      <c r="A9" s="164">
        <f>'Mass Balance'!I9</f>
        <v>2.8626698253115267E-6</v>
      </c>
      <c r="B9">
        <f>'Mass Balance'!E9</f>
        <v>6.2412373311165869E-6</v>
      </c>
      <c r="C9">
        <f>SUM('Mass Balance'!E9:H9)</f>
        <v>1.3730069763543367E-5</v>
      </c>
      <c r="D9">
        <f>Concentrations!F9/Concentrations!E9</f>
        <v>0.45474432916135366</v>
      </c>
    </row>
    <row r="10" spans="1:4">
      <c r="A10" s="164">
        <f>'Mass Balance'!I10</f>
        <v>7.6717864413927957E-6</v>
      </c>
      <c r="B10">
        <f>'Mass Balance'!E10</f>
        <v>9.9007016874479739E-7</v>
      </c>
      <c r="C10">
        <f>SUM('Mass Balance'!E10:H10)</f>
        <v>1.4363742674345912E-5</v>
      </c>
      <c r="D10">
        <f>Concentrations!F10/Concentrations!E10</f>
        <v>6.8955307170267266E-2</v>
      </c>
    </row>
    <row r="11" spans="1:4">
      <c r="A11" s="164">
        <f>'Mass Balance'!I11</f>
        <v>8.3741987528250956E-6</v>
      </c>
      <c r="B11">
        <f>'Mass Balance'!E11</f>
        <v>8.5552574709212057E-7</v>
      </c>
      <c r="C11">
        <f>SUM('Mass Balance'!E11:H11)</f>
        <v>1.3929939092366812E-5</v>
      </c>
      <c r="D11">
        <f>Concentrations!F11/Concentrations!E11</f>
        <v>6.1440282663387719E-2</v>
      </c>
    </row>
    <row r="12" spans="1:4">
      <c r="A12" s="164">
        <f>'Mass Balance'!I12</f>
        <v>3.4459366172296324E-6</v>
      </c>
      <c r="B12">
        <f>'Mass Balance'!E12</f>
        <v>4.6001927579174395E-6</v>
      </c>
      <c r="C12">
        <f>SUM('Mass Balance'!E12:H12)</f>
        <v>1.3874169721101651E-5</v>
      </c>
      <c r="D12">
        <f>Concentrations!F12/Concentrations!E12</f>
        <v>0.33169457264537172</v>
      </c>
    </row>
    <row r="13" spans="1:4">
      <c r="A13" s="164">
        <f>'Mass Balance'!I13</f>
        <v>2.9163982108151309E-6</v>
      </c>
      <c r="B13">
        <f>'Mass Balance'!E13</f>
        <v>6.0681928340270261E-6</v>
      </c>
      <c r="C13">
        <f>SUM('Mass Balance'!E13:H13)</f>
        <v>1.3718177444189665E-5</v>
      </c>
      <c r="D13">
        <f>Concentrations!F13/Concentrations!E13</f>
        <v>0.4425193802597488</v>
      </c>
    </row>
    <row r="14" spans="1:4">
      <c r="A14" s="164">
        <f>'Mass Balance'!I14</f>
        <v>1.0743446098005482E-5</v>
      </c>
      <c r="B14">
        <f>'Mass Balance'!E14</f>
        <v>5.3191500573705869E-7</v>
      </c>
      <c r="C14">
        <f>SUM('Mass Balance'!E14:H14)</f>
        <v>1.2780871693418097E-5</v>
      </c>
      <c r="D14">
        <f>Concentrations!F14/Concentrations!E14</f>
        <v>4.1634284508650303E-2</v>
      </c>
    </row>
    <row r="15" spans="1:4">
      <c r="A15" s="164">
        <f>'Mass Balance'!I15</f>
        <v>8.0201653501787474E-6</v>
      </c>
      <c r="B15">
        <f>'Mass Balance'!E15</f>
        <v>9.209012607219038E-7</v>
      </c>
      <c r="C15">
        <f>SUM('Mass Balance'!E15:H15)</f>
        <v>1.4145532225025554E-5</v>
      </c>
      <c r="D15">
        <f>Concentrations!F15/Concentrations!E15</f>
        <v>6.512730593821664E-2</v>
      </c>
    </row>
    <row r="16" spans="1:4">
      <c r="A16" s="164">
        <f>'Mass Balance'!I16</f>
        <v>1.625341491880497E-5</v>
      </c>
      <c r="B16">
        <f>'Mass Balance'!E16</f>
        <v>1.6815348879956517E-7</v>
      </c>
      <c r="C16">
        <f>SUM('Mass Balance'!E16:H16)</f>
        <v>1.1228007441308069E-5</v>
      </c>
      <c r="D16">
        <f>Concentrations!F16/Concentrations!E16</f>
        <v>1.4982094392090277E-2</v>
      </c>
    </row>
    <row r="17" spans="1:4">
      <c r="A17" s="164">
        <f>'Mass Balance'!I17</f>
        <v>7.3984162415006982E-6</v>
      </c>
      <c r="B17">
        <f>'Mass Balance'!E17</f>
        <v>1.0483344451795152E-6</v>
      </c>
      <c r="C17">
        <f>SUM('Mass Balance'!E17:H17)</f>
        <v>1.4541601746795374E-5</v>
      </c>
      <c r="D17">
        <f>Concentrations!F17/Concentrations!E17</f>
        <v>7.2120204192343523E-2</v>
      </c>
    </row>
    <row r="18" spans="1:4">
      <c r="A18" s="164">
        <f>'Mass Balance'!I18</f>
        <v>2.6044635600322526E-6</v>
      </c>
      <c r="B18">
        <f>'Mass Balance'!E18</f>
        <v>7.0065304221451935E-6</v>
      </c>
      <c r="C18">
        <f>SUM('Mass Balance'!E18:H18)</f>
        <v>1.3737792315330057E-5</v>
      </c>
      <c r="D18">
        <f>Concentrations!F18/Concentrations!E18</f>
        <v>0.51021756278682506</v>
      </c>
    </row>
    <row r="19" spans="1:4">
      <c r="A19" s="164">
        <f>'Mass Balance'!I19</f>
        <v>8.0908231632363306E-6</v>
      </c>
      <c r="B19">
        <f>'Mass Balance'!E19</f>
        <v>9.0755819971660786E-7</v>
      </c>
      <c r="C19">
        <f>SUM('Mass Balance'!E19:H19)</f>
        <v>1.4102685494334451E-5</v>
      </c>
      <c r="D19">
        <f>Concentrations!F19/Concentrations!E19</f>
        <v>6.4378670328433432E-2</v>
      </c>
    </row>
    <row r="20" spans="1:4">
      <c r="A20" s="164">
        <f>'Mass Balance'!I20</f>
        <v>2.917435372448198E-6</v>
      </c>
      <c r="B20">
        <f>'Mass Balance'!E20</f>
        <v>6.0703508715563885E-6</v>
      </c>
      <c r="C20">
        <f>SUM('Mass Balance'!E20:H20)</f>
        <v>1.3723056053450895E-5</v>
      </c>
      <c r="D20">
        <f>Concentrations!F20/Concentrations!E20</f>
        <v>0.4425193802597488</v>
      </c>
    </row>
    <row r="21" spans="1:4">
      <c r="A21" s="164">
        <f>'Mass Balance'!I21</f>
        <v>1.0017032305713696E-5</v>
      </c>
      <c r="B21">
        <f>'Mass Balance'!E21</f>
        <v>6.1202787157207802E-7</v>
      </c>
      <c r="C21">
        <f>SUM('Mass Balance'!E21:H21)</f>
        <v>1.3067533472846917E-5</v>
      </c>
      <c r="D21">
        <f>Concentrations!F21/Concentrations!E21</f>
        <v>4.6854026342393627E-2</v>
      </c>
    </row>
    <row r="22" spans="1:4">
      <c r="A22" s="164">
        <f>'Mass Balance'!I22</f>
        <v>3.297906391244783E-7</v>
      </c>
      <c r="B22">
        <f>'Mass Balance'!E22</f>
        <v>2.585816091708267E-5</v>
      </c>
      <c r="C22">
        <f>SUM('Mass Balance'!E22:H22)</f>
        <v>2.655330670491602E-5</v>
      </c>
      <c r="D22">
        <f>Concentrations!F22/Concentrations!E22</f>
        <v>0.97420052731428086</v>
      </c>
    </row>
    <row r="23" spans="1:4">
      <c r="A23" s="164">
        <f>'Mass Balance'!I23</f>
        <v>1.5926792826774555E-7</v>
      </c>
      <c r="B23">
        <f>'Mass Balance'!E23</f>
        <v>3.0332815850923051E-5</v>
      </c>
      <c r="C23">
        <f>SUM('Mass Balance'!E23:H23)</f>
        <v>3.0645057695847065E-5</v>
      </c>
      <c r="D23">
        <f>Concentrations!F23/Concentrations!E23</f>
        <v>0.99019703955724414</v>
      </c>
    </row>
    <row r="24" spans="1:4">
      <c r="A24" s="164">
        <f>'Mass Balance'!I24</f>
        <v>1.5159578314326104E-6</v>
      </c>
      <c r="B24">
        <f>'Mass Balance'!E24</f>
        <v>1.2504564911909126E-5</v>
      </c>
      <c r="C24">
        <f>SUM('Mass Balance'!E24:H24)</f>
        <v>1.617749973207108E-5</v>
      </c>
      <c r="D24">
        <f>Concentrations!F24/Concentrations!E24</f>
        <v>0.77326174005864801</v>
      </c>
    </row>
    <row r="25" spans="1:4">
      <c r="A25" s="164">
        <f>'Mass Balance'!I25</f>
        <v>4.027018749101676E-6</v>
      </c>
      <c r="B25">
        <f>'Mass Balance'!E25</f>
        <v>2.860966488212846E-6</v>
      </c>
      <c r="C25">
        <f>SUM('Mass Balance'!E25:H25)</f>
        <v>1.4103426944802275E-5</v>
      </c>
      <c r="D25">
        <f>Concentrations!F25/Concentrations!E25</f>
        <v>0.20293523365319427</v>
      </c>
    </row>
    <row r="26" spans="1:4">
      <c r="A26" s="164">
        <f>'Mass Balance'!I26</f>
        <v>9.5559608264675838E-6</v>
      </c>
      <c r="B26">
        <f>'Mass Balance'!E26</f>
        <v>6.7173077038977405E-7</v>
      </c>
      <c r="C26">
        <f>SUM('Mass Balance'!E26:H26)</f>
        <v>1.3287906364474149E-5</v>
      </c>
      <c r="D26">
        <f>Concentrations!F26/Concentrations!E26</f>
        <v>5.0571754617127318E-2</v>
      </c>
    </row>
    <row r="27" spans="1:4">
      <c r="A27" s="164">
        <f>'Mass Balance'!I27</f>
        <v>1.8839398738144669E-5</v>
      </c>
      <c r="B27">
        <f>'Mass Balance'!E27</f>
        <v>8.6026372700573928E-8</v>
      </c>
      <c r="C27">
        <f>SUM('Mass Balance'!E27:H27)</f>
        <v>1.0800855658863975E-5</v>
      </c>
      <c r="D27">
        <f>Concentrations!F27/Concentrations!E27</f>
        <v>7.9678800475457279E-3</v>
      </c>
    </row>
    <row r="28" spans="1:4">
      <c r="A28" s="164">
        <f>'Mass Balance'!I28</f>
        <v>1.2954307006713463E-5</v>
      </c>
      <c r="B28">
        <f>'Mass Balance'!E28</f>
        <v>3.4127945544715502E-7</v>
      </c>
      <c r="C28">
        <f>SUM('Mass Balance'!E28:H28)</f>
        <v>1.2005508384831863E-5</v>
      </c>
      <c r="D28">
        <f>Concentrations!F28/Concentrations!E28</f>
        <v>2.8437992026032605E-2</v>
      </c>
    </row>
    <row r="29" spans="1:4">
      <c r="A29" s="164">
        <f>'Mass Balance'!I29</f>
        <v>9.5608493667387785E-6</v>
      </c>
      <c r="B29">
        <f>'Mass Balance'!E29</f>
        <v>5.0773798118104837E-7</v>
      </c>
      <c r="C29">
        <f>SUM('Mass Balance'!E29:H29)</f>
        <v>1.1723278292893697E-5</v>
      </c>
      <c r="D29">
        <f>Concentrations!F29/Concentrations!E29</f>
        <v>4.3327129345484799E-2</v>
      </c>
    </row>
    <row r="30" spans="1:4">
      <c r="A30" s="164">
        <f>'Mass Balance'!I30</f>
        <v>1.2954307006713463E-5</v>
      </c>
      <c r="B30">
        <f>'Mass Balance'!E30</f>
        <v>3.4127945544715502E-7</v>
      </c>
      <c r="C30">
        <f>SUM('Mass Balance'!E30:H30)</f>
        <v>1.2005508384831863E-5</v>
      </c>
      <c r="D30">
        <f>Concentrations!F30/Concentrations!E30</f>
        <v>2.8437992026032605E-2</v>
      </c>
    </row>
    <row r="31" spans="1:4">
      <c r="A31" s="164">
        <f>'Mass Balance'!I31</f>
        <v>1.0126646944944683E-8</v>
      </c>
      <c r="B31">
        <f>'Mass Balance'!E31</f>
        <v>3.905439469102503E-5</v>
      </c>
      <c r="C31">
        <f>SUM('Mass Balance'!E31:H31)</f>
        <v>3.9057750545678317E-5</v>
      </c>
      <c r="D31">
        <f>Concentrations!F31/Concentrations!E31</f>
        <v>1.0003040382004165</v>
      </c>
    </row>
    <row r="32" spans="1:4">
      <c r="A32" s="164">
        <f>'Mass Balance'!I32</f>
        <v>5.5867829970111733E-7</v>
      </c>
      <c r="B32">
        <f>'Mass Balance'!E32</f>
        <v>2.1982456644907475E-5</v>
      </c>
      <c r="C32">
        <f>SUM('Mass Balance'!E32:H32)</f>
        <v>2.3209995082520656E-5</v>
      </c>
      <c r="D32">
        <f>Concentrations!F32/Concentrations!E32</f>
        <v>0.94748101193950551</v>
      </c>
    </row>
    <row r="33" spans="1:4">
      <c r="A33" s="164">
        <f>'Mass Balance'!I33</f>
        <v>9.1836790023636586E-9</v>
      </c>
      <c r="B33">
        <f>'Mass Balance'!E33</f>
        <v>3.9971716079100381E-5</v>
      </c>
      <c r="C33">
        <f>SUM('Mass Balance'!E33:H33)</f>
        <v>3.9988531205186613E-5</v>
      </c>
      <c r="D33">
        <f>Concentrations!F33/Concentrations!E33</f>
        <v>0.99996932932585081</v>
      </c>
    </row>
    <row r="34" spans="1:4">
      <c r="A34" s="164">
        <f>'Mass Balance'!I34</f>
        <v>1.2697977148831469E-7</v>
      </c>
      <c r="B34">
        <f>'Mass Balance'!E34</f>
        <v>3.6829529899399407E-5</v>
      </c>
      <c r="C34">
        <f>SUM('Mass Balance'!E34:H34)</f>
        <v>3.9859974790535209E-5</v>
      </c>
      <c r="D34">
        <f>Concentrations!F34/Concentrations!E34</f>
        <v>0.92433307638325402</v>
      </c>
    </row>
    <row r="35" spans="1:4">
      <c r="A35" s="164">
        <f>'Mass Balance'!I35</f>
        <v>2.6166249350048638E-7</v>
      </c>
      <c r="B35">
        <f>'Mass Balance'!E35</f>
        <v>3.2868087492560551E-5</v>
      </c>
      <c r="C35">
        <f>SUM('Mass Balance'!E35:H35)</f>
        <v>3.9690737287856765E-5</v>
      </c>
      <c r="D35">
        <f>Concentrations!F35/Concentrations!E35</f>
        <v>0.82842768947332002</v>
      </c>
    </row>
    <row r="36" spans="1:4">
      <c r="A36" s="164">
        <f>'Mass Balance'!I36</f>
        <v>6.1424636297257818E-7</v>
      </c>
      <c r="B36">
        <f>'Mass Balance'!E36</f>
        <v>2.1567234053477072E-5</v>
      </c>
      <c r="C36">
        <f>SUM('Mass Balance'!E36:H36)</f>
        <v>3.9281098966092481E-5</v>
      </c>
      <c r="D36">
        <f>Concentrations!F36/Concentrations!E36</f>
        <v>0.54926276684845676</v>
      </c>
    </row>
    <row r="37" spans="1:4">
      <c r="A37" s="164">
        <f>'Mass Balance'!I37</f>
        <v>8.4955102318920057E-7</v>
      </c>
      <c r="B37">
        <f>'Mass Balance'!E37</f>
        <v>2.3250472044138383E-5</v>
      </c>
      <c r="C37">
        <f>SUM('Mass Balance'!E37:H37)</f>
        <v>3.1275487163273895E-5</v>
      </c>
      <c r="D37">
        <f>Concentrations!F37/Concentrations!E37</f>
        <v>0.74369871272051669</v>
      </c>
    </row>
    <row r="38" spans="1:4">
      <c r="A38" s="164">
        <f>'Mass Balance'!I38</f>
        <v>1.0525658471332493E-7</v>
      </c>
      <c r="B38">
        <f>'Mass Balance'!E38</f>
        <v>3.7438681916954019E-5</v>
      </c>
      <c r="C38">
        <f>SUM('Mass Balance'!E38:H38)</f>
        <v>3.9780201410726119E-5</v>
      </c>
      <c r="D38">
        <f>Concentrations!F38/Concentrations!E38</f>
        <v>0.94150560772638292</v>
      </c>
    </row>
    <row r="39" spans="1:4">
      <c r="A39" s="164">
        <f>'Mass Balance'!I39</f>
        <v>5.1570799301325928E-6</v>
      </c>
      <c r="B39">
        <f>'Mass Balance'!E39</f>
        <v>1.7347172211102187E-6</v>
      </c>
      <c r="C39">
        <f>SUM('Mass Balance'!E39:H39)</f>
        <v>1.6394101607120059E-5</v>
      </c>
      <c r="D39">
        <f>Concentrations!F39/Concentrations!E39</f>
        <v>0.10585476341410865</v>
      </c>
    </row>
    <row r="40" spans="1:4">
      <c r="A40" s="164">
        <f>'Mass Balance'!I40</f>
        <v>2.7446421241263816E-5</v>
      </c>
      <c r="B40">
        <f>'Mass Balance'!E40</f>
        <v>1.2385527716332057E-7</v>
      </c>
      <c r="C40">
        <f>SUM('Mass Balance'!E40:H40)</f>
        <v>1.2199335109158543E-5</v>
      </c>
      <c r="D40">
        <f>Concentrations!F40/Concentrations!E40</f>
        <v>1.0156584652045903E-2</v>
      </c>
    </row>
    <row r="41" spans="1:4">
      <c r="A41" s="164">
        <f>'Mass Balance'!I41</f>
        <v>7.6578347524240868E-9</v>
      </c>
      <c r="B41">
        <f>'Mass Balance'!E41</f>
        <v>3.6548311067343972E-5</v>
      </c>
      <c r="C41">
        <f>SUM('Mass Balance'!E41:H41)</f>
        <v>3.6548478379839291E-5</v>
      </c>
      <c r="D41">
        <f>Concentrations!F41/Concentrations!E41</f>
        <v>1.0003854124253486</v>
      </c>
    </row>
    <row r="42" spans="1:4">
      <c r="A42" s="164">
        <f>'Mass Balance'!I42</f>
        <v>3.8844316256964049E-7</v>
      </c>
      <c r="B42">
        <f>'Mass Balance'!E42</f>
        <v>2.4756740343024992E-5</v>
      </c>
      <c r="C42">
        <f>SUM('Mass Balance'!E42:H42)</f>
        <v>2.5587417324433742E-5</v>
      </c>
      <c r="D42">
        <f>Concentrations!F42/Concentrations!E42</f>
        <v>0.96791305509794789</v>
      </c>
    </row>
    <row r="43" spans="1:4">
      <c r="A43" s="164">
        <f>'Mass Balance'!I43</f>
        <v>2.2754378717855927E-6</v>
      </c>
      <c r="B43">
        <f>'Mass Balance'!E43</f>
        <v>3.0808957507033851E-6</v>
      </c>
      <c r="C43">
        <f>SUM('Mass Balance'!E43:H43)</f>
        <v>3.7577638885147398E-5</v>
      </c>
      <c r="D43">
        <f>Concentrations!F43/Concentrations!E43</f>
        <v>8.2019450049147971E-2</v>
      </c>
    </row>
    <row r="44" spans="1:4">
      <c r="A44" s="164">
        <f>'Mass Balance'!I44</f>
        <v>6.0118877686398536E-8</v>
      </c>
      <c r="B44">
        <f>'Mass Balance'!E44</f>
        <v>3.1177216979997232E-5</v>
      </c>
      <c r="C44">
        <f>SUM('Mass Balance'!E44:H44)</f>
        <v>3.1280774443944851E-5</v>
      </c>
      <c r="D44">
        <f>Concentrations!F44/Concentrations!E44</f>
        <v>0.99707812228781323</v>
      </c>
    </row>
    <row r="45" spans="1:4">
      <c r="A45" s="164">
        <f>'Mass Balance'!I45</f>
        <v>4.4674440891619392E-7</v>
      </c>
      <c r="B45">
        <f>'Mass Balance'!E45</f>
        <v>2.3671153241289108E-5</v>
      </c>
      <c r="C45">
        <f>SUM('Mass Balance'!E45:H45)</f>
        <v>2.4638404413450648E-5</v>
      </c>
      <c r="D45">
        <f>Concentrations!F45/Concentrations!E45</f>
        <v>0.96111681605375665</v>
      </c>
    </row>
    <row r="46" spans="1:4">
      <c r="A46" s="164">
        <f>'Mass Balance'!I46</f>
        <v>4.0864060772200571E-7</v>
      </c>
      <c r="B46">
        <f>'Mass Balance'!E46</f>
        <v>2.4302537846464616E-5</v>
      </c>
      <c r="C46">
        <f>SUM('Mass Balance'!E46:H46)</f>
        <v>2.5180511490628135E-5</v>
      </c>
      <c r="D46">
        <f>Concentrations!F46/Concentrations!E46</f>
        <v>0.96550920546992713</v>
      </c>
    </row>
    <row r="47" spans="1:4">
      <c r="A47" s="164">
        <f>'Mass Balance'!I47</f>
        <v>1.9340368672087936E-5</v>
      </c>
      <c r="B47">
        <f>'Mass Balance'!E47</f>
        <v>7.8575413425576673E-8</v>
      </c>
      <c r="C47">
        <f>SUM('Mass Balance'!E47:H47)</f>
        <v>1.0848713592810989E-5</v>
      </c>
      <c r="D47">
        <f>Concentrations!F47/Concentrations!E47</f>
        <v>7.245656965541877E-3</v>
      </c>
    </row>
    <row r="48" spans="1:4">
      <c r="A48" s="164">
        <f>'Mass Balance'!I48</f>
        <v>2.6102887904412669E-8</v>
      </c>
      <c r="B48">
        <f>'Mass Balance'!E48</f>
        <v>3.6392591620617283E-5</v>
      </c>
      <c r="C48">
        <f>SUM('Mass Balance'!E48:H48)</f>
        <v>3.6426298802188667E-5</v>
      </c>
      <c r="D48">
        <f>Concentrations!F48/Concentrations!E48</f>
        <v>0.999464278244938</v>
      </c>
    </row>
    <row r="49" spans="1:4">
      <c r="A49" s="164">
        <f>'Mass Balance'!I49</f>
        <v>3.9209381559005253E-8</v>
      </c>
      <c r="B49">
        <f>'Mass Balance'!E49</f>
        <v>3.4925874965826431E-5</v>
      </c>
      <c r="C49">
        <f>SUM('Mass Balance'!E49:H49)</f>
        <v>3.4985635798493956E-5</v>
      </c>
      <c r="D49">
        <f>Concentrations!F49/Concentrations!E49</f>
        <v>0.99868117247035748</v>
      </c>
    </row>
    <row r="50" spans="1:4">
      <c r="A50" s="164">
        <f>'Mass Balance'!I50</f>
        <v>2.5060020267580116E-6</v>
      </c>
      <c r="B50">
        <f>'Mass Balance'!E50</f>
        <v>7.2308985191025299E-6</v>
      </c>
      <c r="C50">
        <f>SUM('Mass Balance'!E50:H50)</f>
        <v>1.3681587459451358E-5</v>
      </c>
      <c r="D50">
        <f>Concentrations!F50/Concentrations!E50</f>
        <v>0.52871923915014007</v>
      </c>
    </row>
    <row r="51" spans="1:4">
      <c r="A51" s="164">
        <f>'Mass Balance'!I51</f>
        <v>1.0824602419912375E-8</v>
      </c>
      <c r="B51">
        <f>'Mass Balance'!E51</f>
        <v>3.6186343479754637E-5</v>
      </c>
      <c r="C51">
        <f>SUM('Mass Balance'!E51:H51)</f>
        <v>3.6191939837197751E-5</v>
      </c>
      <c r="D51">
        <f>Concentrations!F51/Concentrations!E51</f>
        <v>1.0002353017912216</v>
      </c>
    </row>
    <row r="52" spans="1:4">
      <c r="A52" s="164">
        <f>'Mass Balance'!I52</f>
        <v>9.6808541955796669E-8</v>
      </c>
      <c r="B52">
        <f>'Mass Balance'!E52</f>
        <v>3.0034576151597007E-5</v>
      </c>
      <c r="C52">
        <f>SUM('Mass Balance'!E52:H52)</f>
        <v>3.0214543474979232E-5</v>
      </c>
      <c r="D52">
        <f>Concentrations!F52/Concentrations!E52</f>
        <v>0.99443135462023413</v>
      </c>
    </row>
    <row r="53" spans="1:4">
      <c r="A53" s="164">
        <f>'Mass Balance'!I53</f>
        <v>6.7863083165986575E-7</v>
      </c>
      <c r="B53">
        <f>'Mass Balance'!E53</f>
        <v>2.0146963257011098E-5</v>
      </c>
      <c r="C53">
        <f>SUM('Mass Balance'!E53:H53)</f>
        <v>2.1671253870345302E-5</v>
      </c>
      <c r="D53">
        <f>Concentrations!F53/Concentrations!E53</f>
        <v>0.93002557825139121</v>
      </c>
    </row>
    <row r="54" spans="1:4">
      <c r="A54" s="164">
        <f>'Mass Balance'!I54</f>
        <v>1.7998803632721851E-5</v>
      </c>
      <c r="B54">
        <f>'Mass Balance'!E54</f>
        <v>1.113624539499112E-7</v>
      </c>
      <c r="C54">
        <f>SUM('Mass Balance'!E54:H54)</f>
        <v>1.0980417560049461E-5</v>
      </c>
      <c r="D54">
        <f>Concentrations!F54/Concentrations!E54</f>
        <v>1.0145869572868196E-2</v>
      </c>
    </row>
    <row r="55" spans="1:4">
      <c r="A55" s="164">
        <f>'Mass Balance'!I55</f>
        <v>1.2731441803049087E-6</v>
      </c>
      <c r="B55">
        <f>'Mass Balance'!E55</f>
        <v>9.1299655641829573E-6</v>
      </c>
      <c r="C55">
        <f>SUM('Mass Balance'!E55:H55)</f>
        <v>1.2239663203839296E-5</v>
      </c>
      <c r="D55">
        <f>Concentrations!F55/Concentrations!E55</f>
        <v>0.7462236522295177</v>
      </c>
    </row>
    <row r="56" spans="1:4">
      <c r="A56" s="164">
        <f>'Mass Balance'!I56</f>
        <v>6.1205531090249976E-7</v>
      </c>
      <c r="B56">
        <f>'Mass Balance'!E56</f>
        <v>8.7638427286053921E-7</v>
      </c>
      <c r="C56">
        <f>SUM('Mass Balance'!E56:H56)</f>
        <v>2.5169242575219271E-6</v>
      </c>
      <c r="D56">
        <f>Concentrations!F56/Concentrations!E56</f>
        <v>0.3483323159709637</v>
      </c>
    </row>
    <row r="57" spans="1:4">
      <c r="A57" s="164">
        <f>'Mass Balance'!I57</f>
        <v>2.5042182659477621E-7</v>
      </c>
      <c r="B57">
        <f>'Mass Balance'!E57</f>
        <v>1.3259000848082363E-6</v>
      </c>
      <c r="C57">
        <f>SUM('Mass Balance'!E57:H57)</f>
        <v>1.9483615748659192E-6</v>
      </c>
      <c r="D57">
        <f>Concentrations!F57/Concentrations!E57</f>
        <v>0.68078594465769404</v>
      </c>
    </row>
    <row r="58" spans="1:4">
      <c r="A58" s="164">
        <f>'Mass Balance'!I58</f>
        <v>3.2418928255168211E-9</v>
      </c>
      <c r="B58">
        <f>'Mass Balance'!E58</f>
        <v>2.3770602208208501E-6</v>
      </c>
      <c r="C58">
        <f>SUM('Mass Balance'!E58:H58)</f>
        <v>2.3822599546553611E-6</v>
      </c>
      <c r="D58">
        <f>Concentrations!F58/Concentrations!E58</f>
        <v>0.99820645128398888</v>
      </c>
    </row>
    <row r="59" spans="1:4">
      <c r="A59" s="164">
        <f>'Mass Balance'!I59</f>
        <v>8.8700272872536673E-8</v>
      </c>
      <c r="B59">
        <f>'Mass Balance'!E59</f>
        <v>5.0370068200664654E-7</v>
      </c>
      <c r="C59">
        <f>SUM('Mass Balance'!E59:H59)</f>
        <v>7.2329076566551176E-7</v>
      </c>
      <c r="D59">
        <f>Concentrations!F59/Concentrations!E59</f>
        <v>0.69667296359957631</v>
      </c>
    </row>
    <row r="60" spans="1:4">
      <c r="A60" s="164">
        <f>'Mass Balance'!I60</f>
        <v>1.4670285708606278E-9</v>
      </c>
      <c r="B60">
        <f>'Mass Balance'!E60</f>
        <v>1.7987520862027496E-8</v>
      </c>
      <c r="C60">
        <f>SUM('Mass Balance'!E60:H60)</f>
        <v>2.1460984156632761E-8</v>
      </c>
      <c r="D60">
        <f>Concentrations!F60/Concentrations!E60</f>
        <v>0.83847673156790348</v>
      </c>
    </row>
    <row r="61" spans="1:4">
      <c r="A61" s="164">
        <f>'Mass Balance'!I61</f>
        <v>9.7213164264958193E-7</v>
      </c>
      <c r="B61">
        <f>'Mass Balance'!E61</f>
        <v>1.6904891885460765E-5</v>
      </c>
      <c r="C61">
        <f>SUM('Mass Balance'!E61:H61)</f>
        <v>1.9159823406210478E-5</v>
      </c>
      <c r="D61">
        <f>Concentrations!F61/Concentrations!E61</f>
        <v>0.88265347232576208</v>
      </c>
    </row>
    <row r="62" spans="1:4">
      <c r="A62" s="164">
        <f>'Mass Balance'!I62</f>
        <v>1.0585710251409809E-5</v>
      </c>
      <c r="B62">
        <f>'Mass Balance'!E62</f>
        <v>5.4918036627022543E-7</v>
      </c>
      <c r="C62">
        <f>SUM('Mass Balance'!E62:H62)</f>
        <v>1.2849034361336337E-5</v>
      </c>
      <c r="D62">
        <f>Concentrations!F62/Concentrations!E62</f>
        <v>4.2757652193050326E-2</v>
      </c>
    </row>
    <row r="63" spans="1:4">
      <c r="A63" s="164">
        <f>'Mass Balance'!I63</f>
        <v>2.1394257360984783E-5</v>
      </c>
      <c r="B63">
        <f>'Mass Balance'!E63</f>
        <v>4.2122422307114196E-8</v>
      </c>
      <c r="C63">
        <f>SUM('Mass Balance'!E63:H63)</f>
        <v>1.0725059168808602E-5</v>
      </c>
      <c r="D63">
        <f>Concentrations!F63/Concentrations!E63</f>
        <v>3.9290086006088312E-3</v>
      </c>
    </row>
    <row r="64" spans="1:4">
      <c r="A64" s="164">
        <f>'Mass Balance'!I64</f>
        <v>2.4054236965687226E-5</v>
      </c>
      <c r="B64">
        <f>'Mass Balance'!E64</f>
        <v>1.438220184198773E-8</v>
      </c>
      <c r="C64">
        <f>SUM('Mass Balance'!E64:H64)</f>
        <v>1.0716999906743889E-5</v>
      </c>
      <c r="D64">
        <f>Concentrations!F64/Concentrations!E64</f>
        <v>1.3425222460896711E-3</v>
      </c>
    </row>
    <row r="65" spans="1:4">
      <c r="A65" s="164">
        <f>'Mass Balance'!I65</f>
        <v>2.6076670543298972E-5</v>
      </c>
      <c r="B65">
        <f>'Mass Balance'!E65</f>
        <v>4.0202727874504515E-9</v>
      </c>
      <c r="C65">
        <f>SUM('Mass Balance'!E65:H65)</f>
        <v>1.081100665976547E-5</v>
      </c>
      <c r="D65">
        <f>Concentrations!F65/Concentrations!E65</f>
        <v>3.7201352181030859E-4</v>
      </c>
    </row>
    <row r="66" spans="1:4">
      <c r="A66" s="164">
        <f>'Mass Balance'!I66</f>
        <v>2.5042750117128394E-5</v>
      </c>
      <c r="B66">
        <f>'Mass Balance'!E66</f>
        <v>8.3482752657800011E-9</v>
      </c>
      <c r="C66">
        <f>SUM('Mass Balance'!E66:H66)</f>
        <v>1.0753474556259037E-5</v>
      </c>
      <c r="D66">
        <f>Concentrations!F66/Concentrations!E66</f>
        <v>7.7663558721812679E-4</v>
      </c>
    </row>
    <row r="67" spans="1:4">
      <c r="A67" s="164">
        <f>'Mass Balance'!I67</f>
        <v>7.6282150213253669E-8</v>
      </c>
      <c r="B67">
        <f>'Mass Balance'!E67</f>
        <v>3.3424599852837057E-5</v>
      </c>
      <c r="C67">
        <f>SUM('Mass Balance'!E67:H67)</f>
        <v>3.3559745769014917E-5</v>
      </c>
      <c r="D67">
        <f>Concentrations!F67/Concentrations!E67</f>
        <v>0.99636139709401994</v>
      </c>
    </row>
    <row r="68" spans="1:4">
      <c r="A68" s="164">
        <f>'Mass Balance'!I68</f>
        <v>1.2512062343886562E-7</v>
      </c>
      <c r="B68">
        <f>'Mass Balance'!E68</f>
        <v>3.1145417924230468E-5</v>
      </c>
      <c r="C68">
        <f>SUM('Mass Balance'!E68:H68)</f>
        <v>3.1384073744295091E-5</v>
      </c>
      <c r="D68">
        <f>Concentrations!F68/Concentrations!E68</f>
        <v>0.99278266559629358</v>
      </c>
    </row>
    <row r="69" spans="1:4">
      <c r="A69" s="164">
        <f>'Mass Balance'!I69</f>
        <v>1.5968639529197252E-5</v>
      </c>
      <c r="B69">
        <f>'Mass Balance'!E69</f>
        <v>1.7720437953155958E-7</v>
      </c>
      <c r="C69">
        <f>SUM('Mass Balance'!E69:H69)</f>
        <v>1.12420817310082E-5</v>
      </c>
      <c r="D69">
        <f>Concentrations!F69/Concentrations!E69</f>
        <v>1.5768742130658431E-2</v>
      </c>
    </row>
    <row r="70" spans="1:4">
      <c r="A70" s="164">
        <f>'Mass Balance'!I70</f>
        <v>3.9190189939966696E-6</v>
      </c>
      <c r="B70">
        <f>'Mass Balance'!E70</f>
        <v>3.4357665826024754E-6</v>
      </c>
      <c r="C70">
        <f>SUM('Mass Balance'!E70:H70)</f>
        <v>1.4243560533274338E-5</v>
      </c>
      <c r="D70">
        <f>Concentrations!F70/Concentrations!E70</f>
        <v>0.2413095023658347</v>
      </c>
    </row>
    <row r="71" spans="1:4">
      <c r="A71" s="164">
        <f>'Mass Balance'!I71</f>
        <v>1.1405708940384845E-7</v>
      </c>
      <c r="B71">
        <f>'Mass Balance'!E71</f>
        <v>3.101683586263898E-5</v>
      </c>
      <c r="C71">
        <f>SUM('Mass Balance'!E71:H71)</f>
        <v>3.1232237994105341E-5</v>
      </c>
      <c r="D71">
        <f>Concentrations!F71/Concentrations!E71</f>
        <v>0.99349051410971334</v>
      </c>
    </row>
    <row r="72" spans="1:4">
      <c r="A72" s="164">
        <f>'Mass Balance'!I72</f>
        <v>3.6030915302784801E-6</v>
      </c>
      <c r="B72">
        <f>'Mass Balance'!E72</f>
        <v>3.7200050638157209E-6</v>
      </c>
      <c r="C72">
        <f>SUM('Mass Balance'!E72:H72)</f>
        <v>1.3562540860511285E-5</v>
      </c>
      <c r="D72">
        <f>Concentrations!F72/Concentrations!E72</f>
        <v>0.27439223036697241</v>
      </c>
    </row>
    <row r="73" spans="1:4">
      <c r="A73" s="164">
        <f>'Mass Balance'!I73</f>
        <v>1.0256801974387546E-6</v>
      </c>
      <c r="B73">
        <f>'Mass Balance'!E73</f>
        <v>1.5875692961559746E-5</v>
      </c>
      <c r="C73">
        <f>SUM('Mass Balance'!E73:H73)</f>
        <v>1.8271241013825259E-5</v>
      </c>
      <c r="D73">
        <f>Concentrations!F73/Concentrations!E73</f>
        <v>0.86922855121551557</v>
      </c>
    </row>
    <row r="74" spans="1:4">
      <c r="A74" s="164">
        <f>'Mass Balance'!I74</f>
        <v>3.8406697660466996E-6</v>
      </c>
      <c r="B74">
        <f>'Mass Balance'!E74</f>
        <v>3.5281373069804772E-6</v>
      </c>
      <c r="C74">
        <f>SUM('Mass Balance'!E74:H74)</f>
        <v>1.4091118530124168E-5</v>
      </c>
      <c r="D74">
        <f>Concentrations!F74/Concentrations!E74</f>
        <v>0.25047786269637617</v>
      </c>
    </row>
    <row r="75" spans="1:4">
      <c r="A75" s="164">
        <f>'Mass Balance'!I75</f>
        <v>6.9255514493743358E-6</v>
      </c>
      <c r="B75">
        <f>'Mass Balance'!E75</f>
        <v>1.379261550098801E-6</v>
      </c>
      <c r="C75">
        <f>SUM('Mass Balance'!E75:H75)</f>
        <v>3.3047851904189021E-5</v>
      </c>
      <c r="D75">
        <f>Concentrations!F75/Concentrations!E75</f>
        <v>4.1751562404633201E-2</v>
      </c>
    </row>
    <row r="76" spans="1:4">
      <c r="A76" s="164">
        <f>'Mass Balance'!I76</f>
        <v>6.9255514789430871E-6</v>
      </c>
      <c r="B76">
        <f>'Mass Balance'!E76</f>
        <v>1.3792615559875797E-6</v>
      </c>
      <c r="C76">
        <f>SUM('Mass Balance'!E76:H76)</f>
        <v>3.3047852045287343E-5</v>
      </c>
      <c r="D76">
        <f>Concentrations!F76/Concentrations!E76</f>
        <v>4.1751562404633215E-2</v>
      </c>
    </row>
    <row r="77" spans="1:4">
      <c r="A77" s="164">
        <f>'Mass Balance'!I77</f>
        <v>2.0404152995966692E-6</v>
      </c>
      <c r="B77">
        <f>'Mass Balance'!E77</f>
        <v>8.5541696318245881E-6</v>
      </c>
      <c r="C77">
        <f>SUM('Mass Balance'!E77:H77)</f>
        <v>1.3694585898734154E-5</v>
      </c>
      <c r="D77">
        <f>Concentrations!F77/Concentrations!E77</f>
        <v>0.6248823990095036</v>
      </c>
    </row>
    <row r="78" spans="1:4">
      <c r="A78" s="164">
        <f>'Mass Balance'!I78</f>
        <v>3.4776217430602182E-7</v>
      </c>
      <c r="B78">
        <f>'Mass Balance'!E78</f>
        <v>2.4304089838839872E-5</v>
      </c>
      <c r="C78">
        <f>SUM('Mass Balance'!E78:H78)</f>
        <v>2.5043070796285888E-5</v>
      </c>
      <c r="D78">
        <f>Concentrations!F78/Concentrations!E78</f>
        <v>0.97087008370748951</v>
      </c>
    </row>
    <row r="79" spans="1:4">
      <c r="A79" s="164">
        <f>'Mass Balance'!I79</f>
        <v>6.953652819223852E-7</v>
      </c>
      <c r="B79">
        <f>'Mass Balance'!E79</f>
        <v>1.9706759890814495E-5</v>
      </c>
      <c r="C79">
        <f>SUM('Mass Balance'!E79:H79)</f>
        <v>2.1273088061095546E-5</v>
      </c>
      <c r="D79">
        <f>Concentrations!F79/Concentrations!E79</f>
        <v>0.92673171443555491</v>
      </c>
    </row>
    <row r="80" spans="1:4">
      <c r="A80" s="164">
        <f>'Mass Balance'!I80</f>
        <v>1.1665821897697849E-5</v>
      </c>
      <c r="B80">
        <f>'Mass Balance'!E80</f>
        <v>8.1081439917999965E-7</v>
      </c>
      <c r="C80">
        <f>SUM('Mass Balance'!E80:H80)</f>
        <v>2.83060720608123E-5</v>
      </c>
      <c r="D80">
        <f>Concentrations!F80/Concentrations!E80</f>
        <v>2.8655710640265231E-2</v>
      </c>
    </row>
    <row r="81" spans="1:4">
      <c r="A81" s="164">
        <f>'Mass Balance'!I81</f>
        <v>1.1070873226784052E-8</v>
      </c>
      <c r="B81">
        <f>'Mass Balance'!E81</f>
        <v>3.8827331431832262E-5</v>
      </c>
      <c r="C81">
        <f>SUM('Mass Balance'!E81:H81)</f>
        <v>3.8832390135080305E-5</v>
      </c>
      <c r="D81">
        <f>Concentrations!F81/Concentrations!E81</f>
        <v>1.0002596710296734</v>
      </c>
    </row>
    <row r="82" spans="1:4">
      <c r="A82" s="164">
        <f>'Mass Balance'!I82</f>
        <v>1.5327293932474443E-7</v>
      </c>
      <c r="B82">
        <f>'Mass Balance'!E82</f>
        <v>3.0530161976347964E-5</v>
      </c>
      <c r="C82">
        <f>SUM('Mass Balance'!E82:H82)</f>
        <v>3.0829345863930519E-5</v>
      </c>
      <c r="D82">
        <f>Concentrations!F82/Concentrations!E82</f>
        <v>0.99068169111119397</v>
      </c>
    </row>
    <row r="83" spans="1:4">
      <c r="A83" s="164">
        <f>'Mass Balance'!I83</f>
        <v>1.8917148830489754E-6</v>
      </c>
      <c r="B83">
        <f>'Mass Balance'!E83</f>
        <v>1.025252626788676E-5</v>
      </c>
      <c r="C83">
        <f>SUM('Mass Balance'!E83:H83)</f>
        <v>1.4948350868931021E-5</v>
      </c>
      <c r="D83">
        <f>Concentrations!F83/Concentrations!E83</f>
        <v>0.68613084890735798</v>
      </c>
    </row>
    <row r="84" spans="1:4">
      <c r="A84" s="164">
        <f>'Mass Balance'!I84</f>
        <v>2.0156778609044279E-8</v>
      </c>
      <c r="B84">
        <f>'Mass Balance'!E84</f>
        <v>3.7470103371280894E-5</v>
      </c>
      <c r="C84">
        <f>SUM('Mass Balance'!E84:H84)</f>
        <v>3.7492145390294015E-5</v>
      </c>
      <c r="D84">
        <f>Concentrations!F84/Concentrations!E84</f>
        <v>0.99980185243897635</v>
      </c>
    </row>
    <row r="85" spans="1:4">
      <c r="A85" s="164">
        <f>'Mass Balance'!I85</f>
        <v>8.7796090828142319E-9</v>
      </c>
      <c r="B85">
        <f>'Mass Balance'!E85</f>
        <v>3.9508306484471715E-5</v>
      </c>
      <c r="C85">
        <f>SUM('Mass Balance'!E85:H85)</f>
        <v>3.9509269726897383E-5</v>
      </c>
      <c r="D85">
        <f>Concentrations!F85/Concentrations!E85</f>
        <v>1.0003656023636858</v>
      </c>
    </row>
    <row r="86" spans="1:4">
      <c r="A86" s="164">
        <f>'Mass Balance'!I86</f>
        <v>1.9621668336669946E-8</v>
      </c>
      <c r="B86">
        <f>'Mass Balance'!E86</f>
        <v>3.7531680442041318E-5</v>
      </c>
      <c r="C86">
        <f>SUM('Mass Balance'!E86:H86)</f>
        <v>3.7552701641296417E-5</v>
      </c>
      <c r="D86">
        <f>Concentrations!F86/Concentrations!E86</f>
        <v>0.9998299951118701</v>
      </c>
    </row>
    <row r="87" spans="1:4">
      <c r="A87" s="164">
        <f>'Mass Balance'!I87</f>
        <v>2.0173857248583596E-5</v>
      </c>
      <c r="B87">
        <f>'Mass Balance'!E87</f>
        <v>6.1919616761984895E-8</v>
      </c>
      <c r="C87">
        <f>SUM('Mass Balance'!E87:H87)</f>
        <v>1.0786083598176085E-5</v>
      </c>
      <c r="D87">
        <f>Concentrations!F87/Concentrations!E87</f>
        <v>5.7429338791492078E-3</v>
      </c>
    </row>
    <row r="88" spans="1:4">
      <c r="A88" s="164">
        <f>'Mass Balance'!I88</f>
        <v>2.8038248913949574E-7</v>
      </c>
      <c r="B88">
        <f>'Mass Balance'!E88</f>
        <v>2.7026925905706722E-5</v>
      </c>
      <c r="C88">
        <f>SUM('Mass Balance'!E88:H88)</f>
        <v>2.7609074755358763E-5</v>
      </c>
      <c r="D88">
        <f>Concentrations!F88/Concentrations!E88</f>
        <v>0.97929635205464494</v>
      </c>
    </row>
    <row r="89" spans="1:4">
      <c r="A89" s="164">
        <f>'Mass Balance'!I89</f>
        <v>1.719554120560308E-7</v>
      </c>
      <c r="B89">
        <f>'Mass Balance'!E89</f>
        <v>2.9932008609493724E-5</v>
      </c>
      <c r="C89">
        <f>SUM('Mass Balance'!E89:H89)</f>
        <v>3.0271990531740674E-5</v>
      </c>
      <c r="D89">
        <f>Concentrations!F89/Concentrations!E89</f>
        <v>0.98915470467762656</v>
      </c>
    </row>
    <row r="90" spans="1:4">
      <c r="A90" s="164">
        <f>'Mass Balance'!I90</f>
        <v>4.8868891796858627E-8</v>
      </c>
      <c r="B90">
        <f>'Mass Balance'!E90</f>
        <v>3.5127454392584151E-5</v>
      </c>
      <c r="C90">
        <f>SUM('Mass Balance'!E90:H90)</f>
        <v>3.5206205423178998E-5</v>
      </c>
      <c r="D90">
        <f>Concentrations!F90/Concentrations!E90</f>
        <v>0.9981522688285277</v>
      </c>
    </row>
    <row r="91" spans="1:4">
      <c r="A91" s="164">
        <f>'Mass Balance'!I91</f>
        <v>1.1391699368518716E-5</v>
      </c>
      <c r="B91">
        <f>'Mass Balance'!E91</f>
        <v>4.6784446196824111E-7</v>
      </c>
      <c r="C91">
        <f>SUM('Mass Balance'!E91:H91)</f>
        <v>1.2532063014266163E-5</v>
      </c>
      <c r="D91">
        <f>Concentrations!F91/Concentrations!E91</f>
        <v>3.7346358460614348E-2</v>
      </c>
    </row>
    <row r="92" spans="1:4">
      <c r="A92" s="164">
        <f>'Mass Balance'!I92</f>
        <v>1.4966618533873473E-6</v>
      </c>
      <c r="B92">
        <f>'Mass Balance'!E92</f>
        <v>1.2636751364407162E-5</v>
      </c>
      <c r="C92">
        <f>SUM('Mass Balance'!E92:H92)</f>
        <v>1.6258042447804148E-5</v>
      </c>
      <c r="D92">
        <f>Concentrations!F92/Concentrations!E92</f>
        <v>0.77756468144100499</v>
      </c>
    </row>
    <row r="93" spans="1:4">
      <c r="A93" s="164">
        <f>'Mass Balance'!I93</f>
        <v>3.4161398864780466E-6</v>
      </c>
      <c r="B93">
        <f>'Mass Balance'!E93</f>
        <v>4.6682006433735605E-6</v>
      </c>
      <c r="C93">
        <f>SUM('Mass Balance'!E93:H93)</f>
        <v>1.3849554383074839E-5</v>
      </c>
      <c r="D93">
        <f>Concentrations!F93/Concentrations!E93</f>
        <v>0.33719649566104481</v>
      </c>
    </row>
    <row r="94" spans="1:4">
      <c r="A94" s="164">
        <f>'Mass Balance'!I94</f>
        <v>2.883333440918349E-8</v>
      </c>
      <c r="B94">
        <f>'Mass Balance'!E94</f>
        <v>3.9501907170402769E-5</v>
      </c>
      <c r="C94">
        <f>SUM('Mass Balance'!E94:H94)</f>
        <v>3.9964149467451612E-5</v>
      </c>
      <c r="D94">
        <f>Concentrations!F94/Concentrations!E94</f>
        <v>0.98881905723355989</v>
      </c>
    </row>
    <row r="95" spans="1:4">
      <c r="A95" s="164">
        <f>'Mass Balance'!I95</f>
        <v>6.5529749309796445E-6</v>
      </c>
      <c r="B95">
        <f>'Mass Balance'!E95</f>
        <v>1.258117747055512E-6</v>
      </c>
      <c r="C95">
        <f>SUM('Mass Balance'!E95:H95)</f>
        <v>1.5155748144605332E-5</v>
      </c>
      <c r="D95">
        <f>Concentrations!F95/Concentrations!E95</f>
        <v>8.3044953699848864E-2</v>
      </c>
    </row>
    <row r="96" spans="1:4">
      <c r="A96" s="164">
        <f>'Mass Balance'!I96</f>
        <v>1.127988871089688E-8</v>
      </c>
      <c r="B96">
        <f>'Mass Balance'!E96</f>
        <v>3.8782032344997952E-5</v>
      </c>
      <c r="C96">
        <f>SUM('Mass Balance'!E96:H96)</f>
        <v>3.878747037354325E-5</v>
      </c>
      <c r="D96">
        <f>Concentrations!F96/Concentrations!E96</f>
        <v>1.0002497367076915</v>
      </c>
    </row>
    <row r="97" spans="1:4">
      <c r="A97" s="164">
        <f>'Mass Balance'!I97</f>
        <v>2.0433427478584513E-8</v>
      </c>
      <c r="B97">
        <f>'Mass Balance'!E97</f>
        <v>3.7438772153391434E-5</v>
      </c>
      <c r="C97">
        <f>SUM('Mass Balance'!E97:H97)</f>
        <v>3.7461342696157536E-5</v>
      </c>
      <c r="D97">
        <f>Concentrations!F97/Concentrations!E97</f>
        <v>0.99978725482667152</v>
      </c>
    </row>
    <row r="98" spans="1:4">
      <c r="A98" s="164">
        <f>'Mass Balance'!I98</f>
        <v>4.3901008680939468E-6</v>
      </c>
      <c r="B98">
        <f>'Mass Balance'!E98</f>
        <v>2.7109642750842282E-6</v>
      </c>
      <c r="C98">
        <f>SUM('Mass Balance'!E98:H98)</f>
        <v>1.5067719111280588E-5</v>
      </c>
      <c r="D98">
        <f>Concentrations!F98/Concentrations!E98</f>
        <v>0.17998885627798375</v>
      </c>
    </row>
    <row r="99" spans="1:4">
      <c r="A99" s="164">
        <f>'Mass Balance'!I99</f>
        <v>8.5060637876818851E-9</v>
      </c>
      <c r="B99">
        <f>'Mass Balance'!E99</f>
        <v>3.9657328149785472E-5</v>
      </c>
      <c r="C99">
        <f>SUM('Mass Balance'!E99:H99)</f>
        <v>3.9657810063347899E-5</v>
      </c>
      <c r="D99">
        <f>Concentrations!F99/Concentrations!E99</f>
        <v>1.0003778355007851</v>
      </c>
    </row>
    <row r="100" spans="1:4">
      <c r="A100" s="164">
        <f>'Mass Balance'!I100</f>
        <v>6.068647042033609E-7</v>
      </c>
      <c r="B100">
        <f>'Mass Balance'!E100</f>
        <v>2.1194772730158185E-5</v>
      </c>
      <c r="C100">
        <f>SUM('Mass Balance'!E100:H100)</f>
        <v>2.2544237325238288E-5</v>
      </c>
      <c r="D100">
        <f>Concentrations!F100/Concentrations!E100</f>
        <v>0.94050813149305601</v>
      </c>
    </row>
    <row r="101" spans="1:4">
      <c r="A101" s="164">
        <f>'Mass Balance'!I101</f>
        <v>8.9557472958271714E-9</v>
      </c>
      <c r="B101">
        <f>'Mass Balance'!E101</f>
        <v>3.943099135155857E-5</v>
      </c>
      <c r="C101">
        <f>SUM('Mass Balance'!E101:H101)</f>
        <v>3.9432264792553719E-5</v>
      </c>
      <c r="D101">
        <f>Concentrations!F101/Concentrations!E101</f>
        <v>1.0003576850484845</v>
      </c>
    </row>
    <row r="102" spans="1:4">
      <c r="A102" s="164">
        <f>'Mass Balance'!I102</f>
        <v>8.2913383419481056E-9</v>
      </c>
      <c r="B102">
        <f>'Mass Balance'!E102</f>
        <v>3.9849749148681292E-5</v>
      </c>
      <c r="C102">
        <f>SUM('Mass Balance'!E102:H102)</f>
        <v>3.9849845926737977E-5</v>
      </c>
      <c r="D102">
        <f>Concentrations!F102/Concentrations!E102</f>
        <v>1.0003875625194714</v>
      </c>
    </row>
    <row r="103" spans="1:4">
      <c r="A103" s="164">
        <f>'Mass Balance'!I103</f>
        <v>8.4899570738115328E-9</v>
      </c>
      <c r="B103">
        <f>'Mass Balance'!E103</f>
        <v>3.9667989306980349E-5</v>
      </c>
      <c r="C103">
        <f>SUM('Mass Balance'!E103:H103)</f>
        <v>3.9668442801181884E-5</v>
      </c>
      <c r="D103">
        <f>Concentrations!F103/Concentrations!E103</f>
        <v>1.0003785554610216</v>
      </c>
    </row>
    <row r="104" spans="1:4">
      <c r="A104" s="164">
        <f>'Mass Balance'!I104</f>
        <v>1.4845946690847307E-8</v>
      </c>
      <c r="B104">
        <f>'Mass Balance'!E104</f>
        <v>3.8156174496245712E-5</v>
      </c>
      <c r="C104">
        <f>SUM('Mass Balance'!E104:H104)</f>
        <v>3.8168184750228853E-5</v>
      </c>
      <c r="D104">
        <f>Concentrations!F104/Concentrations!E104</f>
        <v>1.0000752026892545</v>
      </c>
    </row>
    <row r="105" spans="1:4">
      <c r="A105" s="164">
        <f>'Mass Balance'!I105</f>
        <v>8.3123845662277446E-9</v>
      </c>
      <c r="B105">
        <f>'Mass Balance'!E105</f>
        <v>3.9821414316845572E-5</v>
      </c>
      <c r="C105">
        <f>SUM('Mass Balance'!E105:H105)</f>
        <v>3.9821550362280059E-5</v>
      </c>
      <c r="D105">
        <f>Concentrations!F105/Concentrations!E105</f>
        <v>1.0003865743249911</v>
      </c>
    </row>
    <row r="106" spans="1:4">
      <c r="A106" s="164">
        <f>'Mass Balance'!I106</f>
        <v>7.1020555647878691E-8</v>
      </c>
      <c r="B106">
        <f>'Mass Balance'!E106</f>
        <v>3.3867822974181613E-5</v>
      </c>
      <c r="C106">
        <f>SUM('Mass Balance'!E106:H106)</f>
        <v>3.399193834336203E-5</v>
      </c>
      <c r="D106">
        <f>Concentrations!F106/Concentrations!E106</f>
        <v>0.99673725025991455</v>
      </c>
    </row>
    <row r="107" spans="1:4">
      <c r="A107" s="164">
        <f>'Mass Balance'!I107</f>
        <v>4.7551005398506133E-6</v>
      </c>
      <c r="B107">
        <f>'Mass Balance'!E107</f>
        <v>2.1671993829137057E-6</v>
      </c>
      <c r="C107">
        <f>SUM('Mass Balance'!E107:H107)</f>
        <v>1.5791226764663001E-5</v>
      </c>
      <c r="D107">
        <f>Concentrations!F107/Concentrations!E107</f>
        <v>0.13729424608490648</v>
      </c>
    </row>
    <row r="108" spans="1:4">
      <c r="A108" s="164">
        <f>'Mass Balance'!I108</f>
        <v>4.7915941315598456E-7</v>
      </c>
      <c r="B108">
        <f>'Mass Balance'!E108</f>
        <v>2.3145889705368935E-5</v>
      </c>
      <c r="C108">
        <f>SUM('Mass Balance'!E108:H108)</f>
        <v>2.4189624106926677E-5</v>
      </c>
      <c r="D108">
        <f>Concentrations!F108/Concentrations!E108</f>
        <v>0.95722514395562397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2024-10-28T23:22:36Z</dcterms:modified>
</cp:coreProperties>
</file>