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ED3D7402-CA1E-4A80-8F66-6565135C8D84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<sst xmlns="http://schemas.openxmlformats.org/spreadsheetml/2006/main" count="3131" uniqueCount="515">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</sst>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1.3440000000000001E-2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1.3440000000000001E-2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3.3600000000000004E-4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4.7712000000000007E-5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5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8.1115534847699814E-8</v>
      </c>
      <c r="J2" s="67" t="s">
        <v>231</v>
      </c>
      <c r="K2" s="68">
        <v>7.5347075483219372E-4</v>
      </c>
      <c r="L2" s="67" t="s">
        <v>231</v>
      </c>
      <c r="M2" s="68">
        <v>1.1369968409833558E-3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9.8085307099426838E-6</v>
      </c>
      <c r="J3" s="67" t="s">
        <v>231</v>
      </c>
      <c r="K3" s="68">
        <v>4.1814160976391186E-2</v>
      </c>
      <c r="L3" s="67" t="s">
        <v>231</v>
      </c>
      <c r="M3" s="68">
        <v>0.30109754267518885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9.1346545264249134E-15</v>
      </c>
      <c r="J4" s="67" t="s">
        <v>231</v>
      </c>
      <c r="K4" s="68">
        <v>1.070763142417533E-3</v>
      </c>
      <c r="L4" s="67" t="s">
        <v>231</v>
      </c>
      <c r="M4" s="68">
        <v>3.0498041311290284E-3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2.0467295178037972E-10</v>
      </c>
      <c r="J5" s="67" t="s">
        <v>231</v>
      </c>
      <c r="K5" s="68">
        <v>9.4466957193038454E-3</v>
      </c>
      <c r="L5" s="67" t="s">
        <v>231</v>
      </c>
      <c r="M5" s="68">
        <v>7.5422627220725444E-2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8.863264614853296E-7</v>
      </c>
      <c r="J6" s="67" t="s">
        <v>231</v>
      </c>
      <c r="K6" s="68">
        <v>1.9560535871474598E-2</v>
      </c>
      <c r="L6" s="67" t="s">
        <v>231</v>
      </c>
      <c r="M6" s="68">
        <v>0.16157126665366373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7.7587357476413099E-6</v>
      </c>
      <c r="J7" s="67" t="s">
        <v>231</v>
      </c>
      <c r="K7" s="68">
        <v>4.9751461266422069E-2</v>
      </c>
      <c r="L7" s="67" t="s">
        <v>231</v>
      </c>
      <c r="M7" s="68">
        <v>0.41367814834210603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1.7100140546063436E-8</v>
      </c>
      <c r="J8" s="67" t="s">
        <v>231</v>
      </c>
      <c r="K8" s="68">
        <v>2.7112299849303939E-2</v>
      </c>
      <c r="L8" s="67" t="s">
        <v>231</v>
      </c>
      <c r="M8" s="68">
        <v>0.22623586638203122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6.3947191669837799E-7</v>
      </c>
      <c r="J9" s="67" t="s">
        <v>231</v>
      </c>
      <c r="K9" s="68">
        <v>7.6765658665436916E-3</v>
      </c>
      <c r="L9" s="67" t="s">
        <v>231</v>
      </c>
      <c r="M9" s="68">
        <v>6.0178871848832978E-2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8.7564718250988949E-4</v>
      </c>
      <c r="J10" s="67" t="s">
        <v>231</v>
      </c>
      <c r="K10" s="68">
        <v>0.38371130432534173</v>
      </c>
      <c r="L10" s="67" t="s">
        <v>231</v>
      </c>
      <c r="M10" s="68">
        <v>2.8720899475690866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1.566815782793371E-8</v>
      </c>
      <c r="J11" s="67" t="s">
        <v>231</v>
      </c>
      <c r="K11" s="68">
        <v>1.9594171995273115</v>
      </c>
      <c r="L11" s="67" t="s">
        <v>232</v>
      </c>
      <c r="M11" s="68">
        <v>15.786056900041375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2.3965220180709408E-8</v>
      </c>
      <c r="J12" s="67" t="s">
        <v>231</v>
      </c>
      <c r="K12" s="68">
        <v>5.7395358240370077E-4</v>
      </c>
      <c r="L12" s="67" t="s">
        <v>231</v>
      </c>
      <c r="M12" s="68">
        <v>6.1399536405275774E-5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1.1118491514895928E-3</v>
      </c>
      <c r="J13" s="67" t="s">
        <v>231</v>
      </c>
      <c r="K13" s="68">
        <v>2.8902021024526825E-2</v>
      </c>
      <c r="L13" s="67" t="s">
        <v>231</v>
      </c>
      <c r="M13" s="68">
        <v>0.21215965900662825</v>
      </c>
      <c r="N13" s="67" t="s">
        <v>231</v>
      </c>
      <c r="P13" s="109" t="s">
        <v>192</v>
      </c>
      <c r="Q13" s="103">
        <f>COUNTIF(J2:J50000,"Yes")</f>
        <v>6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8.1218951959735805E-8</v>
      </c>
      <c r="J14" s="67" t="s">
        <v>231</v>
      </c>
      <c r="K14" s="68">
        <v>0.17251937353976421</v>
      </c>
      <c r="L14" s="67" t="s">
        <v>231</v>
      </c>
      <c r="M14" s="68">
        <v>1.4559484297577816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1.0868476436255525E-6</v>
      </c>
      <c r="J15" s="67" t="s">
        <v>231</v>
      </c>
      <c r="K15" s="68">
        <v>4.4731307802379867E-3</v>
      </c>
      <c r="L15" s="67" t="s">
        <v>231</v>
      </c>
      <c r="M15" s="68">
        <v>2.9632390792792423E-2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9.98180437410554E-5</v>
      </c>
      <c r="J16" s="67" t="s">
        <v>231</v>
      </c>
      <c r="K16" s="68">
        <v>3.3239911377692999E-2</v>
      </c>
      <c r="L16" s="67" t="s">
        <v>231</v>
      </c>
      <c r="M16" s="68">
        <v>0.24460693397206978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2.2099733058948781E-6</v>
      </c>
      <c r="J17" s="67" t="s">
        <v>231</v>
      </c>
      <c r="K17" s="68">
        <v>3.0404807122173045E-2</v>
      </c>
      <c r="L17" s="67" t="s">
        <v>231</v>
      </c>
      <c r="M17" s="68">
        <v>0.22340915975287251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7.6478510183170144E-3</v>
      </c>
      <c r="J18" s="67" t="s">
        <v>231</v>
      </c>
      <c r="K18" s="68">
        <v>1.439015526197019</v>
      </c>
      <c r="L18" s="67" t="s">
        <v>232</v>
      </c>
      <c r="M18" s="68">
        <v>10.826697976312971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1.8128778253995475E-6</v>
      </c>
      <c r="J19" s="67" t="s">
        <v>231</v>
      </c>
      <c r="K19" s="68">
        <v>1.942179159554514E-3</v>
      </c>
      <c r="L19" s="67" t="s">
        <v>231</v>
      </c>
      <c r="M19" s="68">
        <v>1.0247603918400315E-2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5.0799819801945016E-6</v>
      </c>
      <c r="J20" s="67" t="s">
        <v>231</v>
      </c>
      <c r="K20" s="68">
        <v>2.9173646993307482E-3</v>
      </c>
      <c r="L20" s="67" t="s">
        <v>231</v>
      </c>
      <c r="M20" s="68">
        <v>1.7650484939618436E-2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7.4902164191050942E-6</v>
      </c>
      <c r="J21" s="67" t="s">
        <v>231</v>
      </c>
      <c r="K21" s="68">
        <v>0.10612594231436386</v>
      </c>
      <c r="L21" s="67" t="s">
        <v>231</v>
      </c>
      <c r="M21" s="68">
        <v>0.81511901994564395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4.0151592228711201E-8</v>
      </c>
      <c r="J22" s="67" t="s">
        <v>231</v>
      </c>
      <c r="K22" s="68">
        <v>8.0540196576728978E-4</v>
      </c>
      <c r="L22" s="67" t="s">
        <v>231</v>
      </c>
      <c r="M22" s="68">
        <v>1.8470304201587146E-3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1.1145221959323555E-5</v>
      </c>
      <c r="J23" s="67" t="s">
        <v>231</v>
      </c>
      <c r="K23" s="68">
        <v>7.2030165145682045E-3</v>
      </c>
      <c r="L23" s="67" t="s">
        <v>231</v>
      </c>
      <c r="M23" s="68">
        <v>5.0048475660771793E-2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2.0569209418289585E-4</v>
      </c>
      <c r="J24" s="67" t="s">
        <v>231</v>
      </c>
      <c r="K24" s="68">
        <v>5.0493365450882864E-2</v>
      </c>
      <c r="L24" s="67" t="s">
        <v>231</v>
      </c>
      <c r="M24" s="68">
        <v>0.37364479901885295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2.6503978249125641E-3</v>
      </c>
      <c r="J25" s="67" t="s">
        <v>231</v>
      </c>
      <c r="K25" s="68">
        <v>1.3391966988632329</v>
      </c>
      <c r="L25" s="67" t="s">
        <v>232</v>
      </c>
      <c r="M25" s="68">
        <v>10.070896655654677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2.8587333317904356E-4</v>
      </c>
      <c r="J26" s="67" t="s">
        <v>231</v>
      </c>
      <c r="K26" s="68">
        <v>9.4727989606019997E-2</v>
      </c>
      <c r="L26" s="67" t="s">
        <v>231</v>
      </c>
      <c r="M26" s="68">
        <v>0.70546989661776238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6.8874923238422024E-5</v>
      </c>
      <c r="J27" s="67" t="s">
        <v>231</v>
      </c>
      <c r="K27" s="68">
        <v>4.553982968024551E-2</v>
      </c>
      <c r="L27" s="67" t="s">
        <v>231</v>
      </c>
      <c r="M27" s="68">
        <v>0.34020753040383889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2.7148928922151566E-5</v>
      </c>
      <c r="J28" s="67" t="s">
        <v>231</v>
      </c>
      <c r="K28" s="68">
        <v>1.8632576383539896E-2</v>
      </c>
      <c r="L28" s="67" t="s">
        <v>231</v>
      </c>
      <c r="M28" s="68">
        <v>0.13886734919225413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2.5869420479023182E-7</v>
      </c>
      <c r="J29" s="67" t="s">
        <v>231</v>
      </c>
      <c r="K29" s="68">
        <v>2.4121226380333492E-4</v>
      </c>
      <c r="L29" s="67" t="s">
        <v>231</v>
      </c>
      <c r="M29" s="68">
        <v>1.5179222654071037E-3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6.0189756386659985E-6</v>
      </c>
      <c r="J30" s="67" t="s">
        <v>231</v>
      </c>
      <c r="K30" s="68">
        <v>6.5997226839685022E-3</v>
      </c>
      <c r="L30" s="67" t="s">
        <v>231</v>
      </c>
      <c r="M30" s="68">
        <v>4.9179248257763174E-2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8.9778998483090569E-8</v>
      </c>
      <c r="J31" s="67" t="s">
        <v>231</v>
      </c>
      <c r="K31" s="68">
        <v>1.0915391152236814E-4</v>
      </c>
      <c r="L31" s="67" t="s">
        <v>231</v>
      </c>
      <c r="M31" s="68">
        <v>8.1152267238318717E-4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9.9223419664594859E-5</v>
      </c>
      <c r="J32" s="67" t="s">
        <v>231</v>
      </c>
      <c r="K32" s="68">
        <v>2.4537993982476063E-2</v>
      </c>
      <c r="L32" s="67" t="s">
        <v>231</v>
      </c>
      <c r="M32" s="68">
        <v>0.17952584551803899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3.1196483697075012E-5</v>
      </c>
      <c r="J33" s="67" t="s">
        <v>231</v>
      </c>
      <c r="K33" s="68">
        <v>1.1850292281826307E-2</v>
      </c>
      <c r="L33" s="67" t="s">
        <v>231</v>
      </c>
      <c r="M33" s="68">
        <v>8.4567224172173466E-2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1.4604682120896063E-4</v>
      </c>
      <c r="J34" s="67" t="s">
        <v>231</v>
      </c>
      <c r="K34" s="68">
        <v>0.11279448150540257</v>
      </c>
      <c r="L34" s="67" t="s">
        <v>231</v>
      </c>
      <c r="M34" s="68">
        <v>0.8396879722814381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1.3927436654339997E-3</v>
      </c>
      <c r="J35" s="67" t="s">
        <v>231</v>
      </c>
      <c r="K35" s="68">
        <v>0.29962937121292232</v>
      </c>
      <c r="L35" s="67" t="s">
        <v>231</v>
      </c>
      <c r="M35" s="68">
        <v>2.2405885784198141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3.0260560434702049E-3</v>
      </c>
      <c r="J36" s="67" t="s">
        <v>231</v>
      </c>
      <c r="K36" s="68">
        <v>0.71100899006455243</v>
      </c>
      <c r="L36" s="67" t="s">
        <v>231</v>
      </c>
      <c r="M36" s="68">
        <v>5.3319318493267858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1.6542357536555169E-3</v>
      </c>
      <c r="J37" s="67" t="s">
        <v>231</v>
      </c>
      <c r="K37" s="68">
        <v>1.4017409775405261</v>
      </c>
      <c r="L37" s="67" t="s">
        <v>232</v>
      </c>
      <c r="M37" s="68">
        <v>10.544863403154773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9.8994687944610363E-4</v>
      </c>
      <c r="J38" s="67" t="s">
        <v>231</v>
      </c>
      <c r="K38" s="68">
        <v>0.96386212847570407</v>
      </c>
      <c r="L38" s="67" t="s">
        <v>231</v>
      </c>
      <c r="M38" s="68">
        <v>7.2363488002166525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6.0166408280143066E-4</v>
      </c>
      <c r="J39" s="67" t="s">
        <v>231</v>
      </c>
      <c r="K39" s="68">
        <v>0.71137272073949243</v>
      </c>
      <c r="L39" s="67" t="s">
        <v>231</v>
      </c>
      <c r="M39" s="68">
        <v>5.3364076603948192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9.8994687944610363E-4</v>
      </c>
      <c r="J40" s="67" t="s">
        <v>231</v>
      </c>
      <c r="K40" s="68">
        <v>0.96386212847570407</v>
      </c>
      <c r="L40" s="67" t="s">
        <v>231</v>
      </c>
      <c r="M40" s="68">
        <v>7.2363488002166525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8.7845892510204807E-9</v>
      </c>
      <c r="J41" s="67" t="s">
        <v>231</v>
      </c>
      <c r="K41" s="68">
        <v>1.2812879315537572E-3</v>
      </c>
      <c r="L41" s="67" t="s">
        <v>231</v>
      </c>
      <c r="M41" s="68">
        <v>5.6895894094793897E-3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2.9920508267766007E-3</v>
      </c>
      <c r="J42" s="67" t="s">
        <v>231</v>
      </c>
      <c r="K42" s="68">
        <v>1.4237470827934346</v>
      </c>
      <c r="L42" s="67" t="s">
        <v>232</v>
      </c>
      <c r="M42" s="68">
        <v>10.711823034180899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2.3842957090926134E-3</v>
      </c>
      <c r="J43" s="67" t="s">
        <v>231</v>
      </c>
      <c r="K43" s="68">
        <v>5.572341805395551E-2</v>
      </c>
      <c r="L43" s="67" t="s">
        <v>231</v>
      </c>
      <c r="M43" s="68">
        <v>0.4127477269943699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6.0072175059518867E-3</v>
      </c>
      <c r="J44" s="67" t="s">
        <v>231</v>
      </c>
      <c r="K44" s="68">
        <v>0.54030817388932839</v>
      </c>
      <c r="L44" s="67" t="s">
        <v>231</v>
      </c>
      <c r="M44" s="68">
        <v>4.0482470142667548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8.0165432718052789E-3</v>
      </c>
      <c r="J45" s="67" t="s">
        <v>231</v>
      </c>
      <c r="K45" s="68">
        <v>1.6360113664205471</v>
      </c>
      <c r="L45" s="67" t="s">
        <v>232</v>
      </c>
      <c r="M45" s="68">
        <v>12.322102319391725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1.1929283495445806E-3</v>
      </c>
      <c r="J46" s="67" t="s">
        <v>231</v>
      </c>
      <c r="K46" s="68">
        <v>1.4703741297394517</v>
      </c>
      <c r="L46" s="67" t="s">
        <v>232</v>
      </c>
      <c r="M46" s="68">
        <v>11.064381329298294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2.40749838482314E-3</v>
      </c>
      <c r="J47" s="142" t="s">
        <v>231</v>
      </c>
      <c r="K47" s="143">
        <v>1.2223308005904117</v>
      </c>
      <c r="L47" s="142" t="s">
        <v>232</v>
      </c>
      <c r="M47" s="143">
        <v>9.1871703225853949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5.7046953541939967E-4</v>
      </c>
      <c r="J48" s="142" t="s">
        <v>231</v>
      </c>
      <c r="K48" s="143">
        <v>0.21299626676425049</v>
      </c>
      <c r="L48" s="142" t="s">
        <v>231</v>
      </c>
      <c r="M48" s="143">
        <v>1.5901571434459312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3.5704510184179179E-3</v>
      </c>
      <c r="J49" s="142" t="s">
        <v>231</v>
      </c>
      <c r="K49" s="143">
        <v>0.57081744355601161</v>
      </c>
      <c r="L49" s="142" t="s">
        <v>231</v>
      </c>
      <c r="M49" s="143">
        <v>4.2775522415580891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8.60185507348799E-4</v>
      </c>
      <c r="J50" s="142" t="s">
        <v>231</v>
      </c>
      <c r="K50" s="143">
        <v>0.62308026434710528</v>
      </c>
      <c r="L50" s="142" t="s">
        <v>231</v>
      </c>
      <c r="M50" s="143">
        <v>4.6704898352884925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1.4071378792662364E-3</v>
      </c>
      <c r="J51" s="142" t="s">
        <v>231</v>
      </c>
      <c r="K51" s="143">
        <v>0.25639409354387144</v>
      </c>
      <c r="L51" s="142" t="s">
        <v>231</v>
      </c>
      <c r="M51" s="143">
        <v>1.9156024197953032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2.6943157282764897E-2</v>
      </c>
      <c r="J52" s="142" t="s">
        <v>232</v>
      </c>
      <c r="K52" s="143">
        <v>0.21699391449517344</v>
      </c>
      <c r="L52" s="142" t="s">
        <v>231</v>
      </c>
      <c r="M52" s="143">
        <v>1.6201257337399775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7.69843770777309E-3</v>
      </c>
      <c r="J53" s="142" t="s">
        <v>231</v>
      </c>
      <c r="K53" s="143">
        <v>0.79936354895874118</v>
      </c>
      <c r="L53" s="142" t="s">
        <v>231</v>
      </c>
      <c r="M53" s="143">
        <v>5.9969660376170086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4.1698750681696886E-3</v>
      </c>
      <c r="J54" s="67" t="s">
        <v>231</v>
      </c>
      <c r="K54" s="68">
        <v>0.59673849331687101</v>
      </c>
      <c r="L54" s="67" t="s">
        <v>231</v>
      </c>
      <c r="M54" s="68">
        <v>4.472418287001557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2.5374460909652792E-3</v>
      </c>
      <c r="J55" s="67" t="s">
        <v>231</v>
      </c>
      <c r="K55" s="68">
        <v>1.2093314671729889</v>
      </c>
      <c r="L55" s="67" t="s">
        <v>232</v>
      </c>
      <c r="M55" s="68">
        <v>9.088981708332259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2.5205666270566502E-3</v>
      </c>
      <c r="J56" s="67" t="s">
        <v>231</v>
      </c>
      <c r="K56" s="68">
        <v>0.55047739892118297</v>
      </c>
      <c r="L56" s="67" t="s">
        <v>231</v>
      </c>
      <c r="M56" s="68">
        <v>4.1246699503502899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3.9747518008466402E-3</v>
      </c>
      <c r="J57" s="67" t="s">
        <v>231</v>
      </c>
      <c r="K57" s="68">
        <v>0.19378449107382831</v>
      </c>
      <c r="L57" s="67" t="s">
        <v>231</v>
      </c>
      <c r="M57" s="68">
        <v>1.4462133263352637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2.5297940955522014E-2</v>
      </c>
      <c r="J58" s="67" t="s">
        <v>232</v>
      </c>
      <c r="K58" s="68">
        <v>0.60199577107413171</v>
      </c>
      <c r="L58" s="67" t="s">
        <v>231</v>
      </c>
      <c r="M58" s="68">
        <v>4.5119453634081594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2.7885528203237596E-3</v>
      </c>
      <c r="J59" s="67" t="s">
        <v>231</v>
      </c>
      <c r="K59" s="68">
        <v>0.21707108425953853</v>
      </c>
      <c r="L59" s="67" t="s">
        <v>231</v>
      </c>
      <c r="M59" s="68">
        <v>1.6207019006864349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1.1293670398247663E-2</v>
      </c>
      <c r="J60" s="67" t="s">
        <v>232</v>
      </c>
      <c r="K60" s="68">
        <v>0.74531490369893572</v>
      </c>
      <c r="L60" s="67" t="s">
        <v>231</v>
      </c>
      <c r="M60" s="68">
        <v>5.5901124898478809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4.4700453697099775E-5</v>
      </c>
      <c r="J61" s="67" t="s">
        <v>231</v>
      </c>
      <c r="K61" s="68">
        <v>0.20936281758299211</v>
      </c>
      <c r="L61" s="67" t="s">
        <v>231</v>
      </c>
      <c r="M61" s="68">
        <v>1.4077800086982377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2.1904741900223443E-4</v>
      </c>
      <c r="J62" s="67" t="s">
        <v>231</v>
      </c>
      <c r="K62" s="68">
        <v>0.10707893019841139</v>
      </c>
      <c r="L62" s="67" t="s">
        <v>231</v>
      </c>
      <c r="M62" s="68">
        <v>0.79691632233455045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1.7270706067790359E-6</v>
      </c>
      <c r="J63" s="67" t="s">
        <v>231</v>
      </c>
      <c r="K63" s="68">
        <v>1.7741115226179126E-2</v>
      </c>
      <c r="L63" s="67" t="s">
        <v>231</v>
      </c>
      <c r="M63" s="68">
        <v>0.11433342682278448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1.06088261826348E-7</v>
      </c>
      <c r="J64" s="67" t="s">
        <v>231</v>
      </c>
      <c r="K64" s="68">
        <v>8.9052431395832284E-4</v>
      </c>
      <c r="L64" s="67" t="s">
        <v>231</v>
      </c>
      <c r="M64" s="68">
        <v>2.2718485678921551E-3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2.0095830991654538E-8</v>
      </c>
      <c r="J65" s="67" t="s">
        <v>231</v>
      </c>
      <c r="K65" s="68">
        <v>2.045079776430796E-3</v>
      </c>
      <c r="L65" s="67" t="s">
        <v>231</v>
      </c>
      <c r="M65" s="68">
        <v>9.555046676686248E-3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1.6983776966735727E-7</v>
      </c>
      <c r="J66" s="67" t="s">
        <v>231</v>
      </c>
      <c r="K66" s="68">
        <v>0.15566612141290873</v>
      </c>
      <c r="L66" s="67" t="s">
        <v>231</v>
      </c>
      <c r="M66" s="68">
        <v>1.0347332786033716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1.979493997908539E-8</v>
      </c>
      <c r="J67" s="67" t="s">
        <v>231</v>
      </c>
      <c r="K67" s="68">
        <v>1.8051380948276171E-3</v>
      </c>
      <c r="L67" s="67" t="s">
        <v>231</v>
      </c>
      <c r="M67" s="68">
        <v>7.9541206133765217E-3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6.4269897192403925E-9</v>
      </c>
      <c r="J68" s="67" t="s">
        <v>231</v>
      </c>
      <c r="K68" s="68">
        <v>7.7158764697898082E-4</v>
      </c>
      <c r="L68" s="67" t="s">
        <v>231</v>
      </c>
      <c r="M68" s="68">
        <v>1.0549342943461247E-3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1.4392984364189148E-4</v>
      </c>
      <c r="J69" s="67" t="s">
        <v>231</v>
      </c>
      <c r="K69" s="68">
        <v>0.50027301923693002</v>
      </c>
      <c r="L69" s="67" t="s">
        <v>231</v>
      </c>
      <c r="M69" s="68">
        <v>3.7474125625807799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2.28427985204005E-14</v>
      </c>
      <c r="J70" s="67" t="s">
        <v>231</v>
      </c>
      <c r="K70" s="68">
        <v>1.060362365857055E-3</v>
      </c>
      <c r="L70" s="67" t="s">
        <v>231</v>
      </c>
      <c r="M70" s="68">
        <v>3.8087012370534648E-3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1.9828302373339819E-10</v>
      </c>
      <c r="J71" s="67" t="s">
        <v>231</v>
      </c>
      <c r="K71" s="68">
        <v>1.4315695834311607E-3</v>
      </c>
      <c r="L71" s="67" t="s">
        <v>231</v>
      </c>
      <c r="M71" s="68">
        <v>6.9766377817332562E-3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2.2379748249248253E-13</v>
      </c>
      <c r="J72" s="67" t="s">
        <v>231</v>
      </c>
      <c r="K72" s="68">
        <v>0.59694836220684178</v>
      </c>
      <c r="L72" s="67" t="s">
        <v>231</v>
      </c>
      <c r="M72" s="68">
        <v>5.0696577749047522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1.1562566169982066E-10</v>
      </c>
      <c r="J73" s="67" t="s">
        <v>231</v>
      </c>
      <c r="K73" s="68">
        <v>6.6681164064415446E-2</v>
      </c>
      <c r="L73" s="67" t="s">
        <v>231</v>
      </c>
      <c r="M73" s="68">
        <v>0.56491101708054592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1.8592327374586801E-11</v>
      </c>
      <c r="J74" s="67" t="s">
        <v>231</v>
      </c>
      <c r="K74" s="68">
        <v>1.3589784943993056E-3</v>
      </c>
      <c r="L74" s="67" t="s">
        <v>231</v>
      </c>
      <c r="M74" s="68">
        <v>6.3570990932781618E-3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6.859052711995571E-13</v>
      </c>
      <c r="J75" s="67" t="s">
        <v>231</v>
      </c>
      <c r="K75" s="68">
        <v>6.4170092519291497E-2</v>
      </c>
      <c r="L75" s="67" t="s">
        <v>231</v>
      </c>
      <c r="M75" s="68">
        <v>0.54339950651466473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1.6511909712534875E-8</v>
      </c>
      <c r="J76" s="67" t="s">
        <v>231</v>
      </c>
      <c r="K76" s="68">
        <v>1.297377513016899E-2</v>
      </c>
      <c r="L76" s="67" t="s">
        <v>231</v>
      </c>
      <c r="M76" s="68">
        <v>0.10555791159989765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4.8040037626977891E-7</v>
      </c>
      <c r="J77" s="67" t="s">
        <v>231</v>
      </c>
      <c r="K77" s="68">
        <v>6.5995634330443767E-2</v>
      </c>
      <c r="L77" s="67" t="s">
        <v>231</v>
      </c>
      <c r="M77" s="68">
        <v>0.55903651613866512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2.2783933916041789E-12</v>
      </c>
      <c r="J78" s="67" t="s">
        <v>231</v>
      </c>
      <c r="K78" s="68">
        <v>0.51529404493071851</v>
      </c>
      <c r="L78" s="67" t="s">
        <v>231</v>
      </c>
      <c r="M78" s="68">
        <v>4.3761483779253689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1.2534539646503194E-15</v>
      </c>
      <c r="J79" s="67" t="s">
        <v>231</v>
      </c>
      <c r="K79" s="68">
        <v>0.5152938589936672</v>
      </c>
      <c r="L79" s="67" t="s">
        <v>231</v>
      </c>
      <c r="M79" s="68">
        <v>4.376147141598322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8.1568737480682049E-14</v>
      </c>
      <c r="J80" s="67" t="s">
        <v>231</v>
      </c>
      <c r="K80" s="68">
        <v>3.4674212944621273E-2</v>
      </c>
      <c r="L80" s="67" t="s">
        <v>231</v>
      </c>
      <c r="M80" s="68">
        <v>0.2910366533606199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8.4649665079893724E-11</v>
      </c>
      <c r="J81" s="67" t="s">
        <v>231</v>
      </c>
      <c r="K81" s="68">
        <v>3.5870266264809861E-3</v>
      </c>
      <c r="L81" s="67" t="s">
        <v>231</v>
      </c>
      <c r="M81" s="68">
        <v>2.5378154337357395E-2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2.1380100799350446E-15</v>
      </c>
      <c r="J82" s="67" t="s">
        <v>231</v>
      </c>
      <c r="K82" s="68">
        <v>7.7271099058146848E-3</v>
      </c>
      <c r="L82" s="67" t="s">
        <v>231</v>
      </c>
      <c r="M82" s="68">
        <v>6.0736172531628004E-2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1.1762224614053654E-13</v>
      </c>
      <c r="J83" s="67" t="s">
        <v>231</v>
      </c>
      <c r="K83" s="68">
        <v>0.8679927456378308</v>
      </c>
      <c r="L83" s="67" t="s">
        <v>231</v>
      </c>
      <c r="M83" s="68">
        <v>7.3716864122515435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5.0055395777018563E-2</v>
      </c>
      <c r="J84" s="67" t="s">
        <v>232</v>
      </c>
      <c r="K84" s="68">
        <v>7.2331223411427226E-2</v>
      </c>
      <c r="L84" s="67" t="s">
        <v>231</v>
      </c>
      <c r="M84" s="68">
        <v>0.5369597648722173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7.7364122277909515E-6</v>
      </c>
      <c r="J85" s="67" t="s">
        <v>231</v>
      </c>
      <c r="K85" s="68">
        <v>2.2695822912822501</v>
      </c>
      <c r="L85" s="67" t="s">
        <v>232</v>
      </c>
      <c r="M85" s="68">
        <v>15.142939709552341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7.7934194795916995E-4</v>
      </c>
      <c r="J86" s="67" t="s">
        <v>231</v>
      </c>
      <c r="K86" s="68">
        <v>1.5918346250732727</v>
      </c>
      <c r="L86" s="67" t="s">
        <v>232</v>
      </c>
      <c r="M86" s="68">
        <v>11.986232152399602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5.5516604756260853E-4</v>
      </c>
      <c r="J87" s="67" t="s">
        <v>231</v>
      </c>
      <c r="K87" s="68">
        <v>1.7897497742326804</v>
      </c>
      <c r="L87" s="67" t="s">
        <v>232</v>
      </c>
      <c r="M87" s="68">
        <v>13.494435643424838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8.4608935576351452E-4</v>
      </c>
      <c r="J88" s="67" t="s">
        <v>231</v>
      </c>
      <c r="K88" s="68">
        <v>1.9402284630430784</v>
      </c>
      <c r="L88" s="67" t="s">
        <v>232</v>
      </c>
      <c r="M88" s="68">
        <v>14.650919067664709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2.5009083749809265E-7</v>
      </c>
      <c r="J89" s="67" t="s">
        <v>231</v>
      </c>
      <c r="K89" s="68">
        <v>2.8727805757648919</v>
      </c>
      <c r="L89" s="67" t="s">
        <v>232</v>
      </c>
      <c r="M89" s="68">
        <v>19.16894513091815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1.9056589103058495E-5</v>
      </c>
      <c r="J90" s="67" t="s">
        <v>231</v>
      </c>
      <c r="K90" s="68">
        <v>7.9800303938750371E-4</v>
      </c>
      <c r="L90" s="67" t="s">
        <v>231</v>
      </c>
      <c r="M90" s="68">
        <v>1.4773491356053037E-3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3.5393012539354773E-5</v>
      </c>
      <c r="J91" s="67" t="s">
        <v>231</v>
      </c>
      <c r="K91" s="68">
        <v>1.1404236556900628E-2</v>
      </c>
      <c r="L91" s="67" t="s">
        <v>231</v>
      </c>
      <c r="M91" s="68">
        <v>8.1226633787315941E-2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5.5806503749730867E-5</v>
      </c>
      <c r="J92" s="67" t="s">
        <v>231</v>
      </c>
      <c r="K92" s="68">
        <v>0.1407525954649535</v>
      </c>
      <c r="L92" s="67" t="s">
        <v>231</v>
      </c>
      <c r="M92" s="68">
        <v>1.0489631644363153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1.2901071950191638E-8</v>
      </c>
      <c r="J93" s="67" t="s">
        <v>231</v>
      </c>
      <c r="K93" s="68">
        <v>6.8702818564845658E-4</v>
      </c>
      <c r="L93" s="67" t="s">
        <v>231</v>
      </c>
      <c r="M93" s="68">
        <v>6.2200490210063855E-4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2.1068020978401116E-18</v>
      </c>
      <c r="J94" s="67" t="s">
        <v>231</v>
      </c>
      <c r="K94" s="68">
        <v>6.365190762730636E-4</v>
      </c>
      <c r="L94" s="67" t="s">
        <v>231</v>
      </c>
      <c r="M94" s="68">
        <v>1.5093854059335988E-4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2.2759757583600164E-6</v>
      </c>
      <c r="J95" s="67" t="s">
        <v>231</v>
      </c>
      <c r="K95" s="68">
        <v>1.4476569106025032E-3</v>
      </c>
      <c r="L95" s="67" t="s">
        <v>231</v>
      </c>
      <c r="M95" s="68">
        <v>6.383726050098913E-3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8.7596299042148485E-3</v>
      </c>
      <c r="J96" s="67" t="s">
        <v>231</v>
      </c>
      <c r="K96" s="68">
        <v>1.5010310452815177</v>
      </c>
      <c r="L96" s="67" t="s">
        <v>232</v>
      </c>
      <c r="M96" s="68">
        <v>11.296856360939232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1.1071530363261299E-4</v>
      </c>
      <c r="J97" s="67" t="s">
        <v>231</v>
      </c>
      <c r="K97" s="68">
        <v>2.0861792346688671E-2</v>
      </c>
      <c r="L97" s="67" t="s">
        <v>231</v>
      </c>
      <c r="M97" s="68">
        <v>0.152014843966988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2.8743792219868996E-5</v>
      </c>
      <c r="J98" s="67" t="s">
        <v>231</v>
      </c>
      <c r="K98" s="68">
        <v>1.2794301492264197E-2</v>
      </c>
      <c r="L98" s="67" t="s">
        <v>231</v>
      </c>
      <c r="M98" s="68">
        <v>9.1635806925930319E-2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1.7853171795548176E-6</v>
      </c>
      <c r="J99" s="67" t="s">
        <v>231</v>
      </c>
      <c r="K99" s="68">
        <v>3.6360782586948382E-3</v>
      </c>
      <c r="L99" s="67" t="s">
        <v>231</v>
      </c>
      <c r="M99" s="68">
        <v>2.2962333784411752E-2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7.9344951939731585E-3</v>
      </c>
      <c r="J100" s="67" t="s">
        <v>231</v>
      </c>
      <c r="K100" s="68">
        <v>0.84759667920526161</v>
      </c>
      <c r="L100" s="67" t="s">
        <v>231</v>
      </c>
      <c r="M100" s="68">
        <v>6.3602009885812478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3.2961292297168529E-2</v>
      </c>
      <c r="J101" s="67" t="s">
        <v>232</v>
      </c>
      <c r="K101" s="68">
        <v>0.11135876885322524</v>
      </c>
      <c r="L101" s="67" t="s">
        <v>231</v>
      </c>
      <c r="M101" s="68">
        <v>0.82894322734863934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1.6924534103503926E-2</v>
      </c>
      <c r="J102" s="67" t="s">
        <v>232</v>
      </c>
      <c r="K102" s="68">
        <v>0.25417707488675939</v>
      </c>
      <c r="L102" s="67" t="s">
        <v>231</v>
      </c>
      <c r="M102" s="68">
        <v>1.8989733117016767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1.7106755829556091E-9</v>
      </c>
      <c r="J103" s="67" t="s">
        <v>231</v>
      </c>
      <c r="K103" s="68">
        <v>2.1429772340200532E-3</v>
      </c>
      <c r="L103" s="67" t="s">
        <v>231</v>
      </c>
      <c r="M103" s="68">
        <v>1.3048294423194102E-2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2.1378135781063183E-6</v>
      </c>
      <c r="J104" s="67" t="s">
        <v>231</v>
      </c>
      <c r="K104" s="68">
        <v>0.1159237945416977</v>
      </c>
      <c r="L104" s="67" t="s">
        <v>231</v>
      </c>
      <c r="M104" s="68">
        <v>0.97804476821588104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9.6970201976299891E-8</v>
      </c>
      <c r="J105" s="67" t="s">
        <v>231</v>
      </c>
      <c r="K105" s="68">
        <v>8.3927743384649414E-4</v>
      </c>
      <c r="L105" s="67" t="s">
        <v>231</v>
      </c>
      <c r="M105" s="68">
        <v>1.8026852750308948E-3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3.3260490288202456E-8</v>
      </c>
      <c r="J106" s="67" t="s">
        <v>231</v>
      </c>
      <c r="K106" s="68">
        <v>1.5098865725313567E-3</v>
      </c>
      <c r="L106" s="67" t="s">
        <v>231</v>
      </c>
      <c r="M106" s="68">
        <v>6.8651377498521061E-3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3.1056919845776678E-5</v>
      </c>
      <c r="J107" s="67" t="s">
        <v>231</v>
      </c>
      <c r="K107" s="68">
        <v>0.34897317368931641</v>
      </c>
      <c r="L107" s="67" t="s">
        <v>231</v>
      </c>
      <c r="M107" s="68">
        <v>2.5458324511578443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2.6470381202540626E-10</v>
      </c>
      <c r="J108" s="67" t="s">
        <v>231</v>
      </c>
      <c r="K108" s="68">
        <v>6.2558389296122263E-4</v>
      </c>
      <c r="L108" s="67" t="s">
        <v>231</v>
      </c>
      <c r="M108" s="68">
        <v>7.8122850298788148E-5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2.8642110043444766E-6</v>
      </c>
      <c r="J109" s="67" t="s">
        <v>231</v>
      </c>
      <c r="K109" s="68">
        <v>4.1104198401497857E-2</v>
      </c>
      <c r="L109" s="67" t="s">
        <v>231</v>
      </c>
      <c r="M109" s="68">
        <v>0.27015545935501228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5.8253495416972351E-6</v>
      </c>
      <c r="J110" s="67" t="s">
        <v>231</v>
      </c>
      <c r="K110" s="68">
        <v>6.3978099656910551E-4</v>
      </c>
      <c r="L110" s="67" t="s">
        <v>231</v>
      </c>
      <c r="M110" s="68">
        <v>2.2201030061779378E-4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8.1183693521171407E-14</v>
      </c>
      <c r="J111" s="67" t="s">
        <v>231</v>
      </c>
      <c r="K111" s="68">
        <v>6.1428748539895783E-4</v>
      </c>
      <c r="L111" s="67" t="s">
        <v>231</v>
      </c>
      <c r="M111" s="68">
        <v>3.2336622005201432E-6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9.159062437736209E-9</v>
      </c>
      <c r="J112" s="67" t="s">
        <v>231</v>
      </c>
      <c r="K112" s="68">
        <v>6.3169323465859617E-4</v>
      </c>
      <c r="L112" s="67" t="s">
        <v>231</v>
      </c>
      <c r="M112" s="68">
        <v>1.6762142736646423E-4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4.2155495862649447E-7</v>
      </c>
      <c r="J113" s="67" t="s">
        <v>231</v>
      </c>
      <c r="K113" s="68">
        <v>1.1046091287832817E-3</v>
      </c>
      <c r="L113" s="67" t="s">
        <v>231</v>
      </c>
      <c r="M113" s="68">
        <v>3.8382580839479209E-3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5.6976105940540372E-8</v>
      </c>
      <c r="J114" s="67" t="s">
        <v>231</v>
      </c>
      <c r="K114" s="68">
        <v>6.1841804364339546E-4</v>
      </c>
      <c r="L114" s="67" t="s">
        <v>231</v>
      </c>
      <c r="M114" s="68">
        <v>5.2102580601775293E-5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4.8508141648709877E-11</v>
      </c>
      <c r="J115" s="67" t="s">
        <v>231</v>
      </c>
      <c r="K115" s="68">
        <v>1.0210150965059481E-3</v>
      </c>
      <c r="L115" s="67" t="s">
        <v>231</v>
      </c>
      <c r="M115" s="68">
        <v>3.4725226573751673E-3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2.4654269015671242E-5</v>
      </c>
      <c r="J116" s="67" t="s">
        <v>231</v>
      </c>
      <c r="K116" s="68">
        <v>1.1325084585320659</v>
      </c>
      <c r="L116" s="67" t="s">
        <v>232</v>
      </c>
      <c r="M116" s="68">
        <v>7.553562762161893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8.2441070836740125E-5</v>
      </c>
      <c r="J117" s="67" t="s">
        <v>231</v>
      </c>
      <c r="K117" s="68">
        <v>3.5651742050296469E-2</v>
      </c>
      <c r="L117" s="67" t="s">
        <v>231</v>
      </c>
      <c r="M117" s="68">
        <v>0.26264142516968264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9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0.97644376364195795</v>
      </c>
      <c r="F2" s="14">
        <v>0.97674063984666348</v>
      </c>
      <c r="G2" s="14">
        <v>2.9046094483685085E-10</v>
      </c>
      <c r="H2" s="14">
        <v>0.17016069787270924</v>
      </c>
      <c r="I2" s="14">
        <v>0.63229016823165762</v>
      </c>
      <c r="J2" s="14">
        <v>0</v>
      </c>
      <c r="K2" s="14">
        <v>1.0238132408998442</v>
      </c>
      <c r="L2" s="14">
        <v>0.97674063984666348</v>
      </c>
      <c r="M2" s="14">
        <v>0.80141569499418741</v>
      </c>
      <c r="N2" s="14">
        <v>0.75347075483219372</v>
      </c>
      <c r="O2" s="14">
        <v>146.3164858808637</v>
      </c>
      <c r="P2" s="8">
        <v>0.75347075483219372</v>
      </c>
      <c r="Q2" s="54">
        <v>1.572955472897997E-2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0.61133219737403344</v>
      </c>
      <c r="F3" s="14">
        <v>0.58288887450279991</v>
      </c>
      <c r="G3" s="14">
        <v>2.7595751129755249E-10</v>
      </c>
      <c r="H3" s="14">
        <v>65.560591056586134</v>
      </c>
      <c r="I3" s="14">
        <v>147.46626086106536</v>
      </c>
      <c r="J3" s="14">
        <v>0</v>
      </c>
      <c r="K3" s="14">
        <v>1.7155928749763716</v>
      </c>
      <c r="L3" s="14">
        <v>0.58288887450279991</v>
      </c>
      <c r="M3" s="14">
        <v>0.47826032152954734</v>
      </c>
      <c r="N3" s="14">
        <v>41.814160976391193</v>
      </c>
      <c r="O3" s="14">
        <v>10708.188484444019</v>
      </c>
      <c r="P3" s="8">
        <v>41.814160976391193</v>
      </c>
      <c r="Q3" s="54">
        <v>0.25286729829866306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0.9996196438708066</v>
      </c>
      <c r="F4" s="14">
        <v>0.9999673879275639</v>
      </c>
      <c r="G4" s="14">
        <v>1.5063098783056731E-19</v>
      </c>
      <c r="H4" s="14">
        <v>0.11947742025061023</v>
      </c>
      <c r="I4" s="14">
        <v>1.2182687211772833E-3</v>
      </c>
      <c r="J4" s="14">
        <v>0</v>
      </c>
      <c r="K4" s="14">
        <v>1.000032613136018</v>
      </c>
      <c r="L4" s="14">
        <v>0.9999673879275639</v>
      </c>
      <c r="M4" s="14">
        <v>0.82047324179456627</v>
      </c>
      <c r="N4" s="14">
        <v>1.070763142417533</v>
      </c>
      <c r="O4" s="14">
        <v>317.10650462695236</v>
      </c>
      <c r="P4" s="8">
        <v>1.070763142417533</v>
      </c>
      <c r="Q4" s="54">
        <v>1.3891306505148141E-5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0.99651070880311265</v>
      </c>
      <c r="F5" s="14">
        <v>0.9211080019832617</v>
      </c>
      <c r="G5" s="14">
        <v>4.2159007442278528E-12</v>
      </c>
      <c r="H5" s="14">
        <v>215.31315025930343</v>
      </c>
      <c r="I5" s="14">
        <v>0.15823095028521669</v>
      </c>
      <c r="J5" s="14">
        <v>0</v>
      </c>
      <c r="K5" s="14">
        <v>1.0856490203612104</v>
      </c>
      <c r="L5" s="14">
        <v>0.92110800198326181</v>
      </c>
      <c r="M5" s="14">
        <v>0.75576911562726634</v>
      </c>
      <c r="N5" s="14">
        <v>9.446695719303845</v>
      </c>
      <c r="O5" s="14">
        <v>2088.0976217949219</v>
      </c>
      <c r="P5" s="8">
        <v>9.446695719303845</v>
      </c>
      <c r="Q5" s="54">
        <v>2.1276071264478535E-4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0.99164677935401113</v>
      </c>
      <c r="F6" s="14">
        <v>0.82149404828857142</v>
      </c>
      <c r="G6" s="14">
        <v>5.2116930754917065E-13</v>
      </c>
      <c r="H6" s="14">
        <v>484.37801300449422</v>
      </c>
      <c r="I6" s="14">
        <v>1.3005844664006199</v>
      </c>
      <c r="J6" s="14">
        <v>0</v>
      </c>
      <c r="K6" s="14">
        <v>1.2172942726527505</v>
      </c>
      <c r="L6" s="14">
        <v>0.82149404828857142</v>
      </c>
      <c r="M6" s="14">
        <v>0.67403586662077286</v>
      </c>
      <c r="N6" s="14">
        <v>19.560535871474599</v>
      </c>
      <c r="O6" s="14">
        <v>4504.0089897657408</v>
      </c>
      <c r="P6" s="8">
        <v>19.560535871474599</v>
      </c>
      <c r="Q6" s="54">
        <v>1.202094368731102E-3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0.96501827783232441</v>
      </c>
      <c r="F7" s="14">
        <v>0.5296309302258726</v>
      </c>
      <c r="G7" s="14">
        <v>8.8259294926307222E-9</v>
      </c>
      <c r="H7" s="14">
        <v>1235.5301274094927</v>
      </c>
      <c r="I7" s="14">
        <v>23.286813171978014</v>
      </c>
      <c r="J7" s="14">
        <v>0</v>
      </c>
      <c r="K7" s="14">
        <v>1.8881072515412352</v>
      </c>
      <c r="L7" s="14">
        <v>0.5296309302258726</v>
      </c>
      <c r="M7" s="14">
        <v>0.4345621782503285</v>
      </c>
      <c r="N7" s="14">
        <v>49.751461266422069</v>
      </c>
      <c r="O7" s="14">
        <v>10262.731430037546</v>
      </c>
      <c r="P7" s="8">
        <v>49.751461266422069</v>
      </c>
      <c r="Q7" s="54">
        <v>1.2328494872739723E-2</v>
      </c>
    </row>
    <row r="8" spans="1:20">
      <c r="A8" s="2" t="s">
        <v>289</v>
      </c>
      <c r="B8" s="16" t="s">
        <v>290</v>
      </c>
      <c r="D8" s="14">
        <v>1</v>
      </c>
      <c r="E8" s="14">
        <v>0.98977079812053426</v>
      </c>
      <c r="F8" s="14">
        <v>0.7423516780295496</v>
      </c>
      <c r="G8" s="14">
        <v>4.1151466905830827E-19</v>
      </c>
      <c r="H8" s="14">
        <v>703.93035699823838</v>
      </c>
      <c r="I8" s="14">
        <v>0.99109639177790154</v>
      </c>
      <c r="J8" s="14">
        <v>0</v>
      </c>
      <c r="K8" s="14">
        <v>1.3470704379012592</v>
      </c>
      <c r="L8" s="14">
        <v>0.7423516780295496</v>
      </c>
      <c r="M8" s="14">
        <v>0.60909955182324549</v>
      </c>
      <c r="N8" s="14">
        <v>27.112299849303941</v>
      </c>
      <c r="O8" s="14">
        <v>9446.4675134944791</v>
      </c>
      <c r="P8" s="8">
        <v>27.112299849303941</v>
      </c>
      <c r="Q8" s="54">
        <v>7.5564166281714745E-4</v>
      </c>
    </row>
    <row r="9" spans="1:20">
      <c r="A9" s="2" t="s">
        <v>291</v>
      </c>
      <c r="B9" s="16" t="s">
        <v>292</v>
      </c>
      <c r="D9" s="14">
        <v>1</v>
      </c>
      <c r="E9" s="14">
        <v>0.99611937890376878</v>
      </c>
      <c r="F9" s="14">
        <v>0.9378771564564703</v>
      </c>
      <c r="G9" s="14">
        <v>8.156954602024554E-15</v>
      </c>
      <c r="H9" s="14">
        <v>166.51216134315135</v>
      </c>
      <c r="I9" s="14">
        <v>0.58435871045055054</v>
      </c>
      <c r="J9" s="14">
        <v>0</v>
      </c>
      <c r="K9" s="14">
        <v>1.0662377189974912</v>
      </c>
      <c r="L9" s="14">
        <v>0.9378771564564703</v>
      </c>
      <c r="M9" s="14">
        <v>0.76952820687253387</v>
      </c>
      <c r="N9" s="14">
        <v>7.676565866543692</v>
      </c>
      <c r="O9" s="14">
        <v>2366.9155536314165</v>
      </c>
      <c r="P9" s="8">
        <v>7.676565866543692</v>
      </c>
      <c r="Q9" s="54">
        <v>8.7837410092847143E-4</v>
      </c>
    </row>
    <row r="10" spans="1:20">
      <c r="A10" s="2" t="s">
        <v>367</v>
      </c>
      <c r="B10" s="16" t="s">
        <v>368</v>
      </c>
      <c r="D10" s="14">
        <v>1</v>
      </c>
      <c r="E10" s="14">
        <v>0.40985254017800143</v>
      </c>
      <c r="F10" s="14">
        <v>4.3384843675213801E-2</v>
      </c>
      <c r="G10" s="14">
        <v>6.741034108820709E-7</v>
      </c>
      <c r="H10" s="14">
        <v>886.74354745520873</v>
      </c>
      <c r="I10" s="14">
        <v>1434.0199977264554</v>
      </c>
      <c r="J10" s="14">
        <v>0</v>
      </c>
      <c r="K10" s="14">
        <v>23.049524103075424</v>
      </c>
      <c r="L10" s="14">
        <v>4.3384843675213808E-2</v>
      </c>
      <c r="M10" s="14">
        <v>3.5597264235512925E-2</v>
      </c>
      <c r="N10" s="14">
        <v>383.71130432534176</v>
      </c>
      <c r="O10" s="14">
        <v>106802.20444591562</v>
      </c>
      <c r="P10" s="8">
        <v>383.71130432534176</v>
      </c>
      <c r="Q10" s="54">
        <v>0.31128285977665043</v>
      </c>
    </row>
    <row r="11" spans="1:20">
      <c r="A11" s="2" t="s">
        <v>369</v>
      </c>
      <c r="B11" s="16" t="s">
        <v>370</v>
      </c>
      <c r="D11" s="14">
        <v>1</v>
      </c>
      <c r="E11" s="14">
        <v>0.28893135769719186</v>
      </c>
      <c r="F11" s="14">
        <v>1.8253879539255264E-3</v>
      </c>
      <c r="G11" s="14">
        <v>1.9667596616431408E-13</v>
      </c>
      <c r="H11" s="14">
        <v>471.51463845284195</v>
      </c>
      <c r="I11" s="14">
        <v>3189.7097620857476</v>
      </c>
      <c r="J11" s="14">
        <v>0</v>
      </c>
      <c r="K11" s="14">
        <v>547.828749417067</v>
      </c>
      <c r="L11" s="14">
        <v>1.8253879539255266E-3</v>
      </c>
      <c r="M11" s="14">
        <v>1.4977308161958946E-3</v>
      </c>
      <c r="N11" s="14">
        <v>1959.4171995273116</v>
      </c>
      <c r="O11" s="14">
        <v>797286.85848766298</v>
      </c>
      <c r="P11" s="8">
        <v>1959.4171995273116</v>
      </c>
      <c r="Q11" s="54">
        <v>3.5575512689653345E-2</v>
      </c>
    </row>
    <row r="12" spans="1:20">
      <c r="A12" s="2" t="s">
        <v>371</v>
      </c>
      <c r="B12" s="16" t="s">
        <v>372</v>
      </c>
      <c r="D12" s="14">
        <v>1</v>
      </c>
      <c r="E12" s="14">
        <v>0.92091991531339989</v>
      </c>
      <c r="F12" s="14">
        <v>0.9212752071043987</v>
      </c>
      <c r="G12" s="14">
        <v>8.3005178211321767E-4</v>
      </c>
      <c r="H12" s="14">
        <v>7.3315883497135411E-3</v>
      </c>
      <c r="I12" s="14">
        <v>3.3647097203492425E-2</v>
      </c>
      <c r="J12" s="14">
        <v>0</v>
      </c>
      <c r="K12" s="14">
        <v>1.0854519825221782</v>
      </c>
      <c r="L12" s="14">
        <v>0.92127520710439881</v>
      </c>
      <c r="M12" s="14">
        <v>0.75590630742915921</v>
      </c>
      <c r="N12" s="14">
        <v>0.57395358240370076</v>
      </c>
      <c r="O12" s="14">
        <v>80.462552717174816</v>
      </c>
      <c r="P12" s="8">
        <v>0.57395358240370076</v>
      </c>
      <c r="Q12" s="54">
        <v>2.8232387275879968E-3</v>
      </c>
    </row>
    <row r="13" spans="1:20">
      <c r="A13" s="2" t="s">
        <v>293</v>
      </c>
      <c r="B13" s="16" t="s">
        <v>294</v>
      </c>
      <c r="D13" s="14">
        <v>1</v>
      </c>
      <c r="E13" s="14">
        <v>0.63968543311084347</v>
      </c>
      <c r="F13" s="14">
        <v>0.61915988186397053</v>
      </c>
      <c r="G13" s="14">
        <v>2.2892398452466884E-10</v>
      </c>
      <c r="H13" s="14">
        <v>46.974569502304568</v>
      </c>
      <c r="I13" s="14">
        <v>111.56294740863042</v>
      </c>
      <c r="J13" s="14">
        <v>0</v>
      </c>
      <c r="K13" s="14">
        <v>1.6150917223343293</v>
      </c>
      <c r="L13" s="14">
        <v>0.61915988186397053</v>
      </c>
      <c r="M13" s="14">
        <v>0.50802068306938786</v>
      </c>
      <c r="N13" s="14">
        <v>28.902021024526825</v>
      </c>
      <c r="O13" s="14">
        <v>9548.0716656626828</v>
      </c>
      <c r="P13" s="8">
        <v>28.902021024526825</v>
      </c>
      <c r="Q13" s="54">
        <v>0.23665734037468586</v>
      </c>
    </row>
    <row r="14" spans="1:20">
      <c r="A14" s="2" t="s">
        <v>373</v>
      </c>
      <c r="B14" s="16" t="s">
        <v>374</v>
      </c>
      <c r="D14" s="14">
        <v>1</v>
      </c>
      <c r="E14" s="14">
        <v>0.93525318024396409</v>
      </c>
      <c r="F14" s="14">
        <v>7.6658165378408874E-2</v>
      </c>
      <c r="G14" s="14">
        <v>8.2657332164183477E-9</v>
      </c>
      <c r="H14" s="14">
        <v>2436.567355176644</v>
      </c>
      <c r="I14" s="14">
        <v>35.343185247260685</v>
      </c>
      <c r="J14" s="14">
        <v>0</v>
      </c>
      <c r="K14" s="14">
        <v>13.044924765205177</v>
      </c>
      <c r="L14" s="14">
        <v>7.6658165378408874E-2</v>
      </c>
      <c r="M14" s="14">
        <v>6.2898024692984486E-2</v>
      </c>
      <c r="N14" s="14">
        <v>172.51937353976422</v>
      </c>
      <c r="O14" s="14">
        <v>45948.809948580798</v>
      </c>
      <c r="P14" s="8">
        <v>172.51937353976422</v>
      </c>
      <c r="Q14" s="54">
        <v>4.5762072732128739E-3</v>
      </c>
    </row>
    <row r="15" spans="1:20">
      <c r="A15" s="2" t="s">
        <v>375</v>
      </c>
      <c r="B15" s="16" t="s">
        <v>376</v>
      </c>
      <c r="D15" s="14">
        <v>1</v>
      </c>
      <c r="E15" s="14">
        <v>0.78201936109862125</v>
      </c>
      <c r="F15" s="14">
        <v>0.77973439615692863</v>
      </c>
      <c r="G15" s="14">
        <v>9.6426228409937208E-4</v>
      </c>
      <c r="H15" s="14">
        <v>5.6385403485555834</v>
      </c>
      <c r="I15" s="14">
        <v>15.922962169860318</v>
      </c>
      <c r="J15" s="14">
        <v>0</v>
      </c>
      <c r="K15" s="14">
        <v>1.2824879919735399</v>
      </c>
      <c r="L15" s="14">
        <v>0.77973439615692863</v>
      </c>
      <c r="M15" s="14">
        <v>0.6397720720467599</v>
      </c>
      <c r="N15" s="14">
        <v>4.4731307802379865</v>
      </c>
      <c r="O15" s="14">
        <v>668.2857385675552</v>
      </c>
      <c r="P15" s="8">
        <v>4.4731307802379865</v>
      </c>
      <c r="Q15" s="54">
        <v>8.7543491438435761E-2</v>
      </c>
    </row>
    <row r="16" spans="1:20">
      <c r="A16" s="2" t="s">
        <v>377</v>
      </c>
      <c r="B16" s="16" t="s">
        <v>378</v>
      </c>
      <c r="D16" s="14">
        <v>1</v>
      </c>
      <c r="E16" s="14">
        <v>0.61596011033626619</v>
      </c>
      <c r="F16" s="14">
        <v>0.59200962006251279</v>
      </c>
      <c r="G16" s="14">
        <v>8.9268297412301346E-6</v>
      </c>
      <c r="H16" s="14">
        <v>54.861637221267316</v>
      </c>
      <c r="I16" s="14">
        <v>128.38844379231128</v>
      </c>
      <c r="J16" s="14">
        <v>0</v>
      </c>
      <c r="K16" s="14">
        <v>1.6891617401325434</v>
      </c>
      <c r="L16" s="14">
        <v>0.59200962006251279</v>
      </c>
      <c r="M16" s="14">
        <v>0.48574389326129175</v>
      </c>
      <c r="N16" s="14">
        <v>33.239911377692998</v>
      </c>
      <c r="O16" s="14">
        <v>7387.2379045784919</v>
      </c>
      <c r="P16" s="8">
        <v>33.239911377692998</v>
      </c>
      <c r="Q16" s="54">
        <v>0.25114580871577985</v>
      </c>
    </row>
    <row r="17" spans="1:21">
      <c r="A17" s="2" t="s">
        <v>379</v>
      </c>
      <c r="B17" s="16" t="s">
        <v>380</v>
      </c>
      <c r="D17" s="14">
        <v>1</v>
      </c>
      <c r="E17" s="14">
        <v>0.62951278726570337</v>
      </c>
      <c r="F17" s="14">
        <v>0.60780039106606853</v>
      </c>
      <c r="G17" s="14">
        <v>2.6413713497915501E-5</v>
      </c>
      <c r="H17" s="14">
        <v>49.705102666419357</v>
      </c>
      <c r="I17" s="14">
        <v>117.39731005092156</v>
      </c>
      <c r="J17" s="14">
        <v>0</v>
      </c>
      <c r="K17" s="14">
        <v>1.6452769933991356</v>
      </c>
      <c r="L17" s="14">
        <v>0.60780039106606853</v>
      </c>
      <c r="M17" s="14">
        <v>0.49870022086970928</v>
      </c>
      <c r="N17" s="14">
        <v>30.404807122173043</v>
      </c>
      <c r="O17" s="14">
        <v>3908.8420036265666</v>
      </c>
      <c r="P17" s="8">
        <v>30.404807122173047</v>
      </c>
      <c r="Q17" s="54">
        <v>0.24157842524534306</v>
      </c>
    </row>
    <row r="18" spans="1:21">
      <c r="A18" s="2" t="s">
        <v>381</v>
      </c>
      <c r="B18" s="16" t="s">
        <v>382</v>
      </c>
      <c r="D18" s="14">
        <v>1</v>
      </c>
      <c r="E18" s="14">
        <v>0.2712178398202747</v>
      </c>
      <c r="F18" s="14">
        <v>1.9651514302729944E-3</v>
      </c>
      <c r="G18" s="14">
        <v>1.3999886328962848E-9</v>
      </c>
      <c r="H18" s="14">
        <v>206.29847699116516</v>
      </c>
      <c r="I18" s="14">
        <v>5175.5104826332563</v>
      </c>
      <c r="J18" s="14">
        <v>0</v>
      </c>
      <c r="K18" s="14">
        <v>508.86663724488767</v>
      </c>
      <c r="L18" s="14">
        <v>1.9651514302729944E-3</v>
      </c>
      <c r="M18" s="14">
        <v>1.6124067485389919E-3</v>
      </c>
      <c r="N18" s="14">
        <v>1439.015526197019</v>
      </c>
      <c r="O18" s="14">
        <v>563072.38524563157</v>
      </c>
      <c r="P18" s="8">
        <v>1439.015526197019</v>
      </c>
      <c r="Q18" s="54">
        <v>0.16555915173052121</v>
      </c>
    </row>
    <row r="19" spans="1:21">
      <c r="A19" s="2" t="s">
        <v>383</v>
      </c>
      <c r="B19" s="16" t="s">
        <v>384</v>
      </c>
      <c r="D19" s="14">
        <v>1</v>
      </c>
      <c r="E19" s="14">
        <v>0.91065747005471642</v>
      </c>
      <c r="F19" s="14">
        <v>0.91016961103659844</v>
      </c>
      <c r="G19" s="14">
        <v>1.3129579547534054E-4</v>
      </c>
      <c r="H19" s="14">
        <v>1.7931735782949854</v>
      </c>
      <c r="I19" s="14">
        <v>5.5728775657150136</v>
      </c>
      <c r="J19" s="14">
        <v>0</v>
      </c>
      <c r="K19" s="14">
        <v>1.0986963175589801</v>
      </c>
      <c r="L19" s="14">
        <v>0.91016961103659855</v>
      </c>
      <c r="M19" s="14">
        <v>0.74679416585552905</v>
      </c>
      <c r="N19" s="14">
        <v>1.9421791595545141</v>
      </c>
      <c r="O19" s="14">
        <v>180.87514512931187</v>
      </c>
      <c r="P19" s="8">
        <v>1.9421791595545141</v>
      </c>
      <c r="Q19" s="54">
        <v>5.1889501904552437E-2</v>
      </c>
    </row>
    <row r="20" spans="1:21">
      <c r="A20" s="2" t="s">
        <v>385</v>
      </c>
      <c r="B20" s="16" t="s">
        <v>386</v>
      </c>
      <c r="D20" s="14">
        <v>1</v>
      </c>
      <c r="E20" s="14">
        <v>0.87464089496234887</v>
      </c>
      <c r="F20" s="14">
        <v>0.87348739447152135</v>
      </c>
      <c r="G20" s="14">
        <v>2.4653871590488597E-4</v>
      </c>
      <c r="H20" s="14">
        <v>3.2155601801649012</v>
      </c>
      <c r="I20" s="14">
        <v>9.5436348131322646</v>
      </c>
      <c r="J20" s="14">
        <v>0</v>
      </c>
      <c r="K20" s="14">
        <v>1.1448362120955637</v>
      </c>
      <c r="L20" s="14">
        <v>0.87348739447152135</v>
      </c>
      <c r="M20" s="14">
        <v>0.71669640716388328</v>
      </c>
      <c r="N20" s="14">
        <v>2.9173646993307485</v>
      </c>
      <c r="O20" s="14">
        <v>324.17756538963278</v>
      </c>
      <c r="P20" s="8">
        <v>2.9173646993307485</v>
      </c>
      <c r="Q20" s="54">
        <v>6.8978510595384429E-2</v>
      </c>
    </row>
    <row r="21" spans="1:21">
      <c r="A21" s="2" t="s">
        <v>387</v>
      </c>
      <c r="B21" s="16" t="s">
        <v>388</v>
      </c>
      <c r="D21" s="14">
        <v>1</v>
      </c>
      <c r="E21" s="14">
        <v>0.70217591304840743</v>
      </c>
      <c r="F21" s="14">
        <v>0.39620967482084579</v>
      </c>
      <c r="G21" s="14">
        <v>7.6996462066224441E-5</v>
      </c>
      <c r="H21" s="14">
        <v>836.30573719051006</v>
      </c>
      <c r="I21" s="14">
        <v>312.49700089696518</v>
      </c>
      <c r="J21" s="14">
        <v>0</v>
      </c>
      <c r="K21" s="14">
        <v>2.5239161574037032</v>
      </c>
      <c r="L21" s="14">
        <v>0.39620967482084585</v>
      </c>
      <c r="M21" s="14">
        <v>0.32509003819050403</v>
      </c>
      <c r="N21" s="14">
        <v>106.12594231436385</v>
      </c>
      <c r="O21" s="14">
        <v>20954.567309971142</v>
      </c>
      <c r="P21" s="8">
        <v>106.12594231436387</v>
      </c>
      <c r="Q21" s="54">
        <v>0.17228435990490396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0.90479849592994377</v>
      </c>
      <c r="F22" s="14">
        <v>0.90501139663673069</v>
      </c>
      <c r="G22" s="14">
        <v>7.2677927757705042E-4</v>
      </c>
      <c r="H22" s="14">
        <v>0.28732541868957762</v>
      </c>
      <c r="I22" s="14">
        <v>1.0214831780572928</v>
      </c>
      <c r="J22" s="14">
        <v>0</v>
      </c>
      <c r="K22" s="14">
        <v>1.1049584609832237</v>
      </c>
      <c r="L22" s="14">
        <v>0.9050113966367308</v>
      </c>
      <c r="M22" s="14">
        <v>0.74256185094043758</v>
      </c>
      <c r="N22" s="14">
        <v>0.80540196576728973</v>
      </c>
      <c r="O22" s="14">
        <v>46.777746171764186</v>
      </c>
      <c r="P22" s="8">
        <v>0.80540196576728984</v>
      </c>
      <c r="Q22" s="54">
        <v>1.9926508968646218E-2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0.75536358687448069</v>
      </c>
      <c r="F23" s="14">
        <v>0.75115723492638875</v>
      </c>
      <c r="G23" s="14">
        <v>7.9326691657065677E-4</v>
      </c>
      <c r="H23" s="14">
        <v>9.8989892950520808</v>
      </c>
      <c r="I23" s="14">
        <v>26.745333973276555</v>
      </c>
      <c r="J23" s="14">
        <v>0</v>
      </c>
      <c r="K23" s="14">
        <v>1.3312791962897048</v>
      </c>
      <c r="L23" s="14">
        <v>0.75115723492638886</v>
      </c>
      <c r="M23" s="14">
        <v>0.61632451125710208</v>
      </c>
      <c r="N23" s="14">
        <v>7.2030165145682048</v>
      </c>
      <c r="O23" s="14">
        <v>771.8032195359832</v>
      </c>
      <c r="P23" s="8">
        <v>7.2030165145682048</v>
      </c>
      <c r="Q23" s="54">
        <v>0.1153049695325539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0.54178134675863254</v>
      </c>
      <c r="F24" s="14">
        <v>0.50387051030501473</v>
      </c>
      <c r="G24" s="14">
        <v>2.8985942684800854E-5</v>
      </c>
      <c r="H24" s="14">
        <v>87.248695322086391</v>
      </c>
      <c r="I24" s="14">
        <v>194.99169397979568</v>
      </c>
      <c r="J24" s="14">
        <v>0</v>
      </c>
      <c r="K24" s="14">
        <v>1.9846368849700224</v>
      </c>
      <c r="L24" s="14">
        <v>0.50387051030501473</v>
      </c>
      <c r="M24" s="14">
        <v>0.41342575370526458</v>
      </c>
      <c r="N24" s="14">
        <v>50.493365450882862</v>
      </c>
      <c r="O24" s="14">
        <v>8180.9350703520422</v>
      </c>
      <c r="P24" s="8">
        <v>50.49336545088287</v>
      </c>
      <c r="Q24" s="54">
        <v>0.29608479963556106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0.27451043900123651</v>
      </c>
      <c r="F25" s="14">
        <v>2.7851471104973361E-3</v>
      </c>
      <c r="G25" s="14">
        <v>6.55385195814429E-6</v>
      </c>
      <c r="H25" s="14">
        <v>250.18895860451318</v>
      </c>
      <c r="I25" s="14">
        <v>4834.2077488704426</v>
      </c>
      <c r="J25" s="14">
        <v>0</v>
      </c>
      <c r="K25" s="14">
        <v>359.04746152580526</v>
      </c>
      <c r="L25" s="14">
        <v>2.7851471104973361E-3</v>
      </c>
      <c r="M25" s="14">
        <v>2.2852132041630644E-3</v>
      </c>
      <c r="N25" s="14">
        <v>1339.1966988632328</v>
      </c>
      <c r="O25" s="14">
        <v>312555.11754768988</v>
      </c>
      <c r="P25" s="8">
        <v>1339.196698863233</v>
      </c>
      <c r="Q25" s="54">
        <v>0.18557749586552705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0.30599158009598243</v>
      </c>
      <c r="F26" s="14">
        <v>0.22833815445070499</v>
      </c>
      <c r="G26" s="14">
        <v>2.4666468400778162E-3</v>
      </c>
      <c r="H26" s="14">
        <v>181.75170202847607</v>
      </c>
      <c r="I26" s="14">
        <v>363.02426709761761</v>
      </c>
      <c r="J26" s="14">
        <v>0</v>
      </c>
      <c r="K26" s="14">
        <v>4.3794695739992324</v>
      </c>
      <c r="L26" s="14">
        <v>0.22833815445070499</v>
      </c>
      <c r="M26" s="14">
        <v>0.18735145572680345</v>
      </c>
      <c r="N26" s="14">
        <v>94.727989606019989</v>
      </c>
      <c r="O26" s="14">
        <v>12141.286427803581</v>
      </c>
      <c r="P26" s="8">
        <v>94.727989606019989</v>
      </c>
      <c r="Q26" s="54">
        <v>0.29712257985783919</v>
      </c>
    </row>
    <row r="27" spans="1:21">
      <c r="A27" s="2" t="s">
        <v>397</v>
      </c>
      <c r="B27" s="16" t="s">
        <v>398</v>
      </c>
      <c r="D27" s="14">
        <v>1</v>
      </c>
      <c r="E27" s="14">
        <v>6.2923106438048174E-2</v>
      </c>
      <c r="F27" s="14">
        <v>2.1918151393652777E-2</v>
      </c>
      <c r="G27" s="14">
        <v>9.0880856228014763E-3</v>
      </c>
      <c r="H27" s="14">
        <v>97.958905114721745</v>
      </c>
      <c r="I27" s="14">
        <v>172.30627476239454</v>
      </c>
      <c r="J27" s="14">
        <v>0</v>
      </c>
      <c r="K27" s="14">
        <v>45.624285645256897</v>
      </c>
      <c r="L27" s="14">
        <v>2.1918151393652781E-2</v>
      </c>
      <c r="M27" s="14">
        <v>1.7983843218492106E-2</v>
      </c>
      <c r="N27" s="14">
        <v>45.539829680245511</v>
      </c>
      <c r="O27" s="14">
        <v>8263.2020954805485</v>
      </c>
      <c r="P27" s="8">
        <v>45.539829680245518</v>
      </c>
      <c r="Q27" s="54">
        <v>7.0097268197648208E-2</v>
      </c>
    </row>
    <row r="28" spans="1:21">
      <c r="A28" s="2" t="s">
        <v>399</v>
      </c>
      <c r="B28" s="16" t="s">
        <v>400</v>
      </c>
      <c r="D28" s="14">
        <v>1</v>
      </c>
      <c r="E28" s="14">
        <v>4.8709039371647972E-2</v>
      </c>
      <c r="F28" s="14">
        <v>3.3160429381996176E-2</v>
      </c>
      <c r="G28" s="14">
        <v>9.6589214251591397E-3</v>
      </c>
      <c r="H28" s="14">
        <v>36.534245722503044</v>
      </c>
      <c r="I28" s="14">
        <v>71.245479906226322</v>
      </c>
      <c r="J28" s="14">
        <v>0</v>
      </c>
      <c r="K28" s="14">
        <v>30.156424950966738</v>
      </c>
      <c r="L28" s="14">
        <v>3.3160429381996176E-2</v>
      </c>
      <c r="M28" s="14">
        <v>2.7208132307927867E-2</v>
      </c>
      <c r="N28" s="14">
        <v>18.632576383539895</v>
      </c>
      <c r="O28" s="14">
        <v>2738.9887283803646</v>
      </c>
      <c r="P28" s="8">
        <v>18.632576383539895</v>
      </c>
      <c r="Q28" s="54">
        <v>5.1116053521933061E-2</v>
      </c>
    </row>
    <row r="29" spans="1:21">
      <c r="A29" s="2" t="s">
        <v>297</v>
      </c>
      <c r="B29" s="16" t="s">
        <v>298</v>
      </c>
      <c r="D29" s="14">
        <v>1</v>
      </c>
      <c r="E29" s="14">
        <v>5.9556498866384026E-2</v>
      </c>
      <c r="F29" s="14">
        <v>5.9449681384312107E-2</v>
      </c>
      <c r="G29" s="14">
        <v>1.0360435685082374E-2</v>
      </c>
      <c r="H29" s="14">
        <v>0.28102796036642735</v>
      </c>
      <c r="I29" s="14">
        <v>0.81885442861725422</v>
      </c>
      <c r="J29" s="14">
        <v>0</v>
      </c>
      <c r="K29" s="14">
        <v>16.820948013758155</v>
      </c>
      <c r="L29" s="14">
        <v>5.9449681384312114E-2</v>
      </c>
      <c r="M29" s="14">
        <v>4.8778463575828088E-2</v>
      </c>
      <c r="N29" s="14">
        <v>0.24121226380333491</v>
      </c>
      <c r="O29" s="14">
        <v>20.486157564817237</v>
      </c>
      <c r="P29" s="8">
        <v>0.24121226380333494</v>
      </c>
      <c r="Q29" s="54">
        <v>5.3481884550061736E-3</v>
      </c>
    </row>
    <row r="30" spans="1:21">
      <c r="A30" s="2" t="s">
        <v>401</v>
      </c>
      <c r="B30" s="16" t="s">
        <v>402</v>
      </c>
      <c r="D30" s="14">
        <v>1</v>
      </c>
      <c r="E30" s="14">
        <v>1.808226914163779E-2</v>
      </c>
      <c r="F30" s="14">
        <v>1.2597428031509966E-2</v>
      </c>
      <c r="G30" s="14">
        <v>1.0578165893516792E-2</v>
      </c>
      <c r="H30" s="14">
        <v>12.876027214545871</v>
      </c>
      <c r="I30" s="14">
        <v>25.248702008047584</v>
      </c>
      <c r="J30" s="14">
        <v>0</v>
      </c>
      <c r="K30" s="14">
        <v>79.381283028464111</v>
      </c>
      <c r="L30" s="14">
        <v>1.2597428031509966E-2</v>
      </c>
      <c r="M30" s="14">
        <v>1.0336189699853927E-2</v>
      </c>
      <c r="N30" s="14">
        <v>6.5997226839685021</v>
      </c>
      <c r="O30" s="14">
        <v>1094.4320126824969</v>
      </c>
      <c r="P30" s="8">
        <v>6.599722683968503</v>
      </c>
      <c r="Q30" s="54">
        <v>1.8674073193525525E-2</v>
      </c>
    </row>
    <row r="31" spans="1:21">
      <c r="A31" s="2" t="s">
        <v>299</v>
      </c>
      <c r="B31" s="16" t="s">
        <v>300</v>
      </c>
      <c r="D31" s="14">
        <v>1</v>
      </c>
      <c r="E31" s="14">
        <v>5.3652460391581897E-4</v>
      </c>
      <c r="F31" s="14">
        <v>4.4986339629709984E-4</v>
      </c>
      <c r="G31" s="14">
        <v>1.1097601999459654E-2</v>
      </c>
      <c r="H31" s="14">
        <v>0.20146548686542415</v>
      </c>
      <c r="I31" s="14">
        <v>0.41981488069475736</v>
      </c>
      <c r="J31" s="14">
        <v>0</v>
      </c>
      <c r="K31" s="14">
        <v>2222.8970132515014</v>
      </c>
      <c r="L31" s="14">
        <v>4.498633962970999E-4</v>
      </c>
      <c r="M31" s="14">
        <v>3.6911291666177047E-4</v>
      </c>
      <c r="N31" s="14">
        <v>0.10915391152236814</v>
      </c>
      <c r="O31" s="14">
        <v>8.9659022924473195</v>
      </c>
      <c r="P31" s="8">
        <v>0.10915391152236814</v>
      </c>
      <c r="Q31" s="54">
        <v>4.3376831804961373E-4</v>
      </c>
    </row>
    <row r="32" spans="1:21">
      <c r="A32" s="2" t="s">
        <v>343</v>
      </c>
      <c r="B32" s="16" t="s">
        <v>344</v>
      </c>
      <c r="D32" s="14">
        <v>1</v>
      </c>
      <c r="E32" s="14">
        <v>0.66383266762290039</v>
      </c>
      <c r="F32" s="14">
        <v>0.64670613484667527</v>
      </c>
      <c r="G32" s="14">
        <v>2.5006647285526178E-5</v>
      </c>
      <c r="H32" s="14">
        <v>39.176621507013394</v>
      </c>
      <c r="I32" s="14">
        <v>94.598478547529496</v>
      </c>
      <c r="J32" s="14">
        <v>0</v>
      </c>
      <c r="K32" s="14">
        <v>1.5462973769950175</v>
      </c>
      <c r="L32" s="14">
        <v>0.64670613484667527</v>
      </c>
      <c r="M32" s="14">
        <v>0.53062238364169712</v>
      </c>
      <c r="N32" s="14">
        <v>24.537993982476063</v>
      </c>
      <c r="O32" s="14">
        <v>4029.138611922569</v>
      </c>
      <c r="P32" s="8">
        <v>24.537993982476063</v>
      </c>
      <c r="Q32" s="54">
        <v>0.21982857849672086</v>
      </c>
    </row>
    <row r="33" spans="1:17">
      <c r="A33" s="2" t="s">
        <v>345</v>
      </c>
      <c r="B33" s="16" t="s">
        <v>346</v>
      </c>
      <c r="D33" s="14">
        <v>1</v>
      </c>
      <c r="E33" s="14">
        <v>0.76612644239617655</v>
      </c>
      <c r="F33" s="14">
        <v>0.7586161351872176</v>
      </c>
      <c r="G33" s="14">
        <v>9.8862266605125206E-7</v>
      </c>
      <c r="H33" s="14">
        <v>17.330140177181722</v>
      </c>
      <c r="I33" s="14">
        <v>44.963410609492819</v>
      </c>
      <c r="J33" s="14">
        <v>0</v>
      </c>
      <c r="K33" s="14">
        <v>1.3181897320879046</v>
      </c>
      <c r="L33" s="14">
        <v>0.7586161351872176</v>
      </c>
      <c r="M33" s="14">
        <v>0.62244453892111207</v>
      </c>
      <c r="N33" s="14">
        <v>11.850292281826308</v>
      </c>
      <c r="O33" s="14">
        <v>1791.2901813208646</v>
      </c>
      <c r="P33" s="8">
        <v>11.850292281826308</v>
      </c>
      <c r="Q33" s="54">
        <v>0.15511694626610004</v>
      </c>
    </row>
    <row r="34" spans="1:17">
      <c r="A34" s="2" t="s">
        <v>347</v>
      </c>
      <c r="B34" s="16" t="s">
        <v>348</v>
      </c>
      <c r="D34" s="14">
        <v>1</v>
      </c>
      <c r="E34" s="14">
        <v>0.40443749330177686</v>
      </c>
      <c r="F34" s="14">
        <v>0.31273603981548975</v>
      </c>
      <c r="G34" s="14">
        <v>1.4399467106039597E-6</v>
      </c>
      <c r="H34" s="14">
        <v>214.2485702324087</v>
      </c>
      <c r="I34" s="14">
        <v>432.68825140731855</v>
      </c>
      <c r="J34" s="14">
        <v>0</v>
      </c>
      <c r="K34" s="14">
        <v>3.1975847765738385</v>
      </c>
      <c r="L34" s="14">
        <v>0.31273603981548981</v>
      </c>
      <c r="M34" s="14">
        <v>0.25659992066860937</v>
      </c>
      <c r="N34" s="14">
        <v>112.79448150540257</v>
      </c>
      <c r="O34" s="14">
        <v>19880.027365327202</v>
      </c>
      <c r="P34" s="8">
        <v>112.79448150540257</v>
      </c>
      <c r="Q34" s="54">
        <v>0.37633542685320609</v>
      </c>
    </row>
    <row r="35" spans="1:17">
      <c r="A35" s="2" t="s">
        <v>349</v>
      </c>
      <c r="B35" s="16" t="s">
        <v>350</v>
      </c>
      <c r="D35" s="14">
        <v>1</v>
      </c>
      <c r="E35" s="14">
        <v>0.35258567362005683</v>
      </c>
      <c r="F35" s="14">
        <v>7.1552056058855132E-2</v>
      </c>
      <c r="G35" s="14">
        <v>5.0593020160350931E-4</v>
      </c>
      <c r="H35" s="14">
        <v>677.11450582896146</v>
      </c>
      <c r="I35" s="14">
        <v>1126.9879916808916</v>
      </c>
      <c r="J35" s="14">
        <v>0</v>
      </c>
      <c r="K35" s="14">
        <v>13.975838782011381</v>
      </c>
      <c r="L35" s="14">
        <v>7.1552056058855132E-2</v>
      </c>
      <c r="M35" s="14">
        <v>5.8708461996290637E-2</v>
      </c>
      <c r="N35" s="14">
        <v>299.62937121292231</v>
      </c>
      <c r="O35" s="14">
        <v>57618.728084244962</v>
      </c>
      <c r="P35" s="8">
        <v>299.62937121292231</v>
      </c>
      <c r="Q35" s="54">
        <v>0.33831346916795763</v>
      </c>
    </row>
    <row r="36" spans="1:17">
      <c r="A36" s="2" t="s">
        <v>351</v>
      </c>
      <c r="B36" s="16" t="s">
        <v>352</v>
      </c>
      <c r="D36" s="14">
        <v>1</v>
      </c>
      <c r="E36" s="14">
        <v>0.33219765911185367</v>
      </c>
      <c r="F36" s="14">
        <v>1.6799818500988772E-2</v>
      </c>
      <c r="G36" s="14">
        <v>1.4478150189476157E-5</v>
      </c>
      <c r="H36" s="14">
        <v>613.31641691046877</v>
      </c>
      <c r="I36" s="14">
        <v>2621.4510980613168</v>
      </c>
      <c r="J36" s="14">
        <v>0</v>
      </c>
      <c r="K36" s="14">
        <v>59.524452596981547</v>
      </c>
      <c r="L36" s="14">
        <v>1.6799818500988776E-2</v>
      </c>
      <c r="M36" s="14">
        <v>1.378425108006129E-2</v>
      </c>
      <c r="N36" s="14">
        <v>711.00899006455245</v>
      </c>
      <c r="O36" s="14">
        <v>158107.06912065452</v>
      </c>
      <c r="P36" s="8">
        <v>711.00899006455245</v>
      </c>
      <c r="Q36" s="54">
        <v>0.2886301935288475</v>
      </c>
    </row>
    <row r="37" spans="1:17">
      <c r="A37" s="2" t="s">
        <v>353</v>
      </c>
      <c r="B37" s="16" t="s">
        <v>354</v>
      </c>
      <c r="D37" s="14">
        <v>1</v>
      </c>
      <c r="E37" s="14">
        <v>0.27002139147159931</v>
      </c>
      <c r="F37" s="14">
        <v>2.1514980575170904E-3</v>
      </c>
      <c r="G37" s="14">
        <v>8.2256352188747953E-5</v>
      </c>
      <c r="H37" s="14">
        <v>216.29224993432928</v>
      </c>
      <c r="I37" s="14">
        <v>5046.5912351892266</v>
      </c>
      <c r="J37" s="14">
        <v>0</v>
      </c>
      <c r="K37" s="14">
        <v>464.7924252155903</v>
      </c>
      <c r="L37" s="14">
        <v>2.1514980575170904E-3</v>
      </c>
      <c r="M37" s="14">
        <v>1.7653041561927728E-3</v>
      </c>
      <c r="N37" s="14">
        <v>1401.740977540526</v>
      </c>
      <c r="O37" s="14">
        <v>331357.54968080495</v>
      </c>
      <c r="P37" s="8">
        <v>1401.740977540526</v>
      </c>
      <c r="Q37" s="54">
        <v>0.16982363365501271</v>
      </c>
    </row>
    <row r="38" spans="1:17">
      <c r="A38" s="2" t="s">
        <v>355</v>
      </c>
      <c r="B38" s="16" t="s">
        <v>356</v>
      </c>
      <c r="D38" s="14">
        <v>1</v>
      </c>
      <c r="E38" s="14">
        <v>0.30013770962079656</v>
      </c>
      <c r="F38" s="14">
        <v>8.5353137929079018E-3</v>
      </c>
      <c r="G38" s="14">
        <v>5.0020494389080105E-6</v>
      </c>
      <c r="H38" s="14">
        <v>448.24916804367791</v>
      </c>
      <c r="I38" s="14">
        <v>3523.5193671086854</v>
      </c>
      <c r="J38" s="14">
        <v>0</v>
      </c>
      <c r="K38" s="14">
        <v>117.16030883725827</v>
      </c>
      <c r="L38" s="14">
        <v>8.5353137929079018E-3</v>
      </c>
      <c r="M38" s="14">
        <v>7.0032249670809333E-3</v>
      </c>
      <c r="N38" s="14">
        <v>963.86212847570403</v>
      </c>
      <c r="O38" s="14">
        <v>249061.97399812189</v>
      </c>
      <c r="P38" s="8">
        <v>963.86212847570414</v>
      </c>
      <c r="Q38" s="54">
        <v>0.25349924076425895</v>
      </c>
    </row>
    <row r="39" spans="1:17">
      <c r="A39" s="2" t="s">
        <v>357</v>
      </c>
      <c r="B39" s="16" t="s">
        <v>358</v>
      </c>
      <c r="D39" s="14">
        <v>1</v>
      </c>
      <c r="E39" s="14">
        <v>0.29308195732234238</v>
      </c>
      <c r="F39" s="14">
        <v>1.2698399873732984E-2</v>
      </c>
      <c r="G39" s="14">
        <v>9.9971794228434063E-4</v>
      </c>
      <c r="H39" s="14">
        <v>514.33845849778049</v>
      </c>
      <c r="I39" s="14">
        <v>2616.4122251304489</v>
      </c>
      <c r="J39" s="14">
        <v>0</v>
      </c>
      <c r="K39" s="14">
        <v>78.750079533133118</v>
      </c>
      <c r="L39" s="14">
        <v>1.2698399873732984E-2</v>
      </c>
      <c r="M39" s="14">
        <v>1.0419037096397915E-2</v>
      </c>
      <c r="N39" s="14">
        <v>711.37272073949248</v>
      </c>
      <c r="O39" s="14">
        <v>168161.39745560862</v>
      </c>
      <c r="P39" s="8">
        <v>711.37272073949248</v>
      </c>
      <c r="Q39" s="54">
        <v>0.25509748074992833</v>
      </c>
    </row>
    <row r="40" spans="1:17">
      <c r="A40" s="2" t="s">
        <v>359</v>
      </c>
      <c r="B40" s="16" t="s">
        <v>360</v>
      </c>
      <c r="D40" s="14">
        <v>1</v>
      </c>
      <c r="E40" s="14">
        <v>0.30013770962079656</v>
      </c>
      <c r="F40" s="14">
        <v>8.5353137929079018E-3</v>
      </c>
      <c r="G40" s="14">
        <v>5.0020494389080105E-6</v>
      </c>
      <c r="H40" s="14">
        <v>448.24916804367791</v>
      </c>
      <c r="I40" s="14">
        <v>3523.5193671086854</v>
      </c>
      <c r="J40" s="14">
        <v>0</v>
      </c>
      <c r="K40" s="14">
        <v>117.16030883725827</v>
      </c>
      <c r="L40" s="14">
        <v>8.5353137929079018E-3</v>
      </c>
      <c r="M40" s="14">
        <v>7.0032249670809333E-3</v>
      </c>
      <c r="N40" s="14">
        <v>963.86212847570403</v>
      </c>
      <c r="O40" s="14">
        <v>249061.97399812189</v>
      </c>
      <c r="P40" s="8">
        <v>963.86212847570414</v>
      </c>
      <c r="Q40" s="54">
        <v>0.25349924076425895</v>
      </c>
    </row>
    <row r="41" spans="1:17">
      <c r="A41" s="2" t="s">
        <v>313</v>
      </c>
      <c r="B41" s="16" t="s">
        <v>314</v>
      </c>
      <c r="D41" s="14">
        <v>1</v>
      </c>
      <c r="E41" s="14">
        <v>0.99938212875996468</v>
      </c>
      <c r="F41" s="14">
        <v>0.99503843040522044</v>
      </c>
      <c r="G41" s="14">
        <v>6.4769528234192534E-10</v>
      </c>
      <c r="H41" s="14">
        <v>13.44497052298334</v>
      </c>
      <c r="I41" s="14">
        <v>2.9623885445730851E-2</v>
      </c>
      <c r="J41" s="14">
        <v>0</v>
      </c>
      <c r="K41" s="14">
        <v>1.0049863095164666</v>
      </c>
      <c r="L41" s="14">
        <v>0.99503843040522044</v>
      </c>
      <c r="M41" s="14">
        <v>0.81642903214748341</v>
      </c>
      <c r="N41" s="14">
        <v>1.2812879315537571</v>
      </c>
      <c r="O41" s="14">
        <v>235.89792107836226</v>
      </c>
      <c r="P41" s="8">
        <v>1.2812879315537573</v>
      </c>
      <c r="Q41" s="54">
        <v>1.2642763665896513E-4</v>
      </c>
    </row>
    <row r="42" spans="1:17">
      <c r="A42" s="2" t="s">
        <v>315</v>
      </c>
      <c r="B42" s="16" t="s">
        <v>316</v>
      </c>
      <c r="D42" s="14">
        <v>1</v>
      </c>
      <c r="E42" s="14">
        <v>0.26834012643779148</v>
      </c>
      <c r="F42" s="14">
        <v>1.9443005062583717E-3</v>
      </c>
      <c r="G42" s="14">
        <v>1.1789404720949733E-4</v>
      </c>
      <c r="H42" s="14">
        <v>204.1095800940555</v>
      </c>
      <c r="I42" s="14">
        <v>5120.5965588776317</v>
      </c>
      <c r="J42" s="14">
        <v>0</v>
      </c>
      <c r="K42" s="14">
        <v>514.32378728554079</v>
      </c>
      <c r="L42" s="14">
        <v>1.9443005062583717E-3</v>
      </c>
      <c r="M42" s="14">
        <v>1.595298565384994E-3</v>
      </c>
      <c r="N42" s="14">
        <v>1423.7470827934346</v>
      </c>
      <c r="O42" s="14">
        <v>519539.54798215226</v>
      </c>
      <c r="P42" s="8">
        <v>1423.7470827934346</v>
      </c>
      <c r="Q42" s="54">
        <v>0.16380251290896283</v>
      </c>
    </row>
    <row r="43" spans="1:17">
      <c r="A43" s="2" t="s">
        <v>317</v>
      </c>
      <c r="B43" s="16" t="s">
        <v>318</v>
      </c>
      <c r="D43" s="14">
        <v>1</v>
      </c>
      <c r="E43" s="14">
        <v>0.52593453578449312</v>
      </c>
      <c r="F43" s="14">
        <v>0.48370958165224148</v>
      </c>
      <c r="G43" s="14">
        <v>6.6805647546572668E-14</v>
      </c>
      <c r="H43" s="14">
        <v>97.316098717626275</v>
      </c>
      <c r="I43" s="14">
        <v>215.10071849350828</v>
      </c>
      <c r="J43" s="14">
        <v>0</v>
      </c>
      <c r="K43" s="14">
        <v>2.0673561945666412</v>
      </c>
      <c r="L43" s="14">
        <v>0.48370958165224148</v>
      </c>
      <c r="M43" s="14">
        <v>0.39688371174566417</v>
      </c>
      <c r="N43" s="14">
        <v>55.723418053955513</v>
      </c>
      <c r="O43" s="14">
        <v>17682.155016881163</v>
      </c>
      <c r="P43" s="8">
        <v>55.723418053955513</v>
      </c>
      <c r="Q43" s="54">
        <v>0.30735611712677163</v>
      </c>
    </row>
    <row r="44" spans="1:17">
      <c r="A44" s="2" t="s">
        <v>307</v>
      </c>
      <c r="B44" s="16" t="s">
        <v>308</v>
      </c>
      <c r="D44" s="14">
        <v>1</v>
      </c>
      <c r="E44" s="14">
        <v>0.36569673232388694</v>
      </c>
      <c r="F44" s="14">
        <v>2.6965408526337206E-2</v>
      </c>
      <c r="G44" s="14">
        <v>5.1795912904817677E-6</v>
      </c>
      <c r="H44" s="14">
        <v>746.22020538066829</v>
      </c>
      <c r="I44" s="14">
        <v>2005.0452350335604</v>
      </c>
      <c r="J44" s="14">
        <v>0</v>
      </c>
      <c r="K44" s="14">
        <v>37.084548488234347</v>
      </c>
      <c r="L44" s="14">
        <v>2.6965408526337206E-2</v>
      </c>
      <c r="M44" s="14">
        <v>2.2125117695859679E-2</v>
      </c>
      <c r="N44" s="14">
        <v>540.30817388932837</v>
      </c>
      <c r="O44" s="14">
        <v>189426.64268385962</v>
      </c>
      <c r="P44" s="8">
        <v>540.30817388932837</v>
      </c>
      <c r="Q44" s="54">
        <v>0.30529815167237984</v>
      </c>
    </row>
    <row r="45" spans="1:17">
      <c r="A45" s="2" t="s">
        <v>319</v>
      </c>
      <c r="B45" s="16" t="s">
        <v>320</v>
      </c>
      <c r="D45" s="14">
        <v>1</v>
      </c>
      <c r="E45" s="14">
        <v>0.26773444211175956</v>
      </c>
      <c r="F45" s="14">
        <v>8.5708680819868697E-4</v>
      </c>
      <c r="G45" s="14">
        <v>3.7862849781407373E-7</v>
      </c>
      <c r="H45" s="14">
        <v>128.31718120856323</v>
      </c>
      <c r="I45" s="14">
        <v>5835.01506299635</v>
      </c>
      <c r="J45" s="14">
        <v>0</v>
      </c>
      <c r="K45" s="14">
        <v>1166.7429604962294</v>
      </c>
      <c r="L45" s="14">
        <v>8.5708680819868697E-4</v>
      </c>
      <c r="M45" s="14">
        <v>7.0323972612702269E-4</v>
      </c>
      <c r="N45" s="14">
        <v>1636.0113664205471</v>
      </c>
      <c r="O45" s="14">
        <v>579949.66928241972</v>
      </c>
      <c r="P45" s="8">
        <v>1636.0113664205471</v>
      </c>
      <c r="Q45" s="54">
        <v>0.12320887198914007</v>
      </c>
    </row>
    <row r="46" spans="1:17">
      <c r="A46" s="2" t="s">
        <v>321</v>
      </c>
      <c r="B46" s="16" t="s">
        <v>322</v>
      </c>
      <c r="D46" s="14">
        <v>1</v>
      </c>
      <c r="E46" s="14">
        <v>0.27035449775279902</v>
      </c>
      <c r="F46" s="14">
        <v>1.7452881306124761E-3</v>
      </c>
      <c r="G46" s="14">
        <v>5.687948071563559E-7</v>
      </c>
      <c r="H46" s="14">
        <v>192.98659123048787</v>
      </c>
      <c r="I46" s="14">
        <v>5281.8286249151715</v>
      </c>
      <c r="J46" s="14">
        <v>0</v>
      </c>
      <c r="K46" s="14">
        <v>572.97129480223339</v>
      </c>
      <c r="L46" s="14">
        <v>1.7452881306124764E-3</v>
      </c>
      <c r="M46" s="14">
        <v>1.4320089111675368E-3</v>
      </c>
      <c r="N46" s="14">
        <v>1470.3741297394517</v>
      </c>
      <c r="O46" s="14">
        <v>521232.92525133828</v>
      </c>
      <c r="P46" s="8">
        <v>1470.374129739452</v>
      </c>
      <c r="Q46" s="54">
        <v>0.15899530710741833</v>
      </c>
    </row>
    <row r="47" spans="1:17">
      <c r="A47" s="2" t="s">
        <v>323</v>
      </c>
      <c r="B47" s="16" t="s">
        <v>324</v>
      </c>
      <c r="D47" s="14">
        <v>1</v>
      </c>
      <c r="E47" s="14">
        <v>0.28023552951936614</v>
      </c>
      <c r="F47" s="14">
        <v>4.0565960917997206E-3</v>
      </c>
      <c r="G47" s="14">
        <v>5.6054470641133908E-6</v>
      </c>
      <c r="H47" s="14">
        <v>306.46562455416984</v>
      </c>
      <c r="I47" s="14">
        <v>4430.3591975749396</v>
      </c>
      <c r="J47" s="14">
        <v>0</v>
      </c>
      <c r="K47" s="14">
        <v>246.51209471444989</v>
      </c>
      <c r="L47" s="14">
        <v>4.0565960917997206E-3</v>
      </c>
      <c r="M47" s="14">
        <v>3.3284370933216712E-3</v>
      </c>
      <c r="N47" s="14">
        <v>1222.3308005904116</v>
      </c>
      <c r="O47" s="14">
        <v>391194.74942095537</v>
      </c>
      <c r="P47" s="8">
        <v>1222.3308005904116</v>
      </c>
      <c r="Q47" s="54">
        <v>0.20827586109137769</v>
      </c>
    </row>
    <row r="48" spans="1:17">
      <c r="A48" s="2" t="s">
        <v>325</v>
      </c>
      <c r="B48" s="16" t="s">
        <v>326</v>
      </c>
      <c r="D48" s="14">
        <v>1</v>
      </c>
      <c r="E48" s="14">
        <v>0.34325174408858411</v>
      </c>
      <c r="F48" s="14">
        <v>0.15609178409902782</v>
      </c>
      <c r="G48" s="14">
        <v>2.9509953980221565E-6</v>
      </c>
      <c r="H48" s="14">
        <v>444.77466838129629</v>
      </c>
      <c r="I48" s="14">
        <v>808.71819703668882</v>
      </c>
      <c r="J48" s="14">
        <v>0</v>
      </c>
      <c r="K48" s="14">
        <v>6.4064870920149106</v>
      </c>
      <c r="L48" s="14">
        <v>0.15609178409902782</v>
      </c>
      <c r="M48" s="14">
        <v>0.12807330885325233</v>
      </c>
      <c r="N48" s="14">
        <v>212.99626676425049</v>
      </c>
      <c r="O48" s="14">
        <v>64825.41378969964</v>
      </c>
      <c r="P48" s="8">
        <v>212.99626676425049</v>
      </c>
      <c r="Q48" s="54">
        <v>0.39481824646764369</v>
      </c>
    </row>
    <row r="49" spans="1:17">
      <c r="A49" s="2" t="s">
        <v>275</v>
      </c>
      <c r="B49" s="16" t="s">
        <v>276</v>
      </c>
      <c r="D49" s="14">
        <v>1</v>
      </c>
      <c r="E49" s="14">
        <v>0.35909356685864774</v>
      </c>
      <c r="F49" s="14">
        <v>2.4761407205604963E-2</v>
      </c>
      <c r="G49" s="14">
        <v>6.5708841448007361E-8</v>
      </c>
      <c r="H49" s="14">
        <v>721.76417558943695</v>
      </c>
      <c r="I49" s="14">
        <v>2115.6922394905341</v>
      </c>
      <c r="J49" s="14">
        <v>0</v>
      </c>
      <c r="K49" s="14">
        <v>40.385426874028433</v>
      </c>
      <c r="L49" s="14">
        <v>2.4761407205604963E-2</v>
      </c>
      <c r="M49" s="14">
        <v>2.0316734612198874E-2</v>
      </c>
      <c r="N49" s="14">
        <v>570.81744355601165</v>
      </c>
      <c r="O49" s="14">
        <v>211482.15466306676</v>
      </c>
      <c r="P49" s="8">
        <v>570.81744355601165</v>
      </c>
      <c r="Q49" s="54">
        <v>0.30314645435979148</v>
      </c>
    </row>
    <row r="50" spans="1:17">
      <c r="A50" s="2" t="s">
        <v>327</v>
      </c>
      <c r="B50" s="16" t="s">
        <v>328</v>
      </c>
      <c r="D50" s="14">
        <v>1</v>
      </c>
      <c r="E50" s="14">
        <v>0.3482484773091703</v>
      </c>
      <c r="F50" s="14">
        <v>2.1396484882969788E-2</v>
      </c>
      <c r="G50" s="14">
        <v>3.348042165686778E-6</v>
      </c>
      <c r="H50" s="14">
        <v>680.08380221500192</v>
      </c>
      <c r="I50" s="14">
        <v>2304.7275963300267</v>
      </c>
      <c r="J50" s="14">
        <v>0</v>
      </c>
      <c r="K50" s="14">
        <v>46.736648821972388</v>
      </c>
      <c r="L50" s="14">
        <v>2.1396484882969788E-2</v>
      </c>
      <c r="M50" s="14">
        <v>1.7555815846476711E-2</v>
      </c>
      <c r="N50" s="14">
        <v>623.0802643471053</v>
      </c>
      <c r="O50" s="14">
        <v>237337.5034924559</v>
      </c>
      <c r="P50" s="8">
        <v>623.0802643471053</v>
      </c>
      <c r="Q50" s="54">
        <v>0.29841428030082107</v>
      </c>
    </row>
    <row r="51" spans="1:17">
      <c r="A51" s="2" t="s">
        <v>329</v>
      </c>
      <c r="B51" s="16" t="s">
        <v>330</v>
      </c>
      <c r="D51" s="14">
        <v>1</v>
      </c>
      <c r="E51" s="14">
        <v>0.3468542430275412</v>
      </c>
      <c r="F51" s="14">
        <v>0.11504966991125418</v>
      </c>
      <c r="G51" s="14">
        <v>1.7731025919325346E-6</v>
      </c>
      <c r="H51" s="14">
        <v>554.24958547078393</v>
      </c>
      <c r="I51" s="14">
        <v>969.53289283064885</v>
      </c>
      <c r="J51" s="14">
        <v>0</v>
      </c>
      <c r="K51" s="14">
        <v>8.6918980364860623</v>
      </c>
      <c r="L51" s="14">
        <v>0.11504966991125419</v>
      </c>
      <c r="M51" s="14">
        <v>9.4398254162184059E-2</v>
      </c>
      <c r="N51" s="14">
        <v>256.39409354387146</v>
      </c>
      <c r="O51" s="14">
        <v>70354.539268438326</v>
      </c>
      <c r="P51" s="8">
        <v>256.39409354387146</v>
      </c>
      <c r="Q51" s="54">
        <v>0.38261548955819968</v>
      </c>
    </row>
    <row r="52" spans="1:17">
      <c r="A52" s="2" t="s">
        <v>277</v>
      </c>
      <c r="B52" s="16" t="s">
        <v>278</v>
      </c>
      <c r="D52" s="14">
        <v>1</v>
      </c>
      <c r="E52" s="14">
        <v>0.34295443610474158</v>
      </c>
      <c r="F52" s="14">
        <v>0.15176398452240186</v>
      </c>
      <c r="G52" s="14">
        <v>4.6545447277228658E-6</v>
      </c>
      <c r="H52" s="14">
        <v>454.62019123123918</v>
      </c>
      <c r="I52" s="14">
        <v>823.58018871754632</v>
      </c>
      <c r="J52" s="14">
        <v>0</v>
      </c>
      <c r="K52" s="14">
        <v>6.589178606155996</v>
      </c>
      <c r="L52" s="14">
        <v>0.15176398452240186</v>
      </c>
      <c r="M52" s="14">
        <v>0.12452234930063073</v>
      </c>
      <c r="N52" s="14">
        <v>216.99391449517344</v>
      </c>
      <c r="O52" s="14">
        <v>88301.333625520929</v>
      </c>
      <c r="P52" s="8">
        <v>216.99391449517347</v>
      </c>
      <c r="Q52" s="54">
        <v>0.39400877222958486</v>
      </c>
    </row>
    <row r="53" spans="1:17">
      <c r="A53" s="2" t="s">
        <v>331</v>
      </c>
      <c r="B53" s="16" t="s">
        <v>332</v>
      </c>
      <c r="D53" s="14">
        <v>1</v>
      </c>
      <c r="E53" s="14">
        <v>0.31952179233545241</v>
      </c>
      <c r="F53" s="14">
        <v>1.3303061208808106E-2</v>
      </c>
      <c r="G53" s="14">
        <v>2.0905476793842628E-6</v>
      </c>
      <c r="H53" s="14">
        <v>553.00822324520016</v>
      </c>
      <c r="I53" s="14">
        <v>2938.2501033009139</v>
      </c>
      <c r="J53" s="14">
        <v>0</v>
      </c>
      <c r="K53" s="14">
        <v>75.170668187100318</v>
      </c>
      <c r="L53" s="14">
        <v>1.3303061208808108E-2</v>
      </c>
      <c r="M53" s="14">
        <v>1.0915161721827053E-2</v>
      </c>
      <c r="N53" s="14">
        <v>799.36354895874115</v>
      </c>
      <c r="O53" s="14">
        <v>304485.5694338741</v>
      </c>
      <c r="P53" s="8">
        <v>799.36354895874126</v>
      </c>
      <c r="Q53" s="54">
        <v>0.2779001364982045</v>
      </c>
    </row>
    <row r="54" spans="1:17">
      <c r="A54" s="2" t="s">
        <v>333</v>
      </c>
      <c r="B54" s="16" t="s">
        <v>334</v>
      </c>
      <c r="D54" s="14">
        <v>1</v>
      </c>
      <c r="E54" s="14">
        <v>0.3536383056256388</v>
      </c>
      <c r="F54" s="14">
        <v>2.3031510121953536E-2</v>
      </c>
      <c r="G54" s="14">
        <v>3.6852834961097987E-9</v>
      </c>
      <c r="H54" s="14">
        <v>701.03937995289289</v>
      </c>
      <c r="I54" s="14">
        <v>2209.5283859201409</v>
      </c>
      <c r="J54" s="14">
        <v>0</v>
      </c>
      <c r="K54" s="14">
        <v>43.418776914971126</v>
      </c>
      <c r="L54" s="14">
        <v>2.3031510121953536E-2</v>
      </c>
      <c r="M54" s="14">
        <v>1.8897354055062876E-2</v>
      </c>
      <c r="N54" s="14">
        <v>596.73849331687109</v>
      </c>
      <c r="O54" s="14">
        <v>229434.0159104706</v>
      </c>
      <c r="P54" s="8">
        <v>596.73849331687109</v>
      </c>
      <c r="Q54" s="54">
        <v>0.30095362953745514</v>
      </c>
    </row>
    <row r="55" spans="1:17">
      <c r="A55" s="2" t="s">
        <v>335</v>
      </c>
      <c r="B55" s="16" t="s">
        <v>336</v>
      </c>
      <c r="D55" s="14">
        <v>1</v>
      </c>
      <c r="E55" s="14">
        <v>0.28070018603270169</v>
      </c>
      <c r="F55" s="14">
        <v>4.2054766830192372E-3</v>
      </c>
      <c r="G55" s="14">
        <v>1.459297092179609E-5</v>
      </c>
      <c r="H55" s="14">
        <v>312.25919042141311</v>
      </c>
      <c r="I55" s="14">
        <v>4385.0282961800685</v>
      </c>
      <c r="J55" s="14">
        <v>0</v>
      </c>
      <c r="K55" s="14">
        <v>237.7851728527645</v>
      </c>
      <c r="L55" s="14">
        <v>4.2054766830192372E-3</v>
      </c>
      <c r="M55" s="14">
        <v>3.450593618417284E-3</v>
      </c>
      <c r="N55" s="14">
        <v>1209.3314671729891</v>
      </c>
      <c r="O55" s="14">
        <v>451467.62332502025</v>
      </c>
      <c r="P55" s="8">
        <v>1209.3314671729891</v>
      </c>
      <c r="Q55" s="54">
        <v>0.21036447468959338</v>
      </c>
    </row>
    <row r="56" spans="1:17">
      <c r="A56" s="2" t="s">
        <v>337</v>
      </c>
      <c r="B56" s="16" t="s">
        <v>338</v>
      </c>
      <c r="D56" s="14">
        <v>1</v>
      </c>
      <c r="E56" s="14">
        <v>0.36354004366988429</v>
      </c>
      <c r="F56" s="14">
        <v>2.6218582181565538E-2</v>
      </c>
      <c r="G56" s="14">
        <v>1.3250055286650862E-6</v>
      </c>
      <c r="H56" s="14">
        <v>738.22577208248254</v>
      </c>
      <c r="I56" s="14">
        <v>2041.9559708130473</v>
      </c>
      <c r="J56" s="14">
        <v>0</v>
      </c>
      <c r="K56" s="14">
        <v>38.140887751859701</v>
      </c>
      <c r="L56" s="14">
        <v>2.6218582181565538E-2</v>
      </c>
      <c r="M56" s="14">
        <v>2.1512346679974523E-2</v>
      </c>
      <c r="N56" s="14">
        <v>550.47739892118295</v>
      </c>
      <c r="O56" s="14">
        <v>214311.86094799492</v>
      </c>
      <c r="P56" s="8">
        <v>550.47739892118295</v>
      </c>
      <c r="Q56" s="54">
        <v>0.30468170236163744</v>
      </c>
    </row>
    <row r="57" spans="1:17">
      <c r="A57" s="2" t="s">
        <v>279</v>
      </c>
      <c r="B57" s="16" t="s">
        <v>280</v>
      </c>
      <c r="D57" s="14">
        <v>1</v>
      </c>
      <c r="E57" s="14">
        <v>0.34344480788325138</v>
      </c>
      <c r="F57" s="14">
        <v>0.17523157282998186</v>
      </c>
      <c r="G57" s="14">
        <v>8.3111447606993744E-5</v>
      </c>
      <c r="H57" s="14">
        <v>398.68726093976397</v>
      </c>
      <c r="I57" s="14">
        <v>737.03740633092195</v>
      </c>
      <c r="J57" s="14">
        <v>0</v>
      </c>
      <c r="K57" s="14">
        <v>5.7067341452801337</v>
      </c>
      <c r="L57" s="14">
        <v>0.17523157282998186</v>
      </c>
      <c r="M57" s="14">
        <v>0.14377750550700011</v>
      </c>
      <c r="N57" s="14">
        <v>193.78449107382832</v>
      </c>
      <c r="O57" s="14">
        <v>56358.343539001486</v>
      </c>
      <c r="P57" s="8">
        <v>193.78449107382832</v>
      </c>
      <c r="Q57" s="54">
        <v>0.39417541166113618</v>
      </c>
    </row>
    <row r="58" spans="1:17">
      <c r="A58" s="2" t="s">
        <v>339</v>
      </c>
      <c r="B58" s="16" t="s">
        <v>340</v>
      </c>
      <c r="D58" s="14">
        <v>1</v>
      </c>
      <c r="E58" s="14">
        <v>0.3525671373583612</v>
      </c>
      <c r="F58" s="14">
        <v>2.2697803504633442E-2</v>
      </c>
      <c r="G58" s="14">
        <v>1.2888201567100591E-8</v>
      </c>
      <c r="H58" s="14">
        <v>696.88935705904464</v>
      </c>
      <c r="I58" s="14">
        <v>2228.5429204682032</v>
      </c>
      <c r="J58" s="14">
        <v>0</v>
      </c>
      <c r="K58" s="14">
        <v>44.057126487849978</v>
      </c>
      <c r="L58" s="14">
        <v>2.2697803504633442E-2</v>
      </c>
      <c r="M58" s="14">
        <v>1.8623547775551738E-2</v>
      </c>
      <c r="N58" s="14">
        <v>601.99577107413177</v>
      </c>
      <c r="O58" s="14">
        <v>208079.83827177362</v>
      </c>
      <c r="P58" s="8">
        <v>601.99577107413177</v>
      </c>
      <c r="Q58" s="54">
        <v>0.30048375844524788</v>
      </c>
    </row>
    <row r="59" spans="1:17">
      <c r="A59" s="2" t="s">
        <v>281</v>
      </c>
      <c r="B59" s="16" t="s">
        <v>282</v>
      </c>
      <c r="D59" s="14">
        <v>1</v>
      </c>
      <c r="E59" s="14">
        <v>0.34307640133627232</v>
      </c>
      <c r="F59" s="14">
        <v>0.15181795650107208</v>
      </c>
      <c r="G59" s="14">
        <v>7.0474439275790157E-7</v>
      </c>
      <c r="H59" s="14">
        <v>454.78186826773367</v>
      </c>
      <c r="I59" s="14">
        <v>823.87307936955801</v>
      </c>
      <c r="J59" s="14">
        <v>0</v>
      </c>
      <c r="K59" s="14">
        <v>6.586836122991409</v>
      </c>
      <c r="L59" s="14">
        <v>0.15181795650107208</v>
      </c>
      <c r="M59" s="14">
        <v>0.12456663330912963</v>
      </c>
      <c r="N59" s="14">
        <v>217.07108425953854</v>
      </c>
      <c r="O59" s="14">
        <v>63224.124001433185</v>
      </c>
      <c r="P59" s="8">
        <v>217.07108425953854</v>
      </c>
      <c r="Q59" s="54">
        <v>0.39414889396609287</v>
      </c>
    </row>
    <row r="60" spans="1:17">
      <c r="A60" s="2" t="s">
        <v>341</v>
      </c>
      <c r="B60" s="16" t="s">
        <v>342</v>
      </c>
      <c r="D60" s="14">
        <v>1</v>
      </c>
      <c r="E60" s="14">
        <v>0.32668833682117288</v>
      </c>
      <c r="F60" s="14">
        <v>1.5306663939171995E-2</v>
      </c>
      <c r="G60" s="14">
        <v>1.7809389611667735E-5</v>
      </c>
      <c r="H60" s="14">
        <v>588.60039238667912</v>
      </c>
      <c r="I60" s="14">
        <v>2744.5915256458356</v>
      </c>
      <c r="J60" s="14">
        <v>0</v>
      </c>
      <c r="K60" s="14">
        <v>65.331022094295378</v>
      </c>
      <c r="L60" s="14">
        <v>1.5306663939171995E-2</v>
      </c>
      <c r="M60" s="14">
        <v>1.2559117762090623E-2</v>
      </c>
      <c r="N60" s="14">
        <v>745.31490369893572</v>
      </c>
      <c r="O60" s="14">
        <v>249889.18091217914</v>
      </c>
      <c r="P60" s="8">
        <v>745.31490369893572</v>
      </c>
      <c r="Q60" s="54">
        <v>0.2843660320678808</v>
      </c>
    </row>
    <row r="61" spans="1:17">
      <c r="A61" s="2" t="s">
        <v>483</v>
      </c>
      <c r="B61" s="16" t="s">
        <v>484</v>
      </c>
      <c r="D61" s="14">
        <v>1</v>
      </c>
      <c r="E61" s="14">
        <v>0.58360529053163956</v>
      </c>
      <c r="F61" s="14">
        <v>0.49174457879846178</v>
      </c>
      <c r="G61" s="14">
        <v>1.4992277263298005E-15</v>
      </c>
      <c r="H61" s="14">
        <v>224.26521214685977</v>
      </c>
      <c r="I61" s="14">
        <v>345.97213679014379</v>
      </c>
      <c r="J61" s="14">
        <v>0</v>
      </c>
      <c r="K61" s="14">
        <v>2.0335760537379373</v>
      </c>
      <c r="L61" s="14">
        <v>0.49174457879846178</v>
      </c>
      <c r="M61" s="14">
        <v>0.40347642690413787</v>
      </c>
      <c r="N61" s="14">
        <v>209.36281758299211</v>
      </c>
      <c r="O61" s="14">
        <v>97552.604852795164</v>
      </c>
      <c r="P61" s="8">
        <v>209.36281758299211</v>
      </c>
      <c r="Q61" s="54">
        <v>0.23358294186322959</v>
      </c>
    </row>
    <row r="62" spans="1:17">
      <c r="A62" s="2" t="s">
        <v>485</v>
      </c>
      <c r="B62" s="16" t="s">
        <v>486</v>
      </c>
      <c r="D62" s="14">
        <v>1</v>
      </c>
      <c r="E62" s="14">
        <v>0.4124949569459378</v>
      </c>
      <c r="F62" s="14">
        <v>0.32592128360354466</v>
      </c>
      <c r="G62" s="14">
        <v>3.9814494833330977E-9</v>
      </c>
      <c r="H62" s="14">
        <v>202.02853848614197</v>
      </c>
      <c r="I62" s="14">
        <v>411.02656617444467</v>
      </c>
      <c r="J62" s="14">
        <v>0</v>
      </c>
      <c r="K62" s="14">
        <v>3.0682255204186486</v>
      </c>
      <c r="L62" s="14">
        <v>0.32592128360354472</v>
      </c>
      <c r="M62" s="14">
        <v>0.26741841319670845</v>
      </c>
      <c r="N62" s="14">
        <v>107.07893019841138</v>
      </c>
      <c r="O62" s="14">
        <v>34735.334167062669</v>
      </c>
      <c r="P62" s="8">
        <v>107.0789301984114</v>
      </c>
      <c r="Q62" s="54">
        <v>0.37228016081943616</v>
      </c>
    </row>
    <row r="63" spans="1:17">
      <c r="A63" s="2" t="s">
        <v>487</v>
      </c>
      <c r="B63" s="16" t="s">
        <v>488</v>
      </c>
      <c r="D63" s="14">
        <v>1</v>
      </c>
      <c r="E63" s="14">
        <v>0.95301591140857034</v>
      </c>
      <c r="F63" s="14">
        <v>0.94968219002763499</v>
      </c>
      <c r="G63" s="14">
        <v>8.1517733476317809E-15</v>
      </c>
      <c r="H63" s="14">
        <v>9.3002281788610972</v>
      </c>
      <c r="I63" s="14">
        <v>11.361926406452163</v>
      </c>
      <c r="J63" s="14">
        <v>0</v>
      </c>
      <c r="K63" s="14">
        <v>1.0529838408056287</v>
      </c>
      <c r="L63" s="14">
        <v>0.94968219002763499</v>
      </c>
      <c r="M63" s="14">
        <v>0.77921423691767455</v>
      </c>
      <c r="N63" s="14">
        <v>17.741115226179126</v>
      </c>
      <c r="O63" s="14">
        <v>7833.7668392716541</v>
      </c>
      <c r="P63" s="8">
        <v>17.741115226179126</v>
      </c>
      <c r="Q63" s="54">
        <v>2.7690574865422403E-2</v>
      </c>
    </row>
    <row r="64" spans="1:17">
      <c r="A64" s="2" t="s">
        <v>489</v>
      </c>
      <c r="B64" s="16" t="s">
        <v>490</v>
      </c>
      <c r="D64" s="14">
        <v>1</v>
      </c>
      <c r="E64" s="14">
        <v>0.99532648431522952</v>
      </c>
      <c r="F64" s="14">
        <v>0.99447372506917509</v>
      </c>
      <c r="G64" s="14">
        <v>1.4762078537878236E-16</v>
      </c>
      <c r="H64" s="14">
        <v>3.4823571732887273</v>
      </c>
      <c r="I64" s="14">
        <v>0.40032461014693932</v>
      </c>
      <c r="J64" s="14">
        <v>0</v>
      </c>
      <c r="K64" s="14">
        <v>1.0055569843541521</v>
      </c>
      <c r="L64" s="14">
        <v>0.9944737250691752</v>
      </c>
      <c r="M64" s="14">
        <v>0.81596569141925823</v>
      </c>
      <c r="N64" s="14">
        <v>0.89052431395832277</v>
      </c>
      <c r="O64" s="14">
        <v>357.48317535228955</v>
      </c>
      <c r="P64" s="8">
        <v>0.89052431395832288</v>
      </c>
      <c r="Q64" s="54">
        <v>2.9526521728052285E-3</v>
      </c>
    </row>
    <row r="65" spans="1:17">
      <c r="A65" s="2" t="s">
        <v>491</v>
      </c>
      <c r="B65" s="16" t="s">
        <v>492</v>
      </c>
      <c r="D65" s="14">
        <v>1</v>
      </c>
      <c r="E65" s="14">
        <v>0.99738032841651347</v>
      </c>
      <c r="F65" s="14">
        <v>0.99760312693994091</v>
      </c>
      <c r="G65" s="14">
        <v>2.4374749499192498E-14</v>
      </c>
      <c r="H65" s="14">
        <v>0.45200548776367516</v>
      </c>
      <c r="I65" s="14">
        <v>0.18614391484272966</v>
      </c>
      <c r="J65" s="14">
        <v>0</v>
      </c>
      <c r="K65" s="14">
        <v>1.0024026318636463</v>
      </c>
      <c r="L65" s="14">
        <v>0.99760312693994091</v>
      </c>
      <c r="M65" s="14">
        <v>0.81853336565422152</v>
      </c>
      <c r="N65" s="14">
        <v>2.045079776430796</v>
      </c>
      <c r="O65" s="14">
        <v>567.22332679084559</v>
      </c>
      <c r="P65" s="8">
        <v>2.045079776430796</v>
      </c>
      <c r="Q65" s="54">
        <v>1.3044542240780845E-3</v>
      </c>
    </row>
    <row r="66" spans="1:17">
      <c r="A66" s="2" t="s">
        <v>493</v>
      </c>
      <c r="B66" s="16" t="s">
        <v>494</v>
      </c>
      <c r="D66" s="14">
        <v>1</v>
      </c>
      <c r="E66" s="14">
        <v>0.9275051319192158</v>
      </c>
      <c r="F66" s="14">
        <v>0.90382140404778466</v>
      </c>
      <c r="G66" s="14">
        <v>3.730265944907383E-13</v>
      </c>
      <c r="H66" s="14">
        <v>66.645103961318455</v>
      </c>
      <c r="I66" s="14">
        <v>15.464742890389219</v>
      </c>
      <c r="J66" s="14">
        <v>0</v>
      </c>
      <c r="K66" s="14">
        <v>1.1064132753677631</v>
      </c>
      <c r="L66" s="14">
        <v>0.90382140404778477</v>
      </c>
      <c r="M66" s="14">
        <v>0.74158546202120734</v>
      </c>
      <c r="N66" s="14">
        <v>155.66612141290872</v>
      </c>
      <c r="O66" s="14">
        <v>50501.203108775851</v>
      </c>
      <c r="P66" s="8">
        <v>155.66612141290872</v>
      </c>
      <c r="Q66" s="54">
        <v>1.3628959595420386E-2</v>
      </c>
    </row>
    <row r="67" spans="1:17">
      <c r="A67" s="2" t="s">
        <v>495</v>
      </c>
      <c r="B67" s="16" t="s">
        <v>496</v>
      </c>
      <c r="D67" s="14">
        <v>1</v>
      </c>
      <c r="E67" s="14">
        <v>0.99722076447503771</v>
      </c>
      <c r="F67" s="14">
        <v>0.99746820463921415</v>
      </c>
      <c r="G67" s="14">
        <v>1.903914973555561E-14</v>
      </c>
      <c r="H67" s="14">
        <v>0.38109110440854926</v>
      </c>
      <c r="I67" s="14">
        <v>0.19288806697408875</v>
      </c>
      <c r="J67" s="14">
        <v>0</v>
      </c>
      <c r="K67" s="14">
        <v>1.0025382216185041</v>
      </c>
      <c r="L67" s="14">
        <v>0.99746820463921415</v>
      </c>
      <c r="M67" s="14">
        <v>0.81842266190647517</v>
      </c>
      <c r="N67" s="14">
        <v>1.805138094827617</v>
      </c>
      <c r="O67" s="14">
        <v>565.76638168087175</v>
      </c>
      <c r="P67" s="8">
        <v>1.8051380948276172</v>
      </c>
      <c r="Q67" s="54">
        <v>1.4665786582859748E-3</v>
      </c>
    </row>
    <row r="68" spans="1:17">
      <c r="A68" s="2" t="s">
        <v>497</v>
      </c>
      <c r="B68" s="16" t="s">
        <v>498</v>
      </c>
      <c r="D68" s="14">
        <v>1</v>
      </c>
      <c r="E68" s="14">
        <v>0.99886281994270276</v>
      </c>
      <c r="F68" s="14">
        <v>0.99923518357924113</v>
      </c>
      <c r="G68" s="14">
        <v>1.7219477906659021E-13</v>
      </c>
      <c r="H68" s="14">
        <v>4.5326719210321963E-2</v>
      </c>
      <c r="I68" s="14">
        <v>3.2380382664231461E-2</v>
      </c>
      <c r="J68" s="14">
        <v>0</v>
      </c>
      <c r="K68" s="14">
        <v>1.0007654018126337</v>
      </c>
      <c r="L68" s="14">
        <v>0.99923518357924113</v>
      </c>
      <c r="M68" s="14">
        <v>0.8198724681267674</v>
      </c>
      <c r="N68" s="14">
        <v>0.77158764697898086</v>
      </c>
      <c r="O68" s="14">
        <v>210.14961153119523</v>
      </c>
      <c r="P68" s="8">
        <v>0.77158764697898086</v>
      </c>
      <c r="Q68" s="54">
        <v>5.9260044988002016E-4</v>
      </c>
    </row>
    <row r="69" spans="1:17">
      <c r="A69" s="2" t="s">
        <v>499</v>
      </c>
      <c r="B69" s="16" t="s">
        <v>500</v>
      </c>
      <c r="D69" s="14">
        <v>1</v>
      </c>
      <c r="E69" s="14">
        <v>0.37562461623330978</v>
      </c>
      <c r="F69" s="14">
        <v>3.0310947222277802E-2</v>
      </c>
      <c r="G69" s="14">
        <v>3.3696903642593559E-13</v>
      </c>
      <c r="H69" s="14">
        <v>780.6412718838277</v>
      </c>
      <c r="I69" s="14">
        <v>1859.5963245023993</v>
      </c>
      <c r="J69" s="14">
        <v>0</v>
      </c>
      <c r="K69" s="14">
        <v>32.991380726796436</v>
      </c>
      <c r="L69" s="14">
        <v>3.0310947222277805E-2</v>
      </c>
      <c r="M69" s="14">
        <v>2.4870132195878938E-2</v>
      </c>
      <c r="N69" s="14">
        <v>500.27301923693005</v>
      </c>
      <c r="O69" s="14">
        <v>214912.28633399276</v>
      </c>
      <c r="P69" s="8">
        <v>500.27301923693005</v>
      </c>
      <c r="Q69" s="54">
        <v>0.30799146325910925</v>
      </c>
    </row>
    <row r="70" spans="1:17">
      <c r="A70" s="2" t="s">
        <v>501</v>
      </c>
      <c r="B70" s="16" t="s">
        <v>411</v>
      </c>
      <c r="D70" s="14">
        <v>1</v>
      </c>
      <c r="E70" s="14">
        <v>0.99958552205834261</v>
      </c>
      <c r="F70" s="14">
        <v>0.99687581503899014</v>
      </c>
      <c r="G70" s="14">
        <v>3.1722656418010966E-15</v>
      </c>
      <c r="H70" s="14">
        <v>8.8052372021308063</v>
      </c>
      <c r="I70" s="14">
        <v>7.7481549875505701E-3</v>
      </c>
      <c r="J70" s="14">
        <v>0</v>
      </c>
      <c r="K70" s="14">
        <v>1.0031339760819531</v>
      </c>
      <c r="L70" s="14">
        <v>0.99687581503899025</v>
      </c>
      <c r="M70" s="14">
        <v>0.81793660623949149</v>
      </c>
      <c r="N70" s="14">
        <v>1.0603623658570551</v>
      </c>
      <c r="O70" s="14">
        <v>318.21474599370225</v>
      </c>
      <c r="P70" s="8">
        <v>1.0603623658570551</v>
      </c>
      <c r="Q70" s="54">
        <v>3.9282425849604434E-5</v>
      </c>
    </row>
    <row r="71" spans="1:17">
      <c r="A71" s="2" t="s">
        <v>502</v>
      </c>
      <c r="B71" s="16" t="s">
        <v>412</v>
      </c>
      <c r="D71" s="14">
        <v>1</v>
      </c>
      <c r="E71" s="14">
        <v>0.99943729662822556</v>
      </c>
      <c r="F71" s="14">
        <v>0.99390655304947395</v>
      </c>
      <c r="G71" s="14">
        <v>1.4846825611468302E-10</v>
      </c>
      <c r="H71" s="14">
        <v>16.819208486801831</v>
      </c>
      <c r="I71" s="14">
        <v>1.4152510420300135E-2</v>
      </c>
      <c r="J71" s="14">
        <v>0</v>
      </c>
      <c r="K71" s="14">
        <v>1.0061308046836297</v>
      </c>
      <c r="L71" s="14">
        <v>0.99390655304947406</v>
      </c>
      <c r="M71" s="14">
        <v>0.8155003267770935</v>
      </c>
      <c r="N71" s="14">
        <v>1.4315695834311608</v>
      </c>
      <c r="O71" s="14">
        <v>469.76955880293536</v>
      </c>
      <c r="P71" s="8">
        <v>1.4315695834311608</v>
      </c>
      <c r="Q71" s="54">
        <v>5.5135774978977936E-5</v>
      </c>
    </row>
    <row r="72" spans="1:17">
      <c r="A72" s="2" t="s">
        <v>503</v>
      </c>
      <c r="B72" s="16" t="s">
        <v>413</v>
      </c>
      <c r="D72" s="14">
        <v>1</v>
      </c>
      <c r="E72" s="14">
        <v>0.79874510490636375</v>
      </c>
      <c r="F72" s="14">
        <v>3.0180230839157596E-2</v>
      </c>
      <c r="G72" s="14">
        <v>1.478669187542833E-11</v>
      </c>
      <c r="H72" s="14">
        <v>2183.4465109009188</v>
      </c>
      <c r="I72" s="14">
        <v>9.2847140267692438</v>
      </c>
      <c r="J72" s="14">
        <v>0</v>
      </c>
      <c r="K72" s="14">
        <v>33.13427274063595</v>
      </c>
      <c r="L72" s="14">
        <v>3.0180230839157596E-2</v>
      </c>
      <c r="M72" s="14">
        <v>2.4762879403528809E-2</v>
      </c>
      <c r="N72" s="14">
        <v>596.94836220684181</v>
      </c>
      <c r="O72" s="14">
        <v>277031.79593295115</v>
      </c>
      <c r="P72" s="8">
        <v>596.94836220684181</v>
      </c>
      <c r="Q72" s="54">
        <v>4.5916474140119654E-4</v>
      </c>
    </row>
    <row r="73" spans="1:17">
      <c r="A73" s="2" t="s">
        <v>504</v>
      </c>
      <c r="B73" s="16" t="s">
        <v>414</v>
      </c>
      <c r="D73" s="14">
        <v>1</v>
      </c>
      <c r="E73" s="14">
        <v>0.9770689086575407</v>
      </c>
      <c r="F73" s="14">
        <v>0.26708159327326425</v>
      </c>
      <c r="G73" s="14">
        <v>1.84319984095914E-11</v>
      </c>
      <c r="H73" s="14">
        <v>2018.1059291401918</v>
      </c>
      <c r="I73" s="14">
        <v>1.0801148398150395</v>
      </c>
      <c r="J73" s="14">
        <v>0</v>
      </c>
      <c r="K73" s="14">
        <v>3.7441741594556501</v>
      </c>
      <c r="L73" s="14">
        <v>0.26708159327326425</v>
      </c>
      <c r="M73" s="14">
        <v>0.21914044728071333</v>
      </c>
      <c r="N73" s="14">
        <v>66.681164064415455</v>
      </c>
      <c r="O73" s="14">
        <v>20941.219574429673</v>
      </c>
      <c r="P73" s="8">
        <v>66.681164064415455</v>
      </c>
      <c r="Q73" s="54">
        <v>3.5519752660652696E-4</v>
      </c>
    </row>
    <row r="74" spans="1:17">
      <c r="A74" s="2" t="s">
        <v>505</v>
      </c>
      <c r="B74" s="16" t="s">
        <v>415</v>
      </c>
      <c r="D74" s="14">
        <v>1</v>
      </c>
      <c r="E74" s="14">
        <v>0.9994660342928563</v>
      </c>
      <c r="F74" s="14">
        <v>0.99449566633701481</v>
      </c>
      <c r="G74" s="14">
        <v>1.8266332587669275E-11</v>
      </c>
      <c r="H74" s="14">
        <v>15.227299681175776</v>
      </c>
      <c r="I74" s="14">
        <v>1.2869120563294393E-2</v>
      </c>
      <c r="J74" s="14">
        <v>0</v>
      </c>
      <c r="K74" s="14">
        <v>1.0055347990436792</v>
      </c>
      <c r="L74" s="14">
        <v>0.99449566633701492</v>
      </c>
      <c r="M74" s="14">
        <v>0.81598369422952077</v>
      </c>
      <c r="N74" s="14">
        <v>1.3589784943993057</v>
      </c>
      <c r="O74" s="14">
        <v>290.87575694122739</v>
      </c>
      <c r="P74" s="8">
        <v>1.3589784943993057</v>
      </c>
      <c r="Q74" s="54">
        <v>5.2209420112464146E-5</v>
      </c>
    </row>
    <row r="75" spans="1:17">
      <c r="A75" s="2" t="s">
        <v>506</v>
      </c>
      <c r="B75" s="16" t="s">
        <v>416</v>
      </c>
      <c r="D75" s="14">
        <v>1</v>
      </c>
      <c r="E75" s="14">
        <v>0.97789458342660751</v>
      </c>
      <c r="F75" s="14">
        <v>0.30262385095114264</v>
      </c>
      <c r="G75" s="14">
        <v>7.5755055268249232E-11</v>
      </c>
      <c r="H75" s="14">
        <v>1919.4780646125521</v>
      </c>
      <c r="I75" s="14">
        <v>1.0406606378760879</v>
      </c>
      <c r="J75" s="14">
        <v>0</v>
      </c>
      <c r="K75" s="14">
        <v>3.30443220802661</v>
      </c>
      <c r="L75" s="14">
        <v>0.30262385095114264</v>
      </c>
      <c r="M75" s="14">
        <v>0.24830286970541254</v>
      </c>
      <c r="N75" s="14">
        <v>64.170092519291501</v>
      </c>
      <c r="O75" s="14">
        <v>26570.910209463029</v>
      </c>
      <c r="P75" s="8">
        <v>64.170092519291501</v>
      </c>
      <c r="Q75" s="54">
        <v>3.6737460154494966E-4</v>
      </c>
    </row>
    <row r="76" spans="1:17">
      <c r="A76" s="2" t="s">
        <v>507</v>
      </c>
      <c r="B76" s="16" t="s">
        <v>417</v>
      </c>
      <c r="D76" s="14">
        <v>1</v>
      </c>
      <c r="E76" s="14">
        <v>0.99528801160831093</v>
      </c>
      <c r="F76" s="14">
        <v>0.88680915485897926</v>
      </c>
      <c r="G76" s="14">
        <v>4.8907810549122882E-10</v>
      </c>
      <c r="H76" s="14">
        <v>309.27881155134361</v>
      </c>
      <c r="I76" s="14">
        <v>0.20824668518847847</v>
      </c>
      <c r="J76" s="14">
        <v>0</v>
      </c>
      <c r="K76" s="14">
        <v>1.1276383362991109</v>
      </c>
      <c r="L76" s="14">
        <v>0.88680915485897926</v>
      </c>
      <c r="M76" s="14">
        <v>0.72762691156179249</v>
      </c>
      <c r="N76" s="14">
        <v>12.97377513016899</v>
      </c>
      <c r="O76" s="14">
        <v>5554.9812974844572</v>
      </c>
      <c r="P76" s="8">
        <v>12.97377513016899</v>
      </c>
      <c r="Q76" s="54">
        <v>2.3811025337282821E-4</v>
      </c>
    </row>
    <row r="77" spans="1:17">
      <c r="A77" s="2" t="s">
        <v>508</v>
      </c>
      <c r="B77" s="16" t="s">
        <v>418</v>
      </c>
      <c r="D77" s="14">
        <v>1</v>
      </c>
      <c r="E77" s="14">
        <v>0.97729217489294407</v>
      </c>
      <c r="F77" s="14">
        <v>0.27696159735675574</v>
      </c>
      <c r="G77" s="14">
        <v>5.6393312919556594E-10</v>
      </c>
      <c r="H77" s="14">
        <v>1990.6713006272846</v>
      </c>
      <c r="I77" s="14">
        <v>1.0725745420517727</v>
      </c>
      <c r="J77" s="14">
        <v>0</v>
      </c>
      <c r="K77" s="14">
        <v>3.6106088697628884</v>
      </c>
      <c r="L77" s="14">
        <v>0.27696159735675574</v>
      </c>
      <c r="M77" s="14">
        <v>0.22724699063121812</v>
      </c>
      <c r="N77" s="14">
        <v>65.995634330443764</v>
      </c>
      <c r="O77" s="14">
        <v>34857.574140653785</v>
      </c>
      <c r="P77" s="8">
        <v>65.995634330443778</v>
      </c>
      <c r="Q77" s="54">
        <v>3.5993782218050755E-4</v>
      </c>
    </row>
    <row r="78" spans="1:17">
      <c r="A78" s="2" t="s">
        <v>509</v>
      </c>
      <c r="B78" s="16" t="s">
        <v>419</v>
      </c>
      <c r="D78" s="14">
        <v>1</v>
      </c>
      <c r="E78" s="14">
        <v>0.82619626198067186</v>
      </c>
      <c r="F78" s="14">
        <v>3.4494984375122217E-2</v>
      </c>
      <c r="G78" s="14">
        <v>6.1261047495473853E-11</v>
      </c>
      <c r="H78" s="14">
        <v>2249.344382667623</v>
      </c>
      <c r="I78" s="14">
        <v>8.0367771705767854</v>
      </c>
      <c r="J78" s="14">
        <v>0</v>
      </c>
      <c r="K78" s="14">
        <v>28.989721784631385</v>
      </c>
      <c r="L78" s="14">
        <v>3.4494984375122224E-2</v>
      </c>
      <c r="M78" s="14">
        <v>2.8303134679787782E-2</v>
      </c>
      <c r="N78" s="14">
        <v>515.29404493071854</v>
      </c>
      <c r="O78" s="14">
        <v>290672.21780496906</v>
      </c>
      <c r="P78" s="8">
        <v>515.29404493071854</v>
      </c>
      <c r="Q78" s="54">
        <v>4.4883005115085368E-4</v>
      </c>
    </row>
    <row r="79" spans="1:17">
      <c r="A79" s="2" t="s">
        <v>510</v>
      </c>
      <c r="B79" s="16" t="s">
        <v>420</v>
      </c>
      <c r="D79" s="14">
        <v>1</v>
      </c>
      <c r="E79" s="14">
        <v>0.82619643502023177</v>
      </c>
      <c r="F79" s="14">
        <v>3.4494993617684974E-2</v>
      </c>
      <c r="G79" s="14">
        <v>1.5388084291925923E-15</v>
      </c>
      <c r="H79" s="14">
        <v>2249.3449853554334</v>
      </c>
      <c r="I79" s="14">
        <v>8.0355074579726811</v>
      </c>
      <c r="J79" s="14">
        <v>0</v>
      </c>
      <c r="K79" s="14">
        <v>28.989714017147048</v>
      </c>
      <c r="L79" s="14">
        <v>3.4494993617684974E-2</v>
      </c>
      <c r="M79" s="14">
        <v>2.8303142263310523E-2</v>
      </c>
      <c r="N79" s="14">
        <v>515.29385899366719</v>
      </c>
      <c r="O79" s="14">
        <v>257713.91769850277</v>
      </c>
      <c r="P79" s="8">
        <v>515.29385899366719</v>
      </c>
      <c r="Q79" s="54">
        <v>4.4875914148632625E-4</v>
      </c>
    </row>
    <row r="80" spans="1:17">
      <c r="A80" s="2" t="s">
        <v>511</v>
      </c>
      <c r="B80" s="16" t="s">
        <v>421</v>
      </c>
      <c r="D80" s="14">
        <v>1</v>
      </c>
      <c r="E80" s="14">
        <v>0.98780666425880115</v>
      </c>
      <c r="F80" s="14">
        <v>0.65967739360897237</v>
      </c>
      <c r="G80" s="14">
        <v>8.5948849465677261E-11</v>
      </c>
      <c r="H80" s="14">
        <v>933.27923169141775</v>
      </c>
      <c r="I80" s="14">
        <v>0.5651159643397784</v>
      </c>
      <c r="J80" s="14">
        <v>0</v>
      </c>
      <c r="K80" s="14">
        <v>1.5158924797000939</v>
      </c>
      <c r="L80" s="14">
        <v>0.65967739360897237</v>
      </c>
      <c r="M80" s="14">
        <v>0.54126530145616192</v>
      </c>
      <c r="N80" s="14">
        <v>34.674212944621274</v>
      </c>
      <c r="O80" s="14">
        <v>12623.493964618821</v>
      </c>
      <c r="P80" s="8">
        <v>34.674212944621274</v>
      </c>
      <c r="Q80" s="54">
        <v>3.6638490807639813E-4</v>
      </c>
    </row>
    <row r="81" spans="1:17">
      <c r="A81" s="2" t="s">
        <v>512</v>
      </c>
      <c r="B81" s="16" t="s">
        <v>422</v>
      </c>
      <c r="D81" s="14">
        <v>1</v>
      </c>
      <c r="E81" s="14">
        <v>0.99862893242780448</v>
      </c>
      <c r="F81" s="14">
        <v>0.97544760779961037</v>
      </c>
      <c r="G81" s="14">
        <v>3.4423293037369038E-11</v>
      </c>
      <c r="H81" s="14">
        <v>66.961311016289429</v>
      </c>
      <c r="I81" s="14">
        <v>5.0669885462368267E-2</v>
      </c>
      <c r="J81" s="14">
        <v>0</v>
      </c>
      <c r="K81" s="14">
        <v>1.0251703853739251</v>
      </c>
      <c r="L81" s="14">
        <v>0.97544760779961037</v>
      </c>
      <c r="M81" s="14">
        <v>0.80035476219958035</v>
      </c>
      <c r="N81" s="14">
        <v>3.5870266264809865</v>
      </c>
      <c r="O81" s="14">
        <v>947.1543807223045</v>
      </c>
      <c r="P81" s="8">
        <v>3.5870266264809865</v>
      </c>
      <c r="Q81" s="54">
        <v>1.1193088113100141E-4</v>
      </c>
    </row>
    <row r="82" spans="1:17">
      <c r="A82" s="2" t="s">
        <v>513</v>
      </c>
      <c r="B82" s="16" t="s">
        <v>423</v>
      </c>
      <c r="D82" s="14">
        <v>1</v>
      </c>
      <c r="E82" s="14">
        <v>0.99713880139004119</v>
      </c>
      <c r="F82" s="14">
        <v>0.93745746762315718</v>
      </c>
      <c r="G82" s="14">
        <v>1.1013872904641693E-14</v>
      </c>
      <c r="H82" s="14">
        <v>170.65207484243862</v>
      </c>
      <c r="I82" s="14">
        <v>0.12016246048894738</v>
      </c>
      <c r="J82" s="14">
        <v>0</v>
      </c>
      <c r="K82" s="14">
        <v>1.0667150612554339</v>
      </c>
      <c r="L82" s="14">
        <v>0.93745746762315718</v>
      </c>
      <c r="M82" s="14">
        <v>0.76918385218480045</v>
      </c>
      <c r="N82" s="14">
        <v>7.727109905814685</v>
      </c>
      <c r="O82" s="14">
        <v>3091.6939444155137</v>
      </c>
      <c r="P82" s="8">
        <v>7.727109905814685</v>
      </c>
      <c r="Q82" s="54">
        <v>1.7880053441428329E-4</v>
      </c>
    </row>
    <row r="83" spans="1:17">
      <c r="A83" s="2" t="s">
        <v>514</v>
      </c>
      <c r="B83" s="16" t="s">
        <v>424</v>
      </c>
      <c r="D83" s="14">
        <v>1</v>
      </c>
      <c r="E83" s="14">
        <v>0.70765176323691148</v>
      </c>
      <c r="F83" s="14">
        <v>2.0278263686033304E-2</v>
      </c>
      <c r="G83" s="14">
        <v>1.9017754288836602E-11</v>
      </c>
      <c r="H83" s="14">
        <v>1952.2290278894384</v>
      </c>
      <c r="I83" s="14">
        <v>13.398517278249985</v>
      </c>
      <c r="J83" s="14">
        <v>0</v>
      </c>
      <c r="K83" s="14">
        <v>49.313886804260861</v>
      </c>
      <c r="L83" s="14">
        <v>2.0278263686033304E-2</v>
      </c>
      <c r="M83" s="14">
        <v>1.6638315354390327E-2</v>
      </c>
      <c r="N83" s="14">
        <v>867.99274563783081</v>
      </c>
      <c r="O83" s="14">
        <v>446217.7106774961</v>
      </c>
      <c r="P83" s="8">
        <v>867.99274563783081</v>
      </c>
      <c r="Q83" s="54">
        <v>4.743039490960952E-4</v>
      </c>
    </row>
    <row r="84" spans="1:17">
      <c r="A84" s="2" t="s">
        <v>403</v>
      </c>
      <c r="B84" s="16" t="s">
        <v>404</v>
      </c>
      <c r="D84" s="14">
        <v>1</v>
      </c>
      <c r="E84" s="14">
        <v>0.47899558515526192</v>
      </c>
      <c r="F84" s="14">
        <v>0.4227871164660022</v>
      </c>
      <c r="G84" s="14">
        <v>7.3683497533380721E-46</v>
      </c>
      <c r="H84" s="14">
        <v>130.11930790650038</v>
      </c>
      <c r="I84" s="14">
        <v>278.73975591893895</v>
      </c>
      <c r="J84" s="14">
        <v>0</v>
      </c>
      <c r="K84" s="14">
        <v>2.3652565583332135</v>
      </c>
      <c r="L84" s="14">
        <v>0.42278711646600226</v>
      </c>
      <c r="M84" s="14">
        <v>0.34689682906035485</v>
      </c>
      <c r="N84" s="14">
        <v>72.331223411427231</v>
      </c>
      <c r="O84" s="14">
        <v>86986.252586816496</v>
      </c>
      <c r="P84" s="8">
        <v>72.331223411427231</v>
      </c>
      <c r="Q84" s="54">
        <v>0.3352732585504864</v>
      </c>
    </row>
    <row r="85" spans="1:17">
      <c r="A85" s="2" t="s">
        <v>405</v>
      </c>
      <c r="B85" s="16" t="s">
        <v>406</v>
      </c>
      <c r="D85" s="14">
        <v>1</v>
      </c>
      <c r="E85" s="14">
        <v>0.21267625234872067</v>
      </c>
      <c r="F85" s="14">
        <v>8.0344895826390733E-2</v>
      </c>
      <c r="G85" s="14">
        <v>2.4368309720383178E-10</v>
      </c>
      <c r="H85" s="14">
        <v>357.51116013546363</v>
      </c>
      <c r="I85" s="14">
        <v>173.05135774887796</v>
      </c>
      <c r="J85" s="14">
        <v>0</v>
      </c>
      <c r="K85" s="14">
        <v>12.446341360138172</v>
      </c>
      <c r="L85" s="14">
        <v>8.0344895826390747E-2</v>
      </c>
      <c r="M85" s="14">
        <v>6.5922987025553603E-2</v>
      </c>
      <c r="N85" s="14">
        <v>2269.58229128225</v>
      </c>
      <c r="O85" s="14">
        <v>723679.00939825829</v>
      </c>
      <c r="P85" s="8">
        <v>2269.58229128225</v>
      </c>
      <c r="Q85" s="54">
        <v>1.6702251198051035E-2</v>
      </c>
    </row>
    <row r="86" spans="1:17">
      <c r="A86" s="2" t="s">
        <v>407</v>
      </c>
      <c r="B86" s="16" t="s">
        <v>408</v>
      </c>
      <c r="D86" s="14">
        <v>1</v>
      </c>
      <c r="E86" s="14">
        <v>0.26812647922021504</v>
      </c>
      <c r="F86" s="14">
        <v>1.0534712429071899E-3</v>
      </c>
      <c r="G86" s="14">
        <v>8.4568995602928055E-7</v>
      </c>
      <c r="H86" s="14">
        <v>144.63809227128911</v>
      </c>
      <c r="I86" s="14">
        <v>5689.0513757317585</v>
      </c>
      <c r="J86" s="14">
        <v>0</v>
      </c>
      <c r="K86" s="14">
        <v>949.24280727433143</v>
      </c>
      <c r="L86" s="14">
        <v>1.0534712429071899E-3</v>
      </c>
      <c r="M86" s="14">
        <v>8.643731548053493E-4</v>
      </c>
      <c r="N86" s="14">
        <v>1591.8346250732727</v>
      </c>
      <c r="O86" s="14">
        <v>773297.34251434519</v>
      </c>
      <c r="P86" s="8">
        <v>1591.8346250732727</v>
      </c>
      <c r="Q86" s="54">
        <v>0.13293515789490787</v>
      </c>
    </row>
    <row r="87" spans="1:17">
      <c r="A87" s="2" t="s">
        <v>409</v>
      </c>
      <c r="B87" s="16" t="s">
        <v>410</v>
      </c>
      <c r="D87" s="14">
        <v>1</v>
      </c>
      <c r="E87" s="14">
        <v>0.26792499766859718</v>
      </c>
      <c r="F87" s="14">
        <v>3.5969526965361497E-4</v>
      </c>
      <c r="G87" s="14">
        <v>1.0317707556662239E-7</v>
      </c>
      <c r="H87" s="14">
        <v>76.798851694328377</v>
      </c>
      <c r="I87" s="14">
        <v>6330.1193326951325</v>
      </c>
      <c r="J87" s="14">
        <v>0</v>
      </c>
      <c r="K87" s="14">
        <v>2780.1310841896693</v>
      </c>
      <c r="L87" s="14">
        <v>3.5969526965361497E-4</v>
      </c>
      <c r="M87" s="14">
        <v>2.9512996875079105E-4</v>
      </c>
      <c r="N87" s="14">
        <v>1789.7497742326805</v>
      </c>
      <c r="O87" s="14">
        <v>1010653.8000114525</v>
      </c>
      <c r="P87" s="8">
        <v>1789.7497742326807</v>
      </c>
      <c r="Q87" s="54">
        <v>8.8229109770384256E-2</v>
      </c>
    </row>
    <row r="88" spans="1:17">
      <c r="A88" s="2" t="s">
        <v>301</v>
      </c>
      <c r="B88" s="16" t="s">
        <v>302</v>
      </c>
      <c r="D88" s="14">
        <v>1</v>
      </c>
      <c r="E88" s="14">
        <v>0.27027516649413674</v>
      </c>
      <c r="F88" s="14">
        <v>1.0054601654535132E-4</v>
      </c>
      <c r="G88" s="14">
        <v>1.2690927321148083E-8</v>
      </c>
      <c r="H88" s="14">
        <v>35.470300624197215</v>
      </c>
      <c r="I88" s="14">
        <v>6781.441818495603</v>
      </c>
      <c r="J88" s="14">
        <v>0</v>
      </c>
      <c r="K88" s="14">
        <v>9945.6948605114521</v>
      </c>
      <c r="L88" s="14">
        <v>1.0054601654535132E-4</v>
      </c>
      <c r="M88" s="14">
        <v>8.2498006575460766E-5</v>
      </c>
      <c r="N88" s="14">
        <v>1940.2284630430784</v>
      </c>
      <c r="O88" s="14">
        <v>1248692.2342452644</v>
      </c>
      <c r="P88" s="8">
        <v>1940.2284630430784</v>
      </c>
      <c r="Q88" s="54">
        <v>5.2519676224452957E-2</v>
      </c>
    </row>
    <row r="89" spans="1:17">
      <c r="A89" s="2" t="s">
        <v>303</v>
      </c>
      <c r="B89" s="16" t="s">
        <v>304</v>
      </c>
      <c r="D89" s="14">
        <v>1</v>
      </c>
      <c r="E89" s="14">
        <v>2.6780814073929123E-2</v>
      </c>
      <c r="F89" s="14">
        <v>6.3774714165309987E-4</v>
      </c>
      <c r="G89" s="14">
        <v>9.1838077324001464E-16</v>
      </c>
      <c r="H89" s="14">
        <v>20.635599433186552</v>
      </c>
      <c r="I89" s="14">
        <v>496.91805913287811</v>
      </c>
      <c r="J89" s="14">
        <v>0</v>
      </c>
      <c r="K89" s="14">
        <v>1568.0195718445825</v>
      </c>
      <c r="L89" s="14">
        <v>6.3774714165309987E-4</v>
      </c>
      <c r="M89" s="14">
        <v>5.2327152972636841E-4</v>
      </c>
      <c r="N89" s="14">
        <v>2872.7805757648921</v>
      </c>
      <c r="O89" s="14">
        <v>1853834.0333468423</v>
      </c>
      <c r="P89" s="8">
        <v>2872.7805757648921</v>
      </c>
      <c r="Q89" s="54">
        <v>5.3763159165645773E-3</v>
      </c>
    </row>
    <row r="90" spans="1:17">
      <c r="A90" s="2" t="s">
        <v>425</v>
      </c>
      <c r="B90" s="16" t="s">
        <v>426</v>
      </c>
      <c r="D90" s="14">
        <v>1</v>
      </c>
      <c r="E90" s="14">
        <v>0.97467325365542989</v>
      </c>
      <c r="F90" s="14">
        <v>0.97493121211367972</v>
      </c>
      <c r="G90" s="14">
        <v>1.7758669628326395E-15</v>
      </c>
      <c r="H90" s="14">
        <v>0.25982083515547827</v>
      </c>
      <c r="I90" s="14">
        <v>0.80772007472115659</v>
      </c>
      <c r="J90" s="14">
        <v>0</v>
      </c>
      <c r="K90" s="14">
        <v>1.0257133914422232</v>
      </c>
      <c r="L90" s="14">
        <v>0.97493121211367983</v>
      </c>
      <c r="M90" s="14">
        <v>0.79993105953927435</v>
      </c>
      <c r="N90" s="14">
        <v>0.79800303938750372</v>
      </c>
      <c r="O90" s="14">
        <v>221.25432270057928</v>
      </c>
      <c r="P90" s="8">
        <v>0.79800303938750383</v>
      </c>
      <c r="Q90" s="54">
        <v>1.6914566693143875E-2</v>
      </c>
    </row>
    <row r="91" spans="1:17">
      <c r="A91" s="2" t="s">
        <v>427</v>
      </c>
      <c r="B91" s="16" t="s">
        <v>428</v>
      </c>
      <c r="D91" s="14">
        <v>1</v>
      </c>
      <c r="E91" s="14">
        <v>0.77073364659826282</v>
      </c>
      <c r="F91" s="14">
        <v>0.76355171240826436</v>
      </c>
      <c r="G91" s="14">
        <v>9.7213581422003531E-7</v>
      </c>
      <c r="H91" s="14">
        <v>16.591989166406766</v>
      </c>
      <c r="I91" s="14">
        <v>43.207150559349074</v>
      </c>
      <c r="J91" s="14">
        <v>0</v>
      </c>
      <c r="K91" s="14">
        <v>1.3096689899967231</v>
      </c>
      <c r="L91" s="14">
        <v>0.76355171240826436</v>
      </c>
      <c r="M91" s="14">
        <v>0.6264941800309809</v>
      </c>
      <c r="N91" s="14">
        <v>11.404236556900628</v>
      </c>
      <c r="O91" s="14">
        <v>1883.8658368344145</v>
      </c>
      <c r="P91" s="8">
        <v>11.404236556900628</v>
      </c>
      <c r="Q91" s="54">
        <v>0.15210925044435364</v>
      </c>
    </row>
    <row r="92" spans="1:17">
      <c r="A92" s="2" t="s">
        <v>429</v>
      </c>
      <c r="B92" s="16" t="s">
        <v>430</v>
      </c>
      <c r="D92" s="14">
        <v>1</v>
      </c>
      <c r="E92" s="14">
        <v>0.37370877172327543</v>
      </c>
      <c r="F92" s="14">
        <v>0.25641311678661705</v>
      </c>
      <c r="G92" s="14">
        <v>1.1302869812642166E-5</v>
      </c>
      <c r="H92" s="14">
        <v>275.52450936694999</v>
      </c>
      <c r="I92" s="14">
        <v>538.29135922207411</v>
      </c>
      <c r="J92" s="14">
        <v>0</v>
      </c>
      <c r="K92" s="14">
        <v>3.8999564941608829</v>
      </c>
      <c r="L92" s="14">
        <v>0.25641311678661705</v>
      </c>
      <c r="M92" s="14">
        <v>0.21038696232341927</v>
      </c>
      <c r="N92" s="14">
        <v>140.75259546495352</v>
      </c>
      <c r="O92" s="14">
        <v>25369.24780660322</v>
      </c>
      <c r="P92" s="8">
        <v>140.75259546495352</v>
      </c>
      <c r="Q92" s="54">
        <v>0.39013724109421954</v>
      </c>
    </row>
    <row r="93" spans="1:17">
      <c r="A93" s="2" t="s">
        <v>431</v>
      </c>
      <c r="B93" s="16" t="s">
        <v>432</v>
      </c>
      <c r="D93" s="14">
        <v>1</v>
      </c>
      <c r="E93" s="14">
        <v>0.99961612639942266</v>
      </c>
      <c r="F93" s="14">
        <v>0.99956918624386859</v>
      </c>
      <c r="G93" s="14">
        <v>1.3395708217276522E-19</v>
      </c>
      <c r="H93" s="14">
        <v>1.2399462504550851</v>
      </c>
      <c r="I93" s="14">
        <v>9.1978515614771598E-3</v>
      </c>
      <c r="J93" s="14">
        <v>0</v>
      </c>
      <c r="K93" s="14">
        <v>1.0004309994366176</v>
      </c>
      <c r="L93" s="14">
        <v>0.99956918624386859</v>
      </c>
      <c r="M93" s="14">
        <v>0.82014651731309418</v>
      </c>
      <c r="N93" s="14">
        <v>0.68702818564845658</v>
      </c>
      <c r="O93" s="14">
        <v>267.17839111682827</v>
      </c>
      <c r="P93" s="8">
        <v>0.68702818564845658</v>
      </c>
      <c r="Q93" s="54">
        <v>1.0329668788451348E-4</v>
      </c>
    </row>
    <row r="94" spans="1:17">
      <c r="A94" s="2" t="s">
        <v>433</v>
      </c>
      <c r="B94" s="16" t="s">
        <v>434</v>
      </c>
      <c r="D94" s="14">
        <v>1</v>
      </c>
      <c r="E94" s="14">
        <v>0.99978227287561805</v>
      </c>
      <c r="F94" s="14">
        <v>1.0001704857222133</v>
      </c>
      <c r="G94" s="14">
        <v>2.8202819140238809E-20</v>
      </c>
      <c r="H94" s="14">
        <v>4.8068883510286042E-3</v>
      </c>
      <c r="I94" s="14">
        <v>6.2104245808349451E-5</v>
      </c>
      <c r="J94" s="14">
        <v>0</v>
      </c>
      <c r="K94" s="14">
        <v>0.99982954333821372</v>
      </c>
      <c r="L94" s="14">
        <v>1.0001704857222133</v>
      </c>
      <c r="M94" s="14">
        <v>0.820639883535076</v>
      </c>
      <c r="N94" s="14">
        <v>0.63651907627306359</v>
      </c>
      <c r="O94" s="14">
        <v>114.08967923118394</v>
      </c>
      <c r="P94" s="8">
        <v>0.6365190762730637</v>
      </c>
      <c r="Q94" s="54">
        <v>2.6032824590088635E-6</v>
      </c>
    </row>
    <row r="95" spans="1:17">
      <c r="A95" s="2" t="s">
        <v>435</v>
      </c>
      <c r="B95" s="16" t="s">
        <v>436</v>
      </c>
      <c r="D95" s="14">
        <v>1</v>
      </c>
      <c r="E95" s="14">
        <v>0.94154786052830675</v>
      </c>
      <c r="F95" s="14">
        <v>0.94141107683180303</v>
      </c>
      <c r="G95" s="14">
        <v>1.51509334219167E-10</v>
      </c>
      <c r="H95" s="14">
        <v>1.0631195246916354</v>
      </c>
      <c r="I95" s="14">
        <v>3.4140899244303005</v>
      </c>
      <c r="J95" s="14">
        <v>0</v>
      </c>
      <c r="K95" s="14">
        <v>1.0622352175474399</v>
      </c>
      <c r="L95" s="14">
        <v>0.94141107683180303</v>
      </c>
      <c r="M95" s="14">
        <v>0.77242778854049443</v>
      </c>
      <c r="N95" s="14">
        <v>1.447656910602503</v>
      </c>
      <c r="O95" s="14">
        <v>377.96874278920751</v>
      </c>
      <c r="P95" s="8">
        <v>1.4476569106025032</v>
      </c>
      <c r="Q95" s="54">
        <v>3.9126856351876176E-2</v>
      </c>
    </row>
    <row r="96" spans="1:17">
      <c r="A96" s="2" t="s">
        <v>437</v>
      </c>
      <c r="B96" s="166" t="s">
        <v>438</v>
      </c>
      <c r="D96" s="14">
        <v>1</v>
      </c>
      <c r="E96" s="14">
        <v>0.2696520899544021</v>
      </c>
      <c r="F96" s="14">
        <v>1.5485941229825256E-3</v>
      </c>
      <c r="G96" s="14">
        <v>1.5972985390587772E-9</v>
      </c>
      <c r="H96" s="14">
        <v>180.36721800816895</v>
      </c>
      <c r="I96" s="14">
        <v>5385.3604618778518</v>
      </c>
      <c r="J96" s="14">
        <v>0</v>
      </c>
      <c r="K96" s="14">
        <v>645.74699410200719</v>
      </c>
      <c r="L96" s="14">
        <v>1.5485941229825256E-3</v>
      </c>
      <c r="M96" s="14">
        <v>1.2706214779071622E-3</v>
      </c>
      <c r="N96" s="14">
        <v>1501.0310452815177</v>
      </c>
      <c r="O96" s="14">
        <v>624879.22415069584</v>
      </c>
      <c r="P96" s="8">
        <v>1501.0310452815177</v>
      </c>
      <c r="Q96" s="54">
        <v>0.15255090117504411</v>
      </c>
    </row>
    <row r="97" spans="1:17">
      <c r="A97" s="2" t="s">
        <v>439</v>
      </c>
      <c r="B97" s="16" t="s">
        <v>440</v>
      </c>
      <c r="D97" s="14">
        <v>1</v>
      </c>
      <c r="E97" s="14">
        <v>0.690226868883969</v>
      </c>
      <c r="F97" s="14">
        <v>0.67593665478817055</v>
      </c>
      <c r="G97" s="14">
        <v>4.9740996977760637E-7</v>
      </c>
      <c r="H97" s="14">
        <v>32.695350547146781</v>
      </c>
      <c r="I97" s="14">
        <v>80.26813433665528</v>
      </c>
      <c r="J97" s="14">
        <v>0</v>
      </c>
      <c r="K97" s="14">
        <v>1.4794285720655089</v>
      </c>
      <c r="L97" s="14">
        <v>0.67593665478817055</v>
      </c>
      <c r="M97" s="14">
        <v>0.55460602525369396</v>
      </c>
      <c r="N97" s="14">
        <v>20.86179234668867</v>
      </c>
      <c r="O97" s="14">
        <v>3990.2350221511419</v>
      </c>
      <c r="P97" s="8">
        <v>20.86179234668867</v>
      </c>
      <c r="Q97" s="54">
        <v>0.20433519134342784</v>
      </c>
    </row>
    <row r="98" spans="1:17">
      <c r="A98" s="2" t="s">
        <v>441</v>
      </c>
      <c r="B98" s="16" t="s">
        <v>442</v>
      </c>
      <c r="D98" s="14">
        <v>1</v>
      </c>
      <c r="E98" s="14">
        <v>0.75679976329351673</v>
      </c>
      <c r="F98" s="14">
        <v>0.74859204636069621</v>
      </c>
      <c r="G98" s="14">
        <v>3.2321662880331592E-19</v>
      </c>
      <c r="H98" s="14">
        <v>18.900148153505906</v>
      </c>
      <c r="I98" s="14">
        <v>48.676840259058501</v>
      </c>
      <c r="J98" s="14">
        <v>0</v>
      </c>
      <c r="K98" s="14">
        <v>1.3358410697275389</v>
      </c>
      <c r="L98" s="14">
        <v>0.74859204636069632</v>
      </c>
      <c r="M98" s="14">
        <v>0.61421977403895134</v>
      </c>
      <c r="N98" s="14">
        <v>12.794301492264196</v>
      </c>
      <c r="O98" s="14">
        <v>5021.2515636540065</v>
      </c>
      <c r="P98" s="8">
        <v>12.794301492264196</v>
      </c>
      <c r="Q98" s="54">
        <v>0.16125841219843073</v>
      </c>
    </row>
    <row r="99" spans="1:17">
      <c r="A99" s="2" t="s">
        <v>443</v>
      </c>
      <c r="B99" s="16" t="s">
        <v>444</v>
      </c>
      <c r="D99" s="14">
        <v>1</v>
      </c>
      <c r="E99" s="14">
        <v>0.880155135579475</v>
      </c>
      <c r="F99" s="14">
        <v>0.87852884549973342</v>
      </c>
      <c r="G99" s="14">
        <v>4.7319975741911023E-31</v>
      </c>
      <c r="H99" s="14">
        <v>4.2581016585108982</v>
      </c>
      <c r="I99" s="14">
        <v>12.38434940370394</v>
      </c>
      <c r="J99" s="14">
        <v>0</v>
      </c>
      <c r="K99" s="14">
        <v>1.1382665522281972</v>
      </c>
      <c r="L99" s="14">
        <v>0.87852884549973342</v>
      </c>
      <c r="M99" s="14">
        <v>0.72083291773253133</v>
      </c>
      <c r="N99" s="14">
        <v>3.6360782586948379</v>
      </c>
      <c r="O99" s="14">
        <v>2839.5589553451468</v>
      </c>
      <c r="P99" s="8">
        <v>3.6360782586948384</v>
      </c>
      <c r="Q99" s="54">
        <v>8.0070620934782274E-2</v>
      </c>
    </row>
    <row r="100" spans="1:17">
      <c r="A100" s="2" t="s">
        <v>445</v>
      </c>
      <c r="B100" s="16" t="s">
        <v>446</v>
      </c>
      <c r="D100" s="14">
        <v>1</v>
      </c>
      <c r="E100" s="14">
        <v>0.31330157535665398</v>
      </c>
      <c r="F100" s="14">
        <v>1.1700672939544778E-2</v>
      </c>
      <c r="G100" s="14">
        <v>1.9275219292546061E-9</v>
      </c>
      <c r="H100" s="14">
        <v>521.27973277661874</v>
      </c>
      <c r="I100" s="14">
        <v>3110.4842796663797</v>
      </c>
      <c r="J100" s="14">
        <v>0</v>
      </c>
      <c r="K100" s="14">
        <v>85.465169838249125</v>
      </c>
      <c r="L100" s="14">
        <v>1.1700672939544778E-2</v>
      </c>
      <c r="M100" s="14">
        <v>9.6004021468964907E-3</v>
      </c>
      <c r="N100" s="14">
        <v>847.59667920526158</v>
      </c>
      <c r="O100" s="14">
        <v>259703.62250849215</v>
      </c>
      <c r="P100" s="8">
        <v>847.59667920526169</v>
      </c>
      <c r="Q100" s="54">
        <v>0.27128639269354804</v>
      </c>
    </row>
    <row r="101" spans="1:17">
      <c r="A101" s="2" t="s">
        <v>447</v>
      </c>
      <c r="B101" s="16" t="s">
        <v>448</v>
      </c>
      <c r="D101" s="14">
        <v>1</v>
      </c>
      <c r="E101" s="14">
        <v>0.40645106119510366</v>
      </c>
      <c r="F101" s="14">
        <v>0.3160419899195292</v>
      </c>
      <c r="G101" s="14">
        <v>8.7670457987786664E-11</v>
      </c>
      <c r="H101" s="14">
        <v>211.16638616850923</v>
      </c>
      <c r="I101" s="14">
        <v>427.24988882621989</v>
      </c>
      <c r="J101" s="14">
        <v>0</v>
      </c>
      <c r="K101" s="14">
        <v>3.1641365131722545</v>
      </c>
      <c r="L101" s="14">
        <v>0.3160419899195292</v>
      </c>
      <c r="M101" s="14">
        <v>0.25931245272897374</v>
      </c>
      <c r="N101" s="14">
        <v>111.35876885322524</v>
      </c>
      <c r="O101" s="14">
        <v>37507.860525143326</v>
      </c>
      <c r="P101" s="8">
        <v>111.35876885322524</v>
      </c>
      <c r="Q101" s="54">
        <v>0.37538935959141317</v>
      </c>
    </row>
    <row r="102" spans="1:17">
      <c r="A102" s="2" t="s">
        <v>449</v>
      </c>
      <c r="B102" s="16" t="s">
        <v>450</v>
      </c>
      <c r="D102" s="14">
        <v>1</v>
      </c>
      <c r="E102" s="14">
        <v>0.34623885957687095</v>
      </c>
      <c r="F102" s="14">
        <v>0.11675053011099747</v>
      </c>
      <c r="G102" s="14">
        <v>6.5320176394759339E-6</v>
      </c>
      <c r="H102" s="14">
        <v>548.55333680072374</v>
      </c>
      <c r="I102" s="14">
        <v>961.33782822540297</v>
      </c>
      <c r="J102" s="14">
        <v>0</v>
      </c>
      <c r="K102" s="14">
        <v>8.5652716013304317</v>
      </c>
      <c r="L102" s="14">
        <v>0.11675053011099747</v>
      </c>
      <c r="M102" s="14">
        <v>9.5793809956073422E-2</v>
      </c>
      <c r="N102" s="14">
        <v>254.17707488675941</v>
      </c>
      <c r="O102" s="14">
        <v>118215.21575908293</v>
      </c>
      <c r="P102" s="8">
        <v>254.17707488675941</v>
      </c>
      <c r="Q102" s="54">
        <v>0.38324458912969689</v>
      </c>
    </row>
    <row r="103" spans="1:17">
      <c r="A103" s="2" t="s">
        <v>451</v>
      </c>
      <c r="B103" s="16" t="s">
        <v>452</v>
      </c>
      <c r="D103" s="14">
        <v>1</v>
      </c>
      <c r="E103" s="14">
        <v>0.99915040263865063</v>
      </c>
      <c r="F103" s="14">
        <v>0.987979351851903</v>
      </c>
      <c r="G103" s="14">
        <v>5.3782262324554012E-21</v>
      </c>
      <c r="H103" s="14">
        <v>32.841869284159309</v>
      </c>
      <c r="I103" s="14">
        <v>2.9509693024819046E-2</v>
      </c>
      <c r="J103" s="14">
        <v>0</v>
      </c>
      <c r="K103" s="14">
        <v>1.0121669021984772</v>
      </c>
      <c r="L103" s="14">
        <v>0.98797935185190311</v>
      </c>
      <c r="M103" s="14">
        <v>0.8106370581944865</v>
      </c>
      <c r="N103" s="14">
        <v>2.1429772340200532</v>
      </c>
      <c r="O103" s="14">
        <v>708.76829037979246</v>
      </c>
      <c r="P103" s="8">
        <v>2.1429772340200532</v>
      </c>
      <c r="Q103" s="54">
        <v>8.7450982235051024E-5</v>
      </c>
    </row>
    <row r="104" spans="1:17">
      <c r="A104" s="2" t="s">
        <v>453</v>
      </c>
      <c r="B104" s="16" t="s">
        <v>454</v>
      </c>
      <c r="D104" s="14">
        <v>1</v>
      </c>
      <c r="E104" s="14">
        <v>0.95502519315641421</v>
      </c>
      <c r="F104" s="14">
        <v>9.6848112978199175E-2</v>
      </c>
      <c r="G104" s="14">
        <v>1.0894169444070408E-21</v>
      </c>
      <c r="H104" s="14">
        <v>2436.6388434581895</v>
      </c>
      <c r="I104" s="14">
        <v>23.890125374972953</v>
      </c>
      <c r="J104" s="14">
        <v>0</v>
      </c>
      <c r="K104" s="14">
        <v>10.325446405188123</v>
      </c>
      <c r="L104" s="14">
        <v>9.6848112978199188E-2</v>
      </c>
      <c r="M104" s="14">
        <v>7.9463876698612435E-2</v>
      </c>
      <c r="N104" s="14">
        <v>115.9237945416977</v>
      </c>
      <c r="O104" s="14">
        <v>57266.354503598668</v>
      </c>
      <c r="P104" s="8">
        <v>115.9237945416977</v>
      </c>
      <c r="Q104" s="54">
        <v>4.0664780173632403E-3</v>
      </c>
    </row>
    <row r="105" spans="1:17">
      <c r="A105" s="2" t="s">
        <v>455</v>
      </c>
      <c r="B105" s="166">
        <v>354656</v>
      </c>
      <c r="D105" s="14">
        <v>1</v>
      </c>
      <c r="E105" s="14">
        <v>0.96968675933858106</v>
      </c>
      <c r="F105" s="14">
        <v>0.96992892571735034</v>
      </c>
      <c r="G105" s="14">
        <v>4.0855299538806316E-12</v>
      </c>
      <c r="H105" s="14">
        <v>0.27862489079957387</v>
      </c>
      <c r="I105" s="14">
        <v>0.99787715930200394</v>
      </c>
      <c r="J105" s="14">
        <v>0</v>
      </c>
      <c r="K105" s="14">
        <v>1.0310033792016351</v>
      </c>
      <c r="L105" s="14">
        <v>0.96992892571735034</v>
      </c>
      <c r="M105" s="14">
        <v>0.79582668355108599</v>
      </c>
      <c r="N105" s="14">
        <v>0.83927743384649411</v>
      </c>
      <c r="O105" s="14">
        <v>165.49711718019017</v>
      </c>
      <c r="P105" s="8">
        <v>0.83927743384649423</v>
      </c>
      <c r="Q105" s="54">
        <v>2.0271089076265351E-2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0.93879891981231567</v>
      </c>
      <c r="F106" s="14">
        <v>0.93861923707981332</v>
      </c>
      <c r="G106" s="14">
        <v>6.0759424165448694E-12</v>
      </c>
      <c r="H106" s="14">
        <v>1.1526851192713876</v>
      </c>
      <c r="I106" s="14">
        <v>3.6850874610819222</v>
      </c>
      <c r="J106" s="14">
        <v>0</v>
      </c>
      <c r="K106" s="14">
        <v>1.0653947420800276</v>
      </c>
      <c r="L106" s="14">
        <v>0.93861923707981332</v>
      </c>
      <c r="M106" s="14">
        <v>0.77013708402398684</v>
      </c>
      <c r="N106" s="14">
        <v>1.5098865725313568</v>
      </c>
      <c r="O106" s="14">
        <v>241.85363118807274</v>
      </c>
      <c r="P106" s="8">
        <v>1.5098865725313568</v>
      </c>
      <c r="Q106" s="54">
        <v>4.0968286482923354E-2</v>
      </c>
    </row>
    <row r="107" spans="1:17">
      <c r="A107" s="2" t="s">
        <v>459</v>
      </c>
      <c r="B107" s="16" t="s">
        <v>460</v>
      </c>
      <c r="D107" s="14">
        <v>1</v>
      </c>
      <c r="E107" s="14">
        <v>0.38189060312028772</v>
      </c>
      <c r="F107" s="14">
        <v>7.6599930040017597E-2</v>
      </c>
      <c r="G107" s="14">
        <v>1.8627939833291146E-21</v>
      </c>
      <c r="H107" s="14">
        <v>738.52545206948912</v>
      </c>
      <c r="I107" s="14">
        <v>1196.7826247596806</v>
      </c>
      <c r="J107" s="14">
        <v>0</v>
      </c>
      <c r="K107" s="14">
        <v>13.054842210398579</v>
      </c>
      <c r="L107" s="14">
        <v>7.6599930040017611E-2</v>
      </c>
      <c r="M107" s="14">
        <v>6.2850242597834449E-2</v>
      </c>
      <c r="N107" s="14">
        <v>348.97317368931635</v>
      </c>
      <c r="O107" s="14">
        <v>185454.8136937134</v>
      </c>
      <c r="P107" s="8">
        <v>348.97317368931641</v>
      </c>
      <c r="Q107" s="54">
        <v>0.33807672710106884</v>
      </c>
    </row>
    <row r="108" spans="1:17">
      <c r="A108" s="2" t="s">
        <v>461</v>
      </c>
      <c r="B108" s="16" t="s">
        <v>462</v>
      </c>
      <c r="D108" s="14">
        <v>1</v>
      </c>
      <c r="E108" s="14">
        <v>0.99973441750795011</v>
      </c>
      <c r="F108" s="14">
        <v>1.0001234041935625</v>
      </c>
      <c r="G108" s="14">
        <v>1.2185138610349847E-11</v>
      </c>
      <c r="H108" s="14">
        <v>2.4898567520166295E-3</v>
      </c>
      <c r="I108" s="14">
        <v>6.6818628748408296E-4</v>
      </c>
      <c r="J108" s="14">
        <v>0</v>
      </c>
      <c r="K108" s="14">
        <v>0.99987661103315351</v>
      </c>
      <c r="L108" s="14">
        <v>1.0001234041935625</v>
      </c>
      <c r="M108" s="14">
        <v>0.820601253140818</v>
      </c>
      <c r="N108" s="14">
        <v>0.62558389296122263</v>
      </c>
      <c r="O108" s="14">
        <v>80.800415614871511</v>
      </c>
      <c r="P108" s="8">
        <v>0.62558389296122263</v>
      </c>
      <c r="Q108" s="54">
        <v>3.7385014962930873E-5</v>
      </c>
    </row>
    <row r="109" spans="1:17">
      <c r="A109" s="2" t="s">
        <v>463</v>
      </c>
      <c r="B109" s="16" t="s">
        <v>464</v>
      </c>
      <c r="D109" s="14">
        <v>1</v>
      </c>
      <c r="E109" s="14">
        <v>0.96723517851904595</v>
      </c>
      <c r="F109" s="14">
        <v>0.9613113164558581</v>
      </c>
      <c r="G109" s="14">
        <v>3.247418922706351E-14</v>
      </c>
      <c r="H109" s="14">
        <v>17.05424991936674</v>
      </c>
      <c r="I109" s="14">
        <v>7.8487467148700789</v>
      </c>
      <c r="J109" s="14">
        <v>0</v>
      </c>
      <c r="K109" s="14">
        <v>1.04024573817229</v>
      </c>
      <c r="L109" s="14">
        <v>0.9613113164558581</v>
      </c>
      <c r="M109" s="14">
        <v>0.78875593515203157</v>
      </c>
      <c r="N109" s="14">
        <v>41.104198401497861</v>
      </c>
      <c r="O109" s="14">
        <v>12323.038680769059</v>
      </c>
      <c r="P109" s="8">
        <v>41.104198401497861</v>
      </c>
      <c r="Q109" s="54">
        <v>1.2793822300211434E-2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0.99354981494608929</v>
      </c>
      <c r="F110" s="14">
        <v>0.99391058776913099</v>
      </c>
      <c r="G110" s="14">
        <v>2.3139496973671149E-13</v>
      </c>
      <c r="H110" s="14">
        <v>6.3683557643729696E-2</v>
      </c>
      <c r="I110" s="14">
        <v>0.11281204139149764</v>
      </c>
      <c r="J110" s="14">
        <v>0</v>
      </c>
      <c r="K110" s="14">
        <v>1.0061267203567443</v>
      </c>
      <c r="L110" s="14">
        <v>0.9939105877691311</v>
      </c>
      <c r="M110" s="14">
        <v>0.81550363726457198</v>
      </c>
      <c r="N110" s="14">
        <v>0.63978099656910559</v>
      </c>
      <c r="O110" s="14">
        <v>152.37024214289818</v>
      </c>
      <c r="P110" s="8">
        <v>0.63978099656910559</v>
      </c>
      <c r="Q110" s="54">
        <v>4.2087725673105401E-3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0.99978800020004799</v>
      </c>
      <c r="F111" s="14">
        <v>1.0001763156243759</v>
      </c>
      <c r="G111" s="14">
        <v>4.112241895387763E-32</v>
      </c>
      <c r="H111" s="14">
        <v>4.524770602297945E-3</v>
      </c>
      <c r="I111" s="14">
        <v>3.461227376826921E-5</v>
      </c>
      <c r="J111" s="14">
        <v>0</v>
      </c>
      <c r="K111" s="14">
        <v>0.99982371545734328</v>
      </c>
      <c r="L111" s="14">
        <v>1.0001763156243759</v>
      </c>
      <c r="M111" s="14">
        <v>0.82064466696980043</v>
      </c>
      <c r="N111" s="14">
        <v>0.61428748539895783</v>
      </c>
      <c r="O111" s="14">
        <v>282.83638690224217</v>
      </c>
      <c r="P111" s="8">
        <v>0.61428748539895783</v>
      </c>
      <c r="Q111" s="54">
        <v>3.7794632791457704E-6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0.99171107002954684</v>
      </c>
      <c r="F112" s="14">
        <v>0.99208648767086216</v>
      </c>
      <c r="G112" s="14">
        <v>2.5996089423557748E-15</v>
      </c>
      <c r="H112" s="14">
        <v>2.1962386723872664E-2</v>
      </c>
      <c r="I112" s="14">
        <v>9.500286561396383E-2</v>
      </c>
      <c r="J112" s="14">
        <v>0</v>
      </c>
      <c r="K112" s="14">
        <v>1.0079766355327715</v>
      </c>
      <c r="L112" s="14">
        <v>0.99208648767086216</v>
      </c>
      <c r="M112" s="14">
        <v>0.8140069631339425</v>
      </c>
      <c r="N112" s="14">
        <v>0.63169323465859617</v>
      </c>
      <c r="O112" s="14">
        <v>129.65503641367687</v>
      </c>
      <c r="P112" s="8">
        <v>0.63169323465859628</v>
      </c>
      <c r="Q112" s="54">
        <v>5.4517597042773366E-3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0.95420461875572116</v>
      </c>
      <c r="F113" s="14">
        <v>0.95427637750915073</v>
      </c>
      <c r="G113" s="14">
        <v>3.2074704278537019E-11</v>
      </c>
      <c r="H113" s="14">
        <v>0.62565392478960358</v>
      </c>
      <c r="I113" s="14">
        <v>2.1085861231738661</v>
      </c>
      <c r="J113" s="14">
        <v>0</v>
      </c>
      <c r="K113" s="14">
        <v>1.0479144444612545</v>
      </c>
      <c r="L113" s="14">
        <v>0.95427637750915073</v>
      </c>
      <c r="M113" s="14">
        <v>0.78298376774625822</v>
      </c>
      <c r="N113" s="14">
        <v>1.1046091287832818</v>
      </c>
      <c r="O113" s="14">
        <v>166.97271590688086</v>
      </c>
      <c r="P113" s="8">
        <v>1.1046091287832818</v>
      </c>
      <c r="Q113" s="54">
        <v>3.0661355040941911E-2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0.99560484181236575</v>
      </c>
      <c r="F114" s="14">
        <v>0.99598973504827892</v>
      </c>
      <c r="G114" s="14">
        <v>2.551609567204431E-18</v>
      </c>
      <c r="H114" s="14">
        <v>6.3946217791683371E-3</v>
      </c>
      <c r="I114" s="14">
        <v>2.982943871642716E-2</v>
      </c>
      <c r="J114" s="14">
        <v>0</v>
      </c>
      <c r="K114" s="14">
        <v>1.0040264119303666</v>
      </c>
      <c r="L114" s="14">
        <v>0.99598973504827903</v>
      </c>
      <c r="M114" s="14">
        <v>0.81720957760711299</v>
      </c>
      <c r="N114" s="14">
        <v>0.61841804364339548</v>
      </c>
      <c r="O114" s="14">
        <v>209.86634729082269</v>
      </c>
      <c r="P114" s="8">
        <v>0.61841804364339548</v>
      </c>
      <c r="Q114" s="54">
        <v>2.8264745643546067E-3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0.99958780808065018</v>
      </c>
      <c r="F115" s="14">
        <v>0.99717222677755868</v>
      </c>
      <c r="G115" s="14">
        <v>1.352770630412387E-14</v>
      </c>
      <c r="H115" s="14">
        <v>7.9694834675972679</v>
      </c>
      <c r="I115" s="14">
        <v>8.8384405007232957E-3</v>
      </c>
      <c r="J115" s="14">
        <v>0</v>
      </c>
      <c r="K115" s="14">
        <v>1.002835792199688</v>
      </c>
      <c r="L115" s="14">
        <v>0.99717222677755868</v>
      </c>
      <c r="M115" s="14">
        <v>0.81817981207098689</v>
      </c>
      <c r="N115" s="14">
        <v>1.0210150965059481</v>
      </c>
      <c r="O115" s="14">
        <v>196.16763049168782</v>
      </c>
      <c r="P115" s="8">
        <v>1.0210150965059483</v>
      </c>
      <c r="Q115" s="54">
        <v>4.6663320851841878E-5</v>
      </c>
    </row>
    <row r="116" spans="1:17">
      <c r="A116" s="2" t="s">
        <v>477</v>
      </c>
      <c r="B116" s="16" t="s">
        <v>478</v>
      </c>
      <c r="D116" s="14">
        <v>1</v>
      </c>
      <c r="E116" s="14">
        <v>0.56944271143989644</v>
      </c>
      <c r="F116" s="14">
        <v>0.35041672864628154</v>
      </c>
      <c r="G116" s="14">
        <v>9.7356329138929318E-19</v>
      </c>
      <c r="H116" s="14">
        <v>608.17384178279383</v>
      </c>
      <c r="I116" s="14">
        <v>136.38696732242741</v>
      </c>
      <c r="J116" s="14">
        <v>0</v>
      </c>
      <c r="K116" s="14">
        <v>2.8537450362691508</v>
      </c>
      <c r="L116" s="14">
        <v>0.35041672864628159</v>
      </c>
      <c r="M116" s="14">
        <v>0.28751692585427402</v>
      </c>
      <c r="N116" s="14">
        <v>1132.508458532066</v>
      </c>
      <c r="O116" s="14">
        <v>514838.34524867724</v>
      </c>
      <c r="P116" s="8">
        <v>1132.508458532066</v>
      </c>
      <c r="Q116" s="54">
        <v>3.3773251382997381E-2</v>
      </c>
    </row>
    <row r="117" spans="1:17">
      <c r="A117" s="2" t="s">
        <v>291</v>
      </c>
      <c r="B117" s="16" t="s">
        <v>479</v>
      </c>
      <c r="D117" s="14">
        <v>1</v>
      </c>
      <c r="E117" s="14">
        <v>0.60474060267316676</v>
      </c>
      <c r="F117" s="14">
        <v>0.57887291044963285</v>
      </c>
      <c r="G117" s="14">
        <v>3.992010859427521E-12</v>
      </c>
      <c r="H117" s="14">
        <v>59.287512105759525</v>
      </c>
      <c r="I117" s="14">
        <v>137.7274152540291</v>
      </c>
      <c r="J117" s="14">
        <v>0</v>
      </c>
      <c r="K117" s="14">
        <v>1.7274948990500547</v>
      </c>
      <c r="L117" s="14">
        <v>0.57887291044963296</v>
      </c>
      <c r="M117" s="14">
        <v>0.4749652230239238</v>
      </c>
      <c r="N117" s="14">
        <v>35.65174205029647</v>
      </c>
      <c r="O117" s="14">
        <v>10992.50162636791</v>
      </c>
      <c r="P117" s="8">
        <v>35.65174205029647</v>
      </c>
      <c r="Q117" s="54">
        <v>0.25871427785609052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2.6141485035316577E-8</v>
      </c>
      <c r="E2" s="20">
        <v>0.97644376364195795</v>
      </c>
      <c r="F2" s="20">
        <v>5.9869339939534027E-5</v>
      </c>
      <c r="G2" s="20">
        <v>2.4027026392802991E-5</v>
      </c>
      <c r="H2" s="20">
        <v>0</v>
      </c>
      <c r="I2" s="20">
        <v>0.97635986727562563</v>
      </c>
      <c r="J2" s="20">
        <v>2.5316617362361709E-4</v>
      </c>
      <c r="K2" s="20">
        <v>2.3303044042933291E-2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2.4836176016779717E-8</v>
      </c>
      <c r="E3" s="20">
        <v>0.61133219737403355</v>
      </c>
      <c r="F3" s="20">
        <v>2.3066838357349271E-2</v>
      </c>
      <c r="G3" s="20">
        <v>5.6037179127204845E-3</v>
      </c>
      <c r="H3" s="20">
        <v>0</v>
      </c>
      <c r="I3" s="20">
        <v>0.58266164110396379</v>
      </c>
      <c r="J3" s="20">
        <v>1.4049558088067437E-2</v>
      </c>
      <c r="K3" s="20">
        <v>0.37461821970172315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1.3556788904751057E-17</v>
      </c>
      <c r="E4" s="20">
        <v>0.99961964387080671</v>
      </c>
      <c r="F4" s="20">
        <v>4.2036935540974708E-5</v>
      </c>
      <c r="G4" s="20">
        <v>4.6294211404736762E-8</v>
      </c>
      <c r="H4" s="20">
        <v>0</v>
      </c>
      <c r="I4" s="20">
        <v>0.9995775606410543</v>
      </c>
      <c r="J4" s="20">
        <v>3.5977641585229099E-4</v>
      </c>
      <c r="K4" s="20">
        <v>2.0579713340960209E-5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3.7943106698050669E-10</v>
      </c>
      <c r="E5" s="20">
        <v>0.99651070880311277</v>
      </c>
      <c r="F5" s="20">
        <v>7.5755778787233316E-2</v>
      </c>
      <c r="G5" s="20">
        <v>6.012776110838235E-6</v>
      </c>
      <c r="H5" s="20">
        <v>0</v>
      </c>
      <c r="I5" s="20">
        <v>0.92074891723976859</v>
      </c>
      <c r="J5" s="20">
        <v>3.1740897616860915E-3</v>
      </c>
      <c r="K5" s="20">
        <v>3.152010557700524E-4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4.6905237679425353E-11</v>
      </c>
      <c r="E6" s="20">
        <v>0.99164677935401113</v>
      </c>
      <c r="F6" s="20">
        <v>0.17042356009550128</v>
      </c>
      <c r="G6" s="20">
        <v>4.9422209723223551E-5</v>
      </c>
      <c r="H6" s="20">
        <v>0</v>
      </c>
      <c r="I6" s="20">
        <v>0.82117379704878668</v>
      </c>
      <c r="J6" s="20">
        <v>6.5723400528154641E-3</v>
      </c>
      <c r="K6" s="20">
        <v>1.7808805462682991E-3</v>
      </c>
      <c r="L6" s="20">
        <v>0</v>
      </c>
    </row>
    <row r="7" spans="1:14">
      <c r="A7" s="2" t="s">
        <v>366</v>
      </c>
      <c r="B7" s="3" t="s">
        <v>305</v>
      </c>
      <c r="D7" s="20">
        <v>7.9433365433676491E-7</v>
      </c>
      <c r="E7" s="20">
        <v>0.96501827783232441</v>
      </c>
      <c r="F7" s="20">
        <v>0.43470892002775596</v>
      </c>
      <c r="G7" s="20">
        <v>8.8489890053516441E-4</v>
      </c>
      <c r="H7" s="20">
        <v>0</v>
      </c>
      <c r="I7" s="20">
        <v>0.52942445890403333</v>
      </c>
      <c r="J7" s="20">
        <v>1.6716490985517814E-2</v>
      </c>
      <c r="K7" s="20">
        <v>1.8264436848503294E-2</v>
      </c>
      <c r="L7" s="20">
        <v>0</v>
      </c>
    </row>
    <row r="8" spans="1:14">
      <c r="A8" s="2" t="s">
        <v>289</v>
      </c>
      <c r="B8" s="3" t="s">
        <v>290</v>
      </c>
      <c r="D8" s="20">
        <v>3.7036320215247739E-17</v>
      </c>
      <c r="E8" s="20">
        <v>0.98977079812053437</v>
      </c>
      <c r="F8" s="20">
        <v>0.24767085680626019</v>
      </c>
      <c r="G8" s="20">
        <v>3.7661662887560264E-5</v>
      </c>
      <c r="H8" s="20">
        <v>0</v>
      </c>
      <c r="I8" s="20">
        <v>0.7420622796513866</v>
      </c>
      <c r="J8" s="20">
        <v>9.1097327493661218E-3</v>
      </c>
      <c r="K8" s="20">
        <v>1.1194691300994777E-3</v>
      </c>
      <c r="L8" s="20">
        <v>0</v>
      </c>
    </row>
    <row r="9" spans="1:14">
      <c r="A9" s="2" t="s">
        <v>291</v>
      </c>
      <c r="B9" s="3" t="s">
        <v>292</v>
      </c>
      <c r="D9" s="20">
        <v>7.3412591418220969E-13</v>
      </c>
      <c r="E9" s="20">
        <v>0.99611937890376889</v>
      </c>
      <c r="F9" s="20">
        <v>5.8585638846974382E-2</v>
      </c>
      <c r="G9" s="20">
        <v>2.2205630997120926E-5</v>
      </c>
      <c r="H9" s="20">
        <v>0</v>
      </c>
      <c r="I9" s="20">
        <v>0.93751153442579738</v>
      </c>
      <c r="J9" s="20">
        <v>2.5793261311586801E-3</v>
      </c>
      <c r="K9" s="20">
        <v>1.3012949643384762E-3</v>
      </c>
      <c r="L9" s="20">
        <v>0</v>
      </c>
    </row>
    <row r="10" spans="1:14">
      <c r="A10" s="2" t="s">
        <v>367</v>
      </c>
      <c r="B10" s="3" t="s">
        <v>368</v>
      </c>
      <c r="D10" s="20">
        <v>6.066930697938638E-5</v>
      </c>
      <c r="E10" s="20">
        <v>0.40985254017800143</v>
      </c>
      <c r="F10" s="20">
        <v>0.31199184973664068</v>
      </c>
      <c r="G10" s="20">
        <v>5.4492759913605304E-2</v>
      </c>
      <c r="H10" s="20">
        <v>0</v>
      </c>
      <c r="I10" s="20">
        <v>4.3367930527755463E-2</v>
      </c>
      <c r="J10" s="20">
        <v>0.1289269982533148</v>
      </c>
      <c r="K10" s="20">
        <v>0.46115979226170439</v>
      </c>
      <c r="L10" s="20">
        <v>0</v>
      </c>
    </row>
    <row r="11" spans="1:14">
      <c r="A11" s="2" t="s">
        <v>369</v>
      </c>
      <c r="B11" s="3" t="s">
        <v>370</v>
      </c>
      <c r="D11" s="20">
        <v>1.7700836954788265E-11</v>
      </c>
      <c r="E11" s="20">
        <v>0.28893135769719192</v>
      </c>
      <c r="F11" s="20">
        <v>0.16589771039324794</v>
      </c>
      <c r="G11" s="20">
        <v>0.12120897095925839</v>
      </c>
      <c r="H11" s="20">
        <v>0</v>
      </c>
      <c r="I11" s="20">
        <v>1.8246763446855682E-3</v>
      </c>
      <c r="J11" s="20">
        <v>0.65836417904117661</v>
      </c>
      <c r="K11" s="20">
        <v>5.2704463243930876E-2</v>
      </c>
      <c r="L11" s="20">
        <v>0</v>
      </c>
    </row>
    <row r="12" spans="1:14">
      <c r="A12" s="2" t="s">
        <v>371</v>
      </c>
      <c r="B12" s="3" t="s">
        <v>372</v>
      </c>
      <c r="D12" s="20">
        <v>7.4704660390189581E-2</v>
      </c>
      <c r="E12" s="20">
        <v>0.92091991531339989</v>
      </c>
      <c r="F12" s="20">
        <v>2.5795460449632126E-6</v>
      </c>
      <c r="G12" s="20">
        <v>1.278589693732712E-6</v>
      </c>
      <c r="H12" s="20">
        <v>0</v>
      </c>
      <c r="I12" s="20">
        <v>0.92091605717766123</v>
      </c>
      <c r="J12" s="20">
        <v>1.9284840368764342E-4</v>
      </c>
      <c r="K12" s="20">
        <v>4.1825758927229589E-3</v>
      </c>
      <c r="L12" s="20">
        <v>0</v>
      </c>
    </row>
    <row r="13" spans="1:14">
      <c r="A13" s="2" t="s">
        <v>293</v>
      </c>
      <c r="B13" s="3" t="s">
        <v>294</v>
      </c>
      <c r="D13" s="20">
        <v>2.0603158607220195E-8</v>
      </c>
      <c r="E13" s="20">
        <v>0.63968543311084347</v>
      </c>
      <c r="F13" s="20">
        <v>1.6527532533690839E-2</v>
      </c>
      <c r="G13" s="20">
        <v>4.2393920015279564E-3</v>
      </c>
      <c r="H13" s="20">
        <v>0</v>
      </c>
      <c r="I13" s="20">
        <v>0.61891850857562469</v>
      </c>
      <c r="J13" s="20">
        <v>9.711079064241011E-3</v>
      </c>
      <c r="K13" s="20">
        <v>0.35060346722175684</v>
      </c>
      <c r="L13" s="20">
        <v>0</v>
      </c>
    </row>
    <row r="14" spans="1:14">
      <c r="A14" s="2" t="s">
        <v>373</v>
      </c>
      <c r="B14" s="3" t="s">
        <v>374</v>
      </c>
      <c r="D14" s="20">
        <v>7.4391598947765126E-7</v>
      </c>
      <c r="E14" s="20">
        <v>0.93525318024396409</v>
      </c>
      <c r="F14" s="20">
        <v>0.85728185824535041</v>
      </c>
      <c r="G14" s="20">
        <v>1.3430410393959059E-3</v>
      </c>
      <c r="H14" s="20">
        <v>0</v>
      </c>
      <c r="I14" s="20">
        <v>7.6628280959217754E-2</v>
      </c>
      <c r="J14" s="20">
        <v>5.7966509509360768E-2</v>
      </c>
      <c r="K14" s="20">
        <v>6.77956633068574E-3</v>
      </c>
      <c r="L14" s="20">
        <v>0</v>
      </c>
    </row>
    <row r="15" spans="1:14">
      <c r="A15" s="2" t="s">
        <v>375</v>
      </c>
      <c r="B15" s="3" t="s">
        <v>376</v>
      </c>
      <c r="D15" s="20">
        <v>8.6783605568943475E-2</v>
      </c>
      <c r="E15" s="20">
        <v>0.78201936109862125</v>
      </c>
      <c r="F15" s="20">
        <v>1.9838640362357966E-3</v>
      </c>
      <c r="G15" s="20">
        <v>6.050725624546921E-4</v>
      </c>
      <c r="H15" s="20">
        <v>0</v>
      </c>
      <c r="I15" s="20">
        <v>0.77943042449993072</v>
      </c>
      <c r="J15" s="20">
        <v>1.5029719421599632E-3</v>
      </c>
      <c r="K15" s="20">
        <v>0.12969406139027517</v>
      </c>
      <c r="L15" s="20">
        <v>0</v>
      </c>
    </row>
    <row r="16" spans="1:14">
      <c r="A16" s="2" t="s">
        <v>377</v>
      </c>
      <c r="B16" s="3" t="s">
        <v>378</v>
      </c>
      <c r="D16" s="20">
        <v>8.0341467671071201E-4</v>
      </c>
      <c r="E16" s="20">
        <v>0.61596011033626619</v>
      </c>
      <c r="F16" s="20">
        <v>1.9302518439930694E-2</v>
      </c>
      <c r="G16" s="20">
        <v>4.8787608641078289E-3</v>
      </c>
      <c r="H16" s="20">
        <v>0</v>
      </c>
      <c r="I16" s="20">
        <v>0.59177883103222761</v>
      </c>
      <c r="J16" s="20">
        <v>1.1168610222904846E-2</v>
      </c>
      <c r="K16" s="20">
        <v>0.37206786476411829</v>
      </c>
      <c r="L16" s="20">
        <v>0</v>
      </c>
    </row>
    <row r="17" spans="1:12">
      <c r="A17" s="2" t="s">
        <v>379</v>
      </c>
      <c r="B17" s="3" t="s">
        <v>380</v>
      </c>
      <c r="D17" s="20">
        <v>2.3772342148123946E-3</v>
      </c>
      <c r="E17" s="20">
        <v>0.62951278726570337</v>
      </c>
      <c r="F17" s="20">
        <v>1.7488243322152989E-2</v>
      </c>
      <c r="G17" s="20">
        <v>4.4610977819350191E-3</v>
      </c>
      <c r="H17" s="20">
        <v>0</v>
      </c>
      <c r="I17" s="20">
        <v>0.60756344616161539</v>
      </c>
      <c r="J17" s="20">
        <v>1.0216015193050142E-2</v>
      </c>
      <c r="K17" s="20">
        <v>0.35789396332643414</v>
      </c>
      <c r="L17" s="20">
        <v>0</v>
      </c>
    </row>
    <row r="18" spans="1:12">
      <c r="A18" s="2" t="s">
        <v>381</v>
      </c>
      <c r="B18" s="3" t="s">
        <v>382</v>
      </c>
      <c r="D18" s="20">
        <v>1.2599897696066563E-7</v>
      </c>
      <c r="E18" s="20">
        <v>0.2712178398202747</v>
      </c>
      <c r="F18" s="20">
        <v>7.2584056144571557E-2</v>
      </c>
      <c r="G18" s="20">
        <v>0.19666939834006375</v>
      </c>
      <c r="H18" s="20">
        <v>0</v>
      </c>
      <c r="I18" s="20">
        <v>1.9643853356394168E-3</v>
      </c>
      <c r="J18" s="20">
        <v>0.48350921680219833</v>
      </c>
      <c r="K18" s="20">
        <v>0.24527281737854995</v>
      </c>
      <c r="L18" s="20">
        <v>0</v>
      </c>
    </row>
    <row r="19" spans="1:12">
      <c r="A19" s="2" t="s">
        <v>383</v>
      </c>
      <c r="B19" s="3" t="s">
        <v>384</v>
      </c>
      <c r="D19" s="20">
        <v>1.1816621592780645E-2</v>
      </c>
      <c r="E19" s="20">
        <v>0.91065747005471653</v>
      </c>
      <c r="F19" s="20">
        <v>6.3091019178730765E-4</v>
      </c>
      <c r="G19" s="20">
        <v>2.1176934749717055E-4</v>
      </c>
      <c r="H19" s="20">
        <v>0</v>
      </c>
      <c r="I19" s="20">
        <v>0.90981479051543201</v>
      </c>
      <c r="J19" s="20">
        <v>6.5257219761031659E-4</v>
      </c>
      <c r="K19" s="20">
        <v>7.6873336154892516E-2</v>
      </c>
      <c r="L19" s="20">
        <v>0</v>
      </c>
    </row>
    <row r="20" spans="1:12">
      <c r="A20" s="2" t="s">
        <v>385</v>
      </c>
      <c r="B20" s="3" t="s">
        <v>386</v>
      </c>
      <c r="D20" s="20">
        <v>2.2188484431439736E-2</v>
      </c>
      <c r="E20" s="20">
        <v>0.87464089496234887</v>
      </c>
      <c r="F20" s="20">
        <v>1.1313626937892189E-3</v>
      </c>
      <c r="G20" s="20">
        <v>3.6265812289902605E-4</v>
      </c>
      <c r="H20" s="20">
        <v>0</v>
      </c>
      <c r="I20" s="20">
        <v>0.87314687414566061</v>
      </c>
      <c r="J20" s="20">
        <v>9.802345389751312E-4</v>
      </c>
      <c r="K20" s="20">
        <v>0.1021903860672362</v>
      </c>
      <c r="L20" s="20">
        <v>0</v>
      </c>
    </row>
    <row r="21" spans="1:12">
      <c r="A21" s="2" t="s">
        <v>387</v>
      </c>
      <c r="B21" s="3" t="s">
        <v>388</v>
      </c>
      <c r="D21" s="20">
        <v>6.9296815859601997E-3</v>
      </c>
      <c r="E21" s="20">
        <v>0.70217591304840743</v>
      </c>
      <c r="F21" s="20">
        <v>0.29424581057310906</v>
      </c>
      <c r="G21" s="20">
        <v>1.1874886034084677E-2</v>
      </c>
      <c r="H21" s="20">
        <v>0</v>
      </c>
      <c r="I21" s="20">
        <v>0.39605521644121366</v>
      </c>
      <c r="J21" s="20">
        <v>3.5658316617626251E-2</v>
      </c>
      <c r="K21" s="20">
        <v>0.25523608874800585</v>
      </c>
      <c r="L21" s="20">
        <v>0</v>
      </c>
    </row>
    <row r="22" spans="1:12">
      <c r="A22" s="2" t="s">
        <v>295</v>
      </c>
      <c r="B22" s="3" t="s">
        <v>296</v>
      </c>
      <c r="D22" s="20">
        <v>6.5410134981934528E-2</v>
      </c>
      <c r="E22" s="20">
        <v>0.90479849592994377</v>
      </c>
      <c r="F22" s="20">
        <v>1.01092575311741E-4</v>
      </c>
      <c r="G22" s="20">
        <v>3.8816360766177127E-5</v>
      </c>
      <c r="H22" s="20">
        <v>0</v>
      </c>
      <c r="I22" s="20">
        <v>0.90465858699386581</v>
      </c>
      <c r="J22" s="20">
        <v>2.7061506049780933E-4</v>
      </c>
      <c r="K22" s="20">
        <v>2.9520754027624024E-2</v>
      </c>
      <c r="L22" s="20">
        <v>0</v>
      </c>
    </row>
    <row r="23" spans="1:12">
      <c r="A23" s="2" t="s">
        <v>389</v>
      </c>
      <c r="B23" s="3" t="s">
        <v>390</v>
      </c>
      <c r="D23" s="20">
        <v>7.1394022491359094E-2</v>
      </c>
      <c r="E23" s="20">
        <v>0.7553635868744808</v>
      </c>
      <c r="F23" s="20">
        <v>3.482860393571124E-3</v>
      </c>
      <c r="G23" s="20">
        <v>1.016322690984509E-3</v>
      </c>
      <c r="H23" s="20">
        <v>0</v>
      </c>
      <c r="I23" s="20">
        <v>0.75086440378992514</v>
      </c>
      <c r="J23" s="20">
        <v>2.4202135488949165E-3</v>
      </c>
      <c r="K23" s="20">
        <v>0.17082217708526504</v>
      </c>
      <c r="L23" s="20">
        <v>0</v>
      </c>
    </row>
    <row r="24" spans="1:12">
      <c r="A24" s="2" t="s">
        <v>391</v>
      </c>
      <c r="B24" s="3" t="s">
        <v>392</v>
      </c>
      <c r="D24" s="20">
        <v>2.6087348416320762E-3</v>
      </c>
      <c r="E24" s="20">
        <v>0.54178134675863243</v>
      </c>
      <c r="F24" s="20">
        <v>3.069758096212288E-2</v>
      </c>
      <c r="G24" s="20">
        <v>7.4096843712322356E-3</v>
      </c>
      <c r="H24" s="20">
        <v>0</v>
      </c>
      <c r="I24" s="20">
        <v>0.50367408142527736</v>
      </c>
      <c r="J24" s="20">
        <v>1.6965770791496641E-2</v>
      </c>
      <c r="K24" s="20">
        <v>0.43864414760823861</v>
      </c>
      <c r="L24" s="20">
        <v>0</v>
      </c>
    </row>
    <row r="25" spans="1:12">
      <c r="A25" s="2" t="s">
        <v>393</v>
      </c>
      <c r="B25" s="3" t="s">
        <v>394</v>
      </c>
      <c r="D25" s="20">
        <v>5.8984667623298605E-4</v>
      </c>
      <c r="E25" s="20">
        <v>0.27451043900123651</v>
      </c>
      <c r="F25" s="20">
        <v>8.8026483195411925E-2</v>
      </c>
      <c r="G25" s="20">
        <v>0.18369989445707682</v>
      </c>
      <c r="H25" s="20">
        <v>0</v>
      </c>
      <c r="I25" s="20">
        <v>2.7840613487477798E-3</v>
      </c>
      <c r="J25" s="20">
        <v>0.44997009081804618</v>
      </c>
      <c r="K25" s="20">
        <v>0.27492962350448452</v>
      </c>
      <c r="L25" s="20">
        <v>0</v>
      </c>
    </row>
    <row r="26" spans="1:12">
      <c r="A26" s="2" t="s">
        <v>395</v>
      </c>
      <c r="B26" s="3" t="s">
        <v>396</v>
      </c>
      <c r="D26" s="20">
        <v>0.22199821560700342</v>
      </c>
      <c r="E26" s="20">
        <v>0.30599158009598243</v>
      </c>
      <c r="F26" s="20">
        <v>6.3947518841699025E-2</v>
      </c>
      <c r="G26" s="20">
        <v>1.3794922149709468E-2</v>
      </c>
      <c r="H26" s="20">
        <v>0</v>
      </c>
      <c r="I26" s="20">
        <v>0.22824913910457392</v>
      </c>
      <c r="J26" s="20">
        <v>3.1828604507622718E-2</v>
      </c>
      <c r="K26" s="20">
        <v>0.44018159978939131</v>
      </c>
      <c r="L26" s="20">
        <v>0</v>
      </c>
    </row>
    <row r="27" spans="1:12">
      <c r="A27" s="2" t="s">
        <v>397</v>
      </c>
      <c r="B27" s="3" t="s">
        <v>398</v>
      </c>
      <c r="D27" s="20">
        <v>0.81792770605213272</v>
      </c>
      <c r="E27" s="20">
        <v>6.2923106438048174E-2</v>
      </c>
      <c r="F27" s="20">
        <v>3.4465861175563703E-2</v>
      </c>
      <c r="G27" s="20">
        <v>6.5476384409709921E-3</v>
      </c>
      <c r="H27" s="20">
        <v>0</v>
      </c>
      <c r="I27" s="20">
        <v>2.190960682151348E-2</v>
      </c>
      <c r="J27" s="20">
        <v>1.5301382772562492E-2</v>
      </c>
      <c r="K27" s="20">
        <v>0.1038478047372566</v>
      </c>
      <c r="L27" s="20">
        <v>0</v>
      </c>
    </row>
    <row r="28" spans="1:12">
      <c r="A28" s="2" t="s">
        <v>399</v>
      </c>
      <c r="B28" s="3" t="s">
        <v>400</v>
      </c>
      <c r="D28" s="20">
        <v>0.86930292826432232</v>
      </c>
      <c r="E28" s="20">
        <v>4.8709039371647979E-2</v>
      </c>
      <c r="F28" s="20">
        <v>1.2854209015005473E-2</v>
      </c>
      <c r="G28" s="20">
        <v>2.7073282364366001E-3</v>
      </c>
      <c r="H28" s="20">
        <v>0</v>
      </c>
      <c r="I28" s="20">
        <v>3.3147502120205903E-2</v>
      </c>
      <c r="J28" s="20">
        <v>6.2605456648694045E-3</v>
      </c>
      <c r="K28" s="20">
        <v>7.5727486699160088E-2</v>
      </c>
      <c r="L28" s="20">
        <v>0</v>
      </c>
    </row>
    <row r="29" spans="1:12">
      <c r="A29" s="2" t="s">
        <v>297</v>
      </c>
      <c r="B29" s="3" t="s">
        <v>298</v>
      </c>
      <c r="D29" s="20">
        <v>0.9324392116574135</v>
      </c>
      <c r="E29" s="20">
        <v>5.9556498866384026E-2</v>
      </c>
      <c r="F29" s="20">
        <v>9.8876877575323791E-5</v>
      </c>
      <c r="G29" s="20">
        <v>3.1116468287455659E-5</v>
      </c>
      <c r="H29" s="20">
        <v>0</v>
      </c>
      <c r="I29" s="20">
        <v>5.9426505520521249E-2</v>
      </c>
      <c r="J29" s="20">
        <v>8.1047320637920523E-5</v>
      </c>
      <c r="K29" s="20">
        <v>7.9232421555647022E-3</v>
      </c>
      <c r="L29" s="20">
        <v>0</v>
      </c>
    </row>
    <row r="30" spans="1:12">
      <c r="A30" s="2" t="s">
        <v>401</v>
      </c>
      <c r="B30" s="3" t="s">
        <v>402</v>
      </c>
      <c r="D30" s="20">
        <v>0.9520349304165111</v>
      </c>
      <c r="E30" s="20">
        <v>1.808226914163779E-2</v>
      </c>
      <c r="F30" s="20">
        <v>4.5303014151658206E-3</v>
      </c>
      <c r="G30" s="20">
        <v>9.5945067630580805E-4</v>
      </c>
      <c r="H30" s="20">
        <v>0</v>
      </c>
      <c r="I30" s="20">
        <v>1.2592517050166162E-2</v>
      </c>
      <c r="J30" s="20">
        <v>2.2175068218134165E-3</v>
      </c>
      <c r="K30" s="20">
        <v>2.7665293620037813E-2</v>
      </c>
      <c r="L30" s="20">
        <v>0</v>
      </c>
    </row>
    <row r="31" spans="1:12">
      <c r="A31" s="2" t="s">
        <v>299</v>
      </c>
      <c r="B31" s="3" t="s">
        <v>300</v>
      </c>
      <c r="D31" s="20">
        <v>0.9987841799513687</v>
      </c>
      <c r="E31" s="20">
        <v>5.3652460391581907E-4</v>
      </c>
      <c r="F31" s="20">
        <v>7.0883616898730848E-5</v>
      </c>
      <c r="G31" s="20">
        <v>1.5952965466400778E-5</v>
      </c>
      <c r="H31" s="20">
        <v>0</v>
      </c>
      <c r="I31" s="20">
        <v>4.496880215506874E-4</v>
      </c>
      <c r="J31" s="20">
        <v>3.667571427151569E-5</v>
      </c>
      <c r="K31" s="20">
        <v>6.4261973044387225E-4</v>
      </c>
      <c r="L31" s="20">
        <v>0</v>
      </c>
    </row>
    <row r="32" spans="1:12">
      <c r="A32" s="2" t="s">
        <v>343</v>
      </c>
      <c r="B32" s="3" t="s">
        <v>344</v>
      </c>
      <c r="D32" s="20">
        <v>2.2505982556973556E-3</v>
      </c>
      <c r="E32" s="20">
        <v>0.66383266762290039</v>
      </c>
      <c r="F32" s="20">
        <v>1.3783902511027594E-2</v>
      </c>
      <c r="G32" s="20">
        <v>3.5947421848061211E-3</v>
      </c>
      <c r="H32" s="20">
        <v>0</v>
      </c>
      <c r="I32" s="20">
        <v>0.64645402292706666</v>
      </c>
      <c r="J32" s="20">
        <v>8.2447659781119554E-3</v>
      </c>
      <c r="K32" s="20">
        <v>0.32567196814329019</v>
      </c>
      <c r="L32" s="20">
        <v>0</v>
      </c>
    </row>
    <row r="33" spans="1:12">
      <c r="A33" s="2" t="s">
        <v>345</v>
      </c>
      <c r="B33" s="3" t="s">
        <v>346</v>
      </c>
      <c r="D33" s="20">
        <v>8.8976039944612664E-5</v>
      </c>
      <c r="E33" s="20">
        <v>0.76612644239617655</v>
      </c>
      <c r="F33" s="20">
        <v>6.0974365199396178E-3</v>
      </c>
      <c r="G33" s="20">
        <v>1.7086096031607271E-3</v>
      </c>
      <c r="H33" s="20">
        <v>0</v>
      </c>
      <c r="I33" s="20">
        <v>0.75832039627307624</v>
      </c>
      <c r="J33" s="20">
        <v>3.9816982066936384E-3</v>
      </c>
      <c r="K33" s="20">
        <v>0.22980288335718524</v>
      </c>
      <c r="L33" s="20">
        <v>0</v>
      </c>
    </row>
    <row r="34" spans="1:12">
      <c r="A34" s="2" t="s">
        <v>347</v>
      </c>
      <c r="B34" s="3" t="s">
        <v>348</v>
      </c>
      <c r="D34" s="20">
        <v>1.2959520395435637E-4</v>
      </c>
      <c r="E34" s="20">
        <v>0.40443749330177692</v>
      </c>
      <c r="F34" s="20">
        <v>7.5381216950570692E-2</v>
      </c>
      <c r="G34" s="20">
        <v>1.6442153553478105E-2</v>
      </c>
      <c r="H34" s="20">
        <v>0</v>
      </c>
      <c r="I34" s="20">
        <v>0.3126141227977281</v>
      </c>
      <c r="J34" s="20">
        <v>3.7898945785815256E-2</v>
      </c>
      <c r="K34" s="20">
        <v>0.55753396570845348</v>
      </c>
      <c r="L34" s="20">
        <v>0</v>
      </c>
    </row>
    <row r="35" spans="1:12">
      <c r="A35" s="2" t="s">
        <v>349</v>
      </c>
      <c r="B35" s="3" t="s">
        <v>350</v>
      </c>
      <c r="D35" s="20">
        <v>4.5533718144315831E-2</v>
      </c>
      <c r="E35" s="20">
        <v>0.35258567362005683</v>
      </c>
      <c r="F35" s="20">
        <v>0.23823596773086181</v>
      </c>
      <c r="G35" s="20">
        <v>4.2825543683873882E-2</v>
      </c>
      <c r="H35" s="20">
        <v>0</v>
      </c>
      <c r="I35" s="20">
        <v>7.1524162205321137E-2</v>
      </c>
      <c r="J35" s="20">
        <v>0.10067546872754189</v>
      </c>
      <c r="K35" s="20">
        <v>0.50120513950808543</v>
      </c>
      <c r="L35" s="20">
        <v>0</v>
      </c>
    </row>
    <row r="36" spans="1:12">
      <c r="A36" s="2" t="s">
        <v>351</v>
      </c>
      <c r="B36" s="3" t="s">
        <v>352</v>
      </c>
      <c r="D36" s="20">
        <v>1.303033517052854E-3</v>
      </c>
      <c r="E36" s="20">
        <v>0.33219765911185373</v>
      </c>
      <c r="F36" s="20">
        <v>0.21578924812577932</v>
      </c>
      <c r="G36" s="20">
        <v>9.9615141726330042E-2</v>
      </c>
      <c r="H36" s="20">
        <v>0</v>
      </c>
      <c r="I36" s="20">
        <v>1.6793269259744351E-2</v>
      </c>
      <c r="J36" s="20">
        <v>0.23889902066168958</v>
      </c>
      <c r="K36" s="20">
        <v>0.42760028670940364</v>
      </c>
      <c r="L36" s="20">
        <v>0</v>
      </c>
    </row>
    <row r="37" spans="1:12">
      <c r="A37" s="2" t="s">
        <v>353</v>
      </c>
      <c r="B37" s="3" t="s">
        <v>354</v>
      </c>
      <c r="D37" s="20">
        <v>7.4030716969873149E-3</v>
      </c>
      <c r="E37" s="20">
        <v>0.27002139147159937</v>
      </c>
      <c r="F37" s="20">
        <v>7.6100265216894419E-2</v>
      </c>
      <c r="G37" s="20">
        <v>0.19177046693719058</v>
      </c>
      <c r="H37" s="20">
        <v>0</v>
      </c>
      <c r="I37" s="20">
        <v>2.1506593175143478E-3</v>
      </c>
      <c r="J37" s="20">
        <v>0.4709849684536167</v>
      </c>
      <c r="K37" s="20">
        <v>0.25159056837779664</v>
      </c>
      <c r="L37" s="20">
        <v>0</v>
      </c>
    </row>
    <row r="38" spans="1:12">
      <c r="A38" s="2" t="s">
        <v>355</v>
      </c>
      <c r="B38" s="3" t="s">
        <v>356</v>
      </c>
      <c r="D38" s="20">
        <v>4.501844495017209E-4</v>
      </c>
      <c r="E38" s="20">
        <v>0.30013770962079656</v>
      </c>
      <c r="F38" s="20">
        <v>0.15771198728448765</v>
      </c>
      <c r="G38" s="20">
        <v>0.13389373595013004</v>
      </c>
      <c r="H38" s="20">
        <v>0</v>
      </c>
      <c r="I38" s="20">
        <v>8.5319863861788737E-3</v>
      </c>
      <c r="J38" s="20">
        <v>0.32385767516783653</v>
      </c>
      <c r="K38" s="20">
        <v>0.37555443076186512</v>
      </c>
      <c r="L38" s="20">
        <v>0</v>
      </c>
    </row>
    <row r="39" spans="1:12">
      <c r="A39" s="2" t="s">
        <v>357</v>
      </c>
      <c r="B39" s="3" t="s">
        <v>358</v>
      </c>
      <c r="D39" s="20">
        <v>8.9974614805590644E-2</v>
      </c>
      <c r="E39" s="20">
        <v>0.29308195732234238</v>
      </c>
      <c r="F39" s="20">
        <v>0.18096484323785911</v>
      </c>
      <c r="G39" s="20">
        <v>9.9423664554957061E-2</v>
      </c>
      <c r="H39" s="20">
        <v>0</v>
      </c>
      <c r="I39" s="20">
        <v>1.2693449529526208E-2</v>
      </c>
      <c r="J39" s="20">
        <v>0.23902123416846943</v>
      </c>
      <c r="K39" s="20">
        <v>0.37792219370359748</v>
      </c>
      <c r="L39" s="20">
        <v>0</v>
      </c>
    </row>
    <row r="40" spans="1:12">
      <c r="A40" s="2" t="s">
        <v>359</v>
      </c>
      <c r="B40" s="3" t="s">
        <v>360</v>
      </c>
      <c r="D40" s="20">
        <v>4.501844495017209E-4</v>
      </c>
      <c r="E40" s="20">
        <v>0.30013770962079656</v>
      </c>
      <c r="F40" s="20">
        <v>0.15771198728448765</v>
      </c>
      <c r="G40" s="20">
        <v>0.13389373595013004</v>
      </c>
      <c r="H40" s="20">
        <v>0</v>
      </c>
      <c r="I40" s="20">
        <v>8.5319863861788737E-3</v>
      </c>
      <c r="J40" s="20">
        <v>0.32385767516783653</v>
      </c>
      <c r="K40" s="20">
        <v>0.37555443076186512</v>
      </c>
      <c r="L40" s="20">
        <v>0</v>
      </c>
    </row>
    <row r="41" spans="1:12">
      <c r="A41" s="2" t="s">
        <v>313</v>
      </c>
      <c r="B41" s="3" t="s">
        <v>314</v>
      </c>
      <c r="D41" s="20">
        <v>5.8292575410773265E-8</v>
      </c>
      <c r="E41" s="20">
        <v>0.99938212875996468</v>
      </c>
      <c r="F41" s="20">
        <v>4.7304784288064589E-3</v>
      </c>
      <c r="G41" s="20">
        <v>1.1257076469377723E-6</v>
      </c>
      <c r="H41" s="20">
        <v>0</v>
      </c>
      <c r="I41" s="20">
        <v>0.99465052462351133</v>
      </c>
      <c r="J41" s="20">
        <v>4.305127450020624E-4</v>
      </c>
      <c r="K41" s="20">
        <v>1.8730020245772615E-4</v>
      </c>
      <c r="L41" s="20">
        <v>0</v>
      </c>
    </row>
    <row r="42" spans="1:12">
      <c r="A42" s="2" t="s">
        <v>315</v>
      </c>
      <c r="B42" s="3" t="s">
        <v>316</v>
      </c>
      <c r="D42" s="20">
        <v>1.0610464248854758E-2</v>
      </c>
      <c r="E42" s="20">
        <v>0.26834012643779154</v>
      </c>
      <c r="F42" s="20">
        <v>7.1813914660292494E-2</v>
      </c>
      <c r="G42" s="20">
        <v>0.19458266923735001</v>
      </c>
      <c r="H42" s="20">
        <v>0</v>
      </c>
      <c r="I42" s="20">
        <v>1.9435425401490122E-3</v>
      </c>
      <c r="J42" s="20">
        <v>0.47837901981859399</v>
      </c>
      <c r="K42" s="20">
        <v>0.24267038949475975</v>
      </c>
      <c r="L42" s="20">
        <v>0</v>
      </c>
    </row>
    <row r="43" spans="1:12">
      <c r="A43" s="2" t="s">
        <v>317</v>
      </c>
      <c r="B43" s="3" t="s">
        <v>318</v>
      </c>
      <c r="D43" s="20">
        <v>6.0125082791915399E-12</v>
      </c>
      <c r="E43" s="20">
        <v>0.52593453578449312</v>
      </c>
      <c r="F43" s="20">
        <v>3.4239696172809628E-2</v>
      </c>
      <c r="G43" s="20">
        <v>8.1738273027533153E-3</v>
      </c>
      <c r="H43" s="20">
        <v>0</v>
      </c>
      <c r="I43" s="20">
        <v>0.48352101230893013</v>
      </c>
      <c r="J43" s="20">
        <v>1.8723068466129051E-2</v>
      </c>
      <c r="K43" s="20">
        <v>0.45534239574336538</v>
      </c>
      <c r="L43" s="20">
        <v>0</v>
      </c>
    </row>
    <row r="44" spans="1:12">
      <c r="A44" s="2" t="s">
        <v>307</v>
      </c>
      <c r="B44" s="3" t="s">
        <v>308</v>
      </c>
      <c r="D44" s="20">
        <v>4.6616321614335903E-4</v>
      </c>
      <c r="E44" s="20">
        <v>0.36569673232388694</v>
      </c>
      <c r="F44" s="20">
        <v>0.26255011706113435</v>
      </c>
      <c r="G44" s="20">
        <v>7.6191718931275298E-2</v>
      </c>
      <c r="H44" s="20">
        <v>0</v>
      </c>
      <c r="I44" s="20">
        <v>2.6954896331477299E-2</v>
      </c>
      <c r="J44" s="20">
        <v>0.18154354642681433</v>
      </c>
      <c r="K44" s="20">
        <v>0.45229355803315524</v>
      </c>
      <c r="L44" s="20">
        <v>0</v>
      </c>
    </row>
    <row r="45" spans="1:12">
      <c r="A45" s="2" t="s">
        <v>319</v>
      </c>
      <c r="B45" s="3" t="s">
        <v>320</v>
      </c>
      <c r="D45" s="20">
        <v>3.4076564803266633E-5</v>
      </c>
      <c r="E45" s="20">
        <v>0.26773444211175956</v>
      </c>
      <c r="F45" s="20">
        <v>4.5147117036420888E-2</v>
      </c>
      <c r="G45" s="20">
        <v>0.22173057239386132</v>
      </c>
      <c r="H45" s="20">
        <v>0</v>
      </c>
      <c r="I45" s="20">
        <v>8.5675268147737877E-4</v>
      </c>
      <c r="J45" s="20">
        <v>0.5496998191173037</v>
      </c>
      <c r="K45" s="20">
        <v>0.18253166220613343</v>
      </c>
      <c r="L45" s="20">
        <v>0</v>
      </c>
    </row>
    <row r="46" spans="1:12">
      <c r="A46" s="2" t="s">
        <v>321</v>
      </c>
      <c r="B46" s="3" t="s">
        <v>322</v>
      </c>
      <c r="D46" s="20">
        <v>5.1191532644072015E-5</v>
      </c>
      <c r="E46" s="20">
        <v>0.27035449775279902</v>
      </c>
      <c r="F46" s="20">
        <v>6.7900402258534859E-2</v>
      </c>
      <c r="G46" s="20">
        <v>0.20070948774677652</v>
      </c>
      <c r="H46" s="20">
        <v>0</v>
      </c>
      <c r="I46" s="20">
        <v>1.7446077474876382E-3</v>
      </c>
      <c r="J46" s="20">
        <v>0.49404570759245575</v>
      </c>
      <c r="K46" s="20">
        <v>0.23554860312210124</v>
      </c>
      <c r="L46" s="20">
        <v>0</v>
      </c>
    </row>
    <row r="47" spans="1:12">
      <c r="A47" s="2" t="s">
        <v>323</v>
      </c>
      <c r="B47" s="3" t="s">
        <v>324</v>
      </c>
      <c r="D47" s="20">
        <v>5.0449023577020513E-4</v>
      </c>
      <c r="E47" s="20">
        <v>0.28023552951936614</v>
      </c>
      <c r="F47" s="20">
        <v>0.10782686534313912</v>
      </c>
      <c r="G47" s="20">
        <v>0.16835364950784773</v>
      </c>
      <c r="H47" s="20">
        <v>0</v>
      </c>
      <c r="I47" s="20">
        <v>4.0550146683792938E-3</v>
      </c>
      <c r="J47" s="20">
        <v>0.41070314899837823</v>
      </c>
      <c r="K47" s="20">
        <v>0.30855683124648547</v>
      </c>
      <c r="L47" s="20">
        <v>0</v>
      </c>
    </row>
    <row r="48" spans="1:12">
      <c r="A48" s="2" t="s">
        <v>325</v>
      </c>
      <c r="B48" s="3" t="s">
        <v>326</v>
      </c>
      <c r="D48" s="20">
        <v>2.6558958582199404E-4</v>
      </c>
      <c r="E48" s="20">
        <v>0.34325174408858417</v>
      </c>
      <c r="F48" s="20">
        <v>0.15648951932327529</v>
      </c>
      <c r="G48" s="20">
        <v>3.0731291487394178E-2</v>
      </c>
      <c r="H48" s="20">
        <v>0</v>
      </c>
      <c r="I48" s="20">
        <v>0.15603093327791467</v>
      </c>
      <c r="J48" s="20">
        <v>7.1566745632788156E-2</v>
      </c>
      <c r="K48" s="20">
        <v>0.58491592069280551</v>
      </c>
      <c r="L48" s="20">
        <v>0</v>
      </c>
    </row>
    <row r="49" spans="1:12">
      <c r="A49" s="2" t="s">
        <v>275</v>
      </c>
      <c r="B49" s="3" t="s">
        <v>276</v>
      </c>
      <c r="D49" s="20">
        <v>5.9137957303206617E-6</v>
      </c>
      <c r="E49" s="20">
        <v>0.35909356685864774</v>
      </c>
      <c r="F49" s="20">
        <v>0.25394550753938749</v>
      </c>
      <c r="G49" s="20">
        <v>8.0396305100640289E-2</v>
      </c>
      <c r="H49" s="20">
        <v>0</v>
      </c>
      <c r="I49" s="20">
        <v>2.4751754218619932E-2</v>
      </c>
      <c r="J49" s="20">
        <v>0.1917946610348199</v>
      </c>
      <c r="K49" s="20">
        <v>0.44910585831080224</v>
      </c>
      <c r="L49" s="20">
        <v>0</v>
      </c>
    </row>
    <row r="50" spans="1:12">
      <c r="A50" s="2" t="s">
        <v>327</v>
      </c>
      <c r="B50" s="3" t="s">
        <v>328</v>
      </c>
      <c r="D50" s="20">
        <v>3.0132379491180998E-4</v>
      </c>
      <c r="E50" s="20">
        <v>0.3482484773091703</v>
      </c>
      <c r="F50" s="20">
        <v>0.23928068497132629</v>
      </c>
      <c r="G50" s="20">
        <v>8.7579648660541007E-2</v>
      </c>
      <c r="H50" s="20">
        <v>0</v>
      </c>
      <c r="I50" s="20">
        <v>2.1388143677303011E-2</v>
      </c>
      <c r="J50" s="20">
        <v>0.20935496882062737</v>
      </c>
      <c r="K50" s="20">
        <v>0.4420952300752905</v>
      </c>
      <c r="L50" s="20">
        <v>0</v>
      </c>
    </row>
    <row r="51" spans="1:12">
      <c r="A51" s="2" t="s">
        <v>329</v>
      </c>
      <c r="B51" s="3" t="s">
        <v>330</v>
      </c>
      <c r="D51" s="20">
        <v>1.5957923327392809E-4</v>
      </c>
      <c r="E51" s="20">
        <v>0.34685424302754125</v>
      </c>
      <c r="F51" s="20">
        <v>0.19500717415204061</v>
      </c>
      <c r="G51" s="20">
        <v>3.6842249927564658E-2</v>
      </c>
      <c r="H51" s="20">
        <v>0</v>
      </c>
      <c r="I51" s="20">
        <v>0.11500481894793597</v>
      </c>
      <c r="J51" s="20">
        <v>8.6148415430740796E-2</v>
      </c>
      <c r="K51" s="20">
        <v>0.56683776230844396</v>
      </c>
      <c r="L51" s="20">
        <v>0</v>
      </c>
    </row>
    <row r="52" spans="1:12">
      <c r="A52" s="2" t="s">
        <v>277</v>
      </c>
      <c r="B52" s="3" t="s">
        <v>278</v>
      </c>
      <c r="D52" s="20">
        <v>4.1890902549505786E-4</v>
      </c>
      <c r="E52" s="20">
        <v>0.34295443610474158</v>
      </c>
      <c r="F52" s="20">
        <v>0.1599535680827992</v>
      </c>
      <c r="G52" s="20">
        <v>3.1296047171266765E-2</v>
      </c>
      <c r="H52" s="20">
        <v>0</v>
      </c>
      <c r="I52" s="20">
        <v>0.15170482085067563</v>
      </c>
      <c r="J52" s="20">
        <v>7.2909955270378274E-2</v>
      </c>
      <c r="K52" s="20">
        <v>0.58371669959938499</v>
      </c>
      <c r="L52" s="20">
        <v>0</v>
      </c>
    </row>
    <row r="53" spans="1:12">
      <c r="A53" s="2" t="s">
        <v>331</v>
      </c>
      <c r="B53" s="3" t="s">
        <v>332</v>
      </c>
      <c r="D53" s="20">
        <v>1.8814929114458362E-4</v>
      </c>
      <c r="E53" s="20">
        <v>0.31952179233545241</v>
      </c>
      <c r="F53" s="20">
        <v>0.19457041326659122</v>
      </c>
      <c r="G53" s="20">
        <v>0.11165350392543472</v>
      </c>
      <c r="H53" s="20">
        <v>0</v>
      </c>
      <c r="I53" s="20">
        <v>1.3297875143426468E-2</v>
      </c>
      <c r="J53" s="20">
        <v>0.26858615245013701</v>
      </c>
      <c r="K53" s="20">
        <v>0.41170390592326594</v>
      </c>
      <c r="L53" s="20">
        <v>0</v>
      </c>
    </row>
    <row r="54" spans="1:12">
      <c r="A54" s="2" t="s">
        <v>333</v>
      </c>
      <c r="B54" s="3" t="s">
        <v>334</v>
      </c>
      <c r="D54" s="20">
        <v>3.3167551464988184E-7</v>
      </c>
      <c r="E54" s="20">
        <v>0.3536383056256388</v>
      </c>
      <c r="F54" s="20">
        <v>0.24665369544262586</v>
      </c>
      <c r="G54" s="20">
        <v>8.3962078664965356E-2</v>
      </c>
      <c r="H54" s="20">
        <v>0</v>
      </c>
      <c r="I54" s="20">
        <v>2.302253151804759E-2</v>
      </c>
      <c r="J54" s="20">
        <v>0.20050413375446866</v>
      </c>
      <c r="K54" s="20">
        <v>0.44585722894437807</v>
      </c>
      <c r="L54" s="20">
        <v>0</v>
      </c>
    </row>
    <row r="55" spans="1:12">
      <c r="A55" s="2" t="s">
        <v>335</v>
      </c>
      <c r="B55" s="3" t="s">
        <v>336</v>
      </c>
      <c r="D55" s="20">
        <v>1.313367382961648E-3</v>
      </c>
      <c r="E55" s="20">
        <v>0.28070018603270175</v>
      </c>
      <c r="F55" s="20">
        <v>0.10986527355787</v>
      </c>
      <c r="G55" s="20">
        <v>0.16663107525484261</v>
      </c>
      <c r="H55" s="20">
        <v>0</v>
      </c>
      <c r="I55" s="20">
        <v>4.2038372199891287E-3</v>
      </c>
      <c r="J55" s="20">
        <v>0.40633537297012423</v>
      </c>
      <c r="K55" s="20">
        <v>0.3116510736142124</v>
      </c>
      <c r="L55" s="20">
        <v>0</v>
      </c>
    </row>
    <row r="56" spans="1:12">
      <c r="A56" s="2" t="s">
        <v>337</v>
      </c>
      <c r="B56" s="3" t="s">
        <v>338</v>
      </c>
      <c r="D56" s="20">
        <v>1.1925049757985774E-4</v>
      </c>
      <c r="E56" s="20">
        <v>0.36354004366988429</v>
      </c>
      <c r="F56" s="20">
        <v>0.25973735564950062</v>
      </c>
      <c r="G56" s="20">
        <v>7.7594326890895807E-2</v>
      </c>
      <c r="H56" s="20">
        <v>0</v>
      </c>
      <c r="I56" s="20">
        <v>2.6208361129487875E-2</v>
      </c>
      <c r="J56" s="20">
        <v>0.18496040603751743</v>
      </c>
      <c r="K56" s="20">
        <v>0.45138029979501854</v>
      </c>
      <c r="L56" s="20">
        <v>0</v>
      </c>
    </row>
    <row r="57" spans="1:12">
      <c r="A57" s="2" t="s">
        <v>279</v>
      </c>
      <c r="B57" s="3" t="s">
        <v>280</v>
      </c>
      <c r="D57" s="20">
        <v>7.4800302846294358E-3</v>
      </c>
      <c r="E57" s="20">
        <v>0.34344480788325144</v>
      </c>
      <c r="F57" s="20">
        <v>0.14027412588904656</v>
      </c>
      <c r="G57" s="20">
        <v>2.8007421440575032E-2</v>
      </c>
      <c r="H57" s="20">
        <v>0</v>
      </c>
      <c r="I57" s="20">
        <v>0.17516326055362982</v>
      </c>
      <c r="J57" s="20">
        <v>6.5111589000806311E-2</v>
      </c>
      <c r="K57" s="20">
        <v>0.58396357283131295</v>
      </c>
      <c r="L57" s="20">
        <v>0</v>
      </c>
    </row>
    <row r="58" spans="1:12">
      <c r="A58" s="2" t="s">
        <v>339</v>
      </c>
      <c r="B58" s="3" t="s">
        <v>340</v>
      </c>
      <c r="D58" s="20">
        <v>1.159938141039053E-6</v>
      </c>
      <c r="E58" s="20">
        <v>0.35256713735836126</v>
      </c>
      <c r="F58" s="20">
        <v>0.24519355138765431</v>
      </c>
      <c r="G58" s="20">
        <v>8.4684630977791733E-2</v>
      </c>
      <c r="H58" s="20">
        <v>0</v>
      </c>
      <c r="I58" s="20">
        <v>2.2688954992915195E-2</v>
      </c>
      <c r="J58" s="20">
        <v>0.20227057908090826</v>
      </c>
      <c r="K58" s="20">
        <v>0.44516112362258947</v>
      </c>
      <c r="L58" s="20">
        <v>0</v>
      </c>
    </row>
    <row r="59" spans="1:12">
      <c r="A59" s="2" t="s">
        <v>281</v>
      </c>
      <c r="B59" s="3" t="s">
        <v>282</v>
      </c>
      <c r="D59" s="20">
        <v>6.3426995348211132E-5</v>
      </c>
      <c r="E59" s="20">
        <v>0.34307640133627232</v>
      </c>
      <c r="F59" s="20">
        <v>0.16001045253131943</v>
      </c>
      <c r="G59" s="20">
        <v>3.13071770160432E-2</v>
      </c>
      <c r="H59" s="20">
        <v>0</v>
      </c>
      <c r="I59" s="20">
        <v>0.1517587717889097</v>
      </c>
      <c r="J59" s="20">
        <v>7.2935884311204943E-2</v>
      </c>
      <c r="K59" s="20">
        <v>0.58392428735717461</v>
      </c>
      <c r="L59" s="20">
        <v>0</v>
      </c>
    </row>
    <row r="60" spans="1:12">
      <c r="A60" s="2" t="s">
        <v>341</v>
      </c>
      <c r="B60" s="3" t="s">
        <v>342</v>
      </c>
      <c r="D60" s="20">
        <v>1.6028450650500963E-3</v>
      </c>
      <c r="E60" s="20">
        <v>0.32668833682117288</v>
      </c>
      <c r="F60" s="20">
        <v>0.20709316205732919</v>
      </c>
      <c r="G60" s="20">
        <v>0.10429447797454175</v>
      </c>
      <c r="H60" s="20">
        <v>0</v>
      </c>
      <c r="I60" s="20">
        <v>1.5300696789301948E-2</v>
      </c>
      <c r="J60" s="20">
        <v>0.25042580764284239</v>
      </c>
      <c r="K60" s="20">
        <v>0.42128301047093453</v>
      </c>
      <c r="L60" s="20">
        <v>0</v>
      </c>
    </row>
    <row r="61" spans="1:12">
      <c r="A61" s="2" t="s">
        <v>483</v>
      </c>
      <c r="B61" s="3" t="s">
        <v>484</v>
      </c>
      <c r="D61" s="20">
        <v>1.3493049536968204E-13</v>
      </c>
      <c r="E61" s="20">
        <v>0.58360529053163956</v>
      </c>
      <c r="F61" s="20">
        <v>7.8905472241751151E-2</v>
      </c>
      <c r="G61" s="20">
        <v>1.3146941198025463E-2</v>
      </c>
      <c r="H61" s="20">
        <v>0</v>
      </c>
      <c r="I61" s="20">
        <v>0.49155287709186296</v>
      </c>
      <c r="J61" s="20">
        <v>7.0345906707885347E-2</v>
      </c>
      <c r="K61" s="20">
        <v>0.34604880276034017</v>
      </c>
      <c r="L61" s="20">
        <v>0</v>
      </c>
    </row>
    <row r="62" spans="1:12">
      <c r="A62" s="2" t="s">
        <v>485</v>
      </c>
      <c r="B62" s="3" t="s">
        <v>486</v>
      </c>
      <c r="D62" s="20">
        <v>3.5833045349997873E-7</v>
      </c>
      <c r="E62" s="20">
        <v>0.41249495694593785</v>
      </c>
      <c r="F62" s="20">
        <v>7.10817209809642E-2</v>
      </c>
      <c r="G62" s="20">
        <v>1.5619009514628898E-2</v>
      </c>
      <c r="H62" s="20">
        <v>0</v>
      </c>
      <c r="I62" s="20">
        <v>0.32579422645034473</v>
      </c>
      <c r="J62" s="20">
        <v>3.5978520546666226E-2</v>
      </c>
      <c r="K62" s="20">
        <v>0.55152616417694245</v>
      </c>
      <c r="L62" s="20">
        <v>0</v>
      </c>
    </row>
    <row r="63" spans="1:12">
      <c r="A63" s="2" t="s">
        <v>487</v>
      </c>
      <c r="B63" s="3" t="s">
        <v>488</v>
      </c>
      <c r="D63" s="20">
        <v>7.3365960128686018E-13</v>
      </c>
      <c r="E63" s="20">
        <v>0.95301591140857034</v>
      </c>
      <c r="F63" s="20">
        <v>3.2721922824504889E-3</v>
      </c>
      <c r="G63" s="20">
        <v>4.3175320344518219E-4</v>
      </c>
      <c r="H63" s="20">
        <v>0</v>
      </c>
      <c r="I63" s="20">
        <v>0.94931196592267464</v>
      </c>
      <c r="J63" s="20">
        <v>5.9610147159961857E-3</v>
      </c>
      <c r="K63" s="20">
        <v>4.1023073874699854E-2</v>
      </c>
      <c r="L63" s="20">
        <v>0</v>
      </c>
    </row>
    <row r="64" spans="1:12">
      <c r="A64" s="2" t="s">
        <v>489</v>
      </c>
      <c r="B64" s="3" t="s">
        <v>490</v>
      </c>
      <c r="D64" s="20">
        <v>1.3285870684090412E-14</v>
      </c>
      <c r="E64" s="20">
        <v>0.99532648431522963</v>
      </c>
      <c r="F64" s="20">
        <v>1.2252325478499058E-3</v>
      </c>
      <c r="G64" s="20">
        <v>1.5212335185583693E-5</v>
      </c>
      <c r="H64" s="20">
        <v>0</v>
      </c>
      <c r="I64" s="20">
        <v>0.99408603943219409</v>
      </c>
      <c r="J64" s="20">
        <v>2.9921616948999646E-4</v>
      </c>
      <c r="K64" s="20">
        <v>4.3742995152670052E-3</v>
      </c>
      <c r="L64" s="20">
        <v>0</v>
      </c>
    </row>
    <row r="65" spans="1:12">
      <c r="A65" s="2" t="s">
        <v>491</v>
      </c>
      <c r="B65" s="3" t="s">
        <v>492</v>
      </c>
      <c r="D65" s="20">
        <v>2.1937274549273246E-12</v>
      </c>
      <c r="E65" s="20">
        <v>0.99738032841651347</v>
      </c>
      <c r="F65" s="20">
        <v>1.5903361081477148E-4</v>
      </c>
      <c r="G65" s="20">
        <v>7.0734687640237278E-6</v>
      </c>
      <c r="H65" s="20">
        <v>0</v>
      </c>
      <c r="I65" s="20">
        <v>0.99721422133693471</v>
      </c>
      <c r="J65" s="20">
        <v>6.8714680488074736E-4</v>
      </c>
      <c r="K65" s="20">
        <v>1.9325247764119772E-3</v>
      </c>
      <c r="L65" s="20">
        <v>0</v>
      </c>
    </row>
    <row r="66" spans="1:12">
      <c r="A66" s="2" t="s">
        <v>493</v>
      </c>
      <c r="B66" s="3" t="s">
        <v>494</v>
      </c>
      <c r="D66" s="20">
        <v>3.357239350416644E-11</v>
      </c>
      <c r="E66" s="20">
        <v>0.9275051319192158</v>
      </c>
      <c r="F66" s="20">
        <v>2.3448413377750287E-2</v>
      </c>
      <c r="G66" s="20">
        <v>5.8766022983479035E-4</v>
      </c>
      <c r="H66" s="20">
        <v>0</v>
      </c>
      <c r="I66" s="20">
        <v>0.90346905831163071</v>
      </c>
      <c r="J66" s="20">
        <v>5.2303816794737328E-2</v>
      </c>
      <c r="K66" s="20">
        <v>2.0191051252474647E-2</v>
      </c>
      <c r="L66" s="20">
        <v>0</v>
      </c>
    </row>
    <row r="67" spans="1:12">
      <c r="A67" s="2" t="s">
        <v>495</v>
      </c>
      <c r="B67" s="3" t="s">
        <v>496</v>
      </c>
      <c r="D67" s="20">
        <v>1.7135234762000049E-12</v>
      </c>
      <c r="E67" s="20">
        <v>0.99722076447503771</v>
      </c>
      <c r="F67" s="20">
        <v>1.3408309417510398E-4</v>
      </c>
      <c r="G67" s="20">
        <v>7.3297465450153737E-6</v>
      </c>
      <c r="H67" s="20">
        <v>0</v>
      </c>
      <c r="I67" s="20">
        <v>0.9970793516343176</v>
      </c>
      <c r="J67" s="20">
        <v>6.0652639986207924E-4</v>
      </c>
      <c r="K67" s="20">
        <v>2.1727091233866296E-3</v>
      </c>
      <c r="L67" s="20">
        <v>0</v>
      </c>
    </row>
    <row r="68" spans="1:12">
      <c r="A68" s="2" t="s">
        <v>497</v>
      </c>
      <c r="B68" s="3" t="s">
        <v>498</v>
      </c>
      <c r="D68" s="20">
        <v>1.5497530115993114E-11</v>
      </c>
      <c r="E68" s="20">
        <v>0.99886281994270276</v>
      </c>
      <c r="F68" s="20">
        <v>1.5947752886959684E-5</v>
      </c>
      <c r="G68" s="20">
        <v>1.2304545412407957E-6</v>
      </c>
      <c r="H68" s="20">
        <v>0</v>
      </c>
      <c r="I68" s="20">
        <v>0.99884564173527457</v>
      </c>
      <c r="J68" s="20">
        <v>2.592534493849375E-4</v>
      </c>
      <c r="K68" s="20">
        <v>8.7792659241484473E-4</v>
      </c>
      <c r="L68" s="20">
        <v>0</v>
      </c>
    </row>
    <row r="69" spans="1:12">
      <c r="A69" s="2" t="s">
        <v>499</v>
      </c>
      <c r="B69" s="3" t="s">
        <v>500</v>
      </c>
      <c r="D69" s="20">
        <v>3.0327213278334198E-11</v>
      </c>
      <c r="E69" s="20">
        <v>0.37562461623330984</v>
      </c>
      <c r="F69" s="20">
        <v>0.27466082509960599</v>
      </c>
      <c r="G69" s="20">
        <v>7.0664660331091173E-2</v>
      </c>
      <c r="H69" s="20">
        <v>0</v>
      </c>
      <c r="I69" s="20">
        <v>3.0299130802612675E-2</v>
      </c>
      <c r="J69" s="20">
        <v>0.16809173446360848</v>
      </c>
      <c r="K69" s="20">
        <v>0.45628364927275444</v>
      </c>
      <c r="L69" s="20">
        <v>0</v>
      </c>
    </row>
    <row r="70" spans="1:12">
      <c r="A70" s="2" t="s">
        <v>501</v>
      </c>
      <c r="B70" s="3" t="s">
        <v>411</v>
      </c>
      <c r="D70" s="20">
        <v>2.8550390776209866E-13</v>
      </c>
      <c r="E70" s="20">
        <v>0.99958552205834261</v>
      </c>
      <c r="F70" s="20">
        <v>3.0980346571977029E-3</v>
      </c>
      <c r="G70" s="20">
        <v>2.9442988952692166E-7</v>
      </c>
      <c r="H70" s="20">
        <v>0</v>
      </c>
      <c r="I70" s="20">
        <v>0.99648719297125543</v>
      </c>
      <c r="J70" s="20">
        <v>3.5628175492797046E-4</v>
      </c>
      <c r="K70" s="20">
        <v>5.8196186443858422E-5</v>
      </c>
      <c r="L70" s="20">
        <v>0</v>
      </c>
    </row>
    <row r="71" spans="1:12">
      <c r="A71" s="2" t="s">
        <v>502</v>
      </c>
      <c r="B71" s="3" t="s">
        <v>412</v>
      </c>
      <c r="D71" s="20">
        <v>1.336214305032147E-8</v>
      </c>
      <c r="E71" s="20">
        <v>0.99943729662822567</v>
      </c>
      <c r="F71" s="20">
        <v>5.9176703139963557E-3</v>
      </c>
      <c r="G71" s="20">
        <v>5.3779539597140511E-7</v>
      </c>
      <c r="H71" s="20">
        <v>0</v>
      </c>
      <c r="I71" s="20">
        <v>0.9935190885188333</v>
      </c>
      <c r="J71" s="20">
        <v>4.8100738003286996E-4</v>
      </c>
      <c r="K71" s="20">
        <v>8.1682629598485836E-5</v>
      </c>
      <c r="L71" s="20">
        <v>0</v>
      </c>
    </row>
    <row r="72" spans="1:12">
      <c r="A72" s="2" t="s">
        <v>503</v>
      </c>
      <c r="B72" s="3" t="s">
        <v>413</v>
      </c>
      <c r="D72" s="20">
        <v>1.3308022687885495E-9</v>
      </c>
      <c r="E72" s="20">
        <v>0.79874510490636375</v>
      </c>
      <c r="F72" s="20">
        <v>0.76822382039537929</v>
      </c>
      <c r="G72" s="20">
        <v>3.5281913301723127E-4</v>
      </c>
      <c r="H72" s="20">
        <v>0</v>
      </c>
      <c r="I72" s="20">
        <v>3.0168465377967257E-2</v>
      </c>
      <c r="J72" s="20">
        <v>0.2005746497014988</v>
      </c>
      <c r="K72" s="20">
        <v>6.8024406133510604E-4</v>
      </c>
      <c r="L72" s="20">
        <v>0</v>
      </c>
    </row>
    <row r="73" spans="1:12">
      <c r="A73" s="2" t="s">
        <v>504</v>
      </c>
      <c r="B73" s="3" t="s">
        <v>414</v>
      </c>
      <c r="D73" s="20">
        <v>1.6588798568632258E-9</v>
      </c>
      <c r="E73" s="20">
        <v>0.97706890865754081</v>
      </c>
      <c r="F73" s="20">
        <v>0.7100503901086852</v>
      </c>
      <c r="G73" s="20">
        <v>4.1044363912971496E-5</v>
      </c>
      <c r="H73" s="20">
        <v>0</v>
      </c>
      <c r="I73" s="20">
        <v>0.26697747418494261</v>
      </c>
      <c r="J73" s="20">
        <v>2.2404871125643589E-2</v>
      </c>
      <c r="K73" s="20">
        <v>5.2621855793559557E-4</v>
      </c>
      <c r="L73" s="20">
        <v>0</v>
      </c>
    </row>
    <row r="74" spans="1:12">
      <c r="A74" s="2" t="s">
        <v>505</v>
      </c>
      <c r="B74" s="3" t="s">
        <v>415</v>
      </c>
      <c r="D74" s="20">
        <v>1.6439699328902344E-9</v>
      </c>
      <c r="E74" s="20">
        <v>0.99946603429285641</v>
      </c>
      <c r="F74" s="20">
        <v>5.3575731198248853E-3</v>
      </c>
      <c r="G74" s="20">
        <v>4.8902658140518686E-7</v>
      </c>
      <c r="H74" s="20">
        <v>0</v>
      </c>
      <c r="I74" s="20">
        <v>0.99410797214645008</v>
      </c>
      <c r="J74" s="20">
        <v>4.5661677411816667E-4</v>
      </c>
      <c r="K74" s="20">
        <v>7.7347289055502437E-5</v>
      </c>
      <c r="L74" s="20">
        <v>0</v>
      </c>
    </row>
    <row r="75" spans="1:12">
      <c r="A75" s="2" t="s">
        <v>506</v>
      </c>
      <c r="B75" s="3" t="s">
        <v>416</v>
      </c>
      <c r="D75" s="20">
        <v>6.81795497414243E-9</v>
      </c>
      <c r="E75" s="20">
        <v>0.97789458342660762</v>
      </c>
      <c r="F75" s="20">
        <v>0.67534916225328046</v>
      </c>
      <c r="G75" s="20">
        <v>3.954510423929134E-5</v>
      </c>
      <c r="H75" s="20">
        <v>0</v>
      </c>
      <c r="I75" s="20">
        <v>0.30250587606908785</v>
      </c>
      <c r="J75" s="20">
        <v>2.156115108648194E-2</v>
      </c>
      <c r="K75" s="20">
        <v>5.442586689554809E-4</v>
      </c>
      <c r="L75" s="20">
        <v>0</v>
      </c>
    </row>
    <row r="76" spans="1:12">
      <c r="A76" s="2" t="s">
        <v>507</v>
      </c>
      <c r="B76" s="3" t="s">
        <v>417</v>
      </c>
      <c r="D76" s="20">
        <v>4.4017029494210587E-8</v>
      </c>
      <c r="E76" s="20">
        <v>0.99528801160831104</v>
      </c>
      <c r="F76" s="20">
        <v>0.10881665705622474</v>
      </c>
      <c r="G76" s="20">
        <v>7.9133740371621815E-6</v>
      </c>
      <c r="H76" s="20">
        <v>0</v>
      </c>
      <c r="I76" s="20">
        <v>0.88646344117804909</v>
      </c>
      <c r="J76" s="20">
        <v>4.3591884437367799E-3</v>
      </c>
      <c r="K76" s="20">
        <v>3.527559309227085E-4</v>
      </c>
      <c r="L76" s="20">
        <v>0</v>
      </c>
    </row>
    <row r="77" spans="1:12">
      <c r="A77" s="2" t="s">
        <v>508</v>
      </c>
      <c r="B77" s="3" t="s">
        <v>418</v>
      </c>
      <c r="D77" s="20">
        <v>5.0753981627600919E-8</v>
      </c>
      <c r="E77" s="20">
        <v>0.97729217489294407</v>
      </c>
      <c r="F77" s="20">
        <v>0.70039779041270389</v>
      </c>
      <c r="G77" s="20">
        <v>4.075783259796736E-5</v>
      </c>
      <c r="H77" s="20">
        <v>0</v>
      </c>
      <c r="I77" s="20">
        <v>0.27685362664764224</v>
      </c>
      <c r="J77" s="20">
        <v>2.2174533135029106E-2</v>
      </c>
      <c r="K77" s="20">
        <v>5.3324121804519632E-4</v>
      </c>
      <c r="L77" s="20">
        <v>0</v>
      </c>
    </row>
    <row r="78" spans="1:12">
      <c r="A78" s="2" t="s">
        <v>509</v>
      </c>
      <c r="B78" s="3" t="s">
        <v>419</v>
      </c>
      <c r="D78" s="20">
        <v>5.5134942745926461E-9</v>
      </c>
      <c r="E78" s="20">
        <v>0.82619626198067198</v>
      </c>
      <c r="F78" s="20">
        <v>0.7914093275977766</v>
      </c>
      <c r="G78" s="20">
        <v>3.0539753248191783E-4</v>
      </c>
      <c r="H78" s="20">
        <v>0</v>
      </c>
      <c r="I78" s="20">
        <v>3.4481536850413427E-2</v>
      </c>
      <c r="J78" s="20">
        <v>0.17313879909672142</v>
      </c>
      <c r="K78" s="20">
        <v>6.6493340911237585E-4</v>
      </c>
      <c r="L78" s="20">
        <v>0</v>
      </c>
    </row>
    <row r="79" spans="1:12">
      <c r="A79" s="2" t="s">
        <v>510</v>
      </c>
      <c r="B79" s="3" t="s">
        <v>420</v>
      </c>
      <c r="D79" s="20">
        <v>1.3849275862733329E-13</v>
      </c>
      <c r="E79" s="20">
        <v>0.82619643502023177</v>
      </c>
      <c r="F79" s="20">
        <v>0.79140953964745575</v>
      </c>
      <c r="G79" s="20">
        <v>3.0534928340296191E-4</v>
      </c>
      <c r="H79" s="20">
        <v>0</v>
      </c>
      <c r="I79" s="20">
        <v>3.4481546089373059E-2</v>
      </c>
      <c r="J79" s="20">
        <v>0.17313873662187215</v>
      </c>
      <c r="K79" s="20">
        <v>6.6482835775752045E-4</v>
      </c>
      <c r="L79" s="20">
        <v>0</v>
      </c>
    </row>
    <row r="80" spans="1:12">
      <c r="A80" s="2" t="s">
        <v>511</v>
      </c>
      <c r="B80" s="3" t="s">
        <v>421</v>
      </c>
      <c r="D80" s="20">
        <v>7.7353964519109519E-9</v>
      </c>
      <c r="E80" s="20">
        <v>0.98780666425880126</v>
      </c>
      <c r="F80" s="20">
        <v>0.32836496487830846</v>
      </c>
      <c r="G80" s="20">
        <v>2.1474406644911576E-5</v>
      </c>
      <c r="H80" s="20">
        <v>0</v>
      </c>
      <c r="I80" s="20">
        <v>0.65942022497384789</v>
      </c>
      <c r="J80" s="20">
        <v>1.1650535549392747E-2</v>
      </c>
      <c r="K80" s="20">
        <v>5.4279245640947874E-4</v>
      </c>
      <c r="L80" s="20">
        <v>0</v>
      </c>
    </row>
    <row r="81" spans="1:12">
      <c r="A81" s="2" t="s">
        <v>512</v>
      </c>
      <c r="B81" s="3" t="s">
        <v>422</v>
      </c>
      <c r="D81" s="20">
        <v>3.0980963733632134E-9</v>
      </c>
      <c r="E81" s="20">
        <v>0.99862893242780459</v>
      </c>
      <c r="F81" s="20">
        <v>2.3559667667971278E-2</v>
      </c>
      <c r="G81" s="20">
        <v>1.9254556475699941E-6</v>
      </c>
      <c r="H81" s="20">
        <v>0</v>
      </c>
      <c r="I81" s="20">
        <v>0.97506733930418577</v>
      </c>
      <c r="J81" s="20">
        <v>1.2052409464976112E-3</v>
      </c>
      <c r="K81" s="20">
        <v>1.6582352760148358E-4</v>
      </c>
      <c r="L81" s="20">
        <v>0</v>
      </c>
    </row>
    <row r="82" spans="1:12">
      <c r="A82" s="2" t="s">
        <v>513</v>
      </c>
      <c r="B82" s="3" t="s">
        <v>423</v>
      </c>
      <c r="D82" s="20">
        <v>9.9124856141775213E-13</v>
      </c>
      <c r="E82" s="20">
        <v>0.99713880139004119</v>
      </c>
      <c r="F82" s="20">
        <v>6.0042226012563614E-2</v>
      </c>
      <c r="G82" s="20">
        <v>4.5661734985799997E-6</v>
      </c>
      <c r="H82" s="20">
        <v>0</v>
      </c>
      <c r="I82" s="20">
        <v>0.93709200920397895</v>
      </c>
      <c r="J82" s="20">
        <v>2.5963089283537336E-3</v>
      </c>
      <c r="K82" s="20">
        <v>2.64889680613753E-4</v>
      </c>
      <c r="L82" s="20">
        <v>0</v>
      </c>
    </row>
    <row r="83" spans="1:12">
      <c r="A83" s="2" t="s">
        <v>514</v>
      </c>
      <c r="B83" s="3" t="s">
        <v>424</v>
      </c>
      <c r="D83" s="20">
        <v>1.7115978859952941E-9</v>
      </c>
      <c r="E83" s="20">
        <v>0.70765176323691148</v>
      </c>
      <c r="F83" s="20">
        <v>0.68687226117262001</v>
      </c>
      <c r="G83" s="20">
        <v>5.0914365657349944E-4</v>
      </c>
      <c r="H83" s="20">
        <v>0</v>
      </c>
      <c r="I83" s="20">
        <v>2.0270358407717941E-2</v>
      </c>
      <c r="J83" s="20">
        <v>0.29164556253431112</v>
      </c>
      <c r="K83" s="20">
        <v>7.0267251717940032E-4</v>
      </c>
      <c r="L83" s="20">
        <v>0</v>
      </c>
    </row>
    <row r="84" spans="1:12">
      <c r="A84" s="2" t="s">
        <v>403</v>
      </c>
      <c r="B84" s="3" t="s">
        <v>404</v>
      </c>
      <c r="D84" s="20">
        <v>6.6315147780042635E-44</v>
      </c>
      <c r="E84" s="20">
        <v>0.47899558515526192</v>
      </c>
      <c r="F84" s="20">
        <v>4.5781177293823104E-2</v>
      </c>
      <c r="G84" s="20">
        <v>1.059211072491968E-2</v>
      </c>
      <c r="H84" s="20">
        <v>0</v>
      </c>
      <c r="I84" s="20">
        <v>0.42262229713651911</v>
      </c>
      <c r="J84" s="20">
        <v>2.4303291066239546E-2</v>
      </c>
      <c r="K84" s="20">
        <v>0.4967011237784984</v>
      </c>
      <c r="L84" s="20">
        <v>0</v>
      </c>
    </row>
    <row r="85" spans="1:12">
      <c r="A85" s="2" t="s">
        <v>405</v>
      </c>
      <c r="B85" s="3" t="s">
        <v>406</v>
      </c>
      <c r="D85" s="20">
        <v>2.1931478748344857E-8</v>
      </c>
      <c r="E85" s="20">
        <v>0.21267625234872067</v>
      </c>
      <c r="F85" s="20">
        <v>0.12578672658206153</v>
      </c>
      <c r="G85" s="20">
        <v>6.5759515944573627E-3</v>
      </c>
      <c r="H85" s="20">
        <v>0</v>
      </c>
      <c r="I85" s="20">
        <v>8.0313574172201779E-2</v>
      </c>
      <c r="J85" s="20">
        <v>0.76257964987083593</v>
      </c>
      <c r="K85" s="20">
        <v>2.4744075848964493E-2</v>
      </c>
      <c r="L85" s="20">
        <v>0</v>
      </c>
    </row>
    <row r="86" spans="1:12">
      <c r="A86" s="2" t="s">
        <v>407</v>
      </c>
      <c r="B86" s="3" t="s">
        <v>408</v>
      </c>
      <c r="D86" s="20">
        <v>7.6112096042635249E-5</v>
      </c>
      <c r="E86" s="20">
        <v>0.26812647922021504</v>
      </c>
      <c r="F86" s="20">
        <v>5.088946638473036E-2</v>
      </c>
      <c r="G86" s="20">
        <v>0.21618395227780685</v>
      </c>
      <c r="H86" s="20">
        <v>0</v>
      </c>
      <c r="I86" s="20">
        <v>1.0530605576778548E-3</v>
      </c>
      <c r="J86" s="20">
        <v>0.53485643402461958</v>
      </c>
      <c r="K86" s="20">
        <v>0.19694097465912278</v>
      </c>
      <c r="L86" s="20">
        <v>0</v>
      </c>
    </row>
    <row r="87" spans="1:12">
      <c r="A87" s="2" t="s">
        <v>409</v>
      </c>
      <c r="B87" s="3" t="s">
        <v>410</v>
      </c>
      <c r="D87" s="20">
        <v>9.2859368009960142E-6</v>
      </c>
      <c r="E87" s="20">
        <v>0.26792499766859723</v>
      </c>
      <c r="F87" s="20">
        <v>2.70209079801325E-2</v>
      </c>
      <c r="G87" s="20">
        <v>0.24054453464241501</v>
      </c>
      <c r="H87" s="20">
        <v>0</v>
      </c>
      <c r="I87" s="20">
        <v>3.595550460496932E-4</v>
      </c>
      <c r="J87" s="20">
        <v>0.60135592414218064</v>
      </c>
      <c r="K87" s="20">
        <v>0.13070979225242113</v>
      </c>
      <c r="L87" s="20">
        <v>0</v>
      </c>
    </row>
    <row r="88" spans="1:12">
      <c r="A88" s="2" t="s">
        <v>301</v>
      </c>
      <c r="B88" s="3" t="s">
        <v>302</v>
      </c>
      <c r="D88" s="20">
        <v>1.1421834589033274E-6</v>
      </c>
      <c r="E88" s="20">
        <v>0.27027516649413674</v>
      </c>
      <c r="F88" s="20">
        <v>1.2479870571617549E-2</v>
      </c>
      <c r="G88" s="20">
        <v>0.25769478910283294</v>
      </c>
      <c r="H88" s="20">
        <v>0</v>
      </c>
      <c r="I88" s="20">
        <v>1.0050681968626128E-4</v>
      </c>
      <c r="J88" s="20">
        <v>0.65191676358247419</v>
      </c>
      <c r="K88" s="20">
        <v>7.7806927739930309E-2</v>
      </c>
      <c r="L88" s="20">
        <v>0</v>
      </c>
    </row>
    <row r="89" spans="1:12">
      <c r="A89" s="2" t="s">
        <v>303</v>
      </c>
      <c r="B89" s="3" t="s">
        <v>304</v>
      </c>
      <c r="D89" s="20">
        <v>8.2654269591601315E-14</v>
      </c>
      <c r="E89" s="20">
        <v>2.6780814073929123E-2</v>
      </c>
      <c r="F89" s="20">
        <v>7.2604293045723566E-3</v>
      </c>
      <c r="G89" s="20">
        <v>1.8882886247049369E-2</v>
      </c>
      <c r="H89" s="20">
        <v>0</v>
      </c>
      <c r="I89" s="20">
        <v>6.3749852230739776E-4</v>
      </c>
      <c r="J89" s="20">
        <v>0.96525427345700365</v>
      </c>
      <c r="K89" s="20">
        <v>7.9649124689845589E-3</v>
      </c>
      <c r="L89" s="20">
        <v>0</v>
      </c>
    </row>
    <row r="90" spans="1:12">
      <c r="A90" s="2" t="s">
        <v>425</v>
      </c>
      <c r="B90" s="3" t="s">
        <v>426</v>
      </c>
      <c r="D90" s="20">
        <v>1.5982802665493752E-13</v>
      </c>
      <c r="E90" s="20">
        <v>0.97467325365542989</v>
      </c>
      <c r="F90" s="20">
        <v>9.1415362641103485E-5</v>
      </c>
      <c r="G90" s="20">
        <v>3.0693362839403955E-5</v>
      </c>
      <c r="H90" s="20">
        <v>0</v>
      </c>
      <c r="I90" s="20">
        <v>0.97455114492994943</v>
      </c>
      <c r="J90" s="20">
        <v>2.6812902123420123E-4</v>
      </c>
      <c r="K90" s="20">
        <v>2.5058617323176113E-2</v>
      </c>
      <c r="L90" s="20">
        <v>0</v>
      </c>
    </row>
    <row r="91" spans="1:12">
      <c r="A91" s="2" t="s">
        <v>427</v>
      </c>
      <c r="B91" s="3" t="s">
        <v>428</v>
      </c>
      <c r="D91" s="20">
        <v>8.7492223279803184E-5</v>
      </c>
      <c r="E91" s="20">
        <v>0.77073364659826293</v>
      </c>
      <c r="F91" s="20">
        <v>5.8377254683085562E-3</v>
      </c>
      <c r="G91" s="20">
        <v>1.6418717212552648E-3</v>
      </c>
      <c r="H91" s="20">
        <v>0</v>
      </c>
      <c r="I91" s="20">
        <v>0.76325404940869912</v>
      </c>
      <c r="J91" s="20">
        <v>3.83182348311861E-3</v>
      </c>
      <c r="K91" s="20">
        <v>0.2253470376953387</v>
      </c>
      <c r="L91" s="20">
        <v>0</v>
      </c>
    </row>
    <row r="92" spans="1:12">
      <c r="A92" s="2" t="s">
        <v>429</v>
      </c>
      <c r="B92" s="3" t="s">
        <v>430</v>
      </c>
      <c r="D92" s="20">
        <v>1.0172582831377947E-3</v>
      </c>
      <c r="E92" s="20">
        <v>0.37370877172327549</v>
      </c>
      <c r="F92" s="20">
        <v>9.6940543375667682E-2</v>
      </c>
      <c r="G92" s="20">
        <v>2.0455071650438816E-2</v>
      </c>
      <c r="H92" s="20">
        <v>0</v>
      </c>
      <c r="I92" s="20">
        <v>0.25631315669716898</v>
      </c>
      <c r="J92" s="20">
        <v>4.7292872076224374E-2</v>
      </c>
      <c r="K92" s="20">
        <v>0.57798109791736219</v>
      </c>
      <c r="L92" s="20">
        <v>0</v>
      </c>
    </row>
    <row r="93" spans="1:12">
      <c r="A93" s="2" t="s">
        <v>431</v>
      </c>
      <c r="B93" s="3" t="s">
        <v>432</v>
      </c>
      <c r="D93" s="20">
        <v>1.2056137395548868E-17</v>
      </c>
      <c r="E93" s="20">
        <v>0.99961612639942266</v>
      </c>
      <c r="F93" s="20">
        <v>4.3626268876011722E-4</v>
      </c>
      <c r="G93" s="20">
        <v>3.4951835933613205E-7</v>
      </c>
      <c r="H93" s="20">
        <v>0</v>
      </c>
      <c r="I93" s="20">
        <v>0.99917951419230322</v>
      </c>
      <c r="J93" s="20">
        <v>2.3084147037788139E-4</v>
      </c>
      <c r="K93" s="20">
        <v>1.5303213019927925E-4</v>
      </c>
      <c r="L93" s="20">
        <v>0</v>
      </c>
    </row>
    <row r="94" spans="1:12">
      <c r="A94" s="2" t="s">
        <v>433</v>
      </c>
      <c r="B94" s="3" t="s">
        <v>434</v>
      </c>
      <c r="D94" s="20">
        <v>2.5382537226214926E-18</v>
      </c>
      <c r="E94" s="20">
        <v>0.99978227287561816</v>
      </c>
      <c r="F94" s="20">
        <v>1.6912555974259042E-6</v>
      </c>
      <c r="G94" s="20">
        <v>2.3599613407172793E-9</v>
      </c>
      <c r="H94" s="20">
        <v>0</v>
      </c>
      <c r="I94" s="20">
        <v>0.99978057926005937</v>
      </c>
      <c r="J94" s="20">
        <v>2.1387040962774937E-4</v>
      </c>
      <c r="K94" s="20">
        <v>3.8567147540872052E-6</v>
      </c>
      <c r="L94" s="20">
        <v>0</v>
      </c>
    </row>
    <row r="95" spans="1:12">
      <c r="A95" s="2" t="s">
        <v>435</v>
      </c>
      <c r="B95" s="3" t="s">
        <v>436</v>
      </c>
      <c r="D95" s="20">
        <v>1.3635840079725028E-8</v>
      </c>
      <c r="E95" s="20">
        <v>0.94154786052830686</v>
      </c>
      <c r="F95" s="20">
        <v>3.7404797356750506E-4</v>
      </c>
      <c r="G95" s="20">
        <v>1.2973541712835141E-4</v>
      </c>
      <c r="H95" s="20">
        <v>0</v>
      </c>
      <c r="I95" s="20">
        <v>0.94104407713761096</v>
      </c>
      <c r="J95" s="20">
        <v>4.8641272196244098E-4</v>
      </c>
      <c r="K95" s="20">
        <v>5.7965713113890635E-2</v>
      </c>
      <c r="L95" s="20">
        <v>0</v>
      </c>
    </row>
    <row r="96" spans="1:12">
      <c r="A96" s="2" t="s">
        <v>437</v>
      </c>
      <c r="B96" s="165" t="s">
        <v>438</v>
      </c>
      <c r="D96" s="20">
        <v>1.4375686851528993E-7</v>
      </c>
      <c r="E96" s="20">
        <v>0.2696520899544021</v>
      </c>
      <c r="F96" s="20">
        <v>6.3460401983994164E-2</v>
      </c>
      <c r="G96" s="20">
        <v>0.20464369755135833</v>
      </c>
      <c r="H96" s="20">
        <v>0</v>
      </c>
      <c r="I96" s="20">
        <v>1.547990419049622E-3</v>
      </c>
      <c r="J96" s="20">
        <v>0.50434643121458989</v>
      </c>
      <c r="K96" s="20">
        <v>0.22600133507413944</v>
      </c>
      <c r="L96" s="20">
        <v>0</v>
      </c>
    </row>
    <row r="97" spans="1:12">
      <c r="A97" s="2" t="s">
        <v>439</v>
      </c>
      <c r="B97" s="3" t="s">
        <v>440</v>
      </c>
      <c r="D97" s="20">
        <v>4.4766897279984571E-5</v>
      </c>
      <c r="E97" s="20">
        <v>0.690226868883969</v>
      </c>
      <c r="F97" s="20">
        <v>1.1503532136508125E-2</v>
      </c>
      <c r="G97" s="20">
        <v>3.0501891047929005E-3</v>
      </c>
      <c r="H97" s="20">
        <v>0</v>
      </c>
      <c r="I97" s="20">
        <v>0.67567314764266795</v>
      </c>
      <c r="J97" s="20">
        <v>7.0095622284873926E-3</v>
      </c>
      <c r="K97" s="20">
        <v>0.30271880199026346</v>
      </c>
      <c r="L97" s="20">
        <v>0</v>
      </c>
    </row>
    <row r="98" spans="1:12">
      <c r="A98" s="2" t="s">
        <v>441</v>
      </c>
      <c r="B98" s="3" t="s">
        <v>442</v>
      </c>
      <c r="D98" s="20">
        <v>2.9089496592298432E-17</v>
      </c>
      <c r="E98" s="20">
        <v>0.75679976329351673</v>
      </c>
      <c r="F98" s="20">
        <v>6.6498281263295189E-3</v>
      </c>
      <c r="G98" s="20">
        <v>1.8497199298442228E-3</v>
      </c>
      <c r="H98" s="20">
        <v>0</v>
      </c>
      <c r="I98" s="20">
        <v>0.74830021523734302</v>
      </c>
      <c r="J98" s="20">
        <v>4.2988853014007695E-3</v>
      </c>
      <c r="K98" s="20">
        <v>0.23890135140508259</v>
      </c>
      <c r="L98" s="20">
        <v>0</v>
      </c>
    </row>
    <row r="99" spans="1:12">
      <c r="A99" s="2" t="s">
        <v>443</v>
      </c>
      <c r="B99" s="3" t="s">
        <v>444</v>
      </c>
      <c r="D99" s="20">
        <v>4.2587978167719919E-29</v>
      </c>
      <c r="E99" s="20">
        <v>0.880155135579475</v>
      </c>
      <c r="F99" s="20">
        <v>1.4981704875304744E-3</v>
      </c>
      <c r="G99" s="20">
        <v>4.7060527734074973E-4</v>
      </c>
      <c r="H99" s="20">
        <v>0</v>
      </c>
      <c r="I99" s="20">
        <v>0.8781863598146038</v>
      </c>
      <c r="J99" s="20">
        <v>1.2217222949214655E-3</v>
      </c>
      <c r="K99" s="20">
        <v>0.11862314212560338</v>
      </c>
      <c r="L99" s="20">
        <v>0</v>
      </c>
    </row>
    <row r="100" spans="1:12">
      <c r="A100" s="2" t="s">
        <v>445</v>
      </c>
      <c r="B100" s="3" t="s">
        <v>446</v>
      </c>
      <c r="D100" s="20">
        <v>1.734769736329145E-7</v>
      </c>
      <c r="E100" s="20">
        <v>0.31330157535665404</v>
      </c>
      <c r="F100" s="20">
        <v>0.18340706118012556</v>
      </c>
      <c r="G100" s="20">
        <v>0.11819840262732242</v>
      </c>
      <c r="H100" s="20">
        <v>0</v>
      </c>
      <c r="I100" s="20">
        <v>1.1696111549206026E-2</v>
      </c>
      <c r="J100" s="20">
        <v>0.28479248421296788</v>
      </c>
      <c r="K100" s="20">
        <v>0.40190576695340458</v>
      </c>
      <c r="L100" s="20">
        <v>0</v>
      </c>
    </row>
    <row r="101" spans="1:12">
      <c r="A101" s="2" t="s">
        <v>447</v>
      </c>
      <c r="B101" s="3" t="s">
        <v>448</v>
      </c>
      <c r="D101" s="20">
        <v>7.8903412189007985E-9</v>
      </c>
      <c r="E101" s="20">
        <v>0.40645106119510366</v>
      </c>
      <c r="F101" s="20">
        <v>7.4296781309528298E-2</v>
      </c>
      <c r="G101" s="20">
        <v>1.6235495775396354E-2</v>
      </c>
      <c r="H101" s="20">
        <v>0</v>
      </c>
      <c r="I101" s="20">
        <v>0.31591878411017899</v>
      </c>
      <c r="J101" s="20">
        <v>3.7416546334683679E-2</v>
      </c>
      <c r="K101" s="20">
        <v>0.55613238457987135</v>
      </c>
      <c r="L101" s="20">
        <v>0</v>
      </c>
    </row>
    <row r="102" spans="1:12">
      <c r="A102" s="2" t="s">
        <v>449</v>
      </c>
      <c r="B102" s="3" t="s">
        <v>450</v>
      </c>
      <c r="D102" s="20">
        <v>5.8788158755283403E-4</v>
      </c>
      <c r="E102" s="20">
        <v>0.34623885957687095</v>
      </c>
      <c r="F102" s="20">
        <v>0.19300300601996662</v>
      </c>
      <c r="G102" s="20">
        <v>3.653083747256531E-2</v>
      </c>
      <c r="H102" s="20">
        <v>0</v>
      </c>
      <c r="I102" s="20">
        <v>0.116705016084339</v>
      </c>
      <c r="J102" s="20">
        <v>8.5403497161951156E-2</v>
      </c>
      <c r="K102" s="20">
        <v>0.56776976167362503</v>
      </c>
      <c r="L102" s="20">
        <v>0</v>
      </c>
    </row>
    <row r="103" spans="1:12">
      <c r="A103" s="2" t="s">
        <v>451</v>
      </c>
      <c r="B103" s="3" t="s">
        <v>452</v>
      </c>
      <c r="D103" s="20">
        <v>4.8404036092098605E-19</v>
      </c>
      <c r="E103" s="20">
        <v>0.99915040263865074</v>
      </c>
      <c r="F103" s="20">
        <v>1.1555083288938613E-2</v>
      </c>
      <c r="G103" s="20">
        <v>1.1213683349431238E-6</v>
      </c>
      <c r="H103" s="20">
        <v>0</v>
      </c>
      <c r="I103" s="20">
        <v>0.98759419798137715</v>
      </c>
      <c r="J103" s="20">
        <v>7.2004035063073779E-4</v>
      </c>
      <c r="K103" s="20">
        <v>1.2955701071859412E-4</v>
      </c>
      <c r="L103" s="20">
        <v>0</v>
      </c>
    </row>
    <row r="104" spans="1:12">
      <c r="A104" s="2" t="s">
        <v>453</v>
      </c>
      <c r="B104" s="3" t="s">
        <v>454</v>
      </c>
      <c r="D104" s="20">
        <v>9.8047524996633672E-20</v>
      </c>
      <c r="E104" s="20">
        <v>0.95502519315641421</v>
      </c>
      <c r="F104" s="20">
        <v>0.85730701068232951</v>
      </c>
      <c r="G104" s="20">
        <v>9.0782476424897227E-4</v>
      </c>
      <c r="H104" s="20">
        <v>0</v>
      </c>
      <c r="I104" s="20">
        <v>9.6810357709835773E-2</v>
      </c>
      <c r="J104" s="20">
        <v>3.8950394966010424E-2</v>
      </c>
      <c r="K104" s="20">
        <v>6.02441187757517E-3</v>
      </c>
      <c r="L104" s="20">
        <v>0</v>
      </c>
    </row>
    <row r="105" spans="1:12">
      <c r="A105" s="2" t="s">
        <v>455</v>
      </c>
      <c r="B105" s="165">
        <v>354656</v>
      </c>
      <c r="D105" s="20">
        <v>3.6769769584925682E-10</v>
      </c>
      <c r="E105" s="20">
        <v>0.96968675933858117</v>
      </c>
      <c r="F105" s="20">
        <v>9.8031381578922062E-5</v>
      </c>
      <c r="G105" s="20">
        <v>3.7919332053476147E-5</v>
      </c>
      <c r="H105" s="20">
        <v>0</v>
      </c>
      <c r="I105" s="20">
        <v>0.9695508086249488</v>
      </c>
      <c r="J105" s="20">
        <v>2.8199721777242198E-4</v>
      </c>
      <c r="K105" s="20">
        <v>3.0031243075948667E-2</v>
      </c>
      <c r="L105" s="20">
        <v>0</v>
      </c>
    </row>
    <row r="106" spans="1:12">
      <c r="A106" s="2" t="s">
        <v>457</v>
      </c>
      <c r="B106" s="3" t="s">
        <v>458</v>
      </c>
      <c r="D106" s="20">
        <v>5.4683481748903817E-10</v>
      </c>
      <c r="E106" s="20">
        <v>0.93879891981231578</v>
      </c>
      <c r="F106" s="20">
        <v>4.0556073236444504E-4</v>
      </c>
      <c r="G106" s="20">
        <v>1.4003332352111305E-4</v>
      </c>
      <c r="H106" s="20">
        <v>0</v>
      </c>
      <c r="I106" s="20">
        <v>0.93825332575643017</v>
      </c>
      <c r="J106" s="20">
        <v>5.073218883705358E-4</v>
      </c>
      <c r="K106" s="20">
        <v>6.0693757752479038E-2</v>
      </c>
      <c r="L106" s="20">
        <v>0</v>
      </c>
    </row>
    <row r="107" spans="1:12">
      <c r="A107" s="2" t="s">
        <v>459</v>
      </c>
      <c r="B107" s="3" t="s">
        <v>460</v>
      </c>
      <c r="D107" s="20">
        <v>1.6765145849962032E-19</v>
      </c>
      <c r="E107" s="20">
        <v>0.38189060312028772</v>
      </c>
      <c r="F107" s="20">
        <v>0.25984279505612906</v>
      </c>
      <c r="G107" s="20">
        <v>4.5477739740867856E-2</v>
      </c>
      <c r="H107" s="20">
        <v>0</v>
      </c>
      <c r="I107" s="20">
        <v>7.6570068323290816E-2</v>
      </c>
      <c r="J107" s="20">
        <v>0.11725498635961029</v>
      </c>
      <c r="K107" s="20">
        <v>0.50085441052010204</v>
      </c>
      <c r="L107" s="20">
        <v>0</v>
      </c>
    </row>
    <row r="108" spans="1:12">
      <c r="A108" s="2" t="s">
        <v>461</v>
      </c>
      <c r="B108" s="3" t="s">
        <v>462</v>
      </c>
      <c r="D108" s="20">
        <v>1.0966624749314861E-9</v>
      </c>
      <c r="E108" s="20">
        <v>0.99973441750795022</v>
      </c>
      <c r="F108" s="20">
        <v>8.7603119962953114E-7</v>
      </c>
      <c r="G108" s="20">
        <v>2.539107892439515E-8</v>
      </c>
      <c r="H108" s="20">
        <v>0</v>
      </c>
      <c r="I108" s="20">
        <v>0.99973351608567163</v>
      </c>
      <c r="J108" s="20">
        <v>2.1019618803497076E-4</v>
      </c>
      <c r="K108" s="20">
        <v>5.5385207352490185E-5</v>
      </c>
      <c r="L108" s="20">
        <v>0</v>
      </c>
    </row>
    <row r="109" spans="1:12">
      <c r="A109" s="2" t="s">
        <v>463</v>
      </c>
      <c r="B109" s="3" t="s">
        <v>464</v>
      </c>
      <c r="D109" s="20">
        <v>2.9226770304357153E-12</v>
      </c>
      <c r="E109" s="20">
        <v>0.96723517851904595</v>
      </c>
      <c r="F109" s="20">
        <v>6.0003672916299948E-3</v>
      </c>
      <c r="G109" s="20">
        <v>2.9825237516506301E-4</v>
      </c>
      <c r="H109" s="20">
        <v>0</v>
      </c>
      <c r="I109" s="20">
        <v>0.96093655885225093</v>
      </c>
      <c r="J109" s="20">
        <v>1.3811010662903279E-2</v>
      </c>
      <c r="K109" s="20">
        <v>1.895381081512805E-2</v>
      </c>
      <c r="L109" s="20">
        <v>0</v>
      </c>
    </row>
    <row r="110" spans="1:12">
      <c r="A110" s="2" t="s">
        <v>465</v>
      </c>
      <c r="B110" s="3" t="s">
        <v>466</v>
      </c>
      <c r="D110" s="20">
        <v>2.0825547276304031E-11</v>
      </c>
      <c r="E110" s="20">
        <v>0.99354981494608929</v>
      </c>
      <c r="F110" s="20">
        <v>2.2406422921369859E-5</v>
      </c>
      <c r="G110" s="20">
        <v>4.2868575728769106E-6</v>
      </c>
      <c r="H110" s="20">
        <v>0</v>
      </c>
      <c r="I110" s="20">
        <v>0.99352312166559509</v>
      </c>
      <c r="J110" s="20">
        <v>2.1496641484721943E-4</v>
      </c>
      <c r="K110" s="20">
        <v>6.2352186182378375E-3</v>
      </c>
      <c r="L110" s="20">
        <v>0</v>
      </c>
    </row>
    <row r="111" spans="1:12">
      <c r="A111" s="2" t="s">
        <v>467</v>
      </c>
      <c r="B111" s="3" t="s">
        <v>468</v>
      </c>
      <c r="D111" s="20">
        <v>3.7010177058489859E-30</v>
      </c>
      <c r="E111" s="20">
        <v>0.9997880002000481</v>
      </c>
      <c r="F111" s="20">
        <v>1.5919952887125089E-6</v>
      </c>
      <c r="G111" s="20">
        <v>1.3152664031942299E-9</v>
      </c>
      <c r="H111" s="20">
        <v>0</v>
      </c>
      <c r="I111" s="20">
        <v>0.99978640688949294</v>
      </c>
      <c r="J111" s="20">
        <v>2.0640059509404981E-4</v>
      </c>
      <c r="K111" s="20">
        <v>5.5992048579937338E-6</v>
      </c>
      <c r="L111" s="20">
        <v>0</v>
      </c>
    </row>
    <row r="112" spans="1:12">
      <c r="A112" s="2" t="s">
        <v>469</v>
      </c>
      <c r="B112" s="3" t="s">
        <v>470</v>
      </c>
      <c r="D112" s="20">
        <v>2.339648048120197E-13</v>
      </c>
      <c r="E112" s="20">
        <v>0.99171107002954684</v>
      </c>
      <c r="F112" s="20">
        <v>7.7272461449273596E-6</v>
      </c>
      <c r="G112" s="20">
        <v>3.6101088933306253E-6</v>
      </c>
      <c r="H112" s="20">
        <v>0</v>
      </c>
      <c r="I112" s="20">
        <v>0.99169973267450862</v>
      </c>
      <c r="J112" s="20">
        <v>2.1224892684528829E-4</v>
      </c>
      <c r="K112" s="20">
        <v>8.0766810433738311E-3</v>
      </c>
      <c r="L112" s="20">
        <v>0</v>
      </c>
    </row>
    <row r="113" spans="1:12">
      <c r="A113" s="2" t="s">
        <v>471</v>
      </c>
      <c r="B113" s="3" t="s">
        <v>472</v>
      </c>
      <c r="D113" s="20">
        <v>2.8867233850683311E-9</v>
      </c>
      <c r="E113" s="20">
        <v>0.95420461875572116</v>
      </c>
      <c r="F113" s="20">
        <v>2.2013007689797415E-4</v>
      </c>
      <c r="G113" s="20">
        <v>8.0126272680606906E-5</v>
      </c>
      <c r="H113" s="20">
        <v>0</v>
      </c>
      <c r="I113" s="20">
        <v>0.95390436240614263</v>
      </c>
      <c r="J113" s="20">
        <v>3.7114866727118261E-4</v>
      </c>
      <c r="K113" s="20">
        <v>4.5424229690284312E-2</v>
      </c>
      <c r="L113" s="20">
        <v>0</v>
      </c>
    </row>
    <row r="114" spans="1:12">
      <c r="A114" s="2" t="s">
        <v>473</v>
      </c>
      <c r="B114" s="3" t="s">
        <v>474</v>
      </c>
      <c r="D114" s="20">
        <v>2.2964486104839874E-16</v>
      </c>
      <c r="E114" s="20">
        <v>0.99560484181236586</v>
      </c>
      <c r="F114" s="20">
        <v>2.249883726782588E-6</v>
      </c>
      <c r="G114" s="20">
        <v>1.133518671224232E-6</v>
      </c>
      <c r="H114" s="20">
        <v>0</v>
      </c>
      <c r="I114" s="20">
        <v>0.99560145840996783</v>
      </c>
      <c r="J114" s="20">
        <v>2.0778846266418085E-4</v>
      </c>
      <c r="K114" s="20">
        <v>4.187369724969788E-3</v>
      </c>
      <c r="L114" s="20">
        <v>0</v>
      </c>
    </row>
    <row r="115" spans="1:12">
      <c r="A115" s="2" t="s">
        <v>475</v>
      </c>
      <c r="B115" s="3" t="s">
        <v>476</v>
      </c>
      <c r="D115" s="20">
        <v>1.217493567371148E-12</v>
      </c>
      <c r="E115" s="20">
        <v>0.99958780808065029</v>
      </c>
      <c r="F115" s="20">
        <v>2.8039830632394232E-3</v>
      </c>
      <c r="G115" s="20">
        <v>3.3586073902748524E-7</v>
      </c>
      <c r="H115" s="20">
        <v>0</v>
      </c>
      <c r="I115" s="20">
        <v>0.99678348915667181</v>
      </c>
      <c r="J115" s="20">
        <v>3.4306107242599855E-4</v>
      </c>
      <c r="K115" s="20">
        <v>6.9130845706432412E-5</v>
      </c>
      <c r="L115" s="20">
        <v>0</v>
      </c>
    </row>
    <row r="116" spans="1:12">
      <c r="A116" s="2" t="s">
        <v>477</v>
      </c>
      <c r="B116" s="3" t="s">
        <v>478</v>
      </c>
      <c r="D116" s="20">
        <v>8.7620696225036378E-17</v>
      </c>
      <c r="E116" s="20">
        <v>0.56944271143989644</v>
      </c>
      <c r="F116" s="20">
        <v>0.21397988449285818</v>
      </c>
      <c r="G116" s="20">
        <v>5.1827047582522412E-3</v>
      </c>
      <c r="H116" s="20">
        <v>0</v>
      </c>
      <c r="I116" s="20">
        <v>0.35028012218878607</v>
      </c>
      <c r="J116" s="20">
        <v>0.38052284206677417</v>
      </c>
      <c r="K116" s="20">
        <v>5.003444649332945E-2</v>
      </c>
      <c r="L116" s="20">
        <v>0</v>
      </c>
    </row>
    <row r="117" spans="1:12">
      <c r="A117" s="2" t="s">
        <v>291</v>
      </c>
      <c r="B117" s="3" t="s">
        <v>479</v>
      </c>
      <c r="D117" s="20">
        <v>3.5928097734847683E-10</v>
      </c>
      <c r="E117" s="20">
        <v>0.60474060267316687</v>
      </c>
      <c r="F117" s="20">
        <v>2.0859718259290432E-2</v>
      </c>
      <c r="G117" s="20">
        <v>5.2336417796531058E-3</v>
      </c>
      <c r="H117" s="20">
        <v>0</v>
      </c>
      <c r="I117" s="20">
        <v>0.57864724263422329</v>
      </c>
      <c r="J117" s="20">
        <v>1.1978985328899612E-2</v>
      </c>
      <c r="K117" s="20">
        <v>0.38328041163865262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1.0456594014126632E-12</v>
      </c>
      <c r="E2" s="14">
        <v>3.905439469102503E-5</v>
      </c>
      <c r="F2" s="14">
        <v>2.3947735975813614E-9</v>
      </c>
      <c r="G2" s="14">
        <v>9.6108105571211979E-10</v>
      </c>
      <c r="H2" s="14">
        <v>0</v>
      </c>
      <c r="I2" s="14">
        <v>1.0126646944944683E-8</v>
      </c>
      <c r="J2" s="14">
        <v>9.3212176171733176E-7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9.9344704067118881E-13</v>
      </c>
      <c r="E3" s="14">
        <v>2.3306465644158553E-5</v>
      </c>
      <c r="F3" s="14">
        <v>9.2267353429397093E-7</v>
      </c>
      <c r="G3" s="14">
        <v>2.2414871650881939E-7</v>
      </c>
      <c r="H3" s="14">
        <v>0</v>
      </c>
      <c r="I3" s="14">
        <v>5.6198232352269759E-7</v>
      </c>
      <c r="J3" s="14">
        <v>1.4984728788068926E-5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5.4227155619004234E-22</v>
      </c>
      <c r="E4" s="14">
        <v>3.9983102425642173E-5</v>
      </c>
      <c r="F4" s="14">
        <v>1.6814774216389884E-9</v>
      </c>
      <c r="G4" s="14">
        <v>1.8517684561894708E-12</v>
      </c>
      <c r="H4" s="14">
        <v>0</v>
      </c>
      <c r="I4" s="14">
        <v>1.4391056634091641E-8</v>
      </c>
      <c r="J4" s="14">
        <v>8.2318853363840851E-10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1.5177242679220267E-14</v>
      </c>
      <c r="E5" s="14">
        <v>3.682995668959075E-5</v>
      </c>
      <c r="F5" s="14">
        <v>3.0302311514893329E-6</v>
      </c>
      <c r="G5" s="14">
        <v>2.4051104443352943E-10</v>
      </c>
      <c r="H5" s="14">
        <v>0</v>
      </c>
      <c r="I5" s="14">
        <v>1.2696359046744367E-7</v>
      </c>
      <c r="J5" s="14">
        <v>1.2608042230802096E-8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1.8762095071770142E-15</v>
      </c>
      <c r="E6" s="14">
        <v>3.2846951881951472E-5</v>
      </c>
      <c r="F6" s="14">
        <v>6.8169424038200512E-6</v>
      </c>
      <c r="G6" s="14">
        <v>1.9768883889289424E-9</v>
      </c>
      <c r="H6" s="14">
        <v>0</v>
      </c>
      <c r="I6" s="14">
        <v>2.6289360211261857E-7</v>
      </c>
      <c r="J6" s="14">
        <v>7.1235221850731976E-8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3.1773346173470595E-11</v>
      </c>
      <c r="E7" s="14">
        <v>2.1176978356161336E-5</v>
      </c>
      <c r="F7" s="14">
        <v>1.738835680111024E-5</v>
      </c>
      <c r="G7" s="14">
        <v>3.5395956021406581E-8</v>
      </c>
      <c r="H7" s="14">
        <v>0</v>
      </c>
      <c r="I7" s="14">
        <v>6.6865963942071255E-7</v>
      </c>
      <c r="J7" s="14">
        <v>7.3057747394013189E-7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1.4814528086099096E-21</v>
      </c>
      <c r="E8" s="14">
        <v>2.9682491186055464E-5</v>
      </c>
      <c r="F8" s="14">
        <v>9.9068342722504088E-6</v>
      </c>
      <c r="G8" s="14">
        <v>1.5064665155024106E-9</v>
      </c>
      <c r="H8" s="14">
        <v>0</v>
      </c>
      <c r="I8" s="14">
        <v>3.6438930997464495E-7</v>
      </c>
      <c r="J8" s="14">
        <v>4.4778765203979114E-8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2.9365036567288395E-17</v>
      </c>
      <c r="E9" s="14">
        <v>3.75004613770319E-5</v>
      </c>
      <c r="F9" s="14">
        <v>2.3434255538789755E-6</v>
      </c>
      <c r="G9" s="14">
        <v>8.8822523988483706E-10</v>
      </c>
      <c r="H9" s="14">
        <v>0</v>
      </c>
      <c r="I9" s="14">
        <v>1.0317304524634722E-7</v>
      </c>
      <c r="J9" s="14">
        <v>5.2051798573539055E-8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2.4267722791754557E-9</v>
      </c>
      <c r="E10" s="14">
        <v>1.7347172211102187E-6</v>
      </c>
      <c r="F10" s="14">
        <v>1.2479673989465628E-5</v>
      </c>
      <c r="G10" s="14">
        <v>2.1797103965442124E-6</v>
      </c>
      <c r="H10" s="14">
        <v>0</v>
      </c>
      <c r="I10" s="14">
        <v>5.1570799301325928E-6</v>
      </c>
      <c r="J10" s="14">
        <v>1.8446391690468179E-5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7.0803347819153071E-16</v>
      </c>
      <c r="E11" s="14">
        <v>7.2987053787422736E-8</v>
      </c>
      <c r="F11" s="14">
        <v>6.6359084157299179E-6</v>
      </c>
      <c r="G11" s="14">
        <v>4.8483588383703364E-6</v>
      </c>
      <c r="H11" s="14">
        <v>0</v>
      </c>
      <c r="I11" s="14">
        <v>2.6334567161647066E-5</v>
      </c>
      <c r="J11" s="14">
        <v>2.1081785297572351E-6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2.9881864156075835E-6</v>
      </c>
      <c r="E12" s="14">
        <v>3.6836642287106453E-5</v>
      </c>
      <c r="F12" s="14">
        <v>1.0318184179852851E-10</v>
      </c>
      <c r="G12" s="14">
        <v>5.1143587749308486E-11</v>
      </c>
      <c r="H12" s="14">
        <v>0</v>
      </c>
      <c r="I12" s="14">
        <v>7.7139361475057386E-9</v>
      </c>
      <c r="J12" s="14">
        <v>1.6730303570891837E-7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8.2412634428880785E-13</v>
      </c>
      <c r="E13" s="14">
        <v>2.4756740343024992E-5</v>
      </c>
      <c r="F13" s="14">
        <v>6.6110130134763362E-7</v>
      </c>
      <c r="G13" s="14">
        <v>1.6957568006111826E-7</v>
      </c>
      <c r="H13" s="14">
        <v>0</v>
      </c>
      <c r="I13" s="14">
        <v>3.8844316256964049E-7</v>
      </c>
      <c r="J13" s="14">
        <v>1.4024138688870275E-5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2.9756639579106052E-11</v>
      </c>
      <c r="E14" s="14">
        <v>3.0651312383687106E-6</v>
      </c>
      <c r="F14" s="14">
        <v>3.429127432981402E-5</v>
      </c>
      <c r="G14" s="14">
        <v>5.3721641575836242E-8</v>
      </c>
      <c r="H14" s="14">
        <v>0</v>
      </c>
      <c r="I14" s="14">
        <v>2.3186603803744311E-6</v>
      </c>
      <c r="J14" s="14">
        <v>2.7118265322742963E-7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3.4713442227577394E-6</v>
      </c>
      <c r="E15" s="14">
        <v>3.1177216979997232E-5</v>
      </c>
      <c r="F15" s="14">
        <v>7.9354561449431864E-8</v>
      </c>
      <c r="G15" s="14">
        <v>2.4202902498187686E-8</v>
      </c>
      <c r="H15" s="14">
        <v>0</v>
      </c>
      <c r="I15" s="14">
        <v>6.0118877686398536E-8</v>
      </c>
      <c r="J15" s="14">
        <v>5.1877624556110076E-6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3.2136587068428479E-8</v>
      </c>
      <c r="E16" s="14">
        <v>2.3671153241289108E-5</v>
      </c>
      <c r="F16" s="14">
        <v>7.7210073759722791E-7</v>
      </c>
      <c r="G16" s="14">
        <v>1.9515043456431316E-7</v>
      </c>
      <c r="H16" s="14">
        <v>0</v>
      </c>
      <c r="I16" s="14">
        <v>4.4674440891619392E-7</v>
      </c>
      <c r="J16" s="14">
        <v>1.4882714590564733E-5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9.5089368592495798E-8</v>
      </c>
      <c r="E17" s="14">
        <v>2.4302537846464616E-5</v>
      </c>
      <c r="F17" s="14">
        <v>6.995297328861196E-7</v>
      </c>
      <c r="G17" s="14">
        <v>1.7844391127740078E-7</v>
      </c>
      <c r="H17" s="14">
        <v>0</v>
      </c>
      <c r="I17" s="14">
        <v>4.0864060772200571E-7</v>
      </c>
      <c r="J17" s="14">
        <v>1.4315758533057367E-5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5.0399590784266257E-12</v>
      </c>
      <c r="E18" s="14">
        <v>7.8575413425576673E-8</v>
      </c>
      <c r="F18" s="14">
        <v>2.9033622457828623E-6</v>
      </c>
      <c r="G18" s="14">
        <v>7.8667759336025509E-6</v>
      </c>
      <c r="H18" s="14">
        <v>0</v>
      </c>
      <c r="I18" s="14">
        <v>1.9340368672087936E-5</v>
      </c>
      <c r="J18" s="14">
        <v>9.8109126951419987E-6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4.7266486371122589E-7</v>
      </c>
      <c r="E19" s="14">
        <v>3.6392591620617283E-5</v>
      </c>
      <c r="F19" s="14">
        <v>2.523640767149231E-8</v>
      </c>
      <c r="G19" s="14">
        <v>8.4707738998868228E-9</v>
      </c>
      <c r="H19" s="14">
        <v>0</v>
      </c>
      <c r="I19" s="14">
        <v>2.6102887904412669E-8</v>
      </c>
      <c r="J19" s="14">
        <v>3.0749334461957006E-6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8.8753937725758948E-7</v>
      </c>
      <c r="E20" s="14">
        <v>3.4925874965826431E-5</v>
      </c>
      <c r="F20" s="14">
        <v>4.5254507751568763E-8</v>
      </c>
      <c r="G20" s="14">
        <v>1.4506324915961043E-8</v>
      </c>
      <c r="H20" s="14">
        <v>0</v>
      </c>
      <c r="I20" s="14">
        <v>3.9209381559005253E-8</v>
      </c>
      <c r="J20" s="14">
        <v>4.0876154426894488E-6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2.7718726343840803E-7</v>
      </c>
      <c r="E21" s="14">
        <v>1.5842208657648548E-5</v>
      </c>
      <c r="F21" s="14">
        <v>1.1769832422924365E-5</v>
      </c>
      <c r="G21" s="14">
        <v>4.7499544136338712E-7</v>
      </c>
      <c r="H21" s="14">
        <v>0</v>
      </c>
      <c r="I21" s="14">
        <v>1.4263326647050502E-6</v>
      </c>
      <c r="J21" s="14">
        <v>1.0209443549920236E-5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2.6164053992773815E-6</v>
      </c>
      <c r="E22" s="14">
        <v>3.6186343479754637E-5</v>
      </c>
      <c r="F22" s="14">
        <v>4.0437030124696403E-9</v>
      </c>
      <c r="G22" s="14">
        <v>1.5526544306470853E-9</v>
      </c>
      <c r="H22" s="14">
        <v>0</v>
      </c>
      <c r="I22" s="14">
        <v>1.0824602419912375E-8</v>
      </c>
      <c r="J22" s="14">
        <v>1.1808301611049612E-6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2.8557608996543643E-6</v>
      </c>
      <c r="E23" s="14">
        <v>3.0034576151597007E-5</v>
      </c>
      <c r="F23" s="14">
        <v>1.3931441574284498E-7</v>
      </c>
      <c r="G23" s="14">
        <v>4.0652907639380359E-8</v>
      </c>
      <c r="H23" s="14">
        <v>0</v>
      </c>
      <c r="I23" s="14">
        <v>9.6808541955796669E-8</v>
      </c>
      <c r="J23" s="14">
        <v>6.8328870834106019E-6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1.0434939366528306E-7</v>
      </c>
      <c r="E24" s="14">
        <v>2.0146963257011098E-5</v>
      </c>
      <c r="F24" s="14">
        <v>1.2279032384849154E-6</v>
      </c>
      <c r="G24" s="14">
        <v>2.9638737484928947E-7</v>
      </c>
      <c r="H24" s="14">
        <v>0</v>
      </c>
      <c r="I24" s="14">
        <v>6.7863083165986575E-7</v>
      </c>
      <c r="J24" s="14">
        <v>1.7545765904329547E-5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2.3593867049319443E-8</v>
      </c>
      <c r="E25" s="14">
        <v>1.113624539499112E-7</v>
      </c>
      <c r="F25" s="14">
        <v>3.5210593278164771E-6</v>
      </c>
      <c r="G25" s="14">
        <v>7.3479957782830728E-6</v>
      </c>
      <c r="H25" s="14">
        <v>0</v>
      </c>
      <c r="I25" s="14">
        <v>1.7998803632721851E-5</v>
      </c>
      <c r="J25" s="14">
        <v>1.0997184940179382E-5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8.8799286242801375E-6</v>
      </c>
      <c r="E26" s="14">
        <v>9.1299655641829573E-6</v>
      </c>
      <c r="F26" s="14">
        <v>2.5579007536679615E-6</v>
      </c>
      <c r="G26" s="14">
        <v>5.517968859883788E-7</v>
      </c>
      <c r="H26" s="14">
        <v>0</v>
      </c>
      <c r="I26" s="14">
        <v>1.2731441803049087E-6</v>
      </c>
      <c r="J26" s="14">
        <v>1.7607263991575656E-5</v>
      </c>
      <c r="K26" s="14">
        <v>0</v>
      </c>
    </row>
    <row r="27" spans="1:13">
      <c r="A27" s="2" t="s">
        <v>397</v>
      </c>
      <c r="B27" s="3" t="s">
        <v>398</v>
      </c>
      <c r="D27" s="14">
        <v>3.271710824208531E-5</v>
      </c>
      <c r="E27" s="14">
        <v>8.7638427286053921E-7</v>
      </c>
      <c r="F27" s="14">
        <v>1.3786344470225484E-6</v>
      </c>
      <c r="G27" s="14">
        <v>2.6190553763883972E-7</v>
      </c>
      <c r="H27" s="14">
        <v>0</v>
      </c>
      <c r="I27" s="14">
        <v>6.1205531090249976E-7</v>
      </c>
      <c r="J27" s="14">
        <v>4.1539121894902646E-6</v>
      </c>
      <c r="K27" s="14">
        <v>0</v>
      </c>
    </row>
    <row r="28" spans="1:13">
      <c r="A28" s="2" t="s">
        <v>399</v>
      </c>
      <c r="B28" s="3" t="s">
        <v>400</v>
      </c>
      <c r="D28" s="14">
        <v>3.4772117130572899E-5</v>
      </c>
      <c r="E28" s="14">
        <v>1.3259000848082363E-6</v>
      </c>
      <c r="F28" s="14">
        <v>5.1416836060021897E-7</v>
      </c>
      <c r="G28" s="14">
        <v>1.0829312945746401E-7</v>
      </c>
      <c r="H28" s="14">
        <v>0</v>
      </c>
      <c r="I28" s="14">
        <v>2.5042182659477621E-7</v>
      </c>
      <c r="J28" s="14">
        <v>3.0290994679664038E-6</v>
      </c>
      <c r="K28" s="14">
        <v>0</v>
      </c>
    </row>
    <row r="29" spans="1:13">
      <c r="A29" s="2" t="s">
        <v>297</v>
      </c>
      <c r="B29" s="3" t="s">
        <v>298</v>
      </c>
      <c r="D29" s="14">
        <v>3.7297568466296543E-5</v>
      </c>
      <c r="E29" s="14">
        <v>2.3770602208208501E-6</v>
      </c>
      <c r="F29" s="14">
        <v>3.9550751030129521E-9</v>
      </c>
      <c r="G29" s="14">
        <v>1.2446587314982266E-9</v>
      </c>
      <c r="H29" s="14">
        <v>0</v>
      </c>
      <c r="I29" s="14">
        <v>3.2418928255168211E-9</v>
      </c>
      <c r="J29" s="14">
        <v>3.1692968622258813E-7</v>
      </c>
      <c r="K29" s="14">
        <v>0</v>
      </c>
    </row>
    <row r="30" spans="1:13">
      <c r="A30" s="2" t="s">
        <v>401</v>
      </c>
      <c r="B30" s="3" t="s">
        <v>402</v>
      </c>
      <c r="D30" s="14">
        <v>3.8081397216660446E-5</v>
      </c>
      <c r="E30" s="14">
        <v>5.0370068200664654E-7</v>
      </c>
      <c r="F30" s="14">
        <v>1.8121205660663283E-7</v>
      </c>
      <c r="G30" s="14">
        <v>3.8378027052232326E-8</v>
      </c>
      <c r="H30" s="14">
        <v>0</v>
      </c>
      <c r="I30" s="14">
        <v>8.8700272872536673E-8</v>
      </c>
      <c r="J30" s="14">
        <v>1.1066117448015127E-6</v>
      </c>
      <c r="K30" s="14">
        <v>0</v>
      </c>
    </row>
    <row r="31" spans="1:13">
      <c r="A31" s="2" t="s">
        <v>299</v>
      </c>
      <c r="B31" s="3" t="s">
        <v>300</v>
      </c>
      <c r="D31" s="14">
        <v>3.995136719805475E-5</v>
      </c>
      <c r="E31" s="14">
        <v>1.7987520862027496E-8</v>
      </c>
      <c r="F31" s="14">
        <v>2.8353446759492341E-9</v>
      </c>
      <c r="G31" s="14">
        <v>6.3811861865603129E-10</v>
      </c>
      <c r="H31" s="14">
        <v>0</v>
      </c>
      <c r="I31" s="14">
        <v>1.4670285708606278E-9</v>
      </c>
      <c r="J31" s="14">
        <v>2.5704789217754892E-8</v>
      </c>
      <c r="K31" s="14">
        <v>0</v>
      </c>
    </row>
    <row r="32" spans="1:13">
      <c r="A32" s="2" t="s">
        <v>343</v>
      </c>
      <c r="B32" s="3" t="s">
        <v>344</v>
      </c>
      <c r="D32" s="14">
        <v>9.0023930227894238E-8</v>
      </c>
      <c r="E32" s="14">
        <v>2.585816091708267E-5</v>
      </c>
      <c r="F32" s="14">
        <v>5.5135610044110376E-7</v>
      </c>
      <c r="G32" s="14">
        <v>1.4378968739224486E-7</v>
      </c>
      <c r="H32" s="14">
        <v>0</v>
      </c>
      <c r="I32" s="14">
        <v>3.297906391244783E-7</v>
      </c>
      <c r="J32" s="14">
        <v>1.3026878725731609E-5</v>
      </c>
      <c r="K32" s="14">
        <v>0</v>
      </c>
    </row>
    <row r="33" spans="1:11">
      <c r="A33" s="2" t="s">
        <v>345</v>
      </c>
      <c r="B33" s="3" t="s">
        <v>346</v>
      </c>
      <c r="D33" s="14">
        <v>3.559041597784507E-9</v>
      </c>
      <c r="E33" s="14">
        <v>3.0332815850923051E-5</v>
      </c>
      <c r="F33" s="14">
        <v>2.4389746079758476E-7</v>
      </c>
      <c r="G33" s="14">
        <v>6.8344384126429087E-8</v>
      </c>
      <c r="H33" s="14">
        <v>0</v>
      </c>
      <c r="I33" s="14">
        <v>1.5926792826774555E-7</v>
      </c>
      <c r="J33" s="14">
        <v>9.1921153342874114E-6</v>
      </c>
      <c r="K33" s="14">
        <v>0</v>
      </c>
    </row>
    <row r="34" spans="1:11">
      <c r="A34" s="2" t="s">
        <v>347</v>
      </c>
      <c r="B34" s="3" t="s">
        <v>348</v>
      </c>
      <c r="D34" s="14">
        <v>5.1838081581742554E-9</v>
      </c>
      <c r="E34" s="14">
        <v>1.2504564911909126E-5</v>
      </c>
      <c r="F34" s="14">
        <v>3.0152486780228281E-6</v>
      </c>
      <c r="G34" s="14">
        <v>6.576861421391242E-7</v>
      </c>
      <c r="H34" s="14">
        <v>0</v>
      </c>
      <c r="I34" s="14">
        <v>1.5159578314326104E-6</v>
      </c>
      <c r="J34" s="14">
        <v>2.2301358628338139E-5</v>
      </c>
      <c r="K34" s="14">
        <v>0</v>
      </c>
    </row>
    <row r="35" spans="1:11">
      <c r="A35" s="2" t="s">
        <v>349</v>
      </c>
      <c r="B35" s="3" t="s">
        <v>350</v>
      </c>
      <c r="D35" s="14">
        <v>1.8213487257726332E-6</v>
      </c>
      <c r="E35" s="14">
        <v>2.860966488212846E-6</v>
      </c>
      <c r="F35" s="14">
        <v>9.5294387092344743E-6</v>
      </c>
      <c r="G35" s="14">
        <v>1.7130217473549555E-6</v>
      </c>
      <c r="H35" s="14">
        <v>0</v>
      </c>
      <c r="I35" s="14">
        <v>4.027018749101676E-6</v>
      </c>
      <c r="J35" s="14">
        <v>2.0048205580323417E-5</v>
      </c>
      <c r="K35" s="14">
        <v>0</v>
      </c>
    </row>
    <row r="36" spans="1:11">
      <c r="A36" s="2" t="s">
        <v>351</v>
      </c>
      <c r="B36" s="3" t="s">
        <v>352</v>
      </c>
      <c r="D36" s="14">
        <v>5.2121340682114167E-8</v>
      </c>
      <c r="E36" s="14">
        <v>6.7173077038977405E-7</v>
      </c>
      <c r="F36" s="14">
        <v>8.6315699250311739E-6</v>
      </c>
      <c r="G36" s="14">
        <v>3.9846056690532022E-6</v>
      </c>
      <c r="H36" s="14">
        <v>0</v>
      </c>
      <c r="I36" s="14">
        <v>9.5559608264675838E-6</v>
      </c>
      <c r="J36" s="14">
        <v>1.7104011468376149E-5</v>
      </c>
      <c r="K36" s="14">
        <v>0</v>
      </c>
    </row>
    <row r="37" spans="1:11">
      <c r="A37" s="2" t="s">
        <v>353</v>
      </c>
      <c r="B37" s="3" t="s">
        <v>354</v>
      </c>
      <c r="D37" s="14">
        <v>2.9612286787949263E-7</v>
      </c>
      <c r="E37" s="14">
        <v>8.6026372700573928E-8</v>
      </c>
      <c r="F37" s="14">
        <v>3.0440106086757772E-6</v>
      </c>
      <c r="G37" s="14">
        <v>7.6708186774876244E-6</v>
      </c>
      <c r="H37" s="14">
        <v>0</v>
      </c>
      <c r="I37" s="14">
        <v>1.8839398738144669E-5</v>
      </c>
      <c r="J37" s="14">
        <v>1.0063622735111866E-5</v>
      </c>
      <c r="K37" s="14">
        <v>0</v>
      </c>
    </row>
    <row r="38" spans="1:11">
      <c r="A38" s="2" t="s">
        <v>355</v>
      </c>
      <c r="B38" s="3" t="s">
        <v>356</v>
      </c>
      <c r="D38" s="14">
        <v>1.8007377980068837E-8</v>
      </c>
      <c r="E38" s="14">
        <v>3.4127945544715502E-7</v>
      </c>
      <c r="F38" s="14">
        <v>6.3084794913795064E-6</v>
      </c>
      <c r="G38" s="14">
        <v>5.3557494380052027E-6</v>
      </c>
      <c r="H38" s="14">
        <v>0</v>
      </c>
      <c r="I38" s="14">
        <v>1.2954307006713463E-5</v>
      </c>
      <c r="J38" s="14">
        <v>1.5022177230474608E-5</v>
      </c>
      <c r="K38" s="14">
        <v>0</v>
      </c>
    </row>
    <row r="39" spans="1:11">
      <c r="A39" s="2" t="s">
        <v>357</v>
      </c>
      <c r="B39" s="3" t="s">
        <v>358</v>
      </c>
      <c r="D39" s="14">
        <v>3.5989845922236262E-6</v>
      </c>
      <c r="E39" s="14">
        <v>5.0773798118104837E-7</v>
      </c>
      <c r="F39" s="14">
        <v>7.238593729514365E-6</v>
      </c>
      <c r="G39" s="14">
        <v>3.9769465821982826E-6</v>
      </c>
      <c r="H39" s="14">
        <v>0</v>
      </c>
      <c r="I39" s="14">
        <v>9.5608493667387785E-6</v>
      </c>
      <c r="J39" s="14">
        <v>1.5116887748143901E-5</v>
      </c>
      <c r="K39" s="14">
        <v>0</v>
      </c>
    </row>
    <row r="40" spans="1:11">
      <c r="A40" s="2" t="s">
        <v>359</v>
      </c>
      <c r="B40" s="3" t="s">
        <v>360</v>
      </c>
      <c r="D40" s="14">
        <v>1.8007377980068837E-8</v>
      </c>
      <c r="E40" s="14">
        <v>3.4127945544715502E-7</v>
      </c>
      <c r="F40" s="14">
        <v>6.3084794913795064E-6</v>
      </c>
      <c r="G40" s="14">
        <v>5.3557494380052027E-6</v>
      </c>
      <c r="H40" s="14">
        <v>0</v>
      </c>
      <c r="I40" s="14">
        <v>1.2954307006713463E-5</v>
      </c>
      <c r="J40" s="14">
        <v>1.5022177230474608E-5</v>
      </c>
      <c r="K40" s="14">
        <v>0</v>
      </c>
    </row>
    <row r="41" spans="1:11">
      <c r="A41" s="2" t="s">
        <v>313</v>
      </c>
      <c r="B41" s="3" t="s">
        <v>314</v>
      </c>
      <c r="D41" s="14">
        <v>2.3317030164309311E-12</v>
      </c>
      <c r="E41" s="14">
        <v>3.9786020984940458E-5</v>
      </c>
      <c r="F41" s="14">
        <v>1.8921913715225837E-7</v>
      </c>
      <c r="G41" s="14">
        <v>4.5028305877510898E-11</v>
      </c>
      <c r="H41" s="14">
        <v>0</v>
      </c>
      <c r="I41" s="14">
        <v>1.7220509800082498E-8</v>
      </c>
      <c r="J41" s="14">
        <v>7.4920080983090471E-9</v>
      </c>
      <c r="K41" s="14">
        <v>0</v>
      </c>
    </row>
    <row r="42" spans="1:11">
      <c r="A42" s="2" t="s">
        <v>315</v>
      </c>
      <c r="B42" s="3" t="s">
        <v>316</v>
      </c>
      <c r="D42" s="14">
        <v>4.2441856995419038E-7</v>
      </c>
      <c r="E42" s="14">
        <v>7.7741701605960498E-8</v>
      </c>
      <c r="F42" s="14">
        <v>2.8725565864117E-6</v>
      </c>
      <c r="G42" s="14">
        <v>7.7833067694940014E-6</v>
      </c>
      <c r="H42" s="14">
        <v>0</v>
      </c>
      <c r="I42" s="14">
        <v>1.913516079274376E-5</v>
      </c>
      <c r="J42" s="14">
        <v>9.7068155797903908E-6</v>
      </c>
      <c r="K42" s="14">
        <v>0</v>
      </c>
    </row>
    <row r="43" spans="1:11">
      <c r="A43" s="2" t="s">
        <v>317</v>
      </c>
      <c r="B43" s="3" t="s">
        <v>318</v>
      </c>
      <c r="D43" s="14">
        <v>2.4050033116766161E-16</v>
      </c>
      <c r="E43" s="14">
        <v>1.9340840492357209E-5</v>
      </c>
      <c r="F43" s="14">
        <v>1.3695878469123853E-6</v>
      </c>
      <c r="G43" s="14">
        <v>3.2695309211013259E-7</v>
      </c>
      <c r="H43" s="14">
        <v>0</v>
      </c>
      <c r="I43" s="14">
        <v>7.4892273864516206E-7</v>
      </c>
      <c r="J43" s="14">
        <v>1.8213695829734618E-5</v>
      </c>
      <c r="K43" s="14">
        <v>0</v>
      </c>
    </row>
    <row r="44" spans="1:11">
      <c r="A44" s="2" t="s">
        <v>307</v>
      </c>
      <c r="B44" s="3" t="s">
        <v>308</v>
      </c>
      <c r="D44" s="14">
        <v>1.8646528645734363E-8</v>
      </c>
      <c r="E44" s="14">
        <v>1.0781958532590921E-6</v>
      </c>
      <c r="F44" s="14">
        <v>1.0502004682445375E-5</v>
      </c>
      <c r="G44" s="14">
        <v>3.047668757251012E-6</v>
      </c>
      <c r="H44" s="14">
        <v>0</v>
      </c>
      <c r="I44" s="14">
        <v>7.2617418570725738E-6</v>
      </c>
      <c r="J44" s="14">
        <v>1.8091742321326211E-5</v>
      </c>
      <c r="K44" s="14">
        <v>0</v>
      </c>
    </row>
    <row r="45" spans="1:11">
      <c r="A45" s="2" t="s">
        <v>319</v>
      </c>
      <c r="B45" s="3" t="s">
        <v>320</v>
      </c>
      <c r="D45" s="14">
        <v>1.3630625921306655E-9</v>
      </c>
      <c r="E45" s="14">
        <v>3.4270107259095156E-8</v>
      </c>
      <c r="F45" s="14">
        <v>1.8058846814568357E-6</v>
      </c>
      <c r="G45" s="14">
        <v>8.8692228957544534E-6</v>
      </c>
      <c r="H45" s="14">
        <v>0</v>
      </c>
      <c r="I45" s="14">
        <v>2.1987992764692151E-5</v>
      </c>
      <c r="J45" s="14">
        <v>7.3012664882453374E-6</v>
      </c>
      <c r="K45" s="14">
        <v>0</v>
      </c>
    </row>
    <row r="46" spans="1:11">
      <c r="A46" s="2" t="s">
        <v>321</v>
      </c>
      <c r="B46" s="3" t="s">
        <v>322</v>
      </c>
      <c r="D46" s="14">
        <v>2.0476613057628808E-9</v>
      </c>
      <c r="E46" s="14">
        <v>6.9784309899505534E-8</v>
      </c>
      <c r="F46" s="14">
        <v>2.7160160903413946E-6</v>
      </c>
      <c r="G46" s="14">
        <v>8.0283795098710609E-6</v>
      </c>
      <c r="H46" s="14">
        <v>0</v>
      </c>
      <c r="I46" s="14">
        <v>1.976182830369823E-5</v>
      </c>
      <c r="J46" s="14">
        <v>9.4219441248840516E-6</v>
      </c>
      <c r="K46" s="14">
        <v>0</v>
      </c>
    </row>
    <row r="47" spans="1:11">
      <c r="A47" s="2" t="s">
        <v>323</v>
      </c>
      <c r="B47" s="3" t="s">
        <v>324</v>
      </c>
      <c r="D47" s="14">
        <v>2.0179609430808207E-8</v>
      </c>
      <c r="E47" s="14">
        <v>1.6220058673517178E-7</v>
      </c>
      <c r="F47" s="14">
        <v>4.3130746137255654E-6</v>
      </c>
      <c r="G47" s="14">
        <v>6.7341459803139095E-6</v>
      </c>
      <c r="H47" s="14">
        <v>0</v>
      </c>
      <c r="I47" s="14">
        <v>1.6428125959935132E-5</v>
      </c>
      <c r="J47" s="14">
        <v>1.234227324985942E-5</v>
      </c>
      <c r="K47" s="14">
        <v>0</v>
      </c>
    </row>
    <row r="48" spans="1:11">
      <c r="A48" s="2" t="s">
        <v>325</v>
      </c>
      <c r="B48" s="3" t="s">
        <v>326</v>
      </c>
      <c r="D48" s="14">
        <v>1.0623583432879764E-8</v>
      </c>
      <c r="E48" s="14">
        <v>6.2412373311165869E-6</v>
      </c>
      <c r="F48" s="14">
        <v>6.2595807729310123E-6</v>
      </c>
      <c r="G48" s="14">
        <v>1.2292516594957672E-6</v>
      </c>
      <c r="H48" s="14">
        <v>0</v>
      </c>
      <c r="I48" s="14">
        <v>2.8626698253115267E-6</v>
      </c>
      <c r="J48" s="14">
        <v>2.3396636827712221E-5</v>
      </c>
      <c r="K48" s="14">
        <v>0</v>
      </c>
    </row>
    <row r="49" spans="1:11">
      <c r="A49" s="2" t="s">
        <v>275</v>
      </c>
      <c r="B49" s="3" t="s">
        <v>276</v>
      </c>
      <c r="D49" s="14">
        <v>2.365518292128265E-10</v>
      </c>
      <c r="E49" s="14">
        <v>9.9007016874479739E-7</v>
      </c>
      <c r="F49" s="14">
        <v>1.0157820301575502E-5</v>
      </c>
      <c r="G49" s="14">
        <v>3.2158522040256116E-6</v>
      </c>
      <c r="H49" s="14">
        <v>0</v>
      </c>
      <c r="I49" s="14">
        <v>7.6717864413927957E-6</v>
      </c>
      <c r="J49" s="14">
        <v>1.796423433243209E-5</v>
      </c>
      <c r="K49" s="14">
        <v>0</v>
      </c>
    </row>
    <row r="50" spans="1:11">
      <c r="A50" s="2" t="s">
        <v>327</v>
      </c>
      <c r="B50" s="3" t="s">
        <v>328</v>
      </c>
      <c r="D50" s="14">
        <v>1.2052951796472401E-8</v>
      </c>
      <c r="E50" s="14">
        <v>8.5552574709212057E-7</v>
      </c>
      <c r="F50" s="14">
        <v>9.5712273988530524E-6</v>
      </c>
      <c r="G50" s="14">
        <v>3.5031859464216405E-6</v>
      </c>
      <c r="H50" s="14">
        <v>0</v>
      </c>
      <c r="I50" s="14">
        <v>8.3741987528250956E-6</v>
      </c>
      <c r="J50" s="14">
        <v>1.7683809203011622E-5</v>
      </c>
      <c r="K50" s="14">
        <v>0</v>
      </c>
    </row>
    <row r="51" spans="1:11">
      <c r="A51" s="2" t="s">
        <v>329</v>
      </c>
      <c r="B51" s="3" t="s">
        <v>330</v>
      </c>
      <c r="D51" s="14">
        <v>6.3831693309571246E-9</v>
      </c>
      <c r="E51" s="14">
        <v>4.6001927579174395E-6</v>
      </c>
      <c r="F51" s="14">
        <v>7.8002869660816244E-6</v>
      </c>
      <c r="G51" s="14">
        <v>1.4736899971025865E-6</v>
      </c>
      <c r="H51" s="14">
        <v>0</v>
      </c>
      <c r="I51" s="14">
        <v>3.4459366172296324E-6</v>
      </c>
      <c r="J51" s="14">
        <v>2.2673510492337761E-5</v>
      </c>
      <c r="K51" s="14">
        <v>0</v>
      </c>
    </row>
    <row r="52" spans="1:11">
      <c r="A52" s="2" t="s">
        <v>277</v>
      </c>
      <c r="B52" s="3" t="s">
        <v>278</v>
      </c>
      <c r="D52" s="14">
        <v>1.6756361019802317E-8</v>
      </c>
      <c r="E52" s="14">
        <v>6.0681928340270261E-6</v>
      </c>
      <c r="F52" s="14">
        <v>6.398142723311968E-6</v>
      </c>
      <c r="G52" s="14">
        <v>1.2518418868506707E-6</v>
      </c>
      <c r="H52" s="14">
        <v>0</v>
      </c>
      <c r="I52" s="14">
        <v>2.9163982108151309E-6</v>
      </c>
      <c r="J52" s="14">
        <v>2.3348667983975402E-5</v>
      </c>
      <c r="K52" s="14">
        <v>0</v>
      </c>
    </row>
    <row r="53" spans="1:11">
      <c r="A53" s="2" t="s">
        <v>331</v>
      </c>
      <c r="B53" s="3" t="s">
        <v>332</v>
      </c>
      <c r="D53" s="14">
        <v>7.5259716457833467E-9</v>
      </c>
      <c r="E53" s="14">
        <v>5.3191500573705869E-7</v>
      </c>
      <c r="F53" s="14">
        <v>7.7828165306636493E-6</v>
      </c>
      <c r="G53" s="14">
        <v>4.4661401570173889E-6</v>
      </c>
      <c r="H53" s="14">
        <v>0</v>
      </c>
      <c r="I53" s="14">
        <v>1.0743446098005482E-5</v>
      </c>
      <c r="J53" s="14">
        <v>1.6468156236930639E-5</v>
      </c>
      <c r="K53" s="14">
        <v>0</v>
      </c>
    </row>
    <row r="54" spans="1:11">
      <c r="A54" s="2" t="s">
        <v>333</v>
      </c>
      <c r="B54" s="3" t="s">
        <v>334</v>
      </c>
      <c r="D54" s="14">
        <v>1.3267020585995275E-11</v>
      </c>
      <c r="E54" s="14">
        <v>9.209012607219038E-7</v>
      </c>
      <c r="F54" s="14">
        <v>9.8661478177050351E-6</v>
      </c>
      <c r="G54" s="14">
        <v>3.3584831465986145E-6</v>
      </c>
      <c r="H54" s="14">
        <v>0</v>
      </c>
      <c r="I54" s="14">
        <v>8.0201653501787474E-6</v>
      </c>
      <c r="J54" s="14">
        <v>1.7834289157775122E-5</v>
      </c>
      <c r="K54" s="14">
        <v>0</v>
      </c>
    </row>
    <row r="55" spans="1:11">
      <c r="A55" s="2" t="s">
        <v>335</v>
      </c>
      <c r="B55" s="3" t="s">
        <v>336</v>
      </c>
      <c r="D55" s="14">
        <v>5.2534695318465924E-8</v>
      </c>
      <c r="E55" s="14">
        <v>1.6815348879956517E-7</v>
      </c>
      <c r="F55" s="14">
        <v>4.3946109423148001E-6</v>
      </c>
      <c r="G55" s="14">
        <v>6.6652430101937047E-6</v>
      </c>
      <c r="H55" s="14">
        <v>0</v>
      </c>
      <c r="I55" s="14">
        <v>1.625341491880497E-5</v>
      </c>
      <c r="J55" s="14">
        <v>1.2466042944568499E-5</v>
      </c>
      <c r="K55" s="14">
        <v>0</v>
      </c>
    </row>
    <row r="56" spans="1:11">
      <c r="A56" s="2" t="s">
        <v>337</v>
      </c>
      <c r="B56" s="3" t="s">
        <v>338</v>
      </c>
      <c r="D56" s="14">
        <v>4.7700199031943106E-9</v>
      </c>
      <c r="E56" s="14">
        <v>1.0483344451795152E-6</v>
      </c>
      <c r="F56" s="14">
        <v>1.0389494225980026E-5</v>
      </c>
      <c r="G56" s="14">
        <v>3.1037730756358326E-6</v>
      </c>
      <c r="H56" s="14">
        <v>0</v>
      </c>
      <c r="I56" s="14">
        <v>7.3984162415006982E-6</v>
      </c>
      <c r="J56" s="14">
        <v>1.8055211991800744E-5</v>
      </c>
      <c r="K56" s="14">
        <v>0</v>
      </c>
    </row>
    <row r="57" spans="1:11">
      <c r="A57" s="2" t="s">
        <v>279</v>
      </c>
      <c r="B57" s="3" t="s">
        <v>280</v>
      </c>
      <c r="D57" s="14">
        <v>2.9920121138517746E-7</v>
      </c>
      <c r="E57" s="14">
        <v>7.0065304221451935E-6</v>
      </c>
      <c r="F57" s="14">
        <v>5.6109650355618628E-6</v>
      </c>
      <c r="G57" s="14">
        <v>1.1202968576230014E-6</v>
      </c>
      <c r="H57" s="14">
        <v>0</v>
      </c>
      <c r="I57" s="14">
        <v>2.6044635600322526E-6</v>
      </c>
      <c r="J57" s="14">
        <v>2.3358542913252518E-5</v>
      </c>
      <c r="K57" s="14">
        <v>0</v>
      </c>
    </row>
    <row r="58" spans="1:11">
      <c r="A58" s="2" t="s">
        <v>339</v>
      </c>
      <c r="B58" s="3" t="s">
        <v>340</v>
      </c>
      <c r="D58" s="14">
        <v>4.6397525641562125E-11</v>
      </c>
      <c r="E58" s="14">
        <v>9.0755819971660786E-7</v>
      </c>
      <c r="F58" s="14">
        <v>9.8077420555061732E-6</v>
      </c>
      <c r="G58" s="14">
        <v>3.3873852391116697E-6</v>
      </c>
      <c r="H58" s="14">
        <v>0</v>
      </c>
      <c r="I58" s="14">
        <v>8.0908231632363306E-6</v>
      </c>
      <c r="J58" s="14">
        <v>1.7806444944903582E-5</v>
      </c>
      <c r="K58" s="14">
        <v>0</v>
      </c>
    </row>
    <row r="59" spans="1:11">
      <c r="A59" s="2" t="s">
        <v>281</v>
      </c>
      <c r="B59" s="3" t="s">
        <v>282</v>
      </c>
      <c r="D59" s="14">
        <v>2.5370798139284456E-9</v>
      </c>
      <c r="E59" s="14">
        <v>6.0703508715563885E-6</v>
      </c>
      <c r="F59" s="14">
        <v>6.4004181012527776E-6</v>
      </c>
      <c r="G59" s="14">
        <v>1.2522870806417282E-6</v>
      </c>
      <c r="H59" s="14">
        <v>0</v>
      </c>
      <c r="I59" s="14">
        <v>2.917435372448198E-6</v>
      </c>
      <c r="J59" s="14">
        <v>2.3356971494286989E-5</v>
      </c>
      <c r="K59" s="14">
        <v>0</v>
      </c>
    </row>
    <row r="60" spans="1:11">
      <c r="A60" s="2" t="s">
        <v>341</v>
      </c>
      <c r="B60" s="3" t="s">
        <v>342</v>
      </c>
      <c r="D60" s="14">
        <v>6.4113802602003849E-8</v>
      </c>
      <c r="E60" s="14">
        <v>6.1202787157207802E-7</v>
      </c>
      <c r="F60" s="14">
        <v>8.2837264822931684E-6</v>
      </c>
      <c r="G60" s="14">
        <v>4.17177911898167E-6</v>
      </c>
      <c r="H60" s="14">
        <v>0</v>
      </c>
      <c r="I60" s="14">
        <v>1.0017032305713696E-5</v>
      </c>
      <c r="J60" s="14">
        <v>1.6851320418837383E-5</v>
      </c>
      <c r="K60" s="14">
        <v>0</v>
      </c>
    </row>
    <row r="61" spans="1:11">
      <c r="A61" s="2" t="s">
        <v>483</v>
      </c>
      <c r="B61" s="3" t="s">
        <v>484</v>
      </c>
      <c r="D61" s="14">
        <v>5.3972198147872811E-18</v>
      </c>
      <c r="E61" s="14">
        <v>1.9662115083674519E-5</v>
      </c>
      <c r="F61" s="14">
        <v>3.1562188896700464E-6</v>
      </c>
      <c r="G61" s="14">
        <v>5.2587764792101856E-7</v>
      </c>
      <c r="H61" s="14">
        <v>0</v>
      </c>
      <c r="I61" s="14">
        <v>2.8138362683154142E-6</v>
      </c>
      <c r="J61" s="14">
        <v>1.3841952110413607E-5</v>
      </c>
      <c r="K61" s="14">
        <v>0</v>
      </c>
    </row>
    <row r="62" spans="1:11">
      <c r="A62" s="2" t="s">
        <v>485</v>
      </c>
      <c r="B62" s="3" t="s">
        <v>486</v>
      </c>
      <c r="D62" s="14">
        <v>1.4333218139999151E-11</v>
      </c>
      <c r="E62" s="14">
        <v>1.3031769058013789E-5</v>
      </c>
      <c r="F62" s="14">
        <v>2.8432688392385682E-6</v>
      </c>
      <c r="G62" s="14">
        <v>6.2476038058515598E-7</v>
      </c>
      <c r="H62" s="14">
        <v>0</v>
      </c>
      <c r="I62" s="14">
        <v>1.439140821866649E-6</v>
      </c>
      <c r="J62" s="14">
        <v>2.2061046567077699E-5</v>
      </c>
      <c r="K62" s="14">
        <v>0</v>
      </c>
    </row>
    <row r="63" spans="1:11">
      <c r="A63" s="2" t="s">
        <v>487</v>
      </c>
      <c r="B63" s="3" t="s">
        <v>488</v>
      </c>
      <c r="D63" s="14">
        <v>2.9346384051474408E-17</v>
      </c>
      <c r="E63" s="14">
        <v>3.7972478636906993E-5</v>
      </c>
      <c r="F63" s="14">
        <v>1.3088769129801956E-7</v>
      </c>
      <c r="G63" s="14">
        <v>1.727012813780729E-8</v>
      </c>
      <c r="H63" s="14">
        <v>0</v>
      </c>
      <c r="I63" s="14">
        <v>2.3844058863984744E-7</v>
      </c>
      <c r="J63" s="14">
        <v>1.6409229549879943E-6</v>
      </c>
      <c r="K63" s="14">
        <v>0</v>
      </c>
    </row>
    <row r="64" spans="1:11">
      <c r="A64" s="2" t="s">
        <v>489</v>
      </c>
      <c r="B64" s="3" t="s">
        <v>490</v>
      </c>
      <c r="D64" s="14">
        <v>5.3143482736361652E-19</v>
      </c>
      <c r="E64" s="14">
        <v>3.9763441577287768E-5</v>
      </c>
      <c r="F64" s="14">
        <v>4.9009301913996234E-8</v>
      </c>
      <c r="G64" s="14">
        <v>6.0849340742334783E-10</v>
      </c>
      <c r="H64" s="14">
        <v>0</v>
      </c>
      <c r="I64" s="14">
        <v>1.1968646779599859E-8</v>
      </c>
      <c r="J64" s="14">
        <v>1.7497198061068023E-7</v>
      </c>
      <c r="K64" s="14">
        <v>0</v>
      </c>
    </row>
    <row r="65" spans="1:11">
      <c r="A65" s="2" t="s">
        <v>491</v>
      </c>
      <c r="B65" s="3" t="s">
        <v>492</v>
      </c>
      <c r="D65" s="14">
        <v>8.7749098197092986E-17</v>
      </c>
      <c r="E65" s="14">
        <v>3.9888568853477393E-5</v>
      </c>
      <c r="F65" s="14">
        <v>6.3613444325908603E-9</v>
      </c>
      <c r="G65" s="14">
        <v>2.8293875056094914E-10</v>
      </c>
      <c r="H65" s="14">
        <v>0</v>
      </c>
      <c r="I65" s="14">
        <v>2.7485872195229895E-8</v>
      </c>
      <c r="J65" s="14">
        <v>7.730099105647909E-8</v>
      </c>
      <c r="K65" s="14">
        <v>0</v>
      </c>
    </row>
    <row r="66" spans="1:11">
      <c r="A66" s="2" t="s">
        <v>493</v>
      </c>
      <c r="B66" s="3" t="s">
        <v>494</v>
      </c>
      <c r="D66" s="14">
        <v>1.3428957401666579E-15</v>
      </c>
      <c r="E66" s="14">
        <v>3.6138762332465232E-5</v>
      </c>
      <c r="F66" s="14">
        <v>9.379365351100116E-7</v>
      </c>
      <c r="G66" s="14">
        <v>2.3506409193391615E-8</v>
      </c>
      <c r="H66" s="14">
        <v>0</v>
      </c>
      <c r="I66" s="14">
        <v>2.0921526717894932E-6</v>
      </c>
      <c r="J66" s="14">
        <v>8.0764205009898593E-7</v>
      </c>
      <c r="K66" s="14">
        <v>0</v>
      </c>
    </row>
    <row r="67" spans="1:11">
      <c r="A67" s="2" t="s">
        <v>495</v>
      </c>
      <c r="B67" s="3" t="s">
        <v>496</v>
      </c>
      <c r="D67" s="14">
        <v>6.8540939048000198E-17</v>
      </c>
      <c r="E67" s="14">
        <v>3.9883174065372709E-5</v>
      </c>
      <c r="F67" s="14">
        <v>5.3633237670041595E-9</v>
      </c>
      <c r="G67" s="14">
        <v>2.9318986180061497E-10</v>
      </c>
      <c r="H67" s="14">
        <v>0</v>
      </c>
      <c r="I67" s="14">
        <v>2.4261055994483171E-8</v>
      </c>
      <c r="J67" s="14">
        <v>8.6908364935465182E-8</v>
      </c>
      <c r="K67" s="14">
        <v>0</v>
      </c>
    </row>
    <row r="68" spans="1:11">
      <c r="A68" s="2" t="s">
        <v>497</v>
      </c>
      <c r="B68" s="3" t="s">
        <v>498</v>
      </c>
      <c r="D68" s="14">
        <v>6.1990120463972472E-16</v>
      </c>
      <c r="E68" s="14">
        <v>3.9953825669410984E-5</v>
      </c>
      <c r="F68" s="14">
        <v>6.3791011547838741E-10</v>
      </c>
      <c r="G68" s="14">
        <v>4.9218181649631828E-11</v>
      </c>
      <c r="H68" s="14">
        <v>0</v>
      </c>
      <c r="I68" s="14">
        <v>1.0370137975397502E-8</v>
      </c>
      <c r="J68" s="14">
        <v>3.5117063696593794E-8</v>
      </c>
      <c r="K68" s="14">
        <v>0</v>
      </c>
    </row>
    <row r="69" spans="1:11">
      <c r="A69" s="2" t="s">
        <v>499</v>
      </c>
      <c r="B69" s="3" t="s">
        <v>500</v>
      </c>
      <c r="D69" s="14">
        <v>1.2130885311333681E-15</v>
      </c>
      <c r="E69" s="14">
        <v>1.211965232104507E-6</v>
      </c>
      <c r="F69" s="14">
        <v>1.098643300398424E-5</v>
      </c>
      <c r="G69" s="14">
        <v>2.8265864132436472E-6</v>
      </c>
      <c r="H69" s="14">
        <v>0</v>
      </c>
      <c r="I69" s="14">
        <v>6.72366937854434E-6</v>
      </c>
      <c r="J69" s="14">
        <v>1.825134597091018E-5</v>
      </c>
      <c r="K69" s="14">
        <v>0</v>
      </c>
    </row>
    <row r="70" spans="1:11">
      <c r="A70" s="2" t="s">
        <v>501</v>
      </c>
      <c r="B70" s="3" t="s">
        <v>411</v>
      </c>
      <c r="D70" s="14">
        <v>1.1420156310483947E-17</v>
      </c>
      <c r="E70" s="14">
        <v>3.9859487718850223E-5</v>
      </c>
      <c r="F70" s="14">
        <v>1.2392138628790813E-7</v>
      </c>
      <c r="G70" s="14">
        <v>1.1777195581076867E-11</v>
      </c>
      <c r="H70" s="14">
        <v>0</v>
      </c>
      <c r="I70" s="14">
        <v>1.4251270197118819E-8</v>
      </c>
      <c r="J70" s="14">
        <v>2.3278474577543372E-9</v>
      </c>
      <c r="K70" s="14">
        <v>0</v>
      </c>
    </row>
    <row r="71" spans="1:11">
      <c r="A71" s="2" t="s">
        <v>502</v>
      </c>
      <c r="B71" s="3" t="s">
        <v>412</v>
      </c>
      <c r="D71" s="14">
        <v>5.3448572201285879E-13</v>
      </c>
      <c r="E71" s="14">
        <v>3.9740763540753338E-5</v>
      </c>
      <c r="F71" s="14">
        <v>2.3670681255985424E-7</v>
      </c>
      <c r="G71" s="14">
        <v>2.1511815838856208E-11</v>
      </c>
      <c r="H71" s="14">
        <v>0</v>
      </c>
      <c r="I71" s="14">
        <v>1.9240295201314801E-8</v>
      </c>
      <c r="J71" s="14">
        <v>3.2673051839394336E-9</v>
      </c>
      <c r="K71" s="14">
        <v>0</v>
      </c>
    </row>
    <row r="72" spans="1:11">
      <c r="A72" s="2" t="s">
        <v>503</v>
      </c>
      <c r="B72" s="3" t="s">
        <v>413</v>
      </c>
      <c r="D72" s="14">
        <v>5.3232090751541985E-14</v>
      </c>
      <c r="E72" s="14">
        <v>1.2067386151186905E-6</v>
      </c>
      <c r="F72" s="14">
        <v>3.0728952815815174E-5</v>
      </c>
      <c r="G72" s="14">
        <v>1.4112765320689251E-8</v>
      </c>
      <c r="H72" s="14">
        <v>0</v>
      </c>
      <c r="I72" s="14">
        <v>8.0229859880599535E-6</v>
      </c>
      <c r="J72" s="14">
        <v>2.7209762453404243E-8</v>
      </c>
      <c r="K72" s="14">
        <v>0</v>
      </c>
    </row>
    <row r="73" spans="1:11">
      <c r="A73" s="2" t="s">
        <v>504</v>
      </c>
      <c r="B73" s="3" t="s">
        <v>414</v>
      </c>
      <c r="D73" s="14">
        <v>6.6355194274529036E-14</v>
      </c>
      <c r="E73" s="14">
        <v>1.0679098967397707E-5</v>
      </c>
      <c r="F73" s="14">
        <v>2.8402015604347411E-5</v>
      </c>
      <c r="G73" s="14">
        <v>1.6417745565188601E-9</v>
      </c>
      <c r="H73" s="14">
        <v>0</v>
      </c>
      <c r="I73" s="14">
        <v>8.9619484502574369E-7</v>
      </c>
      <c r="J73" s="14">
        <v>2.1048742317423826E-8</v>
      </c>
      <c r="K73" s="14">
        <v>0</v>
      </c>
    </row>
    <row r="74" spans="1:11">
      <c r="A74" s="2" t="s">
        <v>505</v>
      </c>
      <c r="B74" s="3" t="s">
        <v>415</v>
      </c>
      <c r="D74" s="14">
        <v>6.5758797315609387E-14</v>
      </c>
      <c r="E74" s="14">
        <v>3.9764318885858007E-5</v>
      </c>
      <c r="F74" s="14">
        <v>2.1430292479299542E-7</v>
      </c>
      <c r="G74" s="14">
        <v>1.956106325620748E-11</v>
      </c>
      <c r="H74" s="14">
        <v>0</v>
      </c>
      <c r="I74" s="14">
        <v>1.8264670964726669E-8</v>
      </c>
      <c r="J74" s="14">
        <v>3.0938915622200976E-9</v>
      </c>
      <c r="K74" s="14">
        <v>0</v>
      </c>
    </row>
    <row r="75" spans="1:11">
      <c r="A75" s="2" t="s">
        <v>506</v>
      </c>
      <c r="B75" s="3" t="s">
        <v>416</v>
      </c>
      <c r="D75" s="14">
        <v>2.7271819896569722E-13</v>
      </c>
      <c r="E75" s="14">
        <v>1.2100235042763516E-5</v>
      </c>
      <c r="F75" s="14">
        <v>2.701396649013122E-5</v>
      </c>
      <c r="G75" s="14">
        <v>1.5818041695716538E-9</v>
      </c>
      <c r="H75" s="14">
        <v>0</v>
      </c>
      <c r="I75" s="14">
        <v>8.6244604345927772E-7</v>
      </c>
      <c r="J75" s="14">
        <v>2.177034675821924E-8</v>
      </c>
      <c r="K75" s="14">
        <v>0</v>
      </c>
    </row>
    <row r="76" spans="1:11">
      <c r="A76" s="2" t="s">
        <v>507</v>
      </c>
      <c r="B76" s="3" t="s">
        <v>417</v>
      </c>
      <c r="D76" s="14">
        <v>1.7606811797684236E-12</v>
      </c>
      <c r="E76" s="14">
        <v>3.5458537647121964E-5</v>
      </c>
      <c r="F76" s="14">
        <v>4.3526662822489906E-6</v>
      </c>
      <c r="G76" s="14">
        <v>3.1653496148648726E-10</v>
      </c>
      <c r="H76" s="14">
        <v>0</v>
      </c>
      <c r="I76" s="14">
        <v>1.7436753774947122E-7</v>
      </c>
      <c r="J76" s="14">
        <v>1.4110237236908342E-8</v>
      </c>
      <c r="K76" s="14">
        <v>0</v>
      </c>
    </row>
    <row r="77" spans="1:11">
      <c r="A77" s="2" t="s">
        <v>508</v>
      </c>
      <c r="B77" s="3" t="s">
        <v>418</v>
      </c>
      <c r="D77" s="14">
        <v>2.0301592651040372E-12</v>
      </c>
      <c r="E77" s="14">
        <v>1.107414506590569E-5</v>
      </c>
      <c r="F77" s="14">
        <v>2.8015911616508157E-5</v>
      </c>
      <c r="G77" s="14">
        <v>1.6303133039186947E-9</v>
      </c>
      <c r="H77" s="14">
        <v>0</v>
      </c>
      <c r="I77" s="14">
        <v>8.8698132540116429E-7</v>
      </c>
      <c r="J77" s="14">
        <v>2.1329648721807858E-8</v>
      </c>
      <c r="K77" s="14">
        <v>0</v>
      </c>
    </row>
    <row r="78" spans="1:11">
      <c r="A78" s="2" t="s">
        <v>509</v>
      </c>
      <c r="B78" s="3" t="s">
        <v>419</v>
      </c>
      <c r="D78" s="14">
        <v>2.2053977098370585E-13</v>
      </c>
      <c r="E78" s="14">
        <v>1.3792614740165371E-6</v>
      </c>
      <c r="F78" s="14">
        <v>3.1656373103911065E-5</v>
      </c>
      <c r="G78" s="14">
        <v>1.2215901299276713E-8</v>
      </c>
      <c r="H78" s="14">
        <v>0</v>
      </c>
      <c r="I78" s="14">
        <v>6.9255519638688573E-6</v>
      </c>
      <c r="J78" s="14">
        <v>2.6597336364495034E-8</v>
      </c>
      <c r="K78" s="14">
        <v>0</v>
      </c>
    </row>
    <row r="79" spans="1:11">
      <c r="A79" s="2" t="s">
        <v>510</v>
      </c>
      <c r="B79" s="3" t="s">
        <v>420</v>
      </c>
      <c r="D79" s="14">
        <v>5.5397103450933325E-18</v>
      </c>
      <c r="E79" s="14">
        <v>1.3792618435749224E-6</v>
      </c>
      <c r="F79" s="14">
        <v>3.1656381585898231E-5</v>
      </c>
      <c r="G79" s="14">
        <v>1.2213971336118476E-8</v>
      </c>
      <c r="H79" s="14">
        <v>0</v>
      </c>
      <c r="I79" s="14">
        <v>6.9255494648748867E-6</v>
      </c>
      <c r="J79" s="14">
        <v>2.6593134310300821E-8</v>
      </c>
      <c r="K79" s="14">
        <v>0</v>
      </c>
    </row>
    <row r="80" spans="1:11">
      <c r="A80" s="2" t="s">
        <v>511</v>
      </c>
      <c r="B80" s="3" t="s">
        <v>421</v>
      </c>
      <c r="D80" s="14">
        <v>3.0941585807643811E-13</v>
      </c>
      <c r="E80" s="14">
        <v>2.6376808998953917E-5</v>
      </c>
      <c r="F80" s="14">
        <v>1.3134598595132339E-5</v>
      </c>
      <c r="G80" s="14">
        <v>8.5897626579646313E-10</v>
      </c>
      <c r="H80" s="14">
        <v>0</v>
      </c>
      <c r="I80" s="14">
        <v>4.6602142197570991E-7</v>
      </c>
      <c r="J80" s="14">
        <v>2.1711698256379151E-8</v>
      </c>
      <c r="K80" s="14">
        <v>0</v>
      </c>
    </row>
    <row r="81" spans="1:11">
      <c r="A81" s="2" t="s">
        <v>512</v>
      </c>
      <c r="B81" s="3" t="s">
        <v>422</v>
      </c>
      <c r="D81" s="14">
        <v>1.2392385493452854E-13</v>
      </c>
      <c r="E81" s="14">
        <v>3.9002693572167435E-5</v>
      </c>
      <c r="F81" s="14">
        <v>9.4238670671885116E-7</v>
      </c>
      <c r="G81" s="14">
        <v>7.7018225902799757E-11</v>
      </c>
      <c r="H81" s="14">
        <v>0</v>
      </c>
      <c r="I81" s="14">
        <v>4.8209637859904453E-8</v>
      </c>
      <c r="J81" s="14">
        <v>6.6329411040593442E-9</v>
      </c>
      <c r="K81" s="14">
        <v>0</v>
      </c>
    </row>
    <row r="82" spans="1:11">
      <c r="A82" s="2" t="s">
        <v>513</v>
      </c>
      <c r="B82" s="3" t="s">
        <v>423</v>
      </c>
      <c r="D82" s="14">
        <v>3.9649942456710092E-17</v>
      </c>
      <c r="E82" s="14">
        <v>3.7483680368159164E-5</v>
      </c>
      <c r="F82" s="14">
        <v>2.4016890405025449E-6</v>
      </c>
      <c r="G82" s="14">
        <v>1.8264693994320002E-10</v>
      </c>
      <c r="H82" s="14">
        <v>0</v>
      </c>
      <c r="I82" s="14">
        <v>1.0385235713414937E-7</v>
      </c>
      <c r="J82" s="14">
        <v>1.059558722455012E-8</v>
      </c>
      <c r="K82" s="14">
        <v>0</v>
      </c>
    </row>
    <row r="83" spans="1:11">
      <c r="A83" s="2" t="s">
        <v>514</v>
      </c>
      <c r="B83" s="3" t="s">
        <v>424</v>
      </c>
      <c r="D83" s="14">
        <v>6.8463915439811779E-14</v>
      </c>
      <c r="E83" s="14">
        <v>8.1081433630871783E-7</v>
      </c>
      <c r="F83" s="14">
        <v>2.7474890446904804E-5</v>
      </c>
      <c r="G83" s="14">
        <v>2.0365746262939978E-8</v>
      </c>
      <c r="H83" s="14">
        <v>0</v>
      </c>
      <c r="I83" s="14">
        <v>1.1665822501372447E-5</v>
      </c>
      <c r="J83" s="14">
        <v>2.8106900687176015E-8</v>
      </c>
      <c r="K83" s="14">
        <v>0</v>
      </c>
    </row>
    <row r="84" spans="1:11">
      <c r="A84" s="2" t="s">
        <v>403</v>
      </c>
      <c r="B84" s="3" t="s">
        <v>404</v>
      </c>
      <c r="D84" s="14">
        <v>2.6526059112017059E-48</v>
      </c>
      <c r="E84" s="14">
        <v>1.6904891885460765E-5</v>
      </c>
      <c r="F84" s="14">
        <v>1.8312470917529244E-6</v>
      </c>
      <c r="G84" s="14">
        <v>4.2368442899678722E-7</v>
      </c>
      <c r="H84" s="14">
        <v>0</v>
      </c>
      <c r="I84" s="14">
        <v>9.7213164264958193E-7</v>
      </c>
      <c r="J84" s="14">
        <v>1.9868044951139938E-5</v>
      </c>
      <c r="K84" s="14">
        <v>0</v>
      </c>
    </row>
    <row r="85" spans="1:11">
      <c r="A85" s="2" t="s">
        <v>405</v>
      </c>
      <c r="B85" s="3" t="s">
        <v>406</v>
      </c>
      <c r="D85" s="14">
        <v>8.772591499337944E-13</v>
      </c>
      <c r="E85" s="14">
        <v>3.2125429668880716E-6</v>
      </c>
      <c r="F85" s="14">
        <v>5.0314690632824619E-6</v>
      </c>
      <c r="G85" s="14">
        <v>2.6303806377829455E-7</v>
      </c>
      <c r="H85" s="14">
        <v>0</v>
      </c>
      <c r="I85" s="14">
        <v>3.0503185994833439E-5</v>
      </c>
      <c r="J85" s="14">
        <v>9.8976303395857986E-7</v>
      </c>
      <c r="K85" s="14">
        <v>0</v>
      </c>
    </row>
    <row r="86" spans="1:11">
      <c r="A86" s="2" t="s">
        <v>407</v>
      </c>
      <c r="B86" s="3" t="s">
        <v>408</v>
      </c>
      <c r="D86" s="14">
        <v>3.0444838417054102E-9</v>
      </c>
      <c r="E86" s="14">
        <v>4.2122422307114196E-8</v>
      </c>
      <c r="F86" s="14">
        <v>2.0355786553892148E-6</v>
      </c>
      <c r="G86" s="14">
        <v>8.6473580911122743E-6</v>
      </c>
      <c r="H86" s="14">
        <v>0</v>
      </c>
      <c r="I86" s="14">
        <v>2.1394257360984783E-5</v>
      </c>
      <c r="J86" s="14">
        <v>7.8776389863649115E-6</v>
      </c>
      <c r="K86" s="14">
        <v>0</v>
      </c>
    </row>
    <row r="87" spans="1:11">
      <c r="A87" s="2" t="s">
        <v>409</v>
      </c>
      <c r="B87" s="3" t="s">
        <v>410</v>
      </c>
      <c r="D87" s="14">
        <v>3.7143747203984059E-10</v>
      </c>
      <c r="E87" s="14">
        <v>1.438220184198773E-8</v>
      </c>
      <c r="F87" s="14">
        <v>1.0808363192053001E-6</v>
      </c>
      <c r="G87" s="14">
        <v>9.6217813856966012E-6</v>
      </c>
      <c r="H87" s="14">
        <v>0</v>
      </c>
      <c r="I87" s="14">
        <v>2.4054236965687226E-5</v>
      </c>
      <c r="J87" s="14">
        <v>5.2283916900968454E-6</v>
      </c>
      <c r="K87" s="14">
        <v>0</v>
      </c>
    </row>
    <row r="88" spans="1:11">
      <c r="A88" s="2" t="s">
        <v>301</v>
      </c>
      <c r="B88" s="3" t="s">
        <v>302</v>
      </c>
      <c r="D88" s="14">
        <v>4.5687338356133094E-11</v>
      </c>
      <c r="E88" s="14">
        <v>4.0202727874504515E-9</v>
      </c>
      <c r="F88" s="14">
        <v>4.9919482286470204E-7</v>
      </c>
      <c r="G88" s="14">
        <v>1.0307791564113318E-5</v>
      </c>
      <c r="H88" s="14">
        <v>0</v>
      </c>
      <c r="I88" s="14">
        <v>2.6076670543298972E-5</v>
      </c>
      <c r="J88" s="14">
        <v>3.1122771095972126E-6</v>
      </c>
      <c r="K88" s="14">
        <v>0</v>
      </c>
    </row>
    <row r="89" spans="1:11">
      <c r="A89" s="2" t="s">
        <v>303</v>
      </c>
      <c r="B89" s="3" t="s">
        <v>304</v>
      </c>
      <c r="D89" s="14">
        <v>3.3061707836640527E-18</v>
      </c>
      <c r="E89" s="14">
        <v>2.5499940892295914E-8</v>
      </c>
      <c r="F89" s="14">
        <v>2.9041717218289425E-7</v>
      </c>
      <c r="G89" s="14">
        <v>7.5531544988197488E-7</v>
      </c>
      <c r="H89" s="14">
        <v>0</v>
      </c>
      <c r="I89" s="14">
        <v>3.8610170938280151E-5</v>
      </c>
      <c r="J89" s="14">
        <v>3.1859649875938241E-7</v>
      </c>
      <c r="K89" s="14">
        <v>0</v>
      </c>
    </row>
    <row r="90" spans="1:11">
      <c r="A90" s="2" t="s">
        <v>425</v>
      </c>
      <c r="B90" s="3" t="s">
        <v>426</v>
      </c>
      <c r="D90" s="14">
        <v>6.3931210661975017E-18</v>
      </c>
      <c r="E90" s="14">
        <v>3.8982045797197977E-5</v>
      </c>
      <c r="F90" s="14">
        <v>3.6566145056441396E-9</v>
      </c>
      <c r="G90" s="14">
        <v>1.2277345135761583E-9</v>
      </c>
      <c r="H90" s="14">
        <v>0</v>
      </c>
      <c r="I90" s="14">
        <v>1.072516084936805E-8</v>
      </c>
      <c r="J90" s="14">
        <v>1.0023446929270446E-6</v>
      </c>
      <c r="K90" s="14">
        <v>0</v>
      </c>
    </row>
    <row r="91" spans="1:11">
      <c r="A91" s="2" t="s">
        <v>427</v>
      </c>
      <c r="B91" s="3" t="s">
        <v>428</v>
      </c>
      <c r="D91" s="14">
        <v>3.4996889311921277E-9</v>
      </c>
      <c r="E91" s="14">
        <v>3.0530161976347964E-5</v>
      </c>
      <c r="F91" s="14">
        <v>2.3350901873234227E-7</v>
      </c>
      <c r="G91" s="14">
        <v>6.56748688502106E-8</v>
      </c>
      <c r="H91" s="14">
        <v>0</v>
      </c>
      <c r="I91" s="14">
        <v>1.5327293932474443E-7</v>
      </c>
      <c r="J91" s="14">
        <v>9.0138815078135499E-6</v>
      </c>
      <c r="K91" s="14">
        <v>0</v>
      </c>
    </row>
    <row r="92" spans="1:11">
      <c r="A92" s="2" t="s">
        <v>429</v>
      </c>
      <c r="B92" s="3" t="s">
        <v>430</v>
      </c>
      <c r="D92" s="14">
        <v>4.0690331325511796E-8</v>
      </c>
      <c r="E92" s="14">
        <v>1.025252626788676E-5</v>
      </c>
      <c r="F92" s="14">
        <v>3.8776217350267075E-6</v>
      </c>
      <c r="G92" s="14">
        <v>8.1820286601755262E-7</v>
      </c>
      <c r="H92" s="14">
        <v>0</v>
      </c>
      <c r="I92" s="14">
        <v>1.8917148830489754E-6</v>
      </c>
      <c r="J92" s="14">
        <v>2.311924391669449E-5</v>
      </c>
      <c r="K92" s="14">
        <v>0</v>
      </c>
    </row>
    <row r="93" spans="1:11">
      <c r="A93" s="2" t="s">
        <v>431</v>
      </c>
      <c r="B93" s="3" t="s">
        <v>432</v>
      </c>
      <c r="D93" s="14">
        <v>4.822454958219548E-22</v>
      </c>
      <c r="E93" s="14">
        <v>3.9967180567692131E-5</v>
      </c>
      <c r="F93" s="14">
        <v>1.7450507550404693E-8</v>
      </c>
      <c r="G93" s="14">
        <v>1.3980734373445283E-11</v>
      </c>
      <c r="H93" s="14">
        <v>0</v>
      </c>
      <c r="I93" s="14">
        <v>9.2336588151152556E-9</v>
      </c>
      <c r="J93" s="14">
        <v>6.1212852079711704E-9</v>
      </c>
      <c r="K93" s="14">
        <v>0</v>
      </c>
    </row>
    <row r="94" spans="1:11">
      <c r="A94" s="2" t="s">
        <v>433</v>
      </c>
      <c r="B94" s="3" t="s">
        <v>434</v>
      </c>
      <c r="D94" s="14">
        <v>1.0153014890485971E-22</v>
      </c>
      <c r="E94" s="14">
        <v>3.9991223170402375E-5</v>
      </c>
      <c r="F94" s="14">
        <v>6.765022389703617E-11</v>
      </c>
      <c r="G94" s="14">
        <v>9.4398453628691181E-14</v>
      </c>
      <c r="H94" s="14">
        <v>0</v>
      </c>
      <c r="I94" s="14">
        <v>8.5548163851099753E-9</v>
      </c>
      <c r="J94" s="14">
        <v>1.5426859016348824E-10</v>
      </c>
      <c r="K94" s="14">
        <v>0</v>
      </c>
    </row>
    <row r="95" spans="1:11">
      <c r="A95" s="2" t="s">
        <v>435</v>
      </c>
      <c r="B95" s="3" t="s">
        <v>436</v>
      </c>
      <c r="D95" s="14">
        <v>5.4543360318900117E-13</v>
      </c>
      <c r="E95" s="14">
        <v>3.764176308550444E-5</v>
      </c>
      <c r="F95" s="14">
        <v>1.4961918942700202E-8</v>
      </c>
      <c r="G95" s="14">
        <v>5.1894166851340571E-9</v>
      </c>
      <c r="H95" s="14">
        <v>0</v>
      </c>
      <c r="I95" s="14">
        <v>1.9456508878497639E-8</v>
      </c>
      <c r="J95" s="14">
        <v>2.3186285245556255E-6</v>
      </c>
      <c r="K95" s="14">
        <v>0</v>
      </c>
    </row>
    <row r="96" spans="1:11">
      <c r="A96" s="2" t="s">
        <v>437</v>
      </c>
      <c r="B96" s="165" t="s">
        <v>438</v>
      </c>
      <c r="D96" s="14">
        <v>5.7502747406115976E-12</v>
      </c>
      <c r="E96" s="14">
        <v>6.1919616761984895E-8</v>
      </c>
      <c r="F96" s="14">
        <v>2.5384160793597668E-6</v>
      </c>
      <c r="G96" s="14">
        <v>8.1857479020543344E-6</v>
      </c>
      <c r="H96" s="14">
        <v>0</v>
      </c>
      <c r="I96" s="14">
        <v>2.0173857248583596E-5</v>
      </c>
      <c r="J96" s="14">
        <v>9.0400534029655788E-6</v>
      </c>
      <c r="K96" s="14">
        <v>0</v>
      </c>
    </row>
    <row r="97" spans="1:11">
      <c r="A97" s="2" t="s">
        <v>439</v>
      </c>
      <c r="B97" s="3" t="s">
        <v>440</v>
      </c>
      <c r="D97" s="14">
        <v>1.7906758911993831E-9</v>
      </c>
      <c r="E97" s="14">
        <v>2.7026925905706722E-5</v>
      </c>
      <c r="F97" s="14">
        <v>4.6014128546032502E-7</v>
      </c>
      <c r="G97" s="14">
        <v>1.2200756419171603E-7</v>
      </c>
      <c r="H97" s="14">
        <v>0</v>
      </c>
      <c r="I97" s="14">
        <v>2.8038248913949574E-7</v>
      </c>
      <c r="J97" s="14">
        <v>1.210875207961054E-5</v>
      </c>
      <c r="K97" s="14">
        <v>0</v>
      </c>
    </row>
    <row r="98" spans="1:11">
      <c r="A98" s="2" t="s">
        <v>441</v>
      </c>
      <c r="B98" s="3" t="s">
        <v>442</v>
      </c>
      <c r="D98" s="14">
        <v>1.1635798636919374E-21</v>
      </c>
      <c r="E98" s="14">
        <v>2.9932008609493724E-5</v>
      </c>
      <c r="F98" s="14">
        <v>2.6599312505318077E-7</v>
      </c>
      <c r="G98" s="14">
        <v>7.3988797193768918E-8</v>
      </c>
      <c r="H98" s="14">
        <v>0</v>
      </c>
      <c r="I98" s="14">
        <v>1.719554120560308E-7</v>
      </c>
      <c r="J98" s="14">
        <v>9.5560540562033049E-6</v>
      </c>
      <c r="K98" s="14">
        <v>0</v>
      </c>
    </row>
    <row r="99" spans="1:11">
      <c r="A99" s="2" t="s">
        <v>443</v>
      </c>
      <c r="B99" s="3" t="s">
        <v>444</v>
      </c>
      <c r="D99" s="14">
        <v>1.7035191267087969E-33</v>
      </c>
      <c r="E99" s="14">
        <v>3.5127454392584151E-5</v>
      </c>
      <c r="F99" s="14">
        <v>5.9926819501218985E-8</v>
      </c>
      <c r="G99" s="14">
        <v>1.8824211093629991E-8</v>
      </c>
      <c r="H99" s="14">
        <v>0</v>
      </c>
      <c r="I99" s="14">
        <v>4.8868891796858627E-8</v>
      </c>
      <c r="J99" s="14">
        <v>4.7449256850241353E-6</v>
      </c>
      <c r="K99" s="14">
        <v>0</v>
      </c>
    </row>
    <row r="100" spans="1:11">
      <c r="A100" s="2" t="s">
        <v>445</v>
      </c>
      <c r="B100" s="3" t="s">
        <v>446</v>
      </c>
      <c r="D100" s="14">
        <v>6.9390789453165807E-12</v>
      </c>
      <c r="E100" s="14">
        <v>4.6784446196824111E-7</v>
      </c>
      <c r="F100" s="14">
        <v>7.3362824472050234E-6</v>
      </c>
      <c r="G100" s="14">
        <v>4.7279361050928976E-6</v>
      </c>
      <c r="H100" s="14">
        <v>0</v>
      </c>
      <c r="I100" s="14">
        <v>1.1391699368518716E-5</v>
      </c>
      <c r="J100" s="14">
        <v>1.6076230678136186E-5</v>
      </c>
      <c r="K100" s="14">
        <v>0</v>
      </c>
    </row>
    <row r="101" spans="1:11">
      <c r="A101" s="2" t="s">
        <v>447</v>
      </c>
      <c r="B101" s="3" t="s">
        <v>448</v>
      </c>
      <c r="D101" s="14">
        <v>3.1561364875603198E-13</v>
      </c>
      <c r="E101" s="14">
        <v>1.2636751364407162E-5</v>
      </c>
      <c r="F101" s="14">
        <v>2.971871252381132E-6</v>
      </c>
      <c r="G101" s="14">
        <v>6.4941983101585426E-7</v>
      </c>
      <c r="H101" s="14">
        <v>0</v>
      </c>
      <c r="I101" s="14">
        <v>1.4966618533873473E-6</v>
      </c>
      <c r="J101" s="14">
        <v>2.2245295383194854E-5</v>
      </c>
      <c r="K101" s="14">
        <v>0</v>
      </c>
    </row>
    <row r="102" spans="1:11">
      <c r="A102" s="2" t="s">
        <v>449</v>
      </c>
      <c r="B102" s="3" t="s">
        <v>450</v>
      </c>
      <c r="D102" s="14">
        <v>2.3515263502113363E-8</v>
      </c>
      <c r="E102" s="14">
        <v>4.6682006433735605E-6</v>
      </c>
      <c r="F102" s="14">
        <v>7.7201202407986654E-6</v>
      </c>
      <c r="G102" s="14">
        <v>1.4612334989026128E-6</v>
      </c>
      <c r="H102" s="14">
        <v>0</v>
      </c>
      <c r="I102" s="14">
        <v>3.4161398864780466E-6</v>
      </c>
      <c r="J102" s="14">
        <v>2.2710790466945007E-5</v>
      </c>
      <c r="K102" s="14">
        <v>0</v>
      </c>
    </row>
    <row r="103" spans="1:11">
      <c r="A103" s="2" t="s">
        <v>451</v>
      </c>
      <c r="B103" s="3" t="s">
        <v>452</v>
      </c>
      <c r="D103" s="14">
        <v>1.9361614436839444E-23</v>
      </c>
      <c r="E103" s="14">
        <v>3.9503767919255092E-5</v>
      </c>
      <c r="F103" s="14">
        <v>4.6220333155754457E-7</v>
      </c>
      <c r="G103" s="14">
        <v>4.485473339772496E-11</v>
      </c>
      <c r="H103" s="14">
        <v>0</v>
      </c>
      <c r="I103" s="14">
        <v>2.8801614025229513E-8</v>
      </c>
      <c r="J103" s="14">
        <v>5.182280428743765E-9</v>
      </c>
      <c r="K103" s="14">
        <v>0</v>
      </c>
    </row>
    <row r="104" spans="1:11">
      <c r="A104" s="2" t="s">
        <v>453</v>
      </c>
      <c r="B104" s="3" t="s">
        <v>454</v>
      </c>
      <c r="D104" s="14">
        <v>3.9219009998653472E-24</v>
      </c>
      <c r="E104" s="14">
        <v>3.8724143083934309E-6</v>
      </c>
      <c r="F104" s="14">
        <v>3.4292280427293186E-5</v>
      </c>
      <c r="G104" s="14">
        <v>3.6312990569958894E-8</v>
      </c>
      <c r="H104" s="14">
        <v>0</v>
      </c>
      <c r="I104" s="14">
        <v>1.5580157986404171E-6</v>
      </c>
      <c r="J104" s="14">
        <v>2.4097647510300683E-7</v>
      </c>
      <c r="K104" s="14">
        <v>0</v>
      </c>
    </row>
    <row r="105" spans="1:11">
      <c r="A105" s="2" t="s">
        <v>455</v>
      </c>
      <c r="B105" s="165">
        <v>354656</v>
      </c>
      <c r="D105" s="14">
        <v>1.4707907833970275E-14</v>
      </c>
      <c r="E105" s="14">
        <v>3.8782032344997952E-5</v>
      </c>
      <c r="F105" s="14">
        <v>3.9212552631568828E-9</v>
      </c>
      <c r="G105" s="14">
        <v>1.5167732821390461E-9</v>
      </c>
      <c r="H105" s="14">
        <v>0</v>
      </c>
      <c r="I105" s="14">
        <v>1.127988871089688E-8</v>
      </c>
      <c r="J105" s="14">
        <v>1.2012497230379467E-6</v>
      </c>
      <c r="K105" s="14">
        <v>0</v>
      </c>
    </row>
    <row r="106" spans="1:11">
      <c r="A106" s="2" t="s">
        <v>457</v>
      </c>
      <c r="B106" s="3" t="s">
        <v>458</v>
      </c>
      <c r="D106" s="14">
        <v>2.187339269956153E-14</v>
      </c>
      <c r="E106" s="14">
        <v>3.7530133030257208E-5</v>
      </c>
      <c r="F106" s="14">
        <v>1.6222429294577802E-8</v>
      </c>
      <c r="G106" s="14">
        <v>5.601332940844522E-9</v>
      </c>
      <c r="H106" s="14">
        <v>0</v>
      </c>
      <c r="I106" s="14">
        <v>2.0292875534821435E-8</v>
      </c>
      <c r="J106" s="14">
        <v>2.427750310099162E-6</v>
      </c>
      <c r="K106" s="14">
        <v>0</v>
      </c>
    </row>
    <row r="107" spans="1:11">
      <c r="A107" s="2" t="s">
        <v>459</v>
      </c>
      <c r="B107" s="3" t="s">
        <v>460</v>
      </c>
      <c r="D107" s="14">
        <v>6.7060583399848126E-24</v>
      </c>
      <c r="E107" s="14">
        <v>3.0628027329316328E-6</v>
      </c>
      <c r="F107" s="14">
        <v>1.0393711802245164E-5</v>
      </c>
      <c r="G107" s="14">
        <v>1.8191095896347144E-6</v>
      </c>
      <c r="H107" s="14">
        <v>0</v>
      </c>
      <c r="I107" s="14">
        <v>4.6901994543844119E-6</v>
      </c>
      <c r="J107" s="14">
        <v>2.0034176420804081E-5</v>
      </c>
      <c r="K107" s="14">
        <v>0</v>
      </c>
    </row>
    <row r="108" spans="1:11">
      <c r="A108" s="2" t="s">
        <v>461</v>
      </c>
      <c r="B108" s="3" t="s">
        <v>462</v>
      </c>
      <c r="D108" s="14">
        <v>4.3866498997259452E-14</v>
      </c>
      <c r="E108" s="14">
        <v>3.998934064342687E-5</v>
      </c>
      <c r="F108" s="14">
        <v>3.5041247985181246E-11</v>
      </c>
      <c r="G108" s="14">
        <v>1.0156431569758061E-12</v>
      </c>
      <c r="H108" s="14">
        <v>0</v>
      </c>
      <c r="I108" s="14">
        <v>8.4078475213988325E-9</v>
      </c>
      <c r="J108" s="14">
        <v>2.2154082940996076E-9</v>
      </c>
      <c r="K108" s="14">
        <v>0</v>
      </c>
    </row>
    <row r="109" spans="1:11">
      <c r="A109" s="2" t="s">
        <v>463</v>
      </c>
      <c r="B109" s="3" t="s">
        <v>464</v>
      </c>
      <c r="D109" s="14">
        <v>1.1690708121742862E-16</v>
      </c>
      <c r="E109" s="14">
        <v>3.8437462354090043E-5</v>
      </c>
      <c r="F109" s="14">
        <v>2.4001469166519981E-7</v>
      </c>
      <c r="G109" s="14">
        <v>1.1930095006602521E-8</v>
      </c>
      <c r="H109" s="14">
        <v>0</v>
      </c>
      <c r="I109" s="14">
        <v>5.5244042651613127E-7</v>
      </c>
      <c r="J109" s="14">
        <v>7.5815243260512217E-7</v>
      </c>
      <c r="K109" s="14">
        <v>0</v>
      </c>
    </row>
    <row r="110" spans="1:11">
      <c r="A110" s="2" t="s">
        <v>465</v>
      </c>
      <c r="B110" s="3" t="s">
        <v>466</v>
      </c>
      <c r="D110" s="14">
        <v>8.3302189105216131E-16</v>
      </c>
      <c r="E110" s="14">
        <v>3.9740924866623806E-5</v>
      </c>
      <c r="F110" s="14">
        <v>8.962569168547945E-10</v>
      </c>
      <c r="G110" s="14">
        <v>1.7147430291507643E-10</v>
      </c>
      <c r="H110" s="14">
        <v>0</v>
      </c>
      <c r="I110" s="14">
        <v>8.5986565938887775E-9</v>
      </c>
      <c r="J110" s="14">
        <v>2.4940874472951354E-7</v>
      </c>
      <c r="K110" s="14">
        <v>0</v>
      </c>
    </row>
    <row r="111" spans="1:11">
      <c r="A111" s="2" t="s">
        <v>467</v>
      </c>
      <c r="B111" s="3" t="s">
        <v>468</v>
      </c>
      <c r="D111" s="14">
        <v>1.4804070823395945E-34</v>
      </c>
      <c r="E111" s="14">
        <v>3.9991456275579721E-5</v>
      </c>
      <c r="F111" s="14">
        <v>6.3679811548500357E-11</v>
      </c>
      <c r="G111" s="14">
        <v>5.2610656127769199E-14</v>
      </c>
      <c r="H111" s="14">
        <v>0</v>
      </c>
      <c r="I111" s="14">
        <v>8.2560238037619932E-9</v>
      </c>
      <c r="J111" s="14">
        <v>2.2396819431974936E-10</v>
      </c>
      <c r="K111" s="14">
        <v>0</v>
      </c>
    </row>
    <row r="112" spans="1:11">
      <c r="A112" s="2" t="s">
        <v>469</v>
      </c>
      <c r="B112" s="3" t="s">
        <v>470</v>
      </c>
      <c r="D112" s="14">
        <v>9.3585921924807895E-18</v>
      </c>
      <c r="E112" s="14">
        <v>3.9667989306980349E-5</v>
      </c>
      <c r="F112" s="14">
        <v>3.090898457970944E-10</v>
      </c>
      <c r="G112" s="14">
        <v>1.4440435573322502E-10</v>
      </c>
      <c r="H112" s="14">
        <v>0</v>
      </c>
      <c r="I112" s="14">
        <v>8.4899570738115328E-9</v>
      </c>
      <c r="J112" s="14">
        <v>3.2306724173495327E-7</v>
      </c>
      <c r="K112" s="14">
        <v>0</v>
      </c>
    </row>
    <row r="113" spans="1:11">
      <c r="A113" s="2" t="s">
        <v>471</v>
      </c>
      <c r="B113" s="3" t="s">
        <v>472</v>
      </c>
      <c r="D113" s="14">
        <v>1.1546893540273327E-13</v>
      </c>
      <c r="E113" s="14">
        <v>3.8156174496245712E-5</v>
      </c>
      <c r="F113" s="14">
        <v>8.8052030759189661E-9</v>
      </c>
      <c r="G113" s="14">
        <v>3.2050509072242767E-9</v>
      </c>
      <c r="H113" s="14">
        <v>0</v>
      </c>
      <c r="I113" s="14">
        <v>1.4845946690847307E-8</v>
      </c>
      <c r="J113" s="14">
        <v>1.8169691876113728E-6</v>
      </c>
      <c r="K113" s="14">
        <v>0</v>
      </c>
    </row>
    <row r="114" spans="1:11">
      <c r="A114" s="2" t="s">
        <v>473</v>
      </c>
      <c r="B114" s="3" t="s">
        <v>474</v>
      </c>
      <c r="D114" s="14">
        <v>9.1857944419359511E-21</v>
      </c>
      <c r="E114" s="14">
        <v>3.9824058336398717E-5</v>
      </c>
      <c r="F114" s="14">
        <v>8.9995349071303521E-11</v>
      </c>
      <c r="G114" s="14">
        <v>4.5340746848969286E-11</v>
      </c>
      <c r="H114" s="14">
        <v>0</v>
      </c>
      <c r="I114" s="14">
        <v>8.3115385065672338E-9</v>
      </c>
      <c r="J114" s="14">
        <v>1.6749478899879153E-7</v>
      </c>
      <c r="K114" s="14">
        <v>0</v>
      </c>
    </row>
    <row r="115" spans="1:11">
      <c r="A115" s="2" t="s">
        <v>475</v>
      </c>
      <c r="B115" s="3" t="s">
        <v>476</v>
      </c>
      <c r="D115" s="14">
        <v>4.8699742694845924E-17</v>
      </c>
      <c r="E115" s="14">
        <v>3.9871339566266874E-5</v>
      </c>
      <c r="F115" s="14">
        <v>1.1215932252957693E-7</v>
      </c>
      <c r="G115" s="14">
        <v>1.3434429561099412E-11</v>
      </c>
      <c r="H115" s="14">
        <v>0</v>
      </c>
      <c r="I115" s="14">
        <v>1.3722442897039943E-8</v>
      </c>
      <c r="J115" s="14">
        <v>2.765233828257297E-9</v>
      </c>
      <c r="K115" s="14">
        <v>0</v>
      </c>
    </row>
    <row r="116" spans="1:11">
      <c r="A116" s="2" t="s">
        <v>477</v>
      </c>
      <c r="B116" s="3" t="s">
        <v>478</v>
      </c>
      <c r="D116" s="14">
        <v>3.5048278490014552E-21</v>
      </c>
      <c r="E116" s="14">
        <v>1.4011204887551446E-5</v>
      </c>
      <c r="F116" s="14">
        <v>8.559195379714327E-6</v>
      </c>
      <c r="G116" s="14">
        <v>2.0730819033008969E-7</v>
      </c>
      <c r="H116" s="14">
        <v>0</v>
      </c>
      <c r="I116" s="14">
        <v>1.5220913682670968E-5</v>
      </c>
      <c r="J116" s="14">
        <v>2.0013778597331784E-6</v>
      </c>
      <c r="K116" s="14">
        <v>0</v>
      </c>
    </row>
    <row r="117" spans="1:11">
      <c r="A117" s="2" t="s">
        <v>291</v>
      </c>
      <c r="B117" s="3" t="s">
        <v>479</v>
      </c>
      <c r="D117" s="14">
        <v>1.4371239093939075E-14</v>
      </c>
      <c r="E117" s="14">
        <v>2.3145889705368935E-5</v>
      </c>
      <c r="F117" s="14">
        <v>8.3438873037161738E-7</v>
      </c>
      <c r="G117" s="14">
        <v>2.0934567118612427E-7</v>
      </c>
      <c r="H117" s="14">
        <v>0</v>
      </c>
      <c r="I117" s="14">
        <v>4.7915941315598456E-7</v>
      </c>
      <c r="J117" s="14">
        <v>1.5331216465546106E-5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0.97033586230927149</v>
      </c>
      <c r="M2" s="115">
        <v>0.75347075483219372</v>
      </c>
      <c r="N2" s="115">
        <v>1.1369968409833557</v>
      </c>
      <c r="O2" s="115">
        <v>0.81130354325015996</v>
      </c>
      <c r="P2" s="115">
        <v>0.93898959569165896</v>
      </c>
      <c r="Q2" s="111">
        <v>0.81130354325015996</v>
      </c>
      <c r="R2" s="68">
        <v>0.93898959569165896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0.59857570101242463</v>
      </c>
      <c r="M3" s="115">
        <v>41.814160976391193</v>
      </c>
      <c r="N3" s="115">
        <v>301.09754267518889</v>
      </c>
      <c r="O3" s="115">
        <v>2.9829815691566997</v>
      </c>
      <c r="P3" s="115">
        <v>2.7638011395574478</v>
      </c>
      <c r="Q3" s="111">
        <v>2.9829815691567001</v>
      </c>
      <c r="R3" s="68">
        <v>2.7638011395574478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1.0938050609668726</v>
      </c>
      <c r="M4" s="115">
        <v>1.070763142417533</v>
      </c>
      <c r="N4" s="115">
        <v>3.0498041311290285</v>
      </c>
      <c r="O4" s="115">
        <v>0.82530835173178141</v>
      </c>
      <c r="P4" s="115">
        <v>0.95927385840357193</v>
      </c>
      <c r="Q4" s="111">
        <v>0.82530835173178141</v>
      </c>
      <c r="R4" s="68">
        <v>0.95927385840357193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0.91602852261367329</v>
      </c>
      <c r="M5" s="115">
        <v>9.446695719303845</v>
      </c>
      <c r="N5" s="115">
        <v>75.422627220725445</v>
      </c>
      <c r="O5" s="115">
        <v>4.4019687376447809</v>
      </c>
      <c r="P5" s="115">
        <v>7.1964858039112194</v>
      </c>
      <c r="Q5" s="111">
        <v>4.4019687376447809</v>
      </c>
      <c r="R5" s="68">
        <v>7.1964858039112203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0.81700045265510957</v>
      </c>
      <c r="M6" s="115">
        <v>19.560535871474599</v>
      </c>
      <c r="N6" s="115">
        <v>161.57126665366371</v>
      </c>
      <c r="O6" s="115">
        <v>8.8580224026337699</v>
      </c>
      <c r="P6" s="115">
        <v>14.987168085753861</v>
      </c>
      <c r="Q6" s="111">
        <v>8.8580224026337717</v>
      </c>
      <c r="R6" s="68">
        <v>14.987168085753861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0.52673851622004575</v>
      </c>
      <c r="M7" s="115">
        <v>49.751461266422069</v>
      </c>
      <c r="N7" s="115">
        <v>413.67814834210606</v>
      </c>
      <c r="O7" s="115">
        <v>21.406339339943305</v>
      </c>
      <c r="P7" s="115">
        <v>36.738449705625385</v>
      </c>
      <c r="Q7" s="111">
        <v>21.406339339943305</v>
      </c>
      <c r="R7" s="68">
        <v>36.738449705625385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0.73830108755720969</v>
      </c>
      <c r="M8" s="115">
        <v>27.112299849303941</v>
      </c>
      <c r="N8" s="115">
        <v>226.23586638203122</v>
      </c>
      <c r="O8" s="115">
        <v>12.475079520647164</v>
      </c>
      <c r="P8" s="115">
        <v>21.340601185790138</v>
      </c>
      <c r="Q8" s="111">
        <v>12.475079520647164</v>
      </c>
      <c r="R8" s="68">
        <v>21.340601185790138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0.93268332120280661</v>
      </c>
      <c r="M9" s="115">
        <v>7.676565866543692</v>
      </c>
      <c r="N9" s="115">
        <v>60.178871848832983</v>
      </c>
      <c r="O9" s="115">
        <v>3.5967103455448433</v>
      </c>
      <c r="P9" s="115">
        <v>5.7827302821399149</v>
      </c>
      <c r="Q9" s="111">
        <v>3.5967103455448437</v>
      </c>
      <c r="R9" s="68">
        <v>5.7827302821399158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4.3142106783929136E-2</v>
      </c>
      <c r="M10" s="115">
        <v>383.71130432534176</v>
      </c>
      <c r="N10" s="115">
        <v>2872.0899475690862</v>
      </c>
      <c r="O10" s="115">
        <v>31.119676878250321</v>
      </c>
      <c r="P10" s="115">
        <v>31.746401823258061</v>
      </c>
      <c r="Q10" s="111">
        <v>31.119676878250324</v>
      </c>
      <c r="R10" s="68">
        <v>31.746401823258065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1.8153431246853268E-3</v>
      </c>
      <c r="M11" s="115">
        <v>1959.4171995273116</v>
      </c>
      <c r="N11" s="115">
        <v>15786.056900041374</v>
      </c>
      <c r="O11" s="115">
        <v>64.081130969015575</v>
      </c>
      <c r="P11" s="115">
        <v>29.414591663956354</v>
      </c>
      <c r="Q11" s="111">
        <v>64.081130969015575</v>
      </c>
      <c r="R11" s="68">
        <v>29.414591663956354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0.91531249234274503</v>
      </c>
      <c r="M12" s="115">
        <v>0.57395358240370076</v>
      </c>
      <c r="N12" s="115">
        <v>6.1399536405275776E-2</v>
      </c>
      <c r="O12" s="115">
        <v>0.75645411003997198</v>
      </c>
      <c r="P12" s="115">
        <v>0.87902642258682251</v>
      </c>
      <c r="Q12" s="111">
        <v>0.75645411003997198</v>
      </c>
      <c r="R12" s="68">
        <v>0.87902642258682251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0.61568129241786607</v>
      </c>
      <c r="M13" s="115">
        <v>28.902021024526825</v>
      </c>
      <c r="N13" s="115">
        <v>212.15965900662826</v>
      </c>
      <c r="O13" s="115">
        <v>2.5492730640546175</v>
      </c>
      <c r="P13" s="115">
        <v>2.4096945467785389</v>
      </c>
      <c r="Q13" s="111">
        <v>2.5492730640546175</v>
      </c>
      <c r="R13" s="68">
        <v>2.4096945467785389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7.6241058784247751E-2</v>
      </c>
      <c r="M14" s="115">
        <v>172.51937353976422</v>
      </c>
      <c r="N14" s="115">
        <v>1455.9484297577815</v>
      </c>
      <c r="O14" s="115">
        <v>43.05870244906248</v>
      </c>
      <c r="P14" s="115">
        <v>72.138693974379564</v>
      </c>
      <c r="Q14" s="111">
        <v>43.058702449062487</v>
      </c>
      <c r="R14" s="68">
        <v>72.138693974379564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0.77526367056255285</v>
      </c>
      <c r="M15" s="115">
        <v>4.4731307802379865</v>
      </c>
      <c r="N15" s="115">
        <v>29.632390792792421</v>
      </c>
      <c r="O15" s="115">
        <v>0.91263056075860149</v>
      </c>
      <c r="P15" s="115">
        <v>0.9718489029266828</v>
      </c>
      <c r="Q15" s="111">
        <v>0.91263056075860149</v>
      </c>
      <c r="R15" s="68">
        <v>0.9718489029266828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0.58868530216623793</v>
      </c>
      <c r="M16" s="115">
        <v>33.239911377692998</v>
      </c>
      <c r="N16" s="115">
        <v>244.60693397206978</v>
      </c>
      <c r="O16" s="115">
        <v>2.8486811979511684</v>
      </c>
      <c r="P16" s="115">
        <v>2.6818002679014166</v>
      </c>
      <c r="Q16" s="111">
        <v>2.8486811979511688</v>
      </c>
      <c r="R16" s="68">
        <v>2.6818002679014166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0.60438632461224973</v>
      </c>
      <c r="M17" s="115">
        <v>30.404807122173043</v>
      </c>
      <c r="N17" s="115">
        <v>223.40915975287251</v>
      </c>
      <c r="O17" s="115">
        <v>2.6514253242111687</v>
      </c>
      <c r="P17" s="115">
        <v>2.5020662484848293</v>
      </c>
      <c r="Q17" s="111">
        <v>2.6514253242111687</v>
      </c>
      <c r="R17" s="68">
        <v>2.5020662484848293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1.9541687118765122E-3</v>
      </c>
      <c r="M18" s="115">
        <v>1439.015526197019</v>
      </c>
      <c r="N18" s="115">
        <v>10826.697976312971</v>
      </c>
      <c r="O18" s="115">
        <v>65.296603691643483</v>
      </c>
      <c r="P18" s="115">
        <v>27.969902231020509</v>
      </c>
      <c r="Q18" s="111">
        <v>65.296603691643483</v>
      </c>
      <c r="R18" s="68">
        <v>27.969902231020512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0.90475332402457243</v>
      </c>
      <c r="M19" s="115">
        <v>1.9421791595545141</v>
      </c>
      <c r="N19" s="115">
        <v>10.247603918400316</v>
      </c>
      <c r="O19" s="115">
        <v>0.83913620167437719</v>
      </c>
      <c r="P19" s="115">
        <v>0.94257588441631401</v>
      </c>
      <c r="Q19" s="111">
        <v>0.83913620167437719</v>
      </c>
      <c r="R19" s="68">
        <v>0.94257588441631412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0.86839828148459308</v>
      </c>
      <c r="M20" s="115">
        <v>2.9173646993307485</v>
      </c>
      <c r="N20" s="115">
        <v>17.650484939618437</v>
      </c>
      <c r="O20" s="115">
        <v>0.87737197415818546</v>
      </c>
      <c r="P20" s="115">
        <v>0.96498602605043338</v>
      </c>
      <c r="Q20" s="111">
        <v>0.87737197415818557</v>
      </c>
      <c r="R20" s="68">
        <v>0.96498602605043349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0.39400538891666764</v>
      </c>
      <c r="M21" s="115">
        <v>106.12594231436385</v>
      </c>
      <c r="N21" s="115">
        <v>815.11901994564391</v>
      </c>
      <c r="O21" s="115">
        <v>17.33896281349055</v>
      </c>
      <c r="P21" s="115">
        <v>25.480013523533252</v>
      </c>
      <c r="Q21" s="111">
        <v>17.338962813490554</v>
      </c>
      <c r="R21" s="68">
        <v>25.480013523533255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0.89919117158628292</v>
      </c>
      <c r="M22" s="115">
        <v>0.80540196576728973</v>
      </c>
      <c r="N22" s="115">
        <v>1.8470304201587147</v>
      </c>
      <c r="O22" s="115">
        <v>0.75875716503503943</v>
      </c>
      <c r="P22" s="115">
        <v>0.87554917220455331</v>
      </c>
      <c r="Q22" s="111">
        <v>0.75875716503503943</v>
      </c>
      <c r="R22" s="68">
        <v>0.87554917220455331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0.74688954892779347</v>
      </c>
      <c r="M23" s="115">
        <v>7.2030165145682048</v>
      </c>
      <c r="N23" s="115">
        <v>50.048475660771793</v>
      </c>
      <c r="O23" s="115">
        <v>1.0820932971274444</v>
      </c>
      <c r="P23" s="115">
        <v>1.1123422412690056</v>
      </c>
      <c r="Q23" s="111">
        <v>1.0820932971274444</v>
      </c>
      <c r="R23" s="68">
        <v>1.1123422412690056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0.50104445449138901</v>
      </c>
      <c r="M24" s="115">
        <v>50.493365450882862</v>
      </c>
      <c r="N24" s="115">
        <v>373.64479901885295</v>
      </c>
      <c r="O24" s="115">
        <v>4.0697166367956923</v>
      </c>
      <c r="P24" s="115">
        <v>3.8116626952752344</v>
      </c>
      <c r="Q24" s="111">
        <v>4.0697166367956923</v>
      </c>
      <c r="R24" s="68">
        <v>3.8116626952752344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2.7695800425233874E-3</v>
      </c>
      <c r="M25" s="115">
        <v>1339.1966988632328</v>
      </c>
      <c r="N25" s="115">
        <v>10070.896655654677</v>
      </c>
      <c r="O25" s="115">
        <v>61.819252008063835</v>
      </c>
      <c r="P25" s="115">
        <v>27.760205565171688</v>
      </c>
      <c r="Q25" s="111">
        <v>61.819252008063835</v>
      </c>
      <c r="R25" s="68">
        <v>27.760205565171688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0.22705922160962391</v>
      </c>
      <c r="M26" s="115">
        <v>94.727989606019989</v>
      </c>
      <c r="N26" s="115">
        <v>705.4698966177624</v>
      </c>
      <c r="O26" s="115">
        <v>7.3251436203583928</v>
      </c>
      <c r="P26" s="115">
        <v>6.9875236494807904</v>
      </c>
      <c r="Q26" s="111">
        <v>7.3251436203583937</v>
      </c>
      <c r="R26" s="68">
        <v>6.9875236494807913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2.1795468844052625E-2</v>
      </c>
      <c r="M27" s="115">
        <v>45.539829680245511</v>
      </c>
      <c r="N27" s="115">
        <v>340.20753040383892</v>
      </c>
      <c r="O27" s="115">
        <v>3.6047444301823131</v>
      </c>
      <c r="P27" s="115">
        <v>3.5774688689271756</v>
      </c>
      <c r="Q27" s="111">
        <v>3.6047444301823131</v>
      </c>
      <c r="R27" s="68">
        <v>3.5774688689271756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3.2974726232298912E-2</v>
      </c>
      <c r="M28" s="115">
        <v>18.632576383539895</v>
      </c>
      <c r="N28" s="115">
        <v>138.86734919225412</v>
      </c>
      <c r="O28" s="115">
        <v>1.44278348470735</v>
      </c>
      <c r="P28" s="115">
        <v>1.3856289435374782</v>
      </c>
      <c r="Q28" s="111">
        <v>1.4427834847073502</v>
      </c>
      <c r="R28" s="68">
        <v>1.3856289435374782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5.9105640707185235E-2</v>
      </c>
      <c r="M29" s="115">
        <v>0.24121226380333491</v>
      </c>
      <c r="N29" s="115">
        <v>1.5179222654071036</v>
      </c>
      <c r="O29" s="115">
        <v>6.2654354925765862E-2</v>
      </c>
      <c r="P29" s="115">
        <v>6.8169397066413076E-2</v>
      </c>
      <c r="Q29" s="111">
        <v>6.2654354925765862E-2</v>
      </c>
      <c r="R29" s="68">
        <v>6.816939706641309E-2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1.2526878156757596E-2</v>
      </c>
      <c r="M30" s="115">
        <v>6.5997226839685021</v>
      </c>
      <c r="N30" s="115">
        <v>49.179248257763177</v>
      </c>
      <c r="O30" s="115">
        <v>0.51078586008626825</v>
      </c>
      <c r="P30" s="115">
        <v>0.48976348988999563</v>
      </c>
      <c r="Q30" s="111">
        <v>0.51078586008626825</v>
      </c>
      <c r="R30" s="68">
        <v>0.48976348988999563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4.4734277218211002E-4</v>
      </c>
      <c r="M31" s="115">
        <v>0.10915391152236814</v>
      </c>
      <c r="N31" s="115">
        <v>0.8115226723831872</v>
      </c>
      <c r="O31" s="115">
        <v>8.474539349152984E-3</v>
      </c>
      <c r="P31" s="115">
        <v>8.0015379806218836E-3</v>
      </c>
      <c r="Q31" s="111">
        <v>8.474539349152984E-3</v>
      </c>
      <c r="R31" s="68">
        <v>8.0015379806218836E-3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0.64307023935087204</v>
      </c>
      <c r="M32" s="115">
        <v>24.537993982476063</v>
      </c>
      <c r="N32" s="115">
        <v>179.52584551803901</v>
      </c>
      <c r="O32" s="115">
        <v>2.2501802861928932</v>
      </c>
      <c r="P32" s="115">
        <v>2.1400439480429285</v>
      </c>
      <c r="Q32" s="111">
        <v>2.2501802861928932</v>
      </c>
      <c r="R32" s="68">
        <v>2.140043948042929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0.75432906077420514</v>
      </c>
      <c r="M33" s="115">
        <v>11.850292281826308</v>
      </c>
      <c r="N33" s="115">
        <v>84.567224172173468</v>
      </c>
      <c r="O33" s="115">
        <v>1.4174327389928498</v>
      </c>
      <c r="P33" s="115">
        <v>1.4094754177642981</v>
      </c>
      <c r="Q33" s="111">
        <v>1.4174327389928498</v>
      </c>
      <c r="R33" s="68">
        <v>1.4094754177642983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0.31098424341752595</v>
      </c>
      <c r="M34" s="115">
        <v>112.79448150540257</v>
      </c>
      <c r="N34" s="115">
        <v>839.68797228143819</v>
      </c>
      <c r="O34" s="115">
        <v>8.7234756045860973</v>
      </c>
      <c r="P34" s="115">
        <v>8.2971429307629556</v>
      </c>
      <c r="Q34" s="111">
        <v>8.7234756045860973</v>
      </c>
      <c r="R34" s="68">
        <v>8.2971429307629556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7.1151641871332522E-2</v>
      </c>
      <c r="M35" s="115">
        <v>299.62937121292231</v>
      </c>
      <c r="N35" s="115">
        <v>2240.588578419814</v>
      </c>
      <c r="O35" s="115">
        <v>24.134698052546881</v>
      </c>
      <c r="P35" s="115">
        <v>24.398387736368402</v>
      </c>
      <c r="Q35" s="111">
        <v>24.134698052546881</v>
      </c>
      <c r="R35" s="68">
        <v>24.398387736368406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1.670586214516823E-2</v>
      </c>
      <c r="M36" s="115">
        <v>711.00899006455245</v>
      </c>
      <c r="N36" s="115">
        <v>5331.9318493267856</v>
      </c>
      <c r="O36" s="115">
        <v>40.893383637921502</v>
      </c>
      <c r="P36" s="115">
        <v>28.816498266265036</v>
      </c>
      <c r="Q36" s="111">
        <v>40.893383637921509</v>
      </c>
      <c r="R36" s="68">
        <v>28.81649826626504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2.1394735519117756E-3</v>
      </c>
      <c r="M37" s="115">
        <v>1401.740977540526</v>
      </c>
      <c r="N37" s="115">
        <v>10544.863403154774</v>
      </c>
      <c r="O37" s="115">
        <v>63.885689739226642</v>
      </c>
      <c r="P37" s="115">
        <v>27.702537520623096</v>
      </c>
      <c r="Q37" s="111">
        <v>63.885689739226649</v>
      </c>
      <c r="R37" s="68">
        <v>27.7025375206231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8.4875901058373386E-3</v>
      </c>
      <c r="M38" s="115">
        <v>963.86212847570403</v>
      </c>
      <c r="N38" s="115">
        <v>7236.3488002166523</v>
      </c>
      <c r="O38" s="115">
        <v>49.089058917357058</v>
      </c>
      <c r="P38" s="115">
        <v>27.867515618481555</v>
      </c>
      <c r="Q38" s="111">
        <v>49.089058917357065</v>
      </c>
      <c r="R38" s="68">
        <v>27.867515618481555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1.2627386554496042E-2</v>
      </c>
      <c r="M39" s="115">
        <v>711.37272073949248</v>
      </c>
      <c r="N39" s="115">
        <v>5336.4076603948197</v>
      </c>
      <c r="O39" s="115">
        <v>39.279050256312225</v>
      </c>
      <c r="P39" s="115">
        <v>25.932834348810964</v>
      </c>
      <c r="Q39" s="111">
        <v>39.279050256312225</v>
      </c>
      <c r="R39" s="68">
        <v>25.932834348810964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8.4875901058373386E-3</v>
      </c>
      <c r="M40" s="115">
        <v>963.86212847570403</v>
      </c>
      <c r="N40" s="115">
        <v>7236.3488002166523</v>
      </c>
      <c r="O40" s="115">
        <v>49.089058917357058</v>
      </c>
      <c r="P40" s="115">
        <v>27.867515618481555</v>
      </c>
      <c r="Q40" s="111">
        <v>49.089058917357065</v>
      </c>
      <c r="R40" s="68">
        <v>27.867515618481555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0.98898316032513534</v>
      </c>
      <c r="M41" s="115">
        <v>1.2812879315537571</v>
      </c>
      <c r="N41" s="115">
        <v>5.6895894094793897</v>
      </c>
      <c r="O41" s="115">
        <v>1.0480887729464397</v>
      </c>
      <c r="P41" s="115">
        <v>1.3459296513865657</v>
      </c>
      <c r="Q41" s="111">
        <v>1.0480887729464397</v>
      </c>
      <c r="R41" s="68">
        <v>1.3459296513865657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1.933434318233662E-3</v>
      </c>
      <c r="M42" s="115">
        <v>1423.7470827934346</v>
      </c>
      <c r="N42" s="115">
        <v>10711.823034180899</v>
      </c>
      <c r="O42" s="115">
        <v>64.603784552612424</v>
      </c>
      <c r="P42" s="115">
        <v>27.673132070140635</v>
      </c>
      <c r="Q42" s="111">
        <v>64.603784552612439</v>
      </c>
      <c r="R42" s="68">
        <v>27.673132070140639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0.48099716363188139</v>
      </c>
      <c r="M43" s="115">
        <v>55.723418053955513</v>
      </c>
      <c r="N43" s="115">
        <v>412.74772699436988</v>
      </c>
      <c r="O43" s="115">
        <v>4.4486072098475846</v>
      </c>
      <c r="P43" s="115">
        <v>4.1674416292551539</v>
      </c>
      <c r="Q43" s="111">
        <v>4.4486072098475846</v>
      </c>
      <c r="R43" s="68">
        <v>4.1674416292551539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2.6814570258854503E-2</v>
      </c>
      <c r="M44" s="115">
        <v>540.30817388932837</v>
      </c>
      <c r="N44" s="115">
        <v>4048.2470142667548</v>
      </c>
      <c r="O44" s="115">
        <v>35.657359885859741</v>
      </c>
      <c r="P44" s="115">
        <v>30.066558534993579</v>
      </c>
      <c r="Q44" s="111">
        <v>35.657359885859748</v>
      </c>
      <c r="R44" s="68">
        <v>30.066558534993582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8.5229789432757566E-4</v>
      </c>
      <c r="M45" s="115">
        <v>1636.0113664205471</v>
      </c>
      <c r="N45" s="115">
        <v>12322.102319391724</v>
      </c>
      <c r="O45" s="115">
        <v>72.202505700819771</v>
      </c>
      <c r="P45" s="115">
        <v>28.60156285268754</v>
      </c>
      <c r="Q45" s="111">
        <v>72.202505700819771</v>
      </c>
      <c r="R45" s="68">
        <v>28.601562852687543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1.7355345058471807E-3</v>
      </c>
      <c r="M46" s="115">
        <v>1470.3741297394517</v>
      </c>
      <c r="N46" s="115">
        <v>11064.381329298294</v>
      </c>
      <c r="O46" s="115">
        <v>66.390557907688844</v>
      </c>
      <c r="P46" s="115">
        <v>28.047503659003404</v>
      </c>
      <c r="Q46" s="111">
        <v>66.390557907688844</v>
      </c>
      <c r="R46" s="68">
        <v>28.047503659003407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4.0339198813701006E-3</v>
      </c>
      <c r="M47" s="115">
        <v>1222.3308005904116</v>
      </c>
      <c r="N47" s="115">
        <v>9187.1703225853962</v>
      </c>
      <c r="O47" s="115">
        <v>57.797665658733756</v>
      </c>
      <c r="P47" s="115">
        <v>27.646778662250583</v>
      </c>
      <c r="Q47" s="111">
        <v>57.797665658733756</v>
      </c>
      <c r="R47" s="68">
        <v>27.646778662250586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0.15521796790620218</v>
      </c>
      <c r="M48" s="115">
        <v>212.99626676425049</v>
      </c>
      <c r="N48" s="115">
        <v>1590.1571434459313</v>
      </c>
      <c r="O48" s="115">
        <v>16.708062082970205</v>
      </c>
      <c r="P48" s="115">
        <v>16.401448033095811</v>
      </c>
      <c r="Q48" s="111">
        <v>16.708062082970205</v>
      </c>
      <c r="R48" s="68">
        <v>16.401448033095811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2.4622902613269458E-2</v>
      </c>
      <c r="M49" s="115">
        <v>570.81744355601165</v>
      </c>
      <c r="N49" s="115">
        <v>4277.552241558089</v>
      </c>
      <c r="O49" s="115">
        <v>36.584878388184315</v>
      </c>
      <c r="P49" s="115">
        <v>29.82352938616274</v>
      </c>
      <c r="Q49" s="111">
        <v>36.584878388184315</v>
      </c>
      <c r="R49" s="68">
        <v>29.82352938616274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2.1276809372364675E-2</v>
      </c>
      <c r="M50" s="115">
        <v>623.0802643471053</v>
      </c>
      <c r="N50" s="115">
        <v>4670.4898352884929</v>
      </c>
      <c r="O50" s="115">
        <v>38.174052406184785</v>
      </c>
      <c r="P50" s="115">
        <v>29.412598691805204</v>
      </c>
      <c r="Q50" s="111">
        <v>38.174052406184785</v>
      </c>
      <c r="R50" s="68">
        <v>29.412598691805204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0.11440571627425256</v>
      </c>
      <c r="M51" s="115">
        <v>256.39409354387146</v>
      </c>
      <c r="N51" s="115">
        <v>1915.6024197953031</v>
      </c>
      <c r="O51" s="115">
        <v>20.32816293028106</v>
      </c>
      <c r="P51" s="115">
        <v>20.211441920940622</v>
      </c>
      <c r="Q51" s="111">
        <v>20.32816293028106</v>
      </c>
      <c r="R51" s="68">
        <v>20.211441920940622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0.15091440967543085</v>
      </c>
      <c r="M52" s="115">
        <v>216.99391449517344</v>
      </c>
      <c r="N52" s="115">
        <v>1620.1257337399775</v>
      </c>
      <c r="O52" s="115">
        <v>17.03759506519814</v>
      </c>
      <c r="P52" s="115">
        <v>16.745076872834574</v>
      </c>
      <c r="Q52" s="111">
        <v>17.03759506519814</v>
      </c>
      <c r="R52" s="68">
        <v>16.745076872834574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1.3228667752568604E-2</v>
      </c>
      <c r="M53" s="115">
        <v>799.36354895874115</v>
      </c>
      <c r="N53" s="115">
        <v>5996.9660376170086</v>
      </c>
      <c r="O53" s="115">
        <v>43.725424121871605</v>
      </c>
      <c r="P53" s="115">
        <v>28.411831499816888</v>
      </c>
      <c r="Q53" s="111">
        <v>43.725424121871605</v>
      </c>
      <c r="R53" s="68">
        <v>28.411831499816891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2.2902685686333146E-2</v>
      </c>
      <c r="M54" s="115">
        <v>596.73849331687109</v>
      </c>
      <c r="N54" s="115">
        <v>4472.4182870015566</v>
      </c>
      <c r="O54" s="115">
        <v>37.372719579271376</v>
      </c>
      <c r="P54" s="115">
        <v>29.618328379062458</v>
      </c>
      <c r="Q54" s="111">
        <v>37.372719579271376</v>
      </c>
      <c r="R54" s="68">
        <v>29.618328379062458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4.1819679645961113E-3</v>
      </c>
      <c r="M55" s="115">
        <v>1209.3314671729891</v>
      </c>
      <c r="N55" s="115">
        <v>9088.9817083322578</v>
      </c>
      <c r="O55" s="115">
        <v>57.340101176731871</v>
      </c>
      <c r="P55" s="115">
        <v>27.619681722222559</v>
      </c>
      <c r="Q55" s="111">
        <v>57.340101176731871</v>
      </c>
      <c r="R55" s="68">
        <v>27.619681722222559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2.6071923255789133E-2</v>
      </c>
      <c r="M56" s="115">
        <v>550.47739892118295</v>
      </c>
      <c r="N56" s="115">
        <v>4124.6699503502905</v>
      </c>
      <c r="O56" s="115">
        <v>35.969226752636899</v>
      </c>
      <c r="P56" s="115">
        <v>29.990170349460438</v>
      </c>
      <c r="Q56" s="111">
        <v>35.969226752636899</v>
      </c>
      <c r="R56" s="68">
        <v>29.990170349460438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0.17425053523120598</v>
      </c>
      <c r="M57" s="115">
        <v>193.78449107382832</v>
      </c>
      <c r="N57" s="115">
        <v>1446.2133263352637</v>
      </c>
      <c r="O57" s="115">
        <v>15.140961180899799</v>
      </c>
      <c r="P57" s="115">
        <v>14.783474264152089</v>
      </c>
      <c r="Q57" s="111">
        <v>15.140961180899801</v>
      </c>
      <c r="R57" s="68">
        <v>14.78347426415209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2.2570846383003954E-2</v>
      </c>
      <c r="M58" s="115">
        <v>601.99577107413177</v>
      </c>
      <c r="N58" s="115">
        <v>4511.9453634081601</v>
      </c>
      <c r="O58" s="115">
        <v>37.533259542480884</v>
      </c>
      <c r="P58" s="115">
        <v>29.578232798087839</v>
      </c>
      <c r="Q58" s="111">
        <v>37.533259542480891</v>
      </c>
      <c r="R58" s="68">
        <v>29.578232798087843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0.15096807951894253</v>
      </c>
      <c r="M59" s="115">
        <v>217.07108425953854</v>
      </c>
      <c r="N59" s="115">
        <v>1620.7019006864348</v>
      </c>
      <c r="O59" s="115">
        <v>17.043654162291197</v>
      </c>
      <c r="P59" s="115">
        <v>16.751031941388259</v>
      </c>
      <c r="Q59" s="111">
        <v>17.043654162291197</v>
      </c>
      <c r="R59" s="68">
        <v>16.751031941388263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1.5221061385277622E-2</v>
      </c>
      <c r="M60" s="115">
        <v>745.31490369893572</v>
      </c>
      <c r="N60" s="115">
        <v>5590.1124898478811</v>
      </c>
      <c r="O60" s="115">
        <v>41.973005080630855</v>
      </c>
      <c r="P60" s="115">
        <v>28.621871037531633</v>
      </c>
      <c r="Q60" s="111">
        <v>41.973005080630855</v>
      </c>
      <c r="R60" s="68">
        <v>28.621871037531633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0.57844684937614499</v>
      </c>
      <c r="M61" s="115">
        <v>209.36281758299211</v>
      </c>
      <c r="N61" s="115">
        <v>1407.7800086982377</v>
      </c>
      <c r="O61" s="115">
        <v>7.7871678861723748</v>
      </c>
      <c r="P61" s="115">
        <v>7.8304890072468405</v>
      </c>
      <c r="Q61" s="111">
        <v>7.7871678861723757</v>
      </c>
      <c r="R61" s="68">
        <v>7.8304890072468414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0.32409552054291019</v>
      </c>
      <c r="M62" s="115">
        <v>107.07893019841138</v>
      </c>
      <c r="N62" s="115">
        <v>796.9163223345505</v>
      </c>
      <c r="O62" s="115">
        <v>8.2848955402526112</v>
      </c>
      <c r="P62" s="115">
        <v>7.8653528627239613</v>
      </c>
      <c r="Q62" s="111">
        <v>8.284895540252613</v>
      </c>
      <c r="R62" s="68">
        <v>7.8653528627239622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1.1635364738868625</v>
      </c>
      <c r="M63" s="115">
        <v>17.741115226179126</v>
      </c>
      <c r="N63" s="115">
        <v>114.33342682278447</v>
      </c>
      <c r="O63" s="115">
        <v>1.0873275629582861</v>
      </c>
      <c r="P63" s="115">
        <v>1.2171336195778868</v>
      </c>
      <c r="Q63" s="111">
        <v>1.0873275629582861</v>
      </c>
      <c r="R63" s="68">
        <v>1.2171336195778868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0.98811942028172028</v>
      </c>
      <c r="M64" s="115">
        <v>0.89052431395832277</v>
      </c>
      <c r="N64" s="115">
        <v>2.2718485678921549</v>
      </c>
      <c r="O64" s="115">
        <v>0.88091164487355356</v>
      </c>
      <c r="P64" s="115">
        <v>1.0532068307583156</v>
      </c>
      <c r="Q64" s="111">
        <v>0.88091164487355356</v>
      </c>
      <c r="R64" s="68">
        <v>1.0532068307583156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1.1637298922090422</v>
      </c>
      <c r="M65" s="115">
        <v>2.045079776430796</v>
      </c>
      <c r="N65" s="115">
        <v>9.5550466766862474</v>
      </c>
      <c r="O65" s="115">
        <v>0.83358936227392511</v>
      </c>
      <c r="P65" s="115">
        <v>0.96815265873098288</v>
      </c>
      <c r="Q65" s="111">
        <v>0.83358936227392522</v>
      </c>
      <c r="R65" s="68">
        <v>0.96815265873098288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1.1392763804194828</v>
      </c>
      <c r="M66" s="115">
        <v>155.66612141290872</v>
      </c>
      <c r="N66" s="115">
        <v>1034.7332786033714</v>
      </c>
      <c r="O66" s="115">
        <v>2.4716189536523148</v>
      </c>
      <c r="P66" s="115">
        <v>3.0136633232870422</v>
      </c>
      <c r="Q66" s="111">
        <v>2.4716189536523148</v>
      </c>
      <c r="R66" s="68">
        <v>3.0136633232870422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1.1513816296590598</v>
      </c>
      <c r="M67" s="115">
        <v>1.805138094827617</v>
      </c>
      <c r="N67" s="115">
        <v>7.9541206133765208</v>
      </c>
      <c r="O67" s="115">
        <v>0.83158233785265145</v>
      </c>
      <c r="P67" s="115">
        <v>0.96567468262352474</v>
      </c>
      <c r="Q67" s="111">
        <v>0.83158233785265145</v>
      </c>
      <c r="R67" s="68">
        <v>0.96567468262352474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1.0371287454592542</v>
      </c>
      <c r="M68" s="115">
        <v>0.77158764697898086</v>
      </c>
      <c r="N68" s="115">
        <v>1.0549342943461246</v>
      </c>
      <c r="O68" s="115">
        <v>0.8227359101270787</v>
      </c>
      <c r="P68" s="115">
        <v>0.95605858370519203</v>
      </c>
      <c r="Q68" s="111">
        <v>0.8227359101270787</v>
      </c>
      <c r="R68" s="68">
        <v>0.95605858370519214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3.0141386268454216E-2</v>
      </c>
      <c r="M69" s="115">
        <v>500.27301923693005</v>
      </c>
      <c r="N69" s="115">
        <v>3747.4125625807801</v>
      </c>
      <c r="O69" s="115">
        <v>34.476149298141493</v>
      </c>
      <c r="P69" s="115">
        <v>30.452843818017442</v>
      </c>
      <c r="Q69" s="111">
        <v>34.476149298141493</v>
      </c>
      <c r="R69" s="68">
        <v>30.452843818017445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0.99067315457138461</v>
      </c>
      <c r="M70" s="115">
        <v>1.0603623658570551</v>
      </c>
      <c r="N70" s="115">
        <v>3.808701237053465</v>
      </c>
      <c r="O70" s="115">
        <v>0.97028994649156064</v>
      </c>
      <c r="P70" s="115">
        <v>1.2113188708989855</v>
      </c>
      <c r="Q70" s="111">
        <v>0.97028994649156075</v>
      </c>
      <c r="R70" s="68">
        <v>1.2113188708989855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0.987927459442276</v>
      </c>
      <c r="M71" s="115">
        <v>1.4315695834311608</v>
      </c>
      <c r="N71" s="115">
        <v>6.9766377817332561</v>
      </c>
      <c r="O71" s="115">
        <v>1.1044730452021811</v>
      </c>
      <c r="P71" s="115">
        <v>1.4439362669856928</v>
      </c>
      <c r="Q71" s="111">
        <v>1.1044730452021811</v>
      </c>
      <c r="R71" s="68">
        <v>1.4439362669856928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3.0016275780951309E-2</v>
      </c>
      <c r="M72" s="115">
        <v>596.94836220684181</v>
      </c>
      <c r="N72" s="115">
        <v>5069.6577749047519</v>
      </c>
      <c r="O72" s="115">
        <v>48.3891524179624</v>
      </c>
      <c r="P72" s="115">
        <v>68.21809614377139</v>
      </c>
      <c r="Q72" s="111">
        <v>48.389152417962407</v>
      </c>
      <c r="R72" s="68">
        <v>68.21809614377139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0.26562976831116714</v>
      </c>
      <c r="M73" s="115">
        <v>66.681164064415455</v>
      </c>
      <c r="N73" s="115">
        <v>564.91101708054589</v>
      </c>
      <c r="O73" s="115">
        <v>34.005886308362996</v>
      </c>
      <c r="P73" s="115">
        <v>59.322839827656111</v>
      </c>
      <c r="Q73" s="111">
        <v>34.005886308363003</v>
      </c>
      <c r="R73" s="68">
        <v>59.322839827656111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0.98848170679797243</v>
      </c>
      <c r="M74" s="115">
        <v>1.3589784943993057</v>
      </c>
      <c r="N74" s="115">
        <v>6.3570990932781619</v>
      </c>
      <c r="O74" s="115">
        <v>1.0778440113266274</v>
      </c>
      <c r="P74" s="115">
        <v>1.3977376929389627</v>
      </c>
      <c r="Q74" s="111">
        <v>1.0778440113266274</v>
      </c>
      <c r="R74" s="68">
        <v>1.3977376929389627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0.30097864125184809</v>
      </c>
      <c r="M75" s="115">
        <v>64.170092519291501</v>
      </c>
      <c r="N75" s="115">
        <v>543.39950651466472</v>
      </c>
      <c r="O75" s="115">
        <v>32.400070466132185</v>
      </c>
      <c r="P75" s="115">
        <v>56.475925250025092</v>
      </c>
      <c r="Q75" s="111">
        <v>32.400070466132192</v>
      </c>
      <c r="R75" s="68">
        <v>56.475925250025099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0.88194058183445934</v>
      </c>
      <c r="M76" s="115">
        <v>12.97377513016899</v>
      </c>
      <c r="N76" s="115">
        <v>105.55791159989765</v>
      </c>
      <c r="O76" s="115">
        <v>5.9570365184020622</v>
      </c>
      <c r="P76" s="115">
        <v>9.9176710940619301</v>
      </c>
      <c r="Q76" s="111">
        <v>5.9570365184020622</v>
      </c>
      <c r="R76" s="68">
        <v>9.9176710940619301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0.2754560206126247</v>
      </c>
      <c r="M77" s="115">
        <v>65.995634330443764</v>
      </c>
      <c r="N77" s="115">
        <v>559.03651613866521</v>
      </c>
      <c r="O77" s="115">
        <v>33.559506895161547</v>
      </c>
      <c r="P77" s="115">
        <v>58.531032695280999</v>
      </c>
      <c r="Q77" s="111">
        <v>33.559506895161547</v>
      </c>
      <c r="R77" s="68">
        <v>58.531032695280999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3.4307588742104225E-2</v>
      </c>
      <c r="M78" s="115">
        <v>515.29404493071854</v>
      </c>
      <c r="N78" s="115">
        <v>4376.1483779253695</v>
      </c>
      <c r="O78" s="115">
        <v>47.610126785565988</v>
      </c>
      <c r="P78" s="115">
        <v>69.467165226022999</v>
      </c>
      <c r="Q78" s="111">
        <v>47.610126785565996</v>
      </c>
      <c r="R78" s="68">
        <v>69.467165226023013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3.4307597938155868E-2</v>
      </c>
      <c r="M79" s="115">
        <v>515.29385899366719</v>
      </c>
      <c r="N79" s="115">
        <v>4376.1471415983215</v>
      </c>
      <c r="O79" s="115">
        <v>47.610127215635444</v>
      </c>
      <c r="P79" s="115">
        <v>69.467181278313632</v>
      </c>
      <c r="Q79" s="111">
        <v>47.610127215635444</v>
      </c>
      <c r="R79" s="68">
        <v>69.467181278313632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0.65608312790364753</v>
      </c>
      <c r="M80" s="115">
        <v>34.674212944621274</v>
      </c>
      <c r="N80" s="115">
        <v>291.03665336061994</v>
      </c>
      <c r="O80" s="115">
        <v>16.245786971379729</v>
      </c>
      <c r="P80" s="115">
        <v>27.974864961059151</v>
      </c>
      <c r="Q80" s="111">
        <v>16.245786971379733</v>
      </c>
      <c r="R80" s="68">
        <v>27.974864961059154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0.96992554088119354</v>
      </c>
      <c r="M81" s="115">
        <v>3.5870266264809865</v>
      </c>
      <c r="N81" s="115">
        <v>25.378154337357397</v>
      </c>
      <c r="O81" s="115">
        <v>1.9403462973344547</v>
      </c>
      <c r="P81" s="115">
        <v>2.8981113579244648</v>
      </c>
      <c r="Q81" s="111">
        <v>1.9403462973344547</v>
      </c>
      <c r="R81" s="68">
        <v>2.8981113579244648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0.9322691067207628</v>
      </c>
      <c r="M82" s="115">
        <v>7.727109905814685</v>
      </c>
      <c r="N82" s="115">
        <v>60.736172531628007</v>
      </c>
      <c r="O82" s="115">
        <v>3.6618693203068697</v>
      </c>
      <c r="P82" s="115">
        <v>5.9028224875935695</v>
      </c>
      <c r="Q82" s="111">
        <v>3.6618693203068702</v>
      </c>
      <c r="R82" s="68">
        <v>5.9028224875935704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2.0168101945114605E-2</v>
      </c>
      <c r="M83" s="115">
        <v>867.99274563783081</v>
      </c>
      <c r="N83" s="115">
        <v>7371.6864122515435</v>
      </c>
      <c r="O83" s="115">
        <v>50.778888836103057</v>
      </c>
      <c r="P83" s="115">
        <v>63.714331583382361</v>
      </c>
      <c r="Q83" s="111">
        <v>50.778888836103057</v>
      </c>
      <c r="R83" s="68">
        <v>63.714331583382361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0.42041745073611347</v>
      </c>
      <c r="M84" s="115">
        <v>72.331223411427231</v>
      </c>
      <c r="N84" s="115">
        <v>536.95976487221731</v>
      </c>
      <c r="O84" s="115">
        <v>5.6661509459346497</v>
      </c>
      <c r="P84" s="115">
        <v>5.3238371181389148</v>
      </c>
      <c r="Q84" s="111">
        <v>5.6661509459346497</v>
      </c>
      <c r="R84" s="68">
        <v>5.3238371181389148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0.10144815525305874</v>
      </c>
      <c r="M85" s="115">
        <v>2269.58229128225</v>
      </c>
      <c r="N85" s="115">
        <v>15142.93970955234</v>
      </c>
      <c r="O85" s="115">
        <v>15.03696179496424</v>
      </c>
      <c r="P85" s="115">
        <v>13.547020272415812</v>
      </c>
      <c r="Q85" s="111">
        <v>15.03696179496424</v>
      </c>
      <c r="R85" s="68">
        <v>13.547020272415812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1.0475847094904107E-3</v>
      </c>
      <c r="M86" s="115">
        <v>1591.8346250732727</v>
      </c>
      <c r="N86" s="115">
        <v>11986.232152399602</v>
      </c>
      <c r="O86" s="115">
        <v>70.648233087135765</v>
      </c>
      <c r="P86" s="115">
        <v>28.430586448182158</v>
      </c>
      <c r="Q86" s="111">
        <v>70.648233087135765</v>
      </c>
      <c r="R86" s="68">
        <v>28.430586448182162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3.5768596367874677E-4</v>
      </c>
      <c r="M87" s="115">
        <v>1789.7497742326805</v>
      </c>
      <c r="N87" s="115">
        <v>13494.435643424838</v>
      </c>
      <c r="O87" s="115">
        <v>77.608914236002363</v>
      </c>
      <c r="P87" s="115">
        <v>29.319537212953964</v>
      </c>
      <c r="Q87" s="111">
        <v>77.608914236002363</v>
      </c>
      <c r="R87" s="68">
        <v>29.319537212953968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9.998453593720588E-5</v>
      </c>
      <c r="M88" s="115">
        <v>1940.2284630430784</v>
      </c>
      <c r="N88" s="115">
        <v>14650.919067664709</v>
      </c>
      <c r="O88" s="115">
        <v>82.820742747959969</v>
      </c>
      <c r="P88" s="115">
        <v>30.207849095597158</v>
      </c>
      <c r="Q88" s="111">
        <v>82.820742747959969</v>
      </c>
      <c r="R88" s="68">
        <v>30.207849095597158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8.0207921302619068E-4</v>
      </c>
      <c r="M89" s="115">
        <v>2872.7805757648921</v>
      </c>
      <c r="N89" s="115">
        <v>19168.94513091815</v>
      </c>
      <c r="O89" s="115">
        <v>14.643988335614607</v>
      </c>
      <c r="P89" s="115">
        <v>5.0530699848590626</v>
      </c>
      <c r="Q89" s="111">
        <v>14.643988335614608</v>
      </c>
      <c r="R89" s="68">
        <v>5.0530699848590626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0.96859198896223631</v>
      </c>
      <c r="M90" s="115">
        <v>0.79800303938750372</v>
      </c>
      <c r="N90" s="115">
        <v>1.4773491356053037</v>
      </c>
      <c r="O90" s="115">
        <v>0.81205110234344113</v>
      </c>
      <c r="P90" s="115">
        <v>0.93914461874664645</v>
      </c>
      <c r="Q90" s="111">
        <v>0.81205110234344113</v>
      </c>
      <c r="R90" s="68">
        <v>0.93914461874664645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0.75923504766385508</v>
      </c>
      <c r="M91" s="115">
        <v>11.404236556900628</v>
      </c>
      <c r="N91" s="115">
        <v>81.226633787315947</v>
      </c>
      <c r="O91" s="115">
        <v>1.389368180530137</v>
      </c>
      <c r="P91" s="115">
        <v>1.385582249298682</v>
      </c>
      <c r="Q91" s="111">
        <v>1.389368180530137</v>
      </c>
      <c r="R91" s="68">
        <v>1.385582249298682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0.2549771500376018</v>
      </c>
      <c r="M92" s="115">
        <v>140.75259546495352</v>
      </c>
      <c r="N92" s="115">
        <v>1048.9631644363153</v>
      </c>
      <c r="O92" s="115">
        <v>10.897030284006147</v>
      </c>
      <c r="P92" s="115">
        <v>10.459718454424687</v>
      </c>
      <c r="Q92" s="111">
        <v>10.897030284006147</v>
      </c>
      <c r="R92" s="68">
        <v>10.459718454424687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0.99291765285534861</v>
      </c>
      <c r="M93" s="115">
        <v>0.68702818564845658</v>
      </c>
      <c r="N93" s="115">
        <v>0.62200490210063852</v>
      </c>
      <c r="O93" s="115">
        <v>0.84303438919846951</v>
      </c>
      <c r="P93" s="115">
        <v>0.99141882828328332</v>
      </c>
      <c r="Q93" s="111">
        <v>0.84303438919846951</v>
      </c>
      <c r="R93" s="68">
        <v>0.99141882828328332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1.0010372918347989</v>
      </c>
      <c r="M94" s="115">
        <v>0.63651907627306359</v>
      </c>
      <c r="N94" s="115">
        <v>0.1509385405933599</v>
      </c>
      <c r="O94" s="115">
        <v>0.82213547113518859</v>
      </c>
      <c r="P94" s="115">
        <v>0.95557788804095511</v>
      </c>
      <c r="Q94" s="111">
        <v>0.8221354711351887</v>
      </c>
      <c r="R94" s="68">
        <v>0.95557788804095511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0.94205446623637357</v>
      </c>
      <c r="M95" s="115">
        <v>1.447656910602503</v>
      </c>
      <c r="N95" s="115">
        <v>6.3837260500989137</v>
      </c>
      <c r="O95" s="115">
        <v>0.82243498718554298</v>
      </c>
      <c r="P95" s="115">
        <v>0.93554327994097297</v>
      </c>
      <c r="Q95" s="111">
        <v>0.82243498718554309</v>
      </c>
      <c r="R95" s="68">
        <v>0.93554327994097308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1.5399400288621536E-3</v>
      </c>
      <c r="M96" s="115">
        <v>1501.0310452815177</v>
      </c>
      <c r="N96" s="115">
        <v>11296.856360939233</v>
      </c>
      <c r="O96" s="115">
        <v>67.463600747272864</v>
      </c>
      <c r="P96" s="115">
        <v>28.133870228937663</v>
      </c>
      <c r="Q96" s="111">
        <v>67.463600747272864</v>
      </c>
      <c r="R96" s="68">
        <v>28.133870228937663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0.6721332083234739</v>
      </c>
      <c r="M97" s="115">
        <v>20.86179234668867</v>
      </c>
      <c r="N97" s="115">
        <v>152.014843966988</v>
      </c>
      <c r="O97" s="115">
        <v>2.0042362372088456</v>
      </c>
      <c r="P97" s="115">
        <v>1.9210629002254078</v>
      </c>
      <c r="Q97" s="111">
        <v>2.004236237208846</v>
      </c>
      <c r="R97" s="68">
        <v>1.9210629002254078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0.74436474921434925</v>
      </c>
      <c r="M98" s="115">
        <v>12.794301492264196</v>
      </c>
      <c r="N98" s="115">
        <v>91.635806925930325</v>
      </c>
      <c r="O98" s="115">
        <v>1.4772698972439058</v>
      </c>
      <c r="P98" s="115">
        <v>1.460660523966947</v>
      </c>
      <c r="Q98" s="111">
        <v>1.4772698972439058</v>
      </c>
      <c r="R98" s="68">
        <v>1.460660523966947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0.87344786888560055</v>
      </c>
      <c r="M99" s="115">
        <v>3.6360782586948379</v>
      </c>
      <c r="N99" s="115">
        <v>22.962333784411754</v>
      </c>
      <c r="O99" s="115">
        <v>0.93082882876283179</v>
      </c>
      <c r="P99" s="115">
        <v>1.0115904741001682</v>
      </c>
      <c r="Q99" s="111">
        <v>0.93082882876283179</v>
      </c>
      <c r="R99" s="68">
        <v>1.0115904741001682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1.1635243442358311E-2</v>
      </c>
      <c r="M100" s="115">
        <v>847.59667920526158</v>
      </c>
      <c r="N100" s="115">
        <v>6360.2009885812477</v>
      </c>
      <c r="O100" s="115">
        <v>45.286000134641185</v>
      </c>
      <c r="P100" s="115">
        <v>28.224170681984145</v>
      </c>
      <c r="Q100" s="111">
        <v>45.286000134641192</v>
      </c>
      <c r="R100" s="68">
        <v>28.224170681984148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0.31427164923922041</v>
      </c>
      <c r="M101" s="115">
        <v>111.35876885322524</v>
      </c>
      <c r="N101" s="115">
        <v>828.94322734863943</v>
      </c>
      <c r="O101" s="115">
        <v>8.613120429128676</v>
      </c>
      <c r="P101" s="115">
        <v>8.1883159721584491</v>
      </c>
      <c r="Q101" s="111">
        <v>8.613120429128676</v>
      </c>
      <c r="R101" s="68">
        <v>8.1883159721584509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0.11609705163816264</v>
      </c>
      <c r="M102" s="115">
        <v>254.17707488675941</v>
      </c>
      <c r="N102" s="115">
        <v>1898.9733117016767</v>
      </c>
      <c r="O102" s="115">
        <v>20.141386224520247</v>
      </c>
      <c r="P102" s="115">
        <v>20.01347187459827</v>
      </c>
      <c r="Q102" s="111">
        <v>20.141386224520247</v>
      </c>
      <c r="R102" s="68">
        <v>20.01347187459827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0.9822293484064607</v>
      </c>
      <c r="M103" s="115">
        <v>2.1429772340200532</v>
      </c>
      <c r="N103" s="115">
        <v>13.0482944231941</v>
      </c>
      <c r="O103" s="115">
        <v>1.3720736693758044</v>
      </c>
      <c r="P103" s="115">
        <v>1.9087699858977614</v>
      </c>
      <c r="Q103" s="111">
        <v>1.3720736693758044</v>
      </c>
      <c r="R103" s="68">
        <v>1.9087699858977614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9.6321113365502115E-2</v>
      </c>
      <c r="M104" s="115">
        <v>115.9237945416977</v>
      </c>
      <c r="N104" s="115">
        <v>978.04476821588105</v>
      </c>
      <c r="O104" s="115">
        <v>41.760816765773399</v>
      </c>
      <c r="P104" s="115">
        <v>71.698951659295446</v>
      </c>
      <c r="Q104" s="111">
        <v>41.760816765773399</v>
      </c>
      <c r="R104" s="68">
        <v>71.698951659295446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0.96366851579232438</v>
      </c>
      <c r="M105" s="115">
        <v>0.83927743384649411</v>
      </c>
      <c r="N105" s="115">
        <v>1.8026852750308948</v>
      </c>
      <c r="O105" s="115">
        <v>0.81161110771340095</v>
      </c>
      <c r="P105" s="115">
        <v>0.93711245610967053</v>
      </c>
      <c r="Q105" s="111">
        <v>0.81161110771340095</v>
      </c>
      <c r="R105" s="68">
        <v>0.93711245610967064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0.93817644616916851</v>
      </c>
      <c r="M106" s="115">
        <v>1.5098865725313568</v>
      </c>
      <c r="N106" s="115">
        <v>6.8651377498521065</v>
      </c>
      <c r="O106" s="115">
        <v>0.82417445193305583</v>
      </c>
      <c r="P106" s="115">
        <v>0.93600336925323979</v>
      </c>
      <c r="Q106" s="111">
        <v>0.82417445193305583</v>
      </c>
      <c r="R106" s="68">
        <v>0.93600336925323979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7.8696406101518304E-2</v>
      </c>
      <c r="M107" s="115">
        <v>348.97317368931635</v>
      </c>
      <c r="N107" s="115">
        <v>2545.8324511578439</v>
      </c>
      <c r="O107" s="115">
        <v>23.906541617128543</v>
      </c>
      <c r="P107" s="115">
        <v>24.055618640316116</v>
      </c>
      <c r="Q107" s="111">
        <v>23.906541617128546</v>
      </c>
      <c r="R107" s="68">
        <v>24.055618640316116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0.99732063715379871</v>
      </c>
      <c r="M108" s="115">
        <v>0.62558389296122263</v>
      </c>
      <c r="N108" s="115">
        <v>7.8122850298788141E-2</v>
      </c>
      <c r="O108" s="115">
        <v>0.82201431048805773</v>
      </c>
      <c r="P108" s="115">
        <v>0.95543751061135573</v>
      </c>
      <c r="Q108" s="111">
        <v>0.82201431048805773</v>
      </c>
      <c r="R108" s="68">
        <v>0.95543751061135573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1.2042049062401872</v>
      </c>
      <c r="M109" s="115">
        <v>41.104198401497861</v>
      </c>
      <c r="N109" s="115">
        <v>270.15545935501228</v>
      </c>
      <c r="O109" s="115">
        <v>1.2693967747278838</v>
      </c>
      <c r="P109" s="115">
        <v>1.4761096926480775</v>
      </c>
      <c r="Q109" s="111">
        <v>1.2693967747278838</v>
      </c>
      <c r="R109" s="68">
        <v>1.4761096926480775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0.98720745724305914</v>
      </c>
      <c r="M110" s="115">
        <v>0.63978099656910559</v>
      </c>
      <c r="N110" s="115">
        <v>0.22201030061779378</v>
      </c>
      <c r="O110" s="115">
        <v>0.81839622327623096</v>
      </c>
      <c r="P110" s="115">
        <v>0.95083827354548911</v>
      </c>
      <c r="Q110" s="111">
        <v>0.81839622327623096</v>
      </c>
      <c r="R110" s="68">
        <v>0.95083827354548911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0.99337596327721678</v>
      </c>
      <c r="M111" s="115">
        <v>0.61428748539895783</v>
      </c>
      <c r="N111" s="115">
        <v>3.233662200520143E-3</v>
      </c>
      <c r="O111" s="115">
        <v>0.822048262058937</v>
      </c>
      <c r="P111" s="115">
        <v>0.95552843777847751</v>
      </c>
      <c r="Q111" s="111">
        <v>0.82204826205893711</v>
      </c>
      <c r="R111" s="68">
        <v>0.95552843777847762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0.98538263161227235</v>
      </c>
      <c r="M112" s="115">
        <v>0.63169323465859617</v>
      </c>
      <c r="N112" s="115">
        <v>0.16762142736646424</v>
      </c>
      <c r="O112" s="115">
        <v>0.81542788639050834</v>
      </c>
      <c r="P112" s="115">
        <v>0.94716846832381063</v>
      </c>
      <c r="Q112" s="111">
        <v>0.81542788639050845</v>
      </c>
      <c r="R112" s="68">
        <v>0.94716846832381063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0.94832078285579124</v>
      </c>
      <c r="M113" s="115">
        <v>1.1046091287832818</v>
      </c>
      <c r="N113" s="115">
        <v>3.8382580839479212</v>
      </c>
      <c r="O113" s="115">
        <v>0.81699170227031381</v>
      </c>
      <c r="P113" s="115">
        <v>0.93673636883077283</v>
      </c>
      <c r="Q113" s="111">
        <v>0.81699170227031381</v>
      </c>
      <c r="R113" s="68">
        <v>0.93673636883077283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0.98923049807441132</v>
      </c>
      <c r="M114" s="115">
        <v>0.61841804364339548</v>
      </c>
      <c r="N114" s="115">
        <v>5.2102580601775292E-2</v>
      </c>
      <c r="O114" s="115">
        <v>0.81761422143172025</v>
      </c>
      <c r="P114" s="115">
        <v>0.95014201073440752</v>
      </c>
      <c r="Q114" s="111">
        <v>0.81761422143172025</v>
      </c>
      <c r="R114" s="68">
        <v>0.95014201073440752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0.99093708806408887</v>
      </c>
      <c r="M115" s="115">
        <v>1.0210150965059481</v>
      </c>
      <c r="N115" s="115">
        <v>3.4725226573751673</v>
      </c>
      <c r="O115" s="115">
        <v>0.95627822071645652</v>
      </c>
      <c r="P115" s="115">
        <v>1.187041645150184</v>
      </c>
      <c r="Q115" s="111">
        <v>0.95627822071645663</v>
      </c>
      <c r="R115" s="68">
        <v>1.187041645150184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0.44172788577023037</v>
      </c>
      <c r="M116" s="115">
        <v>1132.508458532066</v>
      </c>
      <c r="N116" s="115">
        <v>7553.5627621618924</v>
      </c>
      <c r="O116" s="115">
        <v>15.076521829563168</v>
      </c>
      <c r="P116" s="115">
        <v>19.604908991684756</v>
      </c>
      <c r="Q116" s="111">
        <v>15.076521829563168</v>
      </c>
      <c r="R116" s="68">
        <v>19.604908991684756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0.57562310835351826</v>
      </c>
      <c r="M117" s="115">
        <v>35.65174205029647</v>
      </c>
      <c r="N117" s="115">
        <v>262.64142516968263</v>
      </c>
      <c r="O117" s="115">
        <v>3.0172783106901027</v>
      </c>
      <c r="P117" s="115">
        <v>2.8360923248817547</v>
      </c>
      <c r="Q117" s="111">
        <v>3.0172783106901031</v>
      </c>
      <c r="R117" s="68">
        <v>2.8360923248817547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17"/>
  <sheetViews>
    <sheetView tabSelected="1" topLeftCell="A88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1.0126646944944683E-8</v>
      </c>
      <c r="B2">
        <f>'Mass Balance'!E2</f>
        <v>3.905439469102503E-5</v>
      </c>
      <c r="C2">
        <f>SUM('Mass Balance'!E2:H2)</f>
        <v>3.9057750545678317E-5</v>
      </c>
      <c r="D2">
        <f>Concentrations!F2/Concentrations!E2</f>
        <v>1.0003040382004165</v>
      </c>
    </row>
    <row r="3" spans="1:4">
      <c r="A3" s="164">
        <f>'Mass Balance'!I3</f>
        <v>5.6198232352269759E-7</v>
      </c>
      <c r="B3">
        <f>'Mass Balance'!E3</f>
        <v>2.3306465644158553E-5</v>
      </c>
      <c r="C3">
        <f>SUM('Mass Balance'!E3:H3)</f>
        <v>2.4453287894961344E-5</v>
      </c>
      <c r="D3">
        <f>Concentrations!F3/Concentrations!E3</f>
        <v>0.95347321310179423</v>
      </c>
    </row>
    <row r="4" spans="1:4">
      <c r="A4" s="164">
        <f>'Mass Balance'!I4</f>
        <v>1.4391056634091641E-8</v>
      </c>
      <c r="B4">
        <f>'Mass Balance'!E4</f>
        <v>3.9983102425642173E-5</v>
      </c>
      <c r="C4">
        <f>SUM('Mass Balance'!E4:H4)</f>
        <v>3.9984785754832269E-5</v>
      </c>
      <c r="D4">
        <f>Concentrations!F4/Concentrations!E4</f>
        <v>1.0003478763736682</v>
      </c>
    </row>
    <row r="5" spans="1:4">
      <c r="A5" s="164">
        <f>'Mass Balance'!I5</f>
        <v>1.2696359046744367E-7</v>
      </c>
      <c r="B5">
        <f>'Mass Balance'!E5</f>
        <v>3.682995668959075E-5</v>
      </c>
      <c r="C5">
        <f>SUM('Mass Balance'!E5:H5)</f>
        <v>3.9860428352124517E-5</v>
      </c>
      <c r="D5">
        <f>Concentrations!F5/Concentrations!E5</f>
        <v>0.92433326992500109</v>
      </c>
    </row>
    <row r="6" spans="1:4">
      <c r="A6" s="164">
        <f>'Mass Balance'!I6</f>
        <v>2.6289360211261857E-7</v>
      </c>
      <c r="B6">
        <f>'Mass Balance'!E6</f>
        <v>3.2846951881951472E-5</v>
      </c>
      <c r="C6">
        <f>SUM('Mass Balance'!E6:H6)</f>
        <v>3.9665871174160453E-5</v>
      </c>
      <c r="D6">
        <f>Concentrations!F6/Concentrations!E6</f>
        <v>0.82841397299118702</v>
      </c>
    </row>
    <row r="7" spans="1:4">
      <c r="A7" s="164">
        <f>'Mass Balance'!I7</f>
        <v>6.6865963942071255E-7</v>
      </c>
      <c r="B7">
        <f>'Mass Balance'!E7</f>
        <v>2.1176978356161336E-5</v>
      </c>
      <c r="C7">
        <f>SUM('Mass Balance'!E7:H7)</f>
        <v>3.8600731113292977E-5</v>
      </c>
      <c r="D7">
        <f>Concentrations!F7/Concentrations!E7</f>
        <v>0.5488299469472826</v>
      </c>
    </row>
    <row r="8" spans="1:4">
      <c r="A8" s="164">
        <f>'Mass Balance'!I8</f>
        <v>3.6438930997464495E-7</v>
      </c>
      <c r="B8">
        <f>'Mass Balance'!E8</f>
        <v>2.9682491186055464E-5</v>
      </c>
      <c r="C8">
        <f>SUM('Mass Balance'!E8:H8)</f>
        <v>3.9590831924821375E-5</v>
      </c>
      <c r="D8">
        <f>Concentrations!F8/Concentrations!E8</f>
        <v>0.75002382313076288</v>
      </c>
    </row>
    <row r="9" spans="1:4">
      <c r="A9" s="164">
        <f>'Mass Balance'!I9</f>
        <v>1.0317304524634722E-7</v>
      </c>
      <c r="B9">
        <f>'Mass Balance'!E9</f>
        <v>3.75004613770319E-5</v>
      </c>
      <c r="C9">
        <f>SUM('Mass Balance'!E9:H9)</f>
        <v>3.9844775156150761E-5</v>
      </c>
      <c r="D9">
        <f>Concentrations!F9/Concentrations!E9</f>
        <v>0.94153088105625038</v>
      </c>
    </row>
    <row r="10" spans="1:4">
      <c r="A10" s="164">
        <f>'Mass Balance'!I10</f>
        <v>5.1570799301325928E-6</v>
      </c>
      <c r="B10">
        <f>'Mass Balance'!E10</f>
        <v>1.7347172211102187E-6</v>
      </c>
      <c r="C10">
        <f>SUM('Mass Balance'!E10:H10)</f>
        <v>1.6394101607120059E-5</v>
      </c>
      <c r="D10">
        <f>Concentrations!F10/Concentrations!E10</f>
        <v>0.10585476341410865</v>
      </c>
    </row>
    <row r="11" spans="1:4">
      <c r="A11" s="164">
        <f>'Mass Balance'!I11</f>
        <v>2.6334567161647066E-5</v>
      </c>
      <c r="B11">
        <f>'Mass Balance'!E11</f>
        <v>7.2987053787422736E-8</v>
      </c>
      <c r="C11">
        <f>SUM('Mass Balance'!E11:H11)</f>
        <v>1.1557254307887677E-5</v>
      </c>
      <c r="D11">
        <f>Concentrations!F11/Concentrations!E11</f>
        <v>6.3177218577935871E-3</v>
      </c>
    </row>
    <row r="12" spans="1:4">
      <c r="A12" s="164">
        <f>'Mass Balance'!I12</f>
        <v>7.7139361475057386E-9</v>
      </c>
      <c r="B12">
        <f>'Mass Balance'!E12</f>
        <v>3.6836642287106453E-5</v>
      </c>
      <c r="C12">
        <f>SUM('Mass Balance'!E12:H12)</f>
        <v>3.6836796612536004E-5</v>
      </c>
      <c r="D12">
        <f>Concentrations!F12/Concentrations!E12</f>
        <v>1.000385800963896</v>
      </c>
    </row>
    <row r="13" spans="1:4">
      <c r="A13" s="164">
        <f>'Mass Balance'!I13</f>
        <v>3.8844316256964049E-7</v>
      </c>
      <c r="B13">
        <f>'Mass Balance'!E13</f>
        <v>2.4756740343024992E-5</v>
      </c>
      <c r="C13">
        <f>SUM('Mass Balance'!E13:H13)</f>
        <v>2.5587417324433742E-5</v>
      </c>
      <c r="D13">
        <f>Concentrations!F13/Concentrations!E13</f>
        <v>0.96791305509794789</v>
      </c>
    </row>
    <row r="14" spans="1:4">
      <c r="A14" s="164">
        <f>'Mass Balance'!I14</f>
        <v>2.3186603803744311E-6</v>
      </c>
      <c r="B14">
        <f>'Mass Balance'!E14</f>
        <v>3.0651312383687106E-6</v>
      </c>
      <c r="C14">
        <f>SUM('Mass Balance'!E14:H14)</f>
        <v>3.7410127209758565E-5</v>
      </c>
      <c r="D14">
        <f>Concentrations!F14/Concentrations!E14</f>
        <v>8.1965148045166039E-2</v>
      </c>
    </row>
    <row r="15" spans="1:4">
      <c r="A15" s="164">
        <f>'Mass Balance'!I15</f>
        <v>6.0118877686398536E-8</v>
      </c>
      <c r="B15">
        <f>'Mass Balance'!E15</f>
        <v>3.1177216979997232E-5</v>
      </c>
      <c r="C15">
        <f>SUM('Mass Balance'!E15:H15)</f>
        <v>3.1280774443944851E-5</v>
      </c>
      <c r="D15">
        <f>Concentrations!F15/Concentrations!E15</f>
        <v>0.99707812228781323</v>
      </c>
    </row>
    <row r="16" spans="1:4">
      <c r="A16" s="164">
        <f>'Mass Balance'!I16</f>
        <v>4.4674440891619392E-7</v>
      </c>
      <c r="B16">
        <f>'Mass Balance'!E16</f>
        <v>2.3671153241289108E-5</v>
      </c>
      <c r="C16">
        <f>SUM('Mass Balance'!E16:H16)</f>
        <v>2.4638404413450648E-5</v>
      </c>
      <c r="D16">
        <f>Concentrations!F16/Concentrations!E16</f>
        <v>0.96111681605375665</v>
      </c>
    </row>
    <row r="17" spans="1:4">
      <c r="A17" s="164">
        <f>'Mass Balance'!I17</f>
        <v>4.0864060772200571E-7</v>
      </c>
      <c r="B17">
        <f>'Mass Balance'!E17</f>
        <v>2.4302537846464616E-5</v>
      </c>
      <c r="C17">
        <f>SUM('Mass Balance'!E17:H17)</f>
        <v>2.5180511490628135E-5</v>
      </c>
      <c r="D17">
        <f>Concentrations!F17/Concentrations!E17</f>
        <v>0.96550920546992713</v>
      </c>
    </row>
    <row r="18" spans="1:4">
      <c r="A18" s="164">
        <f>'Mass Balance'!I18</f>
        <v>1.9340368672087936E-5</v>
      </c>
      <c r="B18">
        <f>'Mass Balance'!E18</f>
        <v>7.8575413425576673E-8</v>
      </c>
      <c r="C18">
        <f>SUM('Mass Balance'!E18:H18)</f>
        <v>1.0848713592810989E-5</v>
      </c>
      <c r="D18">
        <f>Concentrations!F18/Concentrations!E18</f>
        <v>7.245656965541877E-3</v>
      </c>
    </row>
    <row r="19" spans="1:4">
      <c r="A19" s="164">
        <f>'Mass Balance'!I19</f>
        <v>2.6102887904412669E-8</v>
      </c>
      <c r="B19">
        <f>'Mass Balance'!E19</f>
        <v>3.6392591620617283E-5</v>
      </c>
      <c r="C19">
        <f>SUM('Mass Balance'!E19:H19)</f>
        <v>3.6426298802188667E-5</v>
      </c>
      <c r="D19">
        <f>Concentrations!F19/Concentrations!E19</f>
        <v>0.999464278244938</v>
      </c>
    </row>
    <row r="20" spans="1:4">
      <c r="A20" s="164">
        <f>'Mass Balance'!I20</f>
        <v>3.9209381559005253E-8</v>
      </c>
      <c r="B20">
        <f>'Mass Balance'!E20</f>
        <v>3.4925874965826431E-5</v>
      </c>
      <c r="C20">
        <f>SUM('Mass Balance'!E20:H20)</f>
        <v>3.4985635798493956E-5</v>
      </c>
      <c r="D20">
        <f>Concentrations!F20/Concentrations!E20</f>
        <v>0.99868117247035748</v>
      </c>
    </row>
    <row r="21" spans="1:4">
      <c r="A21" s="164">
        <f>'Mass Balance'!I21</f>
        <v>1.4263326647050502E-6</v>
      </c>
      <c r="B21">
        <f>'Mass Balance'!E21</f>
        <v>1.5842208657648548E-5</v>
      </c>
      <c r="C21">
        <f>SUM('Mass Balance'!E21:H21)</f>
        <v>2.80870365219363E-5</v>
      </c>
      <c r="D21">
        <f>Concentrations!F21/Concentrations!E21</f>
        <v>0.56425984921748717</v>
      </c>
    </row>
    <row r="22" spans="1:4">
      <c r="A22" s="164">
        <f>'Mass Balance'!I22</f>
        <v>1.0824602419912375E-8</v>
      </c>
      <c r="B22">
        <f>'Mass Balance'!E22</f>
        <v>3.6186343479754637E-5</v>
      </c>
      <c r="C22">
        <f>SUM('Mass Balance'!E22:H22)</f>
        <v>3.6191939837197751E-5</v>
      </c>
      <c r="D22">
        <f>Concentrations!F22/Concentrations!E22</f>
        <v>1.0002353017912216</v>
      </c>
    </row>
    <row r="23" spans="1:4">
      <c r="A23" s="164">
        <f>'Mass Balance'!I23</f>
        <v>9.6808541955796669E-8</v>
      </c>
      <c r="B23">
        <f>'Mass Balance'!E23</f>
        <v>3.0034576151597007E-5</v>
      </c>
      <c r="C23">
        <f>SUM('Mass Balance'!E23:H23)</f>
        <v>3.0214543474979232E-5</v>
      </c>
      <c r="D23">
        <f>Concentrations!F23/Concentrations!E23</f>
        <v>0.99443135462023413</v>
      </c>
    </row>
    <row r="24" spans="1:4">
      <c r="A24" s="164">
        <f>'Mass Balance'!I24</f>
        <v>6.7863083165986575E-7</v>
      </c>
      <c r="B24">
        <f>'Mass Balance'!E24</f>
        <v>2.0146963257011098E-5</v>
      </c>
      <c r="C24">
        <f>SUM('Mass Balance'!E24:H24)</f>
        <v>2.1671253870345302E-5</v>
      </c>
      <c r="D24">
        <f>Concentrations!F24/Concentrations!E24</f>
        <v>0.93002557825139121</v>
      </c>
    </row>
    <row r="25" spans="1:4">
      <c r="A25" s="164">
        <f>'Mass Balance'!I25</f>
        <v>1.7998803632721851E-5</v>
      </c>
      <c r="B25">
        <f>'Mass Balance'!E25</f>
        <v>1.113624539499112E-7</v>
      </c>
      <c r="C25">
        <f>SUM('Mass Balance'!E25:H25)</f>
        <v>1.0980417560049461E-5</v>
      </c>
      <c r="D25">
        <f>Concentrations!F25/Concentrations!E25</f>
        <v>1.0145869572868196E-2</v>
      </c>
    </row>
    <row r="26" spans="1:4">
      <c r="A26" s="164">
        <f>'Mass Balance'!I26</f>
        <v>1.2731441803049087E-6</v>
      </c>
      <c r="B26">
        <f>'Mass Balance'!E26</f>
        <v>9.1299655641829573E-6</v>
      </c>
      <c r="C26">
        <f>SUM('Mass Balance'!E26:H26)</f>
        <v>1.2239663203839296E-5</v>
      </c>
      <c r="D26">
        <f>Concentrations!F26/Concentrations!E26</f>
        <v>0.7462236522295177</v>
      </c>
    </row>
    <row r="27" spans="1:4">
      <c r="A27" s="164">
        <f>'Mass Balance'!I27</f>
        <v>6.1205531090249976E-7</v>
      </c>
      <c r="B27">
        <f>'Mass Balance'!E27</f>
        <v>8.7638427286053921E-7</v>
      </c>
      <c r="C27">
        <f>SUM('Mass Balance'!E27:H27)</f>
        <v>2.5169242575219271E-6</v>
      </c>
      <c r="D27">
        <f>Concentrations!F27/Concentrations!E27</f>
        <v>0.3483323159709637</v>
      </c>
    </row>
    <row r="28" spans="1:4">
      <c r="A28" s="164">
        <f>'Mass Balance'!I28</f>
        <v>2.5042182659477621E-7</v>
      </c>
      <c r="B28">
        <f>'Mass Balance'!E28</f>
        <v>1.3259000848082363E-6</v>
      </c>
      <c r="C28">
        <f>SUM('Mass Balance'!E28:H28)</f>
        <v>1.9483615748659192E-6</v>
      </c>
      <c r="D28">
        <f>Concentrations!F28/Concentrations!E28</f>
        <v>0.68078594465769404</v>
      </c>
    </row>
    <row r="29" spans="1:4">
      <c r="A29" s="164">
        <f>'Mass Balance'!I29</f>
        <v>3.2418928255168211E-9</v>
      </c>
      <c r="B29">
        <f>'Mass Balance'!E29</f>
        <v>2.3770602208208501E-6</v>
      </c>
      <c r="C29">
        <f>SUM('Mass Balance'!E29:H29)</f>
        <v>2.3822599546553611E-6</v>
      </c>
      <c r="D29">
        <f>Concentrations!F29/Concentrations!E29</f>
        <v>0.99820645128398888</v>
      </c>
    </row>
    <row r="30" spans="1:4">
      <c r="A30" s="164">
        <f>'Mass Balance'!I30</f>
        <v>8.8700272872536673E-8</v>
      </c>
      <c r="B30">
        <f>'Mass Balance'!E30</f>
        <v>5.0370068200664654E-7</v>
      </c>
      <c r="C30">
        <f>SUM('Mass Balance'!E30:H30)</f>
        <v>7.2329076566551176E-7</v>
      </c>
      <c r="D30">
        <f>Concentrations!F30/Concentrations!E30</f>
        <v>0.69667296359957631</v>
      </c>
    </row>
    <row r="31" spans="1:4">
      <c r="A31" s="164">
        <f>'Mass Balance'!I31</f>
        <v>1.4670285708606278E-9</v>
      </c>
      <c r="B31">
        <f>'Mass Balance'!E31</f>
        <v>1.7987520862027496E-8</v>
      </c>
      <c r="C31">
        <f>SUM('Mass Balance'!E31:H31)</f>
        <v>2.1460984156632761E-8</v>
      </c>
      <c r="D31">
        <f>Concentrations!F31/Concentrations!E31</f>
        <v>0.83847673156790348</v>
      </c>
    </row>
    <row r="32" spans="1:4">
      <c r="A32" s="164">
        <f>'Mass Balance'!I32</f>
        <v>3.297906391244783E-7</v>
      </c>
      <c r="B32">
        <f>'Mass Balance'!E32</f>
        <v>2.585816091708267E-5</v>
      </c>
      <c r="C32">
        <f>SUM('Mass Balance'!E32:H32)</f>
        <v>2.655330670491602E-5</v>
      </c>
      <c r="D32">
        <f>Concentrations!F32/Concentrations!E32</f>
        <v>0.97420052731428086</v>
      </c>
    </row>
    <row r="33" spans="1:4">
      <c r="A33" s="164">
        <f>'Mass Balance'!I33</f>
        <v>1.5926792826774555E-7</v>
      </c>
      <c r="B33">
        <f>'Mass Balance'!E33</f>
        <v>3.0332815850923051E-5</v>
      </c>
      <c r="C33">
        <f>SUM('Mass Balance'!E33:H33)</f>
        <v>3.0645057695847065E-5</v>
      </c>
      <c r="D33">
        <f>Concentrations!F33/Concentrations!E33</f>
        <v>0.99019703955724414</v>
      </c>
    </row>
    <row r="34" spans="1:4">
      <c r="A34" s="164">
        <f>'Mass Balance'!I34</f>
        <v>1.5159578314326104E-6</v>
      </c>
      <c r="B34">
        <f>'Mass Balance'!E34</f>
        <v>1.2504564911909126E-5</v>
      </c>
      <c r="C34">
        <f>SUM('Mass Balance'!E34:H34)</f>
        <v>1.617749973207108E-5</v>
      </c>
      <c r="D34">
        <f>Concentrations!F34/Concentrations!E34</f>
        <v>0.77326174005864801</v>
      </c>
    </row>
    <row r="35" spans="1:4">
      <c r="A35" s="164">
        <f>'Mass Balance'!I35</f>
        <v>4.027018749101676E-6</v>
      </c>
      <c r="B35">
        <f>'Mass Balance'!E35</f>
        <v>2.860966488212846E-6</v>
      </c>
      <c r="C35">
        <f>SUM('Mass Balance'!E35:H35)</f>
        <v>1.4103426944802275E-5</v>
      </c>
      <c r="D35">
        <f>Concentrations!F35/Concentrations!E35</f>
        <v>0.20293523365319427</v>
      </c>
    </row>
    <row r="36" spans="1:4">
      <c r="A36" s="164">
        <f>'Mass Balance'!I36</f>
        <v>9.5559608264675838E-6</v>
      </c>
      <c r="B36">
        <f>'Mass Balance'!E36</f>
        <v>6.7173077038977405E-7</v>
      </c>
      <c r="C36">
        <f>SUM('Mass Balance'!E36:H36)</f>
        <v>1.3287906364474149E-5</v>
      </c>
      <c r="D36">
        <f>Concentrations!F36/Concentrations!E36</f>
        <v>5.0571754617127318E-2</v>
      </c>
    </row>
    <row r="37" spans="1:4">
      <c r="A37" s="164">
        <f>'Mass Balance'!I37</f>
        <v>1.8839398738144669E-5</v>
      </c>
      <c r="B37">
        <f>'Mass Balance'!E37</f>
        <v>8.6026372700573928E-8</v>
      </c>
      <c r="C37">
        <f>SUM('Mass Balance'!E37:H37)</f>
        <v>1.0800855658863975E-5</v>
      </c>
      <c r="D37">
        <f>Concentrations!F37/Concentrations!E37</f>
        <v>7.9678800475457279E-3</v>
      </c>
    </row>
    <row r="38" spans="1:4">
      <c r="A38" s="164">
        <f>'Mass Balance'!I38</f>
        <v>1.2954307006713463E-5</v>
      </c>
      <c r="B38">
        <f>'Mass Balance'!E38</f>
        <v>3.4127945544715502E-7</v>
      </c>
      <c r="C38">
        <f>SUM('Mass Balance'!E38:H38)</f>
        <v>1.2005508384831863E-5</v>
      </c>
      <c r="D38">
        <f>Concentrations!F38/Concentrations!E38</f>
        <v>2.8437992026032605E-2</v>
      </c>
    </row>
    <row r="39" spans="1:4">
      <c r="A39" s="164">
        <f>'Mass Balance'!I39</f>
        <v>9.5608493667387785E-6</v>
      </c>
      <c r="B39">
        <f>'Mass Balance'!E39</f>
        <v>5.0773798118104837E-7</v>
      </c>
      <c r="C39">
        <f>SUM('Mass Balance'!E39:H39)</f>
        <v>1.1723278292893697E-5</v>
      </c>
      <c r="D39">
        <f>Concentrations!F39/Concentrations!E39</f>
        <v>4.3327129345484799E-2</v>
      </c>
    </row>
    <row r="40" spans="1:4">
      <c r="A40" s="164">
        <f>'Mass Balance'!I40</f>
        <v>1.2954307006713463E-5</v>
      </c>
      <c r="B40">
        <f>'Mass Balance'!E40</f>
        <v>3.4127945544715502E-7</v>
      </c>
      <c r="C40">
        <f>SUM('Mass Balance'!E40:H40)</f>
        <v>1.2005508384831863E-5</v>
      </c>
      <c r="D40">
        <f>Concentrations!F40/Concentrations!E40</f>
        <v>2.8437992026032605E-2</v>
      </c>
    </row>
    <row r="41" spans="1:4">
      <c r="A41" s="164">
        <f>'Mass Balance'!I41</f>
        <v>1.7220509800082498E-8</v>
      </c>
      <c r="B41">
        <f>'Mass Balance'!E41</f>
        <v>3.9786020984940458E-5</v>
      </c>
      <c r="C41">
        <f>SUM('Mass Balance'!E41:H41)</f>
        <v>3.9975285150398596E-5</v>
      </c>
      <c r="D41">
        <f>Concentrations!F41/Concentrations!E41</f>
        <v>0.99565361613967029</v>
      </c>
    </row>
    <row r="42" spans="1:4">
      <c r="A42" s="164">
        <f>'Mass Balance'!I42</f>
        <v>1.913516079274376E-5</v>
      </c>
      <c r="B42">
        <f>'Mass Balance'!E42</f>
        <v>7.7741701605960498E-8</v>
      </c>
      <c r="C42">
        <f>SUM('Mass Balance'!E42:H42)</f>
        <v>1.0733605057511662E-5</v>
      </c>
      <c r="D42">
        <f>Concentrations!F42/Concentrations!E42</f>
        <v>7.245656965541877E-3</v>
      </c>
    </row>
    <row r="43" spans="1:4">
      <c r="A43" s="164">
        <f>'Mass Balance'!I43</f>
        <v>7.4892273864516206E-7</v>
      </c>
      <c r="B43">
        <f>'Mass Balance'!E43</f>
        <v>1.9340840492357209E-5</v>
      </c>
      <c r="C43">
        <f>SUM('Mass Balance'!E43:H43)</f>
        <v>2.1037381431379729E-5</v>
      </c>
      <c r="D43">
        <f>Concentrations!F43/Concentrations!E43</f>
        <v>0.91971442972599593</v>
      </c>
    </row>
    <row r="44" spans="1:4">
      <c r="A44" s="164">
        <f>'Mass Balance'!I44</f>
        <v>7.2617418570725738E-6</v>
      </c>
      <c r="B44">
        <f>'Mass Balance'!E44</f>
        <v>1.0781958532590921E-6</v>
      </c>
      <c r="C44">
        <f>SUM('Mass Balance'!E44:H44)</f>
        <v>1.462786929295548E-5</v>
      </c>
      <c r="D44">
        <f>Concentrations!F44/Concentrations!E44</f>
        <v>7.3737078138436107E-2</v>
      </c>
    </row>
    <row r="45" spans="1:4">
      <c r="A45" s="164">
        <f>'Mass Balance'!I45</f>
        <v>2.1987992764692151E-5</v>
      </c>
      <c r="B45">
        <f>'Mass Balance'!E45</f>
        <v>3.4270107259095156E-8</v>
      </c>
      <c r="C45">
        <f>SUM('Mass Balance'!E45:H45)</f>
        <v>1.0709377684470384E-5</v>
      </c>
      <c r="D45">
        <f>Concentrations!F45/Concentrations!E45</f>
        <v>3.2012571914110171E-3</v>
      </c>
    </row>
    <row r="46" spans="1:4">
      <c r="A46" s="164">
        <f>'Mass Balance'!I46</f>
        <v>1.976182830369823E-5</v>
      </c>
      <c r="B46">
        <f>'Mass Balance'!E46</f>
        <v>6.9784309899505534E-8</v>
      </c>
      <c r="C46">
        <f>SUM('Mass Balance'!E46:H46)</f>
        <v>1.0814179910111962E-5</v>
      </c>
      <c r="D46">
        <f>Concentrations!F46/Concentrations!E46</f>
        <v>6.4555542634555886E-3</v>
      </c>
    </row>
    <row r="47" spans="1:4">
      <c r="A47" s="164">
        <f>'Mass Balance'!I47</f>
        <v>1.6428125959935132E-5</v>
      </c>
      <c r="B47">
        <f>'Mass Balance'!E47</f>
        <v>1.6220058673517178E-7</v>
      </c>
      <c r="C47">
        <f>SUM('Mass Balance'!E47:H47)</f>
        <v>1.1209421180774648E-5</v>
      </c>
      <c r="D47">
        <f>Concentrations!F47/Concentrations!E47</f>
        <v>1.4475666589305132E-2</v>
      </c>
    </row>
    <row r="48" spans="1:4">
      <c r="A48" s="164">
        <f>'Mass Balance'!I48</f>
        <v>2.8626698253115267E-6</v>
      </c>
      <c r="B48">
        <f>'Mass Balance'!E48</f>
        <v>6.2412373311165869E-6</v>
      </c>
      <c r="C48">
        <f>SUM('Mass Balance'!E48:H48)</f>
        <v>1.3730069763543367E-5</v>
      </c>
      <c r="D48">
        <f>Concentrations!F48/Concentrations!E48</f>
        <v>0.45474432916135366</v>
      </c>
    </row>
    <row r="49" spans="1:4">
      <c r="A49" s="164">
        <f>'Mass Balance'!I49</f>
        <v>7.6717864413927957E-6</v>
      </c>
      <c r="B49">
        <f>'Mass Balance'!E49</f>
        <v>9.9007016874479739E-7</v>
      </c>
      <c r="C49">
        <f>SUM('Mass Balance'!E49:H49)</f>
        <v>1.4363742674345912E-5</v>
      </c>
      <c r="D49">
        <f>Concentrations!F49/Concentrations!E49</f>
        <v>6.8955307170267266E-2</v>
      </c>
    </row>
    <row r="50" spans="1:4">
      <c r="A50" s="164">
        <f>'Mass Balance'!I50</f>
        <v>8.3741987528250956E-6</v>
      </c>
      <c r="B50">
        <f>'Mass Balance'!E50</f>
        <v>8.5552574709212057E-7</v>
      </c>
      <c r="C50">
        <f>SUM('Mass Balance'!E50:H50)</f>
        <v>1.3929939092366812E-5</v>
      </c>
      <c r="D50">
        <f>Concentrations!F50/Concentrations!E50</f>
        <v>6.1440282663387719E-2</v>
      </c>
    </row>
    <row r="51" spans="1:4">
      <c r="A51" s="164">
        <f>'Mass Balance'!I51</f>
        <v>3.4459366172296324E-6</v>
      </c>
      <c r="B51">
        <f>'Mass Balance'!E51</f>
        <v>4.6001927579174395E-6</v>
      </c>
      <c r="C51">
        <f>SUM('Mass Balance'!E51:H51)</f>
        <v>1.3874169721101651E-5</v>
      </c>
      <c r="D51">
        <f>Concentrations!F51/Concentrations!E51</f>
        <v>0.33169457264537172</v>
      </c>
    </row>
    <row r="52" spans="1:4">
      <c r="A52" s="164">
        <f>'Mass Balance'!I52</f>
        <v>2.9163982108151309E-6</v>
      </c>
      <c r="B52">
        <f>'Mass Balance'!E52</f>
        <v>6.0681928340270261E-6</v>
      </c>
      <c r="C52">
        <f>SUM('Mass Balance'!E52:H52)</f>
        <v>1.3718177444189665E-5</v>
      </c>
      <c r="D52">
        <f>Concentrations!F52/Concentrations!E52</f>
        <v>0.4425193802597488</v>
      </c>
    </row>
    <row r="53" spans="1:4">
      <c r="A53" s="164">
        <f>'Mass Balance'!I53</f>
        <v>1.0743446098005482E-5</v>
      </c>
      <c r="B53">
        <f>'Mass Balance'!E53</f>
        <v>5.3191500573705869E-7</v>
      </c>
      <c r="C53">
        <f>SUM('Mass Balance'!E53:H53)</f>
        <v>1.2780871693418097E-5</v>
      </c>
      <c r="D53">
        <f>Concentrations!F53/Concentrations!E53</f>
        <v>4.1634284508650303E-2</v>
      </c>
    </row>
    <row r="54" spans="1:4">
      <c r="A54" s="164">
        <f>'Mass Balance'!I54</f>
        <v>8.0201653501787474E-6</v>
      </c>
      <c r="B54">
        <f>'Mass Balance'!E54</f>
        <v>9.209012607219038E-7</v>
      </c>
      <c r="C54">
        <f>SUM('Mass Balance'!E54:H54)</f>
        <v>1.4145532225025554E-5</v>
      </c>
      <c r="D54">
        <f>Concentrations!F54/Concentrations!E54</f>
        <v>6.512730593821664E-2</v>
      </c>
    </row>
    <row r="55" spans="1:4">
      <c r="A55" s="164">
        <f>'Mass Balance'!I55</f>
        <v>1.625341491880497E-5</v>
      </c>
      <c r="B55">
        <f>'Mass Balance'!E55</f>
        <v>1.6815348879956517E-7</v>
      </c>
      <c r="C55">
        <f>SUM('Mass Balance'!E55:H55)</f>
        <v>1.1228007441308069E-5</v>
      </c>
      <c r="D55">
        <f>Concentrations!F55/Concentrations!E55</f>
        <v>1.4982094392090277E-2</v>
      </c>
    </row>
    <row r="56" spans="1:4">
      <c r="A56" s="164">
        <f>'Mass Balance'!I56</f>
        <v>7.3984162415006982E-6</v>
      </c>
      <c r="B56">
        <f>'Mass Balance'!E56</f>
        <v>1.0483344451795152E-6</v>
      </c>
      <c r="C56">
        <f>SUM('Mass Balance'!E56:H56)</f>
        <v>1.4541601746795374E-5</v>
      </c>
      <c r="D56">
        <f>Concentrations!F56/Concentrations!E56</f>
        <v>7.2120204192343523E-2</v>
      </c>
    </row>
    <row r="57" spans="1:4">
      <c r="A57" s="164">
        <f>'Mass Balance'!I57</f>
        <v>2.6044635600322526E-6</v>
      </c>
      <c r="B57">
        <f>'Mass Balance'!E57</f>
        <v>7.0065304221451935E-6</v>
      </c>
      <c r="C57">
        <f>SUM('Mass Balance'!E57:H57)</f>
        <v>1.3737792315330057E-5</v>
      </c>
      <c r="D57">
        <f>Concentrations!F57/Concentrations!E57</f>
        <v>0.51021756278682506</v>
      </c>
    </row>
    <row r="58" spans="1:4">
      <c r="A58" s="164">
        <f>'Mass Balance'!I58</f>
        <v>8.0908231632363306E-6</v>
      </c>
      <c r="B58">
        <f>'Mass Balance'!E58</f>
        <v>9.0755819971660786E-7</v>
      </c>
      <c r="C58">
        <f>SUM('Mass Balance'!E58:H58)</f>
        <v>1.4102685494334451E-5</v>
      </c>
      <c r="D58">
        <f>Concentrations!F58/Concentrations!E58</f>
        <v>6.4378670328433432E-2</v>
      </c>
    </row>
    <row r="59" spans="1:4">
      <c r="A59" s="164">
        <f>'Mass Balance'!I59</f>
        <v>2.917435372448198E-6</v>
      </c>
      <c r="B59">
        <f>'Mass Balance'!E59</f>
        <v>6.0703508715563885E-6</v>
      </c>
      <c r="C59">
        <f>SUM('Mass Balance'!E59:H59)</f>
        <v>1.3723056053450895E-5</v>
      </c>
      <c r="D59">
        <f>Concentrations!F59/Concentrations!E59</f>
        <v>0.4425193802597488</v>
      </c>
    </row>
    <row r="60" spans="1:4">
      <c r="A60" s="164">
        <f>'Mass Balance'!I60</f>
        <v>1.0017032305713696E-5</v>
      </c>
      <c r="B60">
        <f>'Mass Balance'!E60</f>
        <v>6.1202787157207802E-7</v>
      </c>
      <c r="C60">
        <f>SUM('Mass Balance'!E60:H60)</f>
        <v>1.3067533472846917E-5</v>
      </c>
      <c r="D60">
        <f>Concentrations!F60/Concentrations!E60</f>
        <v>4.6854026342393627E-2</v>
      </c>
    </row>
    <row r="61" spans="1:4">
      <c r="A61" s="164">
        <f>'Mass Balance'!I61</f>
        <v>2.8138362683154142E-6</v>
      </c>
      <c r="B61">
        <f>'Mass Balance'!E61</f>
        <v>1.9662115083674519E-5</v>
      </c>
      <c r="C61">
        <f>SUM('Mass Balance'!E61:H61)</f>
        <v>2.3344211621265584E-5</v>
      </c>
      <c r="D61">
        <f>Concentrations!F61/Concentrations!E61</f>
        <v>0.8425978769837803</v>
      </c>
    </row>
    <row r="62" spans="1:4">
      <c r="A62" s="164">
        <f>'Mass Balance'!I62</f>
        <v>1.439140821866649E-6</v>
      </c>
      <c r="B62">
        <f>'Mass Balance'!E62</f>
        <v>1.3031769058013789E-5</v>
      </c>
      <c r="C62">
        <f>SUM('Mass Balance'!E62:H62)</f>
        <v>1.6499798277837515E-5</v>
      </c>
      <c r="D62">
        <f>Concentrations!F62/Concentrations!E62</f>
        <v>0.79012186237772697</v>
      </c>
    </row>
    <row r="63" spans="1:4">
      <c r="A63" s="164">
        <f>'Mass Balance'!I63</f>
        <v>2.3844058863984744E-7</v>
      </c>
      <c r="B63">
        <f>'Mass Balance'!E63</f>
        <v>3.7972478636906993E-5</v>
      </c>
      <c r="C63">
        <f>SUM('Mass Balance'!E63:H63)</f>
        <v>3.8120636456342816E-5</v>
      </c>
      <c r="D63">
        <f>Concentrations!F63/Concentrations!E63</f>
        <v>0.99650192474120602</v>
      </c>
    </row>
    <row r="64" spans="1:4">
      <c r="A64" s="164">
        <f>'Mass Balance'!I64</f>
        <v>1.1968646779599859E-8</v>
      </c>
      <c r="B64">
        <f>'Mass Balance'!E64</f>
        <v>3.9763441577287768E-5</v>
      </c>
      <c r="C64">
        <f>SUM('Mass Balance'!E64:H64)</f>
        <v>3.9813059372609185E-5</v>
      </c>
      <c r="D64">
        <f>Concentrations!F64/Concentrations!E64</f>
        <v>0.99914323665702398</v>
      </c>
    </row>
    <row r="65" spans="1:4">
      <c r="A65" s="164">
        <f>'Mass Balance'!I65</f>
        <v>2.7485872195229895E-8</v>
      </c>
      <c r="B65">
        <f>'Mass Balance'!E65</f>
        <v>3.9888568853477393E-5</v>
      </c>
      <c r="C65">
        <f>SUM('Mass Balance'!E65:H65)</f>
        <v>3.9895213136660546E-5</v>
      </c>
      <c r="D65">
        <f>Concentrations!F65/Concentrations!E65</f>
        <v>1.0002233837153989</v>
      </c>
    </row>
    <row r="66" spans="1:4">
      <c r="A66" s="164">
        <f>'Mass Balance'!I66</f>
        <v>2.0921526717894932E-6</v>
      </c>
      <c r="B66">
        <f>'Mass Balance'!E66</f>
        <v>3.6138762332465232E-5</v>
      </c>
      <c r="C66">
        <f>SUM('Mass Balance'!E66:H66)</f>
        <v>3.7100205276768633E-5</v>
      </c>
      <c r="D66">
        <f>Concentrations!F66/Concentrations!E66</f>
        <v>0.97446512471319247</v>
      </c>
    </row>
    <row r="67" spans="1:4">
      <c r="A67" s="164">
        <f>'Mass Balance'!I67</f>
        <v>2.4261055994483171E-8</v>
      </c>
      <c r="B67">
        <f>'Mass Balance'!E67</f>
        <v>3.9883174065372709E-5</v>
      </c>
      <c r="C67">
        <f>SUM('Mass Balance'!E67:H67)</f>
        <v>3.9888830579001513E-5</v>
      </c>
      <c r="D67">
        <f>Concentrations!F67/Concentrations!E67</f>
        <v>1.0002481297752626</v>
      </c>
    </row>
    <row r="68" spans="1:4">
      <c r="A68" s="164">
        <f>'Mass Balance'!I68</f>
        <v>1.0370137975397502E-8</v>
      </c>
      <c r="B68">
        <f>'Mass Balance'!E68</f>
        <v>3.9953825669410984E-5</v>
      </c>
      <c r="C68">
        <f>SUM('Mass Balance'!E68:H68)</f>
        <v>3.9954512797708109E-5</v>
      </c>
      <c r="D68">
        <f>Concentrations!F68/Concentrations!E68</f>
        <v>1.0003727875631208</v>
      </c>
    </row>
    <row r="69" spans="1:4">
      <c r="A69" s="164">
        <f>'Mass Balance'!I69</f>
        <v>6.72366937854434E-6</v>
      </c>
      <c r="B69">
        <f>'Mass Balance'!E69</f>
        <v>1.211965232104507E-6</v>
      </c>
      <c r="C69">
        <f>SUM('Mass Balance'!E69:H69)</f>
        <v>1.5024984649332395E-5</v>
      </c>
      <c r="D69">
        <f>Concentrations!F69/Concentrations!E69</f>
        <v>8.0694783867548553E-2</v>
      </c>
    </row>
    <row r="70" spans="1:4">
      <c r="A70" s="164">
        <f>'Mass Balance'!I70</f>
        <v>1.4251270197118819E-8</v>
      </c>
      <c r="B70">
        <f>'Mass Balance'!E70</f>
        <v>3.9859487718850223E-5</v>
      </c>
      <c r="C70">
        <f>SUM('Mass Balance'!E70:H70)</f>
        <v>3.9983420882333712E-5</v>
      </c>
      <c r="D70">
        <f>Concentrations!F70/Concentrations!E70</f>
        <v>0.99728916940116075</v>
      </c>
    </row>
    <row r="71" spans="1:4">
      <c r="A71" s="164">
        <f>'Mass Balance'!I71</f>
        <v>1.9240295201314801E-8</v>
      </c>
      <c r="B71">
        <f>'Mass Balance'!E71</f>
        <v>3.9740763540753338E-5</v>
      </c>
      <c r="C71">
        <f>SUM('Mass Balance'!E71:H71)</f>
        <v>3.997749186512903E-5</v>
      </c>
      <c r="D71">
        <f>Concentrations!F71/Concentrations!E71</f>
        <v>0.99446614250097476</v>
      </c>
    </row>
    <row r="72" spans="1:4">
      <c r="A72" s="164">
        <f>'Mass Balance'!I72</f>
        <v>8.0229859880599535E-6</v>
      </c>
      <c r="B72">
        <f>'Mass Balance'!E72</f>
        <v>1.2067386151186905E-6</v>
      </c>
      <c r="C72">
        <f>SUM('Mass Balance'!E72:H72)</f>
        <v>3.1949804196254554E-5</v>
      </c>
      <c r="D72">
        <f>Concentrations!F72/Concentrations!E72</f>
        <v>3.7784558119696519E-2</v>
      </c>
    </row>
    <row r="73" spans="1:4">
      <c r="A73" s="164">
        <f>'Mass Balance'!I73</f>
        <v>8.9619484502574369E-7</v>
      </c>
      <c r="B73">
        <f>'Mass Balance'!E73</f>
        <v>1.0679098967397707E-5</v>
      </c>
      <c r="C73">
        <f>SUM('Mass Balance'!E73:H73)</f>
        <v>3.9082756346301639E-5</v>
      </c>
      <c r="D73">
        <f>Concentrations!F73/Concentrations!E73</f>
        <v>0.27334980256430963</v>
      </c>
    </row>
    <row r="74" spans="1:4">
      <c r="A74" s="164">
        <f>'Mass Balance'!I74</f>
        <v>1.8264670964726669E-8</v>
      </c>
      <c r="B74">
        <f>'Mass Balance'!E74</f>
        <v>3.9764318885858007E-5</v>
      </c>
      <c r="C74">
        <f>SUM('Mass Balance'!E74:H74)</f>
        <v>3.9978641371714259E-5</v>
      </c>
      <c r="D74">
        <f>Concentrations!F74/Concentrations!E74</f>
        <v>0.99502697662021289</v>
      </c>
    </row>
    <row r="75" spans="1:4">
      <c r="A75" s="164">
        <f>'Mass Balance'!I75</f>
        <v>8.6244604345927772E-7</v>
      </c>
      <c r="B75">
        <f>'Mass Balance'!E75</f>
        <v>1.2100235042763516E-5</v>
      </c>
      <c r="C75">
        <f>SUM('Mass Balance'!E75:H75)</f>
        <v>3.9115783337064309E-5</v>
      </c>
      <c r="D75">
        <f>Concentrations!F75/Concentrations!E75</f>
        <v>0.30946469699293006</v>
      </c>
    </row>
    <row r="76" spans="1:4">
      <c r="A76" s="164">
        <f>'Mass Balance'!I76</f>
        <v>1.7436753774947122E-7</v>
      </c>
      <c r="B76">
        <f>'Mass Balance'!E76</f>
        <v>3.5458537647121964E-5</v>
      </c>
      <c r="C76">
        <f>SUM('Mass Balance'!E76:H76)</f>
        <v>3.9811520464332441E-5</v>
      </c>
      <c r="D76">
        <f>Concentrations!F76/Concentrations!E76</f>
        <v>0.89100757219607418</v>
      </c>
    </row>
    <row r="77" spans="1:4">
      <c r="A77" s="164">
        <f>'Mass Balance'!I77</f>
        <v>8.8698132540116429E-7</v>
      </c>
      <c r="B77">
        <f>'Mass Balance'!E77</f>
        <v>1.107414506590569E-5</v>
      </c>
      <c r="C77">
        <f>SUM('Mass Balance'!E77:H77)</f>
        <v>3.9091686995717769E-5</v>
      </c>
      <c r="D77">
        <f>Concentrations!F77/Concentrations!E77</f>
        <v>0.28339692516937942</v>
      </c>
    </row>
    <row r="78" spans="1:4">
      <c r="A78" s="164">
        <f>'Mass Balance'!I78</f>
        <v>6.9255519638688573E-6</v>
      </c>
      <c r="B78">
        <f>'Mass Balance'!E78</f>
        <v>1.3792614740165371E-6</v>
      </c>
      <c r="C78">
        <f>SUM('Mass Balance'!E78:H78)</f>
        <v>3.3047850479226883E-5</v>
      </c>
      <c r="D78">
        <f>Concentrations!F78/Concentrations!E78</f>
        <v>4.1751561901800516E-2</v>
      </c>
    </row>
    <row r="79" spans="1:4">
      <c r="A79" s="164">
        <f>'Mass Balance'!I79</f>
        <v>6.9255494648748867E-6</v>
      </c>
      <c r="B79">
        <f>'Mass Balance'!E79</f>
        <v>1.3792618435749224E-6</v>
      </c>
      <c r="C79">
        <f>SUM('Mass Balance'!E79:H79)</f>
        <v>3.304785740080927E-5</v>
      </c>
      <c r="D79">
        <f>Concentrations!F79/Concentrations!E79</f>
        <v>4.1751564344186823E-2</v>
      </c>
    </row>
    <row r="80" spans="1:4">
      <c r="A80" s="164">
        <f>'Mass Balance'!I80</f>
        <v>4.6602142197570991E-7</v>
      </c>
      <c r="B80">
        <f>'Mass Balance'!E80</f>
        <v>2.6376808998953917E-5</v>
      </c>
      <c r="C80">
        <f>SUM('Mass Balance'!E80:H80)</f>
        <v>3.9512266570352052E-5</v>
      </c>
      <c r="D80">
        <f>Concentrations!F80/Concentrations!E80</f>
        <v>0.66782035136800788</v>
      </c>
    </row>
    <row r="81" spans="1:4">
      <c r="A81" s="164">
        <f>'Mass Balance'!I81</f>
        <v>4.8209637859904453E-8</v>
      </c>
      <c r="B81">
        <f>'Mass Balance'!E81</f>
        <v>3.9002693572167435E-5</v>
      </c>
      <c r="C81">
        <f>SUM('Mass Balance'!E81:H81)</f>
        <v>3.9945157297112189E-5</v>
      </c>
      <c r="D81">
        <f>Concentrations!F81/Concentrations!E81</f>
        <v>0.97678684857263531</v>
      </c>
    </row>
    <row r="82" spans="1:4">
      <c r="A82" s="164">
        <f>'Mass Balance'!I82</f>
        <v>1.0385235713414937E-7</v>
      </c>
      <c r="B82">
        <f>'Mass Balance'!E82</f>
        <v>3.7483680368159164E-5</v>
      </c>
      <c r="C82">
        <f>SUM('Mass Balance'!E82:H82)</f>
        <v>3.9885552055601653E-5</v>
      </c>
      <c r="D82">
        <f>Concentrations!F82/Concentrations!E82</f>
        <v>0.94014741610326824</v>
      </c>
    </row>
    <row r="83" spans="1:4">
      <c r="A83" s="164">
        <f>'Mass Balance'!I83</f>
        <v>1.1665822501372447E-5</v>
      </c>
      <c r="B83">
        <f>'Mass Balance'!E83</f>
        <v>8.1081433630871783E-7</v>
      </c>
      <c r="C83">
        <f>SUM('Mass Balance'!E83:H83)</f>
        <v>2.8306070529476461E-5</v>
      </c>
      <c r="D83">
        <f>Concentrations!F83/Concentrations!E83</f>
        <v>2.8655709968526479E-2</v>
      </c>
    </row>
    <row r="84" spans="1:4">
      <c r="A84" s="164">
        <f>'Mass Balance'!I84</f>
        <v>9.7213164264958193E-7</v>
      </c>
      <c r="B84">
        <f>'Mass Balance'!E84</f>
        <v>1.6904891885460765E-5</v>
      </c>
      <c r="C84">
        <f>SUM('Mass Balance'!E84:H84)</f>
        <v>1.9159823406210478E-5</v>
      </c>
      <c r="D84">
        <f>Concentrations!F84/Concentrations!E84</f>
        <v>0.88265347232576208</v>
      </c>
    </row>
    <row r="85" spans="1:4">
      <c r="A85" s="164">
        <f>'Mass Balance'!I85</f>
        <v>3.0503185994833439E-5</v>
      </c>
      <c r="B85">
        <f>'Mass Balance'!E85</f>
        <v>3.2125429668880716E-6</v>
      </c>
      <c r="C85">
        <f>SUM('Mass Balance'!E85:H85)</f>
        <v>8.5070500939488272E-6</v>
      </c>
      <c r="D85">
        <f>Concentrations!F85/Concentrations!E85</f>
        <v>0.37778028782758</v>
      </c>
    </row>
    <row r="86" spans="1:4">
      <c r="A86" s="164">
        <f>'Mass Balance'!I86</f>
        <v>2.1394257360984783E-5</v>
      </c>
      <c r="B86">
        <f>'Mass Balance'!E86</f>
        <v>4.2122422307114196E-8</v>
      </c>
      <c r="C86">
        <f>SUM('Mass Balance'!E86:H86)</f>
        <v>1.0725059168808602E-5</v>
      </c>
      <c r="D86">
        <f>Concentrations!F86/Concentrations!E86</f>
        <v>3.9290086006088312E-3</v>
      </c>
    </row>
    <row r="87" spans="1:4">
      <c r="A87" s="164">
        <f>'Mass Balance'!I87</f>
        <v>2.4054236965687226E-5</v>
      </c>
      <c r="B87">
        <f>'Mass Balance'!E87</f>
        <v>1.438220184198773E-8</v>
      </c>
      <c r="C87">
        <f>SUM('Mass Balance'!E87:H87)</f>
        <v>1.0716999906743889E-5</v>
      </c>
      <c r="D87">
        <f>Concentrations!F87/Concentrations!E87</f>
        <v>1.3425222460896711E-3</v>
      </c>
    </row>
    <row r="88" spans="1:4">
      <c r="A88" s="164">
        <f>'Mass Balance'!I88</f>
        <v>2.6076670543298972E-5</v>
      </c>
      <c r="B88">
        <f>'Mass Balance'!E88</f>
        <v>4.0202727874504515E-9</v>
      </c>
      <c r="C88">
        <f>SUM('Mass Balance'!E88:H88)</f>
        <v>1.081100665976547E-5</v>
      </c>
      <c r="D88">
        <f>Concentrations!F88/Concentrations!E88</f>
        <v>3.7201352181030859E-4</v>
      </c>
    </row>
    <row r="89" spans="1:4">
      <c r="A89" s="164">
        <f>'Mass Balance'!I89</f>
        <v>3.8610170938280151E-5</v>
      </c>
      <c r="B89">
        <f>'Mass Balance'!E89</f>
        <v>2.5499940892295914E-8</v>
      </c>
      <c r="C89">
        <f>SUM('Mass Balance'!E89:H89)</f>
        <v>1.071232562957165E-6</v>
      </c>
      <c r="D89">
        <f>Concentrations!F89/Concentrations!E89</f>
        <v>2.3813583108137883E-2</v>
      </c>
    </row>
    <row r="90" spans="1:4">
      <c r="A90" s="164">
        <f>'Mass Balance'!I90</f>
        <v>1.072516084936805E-8</v>
      </c>
      <c r="B90">
        <f>'Mass Balance'!E90</f>
        <v>3.8982045797197977E-5</v>
      </c>
      <c r="C90">
        <f>SUM('Mass Balance'!E90:H90)</f>
        <v>3.8986930146217199E-5</v>
      </c>
      <c r="D90">
        <f>Concentrations!F90/Concentrations!E90</f>
        <v>1.0002646614722239</v>
      </c>
    </row>
    <row r="91" spans="1:4">
      <c r="A91" s="164">
        <f>'Mass Balance'!I91</f>
        <v>1.5327293932474443E-7</v>
      </c>
      <c r="B91">
        <f>'Mass Balance'!E91</f>
        <v>3.0530161976347964E-5</v>
      </c>
      <c r="C91">
        <f>SUM('Mass Balance'!E91:H91)</f>
        <v>3.0829345863930519E-5</v>
      </c>
      <c r="D91">
        <f>Concentrations!F91/Concentrations!E91</f>
        <v>0.99068169111119397</v>
      </c>
    </row>
    <row r="92" spans="1:4">
      <c r="A92" s="164">
        <f>'Mass Balance'!I92</f>
        <v>1.8917148830489754E-6</v>
      </c>
      <c r="B92">
        <f>'Mass Balance'!E92</f>
        <v>1.025252626788676E-5</v>
      </c>
      <c r="C92">
        <f>SUM('Mass Balance'!E92:H92)</f>
        <v>1.4948350868931021E-5</v>
      </c>
      <c r="D92">
        <f>Concentrations!F92/Concentrations!E92</f>
        <v>0.68613084890735798</v>
      </c>
    </row>
    <row r="93" spans="1:4">
      <c r="A93" s="164">
        <f>'Mass Balance'!I93</f>
        <v>9.2336588151152556E-9</v>
      </c>
      <c r="B93">
        <f>'Mass Balance'!E93</f>
        <v>3.9967180567692131E-5</v>
      </c>
      <c r="C93">
        <f>SUM('Mass Balance'!E93:H93)</f>
        <v>3.9984645055976911E-5</v>
      </c>
      <c r="D93">
        <f>Concentrations!F93/Concentrations!E93</f>
        <v>0.99995304181843969</v>
      </c>
    </row>
    <row r="94" spans="1:4">
      <c r="A94" s="164">
        <f>'Mass Balance'!I94</f>
        <v>8.5548163851099753E-9</v>
      </c>
      <c r="B94">
        <f>'Mass Balance'!E94</f>
        <v>3.9991223170402375E-5</v>
      </c>
      <c r="C94">
        <f>SUM('Mass Balance'!E94:H94)</f>
        <v>3.9991290915024726E-5</v>
      </c>
      <c r="D94">
        <f>Concentrations!F94/Concentrations!E94</f>
        <v>1.0003882973894693</v>
      </c>
    </row>
    <row r="95" spans="1:4">
      <c r="A95" s="164">
        <f>'Mass Balance'!I95</f>
        <v>1.9456508878497639E-8</v>
      </c>
      <c r="B95">
        <f>'Mass Balance'!E95</f>
        <v>3.764176308550444E-5</v>
      </c>
      <c r="C95">
        <f>SUM('Mass Balance'!E95:H95)</f>
        <v>3.7661914421132277E-5</v>
      </c>
      <c r="D95">
        <f>Concentrations!F95/Concentrations!E95</f>
        <v>0.99985472464838165</v>
      </c>
    </row>
    <row r="96" spans="1:4">
      <c r="A96" s="164">
        <f>'Mass Balance'!I96</f>
        <v>2.0173857248583596E-5</v>
      </c>
      <c r="B96">
        <f>'Mass Balance'!E96</f>
        <v>6.1919616761984895E-8</v>
      </c>
      <c r="C96">
        <f>SUM('Mass Balance'!E96:H96)</f>
        <v>1.0786083598176085E-5</v>
      </c>
      <c r="D96">
        <f>Concentrations!F96/Concentrations!E96</f>
        <v>5.7429338791492078E-3</v>
      </c>
    </row>
    <row r="97" spans="1:4">
      <c r="A97" s="164">
        <f>'Mass Balance'!I97</f>
        <v>2.8038248913949574E-7</v>
      </c>
      <c r="B97">
        <f>'Mass Balance'!E97</f>
        <v>2.7026925905706722E-5</v>
      </c>
      <c r="C97">
        <f>SUM('Mass Balance'!E97:H97)</f>
        <v>2.7609074755358763E-5</v>
      </c>
      <c r="D97">
        <f>Concentrations!F97/Concentrations!E97</f>
        <v>0.97929635205464494</v>
      </c>
    </row>
    <row r="98" spans="1:4">
      <c r="A98" s="164">
        <f>'Mass Balance'!I98</f>
        <v>1.719554120560308E-7</v>
      </c>
      <c r="B98">
        <f>'Mass Balance'!E98</f>
        <v>2.9932008609493724E-5</v>
      </c>
      <c r="C98">
        <f>SUM('Mass Balance'!E98:H98)</f>
        <v>3.0271990531740674E-5</v>
      </c>
      <c r="D98">
        <f>Concentrations!F98/Concentrations!E98</f>
        <v>0.98915470467762656</v>
      </c>
    </row>
    <row r="99" spans="1:4">
      <c r="A99" s="164">
        <f>'Mass Balance'!I99</f>
        <v>4.8868891796858627E-8</v>
      </c>
      <c r="B99">
        <f>'Mass Balance'!E99</f>
        <v>3.5127454392584151E-5</v>
      </c>
      <c r="C99">
        <f>SUM('Mass Balance'!E99:H99)</f>
        <v>3.5206205423178998E-5</v>
      </c>
      <c r="D99">
        <f>Concentrations!F99/Concentrations!E99</f>
        <v>0.9981522688285277</v>
      </c>
    </row>
    <row r="100" spans="1:4">
      <c r="A100" s="164">
        <f>'Mass Balance'!I100</f>
        <v>1.1391699368518716E-5</v>
      </c>
      <c r="B100">
        <f>'Mass Balance'!E100</f>
        <v>4.6784446196824111E-7</v>
      </c>
      <c r="C100">
        <f>SUM('Mass Balance'!E100:H100)</f>
        <v>1.2532063014266163E-5</v>
      </c>
      <c r="D100">
        <f>Concentrations!F100/Concentrations!E100</f>
        <v>3.7346358460614348E-2</v>
      </c>
    </row>
    <row r="101" spans="1:4">
      <c r="A101" s="164">
        <f>'Mass Balance'!I101</f>
        <v>1.4966618533873473E-6</v>
      </c>
      <c r="B101">
        <f>'Mass Balance'!E101</f>
        <v>1.2636751364407162E-5</v>
      </c>
      <c r="C101">
        <f>SUM('Mass Balance'!E101:H101)</f>
        <v>1.6258042447804148E-5</v>
      </c>
      <c r="D101">
        <f>Concentrations!F101/Concentrations!E101</f>
        <v>0.77756468144100499</v>
      </c>
    </row>
    <row r="102" spans="1:4">
      <c r="A102" s="164">
        <f>'Mass Balance'!I102</f>
        <v>3.4161398864780466E-6</v>
      </c>
      <c r="B102">
        <f>'Mass Balance'!E102</f>
        <v>4.6682006433735605E-6</v>
      </c>
      <c r="C102">
        <f>SUM('Mass Balance'!E102:H102)</f>
        <v>1.3849554383074839E-5</v>
      </c>
      <c r="D102">
        <f>Concentrations!F102/Concentrations!E102</f>
        <v>0.33719649566104481</v>
      </c>
    </row>
    <row r="103" spans="1:4">
      <c r="A103" s="164">
        <f>'Mass Balance'!I103</f>
        <v>2.8801614025229513E-8</v>
      </c>
      <c r="B103">
        <f>'Mass Balance'!E103</f>
        <v>3.9503767919255092E-5</v>
      </c>
      <c r="C103">
        <f>SUM('Mass Balance'!E103:H103)</f>
        <v>3.9966016105546038E-5</v>
      </c>
      <c r="D103">
        <f>Concentrations!F103/Concentrations!E103</f>
        <v>0.98881945024768436</v>
      </c>
    </row>
    <row r="104" spans="1:4">
      <c r="A104" s="164">
        <f>'Mass Balance'!I104</f>
        <v>1.5580157986404171E-6</v>
      </c>
      <c r="B104">
        <f>'Mass Balance'!E104</f>
        <v>3.8724143083934309E-6</v>
      </c>
      <c r="C104">
        <f>SUM('Mass Balance'!E104:H104)</f>
        <v>3.8201007726256574E-5</v>
      </c>
      <c r="D104">
        <f>Concentrations!F104/Concentrations!E104</f>
        <v>0.10140896143075608</v>
      </c>
    </row>
    <row r="105" spans="1:4">
      <c r="A105" s="164">
        <f>'Mass Balance'!I105</f>
        <v>1.127988871089688E-8</v>
      </c>
      <c r="B105">
        <f>'Mass Balance'!E105</f>
        <v>3.8782032344997952E-5</v>
      </c>
      <c r="C105">
        <f>SUM('Mass Balance'!E105:H105)</f>
        <v>3.878747037354325E-5</v>
      </c>
      <c r="D105">
        <f>Concentrations!F105/Concentrations!E105</f>
        <v>1.0002497367076915</v>
      </c>
    </row>
    <row r="106" spans="1:4">
      <c r="A106" s="164">
        <f>'Mass Balance'!I106</f>
        <v>2.0292875534821435E-8</v>
      </c>
      <c r="B106">
        <f>'Mass Balance'!E106</f>
        <v>3.7530133030257208E-5</v>
      </c>
      <c r="C106">
        <f>SUM('Mass Balance'!E106:H106)</f>
        <v>3.7551956792492626E-5</v>
      </c>
      <c r="D106">
        <f>Concentrations!F106/Concentrations!E106</f>
        <v>0.99980860360114365</v>
      </c>
    </row>
    <row r="107" spans="1:4">
      <c r="A107" s="164">
        <f>'Mass Balance'!I107</f>
        <v>4.6901994543844119E-6</v>
      </c>
      <c r="B107">
        <f>'Mass Balance'!E107</f>
        <v>3.0628027329316328E-6</v>
      </c>
      <c r="C107">
        <f>SUM('Mass Balance'!E107:H107)</f>
        <v>1.527562412481151E-5</v>
      </c>
      <c r="D107">
        <f>Concentrations!F107/Concentrations!E107</f>
        <v>0.20058081925595375</v>
      </c>
    </row>
    <row r="108" spans="1:4">
      <c r="A108" s="164">
        <f>'Mass Balance'!I108</f>
        <v>8.4078475213988325E-9</v>
      </c>
      <c r="B108">
        <f>'Mass Balance'!E108</f>
        <v>3.998934064342687E-5</v>
      </c>
      <c r="C108">
        <f>SUM('Mass Balance'!E108:H108)</f>
        <v>3.9989376700318013E-5</v>
      </c>
      <c r="D108">
        <f>Concentrations!F108/Concentrations!E108</f>
        <v>1.0003890900211099</v>
      </c>
    </row>
    <row r="109" spans="1:4">
      <c r="A109" s="164">
        <f>'Mass Balance'!I109</f>
        <v>5.5244042651613127E-7</v>
      </c>
      <c r="B109">
        <f>'Mass Balance'!E109</f>
        <v>3.8437462354090043E-5</v>
      </c>
      <c r="C109">
        <f>SUM('Mass Balance'!E109:H109)</f>
        <v>3.8689407140761848E-5</v>
      </c>
      <c r="D109">
        <f>Concentrations!F109/Concentrations!E109</f>
        <v>0.99387546876421717</v>
      </c>
    </row>
    <row r="110" spans="1:4">
      <c r="A110" s="164">
        <f>'Mass Balance'!I110</f>
        <v>8.5986565938887775E-9</v>
      </c>
      <c r="B110">
        <f>'Mass Balance'!E110</f>
        <v>3.9740924866623806E-5</v>
      </c>
      <c r="C110">
        <f>SUM('Mass Balance'!E110:H110)</f>
        <v>3.9741992597843577E-5</v>
      </c>
      <c r="D110">
        <f>Concentrations!F110/Concentrations!E110</f>
        <v>1.0003631149818706</v>
      </c>
    </row>
    <row r="111" spans="1:4">
      <c r="A111" s="164">
        <f>'Mass Balance'!I111</f>
        <v>8.2560238037619932E-9</v>
      </c>
      <c r="B111">
        <f>'Mass Balance'!E111</f>
        <v>3.9991456275579721E-5</v>
      </c>
      <c r="C111">
        <f>SUM('Mass Balance'!E111:H111)</f>
        <v>3.999152000800192E-5</v>
      </c>
      <c r="D111">
        <f>Concentrations!F111/Concentrations!E111</f>
        <v>1.0003883977645762</v>
      </c>
    </row>
    <row r="112" spans="1:4">
      <c r="A112" s="164">
        <f>'Mass Balance'!I112</f>
        <v>8.4899570738115328E-9</v>
      </c>
      <c r="B112">
        <f>'Mass Balance'!E112</f>
        <v>3.9667989306980349E-5</v>
      </c>
      <c r="C112">
        <f>SUM('Mass Balance'!E112:H112)</f>
        <v>3.9668442801181884E-5</v>
      </c>
      <c r="D112">
        <f>Concentrations!F112/Concentrations!E112</f>
        <v>1.0003785554610216</v>
      </c>
    </row>
    <row r="113" spans="1:4">
      <c r="A113" s="164">
        <f>'Mass Balance'!I113</f>
        <v>1.4845946690847307E-8</v>
      </c>
      <c r="B113">
        <f>'Mass Balance'!E113</f>
        <v>3.8156174496245712E-5</v>
      </c>
      <c r="C113">
        <f>SUM('Mass Balance'!E113:H113)</f>
        <v>3.8168184750228853E-5</v>
      </c>
      <c r="D113">
        <f>Concentrations!F113/Concentrations!E113</f>
        <v>1.0000752026892545</v>
      </c>
    </row>
    <row r="114" spans="1:4">
      <c r="A114" s="164">
        <f>'Mass Balance'!I114</f>
        <v>8.3115385065672338E-9</v>
      </c>
      <c r="B114">
        <f>'Mass Balance'!E114</f>
        <v>3.9824058336398717E-5</v>
      </c>
      <c r="C114">
        <f>SUM('Mass Balance'!E114:H114)</f>
        <v>3.9824193672494637E-5</v>
      </c>
      <c r="D114">
        <f>Concentrations!F114/Concentrations!E114</f>
        <v>1.0003865923705357</v>
      </c>
    </row>
    <row r="115" spans="1:4">
      <c r="A115" s="164">
        <f>'Mass Balance'!I115</f>
        <v>1.3722442897039943E-8</v>
      </c>
      <c r="B115">
        <f>'Mass Balance'!E115</f>
        <v>3.9871339566266874E-5</v>
      </c>
      <c r="C115">
        <f>SUM('Mass Balance'!E115:H115)</f>
        <v>3.9983512323226011E-5</v>
      </c>
      <c r="D115">
        <f>Concentrations!F115/Concentrations!E115</f>
        <v>0.99758342260323307</v>
      </c>
    </row>
    <row r="116" spans="1:4">
      <c r="A116" s="164">
        <f>'Mass Balance'!I116</f>
        <v>1.5220913682670968E-5</v>
      </c>
      <c r="B116">
        <f>'Mass Balance'!E116</f>
        <v>1.4011204887551446E-5</v>
      </c>
      <c r="C116">
        <f>SUM('Mass Balance'!E116:H116)</f>
        <v>2.2777708457595864E-5</v>
      </c>
      <c r="D116">
        <f>Concentrations!F116/Concentrations!E116</f>
        <v>0.61536783526514116</v>
      </c>
    </row>
    <row r="117" spans="1:4">
      <c r="A117" s="164">
        <f>'Mass Balance'!I117</f>
        <v>4.7915941315598456E-7</v>
      </c>
      <c r="B117">
        <f>'Mass Balance'!E117</f>
        <v>2.3145889705368935E-5</v>
      </c>
      <c r="C117">
        <f>SUM('Mass Balance'!E117:H117)</f>
        <v>2.4189624106926677E-5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2025-02-02T13:56:35Z</dcterms:modified>
</cp:coreProperties>
</file>