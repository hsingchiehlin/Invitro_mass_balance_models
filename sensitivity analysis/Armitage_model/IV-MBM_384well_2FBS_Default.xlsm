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A1FF2CBF-3AE1-400F-92D9-E67FF5D4555C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<sst xmlns="http://schemas.openxmlformats.org/spreadsheetml/2006/main" count="2915" uniqueCount="495">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</sst>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38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4.75</v>
      </c>
      <c r="K5" s="136">
        <v>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1.9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0.95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0.47499999999999998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0.1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0.08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2.8000000000000001E-2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1.55E-2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0.01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1.15E-2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6.0000000000000001E-3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0.1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7" ht="13.15">
      <c r="A1" s="74" t="s">
        <v>132</v>
      </c>
      <c r="B1" s="75"/>
      <c r="F1" s="74" t="s">
        <v>131</v>
      </c>
      <c r="I1" s="76"/>
    </row>
    <row r="2" spans="1:17" ht="13.15" thickBot="1">
      <c r="B2" s="75"/>
      <c r="I2" s="76"/>
    </row>
    <row r="3" spans="1:17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7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7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7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7" ht="13.15" thickBot="1">
      <c r="B7" s="87"/>
      <c r="I7" s="76"/>
    </row>
    <row r="8" spans="1:17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7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5.0000000000000001E-3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7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2.4999999999999998E-2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7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0.1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7" ht="13.15" thickBot="1">
      <c r="A12" s="76" t="s">
        <v>22</v>
      </c>
      <c r="B12" s="138">
        <f>G13/1000000/G12*1000000</f>
        <v>2.8000000000000001E-2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7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2.8000000000000001E-2</v>
      </c>
      <c r="H13" s="75" t="s">
        <v>16</v>
      </c>
      <c r="K13" s="75"/>
      <c r="L13" s="76"/>
      <c r="M13" s="75"/>
    </row>
    <row r="14" spans="1:17" ht="13.15" thickBot="1">
      <c r="C14" s="76"/>
      <c r="D14" s="76"/>
      <c r="E14" s="76"/>
      <c r="F14" s="102" t="s">
        <v>164</v>
      </c>
      <c r="G14" s="88">
        <v>7.4</v>
      </c>
    </row>
    <row r="15" spans="1:17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7" ht="15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  <c r="O16"/>
      <c r="P16"/>
      <c r="Q16"/>
    </row>
    <row r="17" spans="1:17" ht="15.4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  <c r="O17"/>
      <c r="P17"/>
      <c r="Q17"/>
    </row>
    <row r="18" spans="1:17" ht="15">
      <c r="C18" s="76"/>
      <c r="D18" s="76"/>
      <c r="E18" s="76"/>
      <c r="K18" s="75"/>
      <c r="O18"/>
      <c r="P18"/>
      <c r="Q18"/>
    </row>
    <row r="19" spans="1:17" ht="13.15">
      <c r="A19" s="93" t="s">
        <v>15</v>
      </c>
      <c r="C19" s="76"/>
      <c r="D19" s="76"/>
      <c r="E19" s="76"/>
    </row>
    <row r="20" spans="1:17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7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6.9999999999999999E-4</v>
      </c>
      <c r="K21" s="76" t="s">
        <v>125</v>
      </c>
      <c r="M21" s="75"/>
    </row>
    <row r="22" spans="1:17" ht="13.15" thickBot="1">
      <c r="A22" s="75"/>
      <c r="C22" s="76"/>
      <c r="F22" s="102" t="s">
        <v>164</v>
      </c>
      <c r="G22" s="88">
        <v>7.4</v>
      </c>
      <c r="J22" s="95">
        <f>B12*(G9+G10)/B6</f>
        <v>2.1000000000000002E-5</v>
      </c>
      <c r="K22" s="78" t="s">
        <v>126</v>
      </c>
      <c r="L22" s="96"/>
    </row>
    <row r="23" spans="1:17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7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7">
      <c r="C25" s="96"/>
      <c r="F25" s="76" t="s">
        <v>137</v>
      </c>
    </row>
    <row r="26" spans="1:17">
      <c r="B26" s="75"/>
      <c r="F26" s="98" t="s">
        <v>152</v>
      </c>
      <c r="G26" s="76" t="b">
        <v>0</v>
      </c>
    </row>
    <row r="27" spans="1:17" ht="13.15">
      <c r="C27" s="96"/>
      <c r="F27" s="74"/>
      <c r="G27" s="75"/>
      <c r="H27" s="75"/>
      <c r="J27" s="99"/>
    </row>
    <row r="28" spans="1:17" ht="13.15">
      <c r="B28" s="100"/>
      <c r="C28" s="96"/>
      <c r="F28" s="6" t="s">
        <v>269</v>
      </c>
      <c r="G28" s="75"/>
      <c r="H28" s="75"/>
      <c r="J28" s="99"/>
    </row>
    <row r="29" spans="1:17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7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7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7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1.4232535916566943E-5</v>
      </c>
      <c r="J2" s="67" t="s">
        <v>231</v>
      </c>
      <c r="K2" s="68">
        <v>2.3228324631368504E-3</v>
      </c>
      <c r="L2" s="67" t="s">
        <v>231</v>
      </c>
      <c r="M2" s="68">
        <v>5.508115962903784E-2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4.0472570324812602E-3</v>
      </c>
      <c r="J3" s="67" t="s">
        <v>231</v>
      </c>
      <c r="K3" s="68">
        <v>0.42059858769973169</v>
      </c>
      <c r="L3" s="67" t="s">
        <v>231</v>
      </c>
      <c r="M3" s="68">
        <v>14.489560377050486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2.4082301496853795E-3</v>
      </c>
      <c r="J4" s="67" t="s">
        <v>231</v>
      </c>
      <c r="K4" s="68">
        <v>1.2675211924255627E-2</v>
      </c>
      <c r="L4" s="67" t="s">
        <v>231</v>
      </c>
      <c r="M4" s="68">
        <v>0.41689104106144315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6.6662198552442757E-3</v>
      </c>
      <c r="J5" s="67" t="s">
        <v>231</v>
      </c>
      <c r="K5" s="68">
        <v>0.13108204397302592</v>
      </c>
      <c r="L5" s="67" t="s">
        <v>231</v>
      </c>
      <c r="M5" s="68">
        <v>4.492346847554705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1.1446483717985524E-2</v>
      </c>
      <c r="J6" s="67" t="s">
        <v>232</v>
      </c>
      <c r="K6" s="68">
        <v>0.51005054460177046</v>
      </c>
      <c r="L6" s="67" t="s">
        <v>231</v>
      </c>
      <c r="M6" s="68">
        <v>17.594209722079697</v>
      </c>
      <c r="N6" s="67" t="s">
        <v>231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1.6325104404209855E-3</v>
      </c>
      <c r="J7" s="67" t="s">
        <v>231</v>
      </c>
      <c r="K7" s="68">
        <v>0.43943806127350704</v>
      </c>
      <c r="L7" s="67" t="s">
        <v>231</v>
      </c>
      <c r="M7" s="68">
        <v>15.141494494429793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3.1016307339307341E-3</v>
      </c>
      <c r="J8" s="67" t="s">
        <v>231</v>
      </c>
      <c r="K8" s="68">
        <v>0.34399498547801693</v>
      </c>
      <c r="L8" s="67" t="s">
        <v>231</v>
      </c>
      <c r="M8" s="68">
        <v>11.836024485009371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5.9354319976225272E-4</v>
      </c>
      <c r="J9" s="67" t="s">
        <v>231</v>
      </c>
      <c r="K9" s="68">
        <v>4.8592280197844173E-2</v>
      </c>
      <c r="L9" s="67" t="s">
        <v>231</v>
      </c>
      <c r="M9" s="68">
        <v>1.6544739034167979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3.986854049844126E-3</v>
      </c>
      <c r="J10" s="67" t="s">
        <v>231</v>
      </c>
      <c r="K10" s="68">
        <v>0.13933985525017911</v>
      </c>
      <c r="L10" s="67" t="s">
        <v>231</v>
      </c>
      <c r="M10" s="68">
        <v>4.776420791016025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9.7088051042979601E-4</v>
      </c>
      <c r="J11" s="67" t="s">
        <v>231</v>
      </c>
      <c r="K11" s="68">
        <v>0.15372706587755314</v>
      </c>
      <c r="L11" s="67" t="s">
        <v>231</v>
      </c>
      <c r="M11" s="68">
        <v>5.2715228476912293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1.476282764172284E-3</v>
      </c>
      <c r="J12" s="67" t="s">
        <v>231</v>
      </c>
      <c r="K12" s="68">
        <v>5.891851904313869E-2</v>
      </c>
      <c r="L12" s="67" t="s">
        <v>231</v>
      </c>
      <c r="M12" s="68">
        <v>2.0097325763308955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2.8054338212459087E-2</v>
      </c>
      <c r="J13" s="67" t="s">
        <v>232</v>
      </c>
      <c r="K13" s="68">
        <v>4.9536013101918672E-2</v>
      </c>
      <c r="L13" s="67" t="s">
        <v>231</v>
      </c>
      <c r="M13" s="68">
        <v>1.6869424323230446</v>
      </c>
      <c r="N13" s="67" t="s">
        <v>231</v>
      </c>
      <c r="P13" s="109" t="s">
        <v>192</v>
      </c>
      <c r="Q13" s="103">
        <f>COUNTIF(J2:J50000,"Yes")</f>
        <v>10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9.0177477848528038E-3</v>
      </c>
      <c r="J14" s="67" t="s">
        <v>231</v>
      </c>
      <c r="K14" s="68">
        <v>0.20463003498307597</v>
      </c>
      <c r="L14" s="67" t="s">
        <v>231</v>
      </c>
      <c r="M14" s="68">
        <v>7.0246885477757051</v>
      </c>
      <c r="N14" s="67" t="s">
        <v>231</v>
      </c>
      <c r="P14" s="109" t="s">
        <v>229</v>
      </c>
      <c r="Q14" s="103">
        <f>COUNTIF(N2:N50000,"Yes")</f>
        <v>4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4.680997657726697E-3</v>
      </c>
      <c r="J15" s="67" t="s">
        <v>231</v>
      </c>
      <c r="K15" s="68">
        <v>0.14643699799990034</v>
      </c>
      <c r="L15" s="67" t="s">
        <v>231</v>
      </c>
      <c r="M15" s="68">
        <v>5.020625122713243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3.2590428087100115E-3</v>
      </c>
      <c r="J16" s="67" t="s">
        <v>231</v>
      </c>
      <c r="K16" s="68">
        <v>0.33929934489411218</v>
      </c>
      <c r="L16" s="67" t="s">
        <v>231</v>
      </c>
      <c r="M16" s="68">
        <v>11.673698440532661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2.8028693768293047E-3</v>
      </c>
      <c r="J17" s="67" t="s">
        <v>231</v>
      </c>
      <c r="K17" s="68">
        <v>0.13382314555853814</v>
      </c>
      <c r="L17" s="67" t="s">
        <v>231</v>
      </c>
      <c r="M17" s="68">
        <v>4.5866318189195967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4.1204061626521028E-3</v>
      </c>
      <c r="J18" s="67" t="s">
        <v>231</v>
      </c>
      <c r="K18" s="68">
        <v>4.4075287830338393E-2</v>
      </c>
      <c r="L18" s="67" t="s">
        <v>231</v>
      </c>
      <c r="M18" s="68">
        <v>1.4992096616126136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2.8429563475637583E-2</v>
      </c>
      <c r="J19" s="67" t="s">
        <v>232</v>
      </c>
      <c r="K19" s="68">
        <v>0.14788565213517049</v>
      </c>
      <c r="L19" s="67" t="s">
        <v>231</v>
      </c>
      <c r="M19" s="68">
        <v>5.0704773694090592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2.9035999953674722E-3</v>
      </c>
      <c r="J20" s="67" t="s">
        <v>231</v>
      </c>
      <c r="K20" s="68">
        <v>4.9554356448893715E-2</v>
      </c>
      <c r="L20" s="67" t="s">
        <v>231</v>
      </c>
      <c r="M20" s="68">
        <v>1.687567112599581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1.307746260289914E-2</v>
      </c>
      <c r="J21" s="67" t="s">
        <v>232</v>
      </c>
      <c r="K21" s="68">
        <v>0.18861917175305293</v>
      </c>
      <c r="L21" s="67" t="s">
        <v>231</v>
      </c>
      <c r="M21" s="68">
        <v>6.4730494563864749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9.9637301303810347E-5</v>
      </c>
      <c r="J22" s="67" t="s">
        <v>231</v>
      </c>
      <c r="K22" s="68">
        <v>5.8684963417892748E-3</v>
      </c>
      <c r="L22" s="67" t="s">
        <v>231</v>
      </c>
      <c r="M22" s="68">
        <v>0.18027468537334454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3.1252039907336765E-5</v>
      </c>
      <c r="J23" s="67" t="s">
        <v>231</v>
      </c>
      <c r="K23" s="68">
        <v>3.1542007683415998E-3</v>
      </c>
      <c r="L23" s="67" t="s">
        <v>231</v>
      </c>
      <c r="M23" s="68">
        <v>8.4717825583953799E-2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1.4909781256115378E-4</v>
      </c>
      <c r="J24" s="67" t="s">
        <v>231</v>
      </c>
      <c r="K24" s="68">
        <v>2.5428817390066485E-2</v>
      </c>
      <c r="L24" s="67" t="s">
        <v>231</v>
      </c>
      <c r="M24" s="68">
        <v>0.857229475210186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1.4734514009369256E-3</v>
      </c>
      <c r="J25" s="67" t="s">
        <v>231</v>
      </c>
      <c r="K25" s="68">
        <v>6.9372497930527161E-2</v>
      </c>
      <c r="L25" s="67" t="s">
        <v>231</v>
      </c>
      <c r="M25" s="68">
        <v>2.3704278552702549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3.47870004640259E-3</v>
      </c>
      <c r="J26" s="67" t="s">
        <v>231</v>
      </c>
      <c r="K26" s="68">
        <v>0.17864555895903389</v>
      </c>
      <c r="L26" s="67" t="s">
        <v>231</v>
      </c>
      <c r="M26" s="68">
        <v>6.1294937387867865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2.2254851410217309E-3</v>
      </c>
      <c r="J27" s="67" t="s">
        <v>231</v>
      </c>
      <c r="K27" s="68">
        <v>0.41186102362461513</v>
      </c>
      <c r="L27" s="67" t="s">
        <v>231</v>
      </c>
      <c r="M27" s="68">
        <v>14.186271071681675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1.2020265120783215E-3</v>
      </c>
      <c r="J28" s="67" t="s">
        <v>231</v>
      </c>
      <c r="K28" s="68">
        <v>0.25572206050190327</v>
      </c>
      <c r="L28" s="67" t="s">
        <v>231</v>
      </c>
      <c r="M28" s="68">
        <v>8.7866160186023752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6.9172286674223872E-4</v>
      </c>
      <c r="J29" s="67" t="s">
        <v>231</v>
      </c>
      <c r="K29" s="68">
        <v>0.17873682466034277</v>
      </c>
      <c r="L29" s="67" t="s">
        <v>231</v>
      </c>
      <c r="M29" s="68">
        <v>6.1351762727239372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1.2020265120783215E-3</v>
      </c>
      <c r="J30" s="67" t="s">
        <v>231</v>
      </c>
      <c r="K30" s="68">
        <v>0.25572206050190327</v>
      </c>
      <c r="L30" s="67" t="s">
        <v>231</v>
      </c>
      <c r="M30" s="68">
        <v>8.7866160186023752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8.1086242317951399E-8</v>
      </c>
      <c r="J31" s="67" t="s">
        <v>231</v>
      </c>
      <c r="K31" s="68">
        <v>8.7742261777091731E-4</v>
      </c>
      <c r="L31" s="67" t="s">
        <v>231</v>
      </c>
      <c r="M31" s="68">
        <v>1.1365862474533878E-3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1.0702835945233327E-5</v>
      </c>
      <c r="J32" s="67" t="s">
        <v>231</v>
      </c>
      <c r="K32" s="68">
        <v>9.6358769792113715E-3</v>
      </c>
      <c r="L32" s="67" t="s">
        <v>231</v>
      </c>
      <c r="M32" s="68">
        <v>0.3086324044461613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8.1312425457263219E-8</v>
      </c>
      <c r="J33" s="67" t="s">
        <v>231</v>
      </c>
      <c r="K33" s="68">
        <v>8.7827971267249441E-4</v>
      </c>
      <c r="L33" s="67" t="s">
        <v>231</v>
      </c>
      <c r="M33" s="68">
        <v>5.9116108064407279E-4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3.2479841258123618E-10</v>
      </c>
      <c r="J34" s="67" t="s">
        <v>231</v>
      </c>
      <c r="K34" s="68">
        <v>2.685945204529634E-3</v>
      </c>
      <c r="L34" s="67" t="s">
        <v>231</v>
      </c>
      <c r="M34" s="68">
        <v>7.5529371614320884E-2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5.0057083258278417E-7</v>
      </c>
      <c r="J35" s="67" t="s">
        <v>231</v>
      </c>
      <c r="K35" s="68">
        <v>4.7543330296509296E-3</v>
      </c>
      <c r="L35" s="67" t="s">
        <v>231</v>
      </c>
      <c r="M35" s="68">
        <v>0.16142744678688783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9.0191857655755969E-7</v>
      </c>
      <c r="J36" s="67" t="s">
        <v>231</v>
      </c>
      <c r="K36" s="68">
        <v>1.0191160581032347E-2</v>
      </c>
      <c r="L36" s="67" t="s">
        <v>231</v>
      </c>
      <c r="M36" s="68">
        <v>0.3878374317131294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5.4489192908154089E-6</v>
      </c>
      <c r="J37" s="67" t="s">
        <v>231</v>
      </c>
      <c r="K37" s="68">
        <v>1.4304685680588741E-2</v>
      </c>
      <c r="L37" s="67" t="s">
        <v>231</v>
      </c>
      <c r="M37" s="68">
        <v>0.49248495856088409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1.6021697717759891E-6</v>
      </c>
      <c r="J38" s="67" t="s">
        <v>231</v>
      </c>
      <c r="K38" s="68">
        <v>2.3546055506817689E-3</v>
      </c>
      <c r="L38" s="67" t="s">
        <v>231</v>
      </c>
      <c r="M38" s="68">
        <v>6.1374765157443008E-2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9.4173946886271377E-4</v>
      </c>
      <c r="J39" s="67" t="s">
        <v>231</v>
      </c>
      <c r="K39" s="68">
        <v>9.0257089856901646E-2</v>
      </c>
      <c r="L39" s="67" t="s">
        <v>231</v>
      </c>
      <c r="M39" s="68">
        <v>3.0888701702858543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4.0533003783253134E-9</v>
      </c>
      <c r="J40" s="67" t="s">
        <v>231</v>
      </c>
      <c r="K40" s="68">
        <v>0.70314280102455573</v>
      </c>
      <c r="L40" s="67" t="s">
        <v>231</v>
      </c>
      <c r="M40" s="68">
        <v>27.841710923339356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2.6145916025561235E-8</v>
      </c>
      <c r="J41" s="67" t="s">
        <v>231</v>
      </c>
      <c r="K41" s="68">
        <v>7.914563612932237E-4</v>
      </c>
      <c r="L41" s="67" t="s">
        <v>231</v>
      </c>
      <c r="M41" s="68">
        <v>6.4209477695245429E-5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1.1173978118912474E-3</v>
      </c>
      <c r="J42" s="67" t="s">
        <v>231</v>
      </c>
      <c r="K42" s="68">
        <v>6.8129464308913307E-3</v>
      </c>
      <c r="L42" s="67" t="s">
        <v>231</v>
      </c>
      <c r="M42" s="68">
        <v>0.21321843743640126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4.2336586662496918E-8</v>
      </c>
      <c r="J43" s="67" t="s">
        <v>231</v>
      </c>
      <c r="K43" s="68">
        <v>3.7219962866227523E-2</v>
      </c>
      <c r="L43" s="67" t="s">
        <v>231</v>
      </c>
      <c r="M43" s="68">
        <v>1.4798509364051451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1.0873030567812657E-6</v>
      </c>
      <c r="J44" s="67" t="s">
        <v>231</v>
      </c>
      <c r="K44" s="68">
        <v>1.5493994925431596E-3</v>
      </c>
      <c r="L44" s="67" t="s">
        <v>231</v>
      </c>
      <c r="M44" s="68">
        <v>2.9644807418693415E-2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1.0039759662730916E-4</v>
      </c>
      <c r="J45" s="67" t="s">
        <v>231</v>
      </c>
      <c r="K45" s="68">
        <v>7.7533754346410513E-3</v>
      </c>
      <c r="L45" s="67" t="s">
        <v>231</v>
      </c>
      <c r="M45" s="68">
        <v>0.24602714468015527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2.2216284674658983E-6</v>
      </c>
      <c r="J46" s="67" t="s">
        <v>231</v>
      </c>
      <c r="K46" s="68">
        <v>7.1371441303792593E-3</v>
      </c>
      <c r="L46" s="67" t="s">
        <v>231</v>
      </c>
      <c r="M46" s="68">
        <v>0.22458739563763186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1.0384291902678604E-2</v>
      </c>
      <c r="J47" s="142" t="s">
        <v>232</v>
      </c>
      <c r="K47" s="143">
        <v>0.42672303913059029</v>
      </c>
      <c r="L47" s="142" t="s">
        <v>231</v>
      </c>
      <c r="M47" s="143">
        <v>14.700546841054237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1.8126781407873965E-6</v>
      </c>
      <c r="J48" s="142" t="s">
        <v>231</v>
      </c>
      <c r="K48" s="143">
        <v>1.0894973968018555E-3</v>
      </c>
      <c r="L48" s="142" t="s">
        <v>231</v>
      </c>
      <c r="M48" s="143">
        <v>1.0246475166762862E-2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5.0804225347655563E-6</v>
      </c>
      <c r="J49" s="142" t="s">
        <v>231</v>
      </c>
      <c r="K49" s="143">
        <v>1.2765655715791825E-3</v>
      </c>
      <c r="L49" s="142" t="s">
        <v>231</v>
      </c>
      <c r="M49" s="143">
        <v>1.7652015654068175E-2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1.7628665458947405E-5</v>
      </c>
      <c r="J50" s="142" t="s">
        <v>231</v>
      </c>
      <c r="K50" s="143">
        <v>4.2360051042878648E-2</v>
      </c>
      <c r="L50" s="142" t="s">
        <v>231</v>
      </c>
      <c r="M50" s="143">
        <v>1.4403477296838614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4.0138942918523522E-8</v>
      </c>
      <c r="J51" s="142" t="s">
        <v>231</v>
      </c>
      <c r="K51" s="143">
        <v>8.3652660717688839E-4</v>
      </c>
      <c r="L51" s="142" t="s">
        <v>231</v>
      </c>
      <c r="M51" s="143">
        <v>1.8464485338769063E-3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1.1155621814413579E-5</v>
      </c>
      <c r="J52" s="142" t="s">
        <v>231</v>
      </c>
      <c r="K52" s="143">
        <v>2.1276422991138928E-3</v>
      </c>
      <c r="L52" s="142" t="s">
        <v>231</v>
      </c>
      <c r="M52" s="143">
        <v>5.00951770092284E-2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2.0755427617178996E-4</v>
      </c>
      <c r="J53" s="142" t="s">
        <v>231</v>
      </c>
      <c r="K53" s="143">
        <v>1.1523022825676726E-2</v>
      </c>
      <c r="L53" s="142" t="s">
        <v>231</v>
      </c>
      <c r="M53" s="143">
        <v>0.37702749886320475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3.5114694291695624E-3</v>
      </c>
      <c r="J54" s="67" t="s">
        <v>231</v>
      </c>
      <c r="K54" s="68">
        <v>0.38753460595510031</v>
      </c>
      <c r="L54" s="67" t="s">
        <v>231</v>
      </c>
      <c r="M54" s="68">
        <v>13.342768922557509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2.9087743250343914E-4</v>
      </c>
      <c r="J55" s="67" t="s">
        <v>231</v>
      </c>
      <c r="K55" s="68">
        <v>2.1258783130283298E-2</v>
      </c>
      <c r="L55" s="67" t="s">
        <v>231</v>
      </c>
      <c r="M55" s="68">
        <v>0.71781886737970235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6.9452642280964062E-5</v>
      </c>
      <c r="J56" s="67" t="s">
        <v>231</v>
      </c>
      <c r="K56" s="68">
        <v>1.0059693276710245E-2</v>
      </c>
      <c r="L56" s="67" t="s">
        <v>231</v>
      </c>
      <c r="M56" s="68">
        <v>0.3430611723316872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2.7241278743467387E-5</v>
      </c>
      <c r="J57" s="67" t="s">
        <v>231</v>
      </c>
      <c r="K57" s="68">
        <v>4.1146294758765229E-3</v>
      </c>
      <c r="L57" s="67" t="s">
        <v>231</v>
      </c>
      <c r="M57" s="68">
        <v>0.13933972049357801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2.5869774754565872E-7</v>
      </c>
      <c r="J58" s="67" t="s">
        <v>231</v>
      </c>
      <c r="K58" s="68">
        <v>9.6219527281244757E-5</v>
      </c>
      <c r="L58" s="67" t="s">
        <v>231</v>
      </c>
      <c r="M58" s="68">
        <v>1.5179430529904502E-3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6.0262090240097516E-6</v>
      </c>
      <c r="J59" s="67" t="s">
        <v>231</v>
      </c>
      <c r="K59" s="68">
        <v>1.4548688881506717E-3</v>
      </c>
      <c r="L59" s="67" t="s">
        <v>231</v>
      </c>
      <c r="M59" s="68">
        <v>4.9238350084206739E-2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8.9780769467429041E-8</v>
      </c>
      <c r="J60" s="67" t="s">
        <v>231</v>
      </c>
      <c r="K60" s="68">
        <v>2.4214850359275781E-5</v>
      </c>
      <c r="L60" s="67" t="s">
        <v>231</v>
      </c>
      <c r="M60" s="68">
        <v>8.1153868051390141E-4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5.0715025333277076E-2</v>
      </c>
      <c r="J61" s="67" t="s">
        <v>232</v>
      </c>
      <c r="K61" s="68">
        <v>1.6350812276633552E-2</v>
      </c>
      <c r="L61" s="67" t="s">
        <v>231</v>
      </c>
      <c r="M61" s="68">
        <v>0.54403581583401905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1.5607390262227587E-4</v>
      </c>
      <c r="J62" s="67" t="s">
        <v>231</v>
      </c>
      <c r="K62" s="68">
        <v>0.20112204834780595</v>
      </c>
      <c r="L62" s="67" t="s">
        <v>231</v>
      </c>
      <c r="M62" s="68">
        <v>6.9037905253306002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1.1000585624790671E-3</v>
      </c>
      <c r="J63" s="67" t="s">
        <v>231</v>
      </c>
      <c r="K63" s="68">
        <v>0.49062781404749312</v>
      </c>
      <c r="L63" s="67" t="s">
        <v>231</v>
      </c>
      <c r="M63" s="68">
        <v>16.918834339198021</v>
      </c>
      <c r="N63" s="67" t="s">
        <v>231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8.2598203536738139E-4</v>
      </c>
      <c r="J64" s="67" t="s">
        <v>231</v>
      </c>
      <c r="K64" s="68">
        <v>0.5812757755480179</v>
      </c>
      <c r="L64" s="67" t="s">
        <v>231</v>
      </c>
      <c r="M64" s="68">
        <v>20.077166944603512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1.3128523649796355E-3</v>
      </c>
      <c r="J65" s="67" t="s">
        <v>231</v>
      </c>
      <c r="K65" s="68">
        <v>0.65698473803103896</v>
      </c>
      <c r="L65" s="67" t="s">
        <v>231</v>
      </c>
      <c r="M65" s="68">
        <v>22.733407075841964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5.0733868300983688E-6</v>
      </c>
      <c r="J66" s="67" t="s">
        <v>231</v>
      </c>
      <c r="K66" s="68">
        <v>0.61749439909438841</v>
      </c>
      <c r="L66" s="67" t="s">
        <v>231</v>
      </c>
      <c r="M66" s="68">
        <v>21.344918041700165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3.8242718055879666E-4</v>
      </c>
      <c r="J67" s="67" t="s">
        <v>231</v>
      </c>
      <c r="K67" s="68">
        <v>1.8542685458862302E-3</v>
      </c>
      <c r="L67" s="67" t="s">
        <v>231</v>
      </c>
      <c r="M67" s="68">
        <v>3.8330148540376627E-2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1.5560020802789996E-4</v>
      </c>
      <c r="J68" s="67" t="s">
        <v>231</v>
      </c>
      <c r="K68" s="68">
        <v>2.6105820104528684E-3</v>
      </c>
      <c r="L68" s="67" t="s">
        <v>231</v>
      </c>
      <c r="M68" s="68">
        <v>6.566436667540522E-2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8.3801030324390807E-7</v>
      </c>
      <c r="J69" s="67" t="s">
        <v>231</v>
      </c>
      <c r="K69" s="68">
        <v>0.33170631086756797</v>
      </c>
      <c r="L69" s="67" t="s">
        <v>231</v>
      </c>
      <c r="M69" s="68">
        <v>11.411341355272898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7.8402263224072841E-4</v>
      </c>
      <c r="J70" s="67" t="s">
        <v>231</v>
      </c>
      <c r="K70" s="68">
        <v>6.7422604104428449E-2</v>
      </c>
      <c r="L70" s="67" t="s">
        <v>231</v>
      </c>
      <c r="M70" s="68">
        <v>2.3025989645286105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2.8969385253242242E-4</v>
      </c>
      <c r="J71" s="67" t="s">
        <v>231</v>
      </c>
      <c r="K71" s="68">
        <v>2.4274001875877098E-3</v>
      </c>
      <c r="L71" s="67" t="s">
        <v>231</v>
      </c>
      <c r="M71" s="68">
        <v>5.9542682253721314E-2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4.4241383892062821E-6</v>
      </c>
      <c r="J72" s="67" t="s">
        <v>231</v>
      </c>
      <c r="K72" s="68">
        <v>6.1720092007653771E-2</v>
      </c>
      <c r="L72" s="67" t="s">
        <v>231</v>
      </c>
      <c r="M72" s="68">
        <v>2.1069182971655316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7.4958675520406821E-3</v>
      </c>
      <c r="J73" s="67" t="s">
        <v>231</v>
      </c>
      <c r="K73" s="68">
        <v>1.7227668124756863E-2</v>
      </c>
      <c r="L73" s="67" t="s">
        <v>231</v>
      </c>
      <c r="M73" s="68">
        <v>0.574743849596698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0.16148592202920223</v>
      </c>
      <c r="J74" s="67" t="s">
        <v>232</v>
      </c>
      <c r="K74" s="68">
        <v>6.6004102991891286E-2</v>
      </c>
      <c r="L74" s="67" t="s">
        <v>231</v>
      </c>
      <c r="M74" s="68">
        <v>2.2538782345339041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2.003118618651506E-12</v>
      </c>
      <c r="J75" s="67" t="s">
        <v>231</v>
      </c>
      <c r="K75" s="68">
        <v>0.12115930594411578</v>
      </c>
      <c r="L75" s="67" t="s">
        <v>231</v>
      </c>
      <c r="M75" s="68">
        <v>4.8436186244754236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1.1020117056481619E-12</v>
      </c>
      <c r="J76" s="67" t="s">
        <v>231</v>
      </c>
      <c r="K76" s="68">
        <v>0.12115930651666566</v>
      </c>
      <c r="L76" s="67" t="s">
        <v>231</v>
      </c>
      <c r="M76" s="68">
        <v>4.8436186473644067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5.4282230756814284E-7</v>
      </c>
      <c r="J77" s="67" t="s">
        <v>231</v>
      </c>
      <c r="K77" s="68">
        <v>3.4317932615646835E-2</v>
      </c>
      <c r="L77" s="67" t="s">
        <v>231</v>
      </c>
      <c r="M77" s="68">
        <v>1.1642480691535815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1.0571414089146128E-3</v>
      </c>
      <c r="J78" s="67" t="s">
        <v>231</v>
      </c>
      <c r="K78" s="68">
        <v>6.1354491519187851E-3</v>
      </c>
      <c r="L78" s="67" t="s">
        <v>231</v>
      </c>
      <c r="M78" s="68">
        <v>0.19051613694939143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2.2635968812589993E-5</v>
      </c>
      <c r="J79" s="67" t="s">
        <v>231</v>
      </c>
      <c r="K79" s="68">
        <v>1.17925545329644E-2</v>
      </c>
      <c r="L79" s="67" t="s">
        <v>231</v>
      </c>
      <c r="M79" s="68">
        <v>0.38654575779299921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1.1157119719823846E-13</v>
      </c>
      <c r="J80" s="67" t="s">
        <v>231</v>
      </c>
      <c r="K80" s="68">
        <v>0.22015902418919983</v>
      </c>
      <c r="L80" s="67" t="s">
        <v>231</v>
      </c>
      <c r="M80" s="68">
        <v>8.8029740839332504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2.1981639744897247E-5</v>
      </c>
      <c r="J81" s="67" t="s">
        <v>231</v>
      </c>
      <c r="K81" s="68">
        <v>8.8868793087857863E-4</v>
      </c>
      <c r="L81" s="67" t="s">
        <v>231</v>
      </c>
      <c r="M81" s="68">
        <v>1.681887165206959E-3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3.5453057351495326E-5</v>
      </c>
      <c r="J82" s="67" t="s">
        <v>231</v>
      </c>
      <c r="K82" s="68">
        <v>3.0597260439051582E-3</v>
      </c>
      <c r="L82" s="67" t="s">
        <v>231</v>
      </c>
      <c r="M82" s="68">
        <v>8.1364436071344359E-2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5.7273026430870112E-5</v>
      </c>
      <c r="J83" s="67" t="s">
        <v>231</v>
      </c>
      <c r="K83" s="68">
        <v>3.1795659947868711E-2</v>
      </c>
      <c r="L83" s="67" t="s">
        <v>231</v>
      </c>
      <c r="M83" s="68">
        <v>1.0765285585922404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6.0727295331996336E-6</v>
      </c>
      <c r="J84" s="67" t="s">
        <v>231</v>
      </c>
      <c r="K84" s="68">
        <v>1.0121525642154082E-3</v>
      </c>
      <c r="L84" s="67" t="s">
        <v>231</v>
      </c>
      <c r="M84" s="68">
        <v>6.8429809852061365E-3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3.2974646452706297E-8</v>
      </c>
      <c r="J85" s="67" t="s">
        <v>231</v>
      </c>
      <c r="K85" s="68">
        <v>8.6371697322374437E-4</v>
      </c>
      <c r="L85" s="67" t="s">
        <v>231</v>
      </c>
      <c r="M85" s="68">
        <v>3.4464377638667029E-4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2.3825481317280581E-6</v>
      </c>
      <c r="J86" s="67" t="s">
        <v>231</v>
      </c>
      <c r="K86" s="68">
        <v>1.0045468540020623E-3</v>
      </c>
      <c r="L86" s="67" t="s">
        <v>231</v>
      </c>
      <c r="M86" s="68">
        <v>6.5408614961634647E-3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1.2080408173958553E-2</v>
      </c>
      <c r="J87" s="67" t="s">
        <v>232</v>
      </c>
      <c r="K87" s="68">
        <v>0.45206288242091286</v>
      </c>
      <c r="L87" s="67" t="s">
        <v>231</v>
      </c>
      <c r="M87" s="68">
        <v>15.579497925712678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1.1110048575304997E-4</v>
      </c>
      <c r="J88" s="67" t="s">
        <v>231</v>
      </c>
      <c r="K88" s="68">
        <v>5.0784519928988589E-3</v>
      </c>
      <c r="L88" s="67" t="s">
        <v>231</v>
      </c>
      <c r="M88" s="68">
        <v>0.15254370852334057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2.8800105878182122E-5</v>
      </c>
      <c r="J89" s="67" t="s">
        <v>231</v>
      </c>
      <c r="K89" s="68">
        <v>3.3544979038599445E-3</v>
      </c>
      <c r="L89" s="67" t="s">
        <v>231</v>
      </c>
      <c r="M89" s="68">
        <v>9.181533603889501E-2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1.7857018911215764E-6</v>
      </c>
      <c r="J90" s="67" t="s">
        <v>231</v>
      </c>
      <c r="K90" s="68">
        <v>1.4378559461798335E-3</v>
      </c>
      <c r="L90" s="67" t="s">
        <v>231</v>
      </c>
      <c r="M90" s="68">
        <v>2.2967281854988683E-2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9.3914514451891619E-3</v>
      </c>
      <c r="J91" s="67" t="s">
        <v>231</v>
      </c>
      <c r="K91" s="68">
        <v>0.21923413551605261</v>
      </c>
      <c r="L91" s="67" t="s">
        <v>231</v>
      </c>
      <c r="M91" s="68">
        <v>7.5280805275772869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3.3640793607825452E-2</v>
      </c>
      <c r="J92" s="67" t="s">
        <v>232</v>
      </c>
      <c r="K92" s="68">
        <v>2.510394820011206E-2</v>
      </c>
      <c r="L92" s="67" t="s">
        <v>231</v>
      </c>
      <c r="M92" s="68">
        <v>0.84603199936538354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1.7748611958717089E-2</v>
      </c>
      <c r="J93" s="67" t="s">
        <v>232</v>
      </c>
      <c r="K93" s="68">
        <v>5.8386555585217499E-2</v>
      </c>
      <c r="L93" s="67" t="s">
        <v>231</v>
      </c>
      <c r="M93" s="68">
        <v>1.9914368232077442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7.1292950238113686E-9</v>
      </c>
      <c r="J94" s="67" t="s">
        <v>231</v>
      </c>
      <c r="K94" s="68">
        <v>1.1804079255280603E-3</v>
      </c>
      <c r="L94" s="67" t="s">
        <v>231</v>
      </c>
      <c r="M94" s="68">
        <v>1.3064384815114922E-2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1.9231437073741848E-4</v>
      </c>
      <c r="J95" s="67" t="s">
        <v>231</v>
      </c>
      <c r="K95" s="68">
        <v>0.11704703085551219</v>
      </c>
      <c r="L95" s="67" t="s">
        <v>231</v>
      </c>
      <c r="M95" s="68">
        <v>4.0096599738745153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9.6937039176215463E-8</v>
      </c>
      <c r="J96" s="67" t="s">
        <v>231</v>
      </c>
      <c r="K96" s="68">
        <v>8.9127196069727272E-4</v>
      </c>
      <c r="L96" s="67" t="s">
        <v>231</v>
      </c>
      <c r="M96" s="68">
        <v>1.8020687754240813E-3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3.4493505301008162E-8</v>
      </c>
      <c r="J97" s="67" t="s">
        <v>231</v>
      </c>
      <c r="K97" s="68">
        <v>1.0160938604790316E-3</v>
      </c>
      <c r="L97" s="67" t="s">
        <v>231</v>
      </c>
      <c r="M97" s="68">
        <v>6.9991265388253867E-3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3.3868662988811767E-5</v>
      </c>
      <c r="J98" s="67" t="s">
        <v>231</v>
      </c>
      <c r="K98" s="68">
        <v>7.6014414578910047E-2</v>
      </c>
      <c r="L98" s="67" t="s">
        <v>231</v>
      </c>
      <c r="M98" s="68">
        <v>2.5982205312778279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4.1850557523559995E-8</v>
      </c>
      <c r="J99" s="67" t="s">
        <v>231</v>
      </c>
      <c r="K99" s="68">
        <v>8.6196858905538505E-4</v>
      </c>
      <c r="L99" s="67" t="s">
        <v>231</v>
      </c>
      <c r="M99" s="68">
        <v>1.7760003146879643E-4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6.4973143815365815E-5</v>
      </c>
      <c r="J100" s="67" t="s">
        <v>231</v>
      </c>
      <c r="K100" s="68">
        <v>1.0353057480775699E-2</v>
      </c>
      <c r="L100" s="67" t="s">
        <v>231</v>
      </c>
      <c r="M100" s="68">
        <v>0.33638661102969114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1.3051419621586065E-5</v>
      </c>
      <c r="J101" s="67" t="s">
        <v>231</v>
      </c>
      <c r="K101" s="68">
        <v>8.6518217485006068E-4</v>
      </c>
      <c r="L101" s="67" t="s">
        <v>231</v>
      </c>
      <c r="M101" s="68">
        <v>4.5015407854061176E-4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6.4313402626689954E-11</v>
      </c>
      <c r="J102" s="67" t="s">
        <v>231</v>
      </c>
      <c r="K102" s="68">
        <v>8.619701365652798E-4</v>
      </c>
      <c r="L102" s="67" t="s">
        <v>231</v>
      </c>
      <c r="M102" s="68">
        <v>3.8105077304450671E-5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9.155479741376675E-9</v>
      </c>
      <c r="J103" s="67" t="s">
        <v>231</v>
      </c>
      <c r="K103" s="68">
        <v>8.6189999513918238E-4</v>
      </c>
      <c r="L103" s="67" t="s">
        <v>231</v>
      </c>
      <c r="M103" s="68">
        <v>1.6755585988270828E-4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4.2143457064965589E-7</v>
      </c>
      <c r="J104" s="67" t="s">
        <v>231</v>
      </c>
      <c r="K104" s="68">
        <v>9.3803344841957438E-4</v>
      </c>
      <c r="L104" s="67" t="s">
        <v>231</v>
      </c>
      <c r="M104" s="68">
        <v>3.8371619513657869E-3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5.7852382173611013E-8</v>
      </c>
      <c r="J105" s="67" t="s">
        <v>231</v>
      </c>
      <c r="K105" s="68">
        <v>8.6179739892005452E-4</v>
      </c>
      <c r="L105" s="67" t="s">
        <v>231</v>
      </c>
      <c r="M105" s="68">
        <v>5.2834088194930291E-5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5.190473539289466E-7</v>
      </c>
      <c r="J106" s="67" t="s">
        <v>231</v>
      </c>
      <c r="K106" s="68">
        <v>1.7764471148004743E-3</v>
      </c>
      <c r="L106" s="67" t="s">
        <v>231</v>
      </c>
      <c r="M106" s="68">
        <v>3.5366169371208851E-2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2.6133247857511099E-4</v>
      </c>
      <c r="J107" s="67" t="s">
        <v>231</v>
      </c>
      <c r="K107" s="68">
        <v>8.2751394832397671E-2</v>
      </c>
      <c r="L107" s="67" t="s">
        <v>231</v>
      </c>
      <c r="M107" s="68">
        <v>2.8303292499387571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8.2957081129075001E-5</v>
      </c>
      <c r="J108" s="67" t="s">
        <v>231</v>
      </c>
      <c r="K108" s="68">
        <v>8.2783177398263897E-3</v>
      </c>
      <c r="L108" s="67" t="s">
        <v>231</v>
      </c>
      <c r="M108" s="68">
        <v>0.26428533490066419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0.81221809261451561</v>
      </c>
      <c r="F2" s="14">
        <v>0.80757538835229381</v>
      </c>
      <c r="G2" s="14">
        <v>1.0493770517331305E-6</v>
      </c>
      <c r="H2" s="14">
        <v>10.911967779035088</v>
      </c>
      <c r="I2" s="14">
        <v>29.42796600635203</v>
      </c>
      <c r="J2" s="14">
        <v>0</v>
      </c>
      <c r="K2" s="14">
        <v>1.2382744873395815</v>
      </c>
      <c r="L2" s="14">
        <v>0.80757538835229381</v>
      </c>
      <c r="M2" s="14">
        <v>0.66261560614305715</v>
      </c>
      <c r="N2" s="14">
        <v>2.3228324631368507</v>
      </c>
      <c r="O2" s="14">
        <v>427.65668478812557</v>
      </c>
      <c r="P2" s="8">
        <v>2.3228324631368507</v>
      </c>
      <c r="Q2" s="54">
        <v>0.12559149949047693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0.36297560659832684</v>
      </c>
      <c r="F3" s="14">
        <v>2.6299967322709547E-3</v>
      </c>
      <c r="G3" s="14">
        <v>1.5947172667863963E-4</v>
      </c>
      <c r="H3" s="14">
        <v>276.09288119026394</v>
      </c>
      <c r="I3" s="14">
        <v>6926.476732263146</v>
      </c>
      <c r="J3" s="14">
        <v>0</v>
      </c>
      <c r="K3" s="14">
        <v>380.22860930953243</v>
      </c>
      <c r="L3" s="14">
        <v>2.6299967322709551E-3</v>
      </c>
      <c r="M3" s="14">
        <v>2.1579123188283185E-3</v>
      </c>
      <c r="N3" s="14">
        <v>420.5985876997317</v>
      </c>
      <c r="O3" s="14">
        <v>153480.63063750911</v>
      </c>
      <c r="P3" s="8">
        <v>420.59858769973175</v>
      </c>
      <c r="Q3" s="54">
        <v>0.22157072546227868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0.53121406082596057</v>
      </c>
      <c r="F4" s="14">
        <v>0.48856523701497878</v>
      </c>
      <c r="G4" s="14">
        <v>6.7476267300811624E-14</v>
      </c>
      <c r="H4" s="14">
        <v>98.292993644960276</v>
      </c>
      <c r="I4" s="14">
        <v>217.25997891939033</v>
      </c>
      <c r="J4" s="14">
        <v>0</v>
      </c>
      <c r="K4" s="14">
        <v>2.0468095644908546</v>
      </c>
      <c r="L4" s="14">
        <v>0.48856523701497884</v>
      </c>
      <c r="M4" s="14">
        <v>0.40086777697079012</v>
      </c>
      <c r="N4" s="14">
        <v>12.675211924255628</v>
      </c>
      <c r="O4" s="14">
        <v>4022.0982478047954</v>
      </c>
      <c r="P4" s="8">
        <v>12.675211924255628</v>
      </c>
      <c r="Q4" s="54">
        <v>0.31044147130416661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0.40581430847144884</v>
      </c>
      <c r="F5" s="14">
        <v>2.9923561373454637E-2</v>
      </c>
      <c r="G5" s="14">
        <v>5.7478015850848773E-6</v>
      </c>
      <c r="H5" s="14">
        <v>828.08187726920551</v>
      </c>
      <c r="I5" s="14">
        <v>2225.0022315990195</v>
      </c>
      <c r="J5" s="14">
        <v>0</v>
      </c>
      <c r="K5" s="14">
        <v>33.418482095754342</v>
      </c>
      <c r="L5" s="14">
        <v>2.9923561373454637E-2</v>
      </c>
      <c r="M5" s="14">
        <v>2.455228210691953E-2</v>
      </c>
      <c r="N5" s="14">
        <v>131.08204397302592</v>
      </c>
      <c r="O5" s="14">
        <v>45956.053796503147</v>
      </c>
      <c r="P5" s="8">
        <v>131.08204397302592</v>
      </c>
      <c r="Q5" s="54">
        <v>0.33878989705822332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0.38228670743344711</v>
      </c>
      <c r="F6" s="14">
        <v>1.2237980713521621E-3</v>
      </c>
      <c r="G6" s="14">
        <v>5.4062764815814792E-7</v>
      </c>
      <c r="H6" s="14">
        <v>183.21868611467698</v>
      </c>
      <c r="I6" s="14">
        <v>8331.5716822354516</v>
      </c>
      <c r="J6" s="14">
        <v>0</v>
      </c>
      <c r="K6" s="14">
        <v>817.12826928637833</v>
      </c>
      <c r="L6" s="14">
        <v>1.2237980713521621E-3</v>
      </c>
      <c r="M6" s="14">
        <v>1.004126317544449E-3</v>
      </c>
      <c r="N6" s="14">
        <v>510.05054460177041</v>
      </c>
      <c r="O6" s="14">
        <v>180807.8175558816</v>
      </c>
      <c r="P6" s="8">
        <v>510.05054460177047</v>
      </c>
      <c r="Q6" s="54">
        <v>0.17592474702846095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0.36997740925908174</v>
      </c>
      <c r="F7" s="14">
        <v>2.3884092417247186E-3</v>
      </c>
      <c r="G7" s="14">
        <v>7.7838996909955736E-7</v>
      </c>
      <c r="H7" s="14">
        <v>264.10020783335796</v>
      </c>
      <c r="I7" s="14">
        <v>7228.1293155454514</v>
      </c>
      <c r="J7" s="14">
        <v>0</v>
      </c>
      <c r="K7" s="14">
        <v>418.68871654418808</v>
      </c>
      <c r="L7" s="14">
        <v>2.388409241724719E-3</v>
      </c>
      <c r="M7" s="14">
        <v>1.9596897828351319E-3</v>
      </c>
      <c r="N7" s="14">
        <v>439.43806127350706</v>
      </c>
      <c r="O7" s="14">
        <v>155776.39834084551</v>
      </c>
      <c r="P7" s="8">
        <v>439.43806127350706</v>
      </c>
      <c r="Q7" s="54">
        <v>0.21758347760776506</v>
      </c>
    </row>
    <row r="8" spans="1:20">
      <c r="A8" s="2" t="s">
        <v>323</v>
      </c>
      <c r="B8" s="16" t="s">
        <v>324</v>
      </c>
      <c r="D8" s="14">
        <v>1</v>
      </c>
      <c r="E8" s="14">
        <v>0.36103331847529846</v>
      </c>
      <c r="F8" s="14">
        <v>5.2261979458788381E-3</v>
      </c>
      <c r="G8" s="14">
        <v>7.221615184075444E-6</v>
      </c>
      <c r="H8" s="14">
        <v>394.82610082013389</v>
      </c>
      <c r="I8" s="14">
        <v>5707.72480520713</v>
      </c>
      <c r="J8" s="14">
        <v>0</v>
      </c>
      <c r="K8" s="14">
        <v>191.34369006986392</v>
      </c>
      <c r="L8" s="14">
        <v>5.2261979458788389E-3</v>
      </c>
      <c r="M8" s="14">
        <v>4.2880954145935873E-3</v>
      </c>
      <c r="N8" s="14">
        <v>343.99498547801693</v>
      </c>
      <c r="O8" s="14">
        <v>110092.15515238454</v>
      </c>
      <c r="P8" s="8">
        <v>343.99498547801693</v>
      </c>
      <c r="Q8" s="54">
        <v>0.26832616626837796</v>
      </c>
    </row>
    <row r="9" spans="1:20">
      <c r="A9" s="2" t="s">
        <v>325</v>
      </c>
      <c r="B9" s="16" t="s">
        <v>326</v>
      </c>
      <c r="D9" s="14">
        <v>1</v>
      </c>
      <c r="E9" s="14">
        <v>0.35713517700911013</v>
      </c>
      <c r="F9" s="14">
        <v>0.16240519648892907</v>
      </c>
      <c r="G9" s="14">
        <v>3.070353703880169E-6</v>
      </c>
      <c r="H9" s="14">
        <v>462.76437820671038</v>
      </c>
      <c r="I9" s="14">
        <v>841.42825615082404</v>
      </c>
      <c r="J9" s="14">
        <v>0</v>
      </c>
      <c r="K9" s="14">
        <v>6.1574384417444952</v>
      </c>
      <c r="L9" s="14">
        <v>0.16240519648892907</v>
      </c>
      <c r="M9" s="14">
        <v>0.1332534637191663</v>
      </c>
      <c r="N9" s="14">
        <v>48.592280197844175</v>
      </c>
      <c r="O9" s="14">
        <v>14789.060478213874</v>
      </c>
      <c r="P9" s="8">
        <v>48.592280197844175</v>
      </c>
      <c r="Q9" s="54">
        <v>0.41078737913785857</v>
      </c>
    </row>
    <row r="10" spans="1:20">
      <c r="A10" s="2" t="s">
        <v>275</v>
      </c>
      <c r="B10" s="16" t="s">
        <v>276</v>
      </c>
      <c r="D10" s="14">
        <v>1</v>
      </c>
      <c r="E10" s="14">
        <v>0.40097277176420804</v>
      </c>
      <c r="F10" s="14">
        <v>2.7649200643914438E-2</v>
      </c>
      <c r="G10" s="14">
        <v>7.3372120016824776E-8</v>
      </c>
      <c r="H10" s="14">
        <v>805.93975708878827</v>
      </c>
      <c r="I10" s="14">
        <v>2362.4343618566677</v>
      </c>
      <c r="J10" s="14">
        <v>0</v>
      </c>
      <c r="K10" s="14">
        <v>36.167410873055346</v>
      </c>
      <c r="L10" s="14">
        <v>2.7649200643914441E-2</v>
      </c>
      <c r="M10" s="14">
        <v>2.2686169128331799E-2</v>
      </c>
      <c r="N10" s="14">
        <v>139.33985525017911</v>
      </c>
      <c r="O10" s="14">
        <v>51624.022971638864</v>
      </c>
      <c r="P10" s="8">
        <v>139.33985525017914</v>
      </c>
      <c r="Q10" s="54">
        <v>0.33850084009715897</v>
      </c>
    </row>
    <row r="11" spans="1:20">
      <c r="A11" s="2" t="s">
        <v>327</v>
      </c>
      <c r="B11" s="16" t="s">
        <v>328</v>
      </c>
      <c r="D11" s="14">
        <v>1</v>
      </c>
      <c r="E11" s="14">
        <v>0.39306365489511358</v>
      </c>
      <c r="F11" s="14">
        <v>2.4149942061460056E-2</v>
      </c>
      <c r="G11" s="14">
        <v>3.7788928771667675E-6</v>
      </c>
      <c r="H11" s="14">
        <v>767.60199211517147</v>
      </c>
      <c r="I11" s="14">
        <v>2601.3169089806534</v>
      </c>
      <c r="J11" s="14">
        <v>0</v>
      </c>
      <c r="K11" s="14">
        <v>41.40796683714867</v>
      </c>
      <c r="L11" s="14">
        <v>2.414994206146006E-2</v>
      </c>
      <c r="M11" s="14">
        <v>1.9815027461427978E-2</v>
      </c>
      <c r="N11" s="14">
        <v>153.72706587755312</v>
      </c>
      <c r="O11" s="14">
        <v>58556.176663418766</v>
      </c>
      <c r="P11" s="8">
        <v>153.72706587755314</v>
      </c>
      <c r="Q11" s="54">
        <v>0.33681642657636657</v>
      </c>
    </row>
    <row r="12" spans="1:20">
      <c r="A12" s="2" t="s">
        <v>329</v>
      </c>
      <c r="B12" s="16" t="s">
        <v>330</v>
      </c>
      <c r="D12" s="14">
        <v>1</v>
      </c>
      <c r="E12" s="14">
        <v>0.36389819946329571</v>
      </c>
      <c r="F12" s="14">
        <v>0.12070305775739808</v>
      </c>
      <c r="G12" s="14">
        <v>1.8602304963492085E-6</v>
      </c>
      <c r="H12" s="14">
        <v>581.48467334759243</v>
      </c>
      <c r="I12" s="14">
        <v>1017.174450403074</v>
      </c>
      <c r="J12" s="14">
        <v>0</v>
      </c>
      <c r="K12" s="14">
        <v>8.2847942593957065</v>
      </c>
      <c r="L12" s="14">
        <v>0.12070305775739809</v>
      </c>
      <c r="M12" s="14">
        <v>9.9036858889945137E-2</v>
      </c>
      <c r="N12" s="14">
        <v>58.918519043138687</v>
      </c>
      <c r="O12" s="14">
        <v>16167.241625437255</v>
      </c>
      <c r="P12" s="8">
        <v>58.918519043138694</v>
      </c>
      <c r="Q12" s="54">
        <v>0.40141670611173919</v>
      </c>
    </row>
    <row r="13" spans="1:20">
      <c r="A13" s="2" t="s">
        <v>277</v>
      </c>
      <c r="B13" s="16" t="s">
        <v>278</v>
      </c>
      <c r="D13" s="14">
        <v>1</v>
      </c>
      <c r="E13" s="14">
        <v>0.35709845141646557</v>
      </c>
      <c r="F13" s="14">
        <v>0.15802298541253032</v>
      </c>
      <c r="G13" s="14">
        <v>4.846505947544819E-6</v>
      </c>
      <c r="H13" s="14">
        <v>473.36948929784791</v>
      </c>
      <c r="I13" s="14">
        <v>857.54601500035858</v>
      </c>
      <c r="J13" s="14">
        <v>0</v>
      </c>
      <c r="K13" s="14">
        <v>6.328193315608031</v>
      </c>
      <c r="L13" s="14">
        <v>0.15802298541253035</v>
      </c>
      <c r="M13" s="14">
        <v>0.12965785953098113</v>
      </c>
      <c r="N13" s="14">
        <v>49.536013101918677</v>
      </c>
      <c r="O13" s="14">
        <v>20157.689811563767</v>
      </c>
      <c r="P13" s="8">
        <v>49.536013101918677</v>
      </c>
      <c r="Q13" s="54">
        <v>0.41025835386691578</v>
      </c>
    </row>
    <row r="14" spans="1:20">
      <c r="A14" s="2" t="s">
        <v>331</v>
      </c>
      <c r="B14" s="16" t="s">
        <v>332</v>
      </c>
      <c r="D14" s="14">
        <v>1</v>
      </c>
      <c r="E14" s="14">
        <v>0.37427943751963016</v>
      </c>
      <c r="F14" s="14">
        <v>1.558285658742989E-2</v>
      </c>
      <c r="G14" s="14">
        <v>2.4488126579061315E-6</v>
      </c>
      <c r="H14" s="14">
        <v>647.77931178679808</v>
      </c>
      <c r="I14" s="14">
        <v>3441.7890182617184</v>
      </c>
      <c r="J14" s="14">
        <v>0</v>
      </c>
      <c r="K14" s="14">
        <v>64.173086262416263</v>
      </c>
      <c r="L14" s="14">
        <v>1.5582856587429892E-2</v>
      </c>
      <c r="M14" s="14">
        <v>1.2785733829986226E-2</v>
      </c>
      <c r="N14" s="14">
        <v>204.63003498307597</v>
      </c>
      <c r="O14" s="14">
        <v>77945.626625403471</v>
      </c>
      <c r="P14" s="8">
        <v>204.63003498307597</v>
      </c>
      <c r="Q14" s="54">
        <v>0.32552492277577832</v>
      </c>
    </row>
    <row r="15" spans="1:20">
      <c r="A15" s="2" t="s">
        <v>333</v>
      </c>
      <c r="B15" s="16" t="s">
        <v>334</v>
      </c>
      <c r="D15" s="14">
        <v>1</v>
      </c>
      <c r="E15" s="14">
        <v>0.39698553391976327</v>
      </c>
      <c r="F15" s="14">
        <v>2.5854598320638696E-2</v>
      </c>
      <c r="G15" s="14">
        <v>4.1370072559322109E-9</v>
      </c>
      <c r="H15" s="14">
        <v>786.96930768577352</v>
      </c>
      <c r="I15" s="14">
        <v>2480.3614089360863</v>
      </c>
      <c r="J15" s="14">
        <v>0</v>
      </c>
      <c r="K15" s="14">
        <v>38.677839338224786</v>
      </c>
      <c r="L15" s="14">
        <v>2.5854598320638699E-2</v>
      </c>
      <c r="M15" s="14">
        <v>2.1213697922084052E-2</v>
      </c>
      <c r="N15" s="14">
        <v>146.43699799990034</v>
      </c>
      <c r="O15" s="14">
        <v>56302.096991001687</v>
      </c>
      <c r="P15" s="8">
        <v>146.43699799990034</v>
      </c>
      <c r="Q15" s="54">
        <v>0.3378430317260161</v>
      </c>
    </row>
    <row r="16" spans="1:20">
      <c r="A16" s="2" t="s">
        <v>335</v>
      </c>
      <c r="B16" s="16" t="s">
        <v>336</v>
      </c>
      <c r="D16" s="14">
        <v>1</v>
      </c>
      <c r="E16" s="14">
        <v>0.36052546138839592</v>
      </c>
      <c r="F16" s="14">
        <v>5.4014264932728444E-3</v>
      </c>
      <c r="G16" s="14">
        <v>1.8742907331009229E-5</v>
      </c>
      <c r="H16" s="14">
        <v>401.0591880631373</v>
      </c>
      <c r="I16" s="14">
        <v>5632.038838397184</v>
      </c>
      <c r="J16" s="14">
        <v>0</v>
      </c>
      <c r="K16" s="14">
        <v>185.13627858223015</v>
      </c>
      <c r="L16" s="14">
        <v>5.4014264932728453E-3</v>
      </c>
      <c r="M16" s="14">
        <v>4.4318704377303694E-3</v>
      </c>
      <c r="N16" s="14">
        <v>339.29934489411215</v>
      </c>
      <c r="O16" s="14">
        <v>126667.23143586995</v>
      </c>
      <c r="P16" s="8">
        <v>339.29934489411221</v>
      </c>
      <c r="Q16" s="54">
        <v>0.27018774148000591</v>
      </c>
    </row>
    <row r="17" spans="1:21">
      <c r="A17" s="2" t="s">
        <v>337</v>
      </c>
      <c r="B17" s="16" t="s">
        <v>338</v>
      </c>
      <c r="D17" s="14">
        <v>1</v>
      </c>
      <c r="E17" s="14">
        <v>0.4042564258035008</v>
      </c>
      <c r="F17" s="14">
        <v>2.9155055975015439E-2</v>
      </c>
      <c r="G17" s="14">
        <v>1.4734057733524947E-6</v>
      </c>
      <c r="H17" s="14">
        <v>820.9068498904852</v>
      </c>
      <c r="I17" s="14">
        <v>2270.6544623694294</v>
      </c>
      <c r="J17" s="14">
        <v>0</v>
      </c>
      <c r="K17" s="14">
        <v>34.299368207591662</v>
      </c>
      <c r="L17" s="14">
        <v>2.9155055975015443E-2</v>
      </c>
      <c r="M17" s="14">
        <v>2.392172342750017E-2</v>
      </c>
      <c r="N17" s="14">
        <v>133.82314555853813</v>
      </c>
      <c r="O17" s="14">
        <v>52100.027028850061</v>
      </c>
      <c r="P17" s="8">
        <v>133.82314555853813</v>
      </c>
      <c r="Q17" s="54">
        <v>0.33880596690549653</v>
      </c>
    </row>
    <row r="18" spans="1:21">
      <c r="A18" s="2" t="s">
        <v>279</v>
      </c>
      <c r="B18" s="16" t="s">
        <v>280</v>
      </c>
      <c r="D18" s="14">
        <v>1</v>
      </c>
      <c r="E18" s="14">
        <v>0.35603030675565384</v>
      </c>
      <c r="F18" s="14">
        <v>0.18165291539111536</v>
      </c>
      <c r="G18" s="14">
        <v>8.6157057865562922E-5</v>
      </c>
      <c r="H18" s="14">
        <v>413.29711369579775</v>
      </c>
      <c r="I18" s="14">
        <v>764.04606458802812</v>
      </c>
      <c r="J18" s="14">
        <v>0</v>
      </c>
      <c r="K18" s="14">
        <v>5.5050038577520679</v>
      </c>
      <c r="L18" s="14">
        <v>0.18165291539111536</v>
      </c>
      <c r="M18" s="14">
        <v>0.14904621707841015</v>
      </c>
      <c r="N18" s="14">
        <v>44.075287830338397</v>
      </c>
      <c r="O18" s="14">
        <v>12818.415959697315</v>
      </c>
      <c r="P18" s="8">
        <v>44.075287830338397</v>
      </c>
      <c r="Q18" s="54">
        <v>0.40861992817476578</v>
      </c>
    </row>
    <row r="19" spans="1:21">
      <c r="A19" s="2" t="s">
        <v>339</v>
      </c>
      <c r="B19" s="16" t="s">
        <v>340</v>
      </c>
      <c r="D19" s="14">
        <v>1</v>
      </c>
      <c r="E19" s="14">
        <v>0.39621128962930402</v>
      </c>
      <c r="F19" s="14">
        <v>2.5507555995448416E-2</v>
      </c>
      <c r="G19" s="14">
        <v>1.4483627153012197E-8</v>
      </c>
      <c r="H19" s="14">
        <v>783.1570263698386</v>
      </c>
      <c r="I19" s="14">
        <v>2504.413403724232</v>
      </c>
      <c r="J19" s="14">
        <v>0</v>
      </c>
      <c r="K19" s="14">
        <v>39.204069577596563</v>
      </c>
      <c r="L19" s="14">
        <v>2.5507555995448416E-2</v>
      </c>
      <c r="M19" s="14">
        <v>2.0928949694265425E-2</v>
      </c>
      <c r="N19" s="14">
        <v>147.88565213517049</v>
      </c>
      <c r="O19" s="14">
        <v>51116.675660521672</v>
      </c>
      <c r="P19" s="8">
        <v>147.88565213517049</v>
      </c>
      <c r="Q19" s="54">
        <v>0.33768052898600226</v>
      </c>
    </row>
    <row r="20" spans="1:21">
      <c r="A20" s="2" t="s">
        <v>281</v>
      </c>
      <c r="B20" s="16" t="s">
        <v>282</v>
      </c>
      <c r="D20" s="14">
        <v>1</v>
      </c>
      <c r="E20" s="14">
        <v>0.35723068613598374</v>
      </c>
      <c r="F20" s="14">
        <v>0.15808150183866035</v>
      </c>
      <c r="G20" s="14">
        <v>7.3381999459831408E-7</v>
      </c>
      <c r="H20" s="14">
        <v>473.54477956135224</v>
      </c>
      <c r="I20" s="14">
        <v>857.86356708247399</v>
      </c>
      <c r="J20" s="14">
        <v>0</v>
      </c>
      <c r="K20" s="14">
        <v>6.3258508324434466</v>
      </c>
      <c r="L20" s="14">
        <v>0.15808150183866038</v>
      </c>
      <c r="M20" s="14">
        <v>0.12970587225862082</v>
      </c>
      <c r="N20" s="14">
        <v>49.554356448893714</v>
      </c>
      <c r="O20" s="14">
        <v>14433.201859304783</v>
      </c>
      <c r="P20" s="8">
        <v>49.554356448893721</v>
      </c>
      <c r="Q20" s="54">
        <v>0.41041027387143675</v>
      </c>
    </row>
    <row r="21" spans="1:21">
      <c r="A21" s="2" t="s">
        <v>341</v>
      </c>
      <c r="B21" s="16" t="s">
        <v>342</v>
      </c>
      <c r="D21" s="14">
        <v>1</v>
      </c>
      <c r="E21" s="14">
        <v>0.37828751476978589</v>
      </c>
      <c r="F21" s="14">
        <v>1.7724293182022163E-2</v>
      </c>
      <c r="G21" s="14">
        <v>2.0622314837803526E-5</v>
      </c>
      <c r="H21" s="14">
        <v>681.56758149085817</v>
      </c>
      <c r="I21" s="14">
        <v>3178.089298801955</v>
      </c>
      <c r="J21" s="14">
        <v>0</v>
      </c>
      <c r="K21" s="14">
        <v>56.419739265783804</v>
      </c>
      <c r="L21" s="14">
        <v>1.7724293182022163E-2</v>
      </c>
      <c r="M21" s="14">
        <v>1.4542782555849187E-2</v>
      </c>
      <c r="N21" s="14">
        <v>188.61917175305291</v>
      </c>
      <c r="O21" s="14">
        <v>63240.235905363581</v>
      </c>
      <c r="P21" s="8">
        <v>188.61917175305294</v>
      </c>
      <c r="Q21" s="54">
        <v>0.32928056325068061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0.66660165254167547</v>
      </c>
      <c r="F22" s="14">
        <v>0.64940368141467131</v>
      </c>
      <c r="G22" s="14">
        <v>2.5110955242304956E-5</v>
      </c>
      <c r="H22" s="14">
        <v>39.340035390379406</v>
      </c>
      <c r="I22" s="14">
        <v>94.993068589889361</v>
      </c>
      <c r="J22" s="14">
        <v>0</v>
      </c>
      <c r="K22" s="14">
        <v>1.5398742394277534</v>
      </c>
      <c r="L22" s="14">
        <v>0.64940368141467131</v>
      </c>
      <c r="M22" s="14">
        <v>0.53283572060073781</v>
      </c>
      <c r="N22" s="14">
        <v>5.8684963417892746</v>
      </c>
      <c r="O22" s="14">
        <v>963.60709932179884</v>
      </c>
      <c r="P22" s="8">
        <v>5.8684963417892746</v>
      </c>
      <c r="Q22" s="54">
        <v>0.22074552948190343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0.76749079749895499</v>
      </c>
      <c r="F23" s="14">
        <v>0.75996711557089358</v>
      </c>
      <c r="G23" s="14">
        <v>9.9038325321351054E-7</v>
      </c>
      <c r="H23" s="14">
        <v>17.361002530801382</v>
      </c>
      <c r="I23" s="14">
        <v>45.043483630483344</v>
      </c>
      <c r="J23" s="14">
        <v>0</v>
      </c>
      <c r="K23" s="14">
        <v>1.3158464090236217</v>
      </c>
      <c r="L23" s="14">
        <v>0.75996711557089358</v>
      </c>
      <c r="M23" s="14">
        <v>0.62355301832591825</v>
      </c>
      <c r="N23" s="14">
        <v>3.1542007683416</v>
      </c>
      <c r="O23" s="14">
        <v>476.78898814251625</v>
      </c>
      <c r="P23" s="8">
        <v>3.1542007683416</v>
      </c>
      <c r="Q23" s="54">
        <v>0.15539318604253125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0.41288639540284294</v>
      </c>
      <c r="F24" s="14">
        <v>0.31926925255574529</v>
      </c>
      <c r="G24" s="14">
        <v>1.4700279196662639E-6</v>
      </c>
      <c r="H24" s="14">
        <v>218.72433033172354</v>
      </c>
      <c r="I24" s="14">
        <v>441.72732601579975</v>
      </c>
      <c r="J24" s="14">
        <v>0</v>
      </c>
      <c r="K24" s="14">
        <v>3.1321525389464093</v>
      </c>
      <c r="L24" s="14">
        <v>0.31926925255574529</v>
      </c>
      <c r="M24" s="14">
        <v>0.26196042172198902</v>
      </c>
      <c r="N24" s="14">
        <v>25.428817390066484</v>
      </c>
      <c r="O24" s="14">
        <v>4481.8290649992177</v>
      </c>
      <c r="P24" s="8">
        <v>25.428817390066484</v>
      </c>
      <c r="Q24" s="54">
        <v>0.38419726269015486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0.37301756786944196</v>
      </c>
      <c r="F25" s="14">
        <v>7.569840729233146E-2</v>
      </c>
      <c r="G25" s="14">
        <v>5.352482174791973E-4</v>
      </c>
      <c r="H25" s="14">
        <v>716.35243582134729</v>
      </c>
      <c r="I25" s="14">
        <v>1192.29552170596</v>
      </c>
      <c r="J25" s="14">
        <v>0</v>
      </c>
      <c r="K25" s="14">
        <v>13.210317571652579</v>
      </c>
      <c r="L25" s="14">
        <v>7.569840729233146E-2</v>
      </c>
      <c r="M25" s="14">
        <v>6.2110543183357958E-2</v>
      </c>
      <c r="N25" s="14">
        <v>69.37249793052716</v>
      </c>
      <c r="O25" s="14">
        <v>13340.331352040374</v>
      </c>
      <c r="P25" s="8">
        <v>69.37249793052716</v>
      </c>
      <c r="Q25" s="54">
        <v>0.3579183072040914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0.38188850291153426</v>
      </c>
      <c r="F26" s="14">
        <v>1.931277166034422E-2</v>
      </c>
      <c r="G26" s="14">
        <v>1.6643823185176999E-5</v>
      </c>
      <c r="H26" s="14">
        <v>705.05761205903616</v>
      </c>
      <c r="I26" s="14">
        <v>3013.5734188221791</v>
      </c>
      <c r="J26" s="14">
        <v>0</v>
      </c>
      <c r="K26" s="14">
        <v>51.779206920016804</v>
      </c>
      <c r="L26" s="14">
        <v>1.9312771660344223E-2</v>
      </c>
      <c r="M26" s="14">
        <v>1.5846129147312434E-2</v>
      </c>
      <c r="N26" s="14">
        <v>178.64555895903388</v>
      </c>
      <c r="O26" s="14">
        <v>39725.412945720367</v>
      </c>
      <c r="P26" s="8">
        <v>178.64555895903388</v>
      </c>
      <c r="Q26" s="54">
        <v>0.33180412166807127</v>
      </c>
    </row>
    <row r="27" spans="1:21">
      <c r="A27" s="2" t="s">
        <v>353</v>
      </c>
      <c r="B27" s="16" t="s">
        <v>354</v>
      </c>
      <c r="D27" s="14">
        <v>1</v>
      </c>
      <c r="E27" s="14">
        <v>0.36326659797439942</v>
      </c>
      <c r="F27" s="14">
        <v>2.894464677940032E-3</v>
      </c>
      <c r="G27" s="14">
        <v>1.1066154817787233E-4</v>
      </c>
      <c r="H27" s="14">
        <v>290.98342680800693</v>
      </c>
      <c r="I27" s="14">
        <v>6789.3066522747449</v>
      </c>
      <c r="J27" s="14">
        <v>0</v>
      </c>
      <c r="K27" s="14">
        <v>345.48702826516859</v>
      </c>
      <c r="L27" s="14">
        <v>2.894464677940032E-3</v>
      </c>
      <c r="M27" s="14">
        <v>2.3749082682497963E-3</v>
      </c>
      <c r="N27" s="14">
        <v>411.86102362461514</v>
      </c>
      <c r="O27" s="14">
        <v>97359.827374622764</v>
      </c>
      <c r="P27" s="8">
        <v>411.86102362461514</v>
      </c>
      <c r="Q27" s="54">
        <v>0.22846802365284394</v>
      </c>
    </row>
    <row r="28" spans="1:21">
      <c r="A28" s="2" t="s">
        <v>355</v>
      </c>
      <c r="B28" s="16" t="s">
        <v>356</v>
      </c>
      <c r="D28" s="14">
        <v>1</v>
      </c>
      <c r="E28" s="14">
        <v>0.36443721550041402</v>
      </c>
      <c r="F28" s="14">
        <v>1.0363862628390301E-2</v>
      </c>
      <c r="G28" s="14">
        <v>6.0736552285089234E-6</v>
      </c>
      <c r="H28" s="14">
        <v>544.2790872849921</v>
      </c>
      <c r="I28" s="14">
        <v>4278.3747118389265</v>
      </c>
      <c r="J28" s="14">
        <v>0</v>
      </c>
      <c r="K28" s="14">
        <v>96.489121465258023</v>
      </c>
      <c r="L28" s="14">
        <v>1.0363862628390301E-2</v>
      </c>
      <c r="M28" s="14">
        <v>8.5035492865942423E-3</v>
      </c>
      <c r="N28" s="14">
        <v>255.72206050190329</v>
      </c>
      <c r="O28" s="14">
        <v>66078.580433691808</v>
      </c>
      <c r="P28" s="8">
        <v>255.72206050190331</v>
      </c>
      <c r="Q28" s="54">
        <v>0.30780723139493926</v>
      </c>
    </row>
    <row r="29" spans="1:21">
      <c r="A29" s="2" t="s">
        <v>357</v>
      </c>
      <c r="B29" s="16" t="s">
        <v>358</v>
      </c>
      <c r="D29" s="14">
        <v>1</v>
      </c>
      <c r="E29" s="14">
        <v>0.33695129475818364</v>
      </c>
      <c r="F29" s="14">
        <v>1.4599132331116402E-2</v>
      </c>
      <c r="G29" s="14">
        <v>1.1493585552767712E-3</v>
      </c>
      <c r="H29" s="14">
        <v>591.32609567004499</v>
      </c>
      <c r="I29" s="14">
        <v>3008.0442171649106</v>
      </c>
      <c r="J29" s="14">
        <v>0</v>
      </c>
      <c r="K29" s="14">
        <v>68.497221432030784</v>
      </c>
      <c r="L29" s="14">
        <v>1.4599132331116402E-2</v>
      </c>
      <c r="M29" s="14">
        <v>1.1978588077681008E-2</v>
      </c>
      <c r="N29" s="14">
        <v>178.73682466034276</v>
      </c>
      <c r="O29" s="14">
        <v>42251.597981458421</v>
      </c>
      <c r="P29" s="8">
        <v>178.73682466034276</v>
      </c>
      <c r="Q29" s="54">
        <v>0.29328119415315024</v>
      </c>
    </row>
    <row r="30" spans="1:21">
      <c r="A30" s="2" t="s">
        <v>359</v>
      </c>
      <c r="B30" s="16" t="s">
        <v>360</v>
      </c>
      <c r="D30" s="14">
        <v>1</v>
      </c>
      <c r="E30" s="14">
        <v>0.36443721550041402</v>
      </c>
      <c r="F30" s="14">
        <v>1.0363862628390301E-2</v>
      </c>
      <c r="G30" s="14">
        <v>6.0736552285089234E-6</v>
      </c>
      <c r="H30" s="14">
        <v>544.2790872849921</v>
      </c>
      <c r="I30" s="14">
        <v>4278.3747118389265</v>
      </c>
      <c r="J30" s="14">
        <v>0</v>
      </c>
      <c r="K30" s="14">
        <v>96.489121465258023</v>
      </c>
      <c r="L30" s="14">
        <v>1.0363862628390301E-2</v>
      </c>
      <c r="M30" s="14">
        <v>8.5035492865942423E-3</v>
      </c>
      <c r="N30" s="14">
        <v>255.72206050190329</v>
      </c>
      <c r="O30" s="14">
        <v>66078.580433691808</v>
      </c>
      <c r="P30" s="8">
        <v>255.72206050190331</v>
      </c>
      <c r="Q30" s="54">
        <v>0.30780723139493926</v>
      </c>
    </row>
    <row r="31" spans="1:21">
      <c r="A31" s="2" t="s">
        <v>283</v>
      </c>
      <c r="B31" s="16" t="s">
        <v>284</v>
      </c>
      <c r="D31" s="14">
        <v>1</v>
      </c>
      <c r="E31" s="14">
        <v>0.97609114921307161</v>
      </c>
      <c r="F31" s="14">
        <v>0.97638791820952064</v>
      </c>
      <c r="G31" s="14">
        <v>2.9035605326603936E-10</v>
      </c>
      <c r="H31" s="14">
        <v>0.17009924925730152</v>
      </c>
      <c r="I31" s="14">
        <v>0.63206183492167778</v>
      </c>
      <c r="J31" s="14">
        <v>0</v>
      </c>
      <c r="K31" s="14">
        <v>1.0241830950077491</v>
      </c>
      <c r="L31" s="14">
        <v>0.97638791820952076</v>
      </c>
      <c r="M31" s="14">
        <v>0.80112628689091181</v>
      </c>
      <c r="N31" s="14">
        <v>0.87742261777091735</v>
      </c>
      <c r="O31" s="14">
        <v>170.38669814493443</v>
      </c>
      <c r="P31" s="8">
        <v>0.87742261777091735</v>
      </c>
      <c r="Q31" s="54">
        <v>1.5723874455149649E-2</v>
      </c>
    </row>
    <row r="32" spans="1:21">
      <c r="A32" s="2" t="s">
        <v>361</v>
      </c>
      <c r="B32" s="16" t="s">
        <v>362</v>
      </c>
      <c r="D32" s="14">
        <v>1</v>
      </c>
      <c r="E32" s="14">
        <v>0.58449970813816976</v>
      </c>
      <c r="F32" s="14">
        <v>0.55380237494509865</v>
      </c>
      <c r="G32" s="14">
        <v>3.0111828760230654E-10</v>
      </c>
      <c r="H32" s="14">
        <v>70.483381958982932</v>
      </c>
      <c r="I32" s="14">
        <v>160.90406322292444</v>
      </c>
      <c r="J32" s="14">
        <v>0</v>
      </c>
      <c r="K32" s="14">
        <v>1.8056982874064693</v>
      </c>
      <c r="L32" s="14">
        <v>0.55380237494509865</v>
      </c>
      <c r="M32" s="14">
        <v>0.45439484864245344</v>
      </c>
      <c r="N32" s="14">
        <v>9.6358769792113712</v>
      </c>
      <c r="O32" s="14">
        <v>2467.65173560624</v>
      </c>
      <c r="P32" s="8">
        <v>9.6358769792113712</v>
      </c>
      <c r="Q32" s="54">
        <v>0.27590972684112197</v>
      </c>
    </row>
    <row r="33" spans="1:17">
      <c r="A33" s="2" t="s">
        <v>364</v>
      </c>
      <c r="B33" s="16" t="s">
        <v>365</v>
      </c>
      <c r="D33" s="14">
        <v>1</v>
      </c>
      <c r="E33" s="14">
        <v>0.99932809831679104</v>
      </c>
      <c r="F33" s="14">
        <v>0.99929744825031941</v>
      </c>
      <c r="G33" s="14">
        <v>1.3408466553491619E-12</v>
      </c>
      <c r="H33" s="14">
        <v>1.1939737490800602</v>
      </c>
      <c r="I33" s="14">
        <v>3.3805216095875953E-3</v>
      </c>
      <c r="J33" s="14">
        <v>0</v>
      </c>
      <c r="K33" s="14">
        <v>1.00070304567565</v>
      </c>
      <c r="L33" s="14">
        <v>0.99929744825031941</v>
      </c>
      <c r="M33" s="14">
        <v>0.81992355628938707</v>
      </c>
      <c r="N33" s="14">
        <v>0.87827971267249438</v>
      </c>
      <c r="O33" s="14">
        <v>260.10253690795918</v>
      </c>
      <c r="P33" s="8">
        <v>0.87827971267249449</v>
      </c>
      <c r="Q33" s="54">
        <v>3.8546390471781976E-5</v>
      </c>
    </row>
    <row r="34" spans="1:17">
      <c r="A34" s="2" t="s">
        <v>285</v>
      </c>
      <c r="B34" s="16" t="s">
        <v>286</v>
      </c>
      <c r="D34" s="14">
        <v>1</v>
      </c>
      <c r="E34" s="14">
        <v>0.9977932789346996</v>
      </c>
      <c r="F34" s="14">
        <v>0.92229333111224521</v>
      </c>
      <c r="G34" s="14">
        <v>6.6902727371351829E-12</v>
      </c>
      <c r="H34" s="14">
        <v>215.59022628980802</v>
      </c>
      <c r="I34" s="14">
        <v>0.16393254866218326</v>
      </c>
      <c r="J34" s="14">
        <v>0</v>
      </c>
      <c r="K34" s="14">
        <v>1.0842537469007218</v>
      </c>
      <c r="L34" s="14">
        <v>0.92229333111224521</v>
      </c>
      <c r="M34" s="14">
        <v>0.75674167817759719</v>
      </c>
      <c r="N34" s="14">
        <v>2.6859452045296339</v>
      </c>
      <c r="O34" s="14">
        <v>593.70132800923034</v>
      </c>
      <c r="P34" s="8">
        <v>2.6859452045296344</v>
      </c>
      <c r="Q34" s="54">
        <v>2.2042720350331301E-4</v>
      </c>
    </row>
    <row r="35" spans="1:17">
      <c r="A35" s="2" t="s">
        <v>287</v>
      </c>
      <c r="B35" s="16" t="s">
        <v>288</v>
      </c>
      <c r="D35" s="14">
        <v>1</v>
      </c>
      <c r="E35" s="14">
        <v>0.99547811211542092</v>
      </c>
      <c r="F35" s="14">
        <v>0.82468163234104086</v>
      </c>
      <c r="G35" s="14">
        <v>2.9434092914171611E-13</v>
      </c>
      <c r="H35" s="14">
        <v>486.25751004143149</v>
      </c>
      <c r="I35" s="14">
        <v>0.87187707775640211</v>
      </c>
      <c r="J35" s="14">
        <v>0</v>
      </c>
      <c r="K35" s="14">
        <v>1.2125891505080322</v>
      </c>
      <c r="L35" s="14">
        <v>0.82468163234104086</v>
      </c>
      <c r="M35" s="14">
        <v>0.67665127933582403</v>
      </c>
      <c r="N35" s="14">
        <v>4.7543330296509296</v>
      </c>
      <c r="O35" s="14">
        <v>1094.732723407423</v>
      </c>
      <c r="P35" s="8">
        <v>4.7543330296509296</v>
      </c>
      <c r="Q35" s="54">
        <v>8.0585194769953507E-4</v>
      </c>
    </row>
    <row r="36" spans="1:17">
      <c r="A36" s="2" t="s">
        <v>366</v>
      </c>
      <c r="B36" s="16" t="s">
        <v>305</v>
      </c>
      <c r="D36" s="14">
        <v>1</v>
      </c>
      <c r="E36" s="14">
        <v>0.99022797264117524</v>
      </c>
      <c r="F36" s="14">
        <v>0.54389535606362993</v>
      </c>
      <c r="G36" s="14">
        <v>1.0259751103407336E-9</v>
      </c>
      <c r="H36" s="14">
        <v>1268.8063710481174</v>
      </c>
      <c r="I36" s="14">
        <v>3.3635566732509097</v>
      </c>
      <c r="J36" s="14">
        <v>0</v>
      </c>
      <c r="K36" s="14">
        <v>1.8385889654167422</v>
      </c>
      <c r="L36" s="14">
        <v>0.54389535606362993</v>
      </c>
      <c r="M36" s="14">
        <v>0.44626613965020839</v>
      </c>
      <c r="N36" s="14">
        <v>10.191160581032348</v>
      </c>
      <c r="O36" s="14">
        <v>2102.2326046553526</v>
      </c>
      <c r="P36" s="8">
        <v>10.191160581032348</v>
      </c>
      <c r="Q36" s="54">
        <v>1.7807327646808706E-3</v>
      </c>
    </row>
    <row r="37" spans="1:17">
      <c r="A37" s="2" t="s">
        <v>289</v>
      </c>
      <c r="B37" s="16" t="s">
        <v>290</v>
      </c>
      <c r="D37" s="14">
        <v>1</v>
      </c>
      <c r="E37" s="14">
        <v>0.79085470953982262</v>
      </c>
      <c r="F37" s="14">
        <v>0.58815762943372418</v>
      </c>
      <c r="G37" s="14">
        <v>1.3112817480330765E-16</v>
      </c>
      <c r="H37" s="14">
        <v>557.71681039028874</v>
      </c>
      <c r="I37" s="14">
        <v>176.29697127994021</v>
      </c>
      <c r="J37" s="14">
        <v>0</v>
      </c>
      <c r="K37" s="14">
        <v>1.7002244805746991</v>
      </c>
      <c r="L37" s="14">
        <v>0.58815762943372418</v>
      </c>
      <c r="M37" s="14">
        <v>0.4825833349503707</v>
      </c>
      <c r="N37" s="14">
        <v>14.304685680588742</v>
      </c>
      <c r="O37" s="14">
        <v>4984.0385848307296</v>
      </c>
      <c r="P37" s="8">
        <v>14.304685680588742</v>
      </c>
      <c r="Q37" s="54">
        <v>0.13441410707653365</v>
      </c>
    </row>
    <row r="38" spans="1:17">
      <c r="A38" s="2" t="s">
        <v>291</v>
      </c>
      <c r="B38" s="16" t="s">
        <v>292</v>
      </c>
      <c r="D38" s="14">
        <v>1</v>
      </c>
      <c r="E38" s="14">
        <v>0.99548540315650202</v>
      </c>
      <c r="F38" s="14">
        <v>0.93725508948160574</v>
      </c>
      <c r="G38" s="14">
        <v>2.0436903876229177E-14</v>
      </c>
      <c r="H38" s="14">
        <v>166.40171861003668</v>
      </c>
      <c r="I38" s="14">
        <v>1.2871716638018273</v>
      </c>
      <c r="J38" s="14">
        <v>0</v>
      </c>
      <c r="K38" s="14">
        <v>1.0669453932259769</v>
      </c>
      <c r="L38" s="14">
        <v>0.93725508948160574</v>
      </c>
      <c r="M38" s="14">
        <v>0.76901780091965755</v>
      </c>
      <c r="N38" s="14">
        <v>2.3546055506817689</v>
      </c>
      <c r="O38" s="14">
        <v>725.99552944170978</v>
      </c>
      <c r="P38" s="8">
        <v>2.3546055506817694</v>
      </c>
      <c r="Q38" s="54">
        <v>1.9348017454224463E-3</v>
      </c>
    </row>
    <row r="39" spans="1:17">
      <c r="A39" s="2" t="s">
        <v>367</v>
      </c>
      <c r="B39" s="16" t="s">
        <v>368</v>
      </c>
      <c r="D39" s="14">
        <v>1</v>
      </c>
      <c r="E39" s="14">
        <v>0.44078747834594434</v>
      </c>
      <c r="F39" s="14">
        <v>4.6659454236211484E-2</v>
      </c>
      <c r="G39" s="14">
        <v>7.2498353309719632E-7</v>
      </c>
      <c r="H39" s="14">
        <v>953.6733676276923</v>
      </c>
      <c r="I39" s="14">
        <v>1542.257267506448</v>
      </c>
      <c r="J39" s="14">
        <v>0</v>
      </c>
      <c r="K39" s="14">
        <v>21.431883770811869</v>
      </c>
      <c r="L39" s="14">
        <v>4.6659454236211484E-2</v>
      </c>
      <c r="M39" s="14">
        <v>3.8284082200811524E-2</v>
      </c>
      <c r="N39" s="14">
        <v>90.257089856901644</v>
      </c>
      <c r="O39" s="14">
        <v>25122.158390770004</v>
      </c>
      <c r="P39" s="8">
        <v>90.257089856901658</v>
      </c>
      <c r="Q39" s="54">
        <v>0.3347779344094659</v>
      </c>
    </row>
    <row r="40" spans="1:17">
      <c r="A40" s="2" t="s">
        <v>369</v>
      </c>
      <c r="B40" s="16" t="s">
        <v>370</v>
      </c>
      <c r="D40" s="14">
        <v>1</v>
      </c>
      <c r="E40" s="14">
        <v>0.49347066415971902</v>
      </c>
      <c r="F40" s="14">
        <v>5.0119765738395007E-3</v>
      </c>
      <c r="G40" s="14">
        <v>5.0879419062275454E-14</v>
      </c>
      <c r="H40" s="14">
        <v>1294.6400336793622</v>
      </c>
      <c r="I40" s="14">
        <v>867.22347381790189</v>
      </c>
      <c r="J40" s="14">
        <v>0</v>
      </c>
      <c r="K40" s="14">
        <v>199.52208181091612</v>
      </c>
      <c r="L40" s="14">
        <v>5.0119765738395007E-3</v>
      </c>
      <c r="M40" s="14">
        <v>4.11232677883531E-3</v>
      </c>
      <c r="N40" s="14">
        <v>703.14280102455575</v>
      </c>
      <c r="O40" s="14">
        <v>286108.80573689169</v>
      </c>
      <c r="P40" s="8">
        <v>703.14280102455575</v>
      </c>
      <c r="Q40" s="54">
        <v>9.6723282049963003E-3</v>
      </c>
    </row>
    <row r="41" spans="1:17">
      <c r="A41" s="2" t="s">
        <v>371</v>
      </c>
      <c r="B41" s="16" t="s">
        <v>372</v>
      </c>
      <c r="D41" s="14">
        <v>1</v>
      </c>
      <c r="E41" s="14">
        <v>0.91338060824016853</v>
      </c>
      <c r="F41" s="14">
        <v>0.91373263647565683</v>
      </c>
      <c r="G41" s="14">
        <v>9.0558167328956345E-4</v>
      </c>
      <c r="H41" s="14">
        <v>7.9195250566185312E-3</v>
      </c>
      <c r="I41" s="14">
        <v>3.6707626827349078E-2</v>
      </c>
      <c r="J41" s="14">
        <v>0</v>
      </c>
      <c r="K41" s="14">
        <v>1.0944120414228429</v>
      </c>
      <c r="L41" s="14">
        <v>0.91373263647565683</v>
      </c>
      <c r="M41" s="14">
        <v>0.74971762822827648</v>
      </c>
      <c r="N41" s="14">
        <v>0.79145636129322372</v>
      </c>
      <c r="O41" s="14">
        <v>110.95426728969703</v>
      </c>
      <c r="P41" s="8">
        <v>0.79145636129322372</v>
      </c>
      <c r="Q41" s="54">
        <v>3.0800396548342729E-3</v>
      </c>
    </row>
    <row r="42" spans="1:17">
      <c r="A42" s="2" t="s">
        <v>293</v>
      </c>
      <c r="B42" s="16" t="s">
        <v>294</v>
      </c>
      <c r="D42" s="14">
        <v>1</v>
      </c>
      <c r="E42" s="14">
        <v>0.64287777015356373</v>
      </c>
      <c r="F42" s="14">
        <v>0.62224978656389229</v>
      </c>
      <c r="G42" s="14">
        <v>2.3006642497733208E-10</v>
      </c>
      <c r="H42" s="14">
        <v>47.208995128598403</v>
      </c>
      <c r="I42" s="14">
        <v>112.11970001103948</v>
      </c>
      <c r="J42" s="14">
        <v>0</v>
      </c>
      <c r="K42" s="14">
        <v>1.6070716641335809</v>
      </c>
      <c r="L42" s="14">
        <v>0.62224978656389229</v>
      </c>
      <c r="M42" s="14">
        <v>0.51055594987567365</v>
      </c>
      <c r="N42" s="14">
        <v>6.8129464308913308</v>
      </c>
      <c r="O42" s="14">
        <v>2250.7249829092602</v>
      </c>
      <c r="P42" s="8">
        <v>6.8129464308913308</v>
      </c>
      <c r="Q42" s="54">
        <v>0.23783837398121302</v>
      </c>
    </row>
    <row r="43" spans="1:17">
      <c r="A43" s="2" t="s">
        <v>373</v>
      </c>
      <c r="B43" s="16" t="s">
        <v>374</v>
      </c>
      <c r="D43" s="14">
        <v>1</v>
      </c>
      <c r="E43" s="14">
        <v>0.97015286576490511</v>
      </c>
      <c r="F43" s="14">
        <v>7.9571404513642377E-2</v>
      </c>
      <c r="G43" s="14">
        <v>4.3086363736810913E-9</v>
      </c>
      <c r="H43" s="14">
        <v>2529.164188660638</v>
      </c>
      <c r="I43" s="14">
        <v>19.772453401037893</v>
      </c>
      <c r="J43" s="14">
        <v>0</v>
      </c>
      <c r="K43" s="14">
        <v>12.567328754748216</v>
      </c>
      <c r="L43" s="14">
        <v>7.9571404513642391E-2</v>
      </c>
      <c r="M43" s="14">
        <v>6.5288337403443572E-2</v>
      </c>
      <c r="N43" s="14">
        <v>37.219962866227526</v>
      </c>
      <c r="O43" s="14">
        <v>9913.1649097910376</v>
      </c>
      <c r="P43" s="8">
        <v>37.219962866227526</v>
      </c>
      <c r="Q43" s="54">
        <v>2.5601214047368637E-3</v>
      </c>
    </row>
    <row r="44" spans="1:17">
      <c r="A44" s="2" t="s">
        <v>375</v>
      </c>
      <c r="B44" s="16" t="s">
        <v>376</v>
      </c>
      <c r="D44" s="14">
        <v>1</v>
      </c>
      <c r="E44" s="14">
        <v>0.78234704447462677</v>
      </c>
      <c r="F44" s="14">
        <v>0.78006112208218115</v>
      </c>
      <c r="G44" s="14">
        <v>9.6466633128327369E-4</v>
      </c>
      <c r="H44" s="14">
        <v>5.6409030214369329</v>
      </c>
      <c r="I44" s="14">
        <v>15.929634242521661</v>
      </c>
      <c r="J44" s="14">
        <v>0</v>
      </c>
      <c r="K44" s="14">
        <v>1.2819508262772361</v>
      </c>
      <c r="L44" s="14">
        <v>0.78006112208218115</v>
      </c>
      <c r="M44" s="14">
        <v>0.64004015066842967</v>
      </c>
      <c r="N44" s="14">
        <v>1.5493994925431596</v>
      </c>
      <c r="O44" s="14">
        <v>231.48028418594805</v>
      </c>
      <c r="P44" s="8">
        <v>1.5493994925431598</v>
      </c>
      <c r="Q44" s="54">
        <v>8.758017409394131E-2</v>
      </c>
    </row>
    <row r="45" spans="1:17">
      <c r="A45" s="2" t="s">
        <v>377</v>
      </c>
      <c r="B45" s="16" t="s">
        <v>378</v>
      </c>
      <c r="D45" s="14">
        <v>1</v>
      </c>
      <c r="E45" s="14">
        <v>0.61953643227550015</v>
      </c>
      <c r="F45" s="14">
        <v>0.59544688321793271</v>
      </c>
      <c r="G45" s="14">
        <v>8.9786597485887914E-6</v>
      </c>
      <c r="H45" s="14">
        <v>55.180169011758771</v>
      </c>
      <c r="I45" s="14">
        <v>129.1338790901066</v>
      </c>
      <c r="J45" s="14">
        <v>0</v>
      </c>
      <c r="K45" s="14">
        <v>1.6794109234324457</v>
      </c>
      <c r="L45" s="14">
        <v>0.59544688321793271</v>
      </c>
      <c r="M45" s="14">
        <v>0.48856416768031374</v>
      </c>
      <c r="N45" s="14">
        <v>7.7533754346410513</v>
      </c>
      <c r="O45" s="14">
        <v>1723.1101565946274</v>
      </c>
      <c r="P45" s="8">
        <v>7.7533754346410513</v>
      </c>
      <c r="Q45" s="54">
        <v>0.25260398474144263</v>
      </c>
    </row>
    <row r="46" spans="1:17">
      <c r="A46" s="2" t="s">
        <v>379</v>
      </c>
      <c r="B46" s="16" t="s">
        <v>380</v>
      </c>
      <c r="D46" s="14">
        <v>1</v>
      </c>
      <c r="E46" s="14">
        <v>0.6328327700125691</v>
      </c>
      <c r="F46" s="14">
        <v>0.61100586497016884</v>
      </c>
      <c r="G46" s="14">
        <v>2.6553016582567094E-5</v>
      </c>
      <c r="H46" s="14">
        <v>49.967242032961018</v>
      </c>
      <c r="I46" s="14">
        <v>118.01645084008715</v>
      </c>
      <c r="J46" s="14">
        <v>0</v>
      </c>
      <c r="K46" s="14">
        <v>1.6366455010195737</v>
      </c>
      <c r="L46" s="14">
        <v>0.61100586497016884</v>
      </c>
      <c r="M46" s="14">
        <v>0.5013303122080236</v>
      </c>
      <c r="N46" s="14">
        <v>7.1371441303792595</v>
      </c>
      <c r="O46" s="14">
        <v>917.55124940155758</v>
      </c>
      <c r="P46" s="8">
        <v>7.1371441303792595</v>
      </c>
      <c r="Q46" s="54">
        <v>0.24285248388252059</v>
      </c>
    </row>
    <row r="47" spans="1:17">
      <c r="A47" s="2" t="s">
        <v>381</v>
      </c>
      <c r="B47" s="16" t="s">
        <v>382</v>
      </c>
      <c r="D47" s="14">
        <v>1</v>
      </c>
      <c r="E47" s="14">
        <v>0.36826099399193574</v>
      </c>
      <c r="F47" s="14">
        <v>2.6682928362550444E-3</v>
      </c>
      <c r="G47" s="14">
        <v>1.9009118495650543E-9</v>
      </c>
      <c r="H47" s="14">
        <v>280.11314538207512</v>
      </c>
      <c r="I47" s="14">
        <v>7027.3350603087038</v>
      </c>
      <c r="J47" s="14">
        <v>0</v>
      </c>
      <c r="K47" s="14">
        <v>374.77145926887937</v>
      </c>
      <c r="L47" s="14">
        <v>2.6682928362550444E-3</v>
      </c>
      <c r="M47" s="14">
        <v>2.1893342721472642E-3</v>
      </c>
      <c r="N47" s="14">
        <v>426.72303913059028</v>
      </c>
      <c r="O47" s="14">
        <v>166972.45798140866</v>
      </c>
      <c r="P47" s="8">
        <v>426.72303913059028</v>
      </c>
      <c r="Q47" s="54">
        <v>0.22479707758584452</v>
      </c>
    </row>
    <row r="48" spans="1:17">
      <c r="A48" s="2" t="s">
        <v>383</v>
      </c>
      <c r="B48" s="16" t="s">
        <v>384</v>
      </c>
      <c r="D48" s="14">
        <v>1</v>
      </c>
      <c r="E48" s="14">
        <v>0.91055716308357781</v>
      </c>
      <c r="F48" s="14">
        <v>0.91006935780208642</v>
      </c>
      <c r="G48" s="14">
        <v>1.3128133352449686E-4</v>
      </c>
      <c r="H48" s="14">
        <v>1.7929760640634775</v>
      </c>
      <c r="I48" s="14">
        <v>5.5722637251794396</v>
      </c>
      <c r="J48" s="14">
        <v>0</v>
      </c>
      <c r="K48" s="14">
        <v>1.0988173499381471</v>
      </c>
      <c r="L48" s="14">
        <v>0.91006935780208642</v>
      </c>
      <c r="M48" s="14">
        <v>0.74671190807661192</v>
      </c>
      <c r="N48" s="14">
        <v>1.0894973968018555</v>
      </c>
      <c r="O48" s="14">
        <v>101.4648925641568</v>
      </c>
      <c r="P48" s="8">
        <v>1.0894973968018555</v>
      </c>
      <c r="Q48" s="54">
        <v>5.1883786386982884E-2</v>
      </c>
    </row>
    <row r="49" spans="1:17">
      <c r="A49" s="2" t="s">
        <v>385</v>
      </c>
      <c r="B49" s="16" t="s">
        <v>386</v>
      </c>
      <c r="D49" s="14">
        <v>1</v>
      </c>
      <c r="E49" s="14">
        <v>0.87471674701178703</v>
      </c>
      <c r="F49" s="14">
        <v>0.87356314648518851</v>
      </c>
      <c r="G49" s="14">
        <v>2.4656009664179754E-4</v>
      </c>
      <c r="H49" s="14">
        <v>3.2158390452753283</v>
      </c>
      <c r="I49" s="14">
        <v>9.5444624719621185</v>
      </c>
      <c r="J49" s="14">
        <v>0</v>
      </c>
      <c r="K49" s="14">
        <v>1.1447369363320035</v>
      </c>
      <c r="L49" s="14">
        <v>0.87356314648518862</v>
      </c>
      <c r="M49" s="14">
        <v>0.7167585616910972</v>
      </c>
      <c r="N49" s="14">
        <v>1.2765655715791826</v>
      </c>
      <c r="O49" s="14">
        <v>141.85196631387879</v>
      </c>
      <c r="P49" s="8">
        <v>1.2765655715791826</v>
      </c>
      <c r="Q49" s="54">
        <v>6.8984492663483457E-2</v>
      </c>
    </row>
    <row r="50" spans="1:17">
      <c r="A50" s="2" t="s">
        <v>387</v>
      </c>
      <c r="B50" s="16" t="s">
        <v>388</v>
      </c>
      <c r="D50" s="14">
        <v>1</v>
      </c>
      <c r="E50" s="14">
        <v>0.35408068642706153</v>
      </c>
      <c r="F50" s="14">
        <v>0.18720927112547533</v>
      </c>
      <c r="G50" s="14">
        <v>1.8121570797685664E-4</v>
      </c>
      <c r="H50" s="14">
        <v>395.15488249569466</v>
      </c>
      <c r="I50" s="14">
        <v>734.55534490938351</v>
      </c>
      <c r="J50" s="14">
        <v>0</v>
      </c>
      <c r="K50" s="14">
        <v>5.3416157970603866</v>
      </c>
      <c r="L50" s="14">
        <v>0.18720927112547533</v>
      </c>
      <c r="M50" s="14">
        <v>0.15360520695845251</v>
      </c>
      <c r="N50" s="14">
        <v>42.360051042878645</v>
      </c>
      <c r="O50" s="14">
        <v>8363.9920784163878</v>
      </c>
      <c r="P50" s="8">
        <v>42.360051042878645</v>
      </c>
      <c r="Q50" s="54">
        <v>0.40497155828437931</v>
      </c>
    </row>
    <row r="51" spans="1:17">
      <c r="A51" s="2" t="s">
        <v>295</v>
      </c>
      <c r="B51" s="16" t="s">
        <v>296</v>
      </c>
      <c r="D51" s="14">
        <v>1</v>
      </c>
      <c r="E51" s="14">
        <v>0.90451344928055644</v>
      </c>
      <c r="F51" s="14">
        <v>0.90472628291535628</v>
      </c>
      <c r="G51" s="14">
        <v>7.2655031389193237E-4</v>
      </c>
      <c r="H51" s="14">
        <v>0.28723490002906965</v>
      </c>
      <c r="I51" s="14">
        <v>1.0211613712034788</v>
      </c>
      <c r="J51" s="14">
        <v>0</v>
      </c>
      <c r="K51" s="14">
        <v>1.1053066754926553</v>
      </c>
      <c r="L51" s="14">
        <v>0.90472628291535628</v>
      </c>
      <c r="M51" s="14">
        <v>0.74232791513204988</v>
      </c>
      <c r="N51" s="14">
        <v>0.83652660717688843</v>
      </c>
      <c r="O51" s="14">
        <v>48.585465344833679</v>
      </c>
      <c r="P51" s="8">
        <v>0.83652660717688854</v>
      </c>
      <c r="Q51" s="54">
        <v>1.9920231344798426E-2</v>
      </c>
    </row>
    <row r="52" spans="1:17">
      <c r="A52" s="2" t="s">
        <v>389</v>
      </c>
      <c r="B52" s="16" t="s">
        <v>390</v>
      </c>
      <c r="D52" s="14">
        <v>1</v>
      </c>
      <c r="E52" s="14">
        <v>0.75606843347802488</v>
      </c>
      <c r="F52" s="14">
        <v>0.75185815648915066</v>
      </c>
      <c r="G52" s="14">
        <v>7.9400713161618518E-4</v>
      </c>
      <c r="H52" s="14">
        <v>9.9082262626586441</v>
      </c>
      <c r="I52" s="14">
        <v>26.770290640687172</v>
      </c>
      <c r="J52" s="14">
        <v>0</v>
      </c>
      <c r="K52" s="14">
        <v>1.3300381080782089</v>
      </c>
      <c r="L52" s="14">
        <v>0.75185815648915078</v>
      </c>
      <c r="M52" s="14">
        <v>0.61689961739934818</v>
      </c>
      <c r="N52" s="14">
        <v>2.127642299113893</v>
      </c>
      <c r="O52" s="14">
        <v>227.97687235005364</v>
      </c>
      <c r="P52" s="8">
        <v>2.127642299113893</v>
      </c>
      <c r="Q52" s="54">
        <v>0.11541256317031856</v>
      </c>
    </row>
    <row r="53" spans="1:17">
      <c r="A53" s="2" t="s">
        <v>391</v>
      </c>
      <c r="B53" s="16" t="s">
        <v>392</v>
      </c>
      <c r="D53" s="14">
        <v>1</v>
      </c>
      <c r="E53" s="14">
        <v>0.54668622883424411</v>
      </c>
      <c r="F53" s="14">
        <v>0.50843217609364033</v>
      </c>
      <c r="G53" s="14">
        <v>2.9248359675658843E-5</v>
      </c>
      <c r="H53" s="14">
        <v>88.038579588804168</v>
      </c>
      <c r="I53" s="14">
        <v>196.75700256861421</v>
      </c>
      <c r="J53" s="14">
        <v>0</v>
      </c>
      <c r="K53" s="14">
        <v>1.9668306748073028</v>
      </c>
      <c r="L53" s="14">
        <v>0.50843217609364033</v>
      </c>
      <c r="M53" s="14">
        <v>0.41716860048483195</v>
      </c>
      <c r="N53" s="14">
        <v>11.523022825676726</v>
      </c>
      <c r="O53" s="14">
        <v>1866.9601582161433</v>
      </c>
      <c r="P53" s="8">
        <v>11.523022825676726</v>
      </c>
      <c r="Q53" s="54">
        <v>0.29876532940145667</v>
      </c>
    </row>
    <row r="54" spans="1:17">
      <c r="A54" s="2" t="s">
        <v>393</v>
      </c>
      <c r="B54" s="16" t="s">
        <v>394</v>
      </c>
      <c r="D54" s="14">
        <v>1</v>
      </c>
      <c r="E54" s="14">
        <v>0.36369446332931471</v>
      </c>
      <c r="F54" s="14">
        <v>3.6899965893135208E-3</v>
      </c>
      <c r="G54" s="14">
        <v>8.6830929975902632E-6</v>
      </c>
      <c r="H54" s="14">
        <v>331.47132532245411</v>
      </c>
      <c r="I54" s="14">
        <v>6404.7640564952444</v>
      </c>
      <c r="J54" s="14">
        <v>0</v>
      </c>
      <c r="K54" s="14">
        <v>271.00296051656727</v>
      </c>
      <c r="L54" s="14">
        <v>3.6899965893135212E-3</v>
      </c>
      <c r="M54" s="14">
        <v>3.0276422015317441E-3</v>
      </c>
      <c r="N54" s="14">
        <v>387.53460595510029</v>
      </c>
      <c r="O54" s="14">
        <v>90446.701683860854</v>
      </c>
      <c r="P54" s="8">
        <v>387.53460595510035</v>
      </c>
      <c r="Q54" s="54">
        <v>0.2458686380393241</v>
      </c>
    </row>
    <row r="55" spans="1:17">
      <c r="A55" s="2" t="s">
        <v>395</v>
      </c>
      <c r="B55" s="16" t="s">
        <v>396</v>
      </c>
      <c r="D55" s="14">
        <v>1</v>
      </c>
      <c r="E55" s="14">
        <v>0.31134784135407617</v>
      </c>
      <c r="F55" s="14">
        <v>0.23233512328901518</v>
      </c>
      <c r="G55" s="14">
        <v>2.5098245147797274E-3</v>
      </c>
      <c r="H55" s="14">
        <v>184.93319349259531</v>
      </c>
      <c r="I55" s="14">
        <v>369.37886292340119</v>
      </c>
      <c r="J55" s="14">
        <v>0</v>
      </c>
      <c r="K55" s="14">
        <v>4.304127528561585</v>
      </c>
      <c r="L55" s="14">
        <v>0.23233512328901518</v>
      </c>
      <c r="M55" s="14">
        <v>0.19063096865863696</v>
      </c>
      <c r="N55" s="14">
        <v>21.258783130283298</v>
      </c>
      <c r="O55" s="14">
        <v>2724.7382338084099</v>
      </c>
      <c r="P55" s="8">
        <v>21.258783130283298</v>
      </c>
      <c r="Q55" s="54">
        <v>0.30232359278407134</v>
      </c>
    </row>
    <row r="56" spans="1:17">
      <c r="A56" s="2" t="s">
        <v>397</v>
      </c>
      <c r="B56" s="16" t="s">
        <v>398</v>
      </c>
      <c r="D56" s="14">
        <v>1</v>
      </c>
      <c r="E56" s="14">
        <v>6.3450901970818804E-2</v>
      </c>
      <c r="F56" s="14">
        <v>2.2101999633941907E-2</v>
      </c>
      <c r="G56" s="14">
        <v>9.1643159818012247E-3</v>
      </c>
      <c r="H56" s="14">
        <v>98.780578986871689</v>
      </c>
      <c r="I56" s="14">
        <v>173.75157025455977</v>
      </c>
      <c r="J56" s="14">
        <v>0</v>
      </c>
      <c r="K56" s="14">
        <v>45.244774977930327</v>
      </c>
      <c r="L56" s="14">
        <v>2.2101999633941907E-2</v>
      </c>
      <c r="M56" s="14">
        <v>1.8134690699649333E-2</v>
      </c>
      <c r="N56" s="14">
        <v>10.059693276710245</v>
      </c>
      <c r="O56" s="14">
        <v>1825.3313450590738</v>
      </c>
      <c r="P56" s="8">
        <v>10.059693276710245</v>
      </c>
      <c r="Q56" s="54">
        <v>7.0685240202027405E-2</v>
      </c>
    </row>
    <row r="57" spans="1:17">
      <c r="A57" s="2" t="s">
        <v>399</v>
      </c>
      <c r="B57" s="16" t="s">
        <v>400</v>
      </c>
      <c r="D57" s="14">
        <v>1</v>
      </c>
      <c r="E57" s="14">
        <v>4.8874728084279527E-2</v>
      </c>
      <c r="F57" s="14">
        <v>3.3273227928744167E-2</v>
      </c>
      <c r="G57" s="14">
        <v>9.6917772210645611E-3</v>
      </c>
      <c r="H57" s="14">
        <v>36.658520645983678</v>
      </c>
      <c r="I57" s="14">
        <v>71.487828595479087</v>
      </c>
      <c r="J57" s="14">
        <v>0</v>
      </c>
      <c r="K57" s="14">
        <v>30.054192582142505</v>
      </c>
      <c r="L57" s="14">
        <v>3.3273227928744174E-2</v>
      </c>
      <c r="M57" s="14">
        <v>2.7300683515534593E-2</v>
      </c>
      <c r="N57" s="14">
        <v>4.1146294758765229</v>
      </c>
      <c r="O57" s="14">
        <v>604.85053295384887</v>
      </c>
      <c r="P57" s="8">
        <v>4.1146294758765229</v>
      </c>
      <c r="Q57" s="54">
        <v>5.1289929936087608E-2</v>
      </c>
    </row>
    <row r="58" spans="1:17">
      <c r="A58" s="2" t="s">
        <v>297</v>
      </c>
      <c r="B58" s="16" t="s">
        <v>298</v>
      </c>
      <c r="D58" s="14">
        <v>1</v>
      </c>
      <c r="E58" s="14">
        <v>5.9557314478429678E-2</v>
      </c>
      <c r="F58" s="14">
        <v>5.9450495533517819E-2</v>
      </c>
      <c r="G58" s="14">
        <v>1.036057756877775E-2</v>
      </c>
      <c r="H58" s="14">
        <v>0.28103180897730945</v>
      </c>
      <c r="I58" s="14">
        <v>0.81886564263332839</v>
      </c>
      <c r="J58" s="14">
        <v>0</v>
      </c>
      <c r="K58" s="14">
        <v>16.820717658042163</v>
      </c>
      <c r="L58" s="14">
        <v>5.9450495533517819E-2</v>
      </c>
      <c r="M58" s="14">
        <v>4.8779131585251372E-2</v>
      </c>
      <c r="N58" s="14">
        <v>9.6219527281244763E-2</v>
      </c>
      <c r="O58" s="14">
        <v>8.1719244519961176</v>
      </c>
      <c r="P58" s="8">
        <v>9.6219527281244763E-2</v>
      </c>
      <c r="Q58" s="54">
        <v>5.3482616971713328E-3</v>
      </c>
    </row>
    <row r="59" spans="1:17">
      <c r="A59" s="2" t="s">
        <v>401</v>
      </c>
      <c r="B59" s="16" t="s">
        <v>402</v>
      </c>
      <c r="D59" s="14">
        <v>1</v>
      </c>
      <c r="E59" s="14">
        <v>1.810399975303131E-2</v>
      </c>
      <c r="F59" s="14">
        <v>1.2612567160950321E-2</v>
      </c>
      <c r="G59" s="14">
        <v>1.0590878347384591E-2</v>
      </c>
      <c r="H59" s="14">
        <v>12.891501154320796</v>
      </c>
      <c r="I59" s="14">
        <v>25.279044977020668</v>
      </c>
      <c r="J59" s="14">
        <v>0</v>
      </c>
      <c r="K59" s="14">
        <v>79.286000006096529</v>
      </c>
      <c r="L59" s="14">
        <v>1.2612567160950321E-2</v>
      </c>
      <c r="M59" s="14">
        <v>1.0348611355559739E-2</v>
      </c>
      <c r="N59" s="14">
        <v>1.4548688881506717</v>
      </c>
      <c r="O59" s="14">
        <v>241.26090772202591</v>
      </c>
      <c r="P59" s="8">
        <v>1.4548688881506717</v>
      </c>
      <c r="Q59" s="54">
        <v>1.8696515013438945E-2</v>
      </c>
    </row>
    <row r="60" spans="1:17">
      <c r="A60" s="2" t="s">
        <v>299</v>
      </c>
      <c r="B60" s="16" t="s">
        <v>300</v>
      </c>
      <c r="D60" s="14">
        <v>1</v>
      </c>
      <c r="E60" s="14">
        <v>5.3653518742295095E-4</v>
      </c>
      <c r="F60" s="14">
        <v>4.4987227032156838E-4</v>
      </c>
      <c r="G60" s="14">
        <v>1.1097820911228195E-2</v>
      </c>
      <c r="H60" s="14">
        <v>0.20146946098217763</v>
      </c>
      <c r="I60" s="14">
        <v>0.41982316198093045</v>
      </c>
      <c r="J60" s="14">
        <v>0</v>
      </c>
      <c r="K60" s="14">
        <v>2222.8531651555245</v>
      </c>
      <c r="L60" s="14">
        <v>4.4987227032156838E-4</v>
      </c>
      <c r="M60" s="14">
        <v>3.6912019779884687E-4</v>
      </c>
      <c r="N60" s="14">
        <v>2.4214850359275782E-2</v>
      </c>
      <c r="O60" s="14">
        <v>1.9890078085109126</v>
      </c>
      <c r="P60" s="8">
        <v>2.4214850359275782E-2</v>
      </c>
      <c r="Q60" s="54">
        <v>4.3377687458188492E-4</v>
      </c>
    </row>
    <row r="61" spans="1:17">
      <c r="A61" s="2" t="s">
        <v>403</v>
      </c>
      <c r="B61" s="16" t="s">
        <v>404</v>
      </c>
      <c r="D61" s="14">
        <v>1</v>
      </c>
      <c r="E61" s="14">
        <v>0.48530778467703284</v>
      </c>
      <c r="F61" s="14">
        <v>0.42835860129190634</v>
      </c>
      <c r="G61" s="14">
        <v>7.4654498002501652E-46</v>
      </c>
      <c r="H61" s="14">
        <v>131.83401897815745</v>
      </c>
      <c r="I61" s="14">
        <v>282.41298592050521</v>
      </c>
      <c r="J61" s="14">
        <v>0</v>
      </c>
      <c r="K61" s="14">
        <v>2.3344926353388353</v>
      </c>
      <c r="L61" s="14">
        <v>0.42835860129190639</v>
      </c>
      <c r="M61" s="14">
        <v>0.35146823236000918</v>
      </c>
      <c r="N61" s="14">
        <v>16.350812276633555</v>
      </c>
      <c r="O61" s="14">
        <v>19663.650352002274</v>
      </c>
      <c r="P61" s="8">
        <v>16.350812276633555</v>
      </c>
      <c r="Q61" s="54">
        <v>0.33969148654229347</v>
      </c>
    </row>
    <row r="62" spans="1:17">
      <c r="A62" s="2" t="s">
        <v>405</v>
      </c>
      <c r="B62" s="16" t="s">
        <v>406</v>
      </c>
      <c r="D62" s="14">
        <v>1</v>
      </c>
      <c r="E62" s="14">
        <v>0.37533041180554644</v>
      </c>
      <c r="F62" s="14">
        <v>1.6048247205455911E-2</v>
      </c>
      <c r="G62" s="14">
        <v>4.9160477575204402E-9</v>
      </c>
      <c r="H62" s="14">
        <v>655.67346101241662</v>
      </c>
      <c r="I62" s="14">
        <v>3384.1123770045378</v>
      </c>
      <c r="J62" s="14">
        <v>0</v>
      </c>
      <c r="K62" s="14">
        <v>62.31210095393039</v>
      </c>
      <c r="L62" s="14">
        <v>1.6048247205455911E-2</v>
      </c>
      <c r="M62" s="14">
        <v>1.3167586832076575E-2</v>
      </c>
      <c r="N62" s="14">
        <v>201.12204834780596</v>
      </c>
      <c r="O62" s="14">
        <v>64129.776336181414</v>
      </c>
      <c r="P62" s="8">
        <v>201.12204834780596</v>
      </c>
      <c r="Q62" s="54">
        <v>0.32662150553701663</v>
      </c>
    </row>
    <row r="63" spans="1:17">
      <c r="A63" s="2" t="s">
        <v>407</v>
      </c>
      <c r="B63" s="16" t="s">
        <v>408</v>
      </c>
      <c r="D63" s="14">
        <v>1</v>
      </c>
      <c r="E63" s="14">
        <v>0.37846651276240045</v>
      </c>
      <c r="F63" s="14">
        <v>1.4869981836859033E-3</v>
      </c>
      <c r="G63" s="14">
        <v>1.1937102574405443E-6</v>
      </c>
      <c r="H63" s="14">
        <v>204.15989705202529</v>
      </c>
      <c r="I63" s="14">
        <v>8030.2230550342611</v>
      </c>
      <c r="J63" s="14">
        <v>0</v>
      </c>
      <c r="K63" s="14">
        <v>672.49577771591191</v>
      </c>
      <c r="L63" s="14">
        <v>1.4869981836859033E-3</v>
      </c>
      <c r="M63" s="14">
        <v>1.2200820097142838E-3</v>
      </c>
      <c r="N63" s="14">
        <v>490.62781404749313</v>
      </c>
      <c r="O63" s="14">
        <v>238342.08578613171</v>
      </c>
      <c r="P63" s="8">
        <v>490.62781404749319</v>
      </c>
      <c r="Q63" s="54">
        <v>0.18764094384979974</v>
      </c>
    </row>
    <row r="64" spans="1:17">
      <c r="A64" s="2" t="s">
        <v>409</v>
      </c>
      <c r="B64" s="16" t="s">
        <v>410</v>
      </c>
      <c r="D64" s="14">
        <v>1</v>
      </c>
      <c r="E64" s="14">
        <v>0.39862170223072174</v>
      </c>
      <c r="F64" s="14">
        <v>5.3515850301887643E-4</v>
      </c>
      <c r="G64" s="14">
        <v>1.5350796622727899E-7</v>
      </c>
      <c r="H64" s="14">
        <v>114.26216014985181</v>
      </c>
      <c r="I64" s="14">
        <v>9418.0198401781545</v>
      </c>
      <c r="J64" s="14">
        <v>0</v>
      </c>
      <c r="K64" s="14">
        <v>1868.6052718193048</v>
      </c>
      <c r="L64" s="14">
        <v>5.3515850301887654E-4</v>
      </c>
      <c r="M64" s="14">
        <v>4.3909755172698815E-4</v>
      </c>
      <c r="N64" s="14">
        <v>581.27577554801792</v>
      </c>
      <c r="O64" s="14">
        <v>328240.61769421026</v>
      </c>
      <c r="P64" s="8">
        <v>581.27577554801792</v>
      </c>
      <c r="Q64" s="54">
        <v>0.13126822143887609</v>
      </c>
    </row>
    <row r="65" spans="1:17">
      <c r="A65" s="2" t="s">
        <v>301</v>
      </c>
      <c r="B65" s="16" t="s">
        <v>302</v>
      </c>
      <c r="D65" s="14">
        <v>1</v>
      </c>
      <c r="E65" s="14">
        <v>0.41937815327660138</v>
      </c>
      <c r="F65" s="14">
        <v>1.5601434377073188E-4</v>
      </c>
      <c r="G65" s="14">
        <v>1.9692144610800231E-8</v>
      </c>
      <c r="H65" s="14">
        <v>55.038238861891195</v>
      </c>
      <c r="I65" s="14">
        <v>10522.566994534069</v>
      </c>
      <c r="J65" s="14">
        <v>0</v>
      </c>
      <c r="K65" s="14">
        <v>6409.6670590079339</v>
      </c>
      <c r="L65" s="14">
        <v>1.5601434377073191E-4</v>
      </c>
      <c r="M65" s="14">
        <v>1.2800976906388552E-4</v>
      </c>
      <c r="N65" s="14">
        <v>656.984738031039</v>
      </c>
      <c r="O65" s="14">
        <v>422822.23770201608</v>
      </c>
      <c r="P65" s="8">
        <v>656.984738031039</v>
      </c>
      <c r="Q65" s="54">
        <v>8.1493261520843158E-2</v>
      </c>
    </row>
    <row r="66" spans="1:17">
      <c r="A66" s="2" t="s">
        <v>303</v>
      </c>
      <c r="B66" s="16" t="s">
        <v>304</v>
      </c>
      <c r="D66" s="14">
        <v>1</v>
      </c>
      <c r="E66" s="14">
        <v>0.40818515352510187</v>
      </c>
      <c r="F66" s="14">
        <v>3.1701111640168882E-4</v>
      </c>
      <c r="G66" s="14">
        <v>1.8630434311720762E-14</v>
      </c>
      <c r="H66" s="14">
        <v>84.041634751922984</v>
      </c>
      <c r="I66" s="14">
        <v>9955.2383479262426</v>
      </c>
      <c r="J66" s="14">
        <v>0</v>
      </c>
      <c r="K66" s="14">
        <v>3154.463513301178</v>
      </c>
      <c r="L66" s="14">
        <v>3.1701111640168882E-4</v>
      </c>
      <c r="M66" s="14">
        <v>2.6010762100758567E-4</v>
      </c>
      <c r="N66" s="14">
        <v>617.49439909438843</v>
      </c>
      <c r="O66" s="14">
        <v>398475.31067959976</v>
      </c>
      <c r="P66" s="8">
        <v>617.49439909438843</v>
      </c>
      <c r="Q66" s="54">
        <v>0.10770891779732593</v>
      </c>
    </row>
    <row r="67" spans="1:17">
      <c r="A67" s="2" t="s">
        <v>411</v>
      </c>
      <c r="B67" s="16" t="s">
        <v>412</v>
      </c>
      <c r="D67" s="14">
        <v>1</v>
      </c>
      <c r="E67" s="14">
        <v>0.8395056229088832</v>
      </c>
      <c r="F67" s="14">
        <v>0.8364509953097804</v>
      </c>
      <c r="G67" s="14">
        <v>5.3109105887095325E-5</v>
      </c>
      <c r="H67" s="14">
        <v>7.3882316237885153</v>
      </c>
      <c r="I67" s="14">
        <v>20.558795805278461</v>
      </c>
      <c r="J67" s="14">
        <v>0</v>
      </c>
      <c r="K67" s="14">
        <v>1.195527299994005</v>
      </c>
      <c r="L67" s="14">
        <v>0.83645099530978051</v>
      </c>
      <c r="M67" s="14">
        <v>0.68630804165167492</v>
      </c>
      <c r="N67" s="14">
        <v>1.8542685458862302</v>
      </c>
      <c r="O67" s="14">
        <v>556.46599062045766</v>
      </c>
      <c r="P67" s="8">
        <v>1.8542685458862302</v>
      </c>
      <c r="Q67" s="54">
        <v>0.10423118446593151</v>
      </c>
    </row>
    <row r="68" spans="1:17">
      <c r="A68" s="2" t="s">
        <v>413</v>
      </c>
      <c r="B68" s="16" t="s">
        <v>414</v>
      </c>
      <c r="D68" s="14">
        <v>1</v>
      </c>
      <c r="E68" s="14">
        <v>0.78562550521161323</v>
      </c>
      <c r="F68" s="14">
        <v>0.77995538322442015</v>
      </c>
      <c r="G68" s="14">
        <v>1.1650867079798837E-4</v>
      </c>
      <c r="H68" s="14">
        <v>13.198657520272887</v>
      </c>
      <c r="I68" s="14">
        <v>35.009582417274338</v>
      </c>
      <c r="J68" s="14">
        <v>0</v>
      </c>
      <c r="K68" s="14">
        <v>1.2821246208544537</v>
      </c>
      <c r="L68" s="14">
        <v>0.77995538322442026</v>
      </c>
      <c r="M68" s="14">
        <v>0.63995339193563683</v>
      </c>
      <c r="N68" s="14">
        <v>2.6105820104528683</v>
      </c>
      <c r="O68" s="14">
        <v>856.66248673010875</v>
      </c>
      <c r="P68" s="8">
        <v>2.6105820104528688</v>
      </c>
      <c r="Q68" s="54">
        <v>0.13639138223124433</v>
      </c>
    </row>
    <row r="69" spans="1:17">
      <c r="A69" s="2" t="s">
        <v>415</v>
      </c>
      <c r="B69" s="16" t="s">
        <v>416</v>
      </c>
      <c r="D69" s="14">
        <v>1</v>
      </c>
      <c r="E69" s="14">
        <v>0.35918620259849043</v>
      </c>
      <c r="F69" s="14">
        <v>5.6639146056660303E-3</v>
      </c>
      <c r="G69" s="14">
        <v>5.5368809356102397E-5</v>
      </c>
      <c r="H69" s="14">
        <v>409.76673272282488</v>
      </c>
      <c r="I69" s="14">
        <v>5509.2675992656723</v>
      </c>
      <c r="J69" s="14">
        <v>0</v>
      </c>
      <c r="K69" s="14">
        <v>176.55633420031199</v>
      </c>
      <c r="L69" s="14">
        <v>5.6639146056660303E-3</v>
      </c>
      <c r="M69" s="14">
        <v>4.6472419339489779E-3</v>
      </c>
      <c r="N69" s="14">
        <v>331.70631086756799</v>
      </c>
      <c r="O69" s="14">
        <v>153938.26474742094</v>
      </c>
      <c r="P69" s="8">
        <v>331.70631086756799</v>
      </c>
      <c r="Q69" s="54">
        <v>0.27245442619270988</v>
      </c>
    </row>
    <row r="70" spans="1:17">
      <c r="A70" s="2" t="s">
        <v>417</v>
      </c>
      <c r="B70" s="16" t="s">
        <v>418</v>
      </c>
      <c r="D70" s="14">
        <v>1</v>
      </c>
      <c r="E70" s="14">
        <v>0.3761351159217533</v>
      </c>
      <c r="F70" s="14">
        <v>9.0764977645393846E-2</v>
      </c>
      <c r="G70" s="14">
        <v>1.2498180506038292E-4</v>
      </c>
      <c r="H70" s="14">
        <v>685.83288462351163</v>
      </c>
      <c r="I70" s="14">
        <v>1160.5810518239055</v>
      </c>
      <c r="J70" s="14">
        <v>0</v>
      </c>
      <c r="K70" s="14">
        <v>11.017465391848175</v>
      </c>
      <c r="L70" s="14">
        <v>9.0764977645393846E-2</v>
      </c>
      <c r="M70" s="14">
        <v>7.4472664158045654E-2</v>
      </c>
      <c r="N70" s="14">
        <v>67.422604104428444</v>
      </c>
      <c r="O70" s="14">
        <v>21174.068818995755</v>
      </c>
      <c r="P70" s="8">
        <v>67.422604104428444</v>
      </c>
      <c r="Q70" s="54">
        <v>0.38165897165605583</v>
      </c>
    </row>
    <row r="71" spans="1:17">
      <c r="A71" s="2" t="s">
        <v>419</v>
      </c>
      <c r="B71" s="16" t="s">
        <v>420</v>
      </c>
      <c r="D71" s="14">
        <v>1</v>
      </c>
      <c r="E71" s="14">
        <v>0.7817082039589005</v>
      </c>
      <c r="F71" s="14">
        <v>0.77661968543490878</v>
      </c>
      <c r="G71" s="14">
        <v>2.8461440853248999E-4</v>
      </c>
      <c r="H71" s="14">
        <v>11.891274229454794</v>
      </c>
      <c r="I71" s="14">
        <v>31.775000454480171</v>
      </c>
      <c r="J71" s="14">
        <v>0</v>
      </c>
      <c r="K71" s="14">
        <v>1.2876315380030545</v>
      </c>
      <c r="L71" s="14">
        <v>0.77661968543490878</v>
      </c>
      <c r="M71" s="14">
        <v>0.63721645189934273</v>
      </c>
      <c r="N71" s="14">
        <v>2.4274001875877098</v>
      </c>
      <c r="O71" s="14">
        <v>519.56073615127343</v>
      </c>
      <c r="P71" s="8">
        <v>2.4274001875877098</v>
      </c>
      <c r="Q71" s="54">
        <v>0.12890969042075823</v>
      </c>
    </row>
    <row r="72" spans="1:17">
      <c r="A72" s="2" t="s">
        <v>421</v>
      </c>
      <c r="B72" s="16" t="s">
        <v>422</v>
      </c>
      <c r="D72" s="14">
        <v>1</v>
      </c>
      <c r="E72" s="14">
        <v>0.3565298405074333</v>
      </c>
      <c r="F72" s="14">
        <v>9.7829018129215559E-2</v>
      </c>
      <c r="G72" s="14">
        <v>4.8862556137317724E-4</v>
      </c>
      <c r="H72" s="14">
        <v>620.50844238291495</v>
      </c>
      <c r="I72" s="14">
        <v>1063.6649914379054</v>
      </c>
      <c r="J72" s="14">
        <v>0</v>
      </c>
      <c r="K72" s="14">
        <v>10.221915941946483</v>
      </c>
      <c r="L72" s="14">
        <v>9.7829018129215559E-2</v>
      </c>
      <c r="M72" s="14">
        <v>8.0268709375021369E-2</v>
      </c>
      <c r="N72" s="14">
        <v>61.720092007653776</v>
      </c>
      <c r="O72" s="14">
        <v>25556.438497609197</v>
      </c>
      <c r="P72" s="8">
        <v>61.720092007653776</v>
      </c>
      <c r="Q72" s="54">
        <v>0.37549561133044557</v>
      </c>
    </row>
    <row r="73" spans="1:17">
      <c r="A73" s="2" t="s">
        <v>423</v>
      </c>
      <c r="B73" s="16" t="s">
        <v>424</v>
      </c>
      <c r="D73" s="14">
        <v>1</v>
      </c>
      <c r="E73" s="14">
        <v>0.46314859352977039</v>
      </c>
      <c r="F73" s="14">
        <v>0.40258198095138609</v>
      </c>
      <c r="G73" s="14">
        <v>2.2202548131559674E-4</v>
      </c>
      <c r="H73" s="14">
        <v>140.40233565296242</v>
      </c>
      <c r="I73" s="14">
        <v>298.01045688684502</v>
      </c>
      <c r="J73" s="14">
        <v>0</v>
      </c>
      <c r="K73" s="14">
        <v>2.4839661170050116</v>
      </c>
      <c r="L73" s="14">
        <v>0.40258198095138609</v>
      </c>
      <c r="M73" s="14">
        <v>0.3303185153706123</v>
      </c>
      <c r="N73" s="14">
        <v>17.227668124756864</v>
      </c>
      <c r="O73" s="14">
        <v>7376.3706609771471</v>
      </c>
      <c r="P73" s="8">
        <v>17.227668124756864</v>
      </c>
      <c r="Q73" s="54">
        <v>0.34074657818853488</v>
      </c>
    </row>
    <row r="74" spans="1:17">
      <c r="A74" s="2" t="s">
        <v>425</v>
      </c>
      <c r="B74" s="16" t="s">
        <v>426</v>
      </c>
      <c r="D74" s="14">
        <v>1</v>
      </c>
      <c r="E74" s="14">
        <v>0.37169019160622541</v>
      </c>
      <c r="F74" s="14">
        <v>9.3100164778733882E-2</v>
      </c>
      <c r="G74" s="14">
        <v>1.8956534138894689E-4</v>
      </c>
      <c r="H74" s="14">
        <v>669.16073519741349</v>
      </c>
      <c r="I74" s="14">
        <v>1136.5475769439711</v>
      </c>
      <c r="J74" s="14">
        <v>0</v>
      </c>
      <c r="K74" s="14">
        <v>10.741119549859507</v>
      </c>
      <c r="L74" s="14">
        <v>9.3100164778733882E-2</v>
      </c>
      <c r="M74" s="14">
        <v>7.6388685200951156E-2</v>
      </c>
      <c r="N74" s="14">
        <v>66.004102991891287</v>
      </c>
      <c r="O74" s="14">
        <v>34862.047118257135</v>
      </c>
      <c r="P74" s="8">
        <v>66.004102991891287</v>
      </c>
      <c r="Q74" s="54">
        <v>0.38140608751275068</v>
      </c>
    </row>
    <row r="75" spans="1:17">
      <c r="A75" s="2" t="s">
        <v>427</v>
      </c>
      <c r="B75" s="16" t="s">
        <v>428</v>
      </c>
      <c r="D75" s="14">
        <v>1</v>
      </c>
      <c r="E75" s="14">
        <v>0.9144525417600059</v>
      </c>
      <c r="F75" s="14">
        <v>3.8179822363368345E-2</v>
      </c>
      <c r="G75" s="14">
        <v>5.3859507005450728E-11</v>
      </c>
      <c r="H75" s="14">
        <v>2489.6248112588391</v>
      </c>
      <c r="I75" s="14">
        <v>8.8949954020413866</v>
      </c>
      <c r="J75" s="14">
        <v>0</v>
      </c>
      <c r="K75" s="14">
        <v>26.191845275829536</v>
      </c>
      <c r="L75" s="14">
        <v>3.8179822363368345E-2</v>
      </c>
      <c r="M75" s="14">
        <v>3.1326544249143731E-2</v>
      </c>
      <c r="N75" s="14">
        <v>121.15930594411579</v>
      </c>
      <c r="O75" s="14">
        <v>68344.752890016272</v>
      </c>
      <c r="P75" s="8">
        <v>121.15930594411579</v>
      </c>
      <c r="Q75" s="54">
        <v>4.9675898143612717E-4</v>
      </c>
    </row>
    <row r="76" spans="1:17">
      <c r="A76" s="2" t="s">
        <v>429</v>
      </c>
      <c r="B76" s="16" t="s">
        <v>430</v>
      </c>
      <c r="D76" s="14">
        <v>1</v>
      </c>
      <c r="E76" s="14">
        <v>0.91445254608133897</v>
      </c>
      <c r="F76" s="14">
        <v>3.8179822543790751E-2</v>
      </c>
      <c r="G76" s="14">
        <v>1.3528896549410781E-12</v>
      </c>
      <c r="H76" s="14">
        <v>2489.6248230237998</v>
      </c>
      <c r="I76" s="14">
        <v>8.8949954440755388</v>
      </c>
      <c r="J76" s="14">
        <v>0</v>
      </c>
      <c r="K76" s="14">
        <v>26.191845152057464</v>
      </c>
      <c r="L76" s="14">
        <v>3.8179822543790751E-2</v>
      </c>
      <c r="M76" s="14">
        <v>3.1326544397180314E-2</v>
      </c>
      <c r="N76" s="14">
        <v>121.15930651666567</v>
      </c>
      <c r="O76" s="14">
        <v>60595.403968179999</v>
      </c>
      <c r="P76" s="8">
        <v>121.15930651666568</v>
      </c>
      <c r="Q76" s="54">
        <v>4.9675898378360929E-4</v>
      </c>
    </row>
    <row r="77" spans="1:17">
      <c r="A77" s="2" t="s">
        <v>431</v>
      </c>
      <c r="B77" s="16" t="s">
        <v>432</v>
      </c>
      <c r="D77" s="14">
        <v>1</v>
      </c>
      <c r="E77" s="14">
        <v>0.35210098031820086</v>
      </c>
      <c r="F77" s="14">
        <v>0.22002170527483533</v>
      </c>
      <c r="G77" s="14">
        <v>5.719710055685878E-4</v>
      </c>
      <c r="H77" s="14">
        <v>311.27592069048728</v>
      </c>
      <c r="I77" s="14">
        <v>595.94022024233709</v>
      </c>
      <c r="J77" s="14">
        <v>0</v>
      </c>
      <c r="K77" s="14">
        <v>4.5450061336033718</v>
      </c>
      <c r="L77" s="14">
        <v>0.22002170527483533</v>
      </c>
      <c r="M77" s="14">
        <v>0.1805278091780024</v>
      </c>
      <c r="N77" s="14">
        <v>34.317932615646839</v>
      </c>
      <c r="O77" s="14">
        <v>12493.786548052387</v>
      </c>
      <c r="P77" s="8">
        <v>34.317932615646839</v>
      </c>
      <c r="Q77" s="54">
        <v>0.38636937653602949</v>
      </c>
    </row>
    <row r="78" spans="1:17">
      <c r="A78" s="2" t="s">
        <v>433</v>
      </c>
      <c r="B78" s="16" t="s">
        <v>434</v>
      </c>
      <c r="D78" s="14">
        <v>1</v>
      </c>
      <c r="E78" s="14">
        <v>0.62885518756001046</v>
      </c>
      <c r="F78" s="14">
        <v>0.6105366885862763</v>
      </c>
      <c r="G78" s="14">
        <v>4.2989288223006133E-4</v>
      </c>
      <c r="H78" s="14">
        <v>41.911361270855359</v>
      </c>
      <c r="I78" s="14">
        <v>100.27413807565438</v>
      </c>
      <c r="J78" s="14">
        <v>0</v>
      </c>
      <c r="K78" s="14">
        <v>1.6379032066288146</v>
      </c>
      <c r="L78" s="14">
        <v>0.6105366885862763</v>
      </c>
      <c r="M78" s="14">
        <v>0.50094535298503973</v>
      </c>
      <c r="N78" s="14">
        <v>6.1354491519187846</v>
      </c>
      <c r="O78" s="14">
        <v>1620.0653485641553</v>
      </c>
      <c r="P78" s="8">
        <v>6.1354491519187855</v>
      </c>
      <c r="Q78" s="54">
        <v>0.221507756077235</v>
      </c>
    </row>
    <row r="79" spans="1:17">
      <c r="A79" s="2" t="s">
        <v>435</v>
      </c>
      <c r="B79" s="16" t="s">
        <v>436</v>
      </c>
      <c r="D79" s="14">
        <v>1</v>
      </c>
      <c r="E79" s="14">
        <v>0.5367683322002873</v>
      </c>
      <c r="F79" s="14">
        <v>0.49744023675468574</v>
      </c>
      <c r="G79" s="14">
        <v>1.1660828258717736E-4</v>
      </c>
      <c r="H79" s="14">
        <v>90.552597258124479</v>
      </c>
      <c r="I79" s="14">
        <v>201.63136126840641</v>
      </c>
      <c r="J79" s="14">
        <v>0</v>
      </c>
      <c r="K79" s="14">
        <v>2.0102917418261708</v>
      </c>
      <c r="L79" s="14">
        <v>0.49744023675468579</v>
      </c>
      <c r="M79" s="14">
        <v>0.40814971425721969</v>
      </c>
      <c r="N79" s="14">
        <v>11.792554532964401</v>
      </c>
      <c r="O79" s="14">
        <v>4718.3189941843857</v>
      </c>
      <c r="P79" s="8">
        <v>11.792554532964401</v>
      </c>
      <c r="Q79" s="54">
        <v>0.30002544058080943</v>
      </c>
    </row>
    <row r="80" spans="1:17">
      <c r="A80" s="2" t="s">
        <v>437</v>
      </c>
      <c r="B80" s="16" t="s">
        <v>438</v>
      </c>
      <c r="D80" s="14">
        <v>1</v>
      </c>
      <c r="E80" s="14">
        <v>0.84504960517596706</v>
      </c>
      <c r="F80" s="14">
        <v>2.4215496962592894E-2</v>
      </c>
      <c r="G80" s="14">
        <v>1.8039390367467048E-11</v>
      </c>
      <c r="H80" s="14">
        <v>2331.2743549982815</v>
      </c>
      <c r="I80" s="14">
        <v>15.999455792490213</v>
      </c>
      <c r="J80" s="14">
        <v>0</v>
      </c>
      <c r="K80" s="14">
        <v>41.295869399036448</v>
      </c>
      <c r="L80" s="14">
        <v>2.4215496962592894E-2</v>
      </c>
      <c r="M80" s="14">
        <v>1.9868815257807468E-2</v>
      </c>
      <c r="N80" s="14">
        <v>220.15902418919984</v>
      </c>
      <c r="O80" s="14">
        <v>113179.35115518386</v>
      </c>
      <c r="P80" s="8">
        <v>220.15902418919984</v>
      </c>
      <c r="Q80" s="54">
        <v>5.6637648093234923E-4</v>
      </c>
    </row>
    <row r="81" spans="1:17">
      <c r="A81" s="2" t="s">
        <v>440</v>
      </c>
      <c r="B81" s="16" t="s">
        <v>441</v>
      </c>
      <c r="D81" s="14">
        <v>1</v>
      </c>
      <c r="E81" s="14">
        <v>0.97047443052405813</v>
      </c>
      <c r="F81" s="14">
        <v>0.970726434618704</v>
      </c>
      <c r="G81" s="14">
        <v>2.0484498878966085E-15</v>
      </c>
      <c r="H81" s="14">
        <v>0.25870025476292013</v>
      </c>
      <c r="I81" s="14">
        <v>0.93165265763479566</v>
      </c>
      <c r="J81" s="14">
        <v>0</v>
      </c>
      <c r="K81" s="14">
        <v>1.0301563492425077</v>
      </c>
      <c r="L81" s="14">
        <v>0.97072643461870411</v>
      </c>
      <c r="M81" s="14">
        <v>0.79648103960464667</v>
      </c>
      <c r="N81" s="14">
        <v>0.88868793087857867</v>
      </c>
      <c r="O81" s="14">
        <v>246.39761571539472</v>
      </c>
      <c r="P81" s="8">
        <v>0.88868793087857878</v>
      </c>
      <c r="Q81" s="54">
        <v>1.9509854348796124E-2</v>
      </c>
    </row>
    <row r="82" spans="1:17">
      <c r="A82" s="2" t="s">
        <v>442</v>
      </c>
      <c r="B82" s="16" t="s">
        <v>443</v>
      </c>
      <c r="D82" s="14">
        <v>1</v>
      </c>
      <c r="E82" s="14">
        <v>0.77204120856318292</v>
      </c>
      <c r="F82" s="14">
        <v>0.76484709010690399</v>
      </c>
      <c r="G82" s="14">
        <v>9.7378505818521212E-7</v>
      </c>
      <c r="H82" s="14">
        <v>16.620137741536595</v>
      </c>
      <c r="I82" s="14">
        <v>43.280452181684282</v>
      </c>
      <c r="J82" s="14">
        <v>0</v>
      </c>
      <c r="K82" s="14">
        <v>1.3074508786589332</v>
      </c>
      <c r="L82" s="14">
        <v>0.7648470901069041</v>
      </c>
      <c r="M82" s="14">
        <v>0.62755703743271474</v>
      </c>
      <c r="N82" s="14">
        <v>3.0597260439051581</v>
      </c>
      <c r="O82" s="14">
        <v>505.43614519269312</v>
      </c>
      <c r="P82" s="8">
        <v>3.0597260439051586</v>
      </c>
      <c r="Q82" s="54">
        <v>0.15236730622182146</v>
      </c>
    </row>
    <row r="83" spans="1:17">
      <c r="A83" s="2" t="s">
        <v>444</v>
      </c>
      <c r="B83" s="16" t="s">
        <v>445</v>
      </c>
      <c r="D83" s="14">
        <v>1</v>
      </c>
      <c r="E83" s="14">
        <v>0.38352935450571707</v>
      </c>
      <c r="F83" s="14">
        <v>0.26315132158789867</v>
      </c>
      <c r="G83" s="14">
        <v>1.1599894600586952E-5</v>
      </c>
      <c r="H83" s="14">
        <v>282.76493682695445</v>
      </c>
      <c r="I83" s="14">
        <v>552.43695936396159</v>
      </c>
      <c r="J83" s="14">
        <v>0</v>
      </c>
      <c r="K83" s="14">
        <v>3.800094918641618</v>
      </c>
      <c r="L83" s="14">
        <v>0.26315132158789867</v>
      </c>
      <c r="M83" s="14">
        <v>0.21591565936287088</v>
      </c>
      <c r="N83" s="14">
        <v>31.79565994786871</v>
      </c>
      <c r="O83" s="14">
        <v>5730.8497490038562</v>
      </c>
      <c r="P83" s="8">
        <v>31.79565994786871</v>
      </c>
      <c r="Q83" s="54">
        <v>0.40038954278628741</v>
      </c>
    </row>
    <row r="84" spans="1:17">
      <c r="A84" s="2" t="s">
        <v>446</v>
      </c>
      <c r="B84" s="16" t="s">
        <v>447</v>
      </c>
      <c r="D84" s="14">
        <v>1</v>
      </c>
      <c r="E84" s="14">
        <v>0.93711177762903264</v>
      </c>
      <c r="F84" s="14">
        <v>0.93692609121588888</v>
      </c>
      <c r="G84" s="14">
        <v>6.3055622992608588E-17</v>
      </c>
      <c r="H84" s="14">
        <v>1.1622387021774869</v>
      </c>
      <c r="I84" s="14">
        <v>3.7372530412944056</v>
      </c>
      <c r="J84" s="14">
        <v>0</v>
      </c>
      <c r="K84" s="14">
        <v>1.0673200473073148</v>
      </c>
      <c r="L84" s="14">
        <v>0.93692609121588888</v>
      </c>
      <c r="M84" s="14">
        <v>0.76874785784263688</v>
      </c>
      <c r="N84" s="14">
        <v>1.0121525642154081</v>
      </c>
      <c r="O84" s="14">
        <v>393.61601069773008</v>
      </c>
      <c r="P84" s="8">
        <v>1.0121525642154083</v>
      </c>
      <c r="Q84" s="54">
        <v>4.1971308013807385E-2</v>
      </c>
    </row>
    <row r="85" spans="1:17">
      <c r="A85" s="2" t="s">
        <v>448</v>
      </c>
      <c r="B85" s="16" t="s">
        <v>449</v>
      </c>
      <c r="D85" s="14">
        <v>1</v>
      </c>
      <c r="E85" s="14">
        <v>0.98735127265736922</v>
      </c>
      <c r="F85" s="14">
        <v>0.98771225061644097</v>
      </c>
      <c r="G85" s="14">
        <v>4.4141687113013792E-10</v>
      </c>
      <c r="H85" s="14">
        <v>4.747013210984679E-2</v>
      </c>
      <c r="I85" s="14">
        <v>0.19394456386994013</v>
      </c>
      <c r="J85" s="14">
        <v>0</v>
      </c>
      <c r="K85" s="14">
        <v>1.0124406165620503</v>
      </c>
      <c r="L85" s="14">
        <v>0.98771225061644108</v>
      </c>
      <c r="M85" s="14">
        <v>0.81041790163078986</v>
      </c>
      <c r="N85" s="14">
        <v>0.8637169732237443</v>
      </c>
      <c r="O85" s="14">
        <v>154.81263028062395</v>
      </c>
      <c r="P85" s="8">
        <v>0.86371697322374441</v>
      </c>
      <c r="Q85" s="54">
        <v>8.1297578703525431E-3</v>
      </c>
    </row>
    <row r="86" spans="1:17">
      <c r="A86" s="2" t="s">
        <v>450</v>
      </c>
      <c r="B86" s="16" t="s">
        <v>451</v>
      </c>
      <c r="D86" s="14">
        <v>1</v>
      </c>
      <c r="E86" s="14">
        <v>0.93861781187226812</v>
      </c>
      <c r="F86" s="14">
        <v>0.93845824225616414</v>
      </c>
      <c r="G86" s="14">
        <v>1.5860374604488135E-10</v>
      </c>
      <c r="H86" s="14">
        <v>1.1073501095958542</v>
      </c>
      <c r="I86" s="14">
        <v>3.5738977553931424</v>
      </c>
      <c r="J86" s="14">
        <v>0</v>
      </c>
      <c r="K86" s="14">
        <v>1.0655775131729699</v>
      </c>
      <c r="L86" s="14">
        <v>0.93845824225616425</v>
      </c>
      <c r="M86" s="14">
        <v>0.77000498777118276</v>
      </c>
      <c r="N86" s="14">
        <v>1.0045468540020623</v>
      </c>
      <c r="O86" s="14">
        <v>262.27713811139841</v>
      </c>
      <c r="P86" s="8">
        <v>1.0045468540020623</v>
      </c>
      <c r="Q86" s="54">
        <v>4.095831896252531E-2</v>
      </c>
    </row>
    <row r="87" spans="1:17">
      <c r="A87" s="2" t="s">
        <v>452</v>
      </c>
      <c r="B87" s="16" t="s">
        <v>453</v>
      </c>
      <c r="D87" s="14">
        <v>1</v>
      </c>
      <c r="E87" s="14">
        <v>0.3718772764637876</v>
      </c>
      <c r="F87" s="14">
        <v>2.1356666098896219E-3</v>
      </c>
      <c r="G87" s="14">
        <v>2.2028348844068276E-9</v>
      </c>
      <c r="H87" s="14">
        <v>248.74448333617704</v>
      </c>
      <c r="I87" s="14">
        <v>7426.9521948728598</v>
      </c>
      <c r="J87" s="14">
        <v>0</v>
      </c>
      <c r="K87" s="14">
        <v>468.23787728351624</v>
      </c>
      <c r="L87" s="14">
        <v>2.1356666098896219E-3</v>
      </c>
      <c r="M87" s="14">
        <v>1.7523144534144347E-3</v>
      </c>
      <c r="N87" s="14">
        <v>452.06288242091284</v>
      </c>
      <c r="O87" s="14">
        <v>188193.77795182602</v>
      </c>
      <c r="P87" s="8">
        <v>452.0628824209129</v>
      </c>
      <c r="Q87" s="54">
        <v>0.21038299262084278</v>
      </c>
    </row>
    <row r="88" spans="1:17">
      <c r="A88" s="2" t="s">
        <v>454</v>
      </c>
      <c r="B88" s="16" t="s">
        <v>455</v>
      </c>
      <c r="D88" s="14">
        <v>1</v>
      </c>
      <c r="E88" s="14">
        <v>0.69262819047381452</v>
      </c>
      <c r="F88" s="14">
        <v>0.67828826026121636</v>
      </c>
      <c r="G88" s="14">
        <v>4.9914047514225938E-7</v>
      </c>
      <c r="H88" s="14">
        <v>32.809098728644528</v>
      </c>
      <c r="I88" s="14">
        <v>80.547389770844461</v>
      </c>
      <c r="J88" s="14">
        <v>0</v>
      </c>
      <c r="K88" s="14">
        <v>1.4742994366655982</v>
      </c>
      <c r="L88" s="14">
        <v>0.67828826026121647</v>
      </c>
      <c r="M88" s="14">
        <v>0.55653551754432806</v>
      </c>
      <c r="N88" s="14">
        <v>5.0784519928988585</v>
      </c>
      <c r="O88" s="14">
        <v>971.35551268176471</v>
      </c>
      <c r="P88" s="8">
        <v>5.0784519928988594</v>
      </c>
      <c r="Q88" s="54">
        <v>0.20504608007966549</v>
      </c>
    </row>
    <row r="89" spans="1:17">
      <c r="A89" s="2" t="s">
        <v>456</v>
      </c>
      <c r="B89" s="16" t="s">
        <v>457</v>
      </c>
      <c r="D89" s="14">
        <v>1</v>
      </c>
      <c r="E89" s="14">
        <v>0.75828245433704933</v>
      </c>
      <c r="F89" s="14">
        <v>0.75005865718198994</v>
      </c>
      <c r="G89" s="14">
        <v>3.2384986156036909E-19</v>
      </c>
      <c r="H89" s="14">
        <v>18.93717654826477</v>
      </c>
      <c r="I89" s="14">
        <v>48.772205927204972</v>
      </c>
      <c r="J89" s="14">
        <v>0</v>
      </c>
      <c r="K89" s="14">
        <v>1.3332290620536968</v>
      </c>
      <c r="L89" s="14">
        <v>0.75005865718199005</v>
      </c>
      <c r="M89" s="14">
        <v>0.61542312821782286</v>
      </c>
      <c r="N89" s="14">
        <v>3.3544979038599445</v>
      </c>
      <c r="O89" s="14">
        <v>1316.5062473488738</v>
      </c>
      <c r="P89" s="8">
        <v>3.354497903859945</v>
      </c>
      <c r="Q89" s="54">
        <v>0.16157434306291782</v>
      </c>
    </row>
    <row r="90" spans="1:17">
      <c r="A90" s="2" t="s">
        <v>458</v>
      </c>
      <c r="B90" s="16" t="s">
        <v>459</v>
      </c>
      <c r="D90" s="14">
        <v>1</v>
      </c>
      <c r="E90" s="14">
        <v>0.88034479703855761</v>
      </c>
      <c r="F90" s="14">
        <v>0.87871815651542606</v>
      </c>
      <c r="G90" s="14">
        <v>4.7330172552995988E-31</v>
      </c>
      <c r="H90" s="14">
        <v>4.2590192214959091</v>
      </c>
      <c r="I90" s="14">
        <v>12.387018062537758</v>
      </c>
      <c r="J90" s="14">
        <v>0</v>
      </c>
      <c r="K90" s="14">
        <v>1.1380213241132053</v>
      </c>
      <c r="L90" s="14">
        <v>0.87871815651542606</v>
      </c>
      <c r="M90" s="14">
        <v>0.72098824742090717</v>
      </c>
      <c r="N90" s="14">
        <v>1.4378559461798335</v>
      </c>
      <c r="O90" s="14">
        <v>1122.8792226096791</v>
      </c>
      <c r="P90" s="8">
        <v>1.4378559461798335</v>
      </c>
      <c r="Q90" s="54">
        <v>8.0087875064403569E-2</v>
      </c>
    </row>
    <row r="91" spans="1:17">
      <c r="A91" s="2" t="s">
        <v>460</v>
      </c>
      <c r="B91" s="16" t="s">
        <v>461</v>
      </c>
      <c r="D91" s="14">
        <v>1</v>
      </c>
      <c r="E91" s="14">
        <v>0.37083096791062758</v>
      </c>
      <c r="F91" s="14">
        <v>1.3849186255886874E-2</v>
      </c>
      <c r="G91" s="14">
        <v>2.2814593954108089E-9</v>
      </c>
      <c r="H91" s="14">
        <v>616.99871006933745</v>
      </c>
      <c r="I91" s="14">
        <v>3681.6409071240796</v>
      </c>
      <c r="J91" s="14">
        <v>0</v>
      </c>
      <c r="K91" s="14">
        <v>72.206408486630764</v>
      </c>
      <c r="L91" s="14">
        <v>1.3849186255886874E-2</v>
      </c>
      <c r="M91" s="14">
        <v>1.136325732295518E-2</v>
      </c>
      <c r="N91" s="14">
        <v>219.23413551605262</v>
      </c>
      <c r="O91" s="14">
        <v>67173.339122118516</v>
      </c>
      <c r="P91" s="8">
        <v>219.23413551605265</v>
      </c>
      <c r="Q91" s="54">
        <v>0.32110082903033332</v>
      </c>
    </row>
    <row r="92" spans="1:17">
      <c r="A92" s="2" t="s">
        <v>462</v>
      </c>
      <c r="B92" s="16" t="s">
        <v>463</v>
      </c>
      <c r="D92" s="14">
        <v>1</v>
      </c>
      <c r="E92" s="14">
        <v>0.41483010247509905</v>
      </c>
      <c r="F92" s="14">
        <v>0.32255723648318985</v>
      </c>
      <c r="G92" s="14">
        <v>8.9477795836421652E-11</v>
      </c>
      <c r="H92" s="14">
        <v>215.5196085747956</v>
      </c>
      <c r="I92" s="14">
        <v>436.0577006322024</v>
      </c>
      <c r="J92" s="14">
        <v>0</v>
      </c>
      <c r="K92" s="14">
        <v>3.1002249737221912</v>
      </c>
      <c r="L92" s="14">
        <v>0.3225572364831899</v>
      </c>
      <c r="M92" s="14">
        <v>0.26465821253445732</v>
      </c>
      <c r="N92" s="14">
        <v>25.103948200112058</v>
      </c>
      <c r="O92" s="14">
        <v>8455.5118327617438</v>
      </c>
      <c r="P92" s="8">
        <v>25.103948200112061</v>
      </c>
      <c r="Q92" s="54">
        <v>0.38312805986897908</v>
      </c>
    </row>
    <row r="93" spans="1:17">
      <c r="A93" s="2" t="s">
        <v>464</v>
      </c>
      <c r="B93" s="16" t="s">
        <v>465</v>
      </c>
      <c r="D93" s="14">
        <v>1</v>
      </c>
      <c r="E93" s="14">
        <v>0.36309768564833655</v>
      </c>
      <c r="F93" s="14">
        <v>0.12243526718325472</v>
      </c>
      <c r="G93" s="14">
        <v>6.8500701810486722E-6</v>
      </c>
      <c r="H93" s="14">
        <v>575.26312121760623</v>
      </c>
      <c r="I93" s="14">
        <v>1008.1466331694198</v>
      </c>
      <c r="J93" s="14">
        <v>0</v>
      </c>
      <c r="K93" s="14">
        <v>8.1675813105651347</v>
      </c>
      <c r="L93" s="14">
        <v>0.12243526718325472</v>
      </c>
      <c r="M93" s="14">
        <v>0.1004581367238605</v>
      </c>
      <c r="N93" s="14">
        <v>58.386555585217501</v>
      </c>
      <c r="O93" s="14">
        <v>27155.003137128806</v>
      </c>
      <c r="P93" s="8">
        <v>58.386555585217501</v>
      </c>
      <c r="Q93" s="54">
        <v>0.40190527290985878</v>
      </c>
    </row>
    <row r="94" spans="1:17">
      <c r="A94" s="2" t="s">
        <v>466</v>
      </c>
      <c r="B94" s="16" t="s">
        <v>467</v>
      </c>
      <c r="D94" s="14">
        <v>1</v>
      </c>
      <c r="E94" s="14">
        <v>0.99899830301146708</v>
      </c>
      <c r="F94" s="14">
        <v>0.98782856016172504</v>
      </c>
      <c r="G94" s="14">
        <v>2.2413929267482287E-20</v>
      </c>
      <c r="H94" s="14">
        <v>32.836856749263028</v>
      </c>
      <c r="I94" s="14">
        <v>3.995413091355382E-2</v>
      </c>
      <c r="J94" s="14">
        <v>0</v>
      </c>
      <c r="K94" s="14">
        <v>1.0123214091282016</v>
      </c>
      <c r="L94" s="14">
        <v>0.98782856016172504</v>
      </c>
      <c r="M94" s="14">
        <v>0.8105133336126954</v>
      </c>
      <c r="N94" s="14">
        <v>1.1804079255280602</v>
      </c>
      <c r="O94" s="14">
        <v>390.40811728915065</v>
      </c>
      <c r="P94" s="8">
        <v>1.1804079255280604</v>
      </c>
      <c r="Q94" s="54">
        <v>1.184027224478227E-4</v>
      </c>
    </row>
    <row r="95" spans="1:17">
      <c r="A95" s="2" t="s">
        <v>468</v>
      </c>
      <c r="B95" s="16" t="s">
        <v>469</v>
      </c>
      <c r="D95" s="14">
        <v>1</v>
      </c>
      <c r="E95" s="14">
        <v>0.41600092658132681</v>
      </c>
      <c r="F95" s="14">
        <v>3.4546777687040509E-2</v>
      </c>
      <c r="G95" s="14">
        <v>9.8002246912430219E-20</v>
      </c>
      <c r="H95" s="14">
        <v>869.17563842990228</v>
      </c>
      <c r="I95" s="14">
        <v>1990.9699996032375</v>
      </c>
      <c r="J95" s="14">
        <v>0</v>
      </c>
      <c r="K95" s="14">
        <v>28.946259736841643</v>
      </c>
      <c r="L95" s="14">
        <v>3.4546777687040509E-2</v>
      </c>
      <c r="M95" s="14">
        <v>2.8345631092216741E-2</v>
      </c>
      <c r="N95" s="14">
        <v>117.04703085551219</v>
      </c>
      <c r="O95" s="14">
        <v>57821.23324262302</v>
      </c>
      <c r="P95" s="8">
        <v>117.04703085551219</v>
      </c>
      <c r="Q95" s="54">
        <v>0.33889465247837475</v>
      </c>
    </row>
    <row r="96" spans="1:17">
      <c r="A96" s="2" t="s">
        <v>470</v>
      </c>
      <c r="B96" s="164">
        <v>354656</v>
      </c>
      <c r="D96" s="14">
        <v>1</v>
      </c>
      <c r="E96" s="14">
        <v>0.96935513655664307</v>
      </c>
      <c r="F96" s="14">
        <v>0.96959722011703064</v>
      </c>
      <c r="G96" s="14">
        <v>4.0841327451470394E-12</v>
      </c>
      <c r="H96" s="14">
        <v>0.27852960398605986</v>
      </c>
      <c r="I96" s="14">
        <v>0.99753589569660439</v>
      </c>
      <c r="J96" s="14">
        <v>0</v>
      </c>
      <c r="K96" s="14">
        <v>1.0313560922537501</v>
      </c>
      <c r="L96" s="14">
        <v>0.96959722011703064</v>
      </c>
      <c r="M96" s="14">
        <v>0.79555451910602359</v>
      </c>
      <c r="N96" s="14">
        <v>0.89127196069727277</v>
      </c>
      <c r="O96" s="14">
        <v>175.74991792989522</v>
      </c>
      <c r="P96" s="8">
        <v>0.89127196069727277</v>
      </c>
      <c r="Q96" s="54">
        <v>2.0264156574725398E-2</v>
      </c>
    </row>
    <row r="97" spans="1:17">
      <c r="A97" s="2" t="s">
        <v>472</v>
      </c>
      <c r="B97" s="16" t="s">
        <v>473</v>
      </c>
      <c r="D97" s="14">
        <v>1</v>
      </c>
      <c r="E97" s="14">
        <v>0.93634576202894049</v>
      </c>
      <c r="F97" s="14">
        <v>0.93614655898750221</v>
      </c>
      <c r="G97" s="14">
        <v>6.3011864869607571E-12</v>
      </c>
      <c r="H97" s="14">
        <v>1.1906766730356673</v>
      </c>
      <c r="I97" s="14">
        <v>3.8216509303444925</v>
      </c>
      <c r="J97" s="14">
        <v>0</v>
      </c>
      <c r="K97" s="14">
        <v>1.0682088081182064</v>
      </c>
      <c r="L97" s="14">
        <v>0.93614655898750221</v>
      </c>
      <c r="M97" s="14">
        <v>0.76810825164924557</v>
      </c>
      <c r="N97" s="14">
        <v>1.0160938604790315</v>
      </c>
      <c r="O97" s="14">
        <v>162.75791457153127</v>
      </c>
      <c r="P97" s="8">
        <v>1.0160938604790315</v>
      </c>
      <c r="Q97" s="54">
        <v>4.2486505898591792E-2</v>
      </c>
    </row>
    <row r="98" spans="1:17">
      <c r="A98" s="2" t="s">
        <v>474</v>
      </c>
      <c r="B98" s="16" t="s">
        <v>475</v>
      </c>
      <c r="D98" s="14">
        <v>1</v>
      </c>
      <c r="E98" s="14">
        <v>0.40061793956052066</v>
      </c>
      <c r="F98" s="14">
        <v>7.2106764745940535E-2</v>
      </c>
      <c r="G98" s="14">
        <v>2.0314423307995707E-21</v>
      </c>
      <c r="H98" s="14">
        <v>792.82257941792068</v>
      </c>
      <c r="I98" s="14">
        <v>1305.0681203512502</v>
      </c>
      <c r="J98" s="14">
        <v>0</v>
      </c>
      <c r="K98" s="14">
        <v>13.868324331612701</v>
      </c>
      <c r="L98" s="14">
        <v>7.2106764745940535E-2</v>
      </c>
      <c r="M98" s="14">
        <v>5.916360047404421E-2</v>
      </c>
      <c r="N98" s="14">
        <v>76.014414578910035</v>
      </c>
      <c r="O98" s="14">
        <v>40396.340339670161</v>
      </c>
      <c r="P98" s="8">
        <v>76.014414578910049</v>
      </c>
      <c r="Q98" s="54">
        <v>0.36866607990811368</v>
      </c>
    </row>
    <row r="99" spans="1:17">
      <c r="A99" s="2" t="s">
        <v>476</v>
      </c>
      <c r="B99" s="16" t="s">
        <v>477</v>
      </c>
      <c r="D99" s="14">
        <v>1</v>
      </c>
      <c r="E99" s="14">
        <v>0.99105778533693789</v>
      </c>
      <c r="F99" s="14">
        <v>0.99143224215156767</v>
      </c>
      <c r="G99" s="14">
        <v>1.9265111463376009E-9</v>
      </c>
      <c r="H99" s="14">
        <v>2.336377624756451E-2</v>
      </c>
      <c r="I99" s="14">
        <v>0.10060051619871344</v>
      </c>
      <c r="J99" s="14">
        <v>0</v>
      </c>
      <c r="K99" s="14">
        <v>1.0086417986869571</v>
      </c>
      <c r="L99" s="14">
        <v>0.99143224215156767</v>
      </c>
      <c r="M99" s="14">
        <v>0.81347015468536132</v>
      </c>
      <c r="N99" s="14">
        <v>0.86196858905538509</v>
      </c>
      <c r="O99" s="14">
        <v>111.33186296239354</v>
      </c>
      <c r="P99" s="8">
        <v>0.86196858905538509</v>
      </c>
      <c r="Q99" s="54">
        <v>5.6285977036861301E-3</v>
      </c>
    </row>
    <row r="100" spans="1:17">
      <c r="A100" s="2" t="s">
        <v>478</v>
      </c>
      <c r="B100" s="16" t="s">
        <v>479</v>
      </c>
      <c r="D100" s="14">
        <v>1</v>
      </c>
      <c r="E100" s="14">
        <v>0.56814102019964074</v>
      </c>
      <c r="F100" s="14">
        <v>0.53434124933252258</v>
      </c>
      <c r="G100" s="14">
        <v>7.3666017054504626E-13</v>
      </c>
      <c r="H100" s="14">
        <v>77.667388307137458</v>
      </c>
      <c r="I100" s="14">
        <v>175.83117257301589</v>
      </c>
      <c r="J100" s="14">
        <v>0</v>
      </c>
      <c r="K100" s="14">
        <v>1.8714632292550111</v>
      </c>
      <c r="L100" s="14">
        <v>0.53434124933252269</v>
      </c>
      <c r="M100" s="14">
        <v>0.43842699507733485</v>
      </c>
      <c r="N100" s="14">
        <v>10.3530574807757</v>
      </c>
      <c r="O100" s="14">
        <v>3103.8466327365545</v>
      </c>
      <c r="P100" s="8">
        <v>10.3530574807757</v>
      </c>
      <c r="Q100" s="54">
        <v>0.28661299166082382</v>
      </c>
    </row>
    <row r="101" spans="1:17">
      <c r="A101" s="2" t="s">
        <v>480</v>
      </c>
      <c r="B101" s="16" t="s">
        <v>481</v>
      </c>
      <c r="D101" s="14">
        <v>1</v>
      </c>
      <c r="E101" s="14">
        <v>0.98543021979377798</v>
      </c>
      <c r="F101" s="14">
        <v>0.98578269344972325</v>
      </c>
      <c r="G101" s="14">
        <v>5.1842946534640617E-13</v>
      </c>
      <c r="H101" s="14">
        <v>6.3162773145826356E-2</v>
      </c>
      <c r="I101" s="14">
        <v>0.2526494517279072</v>
      </c>
      <c r="J101" s="14">
        <v>0</v>
      </c>
      <c r="K101" s="14">
        <v>1.014422353572189</v>
      </c>
      <c r="L101" s="14">
        <v>0.98578269344972325</v>
      </c>
      <c r="M101" s="14">
        <v>0.80883469997549795</v>
      </c>
      <c r="N101" s="14">
        <v>0.86518217485006066</v>
      </c>
      <c r="O101" s="14">
        <v>206.05178676229045</v>
      </c>
      <c r="P101" s="8">
        <v>0.86518217485006077</v>
      </c>
      <c r="Q101" s="54">
        <v>9.4258030300886468E-3</v>
      </c>
    </row>
    <row r="102" spans="1:17">
      <c r="A102" s="2" t="s">
        <v>482</v>
      </c>
      <c r="B102" s="16" t="s">
        <v>483</v>
      </c>
      <c r="D102" s="14">
        <v>1</v>
      </c>
      <c r="E102" s="14">
        <v>0.9958514576029095</v>
      </c>
      <c r="F102" s="14">
        <v>0.99623741230283724</v>
      </c>
      <c r="G102" s="14">
        <v>3.2577018517572825E-29</v>
      </c>
      <c r="H102" s="14">
        <v>4.5069511101982294E-3</v>
      </c>
      <c r="I102" s="14">
        <v>2.191492646842071E-2</v>
      </c>
      <c r="J102" s="14">
        <v>0</v>
      </c>
      <c r="K102" s="14">
        <v>1.0037767982317241</v>
      </c>
      <c r="L102" s="14">
        <v>0.99623741230283724</v>
      </c>
      <c r="M102" s="14">
        <v>0.81741279679447798</v>
      </c>
      <c r="N102" s="14">
        <v>0.86197013656527977</v>
      </c>
      <c r="O102" s="14">
        <v>396.87690997875177</v>
      </c>
      <c r="P102" s="8">
        <v>0.86197013656527977</v>
      </c>
      <c r="Q102" s="54">
        <v>2.3929852285089408E-3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0.99132314826741685</v>
      </c>
      <c r="F103" s="14">
        <v>0.99169841905883072</v>
      </c>
      <c r="G103" s="14">
        <v>2.5985920686793146E-15</v>
      </c>
      <c r="H103" s="14">
        <v>2.1953795826769693E-2</v>
      </c>
      <c r="I103" s="14">
        <v>9.496570390411696E-2</v>
      </c>
      <c r="J103" s="14">
        <v>0</v>
      </c>
      <c r="K103" s="14">
        <v>1.0083710740902943</v>
      </c>
      <c r="L103" s="14">
        <v>0.99169841905883083</v>
      </c>
      <c r="M103" s="14">
        <v>0.81368855283777064</v>
      </c>
      <c r="N103" s="14">
        <v>0.86189999513918236</v>
      </c>
      <c r="O103" s="14">
        <v>176.90497400231718</v>
      </c>
      <c r="P103" s="8">
        <v>0.86189999513918247</v>
      </c>
      <c r="Q103" s="54">
        <v>5.44962717163239E-3</v>
      </c>
    </row>
    <row r="104" spans="1:17">
      <c r="A104" s="2" t="s">
        <v>486</v>
      </c>
      <c r="B104" s="16" t="s">
        <v>487</v>
      </c>
      <c r="D104" s="14">
        <v>1</v>
      </c>
      <c r="E104" s="14">
        <v>0.95393211629503061</v>
      </c>
      <c r="F104" s="14">
        <v>0.95400385455554237</v>
      </c>
      <c r="G104" s="14">
        <v>3.2065544360768832E-11</v>
      </c>
      <c r="H104" s="14">
        <v>0.62547525007907023</v>
      </c>
      <c r="I104" s="14">
        <v>2.1079839515894401</v>
      </c>
      <c r="J104" s="14">
        <v>0</v>
      </c>
      <c r="K104" s="14">
        <v>1.0482137941317717</v>
      </c>
      <c r="L104" s="14">
        <v>0.95400385455554237</v>
      </c>
      <c r="M104" s="14">
        <v>0.78276016266282256</v>
      </c>
      <c r="N104" s="14">
        <v>0.93803344841957437</v>
      </c>
      <c r="O104" s="14">
        <v>141.79313606310285</v>
      </c>
      <c r="P104" s="8">
        <v>0.93803344841957437</v>
      </c>
      <c r="Q104" s="54">
        <v>3.0652598748494218E-2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0.99514499285483982</v>
      </c>
      <c r="F105" s="14">
        <v>0.99552969035872096</v>
      </c>
      <c r="G105" s="14">
        <v>2.5908525934328342E-18</v>
      </c>
      <c r="H105" s="14">
        <v>6.3916681224310051E-3</v>
      </c>
      <c r="I105" s="14">
        <v>3.0288055162680554E-2</v>
      </c>
      <c r="J105" s="14">
        <v>0</v>
      </c>
      <c r="K105" s="14">
        <v>1.0044903830438932</v>
      </c>
      <c r="L105" s="14">
        <v>0.99552969035872096</v>
      </c>
      <c r="M105" s="14">
        <v>0.81683211093933061</v>
      </c>
      <c r="N105" s="14">
        <v>0.86179739892005458</v>
      </c>
      <c r="O105" s="14">
        <v>292.4595652975097</v>
      </c>
      <c r="P105" s="8">
        <v>0.86179739892005458</v>
      </c>
      <c r="Q105" s="54">
        <v>2.8699305519932898E-3</v>
      </c>
    </row>
    <row r="106" spans="1:17">
      <c r="A106" s="2" t="s">
        <v>490</v>
      </c>
      <c r="B106" s="16" t="s">
        <v>491</v>
      </c>
      <c r="D106" s="14">
        <v>1</v>
      </c>
      <c r="E106" s="14">
        <v>0.85025135626416715</v>
      </c>
      <c r="F106" s="14">
        <v>0.84747719887250894</v>
      </c>
      <c r="G106" s="14">
        <v>1.447493126562635E-10</v>
      </c>
      <c r="H106" s="14">
        <v>6.7731083399765826</v>
      </c>
      <c r="I106" s="14">
        <v>18.986512224455698</v>
      </c>
      <c r="J106" s="14">
        <v>0</v>
      </c>
      <c r="K106" s="14">
        <v>1.1799727489192731</v>
      </c>
      <c r="L106" s="14">
        <v>0.84747719887250905</v>
      </c>
      <c r="M106" s="14">
        <v>0.69535504167489359</v>
      </c>
      <c r="N106" s="14">
        <v>1.7764471148004741</v>
      </c>
      <c r="O106" s="14">
        <v>341.30878416661511</v>
      </c>
      <c r="P106" s="8">
        <v>1.7764471148004741</v>
      </c>
      <c r="Q106" s="54">
        <v>0.10024095446642314</v>
      </c>
    </row>
    <row r="107" spans="1:17">
      <c r="A107" s="2" t="s">
        <v>492</v>
      </c>
      <c r="B107" s="16" t="s">
        <v>493</v>
      </c>
      <c r="D107" s="14">
        <v>1</v>
      </c>
      <c r="E107" s="14">
        <v>0.4220895722190991</v>
      </c>
      <c r="F107" s="14">
        <v>5.7950469598121897E-2</v>
      </c>
      <c r="G107" s="14">
        <v>1.0319661387112513E-17</v>
      </c>
      <c r="H107" s="14">
        <v>881.93577466239367</v>
      </c>
      <c r="I107" s="14">
        <v>1417.4055546007578</v>
      </c>
      <c r="J107" s="14">
        <v>0</v>
      </c>
      <c r="K107" s="14">
        <v>17.256115557558978</v>
      </c>
      <c r="L107" s="14">
        <v>5.7950469598121904E-2</v>
      </c>
      <c r="M107" s="14">
        <v>4.7548360305259024E-2</v>
      </c>
      <c r="N107" s="14">
        <v>82.751394832397679</v>
      </c>
      <c r="O107" s="14">
        <v>37618.784090807982</v>
      </c>
      <c r="P107" s="8">
        <v>82.751394832397679</v>
      </c>
      <c r="Q107" s="54">
        <v>0.35098950469379947</v>
      </c>
    </row>
    <row r="108" spans="1:17">
      <c r="A108" s="2" t="s">
        <v>291</v>
      </c>
      <c r="B108" s="16" t="s">
        <v>494</v>
      </c>
      <c r="D108" s="14">
        <v>1</v>
      </c>
      <c r="E108" s="14">
        <v>0.60852575941609777</v>
      </c>
      <c r="F108" s="14">
        <v>0.58249615765777973</v>
      </c>
      <c r="G108" s="14">
        <v>4.0169974185499336E-12</v>
      </c>
      <c r="H108" s="14">
        <v>59.658601007723014</v>
      </c>
      <c r="I108" s="14">
        <v>138.58947057532032</v>
      </c>
      <c r="J108" s="14">
        <v>0</v>
      </c>
      <c r="K108" s="14">
        <v>1.7167495216123065</v>
      </c>
      <c r="L108" s="14">
        <v>0.58249615765777973</v>
      </c>
      <c r="M108" s="14">
        <v>0.47793809735820825</v>
      </c>
      <c r="N108" s="14">
        <v>8.2783177398263899</v>
      </c>
      <c r="O108" s="14">
        <v>2552.4537087206704</v>
      </c>
      <c r="P108" s="8">
        <v>8.2783177398263899</v>
      </c>
      <c r="Q108" s="54">
        <v>0.26033360701803326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9.4443934655981724E-5</v>
      </c>
      <c r="E2" s="20">
        <v>0.81221809261451572</v>
      </c>
      <c r="F2" s="20">
        <v>3.8392667433757056E-3</v>
      </c>
      <c r="G2" s="20">
        <v>1.1182627082413771E-3</v>
      </c>
      <c r="H2" s="20">
        <v>0</v>
      </c>
      <c r="I2" s="20">
        <v>0.80726056316289863</v>
      </c>
      <c r="J2" s="20">
        <v>1.6259827241957951E-3</v>
      </c>
      <c r="K2" s="20">
        <v>0.18606148072663251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1.4352455401077565E-2</v>
      </c>
      <c r="E3" s="20">
        <v>0.36297560659832684</v>
      </c>
      <c r="F3" s="20">
        <v>9.7140519317982468E-2</v>
      </c>
      <c r="G3" s="20">
        <v>0.26320611582599951</v>
      </c>
      <c r="H3" s="20">
        <v>0</v>
      </c>
      <c r="I3" s="20">
        <v>2.6289714543448464E-3</v>
      </c>
      <c r="J3" s="20">
        <v>0.29441901138981214</v>
      </c>
      <c r="K3" s="20">
        <v>0.32825292661078326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6.0728640570730457E-12</v>
      </c>
      <c r="E4" s="20">
        <v>0.53121406082596057</v>
      </c>
      <c r="F4" s="20">
        <v>3.4583406884042822E-2</v>
      </c>
      <c r="G4" s="20">
        <v>8.255879198936833E-3</v>
      </c>
      <c r="H4" s="20">
        <v>0</v>
      </c>
      <c r="I4" s="20">
        <v>0.48837477474298091</v>
      </c>
      <c r="J4" s="20">
        <v>8.8726483469789372E-3</v>
      </c>
      <c r="K4" s="20">
        <v>0.45991329082098764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5.1730214265763893E-4</v>
      </c>
      <c r="E5" s="20">
        <v>0.40581430847144878</v>
      </c>
      <c r="F5" s="20">
        <v>0.29135232769839725</v>
      </c>
      <c r="G5" s="20">
        <v>8.4550084800762745E-2</v>
      </c>
      <c r="H5" s="20">
        <v>0</v>
      </c>
      <c r="I5" s="20">
        <v>2.9911895972288809E-2</v>
      </c>
      <c r="J5" s="20">
        <v>9.1757430781118129E-2</v>
      </c>
      <c r="K5" s="20">
        <v>0.5019109586047753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4.865648833423331E-5</v>
      </c>
      <c r="E6" s="20">
        <v>0.38228670743344711</v>
      </c>
      <c r="F6" s="20">
        <v>6.446366252258795E-2</v>
      </c>
      <c r="G6" s="20">
        <v>0.31659972392494712</v>
      </c>
      <c r="H6" s="20">
        <v>0</v>
      </c>
      <c r="I6" s="20">
        <v>1.2233209859120262E-3</v>
      </c>
      <c r="J6" s="20">
        <v>0.35703538122123929</v>
      </c>
      <c r="K6" s="20">
        <v>0.26062925485697919</v>
      </c>
      <c r="L6" s="20">
        <v>0</v>
      </c>
    </row>
    <row r="7" spans="1:14">
      <c r="A7" s="2" t="s">
        <v>321</v>
      </c>
      <c r="B7" s="3" t="s">
        <v>322</v>
      </c>
      <c r="D7" s="20">
        <v>7.0055097218960156E-5</v>
      </c>
      <c r="E7" s="20">
        <v>0.36997740925908179</v>
      </c>
      <c r="F7" s="20">
        <v>9.2921017124088678E-2</v>
      </c>
      <c r="G7" s="20">
        <v>0.27466891399072718</v>
      </c>
      <c r="H7" s="20">
        <v>0</v>
      </c>
      <c r="I7" s="20">
        <v>2.3874781442659249E-3</v>
      </c>
      <c r="J7" s="20">
        <v>0.3076066428914549</v>
      </c>
      <c r="K7" s="20">
        <v>0.32234589275224451</v>
      </c>
      <c r="L7" s="20">
        <v>0</v>
      </c>
    </row>
    <row r="8" spans="1:14">
      <c r="A8" s="2" t="s">
        <v>323</v>
      </c>
      <c r="B8" s="3" t="s">
        <v>324</v>
      </c>
      <c r="D8" s="20">
        <v>6.4994536656678991E-4</v>
      </c>
      <c r="E8" s="20">
        <v>0.36103331847529851</v>
      </c>
      <c r="F8" s="20">
        <v>0.13891561531255592</v>
      </c>
      <c r="G8" s="20">
        <v>0.21689354259787097</v>
      </c>
      <c r="H8" s="20">
        <v>0</v>
      </c>
      <c r="I8" s="20">
        <v>5.2241605648716168E-3</v>
      </c>
      <c r="J8" s="20">
        <v>0.24079648983461183</v>
      </c>
      <c r="K8" s="20">
        <v>0.39752024632352295</v>
      </c>
      <c r="L8" s="20">
        <v>0</v>
      </c>
    </row>
    <row r="9" spans="1:14">
      <c r="A9" s="2" t="s">
        <v>325</v>
      </c>
      <c r="B9" s="3" t="s">
        <v>326</v>
      </c>
      <c r="D9" s="20">
        <v>2.763318333492152E-4</v>
      </c>
      <c r="E9" s="20">
        <v>0.35713517700911018</v>
      </c>
      <c r="F9" s="20">
        <v>0.16281901882824901</v>
      </c>
      <c r="G9" s="20">
        <v>3.1974273733731316E-2</v>
      </c>
      <c r="H9" s="20">
        <v>0</v>
      </c>
      <c r="I9" s="20">
        <v>0.16234188444712985</v>
      </c>
      <c r="J9" s="20">
        <v>3.4014596138490914E-2</v>
      </c>
      <c r="K9" s="20">
        <v>0.60857389501904979</v>
      </c>
      <c r="L9" s="20">
        <v>0</v>
      </c>
    </row>
    <row r="10" spans="1:14">
      <c r="A10" s="2" t="s">
        <v>275</v>
      </c>
      <c r="B10" s="3" t="s">
        <v>276</v>
      </c>
      <c r="D10" s="20">
        <v>6.603490801514229E-6</v>
      </c>
      <c r="E10" s="20">
        <v>0.40097277176420809</v>
      </c>
      <c r="F10" s="20">
        <v>0.28356184413411928</v>
      </c>
      <c r="G10" s="20">
        <v>8.9772505750553372E-2</v>
      </c>
      <c r="H10" s="20">
        <v>0</v>
      </c>
      <c r="I10" s="20">
        <v>2.763842187953542E-2</v>
      </c>
      <c r="J10" s="20">
        <v>9.753789867512537E-2</v>
      </c>
      <c r="K10" s="20">
        <v>0.5014827260698651</v>
      </c>
      <c r="L10" s="20">
        <v>0</v>
      </c>
    </row>
    <row r="11" spans="1:14">
      <c r="A11" s="2" t="s">
        <v>327</v>
      </c>
      <c r="B11" s="3" t="s">
        <v>328</v>
      </c>
      <c r="D11" s="20">
        <v>3.40100358945009E-4</v>
      </c>
      <c r="E11" s="20">
        <v>0.39306365489511358</v>
      </c>
      <c r="F11" s="20">
        <v>0.27007308490580195</v>
      </c>
      <c r="G11" s="20">
        <v>9.8850042541264824E-2</v>
      </c>
      <c r="H11" s="20">
        <v>0</v>
      </c>
      <c r="I11" s="20">
        <v>2.4140527448046817E-2</v>
      </c>
      <c r="J11" s="20">
        <v>0.10760894611428717</v>
      </c>
      <c r="K11" s="20">
        <v>0.49898729863165414</v>
      </c>
      <c r="L11" s="20">
        <v>0</v>
      </c>
    </row>
    <row r="12" spans="1:14">
      <c r="A12" s="2" t="s">
        <v>329</v>
      </c>
      <c r="B12" s="3" t="s">
        <v>330</v>
      </c>
      <c r="D12" s="20">
        <v>1.6742074467142873E-4</v>
      </c>
      <c r="E12" s="20">
        <v>0.36389819946329571</v>
      </c>
      <c r="F12" s="20">
        <v>0.20458956747061696</v>
      </c>
      <c r="G12" s="20">
        <v>3.8652629115316813E-2</v>
      </c>
      <c r="H12" s="20">
        <v>0</v>
      </c>
      <c r="I12" s="20">
        <v>0.12065600287736195</v>
      </c>
      <c r="J12" s="20">
        <v>4.1242963330197079E-2</v>
      </c>
      <c r="K12" s="20">
        <v>0.59469141646183588</v>
      </c>
      <c r="L12" s="20">
        <v>0</v>
      </c>
    </row>
    <row r="13" spans="1:14">
      <c r="A13" s="2" t="s">
        <v>277</v>
      </c>
      <c r="B13" s="3" t="s">
        <v>278</v>
      </c>
      <c r="D13" s="20">
        <v>4.3618553527903368E-4</v>
      </c>
      <c r="E13" s="20">
        <v>0.35709845141646562</v>
      </c>
      <c r="F13" s="20">
        <v>0.16655032111455484</v>
      </c>
      <c r="G13" s="20">
        <v>3.2586748570013625E-2</v>
      </c>
      <c r="H13" s="20">
        <v>0</v>
      </c>
      <c r="I13" s="20">
        <v>0.15796138173189714</v>
      </c>
      <c r="J13" s="20">
        <v>3.4675209171343063E-2</v>
      </c>
      <c r="K13" s="20">
        <v>0.60779015387691226</v>
      </c>
      <c r="L13" s="20">
        <v>0</v>
      </c>
    </row>
    <row r="14" spans="1:14">
      <c r="A14" s="2" t="s">
        <v>331</v>
      </c>
      <c r="B14" s="3" t="s">
        <v>332</v>
      </c>
      <c r="D14" s="20">
        <v>2.2039313921155181E-4</v>
      </c>
      <c r="E14" s="20">
        <v>0.37427943751963022</v>
      </c>
      <c r="F14" s="20">
        <v>0.22791467305906707</v>
      </c>
      <c r="G14" s="20">
        <v>0.13078798269394531</v>
      </c>
      <c r="H14" s="20">
        <v>0</v>
      </c>
      <c r="I14" s="20">
        <v>1.5576781766617849E-2</v>
      </c>
      <c r="J14" s="20">
        <v>0.14324102448815318</v>
      </c>
      <c r="K14" s="20">
        <v>0.48225914485300497</v>
      </c>
      <c r="L14" s="20">
        <v>0</v>
      </c>
    </row>
    <row r="15" spans="1:14">
      <c r="A15" s="2" t="s">
        <v>333</v>
      </c>
      <c r="B15" s="3" t="s">
        <v>334</v>
      </c>
      <c r="D15" s="20">
        <v>3.7233065303389893E-7</v>
      </c>
      <c r="E15" s="20">
        <v>0.39698553391976321</v>
      </c>
      <c r="F15" s="20">
        <v>0.27688728121616257</v>
      </c>
      <c r="G15" s="20">
        <v>9.4253733539571283E-2</v>
      </c>
      <c r="H15" s="20">
        <v>0</v>
      </c>
      <c r="I15" s="20">
        <v>2.5844519164029384E-2</v>
      </c>
      <c r="J15" s="20">
        <v>0.10250589859993023</v>
      </c>
      <c r="K15" s="20">
        <v>0.50050819514965339</v>
      </c>
      <c r="L15" s="20">
        <v>0</v>
      </c>
    </row>
    <row r="16" spans="1:14">
      <c r="A16" s="2" t="s">
        <v>335</v>
      </c>
      <c r="B16" s="3" t="s">
        <v>336</v>
      </c>
      <c r="D16" s="20">
        <v>1.6868616597908303E-3</v>
      </c>
      <c r="E16" s="20">
        <v>0.36052546138839592</v>
      </c>
      <c r="F16" s="20">
        <v>0.14110866472813424</v>
      </c>
      <c r="G16" s="20">
        <v>0.21401747585909298</v>
      </c>
      <c r="H16" s="20">
        <v>0</v>
      </c>
      <c r="I16" s="20">
        <v>5.3993208011687069E-3</v>
      </c>
      <c r="J16" s="20">
        <v>0.23750954142587849</v>
      </c>
      <c r="K16" s="20">
        <v>0.40027813552593466</v>
      </c>
      <c r="L16" s="20">
        <v>0</v>
      </c>
    </row>
    <row r="17" spans="1:12">
      <c r="A17" s="2" t="s">
        <v>337</v>
      </c>
      <c r="B17" s="3" t="s">
        <v>338</v>
      </c>
      <c r="D17" s="20">
        <v>1.3260651960172453E-4</v>
      </c>
      <c r="E17" s="20">
        <v>0.4042564258035008</v>
      </c>
      <c r="F17" s="20">
        <v>0.28882786606546834</v>
      </c>
      <c r="G17" s="20">
        <v>8.6284869570038322E-2</v>
      </c>
      <c r="H17" s="20">
        <v>0</v>
      </c>
      <c r="I17" s="20">
        <v>2.9143690167994139E-2</v>
      </c>
      <c r="J17" s="20">
        <v>9.3676201890976682E-2</v>
      </c>
      <c r="K17" s="20">
        <v>0.50193476578592078</v>
      </c>
      <c r="L17" s="20">
        <v>0</v>
      </c>
    </row>
    <row r="18" spans="1:12">
      <c r="A18" s="2" t="s">
        <v>279</v>
      </c>
      <c r="B18" s="3" t="s">
        <v>280</v>
      </c>
      <c r="D18" s="20">
        <v>7.7541352079006616E-3</v>
      </c>
      <c r="E18" s="20">
        <v>0.35603030675565384</v>
      </c>
      <c r="F18" s="20">
        <v>0.14541445648272949</v>
      </c>
      <c r="G18" s="20">
        <v>2.9033750454345066E-2</v>
      </c>
      <c r="H18" s="20">
        <v>0</v>
      </c>
      <c r="I18" s="20">
        <v>0.18158209981857928</v>
      </c>
      <c r="J18" s="20">
        <v>3.0852701481236873E-2</v>
      </c>
      <c r="K18" s="20">
        <v>0.60536285655520861</v>
      </c>
      <c r="L18" s="20">
        <v>0</v>
      </c>
    </row>
    <row r="19" spans="1:12">
      <c r="A19" s="2" t="s">
        <v>339</v>
      </c>
      <c r="B19" s="3" t="s">
        <v>340</v>
      </c>
      <c r="D19" s="20">
        <v>1.3035264437710975E-6</v>
      </c>
      <c r="E19" s="20">
        <v>0.39621128962930402</v>
      </c>
      <c r="F19" s="20">
        <v>0.27554596815796406</v>
      </c>
      <c r="G19" s="20">
        <v>9.5167709341520829E-2</v>
      </c>
      <c r="H19" s="20">
        <v>0</v>
      </c>
      <c r="I19" s="20">
        <v>2.5497612129819151E-2</v>
      </c>
      <c r="J19" s="20">
        <v>0.10351995649461933</v>
      </c>
      <c r="K19" s="20">
        <v>0.50026745034963294</v>
      </c>
      <c r="L19" s="20">
        <v>0</v>
      </c>
    </row>
    <row r="20" spans="1:12">
      <c r="A20" s="2" t="s">
        <v>281</v>
      </c>
      <c r="B20" s="3" t="s">
        <v>282</v>
      </c>
      <c r="D20" s="20">
        <v>6.6043799513848265E-5</v>
      </c>
      <c r="E20" s="20">
        <v>0.35723068613598374</v>
      </c>
      <c r="F20" s="20">
        <v>0.16661199524086617</v>
      </c>
      <c r="G20" s="20">
        <v>3.2598815549134012E-2</v>
      </c>
      <c r="H20" s="20">
        <v>0</v>
      </c>
      <c r="I20" s="20">
        <v>0.15801987534598358</v>
      </c>
      <c r="J20" s="20">
        <v>3.4688049514225598E-2</v>
      </c>
      <c r="K20" s="20">
        <v>0.60801522055027668</v>
      </c>
      <c r="L20" s="20">
        <v>0</v>
      </c>
    </row>
    <row r="21" spans="1:12">
      <c r="A21" s="2" t="s">
        <v>341</v>
      </c>
      <c r="B21" s="3" t="s">
        <v>342</v>
      </c>
      <c r="D21" s="20">
        <v>1.8560083354023172E-3</v>
      </c>
      <c r="E21" s="20">
        <v>0.37828751476978595</v>
      </c>
      <c r="F21" s="20">
        <v>0.23980273787174355</v>
      </c>
      <c r="G21" s="20">
        <v>0.12076739335447428</v>
      </c>
      <c r="H21" s="20">
        <v>0</v>
      </c>
      <c r="I21" s="20">
        <v>1.7717383543568086E-2</v>
      </c>
      <c r="J21" s="20">
        <v>0.13203342022713702</v>
      </c>
      <c r="K21" s="20">
        <v>0.48782305666767495</v>
      </c>
      <c r="L21" s="20">
        <v>0</v>
      </c>
    </row>
    <row r="22" spans="1:12">
      <c r="A22" s="2" t="s">
        <v>343</v>
      </c>
      <c r="B22" s="3" t="s">
        <v>344</v>
      </c>
      <c r="D22" s="20">
        <v>2.2599859718074457E-3</v>
      </c>
      <c r="E22" s="20">
        <v>0.66660165254167547</v>
      </c>
      <c r="F22" s="20">
        <v>1.3841398051751093E-2</v>
      </c>
      <c r="G22" s="20">
        <v>3.6097366064157957E-3</v>
      </c>
      <c r="H22" s="20">
        <v>0</v>
      </c>
      <c r="I22" s="20">
        <v>0.64915051788350864</v>
      </c>
      <c r="J22" s="20">
        <v>4.1079474392524918E-3</v>
      </c>
      <c r="K22" s="20">
        <v>0.32703041404726435</v>
      </c>
      <c r="L22" s="20">
        <v>0</v>
      </c>
    </row>
    <row r="23" spans="1:12">
      <c r="A23" s="2" t="s">
        <v>345</v>
      </c>
      <c r="B23" s="3" t="s">
        <v>346</v>
      </c>
      <c r="D23" s="20">
        <v>8.9134492789215932E-5</v>
      </c>
      <c r="E23" s="20">
        <v>0.7674907974989551</v>
      </c>
      <c r="F23" s="20">
        <v>6.1082951304371599E-3</v>
      </c>
      <c r="G23" s="20">
        <v>1.711652377958367E-3</v>
      </c>
      <c r="H23" s="20">
        <v>0</v>
      </c>
      <c r="I23" s="20">
        <v>0.75967084999055956</v>
      </c>
      <c r="J23" s="20">
        <v>2.2079405378391198E-3</v>
      </c>
      <c r="K23" s="20">
        <v>0.23021212747041667</v>
      </c>
      <c r="L23" s="20">
        <v>0</v>
      </c>
    </row>
    <row r="24" spans="1:12">
      <c r="A24" s="2" t="s">
        <v>347</v>
      </c>
      <c r="B24" s="3" t="s">
        <v>348</v>
      </c>
      <c r="D24" s="20">
        <v>1.3230251276996372E-4</v>
      </c>
      <c r="E24" s="20">
        <v>0.41288639540284294</v>
      </c>
      <c r="F24" s="20">
        <v>7.6955968383913609E-2</v>
      </c>
      <c r="G24" s="20">
        <v>1.678563838860039E-2</v>
      </c>
      <c r="H24" s="20">
        <v>0</v>
      </c>
      <c r="I24" s="20">
        <v>0.31914478863032897</v>
      </c>
      <c r="J24" s="20">
        <v>1.7800172173046538E-2</v>
      </c>
      <c r="K24" s="20">
        <v>0.56918112991134051</v>
      </c>
      <c r="L24" s="20">
        <v>0</v>
      </c>
    </row>
    <row r="25" spans="1:12">
      <c r="A25" s="2" t="s">
        <v>349</v>
      </c>
      <c r="B25" s="3" t="s">
        <v>350</v>
      </c>
      <c r="D25" s="20">
        <v>4.8172339573127748E-2</v>
      </c>
      <c r="E25" s="20">
        <v>0.37301756786944196</v>
      </c>
      <c r="F25" s="20">
        <v>0.25204144101938286</v>
      </c>
      <c r="G25" s="20">
        <v>4.5307229824826482E-2</v>
      </c>
      <c r="H25" s="20">
        <v>0</v>
      </c>
      <c r="I25" s="20">
        <v>7.5668897025232607E-2</v>
      </c>
      <c r="J25" s="20">
        <v>4.8560748551369007E-2</v>
      </c>
      <c r="K25" s="20">
        <v>0.53024934400606127</v>
      </c>
      <c r="L25" s="20">
        <v>0</v>
      </c>
    </row>
    <row r="26" spans="1:12">
      <c r="A26" s="2" t="s">
        <v>351</v>
      </c>
      <c r="B26" s="3" t="s">
        <v>352</v>
      </c>
      <c r="D26" s="20">
        <v>1.4979440866659296E-3</v>
      </c>
      <c r="E26" s="20">
        <v>0.38188850291153431</v>
      </c>
      <c r="F26" s="20">
        <v>0.24806747022685133</v>
      </c>
      <c r="G26" s="20">
        <v>0.1145157899152428</v>
      </c>
      <c r="H26" s="20">
        <v>0</v>
      </c>
      <c r="I26" s="20">
        <v>1.9305242769440154E-2</v>
      </c>
      <c r="J26" s="20">
        <v>0.12505189127132368</v>
      </c>
      <c r="K26" s="20">
        <v>0.491561661730476</v>
      </c>
      <c r="L26" s="20">
        <v>0</v>
      </c>
    </row>
    <row r="27" spans="1:12">
      <c r="A27" s="2" t="s">
        <v>353</v>
      </c>
      <c r="B27" s="3" t="s">
        <v>354</v>
      </c>
      <c r="D27" s="20">
        <v>9.9595393360085074E-3</v>
      </c>
      <c r="E27" s="20">
        <v>0.36326659797439947</v>
      </c>
      <c r="F27" s="20">
        <v>0.10237960888812916</v>
      </c>
      <c r="G27" s="20">
        <v>0.25799365278644032</v>
      </c>
      <c r="H27" s="20">
        <v>0</v>
      </c>
      <c r="I27" s="20">
        <v>2.893336299829984E-3</v>
      </c>
      <c r="J27" s="20">
        <v>0.28830271653723055</v>
      </c>
      <c r="K27" s="20">
        <v>0.3384711461523614</v>
      </c>
      <c r="L27" s="20">
        <v>0</v>
      </c>
    </row>
    <row r="28" spans="1:12">
      <c r="A28" s="2" t="s">
        <v>355</v>
      </c>
      <c r="B28" s="3" t="s">
        <v>356</v>
      </c>
      <c r="D28" s="20">
        <v>5.4662897056580303E-4</v>
      </c>
      <c r="E28" s="20">
        <v>0.36443721550041402</v>
      </c>
      <c r="F28" s="20">
        <v>0.19149915407035162</v>
      </c>
      <c r="G28" s="20">
        <v>0.16257823904987917</v>
      </c>
      <c r="H28" s="20">
        <v>0</v>
      </c>
      <c r="I28" s="20">
        <v>1.0359822380183251E-2</v>
      </c>
      <c r="J28" s="20">
        <v>0.17900544235133228</v>
      </c>
      <c r="K28" s="20">
        <v>0.45601071317768777</v>
      </c>
      <c r="L28" s="20">
        <v>0</v>
      </c>
    </row>
    <row r="29" spans="1:12">
      <c r="A29" s="2" t="s">
        <v>357</v>
      </c>
      <c r="B29" s="3" t="s">
        <v>358</v>
      </c>
      <c r="D29" s="20">
        <v>0.10344226997490941</v>
      </c>
      <c r="E29" s="20">
        <v>0.33695129475818369</v>
      </c>
      <c r="F29" s="20">
        <v>0.20805217350054864</v>
      </c>
      <c r="G29" s="20">
        <v>0.1143056802522666</v>
      </c>
      <c r="H29" s="20">
        <v>0</v>
      </c>
      <c r="I29" s="20">
        <v>1.459344100536844E-2</v>
      </c>
      <c r="J29" s="20">
        <v>0.12511577726223991</v>
      </c>
      <c r="K29" s="20">
        <v>0.43449065800466702</v>
      </c>
      <c r="L29" s="20">
        <v>0</v>
      </c>
    </row>
    <row r="30" spans="1:12">
      <c r="A30" s="2" t="s">
        <v>359</v>
      </c>
      <c r="B30" s="3" t="s">
        <v>360</v>
      </c>
      <c r="D30" s="20">
        <v>5.4662897056580303E-4</v>
      </c>
      <c r="E30" s="20">
        <v>0.36443721550041402</v>
      </c>
      <c r="F30" s="20">
        <v>0.19149915407035162</v>
      </c>
      <c r="G30" s="20">
        <v>0.16257823904987917</v>
      </c>
      <c r="H30" s="20">
        <v>0</v>
      </c>
      <c r="I30" s="20">
        <v>1.0359822380183251E-2</v>
      </c>
      <c r="J30" s="20">
        <v>0.17900544235133228</v>
      </c>
      <c r="K30" s="20">
        <v>0.45601071317768777</v>
      </c>
      <c r="L30" s="20">
        <v>0</v>
      </c>
    </row>
    <row r="31" spans="1:12">
      <c r="A31" s="2" t="s">
        <v>283</v>
      </c>
      <c r="B31" s="3" t="s">
        <v>284</v>
      </c>
      <c r="D31" s="20">
        <v>2.6132044793943539E-8</v>
      </c>
      <c r="E31" s="20">
        <v>0.97609114921307161</v>
      </c>
      <c r="F31" s="20">
        <v>5.9847719858688973E-5</v>
      </c>
      <c r="G31" s="20">
        <v>2.4018349727023758E-5</v>
      </c>
      <c r="H31" s="20">
        <v>0</v>
      </c>
      <c r="I31" s="20">
        <v>0.97600728314348595</v>
      </c>
      <c r="J31" s="20">
        <v>6.1419583243964206E-4</v>
      </c>
      <c r="K31" s="20">
        <v>2.3294628822443927E-2</v>
      </c>
      <c r="L31" s="20">
        <v>0</v>
      </c>
    </row>
    <row r="32" spans="1:12">
      <c r="A32" s="2" t="s">
        <v>361</v>
      </c>
      <c r="B32" s="3" t="s">
        <v>362</v>
      </c>
      <c r="D32" s="20">
        <v>2.7100645884207587E-8</v>
      </c>
      <c r="E32" s="20">
        <v>0.58449970813816976</v>
      </c>
      <c r="F32" s="20">
        <v>2.4798873108448562E-2</v>
      </c>
      <c r="G32" s="20">
        <v>6.1143544024711291E-3</v>
      </c>
      <c r="H32" s="20">
        <v>0</v>
      </c>
      <c r="I32" s="20">
        <v>0.55358648062725002</v>
      </c>
      <c r="J32" s="20">
        <v>6.7451138854479585E-3</v>
      </c>
      <c r="K32" s="20">
        <v>0.40875515087573633</v>
      </c>
      <c r="L32" s="20">
        <v>0</v>
      </c>
    </row>
    <row r="33" spans="1:12">
      <c r="A33" s="2" t="s">
        <v>364</v>
      </c>
      <c r="B33" s="3" t="s">
        <v>365</v>
      </c>
      <c r="D33" s="20">
        <v>1.2067619898142455E-10</v>
      </c>
      <c r="E33" s="20">
        <v>0.99932809831679104</v>
      </c>
      <c r="F33" s="20">
        <v>4.2008772387632838E-4</v>
      </c>
      <c r="G33" s="20">
        <v>1.2845982116432861E-7</v>
      </c>
      <c r="H33" s="20">
        <v>0</v>
      </c>
      <c r="I33" s="20">
        <v>0.99890788213309356</v>
      </c>
      <c r="J33" s="20">
        <v>6.1479579887074604E-4</v>
      </c>
      <c r="K33" s="20">
        <v>5.7105763661899216E-5</v>
      </c>
      <c r="L33" s="20">
        <v>0</v>
      </c>
    </row>
    <row r="34" spans="1:12">
      <c r="A34" s="2" t="s">
        <v>285</v>
      </c>
      <c r="B34" s="3" t="s">
        <v>286</v>
      </c>
      <c r="D34" s="20">
        <v>6.0212454634216637E-10</v>
      </c>
      <c r="E34" s="20">
        <v>0.99779327893469971</v>
      </c>
      <c r="F34" s="20">
        <v>7.5853265217806054E-2</v>
      </c>
      <c r="G34" s="20">
        <v>6.2294368491629642E-6</v>
      </c>
      <c r="H34" s="20">
        <v>0</v>
      </c>
      <c r="I34" s="20">
        <v>0.92193378428004447</v>
      </c>
      <c r="J34" s="20">
        <v>1.8801616431707436E-3</v>
      </c>
      <c r="K34" s="20">
        <v>3.2655882000490817E-4</v>
      </c>
      <c r="L34" s="20">
        <v>0</v>
      </c>
    </row>
    <row r="35" spans="1:12">
      <c r="A35" s="2" t="s">
        <v>287</v>
      </c>
      <c r="B35" s="3" t="s">
        <v>288</v>
      </c>
      <c r="D35" s="20">
        <v>2.6490683622754444E-11</v>
      </c>
      <c r="E35" s="20">
        <v>0.99547811211542092</v>
      </c>
      <c r="F35" s="20">
        <v>0.17108484233297724</v>
      </c>
      <c r="G35" s="20">
        <v>3.3131328954743285E-5</v>
      </c>
      <c r="H35" s="20">
        <v>0</v>
      </c>
      <c r="I35" s="20">
        <v>0.82436013845348899</v>
      </c>
      <c r="J35" s="20">
        <v>3.3280331207556505E-3</v>
      </c>
      <c r="K35" s="20">
        <v>1.1938547373326446E-3</v>
      </c>
      <c r="L35" s="20">
        <v>0</v>
      </c>
    </row>
    <row r="36" spans="1:12">
      <c r="A36" s="2" t="s">
        <v>366</v>
      </c>
      <c r="B36" s="3" t="s">
        <v>305</v>
      </c>
      <c r="D36" s="20">
        <v>9.2337759930666005E-8</v>
      </c>
      <c r="E36" s="20">
        <v>0.99022797264117535</v>
      </c>
      <c r="F36" s="20">
        <v>0.44641683358956968</v>
      </c>
      <c r="G36" s="20">
        <v>1.2781515358353457E-4</v>
      </c>
      <c r="H36" s="20">
        <v>0</v>
      </c>
      <c r="I36" s="20">
        <v>0.5436833238980221</v>
      </c>
      <c r="J36" s="20">
        <v>7.1338124067226432E-3</v>
      </c>
      <c r="K36" s="20">
        <v>2.6381226143420305E-3</v>
      </c>
      <c r="L36" s="20">
        <v>0</v>
      </c>
    </row>
    <row r="37" spans="1:12">
      <c r="A37" s="2" t="s">
        <v>289</v>
      </c>
      <c r="B37" s="3" t="s">
        <v>290</v>
      </c>
      <c r="D37" s="20">
        <v>1.1801535732297686E-14</v>
      </c>
      <c r="E37" s="20">
        <v>0.79085470953982262</v>
      </c>
      <c r="F37" s="20">
        <v>0.1962270825677192</v>
      </c>
      <c r="G37" s="20">
        <v>6.6992849086377282E-3</v>
      </c>
      <c r="H37" s="20">
        <v>0</v>
      </c>
      <c r="I37" s="20">
        <v>0.58792834206346567</v>
      </c>
      <c r="J37" s="20">
        <v>1.0013279976412118E-2</v>
      </c>
      <c r="K37" s="20">
        <v>0.19913201048375354</v>
      </c>
      <c r="L37" s="20">
        <v>0</v>
      </c>
    </row>
    <row r="38" spans="1:12">
      <c r="A38" s="2" t="s">
        <v>291</v>
      </c>
      <c r="B38" s="3" t="s">
        <v>292</v>
      </c>
      <c r="D38" s="20">
        <v>1.839321348860626E-12</v>
      </c>
      <c r="E38" s="20">
        <v>0.99548540315650202</v>
      </c>
      <c r="F38" s="20">
        <v>5.8546780675755306E-2</v>
      </c>
      <c r="G38" s="20">
        <v>4.8912523224469436E-5</v>
      </c>
      <c r="H38" s="20">
        <v>0</v>
      </c>
      <c r="I38" s="20">
        <v>0.9368897099575223</v>
      </c>
      <c r="J38" s="20">
        <v>1.6482238854772381E-3</v>
      </c>
      <c r="K38" s="20">
        <v>2.8663729561814021E-3</v>
      </c>
      <c r="L38" s="20">
        <v>0</v>
      </c>
    </row>
    <row r="39" spans="1:12">
      <c r="A39" s="2" t="s">
        <v>367</v>
      </c>
      <c r="B39" s="3" t="s">
        <v>368</v>
      </c>
      <c r="D39" s="20">
        <v>6.5248517978747658E-5</v>
      </c>
      <c r="E39" s="20">
        <v>0.44078747834594434</v>
      </c>
      <c r="F39" s="20">
        <v>0.33554043766612729</v>
      </c>
      <c r="G39" s="20">
        <v>5.8605776165245024E-2</v>
      </c>
      <c r="H39" s="20">
        <v>0</v>
      </c>
      <c r="I39" s="20">
        <v>4.6641264514572033E-2</v>
      </c>
      <c r="J39" s="20">
        <v>6.3179962899831146E-2</v>
      </c>
      <c r="K39" s="20">
        <v>0.4959673102362458</v>
      </c>
      <c r="L39" s="20">
        <v>0</v>
      </c>
    </row>
    <row r="40" spans="1:12">
      <c r="A40" s="2" t="s">
        <v>369</v>
      </c>
      <c r="B40" s="3" t="s">
        <v>370</v>
      </c>
      <c r="D40" s="20">
        <v>4.5791477156047907E-12</v>
      </c>
      <c r="E40" s="20">
        <v>0.49347066415971902</v>
      </c>
      <c r="F40" s="20">
        <v>0.45550614944974677</v>
      </c>
      <c r="G40" s="20">
        <v>3.2954492005080271E-2</v>
      </c>
      <c r="H40" s="20">
        <v>0</v>
      </c>
      <c r="I40" s="20">
        <v>5.010022704891955E-3</v>
      </c>
      <c r="J40" s="20">
        <v>0.49219996071718897</v>
      </c>
      <c r="K40" s="20">
        <v>1.432937511851304E-2</v>
      </c>
      <c r="L40" s="20">
        <v>0</v>
      </c>
    </row>
    <row r="41" spans="1:12">
      <c r="A41" s="2" t="s">
        <v>371</v>
      </c>
      <c r="B41" s="3" t="s">
        <v>372</v>
      </c>
      <c r="D41" s="20">
        <v>8.1502350596060702E-2</v>
      </c>
      <c r="E41" s="20">
        <v>0.91338060824016865</v>
      </c>
      <c r="F41" s="20">
        <v>2.786405695920664E-6</v>
      </c>
      <c r="G41" s="20">
        <v>1.3948898194392649E-6</v>
      </c>
      <c r="H41" s="20">
        <v>0</v>
      </c>
      <c r="I41" s="20">
        <v>0.91337642694465326</v>
      </c>
      <c r="J41" s="20">
        <v>5.5401945290525659E-4</v>
      </c>
      <c r="K41" s="20">
        <v>4.5630217108655899E-3</v>
      </c>
      <c r="L41" s="20">
        <v>0</v>
      </c>
    </row>
    <row r="42" spans="1:12">
      <c r="A42" s="2" t="s">
        <v>293</v>
      </c>
      <c r="B42" s="3" t="s">
        <v>294</v>
      </c>
      <c r="D42" s="20">
        <v>2.0705978247959886E-8</v>
      </c>
      <c r="E42" s="20">
        <v>0.64287777015356384</v>
      </c>
      <c r="F42" s="20">
        <v>1.661001284604606E-2</v>
      </c>
      <c r="G42" s="20">
        <v>4.2605486004195E-3</v>
      </c>
      <c r="H42" s="20">
        <v>0</v>
      </c>
      <c r="I42" s="20">
        <v>0.62200720870709825</v>
      </c>
      <c r="J42" s="20">
        <v>4.7690625016239309E-3</v>
      </c>
      <c r="K42" s="20">
        <v>0.3523531466388341</v>
      </c>
      <c r="L42" s="20">
        <v>0</v>
      </c>
    </row>
    <row r="43" spans="1:12">
      <c r="A43" s="2" t="s">
        <v>373</v>
      </c>
      <c r="B43" s="3" t="s">
        <v>374</v>
      </c>
      <c r="D43" s="20">
        <v>3.8777727363129816E-7</v>
      </c>
      <c r="E43" s="20">
        <v>0.97015286576490511</v>
      </c>
      <c r="F43" s="20">
        <v>0.88986112813835894</v>
      </c>
      <c r="G43" s="20">
        <v>7.5135322923943978E-4</v>
      </c>
      <c r="H43" s="20">
        <v>0</v>
      </c>
      <c r="I43" s="20">
        <v>7.954038439730679E-2</v>
      </c>
      <c r="J43" s="20">
        <v>2.6053974006359261E-2</v>
      </c>
      <c r="K43" s="20">
        <v>3.7927724514620199E-3</v>
      </c>
      <c r="L43" s="20">
        <v>0</v>
      </c>
    </row>
    <row r="44" spans="1:12">
      <c r="A44" s="2" t="s">
        <v>375</v>
      </c>
      <c r="B44" s="3" t="s">
        <v>376</v>
      </c>
      <c r="D44" s="20">
        <v>8.6819969815494613E-2</v>
      </c>
      <c r="E44" s="20">
        <v>0.78234704447462677</v>
      </c>
      <c r="F44" s="20">
        <v>1.9846953190623706E-3</v>
      </c>
      <c r="G44" s="20">
        <v>6.0532610121582316E-4</v>
      </c>
      <c r="H44" s="20">
        <v>0</v>
      </c>
      <c r="I44" s="20">
        <v>0.77975702305434857</v>
      </c>
      <c r="J44" s="20">
        <v>1.0845796447802117E-3</v>
      </c>
      <c r="K44" s="20">
        <v>0.12974840606509824</v>
      </c>
      <c r="L44" s="20">
        <v>0</v>
      </c>
    </row>
    <row r="45" spans="1:12">
      <c r="A45" s="2" t="s">
        <v>377</v>
      </c>
      <c r="B45" s="3" t="s">
        <v>378</v>
      </c>
      <c r="D45" s="20">
        <v>8.080793773729911E-4</v>
      </c>
      <c r="E45" s="20">
        <v>0.61953643227550015</v>
      </c>
      <c r="F45" s="20">
        <v>1.9414590665097205E-2</v>
      </c>
      <c r="G45" s="20">
        <v>4.9070874054240512E-3</v>
      </c>
      <c r="H45" s="20">
        <v>0</v>
      </c>
      <c r="I45" s="20">
        <v>0.59521475420497894</v>
      </c>
      <c r="J45" s="20">
        <v>5.4273628042487351E-3</v>
      </c>
      <c r="K45" s="20">
        <v>0.37422812554287793</v>
      </c>
      <c r="L45" s="20">
        <v>0</v>
      </c>
    </row>
    <row r="46" spans="1:12">
      <c r="A46" s="2" t="s">
        <v>379</v>
      </c>
      <c r="B46" s="3" t="s">
        <v>380</v>
      </c>
      <c r="D46" s="20">
        <v>2.3897714924310384E-3</v>
      </c>
      <c r="E46" s="20">
        <v>0.63283277001256921</v>
      </c>
      <c r="F46" s="20">
        <v>1.7580474436877006E-2</v>
      </c>
      <c r="G46" s="20">
        <v>4.4846251319233116E-3</v>
      </c>
      <c r="H46" s="20">
        <v>0</v>
      </c>
      <c r="I46" s="20">
        <v>0.6107676704437689</v>
      </c>
      <c r="J46" s="20">
        <v>4.9960008912654811E-3</v>
      </c>
      <c r="K46" s="20">
        <v>0.3597814576037342</v>
      </c>
      <c r="L46" s="20">
        <v>0</v>
      </c>
    </row>
    <row r="47" spans="1:12">
      <c r="A47" s="2" t="s">
        <v>381</v>
      </c>
      <c r="B47" s="3" t="s">
        <v>382</v>
      </c>
      <c r="D47" s="20">
        <v>1.7108206646085487E-7</v>
      </c>
      <c r="E47" s="20">
        <v>0.36826099399193574</v>
      </c>
      <c r="F47" s="20">
        <v>9.8555009071229299E-2</v>
      </c>
      <c r="G47" s="20">
        <v>0.2670387322917307</v>
      </c>
      <c r="H47" s="20">
        <v>0</v>
      </c>
      <c r="I47" s="20">
        <v>2.6672526289757588E-3</v>
      </c>
      <c r="J47" s="20">
        <v>0.29870612739141317</v>
      </c>
      <c r="K47" s="20">
        <v>0.33303270753458453</v>
      </c>
      <c r="L47" s="20">
        <v>0</v>
      </c>
    </row>
    <row r="48" spans="1:12">
      <c r="A48" s="2" t="s">
        <v>383</v>
      </c>
      <c r="B48" s="3" t="s">
        <v>384</v>
      </c>
      <c r="D48" s="20">
        <v>1.1815320017204716E-2</v>
      </c>
      <c r="E48" s="20">
        <v>0.91055716308357781</v>
      </c>
      <c r="F48" s="20">
        <v>6.3084069838009391E-4</v>
      </c>
      <c r="G48" s="20">
        <v>2.1174602155681871E-4</v>
      </c>
      <c r="H48" s="20">
        <v>0</v>
      </c>
      <c r="I48" s="20">
        <v>0.90971457636364095</v>
      </c>
      <c r="J48" s="20">
        <v>7.6264817776129884E-4</v>
      </c>
      <c r="K48" s="20">
        <v>7.686486872145612E-2</v>
      </c>
      <c r="L48" s="20">
        <v>0</v>
      </c>
    </row>
    <row r="49" spans="1:12">
      <c r="A49" s="2" t="s">
        <v>385</v>
      </c>
      <c r="B49" s="3" t="s">
        <v>386</v>
      </c>
      <c r="D49" s="20">
        <v>2.2190408697761774E-2</v>
      </c>
      <c r="E49" s="20">
        <v>0.87471674701178703</v>
      </c>
      <c r="F49" s="20">
        <v>1.1314608096896716E-3</v>
      </c>
      <c r="G49" s="20">
        <v>3.6268957393456055E-4</v>
      </c>
      <c r="H49" s="20">
        <v>0</v>
      </c>
      <c r="I49" s="20">
        <v>0.87322259662816282</v>
      </c>
      <c r="J49" s="20">
        <v>8.9359590010542765E-4</v>
      </c>
      <c r="K49" s="20">
        <v>0.10219924839034586</v>
      </c>
      <c r="L49" s="20">
        <v>0</v>
      </c>
    </row>
    <row r="50" spans="1:12">
      <c r="A50" s="2" t="s">
        <v>387</v>
      </c>
      <c r="B50" s="3" t="s">
        <v>388</v>
      </c>
      <c r="D50" s="20">
        <v>1.6309413717917096E-2</v>
      </c>
      <c r="E50" s="20">
        <v>0.35408068642706159</v>
      </c>
      <c r="F50" s="20">
        <v>0.13903129385728522</v>
      </c>
      <c r="G50" s="20">
        <v>2.7913103106556574E-2</v>
      </c>
      <c r="H50" s="20">
        <v>0</v>
      </c>
      <c r="I50" s="20">
        <v>0.18713628946321978</v>
      </c>
      <c r="J50" s="20">
        <v>2.9652035730015049E-2</v>
      </c>
      <c r="K50" s="20">
        <v>0.5999578641250064</v>
      </c>
      <c r="L50" s="20">
        <v>0</v>
      </c>
    </row>
    <row r="51" spans="1:12">
      <c r="A51" s="2" t="s">
        <v>295</v>
      </c>
      <c r="B51" s="3" t="s">
        <v>296</v>
      </c>
      <c r="D51" s="20">
        <v>6.5389528250273901E-2</v>
      </c>
      <c r="E51" s="20">
        <v>0.90451344928055644</v>
      </c>
      <c r="F51" s="20">
        <v>1.0106072722622786E-4</v>
      </c>
      <c r="G51" s="20">
        <v>3.88041321057322E-5</v>
      </c>
      <c r="H51" s="20">
        <v>0</v>
      </c>
      <c r="I51" s="20">
        <v>0.90437358442122451</v>
      </c>
      <c r="J51" s="20">
        <v>5.8556862502382183E-4</v>
      </c>
      <c r="K51" s="20">
        <v>2.9511453844145816E-2</v>
      </c>
      <c r="L51" s="20">
        <v>0</v>
      </c>
    </row>
    <row r="52" spans="1:12">
      <c r="A52" s="2" t="s">
        <v>389</v>
      </c>
      <c r="B52" s="3" t="s">
        <v>390</v>
      </c>
      <c r="D52" s="20">
        <v>7.1460641845456654E-2</v>
      </c>
      <c r="E52" s="20">
        <v>0.75606843347802499</v>
      </c>
      <c r="F52" s="20">
        <v>3.486110328253818E-3</v>
      </c>
      <c r="G52" s="20">
        <v>1.0172710443461124E-3</v>
      </c>
      <c r="H52" s="20">
        <v>0</v>
      </c>
      <c r="I52" s="20">
        <v>0.75156505210542501</v>
      </c>
      <c r="J52" s="20">
        <v>1.4893496093797247E-3</v>
      </c>
      <c r="K52" s="20">
        <v>0.1709815750671386</v>
      </c>
      <c r="L52" s="20">
        <v>0</v>
      </c>
    </row>
    <row r="53" spans="1:12">
      <c r="A53" s="2" t="s">
        <v>391</v>
      </c>
      <c r="B53" s="3" t="s">
        <v>392</v>
      </c>
      <c r="D53" s="20">
        <v>2.6323523708092953E-3</v>
      </c>
      <c r="E53" s="20">
        <v>0.54668622883424423</v>
      </c>
      <c r="F53" s="20">
        <v>3.0975493842524862E-2</v>
      </c>
      <c r="G53" s="20">
        <v>7.476766097607339E-3</v>
      </c>
      <c r="H53" s="20">
        <v>0</v>
      </c>
      <c r="I53" s="20">
        <v>0.50823396889411199</v>
      </c>
      <c r="J53" s="20">
        <v>8.0661159779737059E-3</v>
      </c>
      <c r="K53" s="20">
        <v>0.44261530281697287</v>
      </c>
      <c r="L53" s="20">
        <v>0</v>
      </c>
    </row>
    <row r="54" spans="1:12">
      <c r="A54" s="2" t="s">
        <v>393</v>
      </c>
      <c r="B54" s="3" t="s">
        <v>394</v>
      </c>
      <c r="D54" s="20">
        <v>7.8147836978312345E-4</v>
      </c>
      <c r="E54" s="20">
        <v>0.36369446332931471</v>
      </c>
      <c r="F54" s="20">
        <v>0.11662487110145225</v>
      </c>
      <c r="G54" s="20">
        <v>0.2433810341468193</v>
      </c>
      <c r="H54" s="20">
        <v>0</v>
      </c>
      <c r="I54" s="20">
        <v>3.6885580810431433E-3</v>
      </c>
      <c r="J54" s="20">
        <v>0.27127422416857017</v>
      </c>
      <c r="K54" s="20">
        <v>0.36424983413233203</v>
      </c>
      <c r="L54" s="20">
        <v>0</v>
      </c>
    </row>
    <row r="55" spans="1:12">
      <c r="A55" s="2" t="s">
        <v>395</v>
      </c>
      <c r="B55" s="3" t="s">
        <v>396</v>
      </c>
      <c r="D55" s="20">
        <v>0.22588420633017545</v>
      </c>
      <c r="E55" s="20">
        <v>0.31134784135407623</v>
      </c>
      <c r="F55" s="20">
        <v>6.5066894798434735E-2</v>
      </c>
      <c r="G55" s="20">
        <v>1.4036396791089246E-2</v>
      </c>
      <c r="H55" s="20">
        <v>0</v>
      </c>
      <c r="I55" s="20">
        <v>0.23224454976455222</v>
      </c>
      <c r="J55" s="20">
        <v>1.4881148191198304E-2</v>
      </c>
      <c r="K55" s="20">
        <v>0.44788680412455018</v>
      </c>
      <c r="L55" s="20">
        <v>0</v>
      </c>
    </row>
    <row r="56" spans="1:12">
      <c r="A56" s="2" t="s">
        <v>397</v>
      </c>
      <c r="B56" s="3" t="s">
        <v>398</v>
      </c>
      <c r="D56" s="20">
        <v>0.82478843836211002</v>
      </c>
      <c r="E56" s="20">
        <v>6.3450901970818818E-2</v>
      </c>
      <c r="F56" s="20">
        <v>3.4754958910740937E-2</v>
      </c>
      <c r="G56" s="20">
        <v>6.6025596696732709E-3</v>
      </c>
      <c r="H56" s="20">
        <v>0</v>
      </c>
      <c r="I56" s="20">
        <v>2.2093383390404609E-2</v>
      </c>
      <c r="J56" s="20">
        <v>7.0417852936971708E-3</v>
      </c>
      <c r="K56" s="20">
        <v>0.10471887437337392</v>
      </c>
      <c r="L56" s="20">
        <v>0</v>
      </c>
    </row>
    <row r="57" spans="1:12">
      <c r="A57" s="2" t="s">
        <v>399</v>
      </c>
      <c r="B57" s="3" t="s">
        <v>400</v>
      </c>
      <c r="D57" s="20">
        <v>0.87225994989581035</v>
      </c>
      <c r="E57" s="20">
        <v>4.8874728084279527E-2</v>
      </c>
      <c r="F57" s="20">
        <v>1.2897933904082897E-2</v>
      </c>
      <c r="G57" s="20">
        <v>2.7165374866282054E-3</v>
      </c>
      <c r="H57" s="20">
        <v>0</v>
      </c>
      <c r="I57" s="20">
        <v>3.3260256693568427E-2</v>
      </c>
      <c r="J57" s="20">
        <v>2.8802406331135655E-3</v>
      </c>
      <c r="K57" s="20">
        <v>7.5985081386796466E-2</v>
      </c>
      <c r="L57" s="20">
        <v>0</v>
      </c>
    </row>
    <row r="58" spans="1:12">
      <c r="A58" s="2" t="s">
        <v>297</v>
      </c>
      <c r="B58" s="3" t="s">
        <v>298</v>
      </c>
      <c r="D58" s="20">
        <v>0.93245198118999739</v>
      </c>
      <c r="E58" s="20">
        <v>5.9557314478429685E-2</v>
      </c>
      <c r="F58" s="20">
        <v>9.8878231670576546E-5</v>
      </c>
      <c r="G58" s="20">
        <v>3.1116894420066478E-5</v>
      </c>
      <c r="H58" s="20">
        <v>0</v>
      </c>
      <c r="I58" s="20">
        <v>5.9427319352339039E-2</v>
      </c>
      <c r="J58" s="20">
        <v>6.7353669096871323E-5</v>
      </c>
      <c r="K58" s="20">
        <v>7.9233506624760489E-3</v>
      </c>
      <c r="L58" s="20">
        <v>0</v>
      </c>
    </row>
    <row r="59" spans="1:12">
      <c r="A59" s="2" t="s">
        <v>401</v>
      </c>
      <c r="B59" s="3" t="s">
        <v>402</v>
      </c>
      <c r="D59" s="20">
        <v>0.95317905126461311</v>
      </c>
      <c r="E59" s="20">
        <v>1.810399975303131E-2</v>
      </c>
      <c r="F59" s="20">
        <v>4.5357457661362299E-3</v>
      </c>
      <c r="G59" s="20">
        <v>9.6060370912678526E-4</v>
      </c>
      <c r="H59" s="20">
        <v>0</v>
      </c>
      <c r="I59" s="20">
        <v>1.2607650277768296E-2</v>
      </c>
      <c r="J59" s="20">
        <v>1.0184082217054701E-3</v>
      </c>
      <c r="K59" s="20">
        <v>2.769854076065029E-2</v>
      </c>
      <c r="L59" s="20">
        <v>0</v>
      </c>
    </row>
    <row r="60" spans="1:12">
      <c r="A60" s="2" t="s">
        <v>299</v>
      </c>
      <c r="B60" s="3" t="s">
        <v>300</v>
      </c>
      <c r="D60" s="20">
        <v>0.99880388201053749</v>
      </c>
      <c r="E60" s="20">
        <v>5.3653518742295095E-4</v>
      </c>
      <c r="F60" s="20">
        <v>7.088501515196937E-5</v>
      </c>
      <c r="G60" s="20">
        <v>1.5953280155275356E-5</v>
      </c>
      <c r="H60" s="20">
        <v>0</v>
      </c>
      <c r="I60" s="20">
        <v>4.4969689211570626E-4</v>
      </c>
      <c r="J60" s="20">
        <v>1.6950395251493046E-5</v>
      </c>
      <c r="K60" s="20">
        <v>6.4263240678797773E-4</v>
      </c>
      <c r="L60" s="20">
        <v>0</v>
      </c>
    </row>
    <row r="61" spans="1:12">
      <c r="A61" s="2" t="s">
        <v>403</v>
      </c>
      <c r="B61" s="3" t="s">
        <v>404</v>
      </c>
      <c r="D61" s="20">
        <v>6.7189048202251483E-44</v>
      </c>
      <c r="E61" s="20">
        <v>0.48530778467703289</v>
      </c>
      <c r="F61" s="20">
        <v>4.6384481237274913E-2</v>
      </c>
      <c r="G61" s="20">
        <v>1.0731693464979196E-2</v>
      </c>
      <c r="H61" s="20">
        <v>0</v>
      </c>
      <c r="I61" s="20">
        <v>0.42819160997477879</v>
      </c>
      <c r="J61" s="20">
        <v>1.1445568593643485E-2</v>
      </c>
      <c r="K61" s="20">
        <v>0.50324664672932362</v>
      </c>
      <c r="L61" s="20">
        <v>0</v>
      </c>
    </row>
    <row r="62" spans="1:12">
      <c r="A62" s="2" t="s">
        <v>405</v>
      </c>
      <c r="B62" s="3" t="s">
        <v>406</v>
      </c>
      <c r="D62" s="20">
        <v>4.4244429817683953E-7</v>
      </c>
      <c r="E62" s="20">
        <v>0.37533041180554644</v>
      </c>
      <c r="F62" s="20">
        <v>0.23069215052260869</v>
      </c>
      <c r="G62" s="20">
        <v>0.12859627032617243</v>
      </c>
      <c r="H62" s="20">
        <v>0</v>
      </c>
      <c r="I62" s="20">
        <v>1.6041990956765336E-2</v>
      </c>
      <c r="J62" s="20">
        <v>0.14078543384346417</v>
      </c>
      <c r="K62" s="20">
        <v>0.48388371190669127</v>
      </c>
      <c r="L62" s="20">
        <v>0</v>
      </c>
    </row>
    <row r="63" spans="1:12">
      <c r="A63" s="2" t="s">
        <v>407</v>
      </c>
      <c r="B63" s="3" t="s">
        <v>408</v>
      </c>
      <c r="D63" s="20">
        <v>1.0743392316964896E-4</v>
      </c>
      <c r="E63" s="20">
        <v>0.37846651276240045</v>
      </c>
      <c r="F63" s="20">
        <v>7.1831618178784584E-2</v>
      </c>
      <c r="G63" s="20">
        <v>0.30514847609130191</v>
      </c>
      <c r="H63" s="20">
        <v>0</v>
      </c>
      <c r="I63" s="20">
        <v>1.4864184923139754E-3</v>
      </c>
      <c r="J63" s="20">
        <v>0.34343946983324514</v>
      </c>
      <c r="K63" s="20">
        <v>0.27798658348118482</v>
      </c>
      <c r="L63" s="20">
        <v>0</v>
      </c>
    </row>
    <row r="64" spans="1:12">
      <c r="A64" s="2" t="s">
        <v>409</v>
      </c>
      <c r="B64" s="3" t="s">
        <v>410</v>
      </c>
      <c r="D64" s="20">
        <v>1.3815716960455109E-5</v>
      </c>
      <c r="E64" s="20">
        <v>0.39862170223072174</v>
      </c>
      <c r="F64" s="20">
        <v>4.020199842712386E-2</v>
      </c>
      <c r="G64" s="20">
        <v>0.35788475392676983</v>
      </c>
      <c r="H64" s="20">
        <v>0</v>
      </c>
      <c r="I64" s="20">
        <v>5.3494987682805954E-4</v>
      </c>
      <c r="J64" s="20">
        <v>0.4068930428836125</v>
      </c>
      <c r="K64" s="20">
        <v>0.1944714391687053</v>
      </c>
      <c r="L64" s="20">
        <v>0</v>
      </c>
    </row>
    <row r="65" spans="1:12">
      <c r="A65" s="2" t="s">
        <v>301</v>
      </c>
      <c r="B65" s="3" t="s">
        <v>302</v>
      </c>
      <c r="D65" s="20">
        <v>1.7722930149720205E-6</v>
      </c>
      <c r="E65" s="20">
        <v>0.41937815327660138</v>
      </c>
      <c r="F65" s="20">
        <v>1.9364653961167801E-2</v>
      </c>
      <c r="G65" s="20">
        <v>0.3998575457922946</v>
      </c>
      <c r="H65" s="20">
        <v>0</v>
      </c>
      <c r="I65" s="20">
        <v>1.5595352313895632E-4</v>
      </c>
      <c r="J65" s="20">
        <v>0.45988931662172716</v>
      </c>
      <c r="K65" s="20">
        <v>0.12073075780865654</v>
      </c>
      <c r="L65" s="20">
        <v>0</v>
      </c>
    </row>
    <row r="66" spans="1:12">
      <c r="A66" s="2" t="s">
        <v>303</v>
      </c>
      <c r="B66" s="3" t="s">
        <v>304</v>
      </c>
      <c r="D66" s="20">
        <v>1.6767390880548682E-12</v>
      </c>
      <c r="E66" s="20">
        <v>0.40818515352510193</v>
      </c>
      <c r="F66" s="20">
        <v>2.9569208771116587E-2</v>
      </c>
      <c r="G66" s="20">
        <v>0.37829905722119728</v>
      </c>
      <c r="H66" s="20">
        <v>0</v>
      </c>
      <c r="I66" s="20">
        <v>3.1688753278807079E-4</v>
      </c>
      <c r="J66" s="20">
        <v>0.43224607936607184</v>
      </c>
      <c r="K66" s="20">
        <v>0.15956876710714954</v>
      </c>
      <c r="L66" s="20">
        <v>0</v>
      </c>
    </row>
    <row r="67" spans="1:12">
      <c r="A67" s="2" t="s">
        <v>411</v>
      </c>
      <c r="B67" s="3" t="s">
        <v>412</v>
      </c>
      <c r="D67" s="20">
        <v>4.7798195298385786E-3</v>
      </c>
      <c r="E67" s="20">
        <v>0.8395056229088832</v>
      </c>
      <c r="F67" s="20">
        <v>2.5994754145137514E-3</v>
      </c>
      <c r="G67" s="20">
        <v>7.8123424060058146E-4</v>
      </c>
      <c r="H67" s="20">
        <v>0</v>
      </c>
      <c r="I67" s="20">
        <v>0.83612491325376892</v>
      </c>
      <c r="J67" s="20">
        <v>1.297987982120361E-3</v>
      </c>
      <c r="K67" s="20">
        <v>0.15441656957915778</v>
      </c>
      <c r="L67" s="20">
        <v>0</v>
      </c>
    </row>
    <row r="68" spans="1:12">
      <c r="A68" s="2" t="s">
        <v>413</v>
      </c>
      <c r="B68" s="3" t="s">
        <v>414</v>
      </c>
      <c r="D68" s="20">
        <v>1.0485780371818951E-2</v>
      </c>
      <c r="E68" s="20">
        <v>0.78562550521161323</v>
      </c>
      <c r="F68" s="20">
        <v>4.6438156619328132E-3</v>
      </c>
      <c r="G68" s="20">
        <v>1.3303641318564248E-3</v>
      </c>
      <c r="H68" s="20">
        <v>0</v>
      </c>
      <c r="I68" s="20">
        <v>0.779651325417824</v>
      </c>
      <c r="J68" s="20">
        <v>1.8274074073170077E-3</v>
      </c>
      <c r="K68" s="20">
        <v>0.20206130700925087</v>
      </c>
      <c r="L68" s="20">
        <v>0</v>
      </c>
    </row>
    <row r="69" spans="1:12">
      <c r="A69" s="2" t="s">
        <v>415</v>
      </c>
      <c r="B69" s="3" t="s">
        <v>416</v>
      </c>
      <c r="D69" s="20">
        <v>4.9831928420492151E-3</v>
      </c>
      <c r="E69" s="20">
        <v>0.35918620259849043</v>
      </c>
      <c r="F69" s="20">
        <v>0.14417232724119872</v>
      </c>
      <c r="G69" s="20">
        <v>0.20935216877209556</v>
      </c>
      <c r="H69" s="20">
        <v>0</v>
      </c>
      <c r="I69" s="20">
        <v>5.6617065851961579E-3</v>
      </c>
      <c r="J69" s="20">
        <v>0.23219441760729756</v>
      </c>
      <c r="K69" s="20">
        <v>0.40363618695216286</v>
      </c>
      <c r="L69" s="20">
        <v>0</v>
      </c>
    </row>
    <row r="70" spans="1:12">
      <c r="A70" s="2" t="s">
        <v>417</v>
      </c>
      <c r="B70" s="3" t="s">
        <v>418</v>
      </c>
      <c r="D70" s="20">
        <v>1.1248362455434461E-2</v>
      </c>
      <c r="E70" s="20">
        <v>0.3761351159217533</v>
      </c>
      <c r="F70" s="20">
        <v>0.24130344212593635</v>
      </c>
      <c r="G70" s="20">
        <v>4.4102079969308414E-2</v>
      </c>
      <c r="H70" s="20">
        <v>0</v>
      </c>
      <c r="I70" s="20">
        <v>9.0729593826508567E-2</v>
      </c>
      <c r="J70" s="20">
        <v>4.7195822873099903E-2</v>
      </c>
      <c r="K70" s="20">
        <v>0.56542069874971235</v>
      </c>
      <c r="L70" s="20">
        <v>0</v>
      </c>
    </row>
    <row r="71" spans="1:12">
      <c r="A71" s="2" t="s">
        <v>419</v>
      </c>
      <c r="B71" s="3" t="s">
        <v>420</v>
      </c>
      <c r="D71" s="20">
        <v>2.5615296767924095E-2</v>
      </c>
      <c r="E71" s="20">
        <v>0.7817082039589005</v>
      </c>
      <c r="F71" s="20">
        <v>4.1838259248913748E-3</v>
      </c>
      <c r="G71" s="20">
        <v>1.2074500172702465E-3</v>
      </c>
      <c r="H71" s="20">
        <v>0</v>
      </c>
      <c r="I71" s="20">
        <v>0.77631692801673891</v>
      </c>
      <c r="J71" s="20">
        <v>1.6991801313113964E-3</v>
      </c>
      <c r="K71" s="20">
        <v>0.19097731914186408</v>
      </c>
      <c r="L71" s="20">
        <v>0</v>
      </c>
    </row>
    <row r="72" spans="1:12">
      <c r="A72" s="2" t="s">
        <v>421</v>
      </c>
      <c r="B72" s="3" t="s">
        <v>422</v>
      </c>
      <c r="D72" s="20">
        <v>4.3976300523585948E-2</v>
      </c>
      <c r="E72" s="20">
        <v>0.3565298405074333</v>
      </c>
      <c r="F72" s="20">
        <v>0.21831969036800483</v>
      </c>
      <c r="G72" s="20">
        <v>4.0419269674640407E-2</v>
      </c>
      <c r="H72" s="20">
        <v>0</v>
      </c>
      <c r="I72" s="20">
        <v>9.7790880464788066E-2</v>
      </c>
      <c r="J72" s="20">
        <v>4.3204064405357637E-2</v>
      </c>
      <c r="K72" s="20">
        <v>0.55628979456362304</v>
      </c>
      <c r="L72" s="20">
        <v>0</v>
      </c>
    </row>
    <row r="73" spans="1:12">
      <c r="A73" s="2" t="s">
        <v>423</v>
      </c>
      <c r="B73" s="3" t="s">
        <v>424</v>
      </c>
      <c r="D73" s="20">
        <v>1.9982293318403704E-2</v>
      </c>
      <c r="E73" s="20">
        <v>0.46314859352977039</v>
      </c>
      <c r="F73" s="20">
        <v>4.9399157776138305E-2</v>
      </c>
      <c r="G73" s="20">
        <v>1.1324397361700109E-2</v>
      </c>
      <c r="H73" s="20">
        <v>0</v>
      </c>
      <c r="I73" s="20">
        <v>0.402425038391932</v>
      </c>
      <c r="J73" s="20">
        <v>1.2059367687329802E-2</v>
      </c>
      <c r="K73" s="20">
        <v>0.50480974546449608</v>
      </c>
      <c r="L73" s="20">
        <v>0</v>
      </c>
    </row>
    <row r="74" spans="1:12">
      <c r="A74" s="2" t="s">
        <v>425</v>
      </c>
      <c r="B74" s="3" t="s">
        <v>426</v>
      </c>
      <c r="D74" s="20">
        <v>1.7060880725005216E-2</v>
      </c>
      <c r="E74" s="20">
        <v>0.37169019160622546</v>
      </c>
      <c r="F74" s="20">
        <v>0.23543751307185801</v>
      </c>
      <c r="G74" s="20">
        <v>4.3188807923870899E-2</v>
      </c>
      <c r="H74" s="20">
        <v>0</v>
      </c>
      <c r="I74" s="20">
        <v>9.3063870610496549E-2</v>
      </c>
      <c r="J74" s="20">
        <v>4.6202872094323895E-2</v>
      </c>
      <c r="K74" s="20">
        <v>0.56504605557444543</v>
      </c>
      <c r="L74" s="20">
        <v>0</v>
      </c>
    </row>
    <row r="75" spans="1:12">
      <c r="A75" s="2" t="s">
        <v>427</v>
      </c>
      <c r="B75" s="3" t="s">
        <v>428</v>
      </c>
      <c r="D75" s="20">
        <v>4.8473556304905651E-9</v>
      </c>
      <c r="E75" s="20">
        <v>0.9144525417600059</v>
      </c>
      <c r="F75" s="20">
        <v>0.87594959359331015</v>
      </c>
      <c r="G75" s="20">
        <v>3.3800982527757269E-4</v>
      </c>
      <c r="H75" s="20">
        <v>0</v>
      </c>
      <c r="I75" s="20">
        <v>3.8164938341418209E-2</v>
      </c>
      <c r="J75" s="20">
        <v>8.4811514160881035E-2</v>
      </c>
      <c r="K75" s="20">
        <v>7.3593923175722551E-4</v>
      </c>
      <c r="L75" s="20">
        <v>0</v>
      </c>
    </row>
    <row r="76" spans="1:12">
      <c r="A76" s="2" t="s">
        <v>429</v>
      </c>
      <c r="B76" s="3" t="s">
        <v>430</v>
      </c>
      <c r="D76" s="20">
        <v>1.2176006894469701E-10</v>
      </c>
      <c r="E76" s="20">
        <v>0.91445254608133897</v>
      </c>
      <c r="F76" s="20">
        <v>0.87594959773269387</v>
      </c>
      <c r="G76" s="20">
        <v>3.3800982687487045E-4</v>
      </c>
      <c r="H76" s="20">
        <v>0</v>
      </c>
      <c r="I76" s="20">
        <v>3.8164938521770275E-2</v>
      </c>
      <c r="J76" s="20">
        <v>8.4811514561665954E-2</v>
      </c>
      <c r="K76" s="20">
        <v>7.359392352349767E-4</v>
      </c>
      <c r="L76" s="20">
        <v>0</v>
      </c>
    </row>
    <row r="77" spans="1:12">
      <c r="A77" s="2" t="s">
        <v>431</v>
      </c>
      <c r="B77" s="3" t="s">
        <v>432</v>
      </c>
      <c r="D77" s="20">
        <v>5.1477390501172893E-2</v>
      </c>
      <c r="E77" s="20">
        <v>0.35210098031820086</v>
      </c>
      <c r="F77" s="20">
        <v>0.10951931993574106</v>
      </c>
      <c r="G77" s="20">
        <v>2.264572836920881E-2</v>
      </c>
      <c r="H77" s="20">
        <v>0</v>
      </c>
      <c r="I77" s="20">
        <v>0.21993593201325101</v>
      </c>
      <c r="J77" s="20">
        <v>2.4022552830952781E-2</v>
      </c>
      <c r="K77" s="20">
        <v>0.57239907634967335</v>
      </c>
      <c r="L77" s="20">
        <v>0</v>
      </c>
    </row>
    <row r="78" spans="1:12">
      <c r="A78" s="2" t="s">
        <v>433</v>
      </c>
      <c r="B78" s="3" t="s">
        <v>434</v>
      </c>
      <c r="D78" s="20">
        <v>3.8690359400705511E-2</v>
      </c>
      <c r="E78" s="20">
        <v>0.62885518756001046</v>
      </c>
      <c r="F78" s="20">
        <v>1.4746093349537751E-2</v>
      </c>
      <c r="G78" s="20">
        <v>3.8104172468748664E-3</v>
      </c>
      <c r="H78" s="20">
        <v>0</v>
      </c>
      <c r="I78" s="20">
        <v>0.61029867696359785</v>
      </c>
      <c r="J78" s="20">
        <v>4.2948144063431493E-3</v>
      </c>
      <c r="K78" s="20">
        <v>0.32815963863294073</v>
      </c>
      <c r="L78" s="20">
        <v>0</v>
      </c>
    </row>
    <row r="79" spans="1:12">
      <c r="A79" s="2" t="s">
        <v>435</v>
      </c>
      <c r="B79" s="3" t="s">
        <v>436</v>
      </c>
      <c r="D79" s="20">
        <v>1.0494745432845962E-2</v>
      </c>
      <c r="E79" s="20">
        <v>0.53676833220028741</v>
      </c>
      <c r="F79" s="20">
        <v>3.1860025819298518E-2</v>
      </c>
      <c r="G79" s="20">
        <v>7.6619917281994434E-3</v>
      </c>
      <c r="H79" s="20">
        <v>0</v>
      </c>
      <c r="I79" s="20">
        <v>0.4972463146527894</v>
      </c>
      <c r="J79" s="20">
        <v>8.2547881730750793E-3</v>
      </c>
      <c r="K79" s="20">
        <v>0.44448213419379179</v>
      </c>
      <c r="L79" s="20">
        <v>0</v>
      </c>
    </row>
    <row r="80" spans="1:12">
      <c r="A80" s="2" t="s">
        <v>437</v>
      </c>
      <c r="B80" s="3" t="s">
        <v>438</v>
      </c>
      <c r="D80" s="20">
        <v>1.6235451330720339E-9</v>
      </c>
      <c r="E80" s="20">
        <v>0.84504960517596717</v>
      </c>
      <c r="F80" s="20">
        <v>0.82023556906259554</v>
      </c>
      <c r="G80" s="20">
        <v>6.0797932011462808E-4</v>
      </c>
      <c r="H80" s="20">
        <v>0</v>
      </c>
      <c r="I80" s="20">
        <v>2.4206056793256995E-2</v>
      </c>
      <c r="J80" s="20">
        <v>0.15411131693243987</v>
      </c>
      <c r="K80" s="20">
        <v>8.3907626804792469E-4</v>
      </c>
      <c r="L80" s="20">
        <v>0</v>
      </c>
    </row>
    <row r="81" spans="1:12">
      <c r="A81" s="2" t="s">
        <v>440</v>
      </c>
      <c r="B81" s="3" t="s">
        <v>441</v>
      </c>
      <c r="D81" s="20">
        <v>1.8436048991069474E-13</v>
      </c>
      <c r="E81" s="20">
        <v>0.97047443052405824</v>
      </c>
      <c r="F81" s="20">
        <v>9.1021097635785817E-5</v>
      </c>
      <c r="G81" s="20">
        <v>3.5402800990122229E-5</v>
      </c>
      <c r="H81" s="20">
        <v>0</v>
      </c>
      <c r="I81" s="20">
        <v>0.9703480066254323</v>
      </c>
      <c r="J81" s="20">
        <v>6.22081551615005E-4</v>
      </c>
      <c r="K81" s="20">
        <v>2.8903487924142407E-2</v>
      </c>
      <c r="L81" s="20">
        <v>0</v>
      </c>
    </row>
    <row r="82" spans="1:12">
      <c r="A82" s="2" t="s">
        <v>442</v>
      </c>
      <c r="B82" s="3" t="s">
        <v>443</v>
      </c>
      <c r="D82" s="20">
        <v>8.7640655236669076E-5</v>
      </c>
      <c r="E82" s="20">
        <v>0.77204120856318303</v>
      </c>
      <c r="F82" s="20">
        <v>5.8476292629822358E-3</v>
      </c>
      <c r="G82" s="20">
        <v>1.6446571829040026E-3</v>
      </c>
      <c r="H82" s="20">
        <v>0</v>
      </c>
      <c r="I82" s="20">
        <v>0.76454892211729675</v>
      </c>
      <c r="J82" s="20">
        <v>2.1418082307336104E-3</v>
      </c>
      <c r="K82" s="20">
        <v>0.22572934255084662</v>
      </c>
      <c r="L82" s="20">
        <v>0</v>
      </c>
    </row>
    <row r="83" spans="1:12">
      <c r="A83" s="2" t="s">
        <v>444</v>
      </c>
      <c r="B83" s="3" t="s">
        <v>445</v>
      </c>
      <c r="D83" s="20">
        <v>1.0439905140528255E-3</v>
      </c>
      <c r="E83" s="20">
        <v>0.38352935450571707</v>
      </c>
      <c r="F83" s="20">
        <v>9.9488015373195668E-2</v>
      </c>
      <c r="G83" s="20">
        <v>2.0992604455830538E-2</v>
      </c>
      <c r="H83" s="20">
        <v>0</v>
      </c>
      <c r="I83" s="20">
        <v>0.26304873467669088</v>
      </c>
      <c r="J83" s="20">
        <v>2.2256961963508091E-2</v>
      </c>
      <c r="K83" s="20">
        <v>0.59316969301672207</v>
      </c>
      <c r="L83" s="20">
        <v>0</v>
      </c>
    </row>
    <row r="84" spans="1:12">
      <c r="A84" s="2" t="s">
        <v>446</v>
      </c>
      <c r="B84" s="3" t="s">
        <v>447</v>
      </c>
      <c r="D84" s="20">
        <v>5.6750060693347731E-15</v>
      </c>
      <c r="E84" s="20">
        <v>0.93711177762903264</v>
      </c>
      <c r="F84" s="20">
        <v>4.0892206497412703E-4</v>
      </c>
      <c r="G84" s="20">
        <v>1.4201561556918742E-4</v>
      </c>
      <c r="H84" s="20">
        <v>0</v>
      </c>
      <c r="I84" s="20">
        <v>0.93656083994848938</v>
      </c>
      <c r="J84" s="20">
        <v>7.0850679495078567E-4</v>
      </c>
      <c r="K84" s="20">
        <v>6.2179715576010937E-2</v>
      </c>
      <c r="L84" s="20">
        <v>0</v>
      </c>
    </row>
    <row r="85" spans="1:12">
      <c r="A85" s="2" t="s">
        <v>448</v>
      </c>
      <c r="B85" s="3" t="s">
        <v>449</v>
      </c>
      <c r="D85" s="20">
        <v>3.9727518401712405E-8</v>
      </c>
      <c r="E85" s="20">
        <v>0.98735127265736922</v>
      </c>
      <c r="F85" s="20">
        <v>1.6701891281528495E-5</v>
      </c>
      <c r="G85" s="20">
        <v>7.3698934270577256E-6</v>
      </c>
      <c r="H85" s="20">
        <v>0</v>
      </c>
      <c r="I85" s="20">
        <v>0.98732720087266068</v>
      </c>
      <c r="J85" s="20">
        <v>6.0460188125662092E-4</v>
      </c>
      <c r="K85" s="20">
        <v>1.204408573385562E-2</v>
      </c>
      <c r="L85" s="20">
        <v>0</v>
      </c>
    </row>
    <row r="86" spans="1:12">
      <c r="A86" s="2" t="s">
        <v>450</v>
      </c>
      <c r="B86" s="3" t="s">
        <v>451</v>
      </c>
      <c r="D86" s="20">
        <v>1.4274337144039318E-8</v>
      </c>
      <c r="E86" s="20">
        <v>0.93861781187226823</v>
      </c>
      <c r="F86" s="20">
        <v>3.8961006256020537E-4</v>
      </c>
      <c r="G86" s="20">
        <v>1.3580811470493941E-4</v>
      </c>
      <c r="H86" s="20">
        <v>0</v>
      </c>
      <c r="I86" s="20">
        <v>0.93809239369500308</v>
      </c>
      <c r="J86" s="20">
        <v>7.0318279780144362E-4</v>
      </c>
      <c r="K86" s="20">
        <v>6.0678991055593053E-2</v>
      </c>
      <c r="L86" s="20">
        <v>0</v>
      </c>
    </row>
    <row r="87" spans="1:12">
      <c r="A87" s="2" t="s">
        <v>452</v>
      </c>
      <c r="B87" s="3" t="s">
        <v>453</v>
      </c>
      <c r="D87" s="20">
        <v>1.9825513959661448E-7</v>
      </c>
      <c r="E87" s="20">
        <v>0.3718772764637876</v>
      </c>
      <c r="F87" s="20">
        <v>8.7518259017000527E-2</v>
      </c>
      <c r="G87" s="20">
        <v>0.28222418340516864</v>
      </c>
      <c r="H87" s="20">
        <v>0</v>
      </c>
      <c r="I87" s="20">
        <v>2.1348340416184226E-3</v>
      </c>
      <c r="J87" s="20">
        <v>0.31644401769463892</v>
      </c>
      <c r="K87" s="20">
        <v>0.31167850758643378</v>
      </c>
      <c r="L87" s="20">
        <v>0</v>
      </c>
    </row>
    <row r="88" spans="1:12">
      <c r="A88" s="2" t="s">
        <v>454</v>
      </c>
      <c r="B88" s="3" t="s">
        <v>455</v>
      </c>
      <c r="D88" s="20">
        <v>4.4922642762803345E-5</v>
      </c>
      <c r="E88" s="20">
        <v>0.69262819047381452</v>
      </c>
      <c r="F88" s="20">
        <v>1.1543553296686292E-2</v>
      </c>
      <c r="G88" s="20">
        <v>3.0608008112920897E-3</v>
      </c>
      <c r="H88" s="20">
        <v>0</v>
      </c>
      <c r="I88" s="20">
        <v>0.67802383636583619</v>
      </c>
      <c r="J88" s="20">
        <v>3.5549163950292007E-3</v>
      </c>
      <c r="K88" s="20">
        <v>0.30377197048839333</v>
      </c>
      <c r="L88" s="20">
        <v>0</v>
      </c>
    </row>
    <row r="89" spans="1:12">
      <c r="A89" s="2" t="s">
        <v>456</v>
      </c>
      <c r="B89" s="3" t="s">
        <v>457</v>
      </c>
      <c r="D89" s="20">
        <v>2.9146487540433214E-17</v>
      </c>
      <c r="E89" s="20">
        <v>0.75828245433704944</v>
      </c>
      <c r="F89" s="20">
        <v>6.6628561967414773E-3</v>
      </c>
      <c r="G89" s="20">
        <v>1.8533438252337888E-3</v>
      </c>
      <c r="H89" s="20">
        <v>0</v>
      </c>
      <c r="I89" s="20">
        <v>0.74976625431507415</v>
      </c>
      <c r="J89" s="20">
        <v>2.3481485327019611E-3</v>
      </c>
      <c r="K89" s="20">
        <v>0.23936939713024863</v>
      </c>
      <c r="L89" s="20">
        <v>0</v>
      </c>
    </row>
    <row r="90" spans="1:12">
      <c r="A90" s="2" t="s">
        <v>458</v>
      </c>
      <c r="B90" s="3" t="s">
        <v>459</v>
      </c>
      <c r="D90" s="20">
        <v>4.2597155297696381E-29</v>
      </c>
      <c r="E90" s="20">
        <v>0.88034479703855761</v>
      </c>
      <c r="F90" s="20">
        <v>1.498493322891121E-3</v>
      </c>
      <c r="G90" s="20">
        <v>4.7070668637643484E-4</v>
      </c>
      <c r="H90" s="20">
        <v>0</v>
      </c>
      <c r="I90" s="20">
        <v>0.87837559702929002</v>
      </c>
      <c r="J90" s="20">
        <v>1.0064991623258833E-3</v>
      </c>
      <c r="K90" s="20">
        <v>0.11864870379911641</v>
      </c>
      <c r="L90" s="20">
        <v>0</v>
      </c>
    </row>
    <row r="91" spans="1:12">
      <c r="A91" s="2" t="s">
        <v>460</v>
      </c>
      <c r="B91" s="3" t="s">
        <v>461</v>
      </c>
      <c r="D91" s="20">
        <v>2.053313455869728E-7</v>
      </c>
      <c r="E91" s="20">
        <v>0.37083096791062758</v>
      </c>
      <c r="F91" s="20">
        <v>0.21708482615079569</v>
      </c>
      <c r="G91" s="20">
        <v>0.13990235447071503</v>
      </c>
      <c r="H91" s="20">
        <v>0</v>
      </c>
      <c r="I91" s="20">
        <v>1.384378728911688E-2</v>
      </c>
      <c r="J91" s="20">
        <v>0.15346389486123682</v>
      </c>
      <c r="K91" s="20">
        <v>0.47570493189679014</v>
      </c>
      <c r="L91" s="20">
        <v>0</v>
      </c>
    </row>
    <row r="92" spans="1:12">
      <c r="A92" s="2" t="s">
        <v>462</v>
      </c>
      <c r="B92" s="3" t="s">
        <v>463</v>
      </c>
      <c r="D92" s="20">
        <v>8.0530016252779479E-9</v>
      </c>
      <c r="E92" s="20">
        <v>0.41483010247509905</v>
      </c>
      <c r="F92" s="20">
        <v>7.5828419080956097E-2</v>
      </c>
      <c r="G92" s="20">
        <v>1.6570192624023688E-2</v>
      </c>
      <c r="H92" s="20">
        <v>0</v>
      </c>
      <c r="I92" s="20">
        <v>0.32243149077011929</v>
      </c>
      <c r="J92" s="20">
        <v>1.7572763740078441E-2</v>
      </c>
      <c r="K92" s="20">
        <v>0.56759712573182086</v>
      </c>
      <c r="L92" s="20">
        <v>0</v>
      </c>
    </row>
    <row r="93" spans="1:12">
      <c r="A93" s="2" t="s">
        <v>464</v>
      </c>
      <c r="B93" s="3" t="s">
        <v>465</v>
      </c>
      <c r="D93" s="20">
        <v>6.165063162943804E-4</v>
      </c>
      <c r="E93" s="20">
        <v>0.36309768564833655</v>
      </c>
      <c r="F93" s="20">
        <v>0.2024005765692026</v>
      </c>
      <c r="G93" s="20">
        <v>3.8309572060437953E-2</v>
      </c>
      <c r="H93" s="20">
        <v>0</v>
      </c>
      <c r="I93" s="20">
        <v>0.12238753701869599</v>
      </c>
      <c r="J93" s="20">
        <v>4.0870588909652242E-2</v>
      </c>
      <c r="K93" s="20">
        <v>0.59541521912571682</v>
      </c>
      <c r="L93" s="20">
        <v>0</v>
      </c>
    </row>
    <row r="94" spans="1:12">
      <c r="A94" s="2" t="s">
        <v>466</v>
      </c>
      <c r="B94" s="3" t="s">
        <v>467</v>
      </c>
      <c r="D94" s="20">
        <v>2.0172536340734055E-18</v>
      </c>
      <c r="E94" s="20">
        <v>0.99899830301146708</v>
      </c>
      <c r="F94" s="20">
        <v>1.1553319678660703E-2</v>
      </c>
      <c r="G94" s="20">
        <v>1.5182569747150452E-6</v>
      </c>
      <c r="H94" s="20">
        <v>0</v>
      </c>
      <c r="I94" s="20">
        <v>0.98744346507583169</v>
      </c>
      <c r="J94" s="20">
        <v>8.2628554786964208E-4</v>
      </c>
      <c r="K94" s="20">
        <v>1.7541144066344103E-4</v>
      </c>
      <c r="L94" s="20">
        <v>0</v>
      </c>
    </row>
    <row r="95" spans="1:12">
      <c r="A95" s="2" t="s">
        <v>468</v>
      </c>
      <c r="B95" s="3" t="s">
        <v>469</v>
      </c>
      <c r="D95" s="20">
        <v>8.8202022221187185E-18</v>
      </c>
      <c r="E95" s="20">
        <v>0.41600092658132681</v>
      </c>
      <c r="F95" s="20">
        <v>0.30581075662517682</v>
      </c>
      <c r="G95" s="20">
        <v>7.5656859984923011E-2</v>
      </c>
      <c r="H95" s="20">
        <v>0</v>
      </c>
      <c r="I95" s="20">
        <v>3.4533309971227E-2</v>
      </c>
      <c r="J95" s="20">
        <v>8.1932921598858524E-2</v>
      </c>
      <c r="K95" s="20">
        <v>0.50206615181981451</v>
      </c>
      <c r="L95" s="20">
        <v>0</v>
      </c>
    </row>
    <row r="96" spans="1:12">
      <c r="A96" s="2" t="s">
        <v>470</v>
      </c>
      <c r="B96" s="163">
        <v>354656</v>
      </c>
      <c r="D96" s="20">
        <v>3.6757194706323348E-10</v>
      </c>
      <c r="E96" s="20">
        <v>0.96935513655664318</v>
      </c>
      <c r="F96" s="20">
        <v>9.7997855866455293E-5</v>
      </c>
      <c r="G96" s="20">
        <v>3.7906364036470964E-5</v>
      </c>
      <c r="H96" s="20">
        <v>0</v>
      </c>
      <c r="I96" s="20">
        <v>0.96921923233674023</v>
      </c>
      <c r="J96" s="20">
        <v>6.2389037248809082E-4</v>
      </c>
      <c r="K96" s="20">
        <v>3.0020972703296886E-2</v>
      </c>
      <c r="L96" s="20">
        <v>0</v>
      </c>
    </row>
    <row r="97" spans="1:12">
      <c r="A97" s="2" t="s">
        <v>472</v>
      </c>
      <c r="B97" s="3" t="s">
        <v>473</v>
      </c>
      <c r="D97" s="20">
        <v>5.6710678382646797E-10</v>
      </c>
      <c r="E97" s="20">
        <v>0.93634576202894049</v>
      </c>
      <c r="F97" s="20">
        <v>4.1892768064086922E-4</v>
      </c>
      <c r="G97" s="20">
        <v>1.4522273535309073E-4</v>
      </c>
      <c r="H97" s="20">
        <v>0</v>
      </c>
      <c r="I97" s="20">
        <v>0.93578161161294648</v>
      </c>
      <c r="J97" s="20">
        <v>7.1126570233532205E-4</v>
      </c>
      <c r="K97" s="20">
        <v>6.2942971701617473E-2</v>
      </c>
      <c r="L97" s="20">
        <v>0</v>
      </c>
    </row>
    <row r="98" spans="1:12">
      <c r="A98" s="2" t="s">
        <v>474</v>
      </c>
      <c r="B98" s="3" t="s">
        <v>475</v>
      </c>
      <c r="D98" s="20">
        <v>1.8282980977196134E-19</v>
      </c>
      <c r="E98" s="20">
        <v>0.40061793956052072</v>
      </c>
      <c r="F98" s="20">
        <v>0.27894669634240121</v>
      </c>
      <c r="G98" s="20">
        <v>4.9592588573347501E-2</v>
      </c>
      <c r="H98" s="20">
        <v>0</v>
      </c>
      <c r="I98" s="20">
        <v>7.2078654644771978E-2</v>
      </c>
      <c r="J98" s="20">
        <v>5.3210090205237016E-2</v>
      </c>
      <c r="K98" s="20">
        <v>0.54617197023424247</v>
      </c>
      <c r="L98" s="20">
        <v>0</v>
      </c>
    </row>
    <row r="99" spans="1:12">
      <c r="A99" s="2" t="s">
        <v>476</v>
      </c>
      <c r="B99" s="3" t="s">
        <v>477</v>
      </c>
      <c r="D99" s="20">
        <v>1.7338600317038406E-7</v>
      </c>
      <c r="E99" s="20">
        <v>0.99105778533693789</v>
      </c>
      <c r="F99" s="20">
        <v>8.2203110349430991E-6</v>
      </c>
      <c r="G99" s="20">
        <v>3.8228196155511107E-6</v>
      </c>
      <c r="H99" s="20">
        <v>0</v>
      </c>
      <c r="I99" s="20">
        <v>0.99104574220628738</v>
      </c>
      <c r="J99" s="20">
        <v>6.0337801233876945E-4</v>
      </c>
      <c r="K99" s="20">
        <v>8.3386632647201933E-3</v>
      </c>
      <c r="L99" s="20">
        <v>0</v>
      </c>
    </row>
    <row r="100" spans="1:12">
      <c r="A100" s="2" t="s">
        <v>478</v>
      </c>
      <c r="B100" s="3" t="s">
        <v>479</v>
      </c>
      <c r="D100" s="20">
        <v>6.6299415349054151E-11</v>
      </c>
      <c r="E100" s="20">
        <v>0.56814102019964074</v>
      </c>
      <c r="F100" s="20">
        <v>2.7326493901983249E-2</v>
      </c>
      <c r="G100" s="20">
        <v>6.6815845577746042E-3</v>
      </c>
      <c r="H100" s="20">
        <v>0</v>
      </c>
      <c r="I100" s="20">
        <v>0.5341329417398829</v>
      </c>
      <c r="J100" s="20">
        <v>7.2471402365429883E-3</v>
      </c>
      <c r="K100" s="20">
        <v>0.42461183949751674</v>
      </c>
      <c r="L100" s="20">
        <v>0</v>
      </c>
    </row>
    <row r="101" spans="1:12">
      <c r="A101" s="2" t="s">
        <v>480</v>
      </c>
      <c r="B101" s="3" t="s">
        <v>481</v>
      </c>
      <c r="D101" s="20">
        <v>4.6658651881176546E-11</v>
      </c>
      <c r="E101" s="20">
        <v>0.98543021979377798</v>
      </c>
      <c r="F101" s="20">
        <v>2.2223190103627549E-5</v>
      </c>
      <c r="G101" s="20">
        <v>9.600679165660473E-6</v>
      </c>
      <c r="H101" s="20">
        <v>0</v>
      </c>
      <c r="I101" s="20">
        <v>0.98539839592450873</v>
      </c>
      <c r="J101" s="20">
        <v>6.0562752239504234E-4</v>
      </c>
      <c r="K101" s="20">
        <v>1.3964152637168364E-2</v>
      </c>
      <c r="L101" s="20">
        <v>0</v>
      </c>
    </row>
    <row r="102" spans="1:12">
      <c r="A102" s="2" t="s">
        <v>482</v>
      </c>
      <c r="B102" s="3" t="s">
        <v>483</v>
      </c>
      <c r="D102" s="20">
        <v>2.9319316665815537E-27</v>
      </c>
      <c r="E102" s="20">
        <v>0.9958514576029095</v>
      </c>
      <c r="F102" s="20">
        <v>1.5857256786121451E-6</v>
      </c>
      <c r="G102" s="20">
        <v>8.3276720579998687E-7</v>
      </c>
      <c r="H102" s="20">
        <v>0</v>
      </c>
      <c r="I102" s="20">
        <v>0.99584903911002509</v>
      </c>
      <c r="J102" s="20">
        <v>6.0337909559569577E-4</v>
      </c>
      <c r="K102" s="20">
        <v>3.5451633014947277E-3</v>
      </c>
      <c r="L102" s="20">
        <v>0</v>
      </c>
    </row>
    <row r="103" spans="1:12">
      <c r="A103" s="2" t="s">
        <v>484</v>
      </c>
      <c r="B103" s="3" t="s">
        <v>485</v>
      </c>
      <c r="D103" s="20">
        <v>2.3387328618113834E-13</v>
      </c>
      <c r="E103" s="20">
        <v>0.99132314826741685</v>
      </c>
      <c r="F103" s="20">
        <v>7.7242235236906482E-6</v>
      </c>
      <c r="G103" s="20">
        <v>3.6086967483564445E-6</v>
      </c>
      <c r="H103" s="20">
        <v>0</v>
      </c>
      <c r="I103" s="20">
        <v>0.99131181534714485</v>
      </c>
      <c r="J103" s="20">
        <v>6.0332999659742763E-4</v>
      </c>
      <c r="K103" s="20">
        <v>8.0735217357516889E-3</v>
      </c>
      <c r="L103" s="20">
        <v>0</v>
      </c>
    </row>
    <row r="104" spans="1:12">
      <c r="A104" s="2" t="s">
        <v>486</v>
      </c>
      <c r="B104" s="3" t="s">
        <v>487</v>
      </c>
      <c r="D104" s="20">
        <v>2.8858989924691941E-9</v>
      </c>
      <c r="E104" s="20">
        <v>0.95393211629503072</v>
      </c>
      <c r="F104" s="20">
        <v>2.2006721198782007E-4</v>
      </c>
      <c r="G104" s="20">
        <v>8.0103390160398715E-5</v>
      </c>
      <c r="H104" s="20">
        <v>0</v>
      </c>
      <c r="I104" s="20">
        <v>0.95363194569288245</v>
      </c>
      <c r="J104" s="20">
        <v>6.5662341389370192E-4</v>
      </c>
      <c r="K104" s="20">
        <v>4.5411257405176618E-2</v>
      </c>
      <c r="L104" s="20">
        <v>0</v>
      </c>
    </row>
    <row r="105" spans="1:12">
      <c r="A105" s="2" t="s">
        <v>488</v>
      </c>
      <c r="B105" s="3" t="s">
        <v>489</v>
      </c>
      <c r="D105" s="20">
        <v>2.3317673340895504E-16</v>
      </c>
      <c r="E105" s="20">
        <v>0.99514499285483993</v>
      </c>
      <c r="F105" s="20">
        <v>2.248844512196125E-6</v>
      </c>
      <c r="G105" s="20">
        <v>1.1509460961818609E-6</v>
      </c>
      <c r="H105" s="20">
        <v>0</v>
      </c>
      <c r="I105" s="20">
        <v>0.99514159306423156</v>
      </c>
      <c r="J105" s="20">
        <v>6.0325817924403809E-4</v>
      </c>
      <c r="K105" s="20">
        <v>4.2517489659159849E-3</v>
      </c>
      <c r="L105" s="20">
        <v>0</v>
      </c>
    </row>
    <row r="106" spans="1:12">
      <c r="A106" s="2" t="s">
        <v>490</v>
      </c>
      <c r="B106" s="3" t="s">
        <v>491</v>
      </c>
      <c r="D106" s="20">
        <v>1.3027438139063712E-8</v>
      </c>
      <c r="E106" s="20">
        <v>0.85025135626416726</v>
      </c>
      <c r="F106" s="20">
        <v>2.383050438337361E-3</v>
      </c>
      <c r="G106" s="20">
        <v>7.2148746452931653E-4</v>
      </c>
      <c r="H106" s="20">
        <v>0</v>
      </c>
      <c r="I106" s="20">
        <v>0.84714681836130057</v>
      </c>
      <c r="J106" s="20">
        <v>1.2435129803603318E-3</v>
      </c>
      <c r="K106" s="20">
        <v>0.14850511772803429</v>
      </c>
      <c r="L106" s="20">
        <v>0</v>
      </c>
    </row>
    <row r="107" spans="1:12">
      <c r="A107" s="2" t="s">
        <v>492</v>
      </c>
      <c r="B107" s="3" t="s">
        <v>493</v>
      </c>
      <c r="D107" s="20">
        <v>9.2876952484012609E-16</v>
      </c>
      <c r="E107" s="20">
        <v>0.42208957221909915</v>
      </c>
      <c r="F107" s="20">
        <v>0.31030028295721657</v>
      </c>
      <c r="G107" s="20">
        <v>5.3861411074828787E-2</v>
      </c>
      <c r="H107" s="20">
        <v>0</v>
      </c>
      <c r="I107" s="20">
        <v>5.792787818705377E-2</v>
      </c>
      <c r="J107" s="20">
        <v>5.7925976382678365E-2</v>
      </c>
      <c r="K107" s="20">
        <v>0.51998445139822147</v>
      </c>
      <c r="L107" s="20">
        <v>0</v>
      </c>
    </row>
    <row r="108" spans="1:12">
      <c r="A108" s="2" t="s">
        <v>291</v>
      </c>
      <c r="B108" s="3" t="s">
        <v>494</v>
      </c>
      <c r="D108" s="20">
        <v>3.6152976766949395E-10</v>
      </c>
      <c r="E108" s="20">
        <v>0.60852575941609777</v>
      </c>
      <c r="F108" s="20">
        <v>2.0990282178557269E-2</v>
      </c>
      <c r="G108" s="20">
        <v>5.2663998818621724E-3</v>
      </c>
      <c r="H108" s="20">
        <v>0</v>
      </c>
      <c r="I108" s="20">
        <v>0.58226907735567834</v>
      </c>
      <c r="J108" s="20">
        <v>5.7948224178784712E-3</v>
      </c>
      <c r="K108" s="20">
        <v>0.38567941780449383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3.7777573862392694E-9</v>
      </c>
      <c r="E2" s="14">
        <v>3.229042252651595E-5</v>
      </c>
      <c r="F2" s="14">
        <v>1.5357066973502825E-7</v>
      </c>
      <c r="G2" s="14">
        <v>4.4730508329655086E-8</v>
      </c>
      <c r="H2" s="14">
        <v>0</v>
      </c>
      <c r="I2" s="14">
        <v>6.503930896783182E-8</v>
      </c>
      <c r="J2" s="14">
        <v>7.4424592290653009E-6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5.7409821604310267E-7</v>
      </c>
      <c r="E3" s="14">
        <v>1.0515885817379386E-7</v>
      </c>
      <c r="F3" s="14">
        <v>3.8856207727192996E-6</v>
      </c>
      <c r="G3" s="14">
        <v>1.0528244633039982E-5</v>
      </c>
      <c r="H3" s="14">
        <v>0</v>
      </c>
      <c r="I3" s="14">
        <v>1.1776760455592488E-5</v>
      </c>
      <c r="J3" s="14">
        <v>1.3130117064431331E-5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2.4291456228292185E-16</v>
      </c>
      <c r="E4" s="14">
        <v>1.953499098971924E-5</v>
      </c>
      <c r="F4" s="14">
        <v>1.3833362753617131E-6</v>
      </c>
      <c r="G4" s="14">
        <v>3.3023516795747341E-7</v>
      </c>
      <c r="H4" s="14">
        <v>0</v>
      </c>
      <c r="I4" s="14">
        <v>3.5490593387915753E-7</v>
      </c>
      <c r="J4" s="14">
        <v>1.8396531632839508E-5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2.0692085706305558E-8</v>
      </c>
      <c r="E5" s="14">
        <v>1.1964758388915525E-6</v>
      </c>
      <c r="F5" s="14">
        <v>1.1654093107935892E-5</v>
      </c>
      <c r="G5" s="14">
        <v>3.3820033920305101E-6</v>
      </c>
      <c r="H5" s="14">
        <v>0</v>
      </c>
      <c r="I5" s="14">
        <v>3.6702972312447257E-6</v>
      </c>
      <c r="J5" s="14">
        <v>2.0076438344191015E-5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1.9462595333693325E-9</v>
      </c>
      <c r="E6" s="14">
        <v>4.8932839436481058E-8</v>
      </c>
      <c r="F6" s="14">
        <v>2.5785465009035183E-6</v>
      </c>
      <c r="G6" s="14">
        <v>1.2663988956997887E-5</v>
      </c>
      <c r="H6" s="14">
        <v>0</v>
      </c>
      <c r="I6" s="14">
        <v>1.4281415248849572E-5</v>
      </c>
      <c r="J6" s="14">
        <v>1.0425170194279169E-5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2.8022038887584063E-9</v>
      </c>
      <c r="E7" s="14">
        <v>9.5499125770636998E-8</v>
      </c>
      <c r="F7" s="14">
        <v>3.7168406849635478E-6</v>
      </c>
      <c r="G7" s="14">
        <v>1.0986756559629087E-5</v>
      </c>
      <c r="H7" s="14">
        <v>0</v>
      </c>
      <c r="I7" s="14">
        <v>1.2304265715658197E-5</v>
      </c>
      <c r="J7" s="14">
        <v>1.2893835710089782E-5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2.59978146626716E-8</v>
      </c>
      <c r="E8" s="14">
        <v>2.0896642259486472E-7</v>
      </c>
      <c r="F8" s="14">
        <v>5.5566246125022374E-6</v>
      </c>
      <c r="G8" s="14">
        <v>8.6757417039148396E-6</v>
      </c>
      <c r="H8" s="14">
        <v>0</v>
      </c>
      <c r="I8" s="14">
        <v>9.6318595933844737E-6</v>
      </c>
      <c r="J8" s="14">
        <v>1.5900809852940921E-5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1.1053273333968609E-8</v>
      </c>
      <c r="E9" s="14">
        <v>6.4936753778851944E-6</v>
      </c>
      <c r="F9" s="14">
        <v>6.5127607531299602E-6</v>
      </c>
      <c r="G9" s="14">
        <v>1.2789709493492528E-6</v>
      </c>
      <c r="H9" s="14">
        <v>0</v>
      </c>
      <c r="I9" s="14">
        <v>1.3605838455396367E-6</v>
      </c>
      <c r="J9" s="14">
        <v>2.4342955800761991E-5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2.6413963206056919E-10</v>
      </c>
      <c r="E10" s="14">
        <v>1.105536875181417E-6</v>
      </c>
      <c r="F10" s="14">
        <v>1.1342473765364773E-5</v>
      </c>
      <c r="G10" s="14">
        <v>3.5909002300221351E-6</v>
      </c>
      <c r="H10" s="14">
        <v>0</v>
      </c>
      <c r="I10" s="14">
        <v>3.9015159470050155E-6</v>
      </c>
      <c r="J10" s="14">
        <v>2.0059309042794606E-5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1.3604014357800362E-8</v>
      </c>
      <c r="E11" s="14">
        <v>9.6562109792187286E-7</v>
      </c>
      <c r="F11" s="14">
        <v>1.080292339623208E-5</v>
      </c>
      <c r="G11" s="14">
        <v>3.9540017016505932E-6</v>
      </c>
      <c r="H11" s="14">
        <v>0</v>
      </c>
      <c r="I11" s="14">
        <v>4.3043578445714878E-6</v>
      </c>
      <c r="J11" s="14">
        <v>1.995949194526617E-5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6.6968297868571504E-9</v>
      </c>
      <c r="E12" s="14">
        <v>4.8262401150944785E-6</v>
      </c>
      <c r="F12" s="14">
        <v>8.1835826988246802E-6</v>
      </c>
      <c r="G12" s="14">
        <v>1.5461051646126727E-6</v>
      </c>
      <c r="H12" s="14">
        <v>0</v>
      </c>
      <c r="I12" s="14">
        <v>1.6497185332078833E-6</v>
      </c>
      <c r="J12" s="14">
        <v>2.3787656658473437E-5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1.7447421411161349E-8</v>
      </c>
      <c r="E13" s="14">
        <v>6.3184552692758854E-6</v>
      </c>
      <c r="F13" s="14">
        <v>6.662012844582194E-6</v>
      </c>
      <c r="G13" s="14">
        <v>1.3034699428005451E-6</v>
      </c>
      <c r="H13" s="14">
        <v>0</v>
      </c>
      <c r="I13" s="14">
        <v>1.3870083668537229E-6</v>
      </c>
      <c r="J13" s="14">
        <v>2.4311606155076495E-5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8.8157255684620727E-9</v>
      </c>
      <c r="E14" s="14">
        <v>6.2307127066471406E-7</v>
      </c>
      <c r="F14" s="14">
        <v>9.1165869223626824E-6</v>
      </c>
      <c r="G14" s="14">
        <v>5.2315193077578129E-6</v>
      </c>
      <c r="H14" s="14">
        <v>0</v>
      </c>
      <c r="I14" s="14">
        <v>5.7296409795261276E-6</v>
      </c>
      <c r="J14" s="14">
        <v>1.92903657941202E-5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1.4893226121355959E-11</v>
      </c>
      <c r="E15" s="14">
        <v>1.0337807665611755E-6</v>
      </c>
      <c r="F15" s="14">
        <v>1.1075491248646504E-5</v>
      </c>
      <c r="G15" s="14">
        <v>3.7701493415828517E-6</v>
      </c>
      <c r="H15" s="14">
        <v>0</v>
      </c>
      <c r="I15" s="14">
        <v>4.10023594399721E-6</v>
      </c>
      <c r="J15" s="14">
        <v>2.002032780598614E-5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6.7474466391633223E-8</v>
      </c>
      <c r="E16" s="14">
        <v>2.159728320467483E-7</v>
      </c>
      <c r="F16" s="14">
        <v>5.64434658912537E-6</v>
      </c>
      <c r="G16" s="14">
        <v>8.5606990343637199E-6</v>
      </c>
      <c r="H16" s="14">
        <v>0</v>
      </c>
      <c r="I16" s="14">
        <v>9.5003816570351404E-6</v>
      </c>
      <c r="J16" s="14">
        <v>1.6011125421037389E-5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5.3042607840689815E-9</v>
      </c>
      <c r="E17" s="14">
        <v>1.1657476067197656E-6</v>
      </c>
      <c r="F17" s="14">
        <v>1.1553114642618735E-5</v>
      </c>
      <c r="G17" s="14">
        <v>3.4513947828015333E-6</v>
      </c>
      <c r="H17" s="14">
        <v>0</v>
      </c>
      <c r="I17" s="14">
        <v>3.7470480756390676E-6</v>
      </c>
      <c r="J17" s="14">
        <v>2.0077390631436833E-5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3.1016540831602651E-7</v>
      </c>
      <c r="E18" s="14">
        <v>7.2632839927431722E-6</v>
      </c>
      <c r="F18" s="14">
        <v>5.8165782593091801E-6</v>
      </c>
      <c r="G18" s="14">
        <v>1.1613500181738029E-6</v>
      </c>
      <c r="H18" s="14">
        <v>0</v>
      </c>
      <c r="I18" s="14">
        <v>1.234108059249475E-6</v>
      </c>
      <c r="J18" s="14">
        <v>2.4214514262208344E-5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5.2141057750843904E-11</v>
      </c>
      <c r="E19" s="14">
        <v>1.0199044851927661E-6</v>
      </c>
      <c r="F19" s="14">
        <v>1.1021838726318564E-5</v>
      </c>
      <c r="G19" s="14">
        <v>3.8067083736608332E-6</v>
      </c>
      <c r="H19" s="14">
        <v>0</v>
      </c>
      <c r="I19" s="14">
        <v>4.1407982597847734E-6</v>
      </c>
      <c r="J19" s="14">
        <v>2.001069801398532E-5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2.6417519805539306E-9</v>
      </c>
      <c r="E20" s="14">
        <v>6.3207950138393437E-6</v>
      </c>
      <c r="F20" s="14">
        <v>6.6644798096346473E-6</v>
      </c>
      <c r="G20" s="14">
        <v>1.3039526219653608E-6</v>
      </c>
      <c r="H20" s="14">
        <v>0</v>
      </c>
      <c r="I20" s="14">
        <v>1.387521980569024E-6</v>
      </c>
      <c r="J20" s="14">
        <v>2.432060882201107E-5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7.4240333416092692E-8</v>
      </c>
      <c r="E21" s="14">
        <v>7.0869534174272351E-7</v>
      </c>
      <c r="F21" s="14">
        <v>9.5921095148697432E-6</v>
      </c>
      <c r="G21" s="14">
        <v>4.8306957341789715E-6</v>
      </c>
      <c r="H21" s="14">
        <v>0</v>
      </c>
      <c r="I21" s="14">
        <v>5.2813368090854815E-6</v>
      </c>
      <c r="J21" s="14">
        <v>1.9512922266707E-5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9.0399438872297837E-8</v>
      </c>
      <c r="E22" s="14">
        <v>2.5966020715340347E-5</v>
      </c>
      <c r="F22" s="14">
        <v>5.5365592207004377E-7</v>
      </c>
      <c r="G22" s="14">
        <v>1.4438946425663184E-7</v>
      </c>
      <c r="H22" s="14">
        <v>0</v>
      </c>
      <c r="I22" s="14">
        <v>1.6431789757009968E-7</v>
      </c>
      <c r="J22" s="14">
        <v>1.3081216561890576E-5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3.5653797115686377E-9</v>
      </c>
      <c r="E23" s="14">
        <v>3.0386833999622384E-5</v>
      </c>
      <c r="F23" s="14">
        <v>2.443318052174864E-7</v>
      </c>
      <c r="G23" s="14">
        <v>6.8466095118334685E-8</v>
      </c>
      <c r="H23" s="14">
        <v>0</v>
      </c>
      <c r="I23" s="14">
        <v>8.8317621513564796E-8</v>
      </c>
      <c r="J23" s="14">
        <v>9.2084850988166668E-6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5.2921005107985494E-9</v>
      </c>
      <c r="E24" s="14">
        <v>1.2765791545213159E-5</v>
      </c>
      <c r="F24" s="14">
        <v>3.078238735356545E-6</v>
      </c>
      <c r="G24" s="14">
        <v>6.7142553554401562E-7</v>
      </c>
      <c r="H24" s="14">
        <v>0</v>
      </c>
      <c r="I24" s="14">
        <v>7.1200688692186155E-7</v>
      </c>
      <c r="J24" s="14">
        <v>2.2767245196453623E-5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1.9268935829251103E-6</v>
      </c>
      <c r="E25" s="14">
        <v>3.0267558810093046E-6</v>
      </c>
      <c r="F25" s="14">
        <v>1.0081657640775315E-5</v>
      </c>
      <c r="G25" s="14">
        <v>1.8122891929930593E-6</v>
      </c>
      <c r="H25" s="14">
        <v>0</v>
      </c>
      <c r="I25" s="14">
        <v>1.9424299420547605E-6</v>
      </c>
      <c r="J25" s="14">
        <v>2.1209973760242453E-5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5.9917763466637195E-8</v>
      </c>
      <c r="E26" s="14">
        <v>7.7220971077760627E-7</v>
      </c>
      <c r="F26" s="14">
        <v>9.9226988090740537E-6</v>
      </c>
      <c r="G26" s="14">
        <v>4.5806315966097126E-6</v>
      </c>
      <c r="H26" s="14">
        <v>0</v>
      </c>
      <c r="I26" s="14">
        <v>5.0020756508529481E-6</v>
      </c>
      <c r="J26" s="14">
        <v>1.9662466469219041E-5</v>
      </c>
      <c r="K26" s="14">
        <v>0</v>
      </c>
    </row>
    <row r="27" spans="1:13">
      <c r="A27" s="2" t="s">
        <v>353</v>
      </c>
      <c r="B27" s="3" t="s">
        <v>354</v>
      </c>
      <c r="D27" s="14">
        <v>3.9838157344034039E-7</v>
      </c>
      <c r="E27" s="14">
        <v>1.1573345199319938E-7</v>
      </c>
      <c r="F27" s="14">
        <v>4.0951843555251667E-6</v>
      </c>
      <c r="G27" s="14">
        <v>1.0319746111457613E-5</v>
      </c>
      <c r="H27" s="14">
        <v>0</v>
      </c>
      <c r="I27" s="14">
        <v>1.1532108661489224E-5</v>
      </c>
      <c r="J27" s="14">
        <v>1.3538845846094458E-5</v>
      </c>
      <c r="K27" s="14">
        <v>0</v>
      </c>
    </row>
    <row r="28" spans="1:13">
      <c r="A28" s="2" t="s">
        <v>355</v>
      </c>
      <c r="B28" s="3" t="s">
        <v>356</v>
      </c>
      <c r="D28" s="14">
        <v>2.1865158822632123E-8</v>
      </c>
      <c r="E28" s="14">
        <v>4.1439289520733007E-7</v>
      </c>
      <c r="F28" s="14">
        <v>7.6599661628140658E-6</v>
      </c>
      <c r="G28" s="14">
        <v>6.5031295619951676E-6</v>
      </c>
      <c r="H28" s="14">
        <v>0</v>
      </c>
      <c r="I28" s="14">
        <v>7.1602176940532916E-6</v>
      </c>
      <c r="J28" s="14">
        <v>1.8240428527107511E-5</v>
      </c>
      <c r="K28" s="14">
        <v>0</v>
      </c>
    </row>
    <row r="29" spans="1:13">
      <c r="A29" s="2" t="s">
        <v>357</v>
      </c>
      <c r="B29" s="3" t="s">
        <v>358</v>
      </c>
      <c r="D29" s="14">
        <v>4.1376907989963768E-6</v>
      </c>
      <c r="E29" s="14">
        <v>5.8373764021473765E-7</v>
      </c>
      <c r="F29" s="14">
        <v>8.3220869400219466E-6</v>
      </c>
      <c r="G29" s="14">
        <v>4.572227210090665E-6</v>
      </c>
      <c r="H29" s="14">
        <v>0</v>
      </c>
      <c r="I29" s="14">
        <v>5.0046310904895971E-6</v>
      </c>
      <c r="J29" s="14">
        <v>1.7379626320186684E-5</v>
      </c>
      <c r="K29" s="14">
        <v>0</v>
      </c>
    </row>
    <row r="30" spans="1:13">
      <c r="A30" s="2" t="s">
        <v>359</v>
      </c>
      <c r="B30" s="3" t="s">
        <v>360</v>
      </c>
      <c r="D30" s="14">
        <v>2.1865158822632123E-8</v>
      </c>
      <c r="E30" s="14">
        <v>4.1439289520733007E-7</v>
      </c>
      <c r="F30" s="14">
        <v>7.6599661628140658E-6</v>
      </c>
      <c r="G30" s="14">
        <v>6.5031295619951676E-6</v>
      </c>
      <c r="H30" s="14">
        <v>0</v>
      </c>
      <c r="I30" s="14">
        <v>7.1602176940532916E-6</v>
      </c>
      <c r="J30" s="14">
        <v>1.8240428527107511E-5</v>
      </c>
      <c r="K30" s="14">
        <v>0</v>
      </c>
    </row>
    <row r="31" spans="1:13">
      <c r="A31" s="2" t="s">
        <v>283</v>
      </c>
      <c r="B31" s="3" t="s">
        <v>284</v>
      </c>
      <c r="D31" s="14">
        <v>1.0452817917577417E-12</v>
      </c>
      <c r="E31" s="14">
        <v>3.9040291325739444E-5</v>
      </c>
      <c r="F31" s="14">
        <v>2.3939087943475594E-9</v>
      </c>
      <c r="G31" s="14">
        <v>9.6073398908095048E-10</v>
      </c>
      <c r="H31" s="14">
        <v>0</v>
      </c>
      <c r="I31" s="14">
        <v>2.4567833297585685E-8</v>
      </c>
      <c r="J31" s="14">
        <v>9.3178515289775714E-7</v>
      </c>
      <c r="K31" s="14">
        <v>0</v>
      </c>
    </row>
    <row r="32" spans="1:13">
      <c r="A32" s="2" t="s">
        <v>361</v>
      </c>
      <c r="B32" s="3" t="s">
        <v>362</v>
      </c>
      <c r="D32" s="14">
        <v>1.0840258353683037E-12</v>
      </c>
      <c r="E32" s="14">
        <v>2.2143459225090004E-5</v>
      </c>
      <c r="F32" s="14">
        <v>9.9195492433794259E-7</v>
      </c>
      <c r="G32" s="14">
        <v>2.4457417609884518E-7</v>
      </c>
      <c r="H32" s="14">
        <v>0</v>
      </c>
      <c r="I32" s="14">
        <v>2.6980455541791838E-7</v>
      </c>
      <c r="J32" s="14">
        <v>1.6350206035029455E-5</v>
      </c>
      <c r="K32" s="14">
        <v>0</v>
      </c>
    </row>
    <row r="33" spans="1:11">
      <c r="A33" s="2" t="s">
        <v>364</v>
      </c>
      <c r="B33" s="3" t="s">
        <v>365</v>
      </c>
      <c r="D33" s="14">
        <v>4.8270479592569827E-15</v>
      </c>
      <c r="E33" s="14">
        <v>3.995631528532375E-5</v>
      </c>
      <c r="F33" s="14">
        <v>1.6803508955053135E-8</v>
      </c>
      <c r="G33" s="14">
        <v>5.1383928465731449E-12</v>
      </c>
      <c r="H33" s="14">
        <v>0</v>
      </c>
      <c r="I33" s="14">
        <v>2.4591831954829843E-8</v>
      </c>
      <c r="J33" s="14">
        <v>2.2842305464759689E-9</v>
      </c>
      <c r="K33" s="14">
        <v>0</v>
      </c>
    </row>
    <row r="34" spans="1:11">
      <c r="A34" s="2" t="s">
        <v>285</v>
      </c>
      <c r="B34" s="3" t="s">
        <v>286</v>
      </c>
      <c r="D34" s="14">
        <v>2.4084981853686657E-14</v>
      </c>
      <c r="E34" s="14">
        <v>3.687735137120178E-5</v>
      </c>
      <c r="F34" s="14">
        <v>3.0341306087122424E-6</v>
      </c>
      <c r="G34" s="14">
        <v>2.4917747396651861E-10</v>
      </c>
      <c r="H34" s="14">
        <v>0</v>
      </c>
      <c r="I34" s="14">
        <v>7.5206465726829758E-8</v>
      </c>
      <c r="J34" s="14">
        <v>1.3062352800196328E-8</v>
      </c>
      <c r="K34" s="14">
        <v>0</v>
      </c>
    </row>
    <row r="35" spans="1:11">
      <c r="A35" s="2" t="s">
        <v>287</v>
      </c>
      <c r="B35" s="3" t="s">
        <v>288</v>
      </c>
      <c r="D35" s="14">
        <v>1.0596273449101778E-15</v>
      </c>
      <c r="E35" s="14">
        <v>3.2974405538139562E-5</v>
      </c>
      <c r="F35" s="14">
        <v>6.8433936933190912E-6</v>
      </c>
      <c r="G35" s="14">
        <v>1.3252531581897315E-9</v>
      </c>
      <c r="H35" s="14">
        <v>0</v>
      </c>
      <c r="I35" s="14">
        <v>1.3312132483022602E-7</v>
      </c>
      <c r="J35" s="14">
        <v>4.7754189493305791E-8</v>
      </c>
      <c r="K35" s="14">
        <v>0</v>
      </c>
    </row>
    <row r="36" spans="1:11">
      <c r="A36" s="2" t="s">
        <v>366</v>
      </c>
      <c r="B36" s="3" t="s">
        <v>305</v>
      </c>
      <c r="D36" s="14">
        <v>3.6935103972266406E-12</v>
      </c>
      <c r="E36" s="14">
        <v>2.1747332955920888E-5</v>
      </c>
      <c r="F36" s="14">
        <v>1.7856673343582788E-5</v>
      </c>
      <c r="G36" s="14">
        <v>5.1126061433413832E-9</v>
      </c>
      <c r="H36" s="14">
        <v>0</v>
      </c>
      <c r="I36" s="14">
        <v>2.8535249626890575E-7</v>
      </c>
      <c r="J36" s="14">
        <v>1.0552490457368124E-7</v>
      </c>
      <c r="K36" s="14">
        <v>0</v>
      </c>
    </row>
    <row r="37" spans="1:11">
      <c r="A37" s="2" t="s">
        <v>289</v>
      </c>
      <c r="B37" s="3" t="s">
        <v>290</v>
      </c>
      <c r="D37" s="14">
        <v>4.7206142929190741E-19</v>
      </c>
      <c r="E37" s="14">
        <v>2.351713368253863E-5</v>
      </c>
      <c r="F37" s="14">
        <v>7.8490833027087698E-6</v>
      </c>
      <c r="G37" s="14">
        <v>2.6797139634550915E-7</v>
      </c>
      <c r="H37" s="14">
        <v>0</v>
      </c>
      <c r="I37" s="14">
        <v>4.0053119905648472E-7</v>
      </c>
      <c r="J37" s="14">
        <v>7.9652804193501423E-6</v>
      </c>
      <c r="K37" s="14">
        <v>0</v>
      </c>
    </row>
    <row r="38" spans="1:11">
      <c r="A38" s="2" t="s">
        <v>291</v>
      </c>
      <c r="B38" s="3" t="s">
        <v>292</v>
      </c>
      <c r="D38" s="14">
        <v>7.3572853954425042E-17</v>
      </c>
      <c r="E38" s="14">
        <v>3.7475588398300897E-5</v>
      </c>
      <c r="F38" s="14">
        <v>2.3418712270302127E-6</v>
      </c>
      <c r="G38" s="14">
        <v>1.9565009289787775E-9</v>
      </c>
      <c r="H38" s="14">
        <v>0</v>
      </c>
      <c r="I38" s="14">
        <v>6.5928955419089538E-8</v>
      </c>
      <c r="J38" s="14">
        <v>1.146549182472561E-7</v>
      </c>
      <c r="K38" s="14">
        <v>0</v>
      </c>
    </row>
    <row r="39" spans="1:11">
      <c r="A39" s="2" t="s">
        <v>367</v>
      </c>
      <c r="B39" s="3" t="s">
        <v>368</v>
      </c>
      <c r="D39" s="14">
        <v>2.6099407191499066E-9</v>
      </c>
      <c r="E39" s="14">
        <v>1.8656505805828816E-6</v>
      </c>
      <c r="F39" s="14">
        <v>1.3421617506645094E-5</v>
      </c>
      <c r="G39" s="14">
        <v>2.3442310466098012E-6</v>
      </c>
      <c r="H39" s="14">
        <v>0</v>
      </c>
      <c r="I39" s="14">
        <v>2.5271985159932464E-6</v>
      </c>
      <c r="J39" s="14">
        <v>1.9838692409449833E-5</v>
      </c>
      <c r="K39" s="14">
        <v>0</v>
      </c>
    </row>
    <row r="40" spans="1:11">
      <c r="A40" s="2" t="s">
        <v>369</v>
      </c>
      <c r="B40" s="3" t="s">
        <v>370</v>
      </c>
      <c r="D40" s="14">
        <v>1.8316590862419162E-16</v>
      </c>
      <c r="E40" s="14">
        <v>2.0040090819567822E-7</v>
      </c>
      <c r="F40" s="14">
        <v>1.8220245977989874E-5</v>
      </c>
      <c r="G40" s="14">
        <v>1.318179680203211E-6</v>
      </c>
      <c r="H40" s="14">
        <v>0</v>
      </c>
      <c r="I40" s="14">
        <v>1.9687998428687562E-5</v>
      </c>
      <c r="J40" s="14">
        <v>5.7317500474052166E-7</v>
      </c>
      <c r="K40" s="14">
        <v>0</v>
      </c>
    </row>
    <row r="41" spans="1:11">
      <c r="A41" s="2" t="s">
        <v>371</v>
      </c>
      <c r="B41" s="3" t="s">
        <v>372</v>
      </c>
      <c r="D41" s="14">
        <v>3.2600940238424284E-6</v>
      </c>
      <c r="E41" s="14">
        <v>3.653505707778613E-5</v>
      </c>
      <c r="F41" s="14">
        <v>1.1145622783682658E-10</v>
      </c>
      <c r="G41" s="14">
        <v>5.5795592777570603E-11</v>
      </c>
      <c r="H41" s="14">
        <v>0</v>
      </c>
      <c r="I41" s="14">
        <v>2.2160778116210265E-8</v>
      </c>
      <c r="J41" s="14">
        <v>1.8252086843462361E-7</v>
      </c>
      <c r="K41" s="14">
        <v>0</v>
      </c>
    </row>
    <row r="42" spans="1:11">
      <c r="A42" s="2" t="s">
        <v>293</v>
      </c>
      <c r="B42" s="3" t="s">
        <v>294</v>
      </c>
      <c r="D42" s="14">
        <v>8.2823912991839554E-13</v>
      </c>
      <c r="E42" s="14">
        <v>2.4880288348283932E-5</v>
      </c>
      <c r="F42" s="14">
        <v>6.6440051384184254E-7</v>
      </c>
      <c r="G42" s="14">
        <v>1.7042194401678001E-7</v>
      </c>
      <c r="H42" s="14">
        <v>0</v>
      </c>
      <c r="I42" s="14">
        <v>1.9076250006495725E-7</v>
      </c>
      <c r="J42" s="14">
        <v>1.4094125865553366E-5</v>
      </c>
      <c r="K42" s="14">
        <v>0</v>
      </c>
    </row>
    <row r="43" spans="1:11">
      <c r="A43" s="2" t="s">
        <v>373</v>
      </c>
      <c r="B43" s="3" t="s">
        <v>374</v>
      </c>
      <c r="D43" s="14">
        <v>1.551109094525193E-11</v>
      </c>
      <c r="E43" s="14">
        <v>3.1816153758922718E-6</v>
      </c>
      <c r="F43" s="14">
        <v>3.5594445125534364E-5</v>
      </c>
      <c r="G43" s="14">
        <v>3.0054129169577595E-8</v>
      </c>
      <c r="H43" s="14">
        <v>0</v>
      </c>
      <c r="I43" s="14">
        <v>1.0421589602543705E-6</v>
      </c>
      <c r="J43" s="14">
        <v>1.5171089805848082E-7</v>
      </c>
      <c r="K43" s="14">
        <v>0</v>
      </c>
    </row>
    <row r="44" spans="1:11">
      <c r="A44" s="2" t="s">
        <v>375</v>
      </c>
      <c r="B44" s="3" t="s">
        <v>376</v>
      </c>
      <c r="D44" s="14">
        <v>3.4727987926197853E-6</v>
      </c>
      <c r="E44" s="14">
        <v>3.1190280922173949E-5</v>
      </c>
      <c r="F44" s="14">
        <v>7.9387812762494826E-8</v>
      </c>
      <c r="G44" s="14">
        <v>2.4213044048632927E-8</v>
      </c>
      <c r="H44" s="14">
        <v>0</v>
      </c>
      <c r="I44" s="14">
        <v>4.3383185791208468E-8</v>
      </c>
      <c r="J44" s="14">
        <v>5.1899362426039303E-6</v>
      </c>
      <c r="K44" s="14">
        <v>0</v>
      </c>
    </row>
    <row r="45" spans="1:11">
      <c r="A45" s="2" t="s">
        <v>377</v>
      </c>
      <c r="B45" s="3" t="s">
        <v>378</v>
      </c>
      <c r="D45" s="14">
        <v>3.2323175094919647E-8</v>
      </c>
      <c r="E45" s="14">
        <v>2.3808590168199161E-5</v>
      </c>
      <c r="F45" s="14">
        <v>7.7658362660388834E-7</v>
      </c>
      <c r="G45" s="14">
        <v>1.9628349621696207E-7</v>
      </c>
      <c r="H45" s="14">
        <v>0</v>
      </c>
      <c r="I45" s="14">
        <v>2.1709451216994943E-7</v>
      </c>
      <c r="J45" s="14">
        <v>1.496912502171512E-5</v>
      </c>
      <c r="K45" s="14">
        <v>0</v>
      </c>
    </row>
    <row r="46" spans="1:11">
      <c r="A46" s="2" t="s">
        <v>379</v>
      </c>
      <c r="B46" s="3" t="s">
        <v>380</v>
      </c>
      <c r="D46" s="14">
        <v>9.559085969724154E-8</v>
      </c>
      <c r="E46" s="14">
        <v>2.4430706817750757E-5</v>
      </c>
      <c r="F46" s="14">
        <v>7.0321897747508036E-7</v>
      </c>
      <c r="G46" s="14">
        <v>1.7938500527693248E-7</v>
      </c>
      <c r="H46" s="14">
        <v>0</v>
      </c>
      <c r="I46" s="14">
        <v>1.9984003565061926E-7</v>
      </c>
      <c r="J46" s="14">
        <v>1.4391258304149369E-5</v>
      </c>
      <c r="K46" s="14">
        <v>0</v>
      </c>
    </row>
    <row r="47" spans="1:11">
      <c r="A47" s="2" t="s">
        <v>381</v>
      </c>
      <c r="B47" s="3" t="s">
        <v>382</v>
      </c>
      <c r="D47" s="14">
        <v>6.8432826584341959E-12</v>
      </c>
      <c r="E47" s="14">
        <v>1.0669010515903036E-7</v>
      </c>
      <c r="F47" s="14">
        <v>3.9422003628491721E-6</v>
      </c>
      <c r="G47" s="14">
        <v>1.0681549291669229E-5</v>
      </c>
      <c r="H47" s="14">
        <v>0</v>
      </c>
      <c r="I47" s="14">
        <v>1.1948245095656527E-5</v>
      </c>
      <c r="J47" s="14">
        <v>1.3321308301383382E-5</v>
      </c>
      <c r="K47" s="14">
        <v>0</v>
      </c>
    </row>
    <row r="48" spans="1:11">
      <c r="A48" s="2" t="s">
        <v>383</v>
      </c>
      <c r="B48" s="3" t="s">
        <v>384</v>
      </c>
      <c r="D48" s="14">
        <v>4.7261280068818869E-7</v>
      </c>
      <c r="E48" s="14">
        <v>3.6388583054545641E-5</v>
      </c>
      <c r="F48" s="14">
        <v>2.523362793520376E-8</v>
      </c>
      <c r="G48" s="14">
        <v>8.4698408622727485E-9</v>
      </c>
      <c r="H48" s="14">
        <v>0</v>
      </c>
      <c r="I48" s="14">
        <v>3.050592711045196E-8</v>
      </c>
      <c r="J48" s="14">
        <v>3.0745947488582453E-6</v>
      </c>
      <c r="K48" s="14">
        <v>0</v>
      </c>
    </row>
    <row r="49" spans="1:11">
      <c r="A49" s="2" t="s">
        <v>385</v>
      </c>
      <c r="B49" s="3" t="s">
        <v>386</v>
      </c>
      <c r="D49" s="14">
        <v>8.8761634791047104E-7</v>
      </c>
      <c r="E49" s="14">
        <v>3.4928903865126518E-5</v>
      </c>
      <c r="F49" s="14">
        <v>4.5258432387586871E-8</v>
      </c>
      <c r="G49" s="14">
        <v>1.4507582957382423E-8</v>
      </c>
      <c r="H49" s="14">
        <v>0</v>
      </c>
      <c r="I49" s="14">
        <v>3.5743836004217112E-8</v>
      </c>
      <c r="J49" s="14">
        <v>4.087969935613835E-6</v>
      </c>
      <c r="K49" s="14">
        <v>0</v>
      </c>
    </row>
    <row r="50" spans="1:11">
      <c r="A50" s="2" t="s">
        <v>387</v>
      </c>
      <c r="B50" s="3" t="s">
        <v>388</v>
      </c>
      <c r="D50" s="14">
        <v>6.5237654871668394E-7</v>
      </c>
      <c r="E50" s="14">
        <v>7.4854515785287917E-6</v>
      </c>
      <c r="F50" s="14">
        <v>5.5612517542914095E-6</v>
      </c>
      <c r="G50" s="14">
        <v>1.1165241242622631E-6</v>
      </c>
      <c r="H50" s="14">
        <v>0</v>
      </c>
      <c r="I50" s="14">
        <v>1.186081429200602E-6</v>
      </c>
      <c r="J50" s="14">
        <v>2.3998314565000258E-5</v>
      </c>
      <c r="K50" s="14">
        <v>0</v>
      </c>
    </row>
    <row r="51" spans="1:11">
      <c r="A51" s="2" t="s">
        <v>295</v>
      </c>
      <c r="B51" s="3" t="s">
        <v>296</v>
      </c>
      <c r="D51" s="14">
        <v>2.6155811300109563E-6</v>
      </c>
      <c r="E51" s="14">
        <v>3.6174943376848986E-5</v>
      </c>
      <c r="F51" s="14">
        <v>4.0424290890491149E-9</v>
      </c>
      <c r="G51" s="14">
        <v>1.5521652842292879E-9</v>
      </c>
      <c r="H51" s="14">
        <v>0</v>
      </c>
      <c r="I51" s="14">
        <v>2.3422745000952874E-8</v>
      </c>
      <c r="J51" s="14">
        <v>1.1804581537658329E-6</v>
      </c>
      <c r="K51" s="14">
        <v>0</v>
      </c>
    </row>
    <row r="52" spans="1:11">
      <c r="A52" s="2" t="s">
        <v>389</v>
      </c>
      <c r="B52" s="3" t="s">
        <v>390</v>
      </c>
      <c r="D52" s="14">
        <v>2.8584256738182667E-6</v>
      </c>
      <c r="E52" s="14">
        <v>3.0062602084217004E-5</v>
      </c>
      <c r="F52" s="14">
        <v>1.3944441313015273E-7</v>
      </c>
      <c r="G52" s="14">
        <v>4.0690841773844505E-8</v>
      </c>
      <c r="H52" s="14">
        <v>0</v>
      </c>
      <c r="I52" s="14">
        <v>5.9573984375188992E-8</v>
      </c>
      <c r="J52" s="14">
        <v>6.8392630026855446E-6</v>
      </c>
      <c r="K52" s="14">
        <v>0</v>
      </c>
    </row>
    <row r="53" spans="1:11">
      <c r="A53" s="2" t="s">
        <v>391</v>
      </c>
      <c r="B53" s="3" t="s">
        <v>392</v>
      </c>
      <c r="D53" s="14">
        <v>1.0529409483237183E-7</v>
      </c>
      <c r="E53" s="14">
        <v>2.032935875576448E-5</v>
      </c>
      <c r="F53" s="14">
        <v>1.2390197537009946E-6</v>
      </c>
      <c r="G53" s="14">
        <v>2.9907064390429359E-7</v>
      </c>
      <c r="H53" s="14">
        <v>0</v>
      </c>
      <c r="I53" s="14">
        <v>3.2264463911894828E-7</v>
      </c>
      <c r="J53" s="14">
        <v>1.7704612112678915E-5</v>
      </c>
      <c r="K53" s="14">
        <v>0</v>
      </c>
    </row>
    <row r="54" spans="1:11">
      <c r="A54" s="2" t="s">
        <v>393</v>
      </c>
      <c r="B54" s="3" t="s">
        <v>394</v>
      </c>
      <c r="D54" s="14">
        <v>3.1259134791324945E-8</v>
      </c>
      <c r="E54" s="14">
        <v>1.4754232324172575E-7</v>
      </c>
      <c r="F54" s="14">
        <v>4.6649948440580901E-6</v>
      </c>
      <c r="G54" s="14">
        <v>9.735241365872773E-6</v>
      </c>
      <c r="H54" s="14">
        <v>0</v>
      </c>
      <c r="I54" s="14">
        <v>1.0850968966742808E-5</v>
      </c>
      <c r="J54" s="14">
        <v>1.4569993365293282E-5</v>
      </c>
      <c r="K54" s="14">
        <v>0</v>
      </c>
    </row>
    <row r="55" spans="1:11">
      <c r="A55" s="2" t="s">
        <v>395</v>
      </c>
      <c r="B55" s="3" t="s">
        <v>396</v>
      </c>
      <c r="D55" s="14">
        <v>9.0353682532070189E-6</v>
      </c>
      <c r="E55" s="14">
        <v>9.2897819905820892E-6</v>
      </c>
      <c r="F55" s="14">
        <v>2.6026757919373898E-6</v>
      </c>
      <c r="G55" s="14">
        <v>5.6145587164356997E-7</v>
      </c>
      <c r="H55" s="14">
        <v>0</v>
      </c>
      <c r="I55" s="14">
        <v>5.9524592764793222E-7</v>
      </c>
      <c r="J55" s="14">
        <v>1.7915472164982009E-5</v>
      </c>
      <c r="K55" s="14">
        <v>0</v>
      </c>
    </row>
    <row r="56" spans="1:11">
      <c r="A56" s="2" t="s">
        <v>397</v>
      </c>
      <c r="B56" s="3" t="s">
        <v>398</v>
      </c>
      <c r="D56" s="14">
        <v>3.2991537534484402E-5</v>
      </c>
      <c r="E56" s="14">
        <v>8.8373533561618446E-7</v>
      </c>
      <c r="F56" s="14">
        <v>1.3901983564296376E-6</v>
      </c>
      <c r="G56" s="14">
        <v>2.6410238678693084E-7</v>
      </c>
      <c r="H56" s="14">
        <v>0</v>
      </c>
      <c r="I56" s="14">
        <v>2.8167141174788683E-7</v>
      </c>
      <c r="J56" s="14">
        <v>4.1887549749349575E-6</v>
      </c>
      <c r="K56" s="14">
        <v>0</v>
      </c>
    </row>
    <row r="57" spans="1:11">
      <c r="A57" s="2" t="s">
        <v>399</v>
      </c>
      <c r="B57" s="3" t="s">
        <v>400</v>
      </c>
      <c r="D57" s="14">
        <v>3.4890397995832417E-5</v>
      </c>
      <c r="E57" s="14">
        <v>1.3304102677427372E-6</v>
      </c>
      <c r="F57" s="14">
        <v>5.1591735616331597E-7</v>
      </c>
      <c r="G57" s="14">
        <v>1.0866149946512822E-7</v>
      </c>
      <c r="H57" s="14">
        <v>0</v>
      </c>
      <c r="I57" s="14">
        <v>1.1520962532454263E-7</v>
      </c>
      <c r="J57" s="14">
        <v>3.0394032554718589E-6</v>
      </c>
      <c r="K57" s="14">
        <v>0</v>
      </c>
    </row>
    <row r="58" spans="1:11">
      <c r="A58" s="2" t="s">
        <v>297</v>
      </c>
      <c r="B58" s="3" t="s">
        <v>298</v>
      </c>
      <c r="D58" s="14">
        <v>3.7298079247599898E-5</v>
      </c>
      <c r="E58" s="14">
        <v>2.3770927740935619E-6</v>
      </c>
      <c r="F58" s="14">
        <v>3.9551292668230623E-9</v>
      </c>
      <c r="G58" s="14">
        <v>1.2446757768026594E-9</v>
      </c>
      <c r="H58" s="14">
        <v>0</v>
      </c>
      <c r="I58" s="14">
        <v>2.694146763874853E-9</v>
      </c>
      <c r="J58" s="14">
        <v>3.1693402649904197E-7</v>
      </c>
      <c r="K58" s="14">
        <v>0</v>
      </c>
    </row>
    <row r="59" spans="1:11">
      <c r="A59" s="2" t="s">
        <v>401</v>
      </c>
      <c r="B59" s="3" t="s">
        <v>402</v>
      </c>
      <c r="D59" s="14">
        <v>3.8127162050584529E-5</v>
      </c>
      <c r="E59" s="14">
        <v>5.0430601111073185E-7</v>
      </c>
      <c r="F59" s="14">
        <v>1.8142983064544921E-7</v>
      </c>
      <c r="G59" s="14">
        <v>3.8424148365071413E-8</v>
      </c>
      <c r="H59" s="14">
        <v>0</v>
      </c>
      <c r="I59" s="14">
        <v>4.073632886821881E-8</v>
      </c>
      <c r="J59" s="14">
        <v>1.1079416304260117E-6</v>
      </c>
      <c r="K59" s="14">
        <v>0</v>
      </c>
    </row>
    <row r="60" spans="1:11">
      <c r="A60" s="2" t="s">
        <v>299</v>
      </c>
      <c r="B60" s="3" t="s">
        <v>300</v>
      </c>
      <c r="D60" s="14">
        <v>3.9952155280421503E-5</v>
      </c>
      <c r="E60" s="14">
        <v>1.7987875684628252E-8</v>
      </c>
      <c r="F60" s="14">
        <v>2.8354006060787755E-9</v>
      </c>
      <c r="G60" s="14">
        <v>6.3813120621101427E-10</v>
      </c>
      <c r="H60" s="14">
        <v>0</v>
      </c>
      <c r="I60" s="14">
        <v>6.7801581005972187E-10</v>
      </c>
      <c r="J60" s="14">
        <v>2.570529627151911E-8</v>
      </c>
      <c r="K60" s="14">
        <v>0</v>
      </c>
    </row>
    <row r="61" spans="1:11">
      <c r="A61" s="2" t="s">
        <v>403</v>
      </c>
      <c r="B61" s="3" t="s">
        <v>404</v>
      </c>
      <c r="D61" s="14">
        <v>2.6875619280900596E-48</v>
      </c>
      <c r="E61" s="14">
        <v>1.7127664398991153E-5</v>
      </c>
      <c r="F61" s="14">
        <v>1.8553792494909969E-6</v>
      </c>
      <c r="G61" s="14">
        <v>4.292677385991679E-7</v>
      </c>
      <c r="H61" s="14">
        <v>0</v>
      </c>
      <c r="I61" s="14">
        <v>4.578227437457394E-7</v>
      </c>
      <c r="J61" s="14">
        <v>2.0129865869172948E-5</v>
      </c>
      <c r="K61" s="14">
        <v>0</v>
      </c>
    </row>
    <row r="62" spans="1:11">
      <c r="A62" s="2" t="s">
        <v>405</v>
      </c>
      <c r="B62" s="3" t="s">
        <v>406</v>
      </c>
      <c r="D62" s="14">
        <v>1.7697771927073583E-11</v>
      </c>
      <c r="E62" s="14">
        <v>6.4167963827061344E-7</v>
      </c>
      <c r="F62" s="14">
        <v>9.2276860209043494E-6</v>
      </c>
      <c r="G62" s="14">
        <v>5.1438508130468979E-6</v>
      </c>
      <c r="H62" s="14">
        <v>0</v>
      </c>
      <c r="I62" s="14">
        <v>5.6314173537385667E-6</v>
      </c>
      <c r="J62" s="14">
        <v>1.9355348476267655E-5</v>
      </c>
      <c r="K62" s="14">
        <v>0</v>
      </c>
    </row>
    <row r="63" spans="1:11">
      <c r="A63" s="2" t="s">
        <v>407</v>
      </c>
      <c r="B63" s="3" t="s">
        <v>408</v>
      </c>
      <c r="D63" s="14">
        <v>4.2973569267859586E-9</v>
      </c>
      <c r="E63" s="14">
        <v>5.945673969255902E-8</v>
      </c>
      <c r="F63" s="14">
        <v>2.8732647271513836E-6</v>
      </c>
      <c r="G63" s="14">
        <v>1.2205939043652078E-5</v>
      </c>
      <c r="H63" s="14">
        <v>0</v>
      </c>
      <c r="I63" s="14">
        <v>1.3737578793329807E-5</v>
      </c>
      <c r="J63" s="14">
        <v>1.1119463339247393E-5</v>
      </c>
      <c r="K63" s="14">
        <v>0</v>
      </c>
    </row>
    <row r="64" spans="1:11">
      <c r="A64" s="2" t="s">
        <v>409</v>
      </c>
      <c r="B64" s="3" t="s">
        <v>410</v>
      </c>
      <c r="D64" s="14">
        <v>5.5262867841820443E-10</v>
      </c>
      <c r="E64" s="14">
        <v>2.1397995073122385E-8</v>
      </c>
      <c r="F64" s="14">
        <v>1.6080799370849545E-6</v>
      </c>
      <c r="G64" s="14">
        <v>1.4315390157070794E-5</v>
      </c>
      <c r="H64" s="14">
        <v>0</v>
      </c>
      <c r="I64" s="14">
        <v>1.6275721715344499E-5</v>
      </c>
      <c r="J64" s="14">
        <v>7.7788575667482119E-6</v>
      </c>
      <c r="K64" s="14">
        <v>0</v>
      </c>
    </row>
    <row r="65" spans="1:11">
      <c r="A65" s="2" t="s">
        <v>301</v>
      </c>
      <c r="B65" s="3" t="s">
        <v>302</v>
      </c>
      <c r="D65" s="14">
        <v>7.0891720598880829E-11</v>
      </c>
      <c r="E65" s="14">
        <v>6.2381409255582535E-9</v>
      </c>
      <c r="F65" s="14">
        <v>7.7458615844671209E-7</v>
      </c>
      <c r="G65" s="14">
        <v>1.5994301831691788E-5</v>
      </c>
      <c r="H65" s="14">
        <v>0</v>
      </c>
      <c r="I65" s="14">
        <v>1.839557266486909E-5</v>
      </c>
      <c r="J65" s="14">
        <v>4.8292303123462621E-6</v>
      </c>
      <c r="K65" s="14">
        <v>0</v>
      </c>
    </row>
    <row r="66" spans="1:11">
      <c r="A66" s="2" t="s">
        <v>303</v>
      </c>
      <c r="B66" s="3" t="s">
        <v>304</v>
      </c>
      <c r="D66" s="14">
        <v>6.7069563522194735E-17</v>
      </c>
      <c r="E66" s="14">
        <v>1.2675501311522833E-8</v>
      </c>
      <c r="F66" s="14">
        <v>1.1827683508446635E-6</v>
      </c>
      <c r="G66" s="14">
        <v>1.5131962288847892E-5</v>
      </c>
      <c r="H66" s="14">
        <v>0</v>
      </c>
      <c r="I66" s="14">
        <v>1.7289843174642875E-5</v>
      </c>
      <c r="J66" s="14">
        <v>6.3827506842859824E-6</v>
      </c>
      <c r="K66" s="14">
        <v>0</v>
      </c>
    </row>
    <row r="67" spans="1:11">
      <c r="A67" s="2" t="s">
        <v>411</v>
      </c>
      <c r="B67" s="3" t="s">
        <v>412</v>
      </c>
      <c r="D67" s="14">
        <v>1.9119278119354317E-7</v>
      </c>
      <c r="E67" s="14">
        <v>3.3444996530150764E-5</v>
      </c>
      <c r="F67" s="14">
        <v>1.0397901658055007E-7</v>
      </c>
      <c r="G67" s="14">
        <v>3.124936962402326E-8</v>
      </c>
      <c r="H67" s="14">
        <v>0</v>
      </c>
      <c r="I67" s="14">
        <v>5.1919519284814445E-8</v>
      </c>
      <c r="J67" s="14">
        <v>6.1766627831663122E-6</v>
      </c>
      <c r="K67" s="14">
        <v>0</v>
      </c>
    </row>
    <row r="68" spans="1:11">
      <c r="A68" s="2" t="s">
        <v>413</v>
      </c>
      <c r="B68" s="3" t="s">
        <v>414</v>
      </c>
      <c r="D68" s="14">
        <v>4.1943121487275808E-7</v>
      </c>
      <c r="E68" s="14">
        <v>3.1186053016712964E-5</v>
      </c>
      <c r="F68" s="14">
        <v>1.8575262647731254E-7</v>
      </c>
      <c r="G68" s="14">
        <v>5.3214565274257E-8</v>
      </c>
      <c r="H68" s="14">
        <v>0</v>
      </c>
      <c r="I68" s="14">
        <v>7.309629629268032E-8</v>
      </c>
      <c r="J68" s="14">
        <v>8.0824522803700363E-6</v>
      </c>
      <c r="K68" s="14">
        <v>0</v>
      </c>
    </row>
    <row r="69" spans="1:11">
      <c r="A69" s="2" t="s">
        <v>415</v>
      </c>
      <c r="B69" s="3" t="s">
        <v>416</v>
      </c>
      <c r="D69" s="14">
        <v>1.9932771368196863E-7</v>
      </c>
      <c r="E69" s="14">
        <v>2.2646826340784633E-7</v>
      </c>
      <c r="F69" s="14">
        <v>5.7668930896479502E-6</v>
      </c>
      <c r="G69" s="14">
        <v>8.3740867508838234E-6</v>
      </c>
      <c r="H69" s="14">
        <v>0</v>
      </c>
      <c r="I69" s="14">
        <v>9.2877767042919024E-6</v>
      </c>
      <c r="J69" s="14">
        <v>1.6145447478086515E-5</v>
      </c>
      <c r="K69" s="14">
        <v>0</v>
      </c>
    </row>
    <row r="70" spans="1:11">
      <c r="A70" s="2" t="s">
        <v>417</v>
      </c>
      <c r="B70" s="3" t="s">
        <v>418</v>
      </c>
      <c r="D70" s="14">
        <v>4.4993449821737848E-7</v>
      </c>
      <c r="E70" s="14">
        <v>3.6291837530603432E-6</v>
      </c>
      <c r="F70" s="14">
        <v>9.6521376850374538E-6</v>
      </c>
      <c r="G70" s="14">
        <v>1.7640831987723367E-6</v>
      </c>
      <c r="H70" s="14">
        <v>0</v>
      </c>
      <c r="I70" s="14">
        <v>1.8878329149239964E-6</v>
      </c>
      <c r="J70" s="14">
        <v>2.2616827949988498E-5</v>
      </c>
      <c r="K70" s="14">
        <v>0</v>
      </c>
    </row>
    <row r="71" spans="1:11">
      <c r="A71" s="2" t="s">
        <v>419</v>
      </c>
      <c r="B71" s="3" t="s">
        <v>420</v>
      </c>
      <c r="D71" s="14">
        <v>1.0246118707169638E-6</v>
      </c>
      <c r="E71" s="14">
        <v>3.1052677120669559E-5</v>
      </c>
      <c r="F71" s="14">
        <v>1.6735303699565502E-7</v>
      </c>
      <c r="G71" s="14">
        <v>4.8298000690809863E-8</v>
      </c>
      <c r="H71" s="14">
        <v>0</v>
      </c>
      <c r="I71" s="14">
        <v>6.7967205252455872E-8</v>
      </c>
      <c r="J71" s="14">
        <v>7.6390927656745645E-6</v>
      </c>
      <c r="K71" s="14">
        <v>0</v>
      </c>
    </row>
    <row r="72" spans="1:11">
      <c r="A72" s="2" t="s">
        <v>421</v>
      </c>
      <c r="B72" s="3" t="s">
        <v>422</v>
      </c>
      <c r="D72" s="14">
        <v>1.759052020943438E-6</v>
      </c>
      <c r="E72" s="14">
        <v>3.9116352185915234E-6</v>
      </c>
      <c r="F72" s="14">
        <v>8.7327876147201938E-6</v>
      </c>
      <c r="G72" s="14">
        <v>1.6167707869856165E-6</v>
      </c>
      <c r="H72" s="14">
        <v>0</v>
      </c>
      <c r="I72" s="14">
        <v>1.7281625762143057E-6</v>
      </c>
      <c r="J72" s="14">
        <v>2.2251591782544925E-5</v>
      </c>
      <c r="K72" s="14">
        <v>0</v>
      </c>
    </row>
    <row r="73" spans="1:11">
      <c r="A73" s="2" t="s">
        <v>423</v>
      </c>
      <c r="B73" s="3" t="s">
        <v>424</v>
      </c>
      <c r="D73" s="14">
        <v>7.9929173273614817E-7</v>
      </c>
      <c r="E73" s="14">
        <v>1.6097001535677281E-5</v>
      </c>
      <c r="F73" s="14">
        <v>1.9759663110455324E-6</v>
      </c>
      <c r="G73" s="14">
        <v>4.5297589446800445E-7</v>
      </c>
      <c r="H73" s="14">
        <v>0</v>
      </c>
      <c r="I73" s="14">
        <v>4.8237470749319221E-7</v>
      </c>
      <c r="J73" s="14">
        <v>2.0192389818579847E-5</v>
      </c>
      <c r="K73" s="14">
        <v>0</v>
      </c>
    </row>
    <row r="74" spans="1:11">
      <c r="A74" s="2" t="s">
        <v>425</v>
      </c>
      <c r="B74" s="3" t="s">
        <v>426</v>
      </c>
      <c r="D74" s="14">
        <v>6.8243522900020871E-7</v>
      </c>
      <c r="E74" s="14">
        <v>3.7225548244198621E-6</v>
      </c>
      <c r="F74" s="14">
        <v>9.4175005228743201E-6</v>
      </c>
      <c r="G74" s="14">
        <v>1.7275523169548361E-6</v>
      </c>
      <c r="H74" s="14">
        <v>0</v>
      </c>
      <c r="I74" s="14">
        <v>1.8481148837729559E-6</v>
      </c>
      <c r="J74" s="14">
        <v>2.2601842222977818E-5</v>
      </c>
      <c r="K74" s="14">
        <v>0</v>
      </c>
    </row>
    <row r="75" spans="1:11">
      <c r="A75" s="2" t="s">
        <v>427</v>
      </c>
      <c r="B75" s="3" t="s">
        <v>428</v>
      </c>
      <c r="D75" s="14">
        <v>1.9389422521962262E-13</v>
      </c>
      <c r="E75" s="14">
        <v>1.5265975336567285E-6</v>
      </c>
      <c r="F75" s="14">
        <v>3.5037983743732413E-5</v>
      </c>
      <c r="G75" s="14">
        <v>1.3520393011102909E-8</v>
      </c>
      <c r="H75" s="14">
        <v>0</v>
      </c>
      <c r="I75" s="14">
        <v>3.3924605664352415E-6</v>
      </c>
      <c r="J75" s="14">
        <v>2.9437569270289021E-8</v>
      </c>
      <c r="K75" s="14">
        <v>0</v>
      </c>
    </row>
    <row r="76" spans="1:11">
      <c r="A76" s="2" t="s">
        <v>429</v>
      </c>
      <c r="B76" s="3" t="s">
        <v>430</v>
      </c>
      <c r="D76" s="14">
        <v>4.8704027577878809E-15</v>
      </c>
      <c r="E76" s="14">
        <v>1.5265975408708112E-6</v>
      </c>
      <c r="F76" s="14">
        <v>3.5037983909307757E-5</v>
      </c>
      <c r="G76" s="14">
        <v>1.3520393074994821E-8</v>
      </c>
      <c r="H76" s="14">
        <v>0</v>
      </c>
      <c r="I76" s="14">
        <v>3.3924605824666386E-6</v>
      </c>
      <c r="J76" s="14">
        <v>2.9437569409399072E-8</v>
      </c>
      <c r="K76" s="14">
        <v>0</v>
      </c>
    </row>
    <row r="77" spans="1:11">
      <c r="A77" s="2" t="s">
        <v>431</v>
      </c>
      <c r="B77" s="3" t="s">
        <v>432</v>
      </c>
      <c r="D77" s="14">
        <v>2.059095620046916E-6</v>
      </c>
      <c r="E77" s="14">
        <v>8.7974372805300406E-6</v>
      </c>
      <c r="F77" s="14">
        <v>4.380772797429643E-6</v>
      </c>
      <c r="G77" s="14">
        <v>9.0582913476835247E-7</v>
      </c>
      <c r="H77" s="14">
        <v>0</v>
      </c>
      <c r="I77" s="14">
        <v>9.6090211323811126E-7</v>
      </c>
      <c r="J77" s="14">
        <v>2.2895963053986937E-5</v>
      </c>
      <c r="K77" s="14">
        <v>0</v>
      </c>
    </row>
    <row r="78" spans="1:11">
      <c r="A78" s="2" t="s">
        <v>433</v>
      </c>
      <c r="B78" s="3" t="s">
        <v>434</v>
      </c>
      <c r="D78" s="14">
        <v>1.5476143760282207E-6</v>
      </c>
      <c r="E78" s="14">
        <v>2.4411947078543916E-5</v>
      </c>
      <c r="F78" s="14">
        <v>5.898437339815101E-7</v>
      </c>
      <c r="G78" s="14">
        <v>1.5241668987499469E-7</v>
      </c>
      <c r="H78" s="14">
        <v>0</v>
      </c>
      <c r="I78" s="14">
        <v>1.7179257625372597E-7</v>
      </c>
      <c r="J78" s="14">
        <v>1.312638554531763E-5</v>
      </c>
      <c r="K78" s="14">
        <v>0</v>
      </c>
    </row>
    <row r="79" spans="1:11">
      <c r="A79" s="2" t="s">
        <v>435</v>
      </c>
      <c r="B79" s="3" t="s">
        <v>436</v>
      </c>
      <c r="D79" s="14">
        <v>4.1978981731383852E-7</v>
      </c>
      <c r="E79" s="14">
        <v>1.9889852586111576E-5</v>
      </c>
      <c r="F79" s="14">
        <v>1.2744010327719409E-6</v>
      </c>
      <c r="G79" s="14">
        <v>3.0647966912797778E-7</v>
      </c>
      <c r="H79" s="14">
        <v>0</v>
      </c>
      <c r="I79" s="14">
        <v>3.3019152692300317E-7</v>
      </c>
      <c r="J79" s="14">
        <v>1.7779285367751673E-5</v>
      </c>
      <c r="K79" s="14">
        <v>0</v>
      </c>
    </row>
    <row r="80" spans="1:11">
      <c r="A80" s="2" t="s">
        <v>437</v>
      </c>
      <c r="B80" s="3" t="s">
        <v>438</v>
      </c>
      <c r="D80" s="14">
        <v>6.4941805322881358E-14</v>
      </c>
      <c r="E80" s="14">
        <v>9.6824227173027986E-7</v>
      </c>
      <c r="F80" s="14">
        <v>3.2809422762503821E-5</v>
      </c>
      <c r="G80" s="14">
        <v>2.4319172804585125E-8</v>
      </c>
      <c r="H80" s="14">
        <v>0</v>
      </c>
      <c r="I80" s="14">
        <v>6.1644526772975959E-6</v>
      </c>
      <c r="J80" s="14">
        <v>3.3563050721916993E-8</v>
      </c>
      <c r="K80" s="14">
        <v>0</v>
      </c>
    </row>
    <row r="81" spans="1:11">
      <c r="A81" s="2" t="s">
        <v>440</v>
      </c>
      <c r="B81" s="3" t="s">
        <v>441</v>
      </c>
      <c r="D81" s="14">
        <v>7.3744195964277905E-18</v>
      </c>
      <c r="E81" s="14">
        <v>3.8813920265017296E-5</v>
      </c>
      <c r="F81" s="14">
        <v>3.6408439054314329E-9</v>
      </c>
      <c r="G81" s="14">
        <v>1.4161120396048895E-9</v>
      </c>
      <c r="H81" s="14">
        <v>0</v>
      </c>
      <c r="I81" s="14">
        <v>2.4883262064600201E-8</v>
      </c>
      <c r="J81" s="14">
        <v>1.1561395169656964E-6</v>
      </c>
      <c r="K81" s="14">
        <v>0</v>
      </c>
    </row>
    <row r="82" spans="1:11">
      <c r="A82" s="2" t="s">
        <v>442</v>
      </c>
      <c r="B82" s="3" t="s">
        <v>443</v>
      </c>
      <c r="D82" s="14">
        <v>3.5056262094667633E-9</v>
      </c>
      <c r="E82" s="14">
        <v>3.0581956884691875E-5</v>
      </c>
      <c r="F82" s="14">
        <v>2.3390517051928944E-7</v>
      </c>
      <c r="G82" s="14">
        <v>6.5786287316160116E-8</v>
      </c>
      <c r="H82" s="14">
        <v>0</v>
      </c>
      <c r="I82" s="14">
        <v>8.5672329229344431E-8</v>
      </c>
      <c r="J82" s="14">
        <v>9.0291737020338656E-6</v>
      </c>
      <c r="K82" s="14">
        <v>0</v>
      </c>
    </row>
    <row r="83" spans="1:11">
      <c r="A83" s="2" t="s">
        <v>444</v>
      </c>
      <c r="B83" s="3" t="s">
        <v>445</v>
      </c>
      <c r="D83" s="14">
        <v>4.1759620562113023E-8</v>
      </c>
      <c r="E83" s="14">
        <v>1.0521949387067635E-5</v>
      </c>
      <c r="F83" s="14">
        <v>3.9795206149278274E-6</v>
      </c>
      <c r="G83" s="14">
        <v>8.3970417823322162E-7</v>
      </c>
      <c r="H83" s="14">
        <v>0</v>
      </c>
      <c r="I83" s="14">
        <v>8.9027847854032373E-7</v>
      </c>
      <c r="J83" s="14">
        <v>2.3726787720668888E-5</v>
      </c>
      <c r="K83" s="14">
        <v>0</v>
      </c>
    </row>
    <row r="84" spans="1:11">
      <c r="A84" s="2" t="s">
        <v>446</v>
      </c>
      <c r="B84" s="3" t="s">
        <v>447</v>
      </c>
      <c r="D84" s="14">
        <v>2.2700024277339094E-19</v>
      </c>
      <c r="E84" s="14">
        <v>3.7462433597939578E-5</v>
      </c>
      <c r="F84" s="14">
        <v>1.6356882598965082E-8</v>
      </c>
      <c r="G84" s="14">
        <v>5.680624622767497E-9</v>
      </c>
      <c r="H84" s="14">
        <v>0</v>
      </c>
      <c r="I84" s="14">
        <v>2.8340271798031431E-8</v>
      </c>
      <c r="J84" s="14">
        <v>2.4871886230404378E-6</v>
      </c>
      <c r="K84" s="14">
        <v>0</v>
      </c>
    </row>
    <row r="85" spans="1:11">
      <c r="A85" s="2" t="s">
        <v>448</v>
      </c>
      <c r="B85" s="3" t="s">
        <v>449</v>
      </c>
      <c r="D85" s="14">
        <v>1.5891007360684963E-12</v>
      </c>
      <c r="E85" s="14">
        <v>3.9493088034906428E-5</v>
      </c>
      <c r="F85" s="14">
        <v>6.6807565126113992E-10</v>
      </c>
      <c r="G85" s="14">
        <v>2.9479573708230904E-10</v>
      </c>
      <c r="H85" s="14">
        <v>0</v>
      </c>
      <c r="I85" s="14">
        <v>2.4184075250264842E-8</v>
      </c>
      <c r="J85" s="14">
        <v>4.8176342935422483E-7</v>
      </c>
      <c r="K85" s="14">
        <v>0</v>
      </c>
    </row>
    <row r="86" spans="1:11">
      <c r="A86" s="2" t="s">
        <v>450</v>
      </c>
      <c r="B86" s="3" t="s">
        <v>451</v>
      </c>
      <c r="D86" s="14">
        <v>5.7097348576157274E-13</v>
      </c>
      <c r="E86" s="14">
        <v>3.7523695747800125E-5</v>
      </c>
      <c r="F86" s="14">
        <v>1.5584402502408217E-8</v>
      </c>
      <c r="G86" s="14">
        <v>5.4323245881975773E-9</v>
      </c>
      <c r="H86" s="14">
        <v>0</v>
      </c>
      <c r="I86" s="14">
        <v>2.8127311912057745E-8</v>
      </c>
      <c r="J86" s="14">
        <v>2.4271596422237223E-6</v>
      </c>
      <c r="K86" s="14">
        <v>0</v>
      </c>
    </row>
    <row r="87" spans="1:11">
      <c r="A87" s="2" t="s">
        <v>452</v>
      </c>
      <c r="B87" s="3" t="s">
        <v>453</v>
      </c>
      <c r="D87" s="14">
        <v>7.9302055838645799E-12</v>
      </c>
      <c r="E87" s="14">
        <v>8.5393361664736914E-8</v>
      </c>
      <c r="F87" s="14">
        <v>3.5007303606800216E-6</v>
      </c>
      <c r="G87" s="14">
        <v>1.1288967336206748E-5</v>
      </c>
      <c r="H87" s="14">
        <v>0</v>
      </c>
      <c r="I87" s="14">
        <v>1.2657760707785559E-5</v>
      </c>
      <c r="J87" s="14">
        <v>1.2467140303457352E-5</v>
      </c>
      <c r="K87" s="14">
        <v>0</v>
      </c>
    </row>
    <row r="88" spans="1:11">
      <c r="A88" s="2" t="s">
        <v>454</v>
      </c>
      <c r="B88" s="3" t="s">
        <v>455</v>
      </c>
      <c r="D88" s="14">
        <v>1.7969057105121339E-9</v>
      </c>
      <c r="E88" s="14">
        <v>2.712095345463345E-5</v>
      </c>
      <c r="F88" s="14">
        <v>4.6174213186745169E-7</v>
      </c>
      <c r="G88" s="14">
        <v>1.2243203245168361E-7</v>
      </c>
      <c r="H88" s="14">
        <v>0</v>
      </c>
      <c r="I88" s="14">
        <v>1.4219665580116802E-7</v>
      </c>
      <c r="J88" s="14">
        <v>1.2150878819535734E-5</v>
      </c>
      <c r="K88" s="14">
        <v>0</v>
      </c>
    </row>
    <row r="89" spans="1:11">
      <c r="A89" s="2" t="s">
        <v>456</v>
      </c>
      <c r="B89" s="3" t="s">
        <v>457</v>
      </c>
      <c r="D89" s="14">
        <v>1.1658595016173287E-21</v>
      </c>
      <c r="E89" s="14">
        <v>2.9990650172602971E-5</v>
      </c>
      <c r="F89" s="14">
        <v>2.6651424786965913E-7</v>
      </c>
      <c r="G89" s="14">
        <v>7.4133753009351559E-8</v>
      </c>
      <c r="H89" s="14">
        <v>0</v>
      </c>
      <c r="I89" s="14">
        <v>9.3925941308078444E-8</v>
      </c>
      <c r="J89" s="14">
        <v>9.5747758852099455E-6</v>
      </c>
      <c r="K89" s="14">
        <v>0</v>
      </c>
    </row>
    <row r="90" spans="1:11">
      <c r="A90" s="2" t="s">
        <v>458</v>
      </c>
      <c r="B90" s="3" t="s">
        <v>459</v>
      </c>
      <c r="D90" s="14">
        <v>1.7038862119078554E-33</v>
      </c>
      <c r="E90" s="14">
        <v>3.5135023881171605E-5</v>
      </c>
      <c r="F90" s="14">
        <v>5.9939732915644839E-8</v>
      </c>
      <c r="G90" s="14">
        <v>1.8828267455057394E-8</v>
      </c>
      <c r="H90" s="14">
        <v>0</v>
      </c>
      <c r="I90" s="14">
        <v>4.0259966493035333E-8</v>
      </c>
      <c r="J90" s="14">
        <v>4.7459481519646566E-6</v>
      </c>
      <c r="K90" s="14">
        <v>0</v>
      </c>
    </row>
    <row r="91" spans="1:11">
      <c r="A91" s="2" t="s">
        <v>460</v>
      </c>
      <c r="B91" s="3" t="s">
        <v>461</v>
      </c>
      <c r="D91" s="14">
        <v>8.2132538234789119E-12</v>
      </c>
      <c r="E91" s="14">
        <v>5.5375149156467526E-7</v>
      </c>
      <c r="F91" s="14">
        <v>8.6833930460318291E-6</v>
      </c>
      <c r="G91" s="14">
        <v>5.5960941788286019E-6</v>
      </c>
      <c r="H91" s="14">
        <v>0</v>
      </c>
      <c r="I91" s="14">
        <v>6.1385557944494733E-6</v>
      </c>
      <c r="J91" s="14">
        <v>1.9028197275871608E-5</v>
      </c>
      <c r="K91" s="14">
        <v>0</v>
      </c>
    </row>
    <row r="92" spans="1:11">
      <c r="A92" s="2" t="s">
        <v>462</v>
      </c>
      <c r="B92" s="3" t="s">
        <v>463</v>
      </c>
      <c r="D92" s="14">
        <v>3.2212006501111797E-13</v>
      </c>
      <c r="E92" s="14">
        <v>1.2897259630804772E-5</v>
      </c>
      <c r="F92" s="14">
        <v>3.033136763238244E-6</v>
      </c>
      <c r="G92" s="14">
        <v>6.6280770496094768E-7</v>
      </c>
      <c r="H92" s="14">
        <v>0</v>
      </c>
      <c r="I92" s="14">
        <v>7.0291054960313766E-7</v>
      </c>
      <c r="J92" s="14">
        <v>2.2703885029272835E-5</v>
      </c>
      <c r="K92" s="14">
        <v>0</v>
      </c>
    </row>
    <row r="93" spans="1:11">
      <c r="A93" s="2" t="s">
        <v>464</v>
      </c>
      <c r="B93" s="3" t="s">
        <v>465</v>
      </c>
      <c r="D93" s="14">
        <v>2.4660252651775218E-8</v>
      </c>
      <c r="E93" s="14">
        <v>4.8955014807478406E-6</v>
      </c>
      <c r="F93" s="14">
        <v>8.096023062768104E-6</v>
      </c>
      <c r="G93" s="14">
        <v>1.5323828824175183E-6</v>
      </c>
      <c r="H93" s="14">
        <v>0</v>
      </c>
      <c r="I93" s="14">
        <v>1.63482355638609E-6</v>
      </c>
      <c r="J93" s="14">
        <v>2.3816608765028672E-5</v>
      </c>
      <c r="K93" s="14">
        <v>0</v>
      </c>
    </row>
    <row r="94" spans="1:11">
      <c r="A94" s="2" t="s">
        <v>466</v>
      </c>
      <c r="B94" s="3" t="s">
        <v>467</v>
      </c>
      <c r="D94" s="14">
        <v>8.0690145362936231E-23</v>
      </c>
      <c r="E94" s="14">
        <v>3.9497738603033272E-5</v>
      </c>
      <c r="F94" s="14">
        <v>4.6213278714642819E-7</v>
      </c>
      <c r="G94" s="14">
        <v>6.0730278988601819E-11</v>
      </c>
      <c r="H94" s="14">
        <v>0</v>
      </c>
      <c r="I94" s="14">
        <v>3.3051421914785684E-8</v>
      </c>
      <c r="J94" s="14">
        <v>7.0164576265376424E-9</v>
      </c>
      <c r="K94" s="14">
        <v>0</v>
      </c>
    </row>
    <row r="95" spans="1:11">
      <c r="A95" s="2" t="s">
        <v>468</v>
      </c>
      <c r="B95" s="3" t="s">
        <v>469</v>
      </c>
      <c r="D95" s="14">
        <v>3.5280808888474882E-22</v>
      </c>
      <c r="E95" s="14">
        <v>1.38133239884908E-6</v>
      </c>
      <c r="F95" s="14">
        <v>1.2232430265007074E-5</v>
      </c>
      <c r="G95" s="14">
        <v>3.026274399396921E-6</v>
      </c>
      <c r="H95" s="14">
        <v>0</v>
      </c>
      <c r="I95" s="14">
        <v>3.2773168639543412E-6</v>
      </c>
      <c r="J95" s="14">
        <v>2.0082646072792581E-5</v>
      </c>
      <c r="K95" s="14">
        <v>0</v>
      </c>
    </row>
    <row r="96" spans="1:11">
      <c r="A96" s="2" t="s">
        <v>470</v>
      </c>
      <c r="B96" s="163">
        <v>354656</v>
      </c>
      <c r="D96" s="14">
        <v>1.470287788252934E-14</v>
      </c>
      <c r="E96" s="14">
        <v>3.876876929346961E-5</v>
      </c>
      <c r="F96" s="14">
        <v>3.9199142346582122E-9</v>
      </c>
      <c r="G96" s="14">
        <v>1.5162545614588387E-9</v>
      </c>
      <c r="H96" s="14">
        <v>0</v>
      </c>
      <c r="I96" s="14">
        <v>2.4955614899523633E-8</v>
      </c>
      <c r="J96" s="14">
        <v>1.2008389081318755E-6</v>
      </c>
      <c r="K96" s="14">
        <v>0</v>
      </c>
    </row>
    <row r="97" spans="1:11">
      <c r="A97" s="2" t="s">
        <v>472</v>
      </c>
      <c r="B97" s="3" t="s">
        <v>473</v>
      </c>
      <c r="D97" s="14">
        <v>2.2684271353058723E-14</v>
      </c>
      <c r="E97" s="14">
        <v>3.7431264464517866E-5</v>
      </c>
      <c r="F97" s="14">
        <v>1.6757107225634771E-8</v>
      </c>
      <c r="G97" s="14">
        <v>5.8089094141236294E-9</v>
      </c>
      <c r="H97" s="14">
        <v>0</v>
      </c>
      <c r="I97" s="14">
        <v>2.8450628093412883E-8</v>
      </c>
      <c r="J97" s="14">
        <v>2.5177188680646988E-6</v>
      </c>
      <c r="K97" s="14">
        <v>0</v>
      </c>
    </row>
    <row r="98" spans="1:11">
      <c r="A98" s="2" t="s">
        <v>474</v>
      </c>
      <c r="B98" s="3" t="s">
        <v>475</v>
      </c>
      <c r="D98" s="14">
        <v>7.3131923908784546E-24</v>
      </c>
      <c r="E98" s="14">
        <v>2.8831461857908794E-6</v>
      </c>
      <c r="F98" s="14">
        <v>1.1157867853696051E-5</v>
      </c>
      <c r="G98" s="14">
        <v>1.9837035429339001E-6</v>
      </c>
      <c r="H98" s="14">
        <v>0</v>
      </c>
      <c r="I98" s="14">
        <v>2.1284036082094808E-6</v>
      </c>
      <c r="J98" s="14">
        <v>2.1846878809369701E-5</v>
      </c>
      <c r="K98" s="14">
        <v>0</v>
      </c>
    </row>
    <row r="99" spans="1:11">
      <c r="A99" s="2" t="s">
        <v>476</v>
      </c>
      <c r="B99" s="3" t="s">
        <v>477</v>
      </c>
      <c r="D99" s="14">
        <v>6.9354401268153628E-12</v>
      </c>
      <c r="E99" s="14">
        <v>3.9641829688251502E-5</v>
      </c>
      <c r="F99" s="14">
        <v>3.2881244139772398E-10</v>
      </c>
      <c r="G99" s="14">
        <v>1.5291278462204444E-10</v>
      </c>
      <c r="H99" s="14">
        <v>0</v>
      </c>
      <c r="I99" s="14">
        <v>2.4135120493550782E-8</v>
      </c>
      <c r="J99" s="14">
        <v>3.3354653058880778E-7</v>
      </c>
      <c r="K99" s="14">
        <v>0</v>
      </c>
    </row>
    <row r="100" spans="1:11">
      <c r="A100" s="2" t="s">
        <v>478</v>
      </c>
      <c r="B100" s="3" t="s">
        <v>479</v>
      </c>
      <c r="D100" s="14">
        <v>2.6519766139621663E-15</v>
      </c>
      <c r="E100" s="14">
        <v>2.1365317669595317E-5</v>
      </c>
      <c r="F100" s="14">
        <v>1.09305975607933E-6</v>
      </c>
      <c r="G100" s="14">
        <v>2.6726338231098419E-7</v>
      </c>
      <c r="H100" s="14">
        <v>0</v>
      </c>
      <c r="I100" s="14">
        <v>2.8988560946171953E-7</v>
      </c>
      <c r="J100" s="14">
        <v>1.6984473579900669E-5</v>
      </c>
      <c r="K100" s="14">
        <v>0</v>
      </c>
    </row>
    <row r="101" spans="1:11">
      <c r="A101" s="2" t="s">
        <v>480</v>
      </c>
      <c r="B101" s="3" t="s">
        <v>481</v>
      </c>
      <c r="D101" s="14">
        <v>1.8663460752470621E-15</v>
      </c>
      <c r="E101" s="14">
        <v>3.9415935836980352E-5</v>
      </c>
      <c r="F101" s="14">
        <v>8.8892760414510205E-10</v>
      </c>
      <c r="G101" s="14">
        <v>3.8402716662641896E-10</v>
      </c>
      <c r="H101" s="14">
        <v>0</v>
      </c>
      <c r="I101" s="14">
        <v>2.4225100895801699E-8</v>
      </c>
      <c r="J101" s="14">
        <v>5.5856610548673458E-7</v>
      </c>
      <c r="K101" s="14">
        <v>0</v>
      </c>
    </row>
    <row r="102" spans="1:11">
      <c r="A102" s="2" t="s">
        <v>482</v>
      </c>
      <c r="B102" s="3" t="s">
        <v>483</v>
      </c>
      <c r="D102" s="14">
        <v>1.1727726666326216E-31</v>
      </c>
      <c r="E102" s="14">
        <v>3.9833961564401009E-5</v>
      </c>
      <c r="F102" s="14">
        <v>6.3429027144485817E-11</v>
      </c>
      <c r="G102" s="14">
        <v>3.3310688231999478E-11</v>
      </c>
      <c r="H102" s="14">
        <v>0</v>
      </c>
      <c r="I102" s="14">
        <v>2.4135163823827831E-8</v>
      </c>
      <c r="J102" s="14">
        <v>1.4180653205978911E-7</v>
      </c>
      <c r="K102" s="14">
        <v>0</v>
      </c>
    </row>
    <row r="103" spans="1:11">
      <c r="A103" s="2" t="s">
        <v>484</v>
      </c>
      <c r="B103" s="3" t="s">
        <v>485</v>
      </c>
      <c r="D103" s="14">
        <v>9.3549314472455327E-18</v>
      </c>
      <c r="E103" s="14">
        <v>3.9652472613885797E-5</v>
      </c>
      <c r="F103" s="14">
        <v>3.0896894094762597E-10</v>
      </c>
      <c r="G103" s="14">
        <v>1.443478699342578E-10</v>
      </c>
      <c r="H103" s="14">
        <v>0</v>
      </c>
      <c r="I103" s="14">
        <v>2.4133199863897108E-8</v>
      </c>
      <c r="J103" s="14">
        <v>3.2294086943006762E-7</v>
      </c>
      <c r="K103" s="14">
        <v>0</v>
      </c>
    </row>
    <row r="104" spans="1:11">
      <c r="A104" s="2" t="s">
        <v>486</v>
      </c>
      <c r="B104" s="3" t="s">
        <v>487</v>
      </c>
      <c r="D104" s="14">
        <v>1.1543595969876778E-13</v>
      </c>
      <c r="E104" s="14">
        <v>3.8145277827715303E-5</v>
      </c>
      <c r="F104" s="14">
        <v>8.8026884795128036E-9</v>
      </c>
      <c r="G104" s="14">
        <v>3.204135606415949E-9</v>
      </c>
      <c r="H104" s="14">
        <v>0</v>
      </c>
      <c r="I104" s="14">
        <v>2.6264936555748081E-8</v>
      </c>
      <c r="J104" s="14">
        <v>1.8164502962070648E-6</v>
      </c>
      <c r="K104" s="14">
        <v>0</v>
      </c>
    </row>
    <row r="105" spans="1:11">
      <c r="A105" s="2" t="s">
        <v>488</v>
      </c>
      <c r="B105" s="3" t="s">
        <v>489</v>
      </c>
      <c r="D105" s="14">
        <v>9.3270693363582018E-21</v>
      </c>
      <c r="E105" s="14">
        <v>3.9805663722569265E-5</v>
      </c>
      <c r="F105" s="14">
        <v>8.9953780487845012E-11</v>
      </c>
      <c r="G105" s="14">
        <v>4.6037843847274444E-11</v>
      </c>
      <c r="H105" s="14">
        <v>0</v>
      </c>
      <c r="I105" s="14">
        <v>2.4130327169761526E-8</v>
      </c>
      <c r="J105" s="14">
        <v>1.7006995863663943E-7</v>
      </c>
      <c r="K105" s="14">
        <v>0</v>
      </c>
    </row>
    <row r="106" spans="1:11">
      <c r="A106" s="2" t="s">
        <v>490</v>
      </c>
      <c r="B106" s="3" t="s">
        <v>491</v>
      </c>
      <c r="D106" s="14">
        <v>5.2109752556254861E-13</v>
      </c>
      <c r="E106" s="14">
        <v>3.3885872734452027E-5</v>
      </c>
      <c r="F106" s="14">
        <v>9.5322017533494458E-8</v>
      </c>
      <c r="G106" s="14">
        <v>2.8859498581172665E-8</v>
      </c>
      <c r="H106" s="14">
        <v>0</v>
      </c>
      <c r="I106" s="14">
        <v>4.9740519214413279E-8</v>
      </c>
      <c r="J106" s="14">
        <v>5.9402047091213726E-6</v>
      </c>
      <c r="K106" s="14">
        <v>0</v>
      </c>
    </row>
    <row r="107" spans="1:11">
      <c r="A107" s="2" t="s">
        <v>492</v>
      </c>
      <c r="B107" s="3" t="s">
        <v>493</v>
      </c>
      <c r="D107" s="14">
        <v>3.7150780993605048E-20</v>
      </c>
      <c r="E107" s="14">
        <v>2.3171151274821512E-6</v>
      </c>
      <c r="F107" s="14">
        <v>1.2412011318288665E-5</v>
      </c>
      <c r="G107" s="14">
        <v>2.1544564429931517E-6</v>
      </c>
      <c r="H107" s="14">
        <v>0</v>
      </c>
      <c r="I107" s="14">
        <v>2.3170390553071349E-6</v>
      </c>
      <c r="J107" s="14">
        <v>2.0799378055928863E-5</v>
      </c>
      <c r="K107" s="14">
        <v>0</v>
      </c>
    </row>
    <row r="108" spans="1:11">
      <c r="A108" s="2" t="s">
        <v>291</v>
      </c>
      <c r="B108" s="3" t="s">
        <v>494</v>
      </c>
      <c r="D108" s="14">
        <v>1.446119070677976E-14</v>
      </c>
      <c r="E108" s="14">
        <v>2.3290763094227136E-5</v>
      </c>
      <c r="F108" s="14">
        <v>8.3961128714229078E-7</v>
      </c>
      <c r="G108" s="14">
        <v>2.1065599527448691E-7</v>
      </c>
      <c r="H108" s="14">
        <v>0</v>
      </c>
      <c r="I108" s="14">
        <v>2.3179289671513889E-7</v>
      </c>
      <c r="J108" s="14">
        <v>1.5427176712179754E-5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8FD8F-6897-4818-841D-CE5FFD4E96EC}">
  <dimension ref="A1:D108"/>
  <sheetViews>
    <sheetView tabSelected="1" topLeftCell="A76" workbookViewId="0">
      <selection activeCell="A84" sqref="A84:D108"/>
    </sheetView>
  </sheetViews>
  <sheetFormatPr defaultRowHeight="15"/>
  <cols>
    <col min="1" max="1" width="13.5" bestFit="1" customWidth="1"/>
    <col min="2" max="2" width="12.3554687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6.503930896783182E-8</v>
      </c>
      <c r="B2">
        <f>'Mass Balance'!E2</f>
        <v>3.229042252651595E-5</v>
      </c>
      <c r="C2">
        <f>SUM('Mass Balance'!E2:H2)</f>
        <v>3.2488723704580636E-5</v>
      </c>
      <c r="D2">
        <f>Concentrations!F2/Concentrations!E2</f>
        <v>0.99428391917831205</v>
      </c>
    </row>
    <row r="3" spans="1:4">
      <c r="A3">
        <f>'Mass Balance'!I3</f>
        <v>1.1776760455592488E-5</v>
      </c>
      <c r="B3">
        <f>'Mass Balance'!E3</f>
        <v>1.0515885817379386E-7</v>
      </c>
      <c r="C3">
        <f>SUM('Mass Balance'!E3:H3)</f>
        <v>1.4519024263933076E-5</v>
      </c>
      <c r="D3">
        <f>Concentrations!F3/Concentrations!E3</f>
        <v>7.2456569655418761E-3</v>
      </c>
    </row>
    <row r="4" spans="1:4">
      <c r="A4">
        <f>'Mass Balance'!I4</f>
        <v>3.5490593387915753E-7</v>
      </c>
      <c r="B4">
        <f>'Mass Balance'!E4</f>
        <v>1.953499098971924E-5</v>
      </c>
      <c r="C4">
        <f>SUM('Mass Balance'!E4:H4)</f>
        <v>2.1248562433038426E-5</v>
      </c>
      <c r="D4">
        <f>Concentrations!F4/Concentrations!E4</f>
        <v>0.91971442972599582</v>
      </c>
    </row>
    <row r="5" spans="1:4">
      <c r="A5">
        <f>'Mass Balance'!I5</f>
        <v>3.6702972312447257E-6</v>
      </c>
      <c r="B5">
        <f>'Mass Balance'!E5</f>
        <v>1.1964758388915525E-6</v>
      </c>
      <c r="C5">
        <f>SUM('Mass Balance'!E5:H5)</f>
        <v>1.6232572338857954E-5</v>
      </c>
      <c r="D5">
        <f>Concentrations!F5/Concentrations!E5</f>
        <v>7.3737078138436107E-2</v>
      </c>
    </row>
    <row r="6" spans="1:4">
      <c r="A6">
        <f>'Mass Balance'!I6</f>
        <v>1.4281415248849572E-5</v>
      </c>
      <c r="B6">
        <f>'Mass Balance'!E6</f>
        <v>4.8932839436481058E-8</v>
      </c>
      <c r="C6">
        <f>SUM('Mass Balance'!E6:H6)</f>
        <v>1.5291468297337885E-5</v>
      </c>
      <c r="D6">
        <f>Concentrations!F6/Concentrations!E6</f>
        <v>3.2012571914110171E-3</v>
      </c>
    </row>
    <row r="7" spans="1:4">
      <c r="A7">
        <f>'Mass Balance'!I7</f>
        <v>1.2304265715658197E-5</v>
      </c>
      <c r="B7">
        <f>'Mass Balance'!E7</f>
        <v>9.5499125770636998E-8</v>
      </c>
      <c r="C7">
        <f>SUM('Mass Balance'!E7:H7)</f>
        <v>1.4799096370363272E-5</v>
      </c>
      <c r="D7">
        <f>Concentrations!F7/Concentrations!E7</f>
        <v>6.4555542634555894E-3</v>
      </c>
    </row>
    <row r="8" spans="1:4">
      <c r="A8">
        <f>'Mass Balance'!I8</f>
        <v>9.6318595933844737E-6</v>
      </c>
      <c r="B8">
        <f>'Mass Balance'!E8</f>
        <v>2.0896642259486472E-7</v>
      </c>
      <c r="C8">
        <f>SUM('Mass Balance'!E8:H8)</f>
        <v>1.4441332739011941E-5</v>
      </c>
      <c r="D8">
        <f>Concentrations!F8/Concentrations!E8</f>
        <v>1.4475666589305134E-2</v>
      </c>
    </row>
    <row r="9" spans="1:4">
      <c r="A9">
        <f>'Mass Balance'!I9</f>
        <v>1.3605838455396367E-6</v>
      </c>
      <c r="B9">
        <f>'Mass Balance'!E9</f>
        <v>6.4936753778851944E-6</v>
      </c>
      <c r="C9">
        <f>SUM('Mass Balance'!E9:H9)</f>
        <v>1.4285407080364407E-5</v>
      </c>
      <c r="D9">
        <f>Concentrations!F9/Concentrations!E9</f>
        <v>0.4547443291613536</v>
      </c>
    </row>
    <row r="10" spans="1:4">
      <c r="A10">
        <f>'Mass Balance'!I10</f>
        <v>3.9015159470050155E-6</v>
      </c>
      <c r="B10">
        <f>'Mass Balance'!E10</f>
        <v>1.105536875181417E-6</v>
      </c>
      <c r="C10">
        <f>SUM('Mass Balance'!E10:H10)</f>
        <v>1.6038910870568324E-5</v>
      </c>
      <c r="D10">
        <f>Concentrations!F10/Concentrations!E10</f>
        <v>6.895530717026728E-2</v>
      </c>
    </row>
    <row r="11" spans="1:4">
      <c r="A11">
        <f>'Mass Balance'!I11</f>
        <v>4.3043578445714878E-6</v>
      </c>
      <c r="B11">
        <f>'Mass Balance'!E11</f>
        <v>9.6562109792187286E-7</v>
      </c>
      <c r="C11">
        <f>SUM('Mass Balance'!E11:H11)</f>
        <v>1.5722546195804544E-5</v>
      </c>
      <c r="D11">
        <f>Concentrations!F11/Concentrations!E11</f>
        <v>6.1440282663387712E-2</v>
      </c>
    </row>
    <row r="12" spans="1:4">
      <c r="A12">
        <f>'Mass Balance'!I12</f>
        <v>1.6497185332078833E-6</v>
      </c>
      <c r="B12">
        <f>'Mass Balance'!E12</f>
        <v>4.8262401150944785E-6</v>
      </c>
      <c r="C12">
        <f>SUM('Mass Balance'!E12:H12)</f>
        <v>1.4555927978531832E-5</v>
      </c>
      <c r="D12">
        <f>Concentrations!F12/Concentrations!E12</f>
        <v>0.33169457264537161</v>
      </c>
    </row>
    <row r="13" spans="1:4">
      <c r="A13">
        <f>'Mass Balance'!I13</f>
        <v>1.3870083668537229E-6</v>
      </c>
      <c r="B13">
        <f>'Mass Balance'!E13</f>
        <v>6.3184552692758854E-6</v>
      </c>
      <c r="C13">
        <f>SUM('Mass Balance'!E13:H13)</f>
        <v>1.4283938056658625E-5</v>
      </c>
      <c r="D13">
        <f>Concentrations!F13/Concentrations!E13</f>
        <v>0.44251938025974868</v>
      </c>
    </row>
    <row r="14" spans="1:4">
      <c r="A14">
        <f>'Mass Balance'!I14</f>
        <v>5.7296409795261276E-6</v>
      </c>
      <c r="B14">
        <f>'Mass Balance'!E14</f>
        <v>6.2307127066471406E-7</v>
      </c>
      <c r="C14">
        <f>SUM('Mass Balance'!E14:H14)</f>
        <v>1.497117750078521E-5</v>
      </c>
      <c r="D14">
        <f>Concentrations!F14/Concentrations!E14</f>
        <v>4.163428450865031E-2</v>
      </c>
    </row>
    <row r="15" spans="1:4">
      <c r="A15">
        <f>'Mass Balance'!I15</f>
        <v>4.10023594399721E-6</v>
      </c>
      <c r="B15">
        <f>'Mass Balance'!E15</f>
        <v>1.0337807665611755E-6</v>
      </c>
      <c r="C15">
        <f>SUM('Mass Balance'!E15:H15)</f>
        <v>1.5879421356790532E-5</v>
      </c>
      <c r="D15">
        <f>Concentrations!F15/Concentrations!E15</f>
        <v>6.5127305938216626E-2</v>
      </c>
    </row>
    <row r="16" spans="1:4">
      <c r="A16">
        <f>'Mass Balance'!I16</f>
        <v>9.5003816570351404E-6</v>
      </c>
      <c r="B16">
        <f>'Mass Balance'!E16</f>
        <v>2.159728320467483E-7</v>
      </c>
      <c r="C16">
        <f>SUM('Mass Balance'!E16:H16)</f>
        <v>1.4421018455535839E-5</v>
      </c>
      <c r="D16">
        <f>Concentrations!F16/Concentrations!E16</f>
        <v>1.4982094392090271E-2</v>
      </c>
    </row>
    <row r="17" spans="1:4">
      <c r="A17">
        <f>'Mass Balance'!I17</f>
        <v>3.7470480756390676E-6</v>
      </c>
      <c r="B17">
        <f>'Mass Balance'!E17</f>
        <v>1.1657476067197656E-6</v>
      </c>
      <c r="C17">
        <f>SUM('Mass Balance'!E17:H17)</f>
        <v>1.6170257032140034E-5</v>
      </c>
      <c r="D17">
        <f>Concentrations!F17/Concentrations!E17</f>
        <v>7.2120204192343509E-2</v>
      </c>
    </row>
    <row r="18" spans="1:4">
      <c r="A18">
        <f>'Mass Balance'!I18</f>
        <v>1.234108059249475E-6</v>
      </c>
      <c r="B18">
        <f>'Mass Balance'!E18</f>
        <v>7.2632839927431722E-6</v>
      </c>
      <c r="C18">
        <f>SUM('Mass Balance'!E18:H18)</f>
        <v>1.4241212270226154E-5</v>
      </c>
      <c r="D18">
        <f>Concentrations!F18/Concentrations!E18</f>
        <v>0.51021756278682495</v>
      </c>
    </row>
    <row r="19" spans="1:4">
      <c r="A19">
        <f>'Mass Balance'!I19</f>
        <v>4.1407982597847734E-6</v>
      </c>
      <c r="B19">
        <f>'Mass Balance'!E19</f>
        <v>1.0199044851927661E-6</v>
      </c>
      <c r="C19">
        <f>SUM('Mass Balance'!E19:H19)</f>
        <v>1.5848451585172165E-5</v>
      </c>
      <c r="D19">
        <f>Concentrations!F19/Concentrations!E19</f>
        <v>6.4378670328433418E-2</v>
      </c>
    </row>
    <row r="20" spans="1:4">
      <c r="A20">
        <f>'Mass Balance'!I20</f>
        <v>1.387521980569024E-6</v>
      </c>
      <c r="B20">
        <f>'Mass Balance'!E20</f>
        <v>6.3207950138393437E-6</v>
      </c>
      <c r="C20">
        <f>SUM('Mass Balance'!E20:H20)</f>
        <v>1.4289227445439352E-5</v>
      </c>
      <c r="D20">
        <f>Concentrations!F20/Concentrations!E20</f>
        <v>0.44251938025974874</v>
      </c>
    </row>
    <row r="21" spans="1:4">
      <c r="A21">
        <f>'Mass Balance'!I21</f>
        <v>5.2813368090854815E-6</v>
      </c>
      <c r="B21">
        <f>'Mass Balance'!E21</f>
        <v>7.0869534174272351E-7</v>
      </c>
      <c r="C21">
        <f>SUM('Mass Balance'!E21:H21)</f>
        <v>1.5131500590791439E-5</v>
      </c>
      <c r="D21">
        <f>Concentrations!F21/Concentrations!E21</f>
        <v>4.685402634239362E-2</v>
      </c>
    </row>
    <row r="22" spans="1:4">
      <c r="A22">
        <f>'Mass Balance'!I22</f>
        <v>1.6431789757009968E-7</v>
      </c>
      <c r="B22">
        <f>'Mass Balance'!E22</f>
        <v>2.5966020715340347E-5</v>
      </c>
      <c r="C22">
        <f>SUM('Mass Balance'!E22:H22)</f>
        <v>2.6664066101667021E-5</v>
      </c>
      <c r="D22">
        <f>Concentrations!F22/Concentrations!E22</f>
        <v>0.97420052731428086</v>
      </c>
    </row>
    <row r="23" spans="1:4">
      <c r="A23">
        <f>'Mass Balance'!I23</f>
        <v>8.8317621513564796E-8</v>
      </c>
      <c r="B23">
        <f>'Mass Balance'!E23</f>
        <v>3.0386833999622384E-5</v>
      </c>
      <c r="C23">
        <f>SUM('Mass Balance'!E23:H23)</f>
        <v>3.06996318999582E-5</v>
      </c>
      <c r="D23">
        <f>Concentrations!F23/Concentrations!E23</f>
        <v>0.99019703955724414</v>
      </c>
    </row>
    <row r="24" spans="1:4">
      <c r="A24">
        <f>'Mass Balance'!I24</f>
        <v>7.1200688692186155E-7</v>
      </c>
      <c r="B24">
        <f>'Mass Balance'!E24</f>
        <v>1.2765791545213159E-5</v>
      </c>
      <c r="C24">
        <f>SUM('Mass Balance'!E24:H24)</f>
        <v>1.6515455816113719E-5</v>
      </c>
      <c r="D24">
        <f>Concentrations!F24/Concentrations!E24</f>
        <v>0.77326174005864801</v>
      </c>
    </row>
    <row r="25" spans="1:4">
      <c r="A25">
        <f>'Mass Balance'!I25</f>
        <v>1.9424299420547605E-6</v>
      </c>
      <c r="B25">
        <f>'Mass Balance'!E25</f>
        <v>3.0267558810093046E-6</v>
      </c>
      <c r="C25">
        <f>SUM('Mass Balance'!E25:H25)</f>
        <v>1.4920702714777678E-5</v>
      </c>
      <c r="D25">
        <f>Concentrations!F25/Concentrations!E25</f>
        <v>0.20293523365319427</v>
      </c>
    </row>
    <row r="26" spans="1:4">
      <c r="A26">
        <f>'Mass Balance'!I26</f>
        <v>5.0020756508529481E-6</v>
      </c>
      <c r="B26">
        <f>'Mass Balance'!E26</f>
        <v>7.7220971077760627E-7</v>
      </c>
      <c r="C26">
        <f>SUM('Mass Balance'!E26:H26)</f>
        <v>1.5275540116461375E-5</v>
      </c>
      <c r="D26">
        <f>Concentrations!F26/Concentrations!E26</f>
        <v>5.0571754617127311E-2</v>
      </c>
    </row>
    <row r="27" spans="1:4">
      <c r="A27">
        <f>'Mass Balance'!I27</f>
        <v>1.1532108661489224E-5</v>
      </c>
      <c r="B27">
        <f>'Mass Balance'!E27</f>
        <v>1.1573345199319938E-7</v>
      </c>
      <c r="C27">
        <f>SUM('Mass Balance'!E27:H27)</f>
        <v>1.4530663918975979E-5</v>
      </c>
      <c r="D27">
        <f>Concentrations!F27/Concentrations!E27</f>
        <v>7.9678800475457261E-3</v>
      </c>
    </row>
    <row r="28" spans="1:4">
      <c r="A28">
        <f>'Mass Balance'!I28</f>
        <v>7.1602176940532916E-6</v>
      </c>
      <c r="B28">
        <f>'Mass Balance'!E28</f>
        <v>4.1439289520733007E-7</v>
      </c>
      <c r="C28">
        <f>SUM('Mass Balance'!E28:H28)</f>
        <v>1.4577488620016563E-5</v>
      </c>
      <c r="D28">
        <f>Concentrations!F28/Concentrations!E28</f>
        <v>2.8437992026032609E-2</v>
      </c>
    </row>
    <row r="29" spans="1:4">
      <c r="A29">
        <f>'Mass Balance'!I29</f>
        <v>5.0046310904895971E-6</v>
      </c>
      <c r="B29">
        <f>'Mass Balance'!E29</f>
        <v>5.8373764021473765E-7</v>
      </c>
      <c r="C29">
        <f>SUM('Mass Balance'!E29:H29)</f>
        <v>1.3478051790327349E-5</v>
      </c>
      <c r="D29">
        <f>Concentrations!F29/Concentrations!E29</f>
        <v>4.3327129345484813E-2</v>
      </c>
    </row>
    <row r="30" spans="1:4">
      <c r="A30">
        <f>'Mass Balance'!I30</f>
        <v>7.1602176940532916E-6</v>
      </c>
      <c r="B30">
        <f>'Mass Balance'!E30</f>
        <v>4.1439289520733007E-7</v>
      </c>
      <c r="C30">
        <f>SUM('Mass Balance'!E30:H30)</f>
        <v>1.4577488620016563E-5</v>
      </c>
      <c r="D30">
        <f>Concentrations!F30/Concentrations!E30</f>
        <v>2.8437992026032609E-2</v>
      </c>
    </row>
    <row r="31" spans="1:4">
      <c r="A31">
        <f>'Mass Balance'!I31</f>
        <v>2.4567833297585685E-8</v>
      </c>
      <c r="B31">
        <f>'Mass Balance'!E31</f>
        <v>3.9040291325739444E-5</v>
      </c>
      <c r="C31">
        <f>SUM('Mass Balance'!E31:H31)</f>
        <v>3.9043645968522873E-5</v>
      </c>
      <c r="D31">
        <f>Concentrations!F31/Concentrations!E31</f>
        <v>1.0003040382004162</v>
      </c>
    </row>
    <row r="32" spans="1:4">
      <c r="A32">
        <f>'Mass Balance'!I32</f>
        <v>2.6980455541791838E-7</v>
      </c>
      <c r="B32">
        <f>'Mass Balance'!E32</f>
        <v>2.2143459225090004E-5</v>
      </c>
      <c r="C32">
        <f>SUM('Mass Balance'!E32:H32)</f>
        <v>2.337998832552679E-5</v>
      </c>
      <c r="D32">
        <f>Concentrations!F32/Concentrations!E32</f>
        <v>0.9474810119395054</v>
      </c>
    </row>
    <row r="33" spans="1:4">
      <c r="A33">
        <f>'Mass Balance'!I33</f>
        <v>2.4591831954829843E-8</v>
      </c>
      <c r="B33">
        <f>'Mass Balance'!E33</f>
        <v>3.995631528532375E-5</v>
      </c>
      <c r="C33">
        <f>SUM('Mass Balance'!E33:H33)</f>
        <v>3.9973123932671646E-5</v>
      </c>
      <c r="D33">
        <f>Concentrations!F33/Concentrations!E33</f>
        <v>0.99996932932585081</v>
      </c>
    </row>
    <row r="34" spans="1:4">
      <c r="A34">
        <f>'Mass Balance'!I34</f>
        <v>7.5206465726829758E-8</v>
      </c>
      <c r="B34">
        <f>'Mass Balance'!E34</f>
        <v>3.687735137120178E-5</v>
      </c>
      <c r="C34">
        <f>SUM('Mass Balance'!E34:H34)</f>
        <v>3.9911731157387989E-5</v>
      </c>
      <c r="D34">
        <f>Concentrations!F34/Concentrations!E34</f>
        <v>0.92433307638325402</v>
      </c>
    </row>
    <row r="35" spans="1:4">
      <c r="A35">
        <f>'Mass Balance'!I35</f>
        <v>1.3312132483022602E-7</v>
      </c>
      <c r="B35">
        <f>'Mass Balance'!E35</f>
        <v>3.2974405538139562E-5</v>
      </c>
      <c r="C35">
        <f>SUM('Mass Balance'!E35:H35)</f>
        <v>3.9819124484616842E-5</v>
      </c>
      <c r="D35">
        <f>Concentrations!F35/Concentrations!E35</f>
        <v>0.82842768947332013</v>
      </c>
    </row>
    <row r="36" spans="1:4">
      <c r="A36">
        <f>'Mass Balance'!I36</f>
        <v>2.8535249626890575E-7</v>
      </c>
      <c r="B36">
        <f>'Mass Balance'!E36</f>
        <v>2.1747332955920888E-5</v>
      </c>
      <c r="C36">
        <f>SUM('Mass Balance'!E36:H36)</f>
        <v>3.960911890564702E-5</v>
      </c>
      <c r="D36">
        <f>Concentrations!F36/Concentrations!E36</f>
        <v>0.54926276684845687</v>
      </c>
    </row>
    <row r="37" spans="1:4">
      <c r="A37">
        <f>'Mass Balance'!I37</f>
        <v>4.0053119905648472E-7</v>
      </c>
      <c r="B37">
        <f>'Mass Balance'!E37</f>
        <v>2.351713368253863E-5</v>
      </c>
      <c r="C37">
        <f>SUM('Mass Balance'!E37:H37)</f>
        <v>3.1634188381592913E-5</v>
      </c>
      <c r="D37">
        <f>Concentrations!F37/Concentrations!E37</f>
        <v>0.74369871272051669</v>
      </c>
    </row>
    <row r="38" spans="1:4">
      <c r="A38">
        <f>'Mass Balance'!I38</f>
        <v>6.5928955419089538E-8</v>
      </c>
      <c r="B38">
        <f>'Mass Balance'!E38</f>
        <v>3.7475588398300897E-5</v>
      </c>
      <c r="C38">
        <f>SUM('Mass Balance'!E38:H38)</f>
        <v>3.981941612626009E-5</v>
      </c>
      <c r="D38">
        <f>Concentrations!F38/Concentrations!E38</f>
        <v>0.94150560772638292</v>
      </c>
    </row>
    <row r="39" spans="1:4">
      <c r="A39">
        <f>'Mass Balance'!I39</f>
        <v>2.5271985159932464E-6</v>
      </c>
      <c r="B39">
        <f>'Mass Balance'!E39</f>
        <v>1.8656505805828816E-6</v>
      </c>
      <c r="C39">
        <f>SUM('Mass Balance'!E39:H39)</f>
        <v>1.7631499133837778E-5</v>
      </c>
      <c r="D39">
        <f>Concentrations!F39/Concentrations!E39</f>
        <v>0.10585476341410867</v>
      </c>
    </row>
    <row r="40" spans="1:4">
      <c r="A40">
        <f>'Mass Balance'!I40</f>
        <v>1.9687998428687562E-5</v>
      </c>
      <c r="B40">
        <f>'Mass Balance'!E40</f>
        <v>2.0040090819567822E-7</v>
      </c>
      <c r="C40">
        <f>SUM('Mass Balance'!E40:H40)</f>
        <v>1.9738826566388763E-5</v>
      </c>
      <c r="D40">
        <f>Concentrations!F40/Concentrations!E40</f>
        <v>1.0156584652045903E-2</v>
      </c>
    </row>
    <row r="41" spans="1:4">
      <c r="A41">
        <f>'Mass Balance'!I41</f>
        <v>2.2160778116210265E-8</v>
      </c>
      <c r="B41">
        <f>'Mass Balance'!E41</f>
        <v>3.653505707778613E-5</v>
      </c>
      <c r="C41">
        <f>SUM('Mass Balance'!E41:H41)</f>
        <v>3.6535224329606745E-5</v>
      </c>
      <c r="D41">
        <f>Concentrations!F41/Concentrations!E41</f>
        <v>1.0003854124253486</v>
      </c>
    </row>
    <row r="42" spans="1:4">
      <c r="A42">
        <f>'Mass Balance'!I42</f>
        <v>1.9076250006495725E-7</v>
      </c>
      <c r="B42">
        <f>'Mass Balance'!E42</f>
        <v>2.4880288348283932E-5</v>
      </c>
      <c r="C42">
        <f>SUM('Mass Balance'!E42:H42)</f>
        <v>2.5715110806142555E-5</v>
      </c>
      <c r="D42">
        <f>Concentrations!F42/Concentrations!E42</f>
        <v>0.96791305509794801</v>
      </c>
    </row>
    <row r="43" spans="1:4">
      <c r="A43">
        <f>'Mass Balance'!I43</f>
        <v>1.0421589602543705E-6</v>
      </c>
      <c r="B43">
        <f>'Mass Balance'!E43</f>
        <v>3.1816153758922718E-6</v>
      </c>
      <c r="C43">
        <f>SUM('Mass Balance'!E43:H43)</f>
        <v>3.8806114630596215E-5</v>
      </c>
      <c r="D43">
        <f>Concentrations!F43/Concentrations!E43</f>
        <v>8.2019450049147957E-2</v>
      </c>
    </row>
    <row r="44" spans="1:4">
      <c r="A44">
        <f>'Mass Balance'!I44</f>
        <v>4.3383185791208468E-8</v>
      </c>
      <c r="B44">
        <f>'Mass Balance'!E44</f>
        <v>3.1190280922173949E-5</v>
      </c>
      <c r="C44">
        <f>SUM('Mass Balance'!E44:H44)</f>
        <v>3.1293881778985082E-5</v>
      </c>
      <c r="D44">
        <f>Concentrations!F44/Concentrations!E44</f>
        <v>0.99707812228781323</v>
      </c>
    </row>
    <row r="45" spans="1:4">
      <c r="A45">
        <f>'Mass Balance'!I45</f>
        <v>2.1709451216994943E-7</v>
      </c>
      <c r="B45">
        <f>'Mass Balance'!E45</f>
        <v>2.3808590168199161E-5</v>
      </c>
      <c r="C45">
        <f>SUM('Mass Balance'!E45:H45)</f>
        <v>2.4781457291020011E-5</v>
      </c>
      <c r="D45">
        <f>Concentrations!F45/Concentrations!E45</f>
        <v>0.96111681605375687</v>
      </c>
    </row>
    <row r="46" spans="1:4">
      <c r="A46">
        <f>'Mass Balance'!I46</f>
        <v>1.9984003565061926E-7</v>
      </c>
      <c r="B46">
        <f>'Mass Balance'!E46</f>
        <v>2.4430706817750757E-5</v>
      </c>
      <c r="C46">
        <f>SUM('Mass Balance'!E46:H46)</f>
        <v>2.5313310800502769E-5</v>
      </c>
      <c r="D46">
        <f>Concentrations!F46/Concentrations!E46</f>
        <v>0.96550920546992736</v>
      </c>
    </row>
    <row r="47" spans="1:4">
      <c r="A47">
        <f>'Mass Balance'!I47</f>
        <v>1.1948245095656527E-5</v>
      </c>
      <c r="B47">
        <f>'Mass Balance'!E47</f>
        <v>1.0669010515903036E-7</v>
      </c>
      <c r="C47">
        <f>SUM('Mass Balance'!E47:H47)</f>
        <v>1.4730439759677432E-5</v>
      </c>
      <c r="D47">
        <f>Concentrations!F47/Concentrations!E47</f>
        <v>7.245656965541877E-3</v>
      </c>
    </row>
    <row r="48" spans="1:4">
      <c r="A48">
        <f>'Mass Balance'!I48</f>
        <v>3.050592711045196E-8</v>
      </c>
      <c r="B48">
        <f>'Mass Balance'!E48</f>
        <v>3.6388583054545641E-5</v>
      </c>
      <c r="C48">
        <f>SUM('Mass Balance'!E48:H48)</f>
        <v>3.6422286523343115E-5</v>
      </c>
      <c r="D48">
        <f>Concentrations!F48/Concentrations!E48</f>
        <v>0.999464278244938</v>
      </c>
    </row>
    <row r="49" spans="1:4">
      <c r="A49">
        <f>'Mass Balance'!I49</f>
        <v>3.5743836004217112E-8</v>
      </c>
      <c r="B49">
        <f>'Mass Balance'!E49</f>
        <v>3.4928903865126518E-5</v>
      </c>
      <c r="C49">
        <f>SUM('Mass Balance'!E49:H49)</f>
        <v>3.4988669880471492E-5</v>
      </c>
      <c r="D49">
        <f>Concentrations!F49/Concentrations!E49</f>
        <v>0.99868117247035748</v>
      </c>
    </row>
    <row r="50" spans="1:4">
      <c r="A50">
        <f>'Mass Balance'!I50</f>
        <v>1.186081429200602E-6</v>
      </c>
      <c r="B50">
        <f>'Mass Balance'!E50</f>
        <v>7.4854515785287917E-6</v>
      </c>
      <c r="C50">
        <f>SUM('Mass Balance'!E50:H50)</f>
        <v>1.4163227457082464E-5</v>
      </c>
      <c r="D50">
        <f>Concentrations!F50/Concentrations!E50</f>
        <v>0.52871923915014019</v>
      </c>
    </row>
    <row r="51" spans="1:4">
      <c r="A51">
        <f>'Mass Balance'!I51</f>
        <v>2.3422745000952874E-8</v>
      </c>
      <c r="B51">
        <f>'Mass Balance'!E51</f>
        <v>3.6174943376848986E-5</v>
      </c>
      <c r="C51">
        <f>SUM('Mass Balance'!E51:H51)</f>
        <v>3.618053797122226E-5</v>
      </c>
      <c r="D51">
        <f>Concentrations!F51/Concentrations!E51</f>
        <v>1.0002353017912218</v>
      </c>
    </row>
    <row r="52" spans="1:4">
      <c r="A52">
        <f>'Mass Balance'!I52</f>
        <v>5.9573984375188992E-8</v>
      </c>
      <c r="B52">
        <f>'Mass Balance'!E52</f>
        <v>3.0062602084217004E-5</v>
      </c>
      <c r="C52">
        <f>SUM('Mass Balance'!E52:H52)</f>
        <v>3.0242737339121003E-5</v>
      </c>
      <c r="D52">
        <f>Concentrations!F52/Concentrations!E52</f>
        <v>0.99443135462023413</v>
      </c>
    </row>
    <row r="53" spans="1:4">
      <c r="A53">
        <f>'Mass Balance'!I53</f>
        <v>3.2264463911894828E-7</v>
      </c>
      <c r="B53">
        <f>'Mass Balance'!E53</f>
        <v>2.032935875576448E-5</v>
      </c>
      <c r="C53">
        <f>SUM('Mass Balance'!E53:H53)</f>
        <v>2.1867449153369766E-5</v>
      </c>
      <c r="D53">
        <f>Concentrations!F53/Concentrations!E53</f>
        <v>0.93002557825139132</v>
      </c>
    </row>
    <row r="54" spans="1:4">
      <c r="A54">
        <f>'Mass Balance'!I54</f>
        <v>1.0850968966742808E-5</v>
      </c>
      <c r="B54">
        <f>'Mass Balance'!E54</f>
        <v>1.4754232324172575E-7</v>
      </c>
      <c r="C54">
        <f>SUM('Mass Balance'!E54:H54)</f>
        <v>1.454777853317259E-5</v>
      </c>
      <c r="D54">
        <f>Concentrations!F54/Concentrations!E54</f>
        <v>1.0145869572868192E-2</v>
      </c>
    </row>
    <row r="55" spans="1:4">
      <c r="A55">
        <f>'Mass Balance'!I55</f>
        <v>5.9524592764793222E-7</v>
      </c>
      <c r="B55">
        <f>'Mass Balance'!E55</f>
        <v>9.2897819905820892E-6</v>
      </c>
      <c r="C55">
        <f>SUM('Mass Balance'!E55:H55)</f>
        <v>1.2453913654163051E-5</v>
      </c>
      <c r="D55">
        <f>Concentrations!F55/Concentrations!E55</f>
        <v>0.7462236522295177</v>
      </c>
    </row>
    <row r="56" spans="1:4">
      <c r="A56">
        <f>'Mass Balance'!I56</f>
        <v>2.8167141174788683E-7</v>
      </c>
      <c r="B56">
        <f>'Mass Balance'!E56</f>
        <v>8.8373533561618446E-7</v>
      </c>
      <c r="C56">
        <f>SUM('Mass Balance'!E56:H56)</f>
        <v>2.5380360788327531E-6</v>
      </c>
      <c r="D56">
        <f>Concentrations!F56/Concentrations!E56</f>
        <v>0.34833231597096381</v>
      </c>
    </row>
    <row r="57" spans="1:4">
      <c r="A57">
        <f>'Mass Balance'!I57</f>
        <v>1.1520962532454263E-7</v>
      </c>
      <c r="B57">
        <f>'Mass Balance'!E57</f>
        <v>1.3304102677427372E-6</v>
      </c>
      <c r="C57">
        <f>SUM('Mass Balance'!E57:H57)</f>
        <v>1.9549891233711816E-6</v>
      </c>
      <c r="D57">
        <f>Concentrations!F57/Concentrations!E57</f>
        <v>0.68078594465769404</v>
      </c>
    </row>
    <row r="58" spans="1:4">
      <c r="A58">
        <f>'Mass Balance'!I58</f>
        <v>2.694146763874853E-9</v>
      </c>
      <c r="B58">
        <f>'Mass Balance'!E58</f>
        <v>2.3770927740935619E-6</v>
      </c>
      <c r="C58">
        <f>SUM('Mass Balance'!E58:H58)</f>
        <v>2.3822925791371875E-6</v>
      </c>
      <c r="D58">
        <f>Concentrations!F58/Concentrations!E58</f>
        <v>0.99820645128398888</v>
      </c>
    </row>
    <row r="59" spans="1:4">
      <c r="A59">
        <f>'Mass Balance'!I59</f>
        <v>4.073632886821881E-8</v>
      </c>
      <c r="B59">
        <f>'Mass Balance'!E59</f>
        <v>5.0430601111073185E-7</v>
      </c>
      <c r="C59">
        <f>SUM('Mass Balance'!E59:H59)</f>
        <v>7.2415999012125246E-7</v>
      </c>
      <c r="D59">
        <f>Concentrations!F59/Concentrations!E59</f>
        <v>0.69667296359957631</v>
      </c>
    </row>
    <row r="60" spans="1:4">
      <c r="A60">
        <f>'Mass Balance'!I60</f>
        <v>6.7801581005972187E-10</v>
      </c>
      <c r="B60">
        <f>'Mass Balance'!E60</f>
        <v>1.7987875684628252E-8</v>
      </c>
      <c r="C60">
        <f>SUM('Mass Balance'!E60:H60)</f>
        <v>2.1461407496918043E-8</v>
      </c>
      <c r="D60">
        <f>Concentrations!F60/Concentrations!E60</f>
        <v>0.83847673156790337</v>
      </c>
    </row>
    <row r="61" spans="1:4">
      <c r="A61">
        <f>'Mass Balance'!I61</f>
        <v>4.578227437457394E-7</v>
      </c>
      <c r="B61">
        <f>'Mass Balance'!E61</f>
        <v>1.7127664398991153E-5</v>
      </c>
      <c r="C61">
        <f>SUM('Mass Balance'!E61:H61)</f>
        <v>1.9412311387081318E-5</v>
      </c>
      <c r="D61">
        <f>Concentrations!F61/Concentrations!E61</f>
        <v>0.88265347232576219</v>
      </c>
    </row>
    <row r="62" spans="1:4">
      <c r="A62">
        <f>'Mass Balance'!I62</f>
        <v>5.6314173537385667E-6</v>
      </c>
      <c r="B62">
        <f>'Mass Balance'!E62</f>
        <v>6.4167963827061344E-7</v>
      </c>
      <c r="C62">
        <f>SUM('Mass Balance'!E62:H62)</f>
        <v>1.5013216472221862E-5</v>
      </c>
      <c r="D62">
        <f>Concentrations!F62/Concentrations!E62</f>
        <v>4.275765219305034E-2</v>
      </c>
    </row>
    <row r="63" spans="1:4">
      <c r="A63">
        <f>'Mass Balance'!I63</f>
        <v>1.3737578793329807E-5</v>
      </c>
      <c r="B63">
        <f>'Mass Balance'!E63</f>
        <v>5.945673969255902E-8</v>
      </c>
      <c r="C63">
        <f>SUM('Mass Balance'!E63:H63)</f>
        <v>1.513866051049602E-5</v>
      </c>
      <c r="D63">
        <f>Concentrations!F63/Concentrations!E63</f>
        <v>3.9290086006088312E-3</v>
      </c>
    </row>
    <row r="64" spans="1:4">
      <c r="A64">
        <f>'Mass Balance'!I64</f>
        <v>1.6275721715344499E-5</v>
      </c>
      <c r="B64">
        <f>'Mass Balance'!E64</f>
        <v>2.1397995073122385E-8</v>
      </c>
      <c r="C64">
        <f>SUM('Mass Balance'!E64:H64)</f>
        <v>1.5944868089228873E-5</v>
      </c>
      <c r="D64">
        <f>Concentrations!F64/Concentrations!E64</f>
        <v>1.3425222460896706E-3</v>
      </c>
    </row>
    <row r="65" spans="1:4">
      <c r="A65">
        <f>'Mass Balance'!I65</f>
        <v>1.839557266486909E-5</v>
      </c>
      <c r="B65">
        <f>'Mass Balance'!E65</f>
        <v>6.2381409255582535E-9</v>
      </c>
      <c r="C65">
        <f>SUM('Mass Balance'!E65:H65)</f>
        <v>1.6775126131064057E-5</v>
      </c>
      <c r="D65">
        <f>Concentrations!F65/Concentrations!E65</f>
        <v>3.7201352181030859E-4</v>
      </c>
    </row>
    <row r="66" spans="1:4">
      <c r="A66">
        <f>'Mass Balance'!I66</f>
        <v>1.7289843174642875E-5</v>
      </c>
      <c r="B66">
        <f>'Mass Balance'!E66</f>
        <v>1.2675501311522833E-8</v>
      </c>
      <c r="C66">
        <f>SUM('Mass Balance'!E66:H66)</f>
        <v>1.6327406141004079E-5</v>
      </c>
      <c r="D66">
        <f>Concentrations!F66/Concentrations!E66</f>
        <v>7.7663558721812701E-4</v>
      </c>
    </row>
    <row r="67" spans="1:4">
      <c r="A67">
        <f>'Mass Balance'!I67</f>
        <v>5.1919519284814445E-8</v>
      </c>
      <c r="B67">
        <f>'Mass Balance'!E67</f>
        <v>3.3444996530150764E-5</v>
      </c>
      <c r="C67">
        <f>SUM('Mass Balance'!E67:H67)</f>
        <v>3.3580224916355336E-5</v>
      </c>
      <c r="D67">
        <f>Concentrations!F67/Concentrations!E67</f>
        <v>0.99636139709402005</v>
      </c>
    </row>
    <row r="68" spans="1:4">
      <c r="A68">
        <f>'Mass Balance'!I68</f>
        <v>7.309629629268032E-8</v>
      </c>
      <c r="B68">
        <f>'Mass Balance'!E68</f>
        <v>3.1186053016712964E-5</v>
      </c>
      <c r="C68">
        <f>SUM('Mass Balance'!E68:H68)</f>
        <v>3.1425020208464532E-5</v>
      </c>
      <c r="D68">
        <f>Concentrations!F68/Concentrations!E68</f>
        <v>0.99278266559629347</v>
      </c>
    </row>
    <row r="69" spans="1:4">
      <c r="A69">
        <f>'Mass Balance'!I69</f>
        <v>9.2877767042919024E-6</v>
      </c>
      <c r="B69">
        <f>'Mass Balance'!E69</f>
        <v>2.2646826340784633E-7</v>
      </c>
      <c r="C69">
        <f>SUM('Mass Balance'!E69:H69)</f>
        <v>1.436744810393962E-5</v>
      </c>
      <c r="D69">
        <f>Concentrations!F69/Concentrations!E69</f>
        <v>1.5768742130658431E-2</v>
      </c>
    </row>
    <row r="70" spans="1:4">
      <c r="A70">
        <f>'Mass Balance'!I70</f>
        <v>1.8878329149239964E-6</v>
      </c>
      <c r="B70">
        <f>'Mass Balance'!E70</f>
        <v>3.6291837530603432E-6</v>
      </c>
      <c r="C70">
        <f>SUM('Mass Balance'!E70:H70)</f>
        <v>1.5045404636870134E-5</v>
      </c>
      <c r="D70">
        <f>Concentrations!F70/Concentrations!E70</f>
        <v>0.24130950236583473</v>
      </c>
    </row>
    <row r="71" spans="1:4">
      <c r="A71">
        <f>'Mass Balance'!I71</f>
        <v>6.7967205252455872E-8</v>
      </c>
      <c r="B71">
        <f>'Mass Balance'!E71</f>
        <v>3.1052677120669559E-5</v>
      </c>
      <c r="C71">
        <f>SUM('Mass Balance'!E71:H71)</f>
        <v>3.1268328158356025E-5</v>
      </c>
      <c r="D71">
        <f>Concentrations!F71/Concentrations!E71</f>
        <v>0.99349051410971345</v>
      </c>
    </row>
    <row r="72" spans="1:4">
      <c r="A72">
        <f>'Mass Balance'!I72</f>
        <v>1.7281625762143057E-6</v>
      </c>
      <c r="B72">
        <f>'Mass Balance'!E72</f>
        <v>3.9116352185915234E-6</v>
      </c>
      <c r="C72">
        <f>SUM('Mass Balance'!E72:H72)</f>
        <v>1.4261193620297334E-5</v>
      </c>
      <c r="D72">
        <f>Concentrations!F72/Concentrations!E72</f>
        <v>0.27439223036697236</v>
      </c>
    </row>
    <row r="73" spans="1:4">
      <c r="A73">
        <f>'Mass Balance'!I73</f>
        <v>4.8237470749319221E-7</v>
      </c>
      <c r="B73">
        <f>'Mass Balance'!E73</f>
        <v>1.6097001535677281E-5</v>
      </c>
      <c r="C73">
        <f>SUM('Mass Balance'!E73:H73)</f>
        <v>1.8525943741190816E-5</v>
      </c>
      <c r="D73">
        <f>Concentrations!F73/Concentrations!E73</f>
        <v>0.86922855121551568</v>
      </c>
    </row>
    <row r="74" spans="1:4">
      <c r="A74">
        <f>'Mass Balance'!I74</f>
        <v>1.8481148837729559E-6</v>
      </c>
      <c r="B74">
        <f>'Mass Balance'!E74</f>
        <v>3.7225548244198621E-6</v>
      </c>
      <c r="C74">
        <f>SUM('Mass Balance'!E74:H74)</f>
        <v>1.486760766424902E-5</v>
      </c>
      <c r="D74">
        <f>Concentrations!F74/Concentrations!E74</f>
        <v>0.25047786269637617</v>
      </c>
    </row>
    <row r="75" spans="1:4">
      <c r="A75">
        <f>'Mass Balance'!I75</f>
        <v>3.3924605664352415E-6</v>
      </c>
      <c r="B75">
        <f>'Mass Balance'!E75</f>
        <v>1.5265975336567285E-6</v>
      </c>
      <c r="C75">
        <f>SUM('Mass Balance'!E75:H75)</f>
        <v>3.6578101670400243E-5</v>
      </c>
      <c r="D75">
        <f>Concentrations!F75/Concentrations!E75</f>
        <v>4.1751562404633215E-2</v>
      </c>
    </row>
    <row r="76" spans="1:4">
      <c r="A76">
        <f>'Mass Balance'!I76</f>
        <v>3.3924605824666386E-6</v>
      </c>
      <c r="B76">
        <f>'Mass Balance'!E76</f>
        <v>1.5265975408708112E-6</v>
      </c>
      <c r="C76">
        <f>SUM('Mass Balance'!E76:H76)</f>
        <v>3.6578101843253565E-5</v>
      </c>
      <c r="D76">
        <f>Concentrations!F76/Concentrations!E76</f>
        <v>4.1751562404633208E-2</v>
      </c>
    </row>
    <row r="77" spans="1:4">
      <c r="A77">
        <f>'Mass Balance'!I77</f>
        <v>9.6090211323811126E-7</v>
      </c>
      <c r="B77">
        <f>'Mass Balance'!E77</f>
        <v>8.7974372805300406E-6</v>
      </c>
      <c r="C77">
        <f>SUM('Mass Balance'!E77:H77)</f>
        <v>1.4084039212728036E-5</v>
      </c>
      <c r="D77">
        <f>Concentrations!F77/Concentrations!E77</f>
        <v>0.62488239900950349</v>
      </c>
    </row>
    <row r="78" spans="1:4">
      <c r="A78">
        <f>'Mass Balance'!I78</f>
        <v>1.7179257625372597E-7</v>
      </c>
      <c r="B78">
        <f>'Mass Balance'!E78</f>
        <v>2.4411947078543916E-5</v>
      </c>
      <c r="C78">
        <f>SUM('Mass Balance'!E78:H78)</f>
        <v>2.5154207502400421E-5</v>
      </c>
      <c r="D78">
        <f>Concentrations!F78/Concentrations!E78</f>
        <v>0.9708700837074894</v>
      </c>
    </row>
    <row r="79" spans="1:4">
      <c r="A79">
        <f>'Mass Balance'!I79</f>
        <v>3.3019152692300317E-7</v>
      </c>
      <c r="B79">
        <f>'Mass Balance'!E79</f>
        <v>1.9889852586111576E-5</v>
      </c>
      <c r="C79">
        <f>SUM('Mass Balance'!E79:H79)</f>
        <v>2.1470733288011495E-5</v>
      </c>
      <c r="D79">
        <f>Concentrations!F79/Concentrations!E79</f>
        <v>0.92673171443555491</v>
      </c>
    </row>
    <row r="80" spans="1:4">
      <c r="A80">
        <f>'Mass Balance'!I80</f>
        <v>6.1644526772975959E-6</v>
      </c>
      <c r="B80">
        <f>'Mass Balance'!E80</f>
        <v>9.6824227173027986E-7</v>
      </c>
      <c r="C80">
        <f>SUM('Mass Balance'!E80:H80)</f>
        <v>3.3801984207038687E-5</v>
      </c>
      <c r="D80">
        <f>Concentrations!F80/Concentrations!E80</f>
        <v>2.8655710640265234E-2</v>
      </c>
    </row>
    <row r="81" spans="1:4">
      <c r="A81">
        <f>'Mass Balance'!I81</f>
        <v>2.4883262064600201E-8</v>
      </c>
      <c r="B81">
        <f>'Mass Balance'!E81</f>
        <v>3.8813920265017296E-5</v>
      </c>
      <c r="C81">
        <f>SUM('Mass Balance'!E81:H81)</f>
        <v>3.8818977220962333E-5</v>
      </c>
      <c r="D81">
        <f>Concentrations!F81/Concentrations!E81</f>
        <v>1.0002596710296734</v>
      </c>
    </row>
    <row r="82" spans="1:4">
      <c r="A82">
        <f>'Mass Balance'!I82</f>
        <v>8.5672329229344431E-8</v>
      </c>
      <c r="B82">
        <f>'Mass Balance'!E82</f>
        <v>3.0581956884691875E-5</v>
      </c>
      <c r="C82">
        <f>SUM('Mass Balance'!E82:H82)</f>
        <v>3.0881648342527327E-5</v>
      </c>
      <c r="D82">
        <f>Concentrations!F82/Concentrations!E82</f>
        <v>0.99068169111119386</v>
      </c>
    </row>
    <row r="83" spans="1:4">
      <c r="A83">
        <f>'Mass Balance'!I83</f>
        <v>8.9027847854032373E-7</v>
      </c>
      <c r="B83">
        <f>'Mass Balance'!E83</f>
        <v>1.0521949387067635E-5</v>
      </c>
      <c r="C83">
        <f>SUM('Mass Balance'!E83:H83)</f>
        <v>1.5341174180228682E-5</v>
      </c>
      <c r="D83">
        <f>Concentrations!F83/Concentrations!E83</f>
        <v>0.68613084890735787</v>
      </c>
    </row>
    <row r="84" spans="1:4">
      <c r="A84">
        <f>'Mass Balance'!I84</f>
        <v>2.8340271798031431E-8</v>
      </c>
      <c r="B84">
        <f>'Mass Balance'!E84</f>
        <v>3.7462433597939578E-5</v>
      </c>
      <c r="C84">
        <f>SUM('Mass Balance'!E84:H84)</f>
        <v>3.7484471105161313E-5</v>
      </c>
      <c r="D84">
        <f>Concentrations!F84/Concentrations!E84</f>
        <v>0.99980185243897635</v>
      </c>
    </row>
    <row r="85" spans="1:4">
      <c r="A85">
        <f>'Mass Balance'!I85</f>
        <v>2.4184075250264842E-8</v>
      </c>
      <c r="B85">
        <f>'Mass Balance'!E85</f>
        <v>3.9493088034906428E-5</v>
      </c>
      <c r="C85">
        <f>SUM('Mass Balance'!E85:H85)</f>
        <v>3.9494050906294776E-5</v>
      </c>
      <c r="D85">
        <f>Concentrations!F85/Concentrations!E85</f>
        <v>1.0003656023636858</v>
      </c>
    </row>
    <row r="86" spans="1:4">
      <c r="A86">
        <f>'Mass Balance'!I86</f>
        <v>2.8127311912057745E-8</v>
      </c>
      <c r="B86">
        <f>'Mass Balance'!E86</f>
        <v>3.7523695747800125E-5</v>
      </c>
      <c r="C86">
        <f>SUM('Mass Balance'!E86:H86)</f>
        <v>3.7544712474890729E-5</v>
      </c>
      <c r="D86">
        <f>Concentrations!F86/Concentrations!E86</f>
        <v>0.99982999511187021</v>
      </c>
    </row>
    <row r="87" spans="1:4">
      <c r="A87">
        <f>'Mass Balance'!I87</f>
        <v>1.2657760707785559E-5</v>
      </c>
      <c r="B87">
        <f>'Mass Balance'!E87</f>
        <v>8.5393361664736914E-8</v>
      </c>
      <c r="C87">
        <f>SUM('Mass Balance'!E87:H87)</f>
        <v>1.4875091058551506E-5</v>
      </c>
      <c r="D87">
        <f>Concentrations!F87/Concentrations!E87</f>
        <v>5.742933879149207E-3</v>
      </c>
    </row>
    <row r="88" spans="1:4">
      <c r="A88">
        <f>'Mass Balance'!I88</f>
        <v>1.4219665580116802E-7</v>
      </c>
      <c r="B88">
        <f>'Mass Balance'!E88</f>
        <v>2.712095345463345E-5</v>
      </c>
      <c r="C88">
        <f>SUM('Mass Balance'!E88:H88)</f>
        <v>2.7705127618952586E-5</v>
      </c>
      <c r="D88">
        <f>Concentrations!F88/Concentrations!E88</f>
        <v>0.97929635205464494</v>
      </c>
    </row>
    <row r="89" spans="1:4">
      <c r="A89">
        <f>'Mass Balance'!I89</f>
        <v>9.3925941308078444E-8</v>
      </c>
      <c r="B89">
        <f>'Mass Balance'!E89</f>
        <v>2.9990650172602971E-5</v>
      </c>
      <c r="C89">
        <f>SUM('Mass Balance'!E89:H89)</f>
        <v>3.0331298173481983E-5</v>
      </c>
      <c r="D89">
        <f>Concentrations!F89/Concentrations!E89</f>
        <v>0.98915470467762667</v>
      </c>
    </row>
    <row r="90" spans="1:4">
      <c r="A90">
        <f>'Mass Balance'!I90</f>
        <v>4.0259966493035333E-8</v>
      </c>
      <c r="B90">
        <f>'Mass Balance'!E90</f>
        <v>3.5135023881171605E-5</v>
      </c>
      <c r="C90">
        <f>SUM('Mass Balance'!E90:H90)</f>
        <v>3.5213791881542303E-5</v>
      </c>
      <c r="D90">
        <f>Concentrations!F90/Concentrations!E90</f>
        <v>0.9981522688285277</v>
      </c>
    </row>
    <row r="91" spans="1:4">
      <c r="A91">
        <f>'Mass Balance'!I91</f>
        <v>6.1385557944494733E-6</v>
      </c>
      <c r="B91">
        <f>'Mass Balance'!E91</f>
        <v>5.5375149156467526E-7</v>
      </c>
      <c r="C91">
        <f>SUM('Mass Balance'!E91:H91)</f>
        <v>1.4833238716425106E-5</v>
      </c>
      <c r="D91">
        <f>Concentrations!F91/Concentrations!E91</f>
        <v>3.7346358460614348E-2</v>
      </c>
    </row>
    <row r="92" spans="1:4">
      <c r="A92">
        <f>'Mass Balance'!I92</f>
        <v>7.0291054960313766E-7</v>
      </c>
      <c r="B92">
        <f>'Mass Balance'!E92</f>
        <v>1.2897259630804772E-5</v>
      </c>
      <c r="C92">
        <f>SUM('Mass Balance'!E92:H92)</f>
        <v>1.6593204099003962E-5</v>
      </c>
      <c r="D92">
        <f>Concentrations!F92/Concentrations!E92</f>
        <v>0.77756468144100499</v>
      </c>
    </row>
    <row r="93" spans="1:4">
      <c r="A93">
        <f>'Mass Balance'!I93</f>
        <v>1.63482355638609E-6</v>
      </c>
      <c r="B93">
        <f>'Mass Balance'!E93</f>
        <v>4.8955014807478406E-6</v>
      </c>
      <c r="C93">
        <f>SUM('Mass Balance'!E93:H93)</f>
        <v>1.4523907425933463E-5</v>
      </c>
      <c r="D93">
        <f>Concentrations!F93/Concentrations!E93</f>
        <v>0.33719649566104476</v>
      </c>
    </row>
    <row r="94" spans="1:4">
      <c r="A94">
        <f>'Mass Balance'!I94</f>
        <v>3.3051421914785684E-8</v>
      </c>
      <c r="B94">
        <f>'Mass Balance'!E94</f>
        <v>3.9497738603033272E-5</v>
      </c>
      <c r="C94">
        <f>SUM('Mass Balance'!E94:H94)</f>
        <v>3.9959932120458687E-5</v>
      </c>
      <c r="D94">
        <f>Concentrations!F94/Concentrations!E94</f>
        <v>0.98881905723355989</v>
      </c>
    </row>
    <row r="95" spans="1:4">
      <c r="A95">
        <f>'Mass Balance'!I95</f>
        <v>3.2773168639543412E-6</v>
      </c>
      <c r="B95">
        <f>'Mass Balance'!E95</f>
        <v>1.38133239884908E-6</v>
      </c>
      <c r="C95">
        <f>SUM('Mass Balance'!E95:H95)</f>
        <v>1.6640037063253074E-5</v>
      </c>
      <c r="D95">
        <f>Concentrations!F95/Concentrations!E95</f>
        <v>8.304495369984885E-2</v>
      </c>
    </row>
    <row r="96" spans="1:4">
      <c r="A96">
        <f>'Mass Balance'!I96</f>
        <v>2.4955614899523633E-8</v>
      </c>
      <c r="B96">
        <f>'Mass Balance'!E96</f>
        <v>3.876876929346961E-5</v>
      </c>
      <c r="C96">
        <f>SUM('Mass Balance'!E96:H96)</f>
        <v>3.877420546226573E-5</v>
      </c>
      <c r="D96">
        <f>Concentrations!F96/Concentrations!E96</f>
        <v>1.0002497367076917</v>
      </c>
    </row>
    <row r="97" spans="1:4">
      <c r="A97">
        <f>'Mass Balance'!I97</f>
        <v>2.8450628093412883E-8</v>
      </c>
      <c r="B97">
        <f>'Mass Balance'!E97</f>
        <v>3.7431264464517866E-5</v>
      </c>
      <c r="C97">
        <f>SUM('Mass Balance'!E97:H97)</f>
        <v>3.7453830481157627E-5</v>
      </c>
      <c r="D97">
        <f>Concentrations!F97/Concentrations!E97</f>
        <v>0.99978725482667152</v>
      </c>
    </row>
    <row r="98" spans="1:4">
      <c r="A98">
        <f>'Mass Balance'!I98</f>
        <v>2.1284036082094808E-6</v>
      </c>
      <c r="B98">
        <f>'Mass Balance'!E98</f>
        <v>2.8831461857908794E-6</v>
      </c>
      <c r="C98">
        <f>SUM('Mass Balance'!E98:H98)</f>
        <v>1.6024717582420829E-5</v>
      </c>
      <c r="D98">
        <f>Concentrations!F98/Concentrations!E98</f>
        <v>0.17998885627798375</v>
      </c>
    </row>
    <row r="99" spans="1:4">
      <c r="A99">
        <f>'Mass Balance'!I99</f>
        <v>2.4135120493550782E-8</v>
      </c>
      <c r="B99">
        <f>'Mass Balance'!E99</f>
        <v>3.9641829688251502E-5</v>
      </c>
      <c r="C99">
        <f>SUM('Mass Balance'!E99:H99)</f>
        <v>3.9642311413477522E-5</v>
      </c>
      <c r="D99">
        <f>Concentrations!F99/Concentrations!E99</f>
        <v>1.0003778355007851</v>
      </c>
    </row>
    <row r="100" spans="1:4">
      <c r="A100">
        <f>'Mass Balance'!I100</f>
        <v>2.8988560946171953E-7</v>
      </c>
      <c r="B100">
        <f>'Mass Balance'!E100</f>
        <v>2.1365317669595317E-5</v>
      </c>
      <c r="C100">
        <f>SUM('Mass Balance'!E100:H100)</f>
        <v>2.272564080798563E-5</v>
      </c>
      <c r="D100">
        <f>Concentrations!F100/Concentrations!E100</f>
        <v>0.94050813149305579</v>
      </c>
    </row>
    <row r="101" spans="1:4">
      <c r="A101">
        <f>'Mass Balance'!I101</f>
        <v>2.4225100895801699E-8</v>
      </c>
      <c r="B101">
        <f>'Mass Balance'!E101</f>
        <v>3.9415935836980352E-5</v>
      </c>
      <c r="C101">
        <f>SUM('Mass Balance'!E101:H101)</f>
        <v>3.9417208791751126E-5</v>
      </c>
      <c r="D101">
        <f>Concentrations!F101/Concentrations!E101</f>
        <v>1.0003576850484848</v>
      </c>
    </row>
    <row r="102" spans="1:4">
      <c r="A102">
        <f>'Mass Balance'!I102</f>
        <v>2.4135163823827831E-8</v>
      </c>
      <c r="B102">
        <f>'Mass Balance'!E102</f>
        <v>3.9833961564401009E-5</v>
      </c>
      <c r="C102">
        <f>SUM('Mass Balance'!E102:H102)</f>
        <v>3.9834058304116389E-5</v>
      </c>
      <c r="D102">
        <f>Concentrations!F102/Concentrations!E102</f>
        <v>1.0003875625194714</v>
      </c>
    </row>
    <row r="103" spans="1:4">
      <c r="A103">
        <f>'Mass Balance'!I103</f>
        <v>2.4133199863897108E-8</v>
      </c>
      <c r="B103">
        <f>'Mass Balance'!E103</f>
        <v>3.9652472613885797E-5</v>
      </c>
      <c r="C103">
        <f>SUM('Mass Balance'!E103:H103)</f>
        <v>3.9652925930696678E-5</v>
      </c>
      <c r="D103">
        <f>Concentrations!F103/Concentrations!E103</f>
        <v>1.0003785554610216</v>
      </c>
    </row>
    <row r="104" spans="1:4">
      <c r="A104">
        <f>'Mass Balance'!I104</f>
        <v>2.6264936555748081E-8</v>
      </c>
      <c r="B104">
        <f>'Mass Balance'!E104</f>
        <v>3.8145277827715303E-5</v>
      </c>
      <c r="C104">
        <f>SUM('Mass Balance'!E104:H104)</f>
        <v>3.8157284651801229E-5</v>
      </c>
      <c r="D104">
        <f>Concentrations!F104/Concentrations!E104</f>
        <v>1.0000752026892548</v>
      </c>
    </row>
    <row r="105" spans="1:4">
      <c r="A105">
        <f>'Mass Balance'!I105</f>
        <v>2.4130327169761526E-8</v>
      </c>
      <c r="B105">
        <f>'Mass Balance'!E105</f>
        <v>3.9805663722569265E-5</v>
      </c>
      <c r="C105">
        <f>SUM('Mass Balance'!E105:H105)</f>
        <v>3.9805799714193598E-5</v>
      </c>
      <c r="D105">
        <f>Concentrations!F105/Concentrations!E105</f>
        <v>1.0003865743249911</v>
      </c>
    </row>
    <row r="106" spans="1:4">
      <c r="A106">
        <f>'Mass Balance'!I106</f>
        <v>4.9740519214413279E-8</v>
      </c>
      <c r="B106">
        <f>'Mass Balance'!E106</f>
        <v>3.3885872734452027E-5</v>
      </c>
      <c r="C106">
        <f>SUM('Mass Balance'!E106:H106)</f>
        <v>3.4010054250566694E-5</v>
      </c>
      <c r="D106">
        <f>Concentrations!F106/Concentrations!E106</f>
        <v>0.99673725025991455</v>
      </c>
    </row>
    <row r="107" spans="1:4">
      <c r="A107">
        <f>'Mass Balance'!I107</f>
        <v>2.3170390553071349E-6</v>
      </c>
      <c r="B107">
        <f>'Mass Balance'!E107</f>
        <v>2.3171151274821512E-6</v>
      </c>
      <c r="C107">
        <f>SUM('Mass Balance'!E107:H107)</f>
        <v>1.688358288876397E-5</v>
      </c>
      <c r="D107">
        <f>Concentrations!F107/Concentrations!E107</f>
        <v>0.13729424608490648</v>
      </c>
    </row>
    <row r="108" spans="1:4">
      <c r="A108">
        <f>'Mass Balance'!I108</f>
        <v>2.3179289671513889E-7</v>
      </c>
      <c r="B108">
        <f>'Mass Balance'!E108</f>
        <v>2.3290763094227136E-5</v>
      </c>
      <c r="C108">
        <f>SUM('Mass Balance'!E108:H108)</f>
        <v>2.4341030376643912E-5</v>
      </c>
      <c r="D108">
        <f>Concentrations!F108/Concentrations!E108</f>
        <v>0.95722514395562419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0.80517500120355456</v>
      </c>
      <c r="M2" s="115">
        <v>2.3228324631368507</v>
      </c>
      <c r="N2" s="115">
        <v>55.081159629037842</v>
      </c>
      <c r="O2" s="115">
        <v>1.1754515205256253</v>
      </c>
      <c r="P2" s="115">
        <v>1.2064570184338794</v>
      </c>
      <c r="Q2" s="111">
        <v>1.1754515205256255</v>
      </c>
      <c r="R2" s="68">
        <v>1.2064570184338796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2.6267631544368221E-3</v>
      </c>
      <c r="M3" s="115">
        <v>420.5985876997317</v>
      </c>
      <c r="N3" s="115">
        <v>14489.560377050486</v>
      </c>
      <c r="O3" s="115">
        <v>87.387593491234199</v>
      </c>
      <c r="P3" s="115">
        <v>37.432612233502603</v>
      </c>
      <c r="Q3" s="111">
        <v>87.387593491234213</v>
      </c>
      <c r="R3" s="68">
        <v>37.432612233502603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0.48784067854464896</v>
      </c>
      <c r="M4" s="115">
        <v>12.675211924255628</v>
      </c>
      <c r="N4" s="115">
        <v>416.89104106144316</v>
      </c>
      <c r="O4" s="115">
        <v>4.4932639714139455</v>
      </c>
      <c r="P4" s="115">
        <v>4.2092759469192105</v>
      </c>
      <c r="Q4" s="111">
        <v>4.4932639714139464</v>
      </c>
      <c r="R4" s="68">
        <v>4.2092759469192105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2.9885901419673663E-2</v>
      </c>
      <c r="M5" s="115">
        <v>131.08204397302592</v>
      </c>
      <c r="N5" s="115">
        <v>4492.3468475547052</v>
      </c>
      <c r="O5" s="115">
        <v>39.56903511837195</v>
      </c>
      <c r="P5" s="115">
        <v>33.364913004440787</v>
      </c>
      <c r="Q5" s="111">
        <v>39.56903511837195</v>
      </c>
      <c r="R5" s="68">
        <v>33.364913004440787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1.2223024031621959E-3</v>
      </c>
      <c r="M6" s="115">
        <v>510.05054460177041</v>
      </c>
      <c r="N6" s="115">
        <v>17594.209722079697</v>
      </c>
      <c r="O6" s="115">
        <v>103.09490984835352</v>
      </c>
      <c r="P6" s="115">
        <v>40.838964177199749</v>
      </c>
      <c r="Q6" s="111">
        <v>103.09490984835354</v>
      </c>
      <c r="R6" s="68">
        <v>40.838964177199756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2.3854752734121239E-3</v>
      </c>
      <c r="M7" s="115">
        <v>439.43806127350706</v>
      </c>
      <c r="N7" s="115">
        <v>15141.494494429793</v>
      </c>
      <c r="O7" s="115">
        <v>90.854810325408977</v>
      </c>
      <c r="P7" s="115">
        <v>38.382726480219105</v>
      </c>
      <c r="Q7" s="111">
        <v>90.854810325408977</v>
      </c>
      <c r="R7" s="68">
        <v>38.382726480219105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5.2197363903310357E-3</v>
      </c>
      <c r="M8" s="115">
        <v>343.99498547801693</v>
      </c>
      <c r="N8" s="115">
        <v>11836.024485009371</v>
      </c>
      <c r="O8" s="115">
        <v>74.461946594307236</v>
      </c>
      <c r="P8" s="115">
        <v>35.617925616725273</v>
      </c>
      <c r="Q8" s="111">
        <v>74.461946594307236</v>
      </c>
      <c r="R8" s="68">
        <v>35.617925616725273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0.16219491013862894</v>
      </c>
      <c r="M9" s="115">
        <v>48.592280197844175</v>
      </c>
      <c r="N9" s="115">
        <v>1654.4739034167978</v>
      </c>
      <c r="O9" s="115">
        <v>17.38384964459447</v>
      </c>
      <c r="P9" s="115">
        <v>17.06483403910606</v>
      </c>
      <c r="Q9" s="111">
        <v>17.38384964459447</v>
      </c>
      <c r="R9" s="68">
        <v>17.06483403910606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2.7614437529712606E-2</v>
      </c>
      <c r="M10" s="115">
        <v>139.33985525017911</v>
      </c>
      <c r="N10" s="115">
        <v>4776.4207910160249</v>
      </c>
      <c r="O10" s="115">
        <v>40.851581442396601</v>
      </c>
      <c r="P10" s="115">
        <v>33.301691663187754</v>
      </c>
      <c r="Q10" s="111">
        <v>40.851581442396608</v>
      </c>
      <c r="R10" s="68">
        <v>33.301691663187754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2.411962767958984E-2</v>
      </c>
      <c r="M11" s="115">
        <v>153.72706587755312</v>
      </c>
      <c r="N11" s="115">
        <v>5271.5228476912298</v>
      </c>
      <c r="O11" s="115">
        <v>43.086570476549447</v>
      </c>
      <c r="P11" s="115">
        <v>33.197628403412857</v>
      </c>
      <c r="Q11" s="111">
        <v>43.086570476549447</v>
      </c>
      <c r="R11" s="68">
        <v>33.197628403412857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0.1205479908149633</v>
      </c>
      <c r="M12" s="115">
        <v>58.918519043138687</v>
      </c>
      <c r="N12" s="115">
        <v>2009.7325763308957</v>
      </c>
      <c r="O12" s="115">
        <v>21.327061834842297</v>
      </c>
      <c r="P12" s="115">
        <v>21.204605310257843</v>
      </c>
      <c r="Q12" s="111">
        <v>21.327061834842297</v>
      </c>
      <c r="R12" s="68">
        <v>21.204605310257847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0.15781854764950087</v>
      </c>
      <c r="M13" s="115">
        <v>49.536013101918677</v>
      </c>
      <c r="N13" s="115">
        <v>1686.9424323230446</v>
      </c>
      <c r="O13" s="115">
        <v>17.740254019589145</v>
      </c>
      <c r="P13" s="115">
        <v>17.435671887074403</v>
      </c>
      <c r="Q13" s="111">
        <v>17.740254019589145</v>
      </c>
      <c r="R13" s="68">
        <v>17.435671887074403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1.5563390567497556E-2</v>
      </c>
      <c r="M14" s="115">
        <v>204.63003498307597</v>
      </c>
      <c r="N14" s="115">
        <v>7024.688547775705</v>
      </c>
      <c r="O14" s="115">
        <v>51.218813671588009</v>
      </c>
      <c r="P14" s="115">
        <v>33.280873379333784</v>
      </c>
      <c r="Q14" s="111">
        <v>51.218813671588009</v>
      </c>
      <c r="R14" s="68">
        <v>33.280873379333791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2.5822118010674806E-2</v>
      </c>
      <c r="M15" s="115">
        <v>146.43699799990034</v>
      </c>
      <c r="N15" s="115">
        <v>5020.6251227132425</v>
      </c>
      <c r="O15" s="115">
        <v>41.953682053653054</v>
      </c>
      <c r="P15" s="115">
        <v>33.248796067414837</v>
      </c>
      <c r="Q15" s="111">
        <v>41.953682053653054</v>
      </c>
      <c r="R15" s="68">
        <v>33.248796067414837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5.3947463202866953E-3</v>
      </c>
      <c r="M16" s="115">
        <v>339.29934489411215</v>
      </c>
      <c r="N16" s="115">
        <v>11673.698440532662</v>
      </c>
      <c r="O16" s="115">
        <v>73.646429398483534</v>
      </c>
      <c r="P16" s="115">
        <v>35.474142846292473</v>
      </c>
      <c r="Q16" s="111">
        <v>73.646429398483534</v>
      </c>
      <c r="R16" s="68">
        <v>35.47414284629248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2.9118375399374993E-2</v>
      </c>
      <c r="M17" s="115">
        <v>133.82314555853813</v>
      </c>
      <c r="N17" s="115">
        <v>4586.6318189195972</v>
      </c>
      <c r="O17" s="115">
        <v>39.997769981951542</v>
      </c>
      <c r="P17" s="115">
        <v>33.349060951645946</v>
      </c>
      <c r="Q17" s="111">
        <v>39.997769981951542</v>
      </c>
      <c r="R17" s="68">
        <v>33.349060951645946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0.18141672205334539</v>
      </c>
      <c r="M18" s="115">
        <v>44.075287830338397</v>
      </c>
      <c r="N18" s="115">
        <v>1499.2096616126137</v>
      </c>
      <c r="O18" s="115">
        <v>15.695800111334526</v>
      </c>
      <c r="P18" s="115">
        <v>15.325213124111572</v>
      </c>
      <c r="Q18" s="111">
        <v>15.695800111334528</v>
      </c>
      <c r="R18" s="68">
        <v>15.325213124111574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2.547551684691042E-2</v>
      </c>
      <c r="M19" s="115">
        <v>147.88565213517049</v>
      </c>
      <c r="N19" s="115">
        <v>5070.4773694090591</v>
      </c>
      <c r="O19" s="115">
        <v>42.179487511912498</v>
      </c>
      <c r="P19" s="115">
        <v>33.239711022682009</v>
      </c>
      <c r="Q19" s="111">
        <v>42.179487511912498</v>
      </c>
      <c r="R19" s="68">
        <v>33.239711022682009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0.15787698837166145</v>
      </c>
      <c r="M20" s="115">
        <v>49.554356448893714</v>
      </c>
      <c r="N20" s="115">
        <v>1687.5671125995812</v>
      </c>
      <c r="O20" s="115">
        <v>17.746823293427092</v>
      </c>
      <c r="P20" s="115">
        <v>17.442128373156752</v>
      </c>
      <c r="Q20" s="111">
        <v>17.746823293427095</v>
      </c>
      <c r="R20" s="68">
        <v>17.442128373156752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1.7702121432703343E-2</v>
      </c>
      <c r="M21" s="115">
        <v>188.61917175305291</v>
      </c>
      <c r="N21" s="115">
        <v>6473.049456386475</v>
      </c>
      <c r="O21" s="115">
        <v>48.602481294160441</v>
      </c>
      <c r="P21" s="115">
        <v>33.142586503710866</v>
      </c>
      <c r="Q21" s="111">
        <v>48.602481294160441</v>
      </c>
      <c r="R21" s="68">
        <v>33.142586503710866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0.64821151951570732</v>
      </c>
      <c r="M22" s="115">
        <v>5.8684963417892746</v>
      </c>
      <c r="N22" s="115">
        <v>180.27468537334454</v>
      </c>
      <c r="O22" s="115">
        <v>2.2595662588647487</v>
      </c>
      <c r="P22" s="115">
        <v>2.1489705190097754</v>
      </c>
      <c r="Q22" s="111">
        <v>2.2595662588647487</v>
      </c>
      <c r="R22" s="68">
        <v>2.1489705190097754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0.75809582139362108</v>
      </c>
      <c r="M23" s="115">
        <v>3.1542007683416</v>
      </c>
      <c r="N23" s="115">
        <v>84.717825583953811</v>
      </c>
      <c r="O23" s="115">
        <v>1.4199569719174328</v>
      </c>
      <c r="P23" s="115">
        <v>1.411985479905546</v>
      </c>
      <c r="Q23" s="111">
        <v>1.419956971917433</v>
      </c>
      <c r="R23" s="68">
        <v>1.411985479905546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0.31883835550382816</v>
      </c>
      <c r="M24" s="115">
        <v>25.428817390066484</v>
      </c>
      <c r="N24" s="115">
        <v>857.22947521018591</v>
      </c>
      <c r="O24" s="115">
        <v>8.9057133856643986</v>
      </c>
      <c r="P24" s="115">
        <v>8.470474408436468</v>
      </c>
      <c r="Q24" s="111">
        <v>8.9057133856643986</v>
      </c>
      <c r="R24" s="68">
        <v>8.470474408436468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7.5601886220377529E-2</v>
      </c>
      <c r="M25" s="115">
        <v>69.37249793052716</v>
      </c>
      <c r="N25" s="115">
        <v>2370.4278552702549</v>
      </c>
      <c r="O25" s="115">
        <v>25.533273307427649</v>
      </c>
      <c r="P25" s="115">
        <v>25.812243475221134</v>
      </c>
      <c r="Q25" s="111">
        <v>25.533273307427649</v>
      </c>
      <c r="R25" s="68">
        <v>25.812243475221138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1.9288590338001323E-2</v>
      </c>
      <c r="M26" s="115">
        <v>178.64555895903388</v>
      </c>
      <c r="N26" s="115">
        <v>6129.4937387867867</v>
      </c>
      <c r="O26" s="115">
        <v>47.010304341773214</v>
      </c>
      <c r="P26" s="115">
        <v>33.126932355508885</v>
      </c>
      <c r="Q26" s="111">
        <v>47.010304341773214</v>
      </c>
      <c r="R26" s="68">
        <v>33.126932355508885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2.8909033299002311E-3</v>
      </c>
      <c r="M27" s="115">
        <v>411.86102362461514</v>
      </c>
      <c r="N27" s="115">
        <v>14186.271071681675</v>
      </c>
      <c r="O27" s="115">
        <v>85.947031990085165</v>
      </c>
      <c r="P27" s="115">
        <v>37.268923419474227</v>
      </c>
      <c r="Q27" s="111">
        <v>85.947031990085179</v>
      </c>
      <c r="R27" s="68">
        <v>37.268923419474227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1.0350968887747478E-2</v>
      </c>
      <c r="M28" s="115">
        <v>255.72206050190329</v>
      </c>
      <c r="N28" s="115">
        <v>8786.6160186023753</v>
      </c>
      <c r="O28" s="115">
        <v>59.605572275406573</v>
      </c>
      <c r="P28" s="115">
        <v>33.83766674219337</v>
      </c>
      <c r="Q28" s="111">
        <v>59.60557227540658</v>
      </c>
      <c r="R28" s="68">
        <v>33.83766674219337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1.4580886789426007E-2</v>
      </c>
      <c r="M29" s="115">
        <v>178.73682466034276</v>
      </c>
      <c r="N29" s="115">
        <v>6135.1762727239375</v>
      </c>
      <c r="O29" s="115">
        <v>45.158449744416345</v>
      </c>
      <c r="P29" s="115">
        <v>29.814534440859035</v>
      </c>
      <c r="Q29" s="111">
        <v>45.158449744416345</v>
      </c>
      <c r="R29" s="68">
        <v>29.814534440859038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1.0350968887747478E-2</v>
      </c>
      <c r="M30" s="115">
        <v>255.72206050190329</v>
      </c>
      <c r="N30" s="115">
        <v>8786.6160186023753</v>
      </c>
      <c r="O30" s="115">
        <v>59.605572275406573</v>
      </c>
      <c r="P30" s="115">
        <v>33.83766674219337</v>
      </c>
      <c r="Q30" s="111">
        <v>59.60557227540658</v>
      </c>
      <c r="R30" s="68">
        <v>33.83766674219337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0.96995189628332068</v>
      </c>
      <c r="M31" s="115">
        <v>0.87742261777091735</v>
      </c>
      <c r="N31" s="115">
        <v>1.1365862474533877</v>
      </c>
      <c r="O31" s="115">
        <v>0.81101056443641895</v>
      </c>
      <c r="P31" s="115">
        <v>0.93865050675244532</v>
      </c>
      <c r="Q31" s="111">
        <v>0.81101056443641895</v>
      </c>
      <c r="R31" s="68">
        <v>0.93865050675244543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0.55788841345675133</v>
      </c>
      <c r="M32" s="115">
        <v>9.6358769792113712</v>
      </c>
      <c r="N32" s="115">
        <v>308.63240444616127</v>
      </c>
      <c r="O32" s="115">
        <v>3.1603211309295287</v>
      </c>
      <c r="P32" s="115">
        <v>2.9029596238021278</v>
      </c>
      <c r="Q32" s="111">
        <v>3.1603211309295287</v>
      </c>
      <c r="R32" s="68">
        <v>2.9029596238021282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0.99261039214950475</v>
      </c>
      <c r="M33" s="115">
        <v>0.87827971267249438</v>
      </c>
      <c r="N33" s="115">
        <v>0.5911610806440728</v>
      </c>
      <c r="O33" s="115">
        <v>0.84196783825603849</v>
      </c>
      <c r="P33" s="115">
        <v>0.98979700045841201</v>
      </c>
      <c r="Q33" s="111">
        <v>0.84196783825603849</v>
      </c>
      <c r="R33" s="68">
        <v>0.98979700045841201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0.92021109329539963</v>
      </c>
      <c r="M34" s="115">
        <v>2.6859452045296339</v>
      </c>
      <c r="N34" s="115">
        <v>75.52937161432088</v>
      </c>
      <c r="O34" s="115">
        <v>4.4076851181303782</v>
      </c>
      <c r="P34" s="115">
        <v>7.2057570931366435</v>
      </c>
      <c r="Q34" s="111">
        <v>4.4076851181303782</v>
      </c>
      <c r="R34" s="68">
        <v>7.2057570931366444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0.82360116628641811</v>
      </c>
      <c r="M35" s="115">
        <v>4.7543330296509296</v>
      </c>
      <c r="N35" s="115">
        <v>161.42744678688783</v>
      </c>
      <c r="O35" s="115">
        <v>8.8882998882758404</v>
      </c>
      <c r="P35" s="115">
        <v>15.044488878533206</v>
      </c>
      <c r="Q35" s="111">
        <v>8.8882998882758422</v>
      </c>
      <c r="R35" s="68">
        <v>15.044488878533208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0.54354577681781002</v>
      </c>
      <c r="M36" s="115">
        <v>10.191160581032348</v>
      </c>
      <c r="N36" s="115">
        <v>387.83743171312938</v>
      </c>
      <c r="O36" s="115">
        <v>21.787898871261984</v>
      </c>
      <c r="P36" s="115">
        <v>37.688074145764979</v>
      </c>
      <c r="Q36" s="111">
        <v>21.787898871261984</v>
      </c>
      <c r="R36" s="68">
        <v>37.688074145764986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0.58743242183296629</v>
      </c>
      <c r="M37" s="115">
        <v>14.304685680588742</v>
      </c>
      <c r="N37" s="115">
        <v>492.48495856088408</v>
      </c>
      <c r="O37" s="115">
        <v>11.543339461254662</v>
      </c>
      <c r="P37" s="115">
        <v>17.246091086089546</v>
      </c>
      <c r="Q37" s="111">
        <v>11.543339461254664</v>
      </c>
      <c r="R37" s="68">
        <v>17.246091086089546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0.93482672725072224</v>
      </c>
      <c r="M38" s="115">
        <v>2.3546055506817689</v>
      </c>
      <c r="N38" s="115">
        <v>61.374765157443008</v>
      </c>
      <c r="O38" s="115">
        <v>3.6009300432459925</v>
      </c>
      <c r="P38" s="115">
        <v>5.7802322383349978</v>
      </c>
      <c r="Q38" s="111">
        <v>3.6009300432459925</v>
      </c>
      <c r="R38" s="68">
        <v>5.7802322383349978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4.6600365535849876E-2</v>
      </c>
      <c r="M39" s="115">
        <v>90.257089856901644</v>
      </c>
      <c r="N39" s="115">
        <v>3088.8701702858543</v>
      </c>
      <c r="O39" s="115">
        <v>33.468534542074821</v>
      </c>
      <c r="P39" s="115">
        <v>34.142563567261504</v>
      </c>
      <c r="Q39" s="111">
        <v>33.468534542074828</v>
      </c>
      <c r="R39" s="68">
        <v>34.142563567261504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5.0100119364439328E-3</v>
      </c>
      <c r="M40" s="115">
        <v>703.14280102455575</v>
      </c>
      <c r="N40" s="115">
        <v>27841.710923339357</v>
      </c>
      <c r="O40" s="115">
        <v>98.268932865291646</v>
      </c>
      <c r="P40" s="115">
        <v>64.439232112613695</v>
      </c>
      <c r="Q40" s="111">
        <v>98.268932865291646</v>
      </c>
      <c r="R40" s="68">
        <v>64.439232112613695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0.90753117450991727</v>
      </c>
      <c r="M41" s="115">
        <v>0.79145636129322372</v>
      </c>
      <c r="N41" s="115">
        <v>6.4209477695245432E-2</v>
      </c>
      <c r="O41" s="115">
        <v>0.75025636342376101</v>
      </c>
      <c r="P41" s="115">
        <v>0.87180235060442723</v>
      </c>
      <c r="Q41" s="111">
        <v>0.75025636342376112</v>
      </c>
      <c r="R41" s="68">
        <v>0.87180235060442723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0.62116579045236708</v>
      </c>
      <c r="M42" s="115">
        <v>6.8129464308913308</v>
      </c>
      <c r="N42" s="115">
        <v>213.21843743640127</v>
      </c>
      <c r="O42" s="115">
        <v>2.5619951590299777</v>
      </c>
      <c r="P42" s="115">
        <v>2.4217200780242836</v>
      </c>
      <c r="Q42" s="111">
        <v>2.5619951590299777</v>
      </c>
      <c r="R42" s="68">
        <v>2.421720078024284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7.9542332596099899E-2</v>
      </c>
      <c r="M43" s="115">
        <v>37.219962866227526</v>
      </c>
      <c r="N43" s="115">
        <v>1479.8509364051449</v>
      </c>
      <c r="O43" s="115">
        <v>44.532447385903872</v>
      </c>
      <c r="P43" s="115">
        <v>74.846602922365065</v>
      </c>
      <c r="Q43" s="111">
        <v>44.532447385903879</v>
      </c>
      <c r="R43" s="68">
        <v>74.846602922365065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0.77716405567613167</v>
      </c>
      <c r="M44" s="115">
        <v>1.5493994925431596</v>
      </c>
      <c r="N44" s="115">
        <v>29.644807418693418</v>
      </c>
      <c r="O44" s="115">
        <v>0.91301297311061158</v>
      </c>
      <c r="P44" s="115">
        <v>0.97225612907135373</v>
      </c>
      <c r="Q44" s="111">
        <v>0.91301297311061158</v>
      </c>
      <c r="R44" s="68">
        <v>0.97225612907135384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0.59445171028999877</v>
      </c>
      <c r="M45" s="115">
        <v>7.7533754346410513</v>
      </c>
      <c r="N45" s="115">
        <v>246.02714468015529</v>
      </c>
      <c r="O45" s="115">
        <v>2.8652209070900518</v>
      </c>
      <c r="P45" s="115">
        <v>2.6973710507715989</v>
      </c>
      <c r="Q45" s="111">
        <v>2.8652209070900518</v>
      </c>
      <c r="R45" s="68">
        <v>2.6973710507715989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0.60995846213283522</v>
      </c>
      <c r="M46" s="115">
        <v>7.1371441303792595</v>
      </c>
      <c r="N46" s="115">
        <v>224.58739563763186</v>
      </c>
      <c r="O46" s="115">
        <v>2.6654086562562869</v>
      </c>
      <c r="P46" s="115">
        <v>2.5152618768255426</v>
      </c>
      <c r="Q46" s="111">
        <v>2.6654086562562869</v>
      </c>
      <c r="R46" s="68">
        <v>2.5152618768255426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2.665012173406906E-3</v>
      </c>
      <c r="M47" s="115">
        <v>426.72303913059028</v>
      </c>
      <c r="N47" s="115">
        <v>14700.546841054238</v>
      </c>
      <c r="O47" s="115">
        <v>88.660068215706559</v>
      </c>
      <c r="P47" s="115">
        <v>37.977678770240274</v>
      </c>
      <c r="Q47" s="111">
        <v>88.660068215706559</v>
      </c>
      <c r="R47" s="68">
        <v>37.977678770240274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0.90525924543478287</v>
      </c>
      <c r="M48" s="115">
        <v>1.0894973968018555</v>
      </c>
      <c r="N48" s="115">
        <v>10.246475166762862</v>
      </c>
      <c r="O48" s="115">
        <v>0.83904377261786511</v>
      </c>
      <c r="P48" s="115">
        <v>0.94247206170015219</v>
      </c>
      <c r="Q48" s="111">
        <v>0.83904377261786522</v>
      </c>
      <c r="R48" s="68">
        <v>0.94247206170015219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0.86956960662462968</v>
      </c>
      <c r="M49" s="115">
        <v>1.2765655715791826</v>
      </c>
      <c r="N49" s="115">
        <v>17.652015654068173</v>
      </c>
      <c r="O49" s="115">
        <v>0.8774480630567757</v>
      </c>
      <c r="P49" s="115">
        <v>0.96506971315925349</v>
      </c>
      <c r="Q49" s="111">
        <v>0.8774480630567757</v>
      </c>
      <c r="R49" s="68">
        <v>0.96506971315925361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0.1869654805402311</v>
      </c>
      <c r="M50" s="115">
        <v>42.360051042878645</v>
      </c>
      <c r="N50" s="115">
        <v>1440.3477296838614</v>
      </c>
      <c r="O50" s="115">
        <v>15.063058390856833</v>
      </c>
      <c r="P50" s="115">
        <v>14.681376037729976</v>
      </c>
      <c r="Q50" s="111">
        <v>15.063058390856833</v>
      </c>
      <c r="R50" s="68">
        <v>14.681376037729976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0.89889536802209347</v>
      </c>
      <c r="M51" s="115">
        <v>0.83652660717688843</v>
      </c>
      <c r="N51" s="115">
        <v>1.8464485338769063</v>
      </c>
      <c r="O51" s="115">
        <v>0.75851812707402966</v>
      </c>
      <c r="P51" s="115">
        <v>0.87527334022756254</v>
      </c>
      <c r="Q51" s="111">
        <v>0.75851812707402977</v>
      </c>
      <c r="R51" s="68">
        <v>0.87527334022756254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0.74960291241030386</v>
      </c>
      <c r="M52" s="115">
        <v>2.127642299113893</v>
      </c>
      <c r="N52" s="115">
        <v>50.095177009228401</v>
      </c>
      <c r="O52" s="115">
        <v>1.0831030225079781</v>
      </c>
      <c r="P52" s="115">
        <v>1.1133801926137099</v>
      </c>
      <c r="Q52" s="111">
        <v>1.0831030225079783</v>
      </c>
      <c r="R52" s="68">
        <v>1.1133801926137101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0.50766404394268305</v>
      </c>
      <c r="M53" s="115">
        <v>11.523022825676726</v>
      </c>
      <c r="N53" s="115">
        <v>377.02749886320476</v>
      </c>
      <c r="O53" s="115">
        <v>4.1065607996744324</v>
      </c>
      <c r="P53" s="115">
        <v>3.846170631261193</v>
      </c>
      <c r="Q53" s="111">
        <v>4.1065607996744324</v>
      </c>
      <c r="R53" s="68">
        <v>3.8461706312611934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3.6854477560103421E-3</v>
      </c>
      <c r="M54" s="115">
        <v>387.53460595510029</v>
      </c>
      <c r="N54" s="115">
        <v>13342.768922557509</v>
      </c>
      <c r="O54" s="115">
        <v>81.903332216780143</v>
      </c>
      <c r="P54" s="115">
        <v>36.779049648057622</v>
      </c>
      <c r="Q54" s="111">
        <v>81.903332216780143</v>
      </c>
      <c r="R54" s="68">
        <v>36.779049648057622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0.23202362578720243</v>
      </c>
      <c r="M55" s="115">
        <v>21.258783130283298</v>
      </c>
      <c r="N55" s="115">
        <v>717.8188673797024</v>
      </c>
      <c r="O55" s="115">
        <v>7.4533673543950973</v>
      </c>
      <c r="P55" s="115">
        <v>7.1098374798220956</v>
      </c>
      <c r="Q55" s="111">
        <v>7.4533673543950973</v>
      </c>
      <c r="R55" s="68">
        <v>7.1098374798220956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2.2073577131303961E-2</v>
      </c>
      <c r="M56" s="115">
        <v>10.059693276710245</v>
      </c>
      <c r="N56" s="115">
        <v>343.0611723316872</v>
      </c>
      <c r="O56" s="115">
        <v>3.6349808268691688</v>
      </c>
      <c r="P56" s="115">
        <v>3.6074764797164622</v>
      </c>
      <c r="Q56" s="111">
        <v>3.6349808268691688</v>
      </c>
      <c r="R56" s="68">
        <v>3.6074764797164622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3.3229151624874345E-2</v>
      </c>
      <c r="M57" s="115">
        <v>4.1146294758765229</v>
      </c>
      <c r="N57" s="115">
        <v>139.33972049357803</v>
      </c>
      <c r="O57" s="115">
        <v>1.4476912583212633</v>
      </c>
      <c r="P57" s="115">
        <v>1.3903423002121613</v>
      </c>
      <c r="Q57" s="111">
        <v>1.4476912583212636</v>
      </c>
      <c r="R57" s="68">
        <v>1.3903423002121613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5.9197426755049867E-2</v>
      </c>
      <c r="M58" s="115">
        <v>9.6219527281244763E-2</v>
      </c>
      <c r="N58" s="115">
        <v>1.5179430529904503</v>
      </c>
      <c r="O58" s="115">
        <v>6.2655212962211285E-2</v>
      </c>
      <c r="P58" s="115">
        <v>6.8170330630045087E-2</v>
      </c>
      <c r="Q58" s="111">
        <v>6.2655212962211285E-2</v>
      </c>
      <c r="R58" s="68">
        <v>6.8170330630045087E-2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1.2595817286050488E-2</v>
      </c>
      <c r="M59" s="115">
        <v>1.4548688881506717</v>
      </c>
      <c r="N59" s="115">
        <v>49.238350084206736</v>
      </c>
      <c r="O59" s="115">
        <v>0.51139970389889455</v>
      </c>
      <c r="P59" s="115">
        <v>0.49035206978503909</v>
      </c>
      <c r="Q59" s="111">
        <v>0.51139970389889455</v>
      </c>
      <c r="R59" s="68">
        <v>0.49035206978503909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4.4925071044037157E-4</v>
      </c>
      <c r="M60" s="115">
        <v>2.4214850359275782E-2</v>
      </c>
      <c r="N60" s="115">
        <v>0.81153868051390143</v>
      </c>
      <c r="O60" s="115">
        <v>8.4747065182762399E-3</v>
      </c>
      <c r="P60" s="115">
        <v>8.0016958193000459E-3</v>
      </c>
      <c r="Q60" s="111">
        <v>8.4747065182762399E-3</v>
      </c>
      <c r="R60" s="68">
        <v>8.0016958193000476E-3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0.42774995818178219</v>
      </c>
      <c r="M61" s="115">
        <v>16.350812276633555</v>
      </c>
      <c r="N61" s="115">
        <v>544.0358158340191</v>
      </c>
      <c r="O61" s="115">
        <v>5.7408194322415076</v>
      </c>
      <c r="P61" s="115">
        <v>5.3939945958956468</v>
      </c>
      <c r="Q61" s="111">
        <v>5.7408194322415076</v>
      </c>
      <c r="R61" s="68">
        <v>5.3939945958956468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1.6028193681212305E-2</v>
      </c>
      <c r="M62" s="115">
        <v>201.12204834780596</v>
      </c>
      <c r="N62" s="115">
        <v>6903.7905253305998</v>
      </c>
      <c r="O62" s="115">
        <v>50.654093162408039</v>
      </c>
      <c r="P62" s="115">
        <v>33.265044384478593</v>
      </c>
      <c r="Q62" s="111">
        <v>50.654093162408046</v>
      </c>
      <c r="R62" s="68">
        <v>33.265044384478593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1.4851781895279599E-3</v>
      </c>
      <c r="M63" s="115">
        <v>490.62781404749313</v>
      </c>
      <c r="N63" s="115">
        <v>16918.83433919802</v>
      </c>
      <c r="O63" s="115">
        <v>99.72155859829617</v>
      </c>
      <c r="P63" s="115">
        <v>40.130407634958516</v>
      </c>
      <c r="Q63" s="111">
        <v>99.72155859829617</v>
      </c>
      <c r="R63" s="68">
        <v>40.130407634958523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5.3450835607248709E-4</v>
      </c>
      <c r="M64" s="115">
        <v>581.27577554801792</v>
      </c>
      <c r="N64" s="115">
        <v>20077.166944603512</v>
      </c>
      <c r="O64" s="115">
        <v>115.46737993929018</v>
      </c>
      <c r="P64" s="115">
        <v>43.621923800111873</v>
      </c>
      <c r="Q64" s="111">
        <v>115.46737993929018</v>
      </c>
      <c r="R64" s="68">
        <v>43.621923800111873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1.5582640042054614E-4</v>
      </c>
      <c r="M65" s="115">
        <v>656.984738031039</v>
      </c>
      <c r="N65" s="115">
        <v>22733.407075841962</v>
      </c>
      <c r="O65" s="115">
        <v>128.51054944180163</v>
      </c>
      <c r="P65" s="115">
        <v>46.872645136062161</v>
      </c>
      <c r="Q65" s="111">
        <v>128.51054944180166</v>
      </c>
      <c r="R65" s="68">
        <v>46.872645136062168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3.1662738939079889E-4</v>
      </c>
      <c r="M66" s="115">
        <v>617.49439909438843</v>
      </c>
      <c r="N66" s="115">
        <v>21344.918041700166</v>
      </c>
      <c r="O66" s="115">
        <v>121.73534362455541</v>
      </c>
      <c r="P66" s="115">
        <v>45.142555369763095</v>
      </c>
      <c r="Q66" s="111">
        <v>121.73534362455541</v>
      </c>
      <c r="R66" s="68">
        <v>45.142555369763095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0.83355272970240435</v>
      </c>
      <c r="M67" s="115">
        <v>1.8542685458862302</v>
      </c>
      <c r="N67" s="115">
        <v>38.330148540376634</v>
      </c>
      <c r="O67" s="115">
        <v>1.0404913861026994</v>
      </c>
      <c r="P67" s="115">
        <v>1.0955734277607467</v>
      </c>
      <c r="Q67" s="111">
        <v>1.0404913861026994</v>
      </c>
      <c r="R67" s="68">
        <v>1.0955734277607467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0.7778191544936951</v>
      </c>
      <c r="M68" s="115">
        <v>2.6105820104528683</v>
      </c>
      <c r="N68" s="115">
        <v>65.664366675405219</v>
      </c>
      <c r="O68" s="115">
        <v>1.2538303868925291</v>
      </c>
      <c r="P68" s="115">
        <v>1.2692658947283191</v>
      </c>
      <c r="Q68" s="111">
        <v>1.2538303868925291</v>
      </c>
      <c r="R68" s="68">
        <v>1.2692658947283193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5.6569067028324265E-3</v>
      </c>
      <c r="M69" s="115">
        <v>331.70631086756799</v>
      </c>
      <c r="N69" s="115">
        <v>11411.341355272898</v>
      </c>
      <c r="O69" s="115">
        <v>72.303197536986161</v>
      </c>
      <c r="P69" s="115">
        <v>35.200959768152828</v>
      </c>
      <c r="Q69" s="111">
        <v>72.303197536986161</v>
      </c>
      <c r="R69" s="68">
        <v>35.200959768152828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9.0648982514110382E-2</v>
      </c>
      <c r="M70" s="115">
        <v>67.422604104428444</v>
      </c>
      <c r="N70" s="115">
        <v>2302.5989645286104</v>
      </c>
      <c r="O70" s="115">
        <v>24.6741675141384</v>
      </c>
      <c r="P70" s="115">
        <v>24.80563553381656</v>
      </c>
      <c r="Q70" s="111">
        <v>24.674167514138404</v>
      </c>
      <c r="R70" s="68">
        <v>24.80563553381656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0.77441407019025132</v>
      </c>
      <c r="M71" s="115">
        <v>2.4274001875877098</v>
      </c>
      <c r="N71" s="115">
        <v>59.542682253721317</v>
      </c>
      <c r="O71" s="115">
        <v>1.1928487601969051</v>
      </c>
      <c r="P71" s="115">
        <v>1.2149459566831289</v>
      </c>
      <c r="Q71" s="111">
        <v>1.1928487601969051</v>
      </c>
      <c r="R71" s="68">
        <v>1.2149459566831291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9.7703755682856344E-2</v>
      </c>
      <c r="M72" s="115">
        <v>61.720092007653776</v>
      </c>
      <c r="N72" s="115">
        <v>2106.9182971655314</v>
      </c>
      <c r="O72" s="115">
        <v>22.489405023728448</v>
      </c>
      <c r="P72" s="115">
        <v>22.511915080097477</v>
      </c>
      <c r="Q72" s="111">
        <v>22.489405023728448</v>
      </c>
      <c r="R72" s="68">
        <v>22.511915080097477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0.40201578485234568</v>
      </c>
      <c r="M73" s="115">
        <v>17.227668124756864</v>
      </c>
      <c r="N73" s="115">
        <v>574.74384959669794</v>
      </c>
      <c r="O73" s="115">
        <v>6.0393701590690885</v>
      </c>
      <c r="P73" s="115">
        <v>5.6826137143722111</v>
      </c>
      <c r="Q73" s="111">
        <v>6.0393701590690894</v>
      </c>
      <c r="R73" s="68">
        <v>5.6826137143722111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9.298112194175269E-2</v>
      </c>
      <c r="M74" s="115">
        <v>66.004102991891287</v>
      </c>
      <c r="N74" s="115">
        <v>2253.8782345339041</v>
      </c>
      <c r="O74" s="115">
        <v>24.124868379680368</v>
      </c>
      <c r="P74" s="115">
        <v>24.22352107238946</v>
      </c>
      <c r="Q74" s="111">
        <v>24.124868379680372</v>
      </c>
      <c r="R74" s="68">
        <v>24.22352107238946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3.8167226862484548E-2</v>
      </c>
      <c r="M75" s="115">
        <v>121.15930594411579</v>
      </c>
      <c r="N75" s="115">
        <v>4843.6186244754235</v>
      </c>
      <c r="O75" s="115">
        <v>52.695953322130855</v>
      </c>
      <c r="P75" s="115">
        <v>76.887815905233737</v>
      </c>
      <c r="Q75" s="111">
        <v>52.695953322130862</v>
      </c>
      <c r="R75" s="68">
        <v>76.887815905233751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3.8167227042847425E-2</v>
      </c>
      <c r="M76" s="115">
        <v>121.15930651666567</v>
      </c>
      <c r="N76" s="115">
        <v>4843.6186473644066</v>
      </c>
      <c r="O76" s="115">
        <v>52.695953571150625</v>
      </c>
      <c r="P76" s="115">
        <v>76.887816268574468</v>
      </c>
      <c r="Q76" s="111">
        <v>52.695953571150625</v>
      </c>
      <c r="R76" s="68">
        <v>76.887816268574468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0.21973242554817715</v>
      </c>
      <c r="M77" s="115">
        <v>34.317932615646839</v>
      </c>
      <c r="N77" s="115">
        <v>1164.2480691535814</v>
      </c>
      <c r="O77" s="115">
        <v>12.118048690890307</v>
      </c>
      <c r="P77" s="115">
        <v>11.702444046490459</v>
      </c>
      <c r="Q77" s="111">
        <v>12.118048690890308</v>
      </c>
      <c r="R77" s="68">
        <v>11.702444046490461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0.60944886331078063</v>
      </c>
      <c r="M78" s="115">
        <v>6.1354491519187846</v>
      </c>
      <c r="N78" s="115">
        <v>190.51613694939144</v>
      </c>
      <c r="O78" s="115">
        <v>2.3303024007740509</v>
      </c>
      <c r="P78" s="115">
        <v>2.2082604483583839</v>
      </c>
      <c r="Q78" s="111">
        <v>2.3303024007740509</v>
      </c>
      <c r="R78" s="68">
        <v>2.2082604483583839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0.49669350512205851</v>
      </c>
      <c r="M79" s="115">
        <v>11.792554532964401</v>
      </c>
      <c r="N79" s="115">
        <v>386.54575779299921</v>
      </c>
      <c r="O79" s="115">
        <v>4.1946604971270256</v>
      </c>
      <c r="P79" s="115">
        <v>3.9287574565159518</v>
      </c>
      <c r="Q79" s="111">
        <v>4.1946604971270256</v>
      </c>
      <c r="R79" s="68">
        <v>3.9287574565159518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2.42075372518137E-2</v>
      </c>
      <c r="M80" s="115">
        <v>220.15902418919984</v>
      </c>
      <c r="N80" s="115">
        <v>8802.9740839332499</v>
      </c>
      <c r="O80" s="115">
        <v>60.638126839197291</v>
      </c>
      <c r="P80" s="115">
        <v>76.085122738924028</v>
      </c>
      <c r="Q80" s="111">
        <v>60.638126839197291</v>
      </c>
      <c r="R80" s="68">
        <v>76.085122738924028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0.96442099344170551</v>
      </c>
      <c r="M81" s="115">
        <v>0.88868793087857867</v>
      </c>
      <c r="N81" s="115">
        <v>1.6818871652069589</v>
      </c>
      <c r="O81" s="115">
        <v>0.81119243011910847</v>
      </c>
      <c r="P81" s="115">
        <v>0.93702809675991994</v>
      </c>
      <c r="Q81" s="111">
        <v>0.81119243011910847</v>
      </c>
      <c r="R81" s="68">
        <v>0.93702809675991994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0.76293069845728556</v>
      </c>
      <c r="M82" s="115">
        <v>3.0597260439051581</v>
      </c>
      <c r="N82" s="115">
        <v>81.364436071344358</v>
      </c>
      <c r="O82" s="115">
        <v>1.3917252658814119</v>
      </c>
      <c r="P82" s="115">
        <v>1.3879329117570391</v>
      </c>
      <c r="Q82" s="111">
        <v>1.3917252658814119</v>
      </c>
      <c r="R82" s="68">
        <v>1.3879329117570391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0.26280244239645506</v>
      </c>
      <c r="M83" s="115">
        <v>31.79565994786871</v>
      </c>
      <c r="N83" s="115">
        <v>1076.5285585922404</v>
      </c>
      <c r="O83" s="115">
        <v>11.183390134467722</v>
      </c>
      <c r="P83" s="115">
        <v>10.734586316072775</v>
      </c>
      <c r="Q83" s="111">
        <v>11.183390134467722</v>
      </c>
      <c r="R83" s="68">
        <v>10.734586316072775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0.93157466037829995</v>
      </c>
      <c r="M84" s="115">
        <v>1.0121525642154081</v>
      </c>
      <c r="N84" s="115">
        <v>6.8429809852061361</v>
      </c>
      <c r="O84" s="115">
        <v>0.82996487424693399</v>
      </c>
      <c r="P84" s="115">
        <v>0.942347034310687</v>
      </c>
      <c r="Q84" s="111">
        <v>0.82996487424693399</v>
      </c>
      <c r="R84" s="68">
        <v>0.94234703431068711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0.98105918484967736</v>
      </c>
      <c r="M85" s="115">
        <v>0.8637169732237443</v>
      </c>
      <c r="N85" s="115">
        <v>0.34464377638667032</v>
      </c>
      <c r="O85" s="115">
        <v>0.81336620943592031</v>
      </c>
      <c r="P85" s="115">
        <v>0.94413281988313091</v>
      </c>
      <c r="Q85" s="111">
        <v>0.81336620943592031</v>
      </c>
      <c r="R85" s="68">
        <v>0.94413281988313102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0.93306031969002301</v>
      </c>
      <c r="M86" s="115">
        <v>1.0045468540020623</v>
      </c>
      <c r="N86" s="115">
        <v>6.5408614961634655</v>
      </c>
      <c r="O86" s="115">
        <v>0.82847418635599079</v>
      </c>
      <c r="P86" s="115">
        <v>0.94155423446285713</v>
      </c>
      <c r="Q86" s="111">
        <v>0.8284741863559909</v>
      </c>
      <c r="R86" s="68">
        <v>0.94155423446285713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2.1330454173342354E-3</v>
      </c>
      <c r="M87" s="115">
        <v>452.06288242091284</v>
      </c>
      <c r="N87" s="115">
        <v>15579.497925712678</v>
      </c>
      <c r="O87" s="115">
        <v>93.039071607338769</v>
      </c>
      <c r="P87" s="115">
        <v>38.79942869677793</v>
      </c>
      <c r="Q87" s="111">
        <v>93.039071607338784</v>
      </c>
      <c r="R87" s="68">
        <v>38.79942869677793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0.67696799427720089</v>
      </c>
      <c r="M88" s="115">
        <v>5.0784519928988585</v>
      </c>
      <c r="N88" s="115">
        <v>152.54370852334057</v>
      </c>
      <c r="O88" s="115">
        <v>2.0112090398691396</v>
      </c>
      <c r="P88" s="115">
        <v>1.9277463401575876</v>
      </c>
      <c r="Q88" s="111">
        <v>2.0112090398691396</v>
      </c>
      <c r="R88" s="68">
        <v>1.9277463401575876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0.74827406775514826</v>
      </c>
      <c r="M89" s="115">
        <v>3.3544979038599445</v>
      </c>
      <c r="N89" s="115">
        <v>91.815336038895012</v>
      </c>
      <c r="O89" s="115">
        <v>1.4801641038118252</v>
      </c>
      <c r="P89" s="115">
        <v>1.4635221901322515</v>
      </c>
      <c r="Q89" s="111">
        <v>1.4801641038118254</v>
      </c>
      <c r="R89" s="68">
        <v>1.4635221901322517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0.87500567350646585</v>
      </c>
      <c r="M90" s="115">
        <v>1.4378559461798335</v>
      </c>
      <c r="N90" s="115">
        <v>22.967281854988684</v>
      </c>
      <c r="O90" s="115">
        <v>0.93102940971348791</v>
      </c>
      <c r="P90" s="115">
        <v>1.0118084580868045</v>
      </c>
      <c r="Q90" s="111">
        <v>0.93102940971348791</v>
      </c>
      <c r="R90" s="68">
        <v>1.0118084580868045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1.3831907002710182E-2</v>
      </c>
      <c r="M91" s="115">
        <v>219.23413551605262</v>
      </c>
      <c r="N91" s="115">
        <v>7528.0805275772864</v>
      </c>
      <c r="O91" s="115">
        <v>53.601553849873234</v>
      </c>
      <c r="P91" s="115">
        <v>33.406779141024998</v>
      </c>
      <c r="Q91" s="111">
        <v>53.601553849873234</v>
      </c>
      <c r="R91" s="68">
        <v>33.406779141024998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0.32212138836759785</v>
      </c>
      <c r="M92" s="115">
        <v>25.103948200112058</v>
      </c>
      <c r="N92" s="115">
        <v>846.03199936538351</v>
      </c>
      <c r="O92" s="115">
        <v>8.7906810225566705</v>
      </c>
      <c r="P92" s="115">
        <v>8.3571191666749645</v>
      </c>
      <c r="Q92" s="111">
        <v>8.7906810225566705</v>
      </c>
      <c r="R92" s="68">
        <v>8.3571191666749662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0.12227792363781124</v>
      </c>
      <c r="M93" s="115">
        <v>58.386555585217501</v>
      </c>
      <c r="N93" s="115">
        <v>1991.4368232077441</v>
      </c>
      <c r="O93" s="115">
        <v>21.122096846119359</v>
      </c>
      <c r="P93" s="115">
        <v>20.987954178035707</v>
      </c>
      <c r="Q93" s="111">
        <v>21.122096846119359</v>
      </c>
      <c r="R93" s="68">
        <v>20.987954178035711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0.98287247123941479</v>
      </c>
      <c r="M94" s="115">
        <v>1.1804079255280602</v>
      </c>
      <c r="N94" s="115">
        <v>13.064384815114922</v>
      </c>
      <c r="O94" s="115">
        <v>1.3719616601463795</v>
      </c>
      <c r="P94" s="115">
        <v>1.9084981530014147</v>
      </c>
      <c r="Q94" s="111">
        <v>1.3719616601463795</v>
      </c>
      <c r="R94" s="68">
        <v>1.9084981530014149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3.4503218167621148E-2</v>
      </c>
      <c r="M95" s="115">
        <v>117.04703085551219</v>
      </c>
      <c r="N95" s="115">
        <v>4009.6599738745153</v>
      </c>
      <c r="O95" s="115">
        <v>37.442154414811554</v>
      </c>
      <c r="P95" s="115">
        <v>33.572391038168035</v>
      </c>
      <c r="Q95" s="111">
        <v>37.442154414811554</v>
      </c>
      <c r="R95" s="68">
        <v>33.572391038168035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0.9633192942857417</v>
      </c>
      <c r="M96" s="115">
        <v>0.89127196069727277</v>
      </c>
      <c r="N96" s="115">
        <v>1.8020687754240814</v>
      </c>
      <c r="O96" s="115">
        <v>0.81133354515951472</v>
      </c>
      <c r="P96" s="115">
        <v>0.93679197340049569</v>
      </c>
      <c r="Q96" s="111">
        <v>0.81133354515951472</v>
      </c>
      <c r="R96" s="68">
        <v>0.9367919734004958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0.93081880775249748</v>
      </c>
      <c r="M97" s="115">
        <v>1.0160938604790315</v>
      </c>
      <c r="N97" s="115">
        <v>6.9991265388253874</v>
      </c>
      <c r="O97" s="115">
        <v>0.83074632955242078</v>
      </c>
      <c r="P97" s="115">
        <v>0.94277048887766746</v>
      </c>
      <c r="Q97" s="111">
        <v>0.83074632955242078</v>
      </c>
      <c r="R97" s="68">
        <v>0.94277048887766746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7.2014953039383739E-2</v>
      </c>
      <c r="M98" s="115">
        <v>76.014414578910035</v>
      </c>
      <c r="N98" s="115">
        <v>2598.2205312778278</v>
      </c>
      <c r="O98" s="115">
        <v>28.086823169944623</v>
      </c>
      <c r="P98" s="115">
        <v>28.499012123640291</v>
      </c>
      <c r="Q98" s="111">
        <v>28.086823169944626</v>
      </c>
      <c r="R98" s="68">
        <v>28.499012123640291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0.98472335075888295</v>
      </c>
      <c r="M99" s="115">
        <v>0.86196858905538509</v>
      </c>
      <c r="N99" s="115">
        <v>0.17760003146879641</v>
      </c>
      <c r="O99" s="115">
        <v>0.8149767423634442</v>
      </c>
      <c r="P99" s="115">
        <v>0.94660754833751393</v>
      </c>
      <c r="Q99" s="111">
        <v>0.8149767423634442</v>
      </c>
      <c r="R99" s="68">
        <v>0.94660754833751393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0.53351417818157698</v>
      </c>
      <c r="M100" s="115">
        <v>10.3530574807757</v>
      </c>
      <c r="N100" s="115">
        <v>336.38661102969115</v>
      </c>
      <c r="O100" s="115">
        <v>3.7181175597828893</v>
      </c>
      <c r="P100" s="115">
        <v>3.4837306738013214</v>
      </c>
      <c r="Q100" s="111">
        <v>3.7181175597828897</v>
      </c>
      <c r="R100" s="68">
        <v>3.4837306738013218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0.97916185125291988</v>
      </c>
      <c r="M101" s="115">
        <v>0.86518217485006066</v>
      </c>
      <c r="N101" s="115">
        <v>0.45015407854061174</v>
      </c>
      <c r="O101" s="115">
        <v>0.8126992303310282</v>
      </c>
      <c r="P101" s="115">
        <v>0.94298322794621736</v>
      </c>
      <c r="Q101" s="111">
        <v>0.8126992303310282</v>
      </c>
      <c r="R101" s="68">
        <v>0.94298322794621736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0.98947007954919453</v>
      </c>
      <c r="M102" s="115">
        <v>0.86197013656527977</v>
      </c>
      <c r="N102" s="115">
        <v>3.8105077304450674E-2</v>
      </c>
      <c r="O102" s="115">
        <v>0.81773038755346361</v>
      </c>
      <c r="P102" s="115">
        <v>0.95032922430472355</v>
      </c>
      <c r="Q102" s="111">
        <v>0.81773038755346361</v>
      </c>
      <c r="R102" s="68">
        <v>0.95032922430472366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0.98498587068119814</v>
      </c>
      <c r="M103" s="115">
        <v>0.86189999513918236</v>
      </c>
      <c r="N103" s="115">
        <v>0.1675558598827083</v>
      </c>
      <c r="O103" s="115">
        <v>0.81510892028017834</v>
      </c>
      <c r="P103" s="115">
        <v>0.94679797002811728</v>
      </c>
      <c r="Q103" s="111">
        <v>0.81510892028017845</v>
      </c>
      <c r="R103" s="68">
        <v>0.94679797002811739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0.94814455298450784</v>
      </c>
      <c r="M104" s="115">
        <v>0.93803344841957437</v>
      </c>
      <c r="N104" s="115">
        <v>3.8371619513657866</v>
      </c>
      <c r="O104" s="115">
        <v>0.81675838517578669</v>
      </c>
      <c r="P104" s="115">
        <v>0.93646885496581422</v>
      </c>
      <c r="Q104" s="111">
        <v>0.81675838517578681</v>
      </c>
      <c r="R104" s="68">
        <v>0.93646885496581422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0.98876990245046636</v>
      </c>
      <c r="M105" s="115">
        <v>0.86179739892005458</v>
      </c>
      <c r="N105" s="115">
        <v>5.2834088194930288E-2</v>
      </c>
      <c r="O105" s="115">
        <v>0.81727402267169258</v>
      </c>
      <c r="P105" s="115">
        <v>0.94974226596186739</v>
      </c>
      <c r="Q105" s="111">
        <v>0.81727402267169258</v>
      </c>
      <c r="R105" s="68">
        <v>0.94974226596186739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0.84443607542208721</v>
      </c>
      <c r="M106" s="115">
        <v>1.7764471148004741</v>
      </c>
      <c r="N106" s="115">
        <v>35.366169371208848</v>
      </c>
      <c r="O106" s="115">
        <v>1.0215782178153041</v>
      </c>
      <c r="P106" s="115">
        <v>1.0818316181009626</v>
      </c>
      <c r="Q106" s="111">
        <v>1.0215782178153043</v>
      </c>
      <c r="R106" s="68">
        <v>1.0818316181009626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5.7876891621692163E-2</v>
      </c>
      <c r="M107" s="115">
        <v>82.751394832397679</v>
      </c>
      <c r="N107" s="115">
        <v>2830.3292499387571</v>
      </c>
      <c r="O107" s="115">
        <v>30.84027900570614</v>
      </c>
      <c r="P107" s="115">
        <v>31.544686292458174</v>
      </c>
      <c r="Q107" s="111">
        <v>30.84027900570614</v>
      </c>
      <c r="R107" s="68">
        <v>31.544686292458177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0.58154093081670544</v>
      </c>
      <c r="M108" s="115">
        <v>8.2783177398263899</v>
      </c>
      <c r="N108" s="115">
        <v>264.28533490066417</v>
      </c>
      <c r="O108" s="115">
        <v>3.0361638812843776</v>
      </c>
      <c r="P108" s="115">
        <v>2.8538438268309352</v>
      </c>
      <c r="Q108" s="111">
        <v>3.0361638812843776</v>
      </c>
      <c r="R108" s="68">
        <v>2.8538438268309352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2024-10-28T23:25:05Z</dcterms:modified>
</cp:coreProperties>
</file>