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B6104F0F-316F-46D4-9CD1-F9A1DA9AC0D6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<sst xmlns="http://schemas.openxmlformats.org/spreadsheetml/2006/main" count="2915" uniqueCount="495">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</sst>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8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6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1.0500000000000001E-2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6" ht="13.15">
      <c r="A1" s="74" t="s">
        <v>132</v>
      </c>
      <c r="B1" s="75"/>
      <c r="F1" s="74" t="s">
        <v>131</v>
      </c>
      <c r="I1" s="76"/>
    </row>
    <row r="2" spans="1:16" ht="13.15" thickBot="1">
      <c r="B2" s="75"/>
      <c r="I2" s="76"/>
    </row>
    <row r="3" spans="1:16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6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6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6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6" ht="13.15" thickBot="1">
      <c r="B7" s="87"/>
      <c r="I7" s="76"/>
    </row>
    <row r="8" spans="1:16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6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6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6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6" ht="13.15" thickBot="1">
      <c r="A12" s="76" t="s">
        <v>22</v>
      </c>
      <c r="B12" s="138">
        <f>G13/1000000/G12*1000000</f>
        <v>2.9399999999999999E-3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6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2.9399999999999999E-3</v>
      </c>
      <c r="H13" s="75" t="s">
        <v>16</v>
      </c>
      <c r="K13" s="75"/>
      <c r="L13" s="76"/>
      <c r="M13" s="75"/>
    </row>
    <row r="14" spans="1:16" ht="13.15" thickBot="1">
      <c r="C14" s="76"/>
      <c r="D14" s="76"/>
      <c r="E14" s="76"/>
      <c r="F14" s="102" t="s">
        <v>164</v>
      </c>
      <c r="G14" s="88">
        <v>7.4</v>
      </c>
    </row>
    <row r="15" spans="1:16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P15" s="163">
        <v>0.04</v>
      </c>
    </row>
    <row r="16" spans="1:16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P16" s="163">
        <v>0.01</v>
      </c>
    </row>
    <row r="17" spans="1:16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P17" s="163">
        <v>0.06</v>
      </c>
    </row>
    <row r="18" spans="1:16">
      <c r="C18" s="76"/>
      <c r="D18" s="76"/>
      <c r="E18" s="76"/>
      <c r="K18" s="75"/>
    </row>
    <row r="19" spans="1:16" ht="13.15">
      <c r="A19" s="93" t="s">
        <v>15</v>
      </c>
      <c r="C19" s="76"/>
      <c r="D19" s="76"/>
      <c r="E19" s="76"/>
    </row>
    <row r="20" spans="1:16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6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7.3499999999999998E-5</v>
      </c>
      <c r="K21" s="76" t="s">
        <v>125</v>
      </c>
      <c r="M21" s="75"/>
    </row>
    <row r="22" spans="1:16" ht="13.15" thickBot="1">
      <c r="A22" s="75"/>
      <c r="C22" s="76"/>
      <c r="F22" s="102" t="s">
        <v>164</v>
      </c>
      <c r="G22" s="88">
        <v>7.4</v>
      </c>
      <c r="J22" s="95">
        <f>B12*(G9+G10)/B6</f>
        <v>3.675E-6</v>
      </c>
      <c r="K22" s="78" t="s">
        <v>126</v>
      </c>
      <c r="L22" s="96"/>
    </row>
    <row r="23" spans="1:16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6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6">
      <c r="C25" s="96"/>
      <c r="F25" s="76" t="s">
        <v>137</v>
      </c>
    </row>
    <row r="26" spans="1:16">
      <c r="B26" s="75"/>
      <c r="F26" s="98" t="s">
        <v>152</v>
      </c>
      <c r="G26" s="76" t="b">
        <v>0</v>
      </c>
    </row>
    <row r="27" spans="1:16" ht="13.15">
      <c r="C27" s="96"/>
      <c r="F27" s="74"/>
      <c r="G27" s="75"/>
      <c r="H27" s="75"/>
      <c r="J27" s="99"/>
    </row>
    <row r="28" spans="1:16" ht="13.15">
      <c r="B28" s="100"/>
      <c r="C28" s="96"/>
      <c r="F28" s="6" t="s">
        <v>269</v>
      </c>
      <c r="G28" s="75"/>
      <c r="H28" s="75"/>
      <c r="J28" s="99"/>
    </row>
    <row r="29" spans="1:16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6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6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6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1.4253091845311157E-5</v>
      </c>
      <c r="J2" s="67" t="s">
        <v>231</v>
      </c>
      <c r="K2" s="68">
        <v>2.5039421870860878E-3</v>
      </c>
      <c r="L2" s="67" t="s">
        <v>231</v>
      </c>
      <c r="M2" s="68">
        <v>5.516071287233338E-2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5.4869268592786062E-3</v>
      </c>
      <c r="J3" s="67" t="s">
        <v>231</v>
      </c>
      <c r="K3" s="68">
        <v>0.5909293384674319</v>
      </c>
      <c r="L3" s="67" t="s">
        <v>231</v>
      </c>
      <c r="M3" s="68">
        <v>19.643713600081441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2.4273183559026536E-3</v>
      </c>
      <c r="J4" s="67" t="s">
        <v>231</v>
      </c>
      <c r="K4" s="68">
        <v>1.3833152412506936E-2</v>
      </c>
      <c r="L4" s="67" t="s">
        <v>231</v>
      </c>
      <c r="M4" s="68">
        <v>0.42019541882739486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7.2583920682474544E-3</v>
      </c>
      <c r="J5" s="67" t="s">
        <v>231</v>
      </c>
      <c r="K5" s="68">
        <v>0.15070233457613183</v>
      </c>
      <c r="L5" s="67" t="s">
        <v>231</v>
      </c>
      <c r="M5" s="68">
        <v>4.8914100395977229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1.6792974566804092E-2</v>
      </c>
      <c r="J6" s="67" t="s">
        <v>232</v>
      </c>
      <c r="K6" s="68">
        <v>0.77164204716303808</v>
      </c>
      <c r="L6" s="67" t="s">
        <v>231</v>
      </c>
      <c r="M6" s="68">
        <v>25.81221654311668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2.2491286794928686E-3</v>
      </c>
      <c r="J7" s="67" t="s">
        <v>231</v>
      </c>
      <c r="K7" s="68">
        <v>0.62696046376487025</v>
      </c>
      <c r="L7" s="67" t="s">
        <v>231</v>
      </c>
      <c r="M7" s="68">
        <v>20.86061361360936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3.9484731438940608E-3</v>
      </c>
      <c r="J8" s="67" t="s">
        <v>231</v>
      </c>
      <c r="K8" s="68">
        <v>0.45592019828450259</v>
      </c>
      <c r="L8" s="67" t="s">
        <v>231</v>
      </c>
      <c r="M8" s="68">
        <v>15.067630165730654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6.1202047707403632E-4</v>
      </c>
      <c r="J9" s="67" t="s">
        <v>231</v>
      </c>
      <c r="K9" s="68">
        <v>5.3646515411237217E-2</v>
      </c>
      <c r="L9" s="67" t="s">
        <v>231</v>
      </c>
      <c r="M9" s="68">
        <v>1.7059784495573087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4.3654808433913556E-3</v>
      </c>
      <c r="J10" s="67" t="s">
        <v>231</v>
      </c>
      <c r="K10" s="68">
        <v>0.16098156261954014</v>
      </c>
      <c r="L10" s="67" t="s">
        <v>231</v>
      </c>
      <c r="M10" s="68">
        <v>5.2300318001286934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1.0736286835533626E-3</v>
      </c>
      <c r="J11" s="67" t="s">
        <v>231</v>
      </c>
      <c r="K11" s="68">
        <v>0.17914698203097834</v>
      </c>
      <c r="L11" s="67" t="s">
        <v>231</v>
      </c>
      <c r="M11" s="68">
        <v>5.8294075063704307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1.5323960533134139E-3</v>
      </c>
      <c r="J12" s="67" t="s">
        <v>231</v>
      </c>
      <c r="K12" s="68">
        <v>6.531633217923663E-2</v>
      </c>
      <c r="L12" s="67" t="s">
        <v>231</v>
      </c>
      <c r="M12" s="68">
        <v>2.0861222137966098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2.8945210840328722E-2</v>
      </c>
      <c r="J13" s="67" t="s">
        <v>232</v>
      </c>
      <c r="K13" s="68">
        <v>5.4708510433256051E-2</v>
      </c>
      <c r="L13" s="67" t="s">
        <v>231</v>
      </c>
      <c r="M13" s="68">
        <v>1.7405117172716733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1.0334943649053052E-2</v>
      </c>
      <c r="J14" s="67" t="s">
        <v>232</v>
      </c>
      <c r="K14" s="68">
        <v>0.24621447414377912</v>
      </c>
      <c r="L14" s="67" t="s">
        <v>231</v>
      </c>
      <c r="M14" s="68">
        <v>8.050764118215497</v>
      </c>
      <c r="N14" s="67" t="s">
        <v>231</v>
      </c>
      <c r="P14" s="109" t="s">
        <v>229</v>
      </c>
      <c r="Q14" s="103">
        <f>COUNTIF(N2:N50000,"Yes")</f>
        <v>9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5.1504990974870222E-3</v>
      </c>
      <c r="J15" s="67" t="s">
        <v>231</v>
      </c>
      <c r="K15" s="68">
        <v>0.16990127324797033</v>
      </c>
      <c r="L15" s="67" t="s">
        <v>231</v>
      </c>
      <c r="M15" s="68">
        <v>5.5241910067336768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4.1334254018467491E-3</v>
      </c>
      <c r="J16" s="67" t="s">
        <v>231</v>
      </c>
      <c r="K16" s="68">
        <v>0.44813199054614833</v>
      </c>
      <c r="L16" s="67" t="s">
        <v>231</v>
      </c>
      <c r="M16" s="68">
        <v>14.805685135107401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3.0575413427967597E-3</v>
      </c>
      <c r="J17" s="67" t="s">
        <v>231</v>
      </c>
      <c r="K17" s="68">
        <v>0.15410298326027552</v>
      </c>
      <c r="L17" s="67" t="s">
        <v>231</v>
      </c>
      <c r="M17" s="68">
        <v>5.0033785114873801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4.2364008704589284E-3</v>
      </c>
      <c r="J18" s="67" t="s">
        <v>231</v>
      </c>
      <c r="K18" s="68">
        <v>4.8570945175545194E-2</v>
      </c>
      <c r="L18" s="67" t="s">
        <v>231</v>
      </c>
      <c r="M18" s="68">
        <v>1.5414143326511585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3.131214962888966E-2</v>
      </c>
      <c r="J19" s="67" t="s">
        <v>232</v>
      </c>
      <c r="K19" s="68">
        <v>0.17173184598092808</v>
      </c>
      <c r="L19" s="67" t="s">
        <v>231</v>
      </c>
      <c r="M19" s="68">
        <v>5.5845931724167874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2.9958397782215928E-3</v>
      </c>
      <c r="J20" s="67" t="s">
        <v>231</v>
      </c>
      <c r="K20" s="68">
        <v>5.472941274004535E-2</v>
      </c>
      <c r="L20" s="67" t="s">
        <v>231</v>
      </c>
      <c r="M20" s="68">
        <v>1.7411767090544266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1.4818027449092089E-2</v>
      </c>
      <c r="J21" s="67" t="s">
        <v>232</v>
      </c>
      <c r="K21" s="68">
        <v>0.22462698575814211</v>
      </c>
      <c r="L21" s="67" t="s">
        <v>231</v>
      </c>
      <c r="M21" s="68">
        <v>7.334589854059411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1.0000131273329443E-4</v>
      </c>
      <c r="J22" s="67" t="s">
        <v>231</v>
      </c>
      <c r="K22" s="68">
        <v>6.3889832460837341E-3</v>
      </c>
      <c r="L22" s="67" t="s">
        <v>231</v>
      </c>
      <c r="M22" s="68">
        <v>0.18093329459964674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3.1313328876594682E-5</v>
      </c>
      <c r="J23" s="67" t="s">
        <v>231</v>
      </c>
      <c r="K23" s="68">
        <v>3.4170281871958945E-3</v>
      </c>
      <c r="L23" s="67" t="s">
        <v>231</v>
      </c>
      <c r="M23" s="68">
        <v>8.4883967321363843E-2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1.5148920371794839E-4</v>
      </c>
      <c r="J24" s="67" t="s">
        <v>231</v>
      </c>
      <c r="K24" s="68">
        <v>2.7844822088332711E-2</v>
      </c>
      <c r="L24" s="67" t="s">
        <v>231</v>
      </c>
      <c r="M24" s="68">
        <v>0.87097864396824876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1.5398705038409506E-3</v>
      </c>
      <c r="J25" s="67" t="s">
        <v>231</v>
      </c>
      <c r="K25" s="68">
        <v>7.7176947968545934E-2</v>
      </c>
      <c r="L25" s="67" t="s">
        <v>231</v>
      </c>
      <c r="M25" s="68">
        <v>2.4772801691949962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3.9141117712442313E-3</v>
      </c>
      <c r="J26" s="67" t="s">
        <v>231</v>
      </c>
      <c r="K26" s="68">
        <v>0.21141431979439182</v>
      </c>
      <c r="L26" s="67" t="s">
        <v>231</v>
      </c>
      <c r="M26" s="68">
        <v>6.8966922340899739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2.9949149751397675E-3</v>
      </c>
      <c r="J27" s="67" t="s">
        <v>231</v>
      </c>
      <c r="K27" s="68">
        <v>0.57474154219316032</v>
      </c>
      <c r="L27" s="67" t="s">
        <v>231</v>
      </c>
      <c r="M27" s="68">
        <v>19.090972521373786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1.4298557194304879E-3</v>
      </c>
      <c r="J28" s="67" t="s">
        <v>231</v>
      </c>
      <c r="K28" s="68">
        <v>0.31831446368850413</v>
      </c>
      <c r="L28" s="67" t="s">
        <v>231</v>
      </c>
      <c r="M28" s="68">
        <v>10.452010036713341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7.7836981508531402E-4</v>
      </c>
      <c r="J29" s="67" t="s">
        <v>231</v>
      </c>
      <c r="K29" s="68">
        <v>0.21123232909239587</v>
      </c>
      <c r="L29" s="67" t="s">
        <v>231</v>
      </c>
      <c r="M29" s="68">
        <v>6.9036839036513147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1.4298557194304879E-3</v>
      </c>
      <c r="J30" s="67" t="s">
        <v>231</v>
      </c>
      <c r="K30" s="68">
        <v>0.31831446368850413</v>
      </c>
      <c r="L30" s="67" t="s">
        <v>231</v>
      </c>
      <c r="M30" s="68">
        <v>10.452010036713341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8.1130699830405353E-8</v>
      </c>
      <c r="J31" s="67" t="s">
        <v>231</v>
      </c>
      <c r="K31" s="68">
        <v>9.0147157259412851E-4</v>
      </c>
      <c r="L31" s="67" t="s">
        <v>231</v>
      </c>
      <c r="M31" s="68">
        <v>1.1372094086186692E-3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1.0767216960114944E-5</v>
      </c>
      <c r="J32" s="67" t="s">
        <v>231</v>
      </c>
      <c r="K32" s="68">
        <v>1.0481155866060528E-2</v>
      </c>
      <c r="L32" s="67" t="s">
        <v>231</v>
      </c>
      <c r="M32" s="68">
        <v>0.31048892803722378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8.1357124875372954E-8</v>
      </c>
      <c r="J33" s="67" t="s">
        <v>231</v>
      </c>
      <c r="K33" s="68">
        <v>8.899243968524199E-4</v>
      </c>
      <c r="L33" s="67" t="s">
        <v>231</v>
      </c>
      <c r="M33" s="68">
        <v>5.9148605626944994E-4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3.2537227195412989E-10</v>
      </c>
      <c r="J34" s="67" t="s">
        <v>231</v>
      </c>
      <c r="K34" s="68">
        <v>1.5872992604287922E-3</v>
      </c>
      <c r="L34" s="67" t="s">
        <v>231</v>
      </c>
      <c r="M34" s="68">
        <v>7.5662818195802589E-2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5.0215362613375651E-7</v>
      </c>
      <c r="J35" s="67" t="s">
        <v>231</v>
      </c>
      <c r="K35" s="68">
        <v>2.4024367728696619E-3</v>
      </c>
      <c r="L35" s="67" t="s">
        <v>231</v>
      </c>
      <c r="M35" s="68">
        <v>0.16193787669029611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9.0809397977611915E-7</v>
      </c>
      <c r="J36" s="67" t="s">
        <v>231</v>
      </c>
      <c r="K36" s="68">
        <v>4.5672687183271887E-3</v>
      </c>
      <c r="L36" s="67" t="s">
        <v>231</v>
      </c>
      <c r="M36" s="68">
        <v>0.3904929402993042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5.4987815655788002E-6</v>
      </c>
      <c r="J37" s="67" t="s">
        <v>231</v>
      </c>
      <c r="K37" s="68">
        <v>1.2980329868483858E-2</v>
      </c>
      <c r="L37" s="67" t="s">
        <v>231</v>
      </c>
      <c r="M37" s="68">
        <v>0.49699161740642656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1.60463744799061E-6</v>
      </c>
      <c r="J38" s="67" t="s">
        <v>231</v>
      </c>
      <c r="K38" s="68">
        <v>1.5041299210698863E-3</v>
      </c>
      <c r="L38" s="67" t="s">
        <v>231</v>
      </c>
      <c r="M38" s="68">
        <v>6.1469295119763463E-2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9.977591151327579E-4</v>
      </c>
      <c r="J39" s="67" t="s">
        <v>231</v>
      </c>
      <c r="K39" s="68">
        <v>0.10140068652124337</v>
      </c>
      <c r="L39" s="67" t="s">
        <v>231</v>
      </c>
      <c r="M39" s="68">
        <v>3.2726125109594082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7.6315890268742045E-9</v>
      </c>
      <c r="J40" s="67" t="s">
        <v>231</v>
      </c>
      <c r="K40" s="68">
        <v>0.59741077380695895</v>
      </c>
      <c r="L40" s="67" t="s">
        <v>231</v>
      </c>
      <c r="M40" s="68">
        <v>52.420614250096207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2.6158851410949527E-8</v>
      </c>
      <c r="J41" s="67" t="s">
        <v>231</v>
      </c>
      <c r="K41" s="68">
        <v>8.102758191193128E-4</v>
      </c>
      <c r="L41" s="67" t="s">
        <v>231</v>
      </c>
      <c r="M41" s="68">
        <v>6.4241244581468004E-5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1.1221398281714896E-3</v>
      </c>
      <c r="J42" s="67" t="s">
        <v>231</v>
      </c>
      <c r="K42" s="68">
        <v>7.4217466626092798E-3</v>
      </c>
      <c r="L42" s="67" t="s">
        <v>231</v>
      </c>
      <c r="M42" s="68">
        <v>0.21412329449877543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4.3417247767327763E-8</v>
      </c>
      <c r="J43" s="67" t="s">
        <v>231</v>
      </c>
      <c r="K43" s="68">
        <v>1.6238745596305105E-2</v>
      </c>
      <c r="L43" s="67" t="s">
        <v>231</v>
      </c>
      <c r="M43" s="68">
        <v>1.5176248212171006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1.0883510830732653E-6</v>
      </c>
      <c r="J44" s="67" t="s">
        <v>231</v>
      </c>
      <c r="K44" s="68">
        <v>1.6564374578099373E-3</v>
      </c>
      <c r="L44" s="67" t="s">
        <v>231</v>
      </c>
      <c r="M44" s="68">
        <v>2.9673381363558453E-2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1.0088277015348617E-4</v>
      </c>
      <c r="J45" s="67" t="s">
        <v>231</v>
      </c>
      <c r="K45" s="68">
        <v>8.4499228669901987E-3</v>
      </c>
      <c r="L45" s="67" t="s">
        <v>231</v>
      </c>
      <c r="M45" s="68">
        <v>0.24721607610211788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2.2315073080426303E-6</v>
      </c>
      <c r="J46" s="67" t="s">
        <v>231</v>
      </c>
      <c r="K46" s="68">
        <v>7.7761915328061247E-3</v>
      </c>
      <c r="L46" s="67" t="s">
        <v>231</v>
      </c>
      <c r="M46" s="68">
        <v>0.22558606085530364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1.4151439448573217E-2</v>
      </c>
      <c r="J47" s="142" t="s">
        <v>232</v>
      </c>
      <c r="K47" s="143">
        <v>0.60265557545318138</v>
      </c>
      <c r="L47" s="142" t="s">
        <v>231</v>
      </c>
      <c r="M47" s="143">
        <v>20.033517974242564</v>
      </c>
      <c r="N47" s="142" t="s">
        <v>232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1.8139094109760271E-6</v>
      </c>
      <c r="J48" s="142" t="s">
        <v>231</v>
      </c>
      <c r="K48" s="143">
        <v>1.141652884568688E-3</v>
      </c>
      <c r="L48" s="142" t="s">
        <v>231</v>
      </c>
      <c r="M48" s="143">
        <v>1.0253435133415241E-2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5.0844616881442803E-6</v>
      </c>
      <c r="J49" s="142" t="s">
        <v>231</v>
      </c>
      <c r="K49" s="143">
        <v>1.3505243927004046E-3</v>
      </c>
      <c r="L49" s="142" t="s">
        <v>231</v>
      </c>
      <c r="M49" s="143">
        <v>1.766604976209413E-2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1.8105078166880975E-5</v>
      </c>
      <c r="J50" s="142" t="s">
        <v>231</v>
      </c>
      <c r="K50" s="143">
        <v>4.664613288818821E-2</v>
      </c>
      <c r="L50" s="142" t="s">
        <v>231</v>
      </c>
      <c r="M50" s="143">
        <v>1.4792729656220347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4.0159917647164161E-8</v>
      </c>
      <c r="J51" s="142" t="s">
        <v>231</v>
      </c>
      <c r="K51" s="143">
        <v>8.6151736035932139E-4</v>
      </c>
      <c r="L51" s="142" t="s">
        <v>231</v>
      </c>
      <c r="M51" s="143">
        <v>1.8474134012633142E-3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1.1170378579368199E-5</v>
      </c>
      <c r="J52" s="142" t="s">
        <v>231</v>
      </c>
      <c r="K52" s="143">
        <v>2.2926532895820133E-3</v>
      </c>
      <c r="L52" s="142" t="s">
        <v>231</v>
      </c>
      <c r="M52" s="143">
        <v>5.0161443396237883E-2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2.0904869649075774E-4</v>
      </c>
      <c r="J53" s="142" t="s">
        <v>231</v>
      </c>
      <c r="K53" s="143">
        <v>1.2572120844286905E-2</v>
      </c>
      <c r="L53" s="142" t="s">
        <v>231</v>
      </c>
      <c r="M53" s="143">
        <v>0.37974215049796278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4.630658634918761E-3</v>
      </c>
      <c r="J54" s="67" t="s">
        <v>231</v>
      </c>
      <c r="K54" s="68">
        <v>0.53077426048835696</v>
      </c>
      <c r="L54" s="67" t="s">
        <v>231</v>
      </c>
      <c r="M54" s="68">
        <v>17.595428173663045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2.9476786344520052E-4</v>
      </c>
      <c r="J55" s="67" t="s">
        <v>231</v>
      </c>
      <c r="K55" s="68">
        <v>2.3202297447775945E-2</v>
      </c>
      <c r="L55" s="67" t="s">
        <v>231</v>
      </c>
      <c r="M55" s="68">
        <v>0.72741955969948591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6.9889580726765674E-5</v>
      </c>
      <c r="J56" s="67" t="s">
        <v>231</v>
      </c>
      <c r="K56" s="68">
        <v>1.0815175710599015E-2</v>
      </c>
      <c r="L56" s="67" t="s">
        <v>231</v>
      </c>
      <c r="M56" s="68">
        <v>0.34521942881453055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2.7311058453385425E-5</v>
      </c>
      <c r="J57" s="67" t="s">
        <v>231</v>
      </c>
      <c r="K57" s="68">
        <v>4.4363997552507896E-3</v>
      </c>
      <c r="L57" s="67" t="s">
        <v>231</v>
      </c>
      <c r="M57" s="68">
        <v>0.13969664519478847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2.5871323111056034E-7</v>
      </c>
      <c r="J58" s="67" t="s">
        <v>231</v>
      </c>
      <c r="K58" s="68">
        <v>1.0211903914945125E-4</v>
      </c>
      <c r="L58" s="67" t="s">
        <v>231</v>
      </c>
      <c r="M58" s="68">
        <v>1.5180339048436302E-3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6.0316578335406595E-6</v>
      </c>
      <c r="J59" s="67" t="s">
        <v>231</v>
      </c>
      <c r="K59" s="68">
        <v>1.5665818403077796E-3</v>
      </c>
      <c r="L59" s="67" t="s">
        <v>231</v>
      </c>
      <c r="M59" s="68">
        <v>4.9282870675868271E-2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8.9782118788451005E-8</v>
      </c>
      <c r="J60" s="67" t="s">
        <v>231</v>
      </c>
      <c r="K60" s="68">
        <v>2.6144013320438183E-5</v>
      </c>
      <c r="L60" s="67" t="s">
        <v>231</v>
      </c>
      <c r="M60" s="68">
        <v>8.1155087718149798E-4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5.1234863214730531E-2</v>
      </c>
      <c r="J61" s="67" t="s">
        <v>232</v>
      </c>
      <c r="K61" s="68">
        <v>1.7860037276838703E-2</v>
      </c>
      <c r="L61" s="67" t="s">
        <v>231</v>
      </c>
      <c r="M61" s="68">
        <v>0.54961227811673408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1.7842360722174973E-4</v>
      </c>
      <c r="J62" s="67" t="s">
        <v>231</v>
      </c>
      <c r="K62" s="68">
        <v>0.24144678616641674</v>
      </c>
      <c r="L62" s="67" t="s">
        <v>231</v>
      </c>
      <c r="M62" s="68">
        <v>7.8924098669716596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1.5855738087553154E-3</v>
      </c>
      <c r="J63" s="67" t="s">
        <v>231</v>
      </c>
      <c r="K63" s="68">
        <v>0.73012046129666641</v>
      </c>
      <c r="L63" s="67" t="s">
        <v>231</v>
      </c>
      <c r="M63" s="68">
        <v>24.386029542325293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1.2967834958571389E-3</v>
      </c>
      <c r="J64" s="67" t="s">
        <v>231</v>
      </c>
      <c r="K64" s="68">
        <v>0.93643587770257242</v>
      </c>
      <c r="L64" s="67" t="s">
        <v>231</v>
      </c>
      <c r="M64" s="68">
        <v>31.520950362740184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2.2277571850138531E-3</v>
      </c>
      <c r="J65" s="67" t="s">
        <v>231</v>
      </c>
      <c r="K65" s="68">
        <v>1.1359895156321507</v>
      </c>
      <c r="L65" s="67" t="s">
        <v>232</v>
      </c>
      <c r="M65" s="68">
        <v>38.575937633198599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8.2603522887341602E-6</v>
      </c>
      <c r="J66" s="67" t="s">
        <v>231</v>
      </c>
      <c r="K66" s="68">
        <v>1.0285483335232397</v>
      </c>
      <c r="L66" s="67" t="s">
        <v>232</v>
      </c>
      <c r="M66" s="68">
        <v>34.753222749068868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3.8286825355355285E-4</v>
      </c>
      <c r="J67" s="67" t="s">
        <v>231</v>
      </c>
      <c r="K67" s="68">
        <v>1.9882099843209458E-3</v>
      </c>
      <c r="L67" s="67" t="s">
        <v>231</v>
      </c>
      <c r="M67" s="68">
        <v>3.8374356677940098E-2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1.5585275523491261E-4</v>
      </c>
      <c r="J68" s="67" t="s">
        <v>231</v>
      </c>
      <c r="K68" s="68">
        <v>2.8207010147880108E-3</v>
      </c>
      <c r="L68" s="67" t="s">
        <v>231</v>
      </c>
      <c r="M68" s="68">
        <v>6.5770943347855132E-2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1.0564881152558524E-6</v>
      </c>
      <c r="J69" s="67" t="s">
        <v>231</v>
      </c>
      <c r="K69" s="68">
        <v>0.43564204880810575</v>
      </c>
      <c r="L69" s="67" t="s">
        <v>231</v>
      </c>
      <c r="M69" s="68">
        <v>14.38639414611645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8.183224548653082E-4</v>
      </c>
      <c r="J70" s="67" t="s">
        <v>231</v>
      </c>
      <c r="K70" s="68">
        <v>7.4994000036051264E-2</v>
      </c>
      <c r="L70" s="67" t="s">
        <v>231</v>
      </c>
      <c r="M70" s="68">
        <v>2.4033342402860871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2.9013104922059608E-4</v>
      </c>
      <c r="J71" s="67" t="s">
        <v>231</v>
      </c>
      <c r="K71" s="68">
        <v>2.6200883389238339E-3</v>
      </c>
      <c r="L71" s="67" t="s">
        <v>231</v>
      </c>
      <c r="M71" s="68">
        <v>5.9632542163618393E-2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4.6006449483806952E-6</v>
      </c>
      <c r="J72" s="67" t="s">
        <v>231</v>
      </c>
      <c r="K72" s="68">
        <v>6.8455626016129534E-2</v>
      </c>
      <c r="L72" s="67" t="s">
        <v>231</v>
      </c>
      <c r="M72" s="68">
        <v>2.1909764495962061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7.5768713571050753E-3</v>
      </c>
      <c r="J73" s="67" t="s">
        <v>231</v>
      </c>
      <c r="K73" s="68">
        <v>1.8819389853060552E-2</v>
      </c>
      <c r="L73" s="67" t="s">
        <v>231</v>
      </c>
      <c r="M73" s="68">
        <v>0.58095479695288699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0.16839547576537575</v>
      </c>
      <c r="J74" s="67" t="s">
        <v>232</v>
      </c>
      <c r="K74" s="68">
        <v>7.3366340750475934E-2</v>
      </c>
      <c r="L74" s="67" t="s">
        <v>231</v>
      </c>
      <c r="M74" s="68">
        <v>2.3503156984354798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2.1801185373464992E-12</v>
      </c>
      <c r="J75" s="67" t="s">
        <v>231</v>
      </c>
      <c r="K75" s="68">
        <v>5.3652634915882506E-2</v>
      </c>
      <c r="L75" s="67" t="s">
        <v>231</v>
      </c>
      <c r="M75" s="68">
        <v>5.2716113028615137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1.1993878577580007E-12</v>
      </c>
      <c r="J76" s="67" t="s">
        <v>231</v>
      </c>
      <c r="K76" s="68">
        <v>5.3652635191826566E-2</v>
      </c>
      <c r="L76" s="67" t="s">
        <v>231</v>
      </c>
      <c r="M76" s="68">
        <v>5.2716113299742524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5.5464341859021225E-7</v>
      </c>
      <c r="J77" s="67" t="s">
        <v>231</v>
      </c>
      <c r="K77" s="68">
        <v>3.766757511723947E-2</v>
      </c>
      <c r="L77" s="67" t="s">
        <v>231</v>
      </c>
      <c r="M77" s="68">
        <v>1.1896020486986589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1.0611798670318163E-3</v>
      </c>
      <c r="J78" s="67" t="s">
        <v>231</v>
      </c>
      <c r="K78" s="68">
        <v>6.6809932381323095E-3</v>
      </c>
      <c r="L78" s="67" t="s">
        <v>231</v>
      </c>
      <c r="M78" s="68">
        <v>0.19124394065969305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2.2802794402050631E-5</v>
      </c>
      <c r="J79" s="67" t="s">
        <v>231</v>
      </c>
      <c r="K79" s="68">
        <v>1.2866553894731465E-2</v>
      </c>
      <c r="L79" s="67" t="s">
        <v>231</v>
      </c>
      <c r="M79" s="68">
        <v>0.38939457440125774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1.3087985399328235E-13</v>
      </c>
      <c r="J80" s="67" t="s">
        <v>231</v>
      </c>
      <c r="K80" s="68">
        <v>0.10504379612873629</v>
      </c>
      <c r="L80" s="67" t="s">
        <v>231</v>
      </c>
      <c r="M80" s="68">
        <v>10.326428251592002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2.1993844178117767E-5</v>
      </c>
      <c r="J81" s="67" t="s">
        <v>231</v>
      </c>
      <c r="K81" s="68">
        <v>9.1451181573347134E-4</v>
      </c>
      <c r="L81" s="67" t="s">
        <v>231</v>
      </c>
      <c r="M81" s="68">
        <v>1.682820966316905E-3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3.5520501456230874E-5</v>
      </c>
      <c r="J82" s="67" t="s">
        <v>231</v>
      </c>
      <c r="K82" s="68">
        <v>3.3133773069296043E-3</v>
      </c>
      <c r="L82" s="67" t="s">
        <v>231</v>
      </c>
      <c r="M82" s="68">
        <v>8.1519219662890177E-2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5.8426564152919041E-5</v>
      </c>
      <c r="J83" s="67" t="s">
        <v>231</v>
      </c>
      <c r="K83" s="68">
        <v>3.4887217264281595E-2</v>
      </c>
      <c r="L83" s="67" t="s">
        <v>231</v>
      </c>
      <c r="M83" s="68">
        <v>1.0982109521828431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6.0765642827198097E-6</v>
      </c>
      <c r="J84" s="67" t="s">
        <v>231</v>
      </c>
      <c r="K84" s="68">
        <v>1.0542000240944265E-3</v>
      </c>
      <c r="L84" s="67" t="s">
        <v>231</v>
      </c>
      <c r="M84" s="68">
        <v>6.8473021257914575E-3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3.2992448461872024E-8</v>
      </c>
      <c r="J85" s="67" t="s">
        <v>231</v>
      </c>
      <c r="K85" s="68">
        <v>8.8515222020931384E-4</v>
      </c>
      <c r="L85" s="67" t="s">
        <v>231</v>
      </c>
      <c r="M85" s="68">
        <v>3.4482983908411101E-4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2.3840414348086904E-6</v>
      </c>
      <c r="J86" s="67" t="s">
        <v>231</v>
      </c>
      <c r="K86" s="68">
        <v>1.0456640117908894E-3</v>
      </c>
      <c r="L86" s="67" t="s">
        <v>231</v>
      </c>
      <c r="M86" s="68">
        <v>6.5449610937716451E-3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1.6826489747034434E-2</v>
      </c>
      <c r="J87" s="67" t="s">
        <v>232</v>
      </c>
      <c r="K87" s="68">
        <v>0.65159807374758594</v>
      </c>
      <c r="L87" s="67" t="s">
        <v>231</v>
      </c>
      <c r="M87" s="68">
        <v>21.700281839487456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1.1145157252910629E-4</v>
      </c>
      <c r="J88" s="67" t="s">
        <v>231</v>
      </c>
      <c r="K88" s="68">
        <v>5.5247217535084603E-3</v>
      </c>
      <c r="L88" s="67" t="s">
        <v>231</v>
      </c>
      <c r="M88" s="68">
        <v>0.15302575933050064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2.8860175653331725E-5</v>
      </c>
      <c r="J89" s="67" t="s">
        <v>231</v>
      </c>
      <c r="K89" s="68">
        <v>3.6367043004945725E-3</v>
      </c>
      <c r="L89" s="67" t="s">
        <v>231</v>
      </c>
      <c r="M89" s="68">
        <v>9.200683973039081E-2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1.787300273934655E-6</v>
      </c>
      <c r="J90" s="67" t="s">
        <v>231</v>
      </c>
      <c r="K90" s="68">
        <v>1.5278842466135698E-3</v>
      </c>
      <c r="L90" s="67" t="s">
        <v>231</v>
      </c>
      <c r="M90" s="68">
        <v>2.2987839882486254E-2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1.0876824072535141E-2</v>
      </c>
      <c r="J91" s="67" t="s">
        <v>232</v>
      </c>
      <c r="K91" s="68">
        <v>0.26631131414872561</v>
      </c>
      <c r="L91" s="67" t="s">
        <v>231</v>
      </c>
      <c r="M91" s="68">
        <v>8.7187383100702842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3.4173350935598097E-2</v>
      </c>
      <c r="J92" s="67" t="s">
        <v>232</v>
      </c>
      <c r="K92" s="68">
        <v>2.7486427373182278E-2</v>
      </c>
      <c r="L92" s="67" t="s">
        <v>231</v>
      </c>
      <c r="M92" s="68">
        <v>0.85942527855031237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1.8416903154252578E-2</v>
      </c>
      <c r="J93" s="67" t="s">
        <v>232</v>
      </c>
      <c r="K93" s="68">
        <v>6.471214660992923E-2</v>
      </c>
      <c r="L93" s="67" t="s">
        <v>231</v>
      </c>
      <c r="M93" s="68">
        <v>2.0664206979192117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7.1346623651870606E-9</v>
      </c>
      <c r="J94" s="67" t="s">
        <v>231</v>
      </c>
      <c r="K94" s="68">
        <v>1.0074882013284046E-3</v>
      </c>
      <c r="L94" s="67" t="s">
        <v>231</v>
      </c>
      <c r="M94" s="68">
        <v>1.3074220431810812E-2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2.074224046152697E-4</v>
      </c>
      <c r="J95" s="67" t="s">
        <v>231</v>
      </c>
      <c r="K95" s="68">
        <v>0.13347545494715701</v>
      </c>
      <c r="L95" s="67" t="s">
        <v>231</v>
      </c>
      <c r="M95" s="68">
        <v>4.3246550441424159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9.6991013974783163E-8</v>
      </c>
      <c r="J96" s="67" t="s">
        <v>231</v>
      </c>
      <c r="K96" s="68">
        <v>9.1748468195252699E-4</v>
      </c>
      <c r="L96" s="67" t="s">
        <v>231</v>
      </c>
      <c r="M96" s="68">
        <v>1.8030721720615815E-3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3.451537100665536E-8</v>
      </c>
      <c r="J97" s="67" t="s">
        <v>231</v>
      </c>
      <c r="K97" s="68">
        <v>1.0586214323735495E-3</v>
      </c>
      <c r="L97" s="67" t="s">
        <v>231</v>
      </c>
      <c r="M97" s="68">
        <v>7.0035633404594887E-3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3.5548951917624592E-5</v>
      </c>
      <c r="J98" s="67" t="s">
        <v>231</v>
      </c>
      <c r="K98" s="68">
        <v>8.487126638761433E-2</v>
      </c>
      <c r="L98" s="67" t="s">
        <v>231</v>
      </c>
      <c r="M98" s="68">
        <v>2.7271232043701343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4.1873107177675356E-8</v>
      </c>
      <c r="J99" s="67" t="s">
        <v>231</v>
      </c>
      <c r="K99" s="68">
        <v>8.8284914103208131E-4</v>
      </c>
      <c r="L99" s="67" t="s">
        <v>231</v>
      </c>
      <c r="M99" s="68">
        <v>1.7769572480043827E-4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6.5393129544437124E-5</v>
      </c>
      <c r="J100" s="67" t="s">
        <v>231</v>
      </c>
      <c r="K100" s="68">
        <v>1.1292462955566103E-2</v>
      </c>
      <c r="L100" s="67" t="s">
        <v>231</v>
      </c>
      <c r="M100" s="68">
        <v>0.33856101060137572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1.3058477344745594E-5</v>
      </c>
      <c r="J101" s="67" t="s">
        <v>231</v>
      </c>
      <c r="K101" s="68">
        <v>8.8696804319748402E-4</v>
      </c>
      <c r="L101" s="67" t="s">
        <v>231</v>
      </c>
      <c r="M101" s="68">
        <v>4.5039750515301008E-4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6.4348057772032209E-11</v>
      </c>
      <c r="J102" s="67" t="s">
        <v>231</v>
      </c>
      <c r="K102" s="68">
        <v>8.8239826391394403E-4</v>
      </c>
      <c r="L102" s="67" t="s">
        <v>231</v>
      </c>
      <c r="M102" s="68">
        <v>3.8125610147347019E-5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9.1604124678089097E-9</v>
      </c>
      <c r="J103" s="67" t="s">
        <v>231</v>
      </c>
      <c r="K103" s="68">
        <v>8.8274733966205621E-4</v>
      </c>
      <c r="L103" s="67" t="s">
        <v>231</v>
      </c>
      <c r="M103" s="68">
        <v>1.6764613447696946E-4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4.2168138765301841E-7</v>
      </c>
      <c r="J104" s="67" t="s">
        <v>231</v>
      </c>
      <c r="K104" s="68">
        <v>9.7073255645508012E-4</v>
      </c>
      <c r="L104" s="67" t="s">
        <v>231</v>
      </c>
      <c r="M104" s="68">
        <v>3.8394092202901015E-3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5.788354934824355E-8</v>
      </c>
      <c r="J105" s="67" t="s">
        <v>231</v>
      </c>
      <c r="K105" s="68">
        <v>8.822712924678658E-4</v>
      </c>
      <c r="L105" s="67" t="s">
        <v>231</v>
      </c>
      <c r="M105" s="68">
        <v>5.2862551832752158E-5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5.1962094406260518E-7</v>
      </c>
      <c r="J106" s="67" t="s">
        <v>231</v>
      </c>
      <c r="K106" s="68">
        <v>1.9021046452212585E-3</v>
      </c>
      <c r="L106" s="67" t="s">
        <v>231</v>
      </c>
      <c r="M106" s="68">
        <v>3.5405251905130025E-2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2.7551205396467447E-4</v>
      </c>
      <c r="J107" s="67" t="s">
        <v>231</v>
      </c>
      <c r="K107" s="68">
        <v>9.2655933081079833E-2</v>
      </c>
      <c r="L107" s="67" t="s">
        <v>231</v>
      </c>
      <c r="M107" s="68">
        <v>2.983899396273471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8.3385262422610256E-5</v>
      </c>
      <c r="J108" s="67" t="s">
        <v>231</v>
      </c>
      <c r="K108" s="68">
        <v>9.023844032777787E-3</v>
      </c>
      <c r="L108" s="67" t="s">
        <v>231</v>
      </c>
      <c r="M108" s="68">
        <v>0.26564943830232673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0.81339117219319501</v>
      </c>
      <c r="F2" s="14">
        <v>0.80874176251329122</v>
      </c>
      <c r="G2" s="14">
        <v>1.0508926579488949E-6</v>
      </c>
      <c r="H2" s="14">
        <v>10.927727839887204</v>
      </c>
      <c r="I2" s="14">
        <v>29.470468563581456</v>
      </c>
      <c r="J2" s="14">
        <v>0</v>
      </c>
      <c r="K2" s="14">
        <v>1.2364886374760022</v>
      </c>
      <c r="L2" s="14">
        <v>0.80874176251329122</v>
      </c>
      <c r="M2" s="14">
        <v>0.66357261614215546</v>
      </c>
      <c r="N2" s="14">
        <v>2.5039421870860878</v>
      </c>
      <c r="O2" s="14">
        <v>461.00079606441966</v>
      </c>
      <c r="P2" s="8">
        <v>2.5039421870860878</v>
      </c>
      <c r="Q2" s="54">
        <v>0.12577289020886609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0.49209145579921265</v>
      </c>
      <c r="F3" s="14">
        <v>3.5655258843952076E-3</v>
      </c>
      <c r="G3" s="14">
        <v>2.161982037182651E-4</v>
      </c>
      <c r="H3" s="14">
        <v>374.30324619875523</v>
      </c>
      <c r="I3" s="14">
        <v>9390.3280462331113</v>
      </c>
      <c r="J3" s="14">
        <v>0</v>
      </c>
      <c r="K3" s="14">
        <v>280.46353677491874</v>
      </c>
      <c r="L3" s="14">
        <v>3.5655258843952081E-3</v>
      </c>
      <c r="M3" s="14">
        <v>2.9255139881462682E-3</v>
      </c>
      <c r="N3" s="14">
        <v>590.92933846743199</v>
      </c>
      <c r="O3" s="14">
        <v>215636.0249001506</v>
      </c>
      <c r="P3" s="8">
        <v>590.92933846743199</v>
      </c>
      <c r="Q3" s="54">
        <v>0.30038674465493126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0.53542459009779375</v>
      </c>
      <c r="F4" s="14">
        <v>0.49243772154306753</v>
      </c>
      <c r="G4" s="14">
        <v>6.8011100279785041E-14</v>
      </c>
      <c r="H4" s="14">
        <v>99.072087342733866</v>
      </c>
      <c r="I4" s="14">
        <v>218.98203330066107</v>
      </c>
      <c r="J4" s="14">
        <v>0</v>
      </c>
      <c r="K4" s="14">
        <v>2.0307136440857367</v>
      </c>
      <c r="L4" s="14">
        <v>0.49243772154306753</v>
      </c>
      <c r="M4" s="14">
        <v>0.40404515052608692</v>
      </c>
      <c r="N4" s="14">
        <v>13.833152412506935</v>
      </c>
      <c r="O4" s="14">
        <v>4389.5359235367005</v>
      </c>
      <c r="P4" s="8">
        <v>13.833152412506937</v>
      </c>
      <c r="Q4" s="54">
        <v>0.31290210440579197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0.44186351811862845</v>
      </c>
      <c r="F5" s="14">
        <v>3.2581724762037585E-2</v>
      </c>
      <c r="G5" s="14">
        <v>6.2583890632139138E-6</v>
      </c>
      <c r="H5" s="14">
        <v>901.64186905743952</v>
      </c>
      <c r="I5" s="14">
        <v>2422.6531528158571</v>
      </c>
      <c r="J5" s="14">
        <v>0</v>
      </c>
      <c r="K5" s="14">
        <v>30.692052287089002</v>
      </c>
      <c r="L5" s="14">
        <v>3.2581724762037585E-2</v>
      </c>
      <c r="M5" s="14">
        <v>2.673330516725184E-2</v>
      </c>
      <c r="N5" s="14">
        <v>150.70233457613185</v>
      </c>
      <c r="O5" s="14">
        <v>52834.731479046059</v>
      </c>
      <c r="P5" s="8">
        <v>150.70233457613185</v>
      </c>
      <c r="Q5" s="54">
        <v>0.36888520856017731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0.56084742819928368</v>
      </c>
      <c r="F6" s="14">
        <v>1.7954168628073308E-3</v>
      </c>
      <c r="G6" s="14">
        <v>7.9314718557330603E-7</v>
      </c>
      <c r="H6" s="14">
        <v>268.79754620648856</v>
      </c>
      <c r="I6" s="14">
        <v>12223.131121170925</v>
      </c>
      <c r="J6" s="14">
        <v>0</v>
      </c>
      <c r="K6" s="14">
        <v>556.97371497134679</v>
      </c>
      <c r="L6" s="14">
        <v>1.7954168628073308E-3</v>
      </c>
      <c r="M6" s="14">
        <v>1.4731395359334149E-3</v>
      </c>
      <c r="N6" s="14">
        <v>771.64204716303811</v>
      </c>
      <c r="O6" s="14">
        <v>273539.38929882541</v>
      </c>
      <c r="P6" s="8">
        <v>771.64204716303811</v>
      </c>
      <c r="Q6" s="54">
        <v>0.25809671120908378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0.5097221930871606</v>
      </c>
      <c r="F7" s="14">
        <v>3.2905392767617527E-3</v>
      </c>
      <c r="G7" s="14">
        <v>1.0723969415349766E-6</v>
      </c>
      <c r="H7" s="14">
        <v>363.85393746385802</v>
      </c>
      <c r="I7" s="14">
        <v>9958.2780851828084</v>
      </c>
      <c r="J7" s="14">
        <v>0</v>
      </c>
      <c r="K7" s="14">
        <v>303.90155408936749</v>
      </c>
      <c r="L7" s="14">
        <v>3.2905392767617527E-3</v>
      </c>
      <c r="M7" s="14">
        <v>2.699887476583018E-3</v>
      </c>
      <c r="N7" s="14">
        <v>626.96046376487027</v>
      </c>
      <c r="O7" s="14">
        <v>222251.21480000886</v>
      </c>
      <c r="P7" s="8">
        <v>626.96046376487027</v>
      </c>
      <c r="Q7" s="54">
        <v>0.29976729554343373</v>
      </c>
    </row>
    <row r="8" spans="1:20">
      <c r="A8" s="2" t="s">
        <v>323</v>
      </c>
      <c r="B8" s="16" t="s">
        <v>324</v>
      </c>
      <c r="D8" s="14">
        <v>1</v>
      </c>
      <c r="E8" s="14">
        <v>0.45960673089026161</v>
      </c>
      <c r="F8" s="14">
        <v>6.6531137985679162E-3</v>
      </c>
      <c r="G8" s="14">
        <v>9.1933424884924562E-6</v>
      </c>
      <c r="H8" s="14">
        <v>502.62600203893982</v>
      </c>
      <c r="I8" s="14">
        <v>7266.1125837946411</v>
      </c>
      <c r="J8" s="14">
        <v>0</v>
      </c>
      <c r="K8" s="14">
        <v>150.30556071583356</v>
      </c>
      <c r="L8" s="14">
        <v>6.6531137985679162E-3</v>
      </c>
      <c r="M8" s="14">
        <v>5.4588798717249759E-3</v>
      </c>
      <c r="N8" s="14">
        <v>455.92019828450259</v>
      </c>
      <c r="O8" s="14">
        <v>145912.70025897221</v>
      </c>
      <c r="P8" s="8">
        <v>455.92019828450265</v>
      </c>
      <c r="Q8" s="54">
        <v>0.3415876202555076</v>
      </c>
    </row>
    <row r="9" spans="1:20">
      <c r="A9" s="2" t="s">
        <v>325</v>
      </c>
      <c r="B9" s="16" t="s">
        <v>326</v>
      </c>
      <c r="D9" s="14">
        <v>1</v>
      </c>
      <c r="E9" s="14">
        <v>0.3682529620431792</v>
      </c>
      <c r="F9" s="14">
        <v>0.16746094618600696</v>
      </c>
      <c r="G9" s="14">
        <v>3.165935250184769E-6</v>
      </c>
      <c r="H9" s="14">
        <v>477.17044965958104</v>
      </c>
      <c r="I9" s="14">
        <v>867.62231116332669</v>
      </c>
      <c r="J9" s="14">
        <v>0</v>
      </c>
      <c r="K9" s="14">
        <v>5.9715415610350826</v>
      </c>
      <c r="L9" s="14">
        <v>0.16746094618600696</v>
      </c>
      <c r="M9" s="14">
        <v>0.13740170634561871</v>
      </c>
      <c r="N9" s="14">
        <v>53.646515411237218</v>
      </c>
      <c r="O9" s="14">
        <v>16327.316965410047</v>
      </c>
      <c r="P9" s="8">
        <v>53.646515411237218</v>
      </c>
      <c r="Q9" s="54">
        <v>0.42357538230856512</v>
      </c>
    </row>
    <row r="10" spans="1:20">
      <c r="A10" s="2" t="s">
        <v>275</v>
      </c>
      <c r="B10" s="16" t="s">
        <v>276</v>
      </c>
      <c r="D10" s="14">
        <v>1</v>
      </c>
      <c r="E10" s="14">
        <v>0.43905267962508471</v>
      </c>
      <c r="F10" s="14">
        <v>3.0275012387476666E-2</v>
      </c>
      <c r="G10" s="14">
        <v>8.0340183103763977E-8</v>
      </c>
      <c r="H10" s="14">
        <v>882.47889852806213</v>
      </c>
      <c r="I10" s="14">
        <v>2586.7919471137848</v>
      </c>
      <c r="J10" s="14">
        <v>0</v>
      </c>
      <c r="K10" s="14">
        <v>33.030539746819471</v>
      </c>
      <c r="L10" s="14">
        <v>3.0275012387476669E-2</v>
      </c>
      <c r="M10" s="14">
        <v>2.4840647663924607E-2</v>
      </c>
      <c r="N10" s="14">
        <v>160.98156261954014</v>
      </c>
      <c r="O10" s="14">
        <v>59642.059134913427</v>
      </c>
      <c r="P10" s="8">
        <v>160.98156261954014</v>
      </c>
      <c r="Q10" s="54">
        <v>0.37064786281148226</v>
      </c>
    </row>
    <row r="11" spans="1:20">
      <c r="A11" s="2" t="s">
        <v>327</v>
      </c>
      <c r="B11" s="16" t="s">
        <v>328</v>
      </c>
      <c r="D11" s="14">
        <v>1</v>
      </c>
      <c r="E11" s="14">
        <v>0.43466153643448696</v>
      </c>
      <c r="F11" s="14">
        <v>2.6705727661437275E-2</v>
      </c>
      <c r="G11" s="14">
        <v>4.1788126771704364E-6</v>
      </c>
      <c r="H11" s="14">
        <v>848.83722294798497</v>
      </c>
      <c r="I11" s="14">
        <v>2876.6139792605832</v>
      </c>
      <c r="J11" s="14">
        <v>0</v>
      </c>
      <c r="K11" s="14">
        <v>37.445150818488543</v>
      </c>
      <c r="L11" s="14">
        <v>2.6705727661437275E-2</v>
      </c>
      <c r="M11" s="14">
        <v>2.1912049546209286E-2</v>
      </c>
      <c r="N11" s="14">
        <v>179.14698203097836</v>
      </c>
      <c r="O11" s="14">
        <v>68238.876925419972</v>
      </c>
      <c r="P11" s="8">
        <v>179.14698203097836</v>
      </c>
      <c r="Q11" s="54">
        <v>0.37246167039057132</v>
      </c>
    </row>
    <row r="12" spans="1:20">
      <c r="A12" s="2" t="s">
        <v>329</v>
      </c>
      <c r="B12" s="16" t="s">
        <v>330</v>
      </c>
      <c r="D12" s="14">
        <v>1</v>
      </c>
      <c r="E12" s="14">
        <v>0.37772991610998374</v>
      </c>
      <c r="F12" s="14">
        <v>0.12529096309947316</v>
      </c>
      <c r="G12" s="14">
        <v>1.9309375819049461E-6</v>
      </c>
      <c r="H12" s="14">
        <v>603.58681962915739</v>
      </c>
      <c r="I12" s="14">
        <v>1055.8371005590143</v>
      </c>
      <c r="J12" s="14">
        <v>0</v>
      </c>
      <c r="K12" s="14">
        <v>7.9814216066490191</v>
      </c>
      <c r="L12" s="14">
        <v>0.12529096309947316</v>
      </c>
      <c r="M12" s="14">
        <v>0.10280123522311772</v>
      </c>
      <c r="N12" s="14">
        <v>65.316332179236625</v>
      </c>
      <c r="O12" s="14">
        <v>17922.801549982531</v>
      </c>
      <c r="P12" s="8">
        <v>65.316332179236625</v>
      </c>
      <c r="Q12" s="54">
        <v>0.41667449563741787</v>
      </c>
    </row>
    <row r="13" spans="1:20">
      <c r="A13" s="2" t="s">
        <v>277</v>
      </c>
      <c r="B13" s="16" t="s">
        <v>278</v>
      </c>
      <c r="D13" s="14">
        <v>1</v>
      </c>
      <c r="E13" s="14">
        <v>0.3684382033440402</v>
      </c>
      <c r="F13" s="14">
        <v>0.16304104540781997</v>
      </c>
      <c r="G13" s="14">
        <v>5.0004079735622279E-6</v>
      </c>
      <c r="H13" s="14">
        <v>488.40145753357683</v>
      </c>
      <c r="I13" s="14">
        <v>884.77760628285114</v>
      </c>
      <c r="J13" s="14">
        <v>0</v>
      </c>
      <c r="K13" s="14">
        <v>6.1334248532243327</v>
      </c>
      <c r="L13" s="14">
        <v>0.16304104540781997</v>
      </c>
      <c r="M13" s="14">
        <v>0.13377517775711628</v>
      </c>
      <c r="N13" s="14">
        <v>54.708510433256052</v>
      </c>
      <c r="O13" s="14">
        <v>22262.534150604886</v>
      </c>
      <c r="P13" s="8">
        <v>54.708510433256052</v>
      </c>
      <c r="Q13" s="54">
        <v>0.42328621198450905</v>
      </c>
    </row>
    <row r="14" spans="1:20">
      <c r="A14" s="2" t="s">
        <v>331</v>
      </c>
      <c r="B14" s="16" t="s">
        <v>332</v>
      </c>
      <c r="D14" s="14">
        <v>1</v>
      </c>
      <c r="E14" s="14">
        <v>0.42894933281035319</v>
      </c>
      <c r="F14" s="14">
        <v>1.7858998562021975E-2</v>
      </c>
      <c r="G14" s="14">
        <v>2.8065035117813297E-6</v>
      </c>
      <c r="H14" s="14">
        <v>742.3985283314513</v>
      </c>
      <c r="I14" s="14">
        <v>3944.5210050577061</v>
      </c>
      <c r="J14" s="14">
        <v>0</v>
      </c>
      <c r="K14" s="14">
        <v>55.994181114194632</v>
      </c>
      <c r="L14" s="14">
        <v>1.7858998562021975E-2</v>
      </c>
      <c r="M14" s="14">
        <v>1.4653308320139032E-2</v>
      </c>
      <c r="N14" s="14">
        <v>246.21447414377911</v>
      </c>
      <c r="O14" s="14">
        <v>93785.555346106907</v>
      </c>
      <c r="P14" s="8">
        <v>246.21447414377911</v>
      </c>
      <c r="Q14" s="54">
        <v>0.37307338966621262</v>
      </c>
    </row>
    <row r="15" spans="1:20">
      <c r="A15" s="2" t="s">
        <v>333</v>
      </c>
      <c r="B15" s="16" t="s">
        <v>334</v>
      </c>
      <c r="D15" s="14">
        <v>1</v>
      </c>
      <c r="E15" s="14">
        <v>0.43680296032494265</v>
      </c>
      <c r="F15" s="14">
        <v>2.8447800031801248E-2</v>
      </c>
      <c r="G15" s="14">
        <v>4.5519467634863258E-9</v>
      </c>
      <c r="H15" s="14">
        <v>865.90188787960653</v>
      </c>
      <c r="I15" s="14">
        <v>2729.1402671564492</v>
      </c>
      <c r="J15" s="14">
        <v>0</v>
      </c>
      <c r="K15" s="14">
        <v>35.152103111035622</v>
      </c>
      <c r="L15" s="14">
        <v>2.8447800031801248E-2</v>
      </c>
      <c r="M15" s="14">
        <v>2.3341419926092923E-2</v>
      </c>
      <c r="N15" s="14">
        <v>169.90127324797032</v>
      </c>
      <c r="O15" s="14">
        <v>65323.641538379641</v>
      </c>
      <c r="P15" s="8">
        <v>169.90127324797035</v>
      </c>
      <c r="Q15" s="54">
        <v>0.37172849833088289</v>
      </c>
    </row>
    <row r="16" spans="1:20">
      <c r="A16" s="2" t="s">
        <v>335</v>
      </c>
      <c r="B16" s="16" t="s">
        <v>336</v>
      </c>
      <c r="D16" s="14">
        <v>1</v>
      </c>
      <c r="E16" s="14">
        <v>0.45725238592529116</v>
      </c>
      <c r="F16" s="14">
        <v>6.8505984069412024E-3</v>
      </c>
      <c r="G16" s="14">
        <v>2.3771522441927729E-5</v>
      </c>
      <c r="H16" s="14">
        <v>508.66108022691833</v>
      </c>
      <c r="I16" s="14">
        <v>7143.0827286472104</v>
      </c>
      <c r="J16" s="14">
        <v>0</v>
      </c>
      <c r="K16" s="14">
        <v>145.9726494822371</v>
      </c>
      <c r="L16" s="14">
        <v>6.8505984069412024E-3</v>
      </c>
      <c r="M16" s="14">
        <v>5.6209159928952571E-3</v>
      </c>
      <c r="N16" s="14">
        <v>448.1319905461483</v>
      </c>
      <c r="O16" s="14">
        <v>167296.63471068809</v>
      </c>
      <c r="P16" s="8">
        <v>448.1319905461483</v>
      </c>
      <c r="Q16" s="54">
        <v>0.34267757113111053</v>
      </c>
    </row>
    <row r="17" spans="1:21">
      <c r="A17" s="2" t="s">
        <v>337</v>
      </c>
      <c r="B17" s="16" t="s">
        <v>338</v>
      </c>
      <c r="D17" s="14">
        <v>1</v>
      </c>
      <c r="E17" s="14">
        <v>0.44098763403084151</v>
      </c>
      <c r="F17" s="14">
        <v>3.1804118212602747E-2</v>
      </c>
      <c r="G17" s="14">
        <v>1.6072811326787135E-6</v>
      </c>
      <c r="H17" s="14">
        <v>895.49539941977423</v>
      </c>
      <c r="I17" s="14">
        <v>2476.9687632586688</v>
      </c>
      <c r="J17" s="14">
        <v>0</v>
      </c>
      <c r="K17" s="14">
        <v>31.442468969434863</v>
      </c>
      <c r="L17" s="14">
        <v>3.1804118212602747E-2</v>
      </c>
      <c r="M17" s="14">
        <v>2.6095278993440552E-2</v>
      </c>
      <c r="N17" s="14">
        <v>154.10298326027552</v>
      </c>
      <c r="O17" s="14">
        <v>59995.373442890457</v>
      </c>
      <c r="P17" s="8">
        <v>154.10298326027552</v>
      </c>
      <c r="Q17" s="54">
        <v>0.36959027044337128</v>
      </c>
    </row>
    <row r="18" spans="1:21">
      <c r="A18" s="2" t="s">
        <v>279</v>
      </c>
      <c r="B18" s="16" t="s">
        <v>280</v>
      </c>
      <c r="D18" s="14">
        <v>1</v>
      </c>
      <c r="E18" s="14">
        <v>0.366053015627615</v>
      </c>
      <c r="F18" s="14">
        <v>0.18676667748428924</v>
      </c>
      <c r="G18" s="14">
        <v>8.8582489329867709E-5</v>
      </c>
      <c r="H18" s="14">
        <v>424.93195648753158</v>
      </c>
      <c r="I18" s="14">
        <v>785.55493932376521</v>
      </c>
      <c r="J18" s="14">
        <v>0</v>
      </c>
      <c r="K18" s="14">
        <v>5.3542741856834688</v>
      </c>
      <c r="L18" s="14">
        <v>0.18676667748428927</v>
      </c>
      <c r="M18" s="14">
        <v>0.15324205887585934</v>
      </c>
      <c r="N18" s="14">
        <v>48.570945175545198</v>
      </c>
      <c r="O18" s="14">
        <v>14125.887985403808</v>
      </c>
      <c r="P18" s="8">
        <v>48.570945175545198</v>
      </c>
      <c r="Q18" s="54">
        <v>0.42012310220704868</v>
      </c>
    </row>
    <row r="19" spans="1:21">
      <c r="A19" s="2" t="s">
        <v>339</v>
      </c>
      <c r="B19" s="16" t="s">
        <v>340</v>
      </c>
      <c r="D19" s="14">
        <v>1</v>
      </c>
      <c r="E19" s="14">
        <v>0.43638472311259696</v>
      </c>
      <c r="F19" s="14">
        <v>2.8093868225630578E-2</v>
      </c>
      <c r="G19" s="14">
        <v>1.5952179532154994E-8</v>
      </c>
      <c r="H19" s="14">
        <v>862.56442219462247</v>
      </c>
      <c r="I19" s="14">
        <v>2758.3458077789332</v>
      </c>
      <c r="J19" s="14">
        <v>0</v>
      </c>
      <c r="K19" s="14">
        <v>35.594955880361134</v>
      </c>
      <c r="L19" s="14">
        <v>2.8093868225630581E-2</v>
      </c>
      <c r="M19" s="14">
        <v>2.305101887912989E-2</v>
      </c>
      <c r="N19" s="14">
        <v>171.73184598092809</v>
      </c>
      <c r="O19" s="14">
        <v>59359.112563307783</v>
      </c>
      <c r="P19" s="8">
        <v>171.73184598092809</v>
      </c>
      <c r="Q19" s="54">
        <v>0.3719192965953616</v>
      </c>
    </row>
    <row r="20" spans="1:21">
      <c r="A20" s="2" t="s">
        <v>281</v>
      </c>
      <c r="B20" s="16" t="s">
        <v>282</v>
      </c>
      <c r="D20" s="14">
        <v>1</v>
      </c>
      <c r="E20" s="14">
        <v>0.36857897135797818</v>
      </c>
      <c r="F20" s="14">
        <v>0.16310333798210819</v>
      </c>
      <c r="G20" s="14">
        <v>7.5713153787691719E-7</v>
      </c>
      <c r="H20" s="14">
        <v>488.58805952695701</v>
      </c>
      <c r="I20" s="14">
        <v>885.11565045222017</v>
      </c>
      <c r="J20" s="14">
        <v>0</v>
      </c>
      <c r="K20" s="14">
        <v>6.1310823700597483</v>
      </c>
      <c r="L20" s="14">
        <v>0.16310333798210819</v>
      </c>
      <c r="M20" s="14">
        <v>0.13382628881431977</v>
      </c>
      <c r="N20" s="14">
        <v>54.729412740045355</v>
      </c>
      <c r="O20" s="14">
        <v>15940.488754665608</v>
      </c>
      <c r="P20" s="8">
        <v>54.729412740045355</v>
      </c>
      <c r="Q20" s="54">
        <v>0.42344793560287319</v>
      </c>
    </row>
    <row r="21" spans="1:21">
      <c r="A21" s="2" t="s">
        <v>341</v>
      </c>
      <c r="B21" s="16" t="s">
        <v>342</v>
      </c>
      <c r="D21" s="14">
        <v>1</v>
      </c>
      <c r="E21" s="14">
        <v>0.42863626895517487</v>
      </c>
      <c r="F21" s="14">
        <v>2.008333503693108E-2</v>
      </c>
      <c r="G21" s="14">
        <v>2.3367073308444969E-5</v>
      </c>
      <c r="H21" s="14">
        <v>772.28185907439672</v>
      </c>
      <c r="I21" s="14">
        <v>3601.0819449694436</v>
      </c>
      <c r="J21" s="14">
        <v>0</v>
      </c>
      <c r="K21" s="14">
        <v>49.792526896608962</v>
      </c>
      <c r="L21" s="14">
        <v>2.008333503693108E-2</v>
      </c>
      <c r="M21" s="14">
        <v>1.6478376397801951E-2</v>
      </c>
      <c r="N21" s="14">
        <v>224.6269857581421</v>
      </c>
      <c r="O21" s="14">
        <v>75312.935784989881</v>
      </c>
      <c r="P21" s="8">
        <v>224.6269857581421</v>
      </c>
      <c r="Q21" s="54">
        <v>0.37310666242084306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0.66903699168939357</v>
      </c>
      <c r="F22" s="14">
        <v>0.65177619009656729</v>
      </c>
      <c r="G22" s="14">
        <v>2.5202694727355749E-5</v>
      </c>
      <c r="H22" s="14">
        <v>39.48375889885483</v>
      </c>
      <c r="I22" s="14">
        <v>95.340112942114942</v>
      </c>
      <c r="J22" s="14">
        <v>0</v>
      </c>
      <c r="K22" s="14">
        <v>1.5342689947784678</v>
      </c>
      <c r="L22" s="14">
        <v>0.6517761900965674</v>
      </c>
      <c r="M22" s="14">
        <v>0.53478236397423351</v>
      </c>
      <c r="N22" s="14">
        <v>6.3889832460837344</v>
      </c>
      <c r="O22" s="14">
        <v>1049.0710490069491</v>
      </c>
      <c r="P22" s="8">
        <v>6.3889832460837344</v>
      </c>
      <c r="Q22" s="54">
        <v>0.22155199347367613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0.76899593828442425</v>
      </c>
      <c r="F23" s="14">
        <v>0.76145750152078229</v>
      </c>
      <c r="G23" s="14">
        <v>9.9232551262888746E-7</v>
      </c>
      <c r="H23" s="14">
        <v>17.395049522727408</v>
      </c>
      <c r="I23" s="14">
        <v>45.131819262067197</v>
      </c>
      <c r="J23" s="14">
        <v>0</v>
      </c>
      <c r="K23" s="14">
        <v>1.3132709284533948</v>
      </c>
      <c r="L23" s="14">
        <v>0.76145750152078229</v>
      </c>
      <c r="M23" s="14">
        <v>0.62477587999780182</v>
      </c>
      <c r="N23" s="14">
        <v>3.4170281871958945</v>
      </c>
      <c r="O23" s="14">
        <v>516.51798077653143</v>
      </c>
      <c r="P23" s="8">
        <v>3.4170281871958945</v>
      </c>
      <c r="Q23" s="54">
        <v>0.15569793057218403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0.41950871170491599</v>
      </c>
      <c r="F24" s="14">
        <v>0.32439003638270503</v>
      </c>
      <c r="G24" s="14">
        <v>1.493605809287476E-6</v>
      </c>
      <c r="H24" s="14">
        <v>222.23246650318191</v>
      </c>
      <c r="I24" s="14">
        <v>448.81222419775963</v>
      </c>
      <c r="J24" s="14">
        <v>0</v>
      </c>
      <c r="K24" s="14">
        <v>3.0827087389953984</v>
      </c>
      <c r="L24" s="14">
        <v>0.32439003638270503</v>
      </c>
      <c r="M24" s="14">
        <v>0.26616202485200952</v>
      </c>
      <c r="N24" s="14">
        <v>27.844822088332709</v>
      </c>
      <c r="O24" s="14">
        <v>4907.6498930686403</v>
      </c>
      <c r="P24" s="8">
        <v>27.844822088332712</v>
      </c>
      <c r="Q24" s="54">
        <v>0.39035943181041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0.38983216535774423</v>
      </c>
      <c r="F25" s="14">
        <v>7.91106815624045E-2</v>
      </c>
      <c r="G25" s="14">
        <v>5.5937572274563578E-4</v>
      </c>
      <c r="H25" s="14">
        <v>748.64361700323946</v>
      </c>
      <c r="I25" s="14">
        <v>1246.0408972900079</v>
      </c>
      <c r="J25" s="14">
        <v>0</v>
      </c>
      <c r="K25" s="14">
        <v>12.640518072280477</v>
      </c>
      <c r="L25" s="14">
        <v>7.91106815624045E-2</v>
      </c>
      <c r="M25" s="14">
        <v>6.4910314221952897E-2</v>
      </c>
      <c r="N25" s="14">
        <v>77.176947968545932</v>
      </c>
      <c r="O25" s="14">
        <v>14841.127094351383</v>
      </c>
      <c r="P25" s="8">
        <v>77.176947968545932</v>
      </c>
      <c r="Q25" s="54">
        <v>0.37405227189563578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0.42968760301556774</v>
      </c>
      <c r="F26" s="14">
        <v>2.1730056021724908E-2</v>
      </c>
      <c r="G26" s="14">
        <v>1.8727048431490327E-5</v>
      </c>
      <c r="H26" s="14">
        <v>793.30619540465125</v>
      </c>
      <c r="I26" s="14">
        <v>3390.7675380976279</v>
      </c>
      <c r="J26" s="14">
        <v>0</v>
      </c>
      <c r="K26" s="14">
        <v>46.01920947650742</v>
      </c>
      <c r="L26" s="14">
        <v>2.1730056021724908E-2</v>
      </c>
      <c r="M26" s="14">
        <v>1.7829510965825288E-2</v>
      </c>
      <c r="N26" s="14">
        <v>211.41431979439182</v>
      </c>
      <c r="O26" s="14">
        <v>47012.202292678907</v>
      </c>
      <c r="P26" s="8">
        <v>211.41431979439182</v>
      </c>
      <c r="Q26" s="54">
        <v>0.37333440683147945</v>
      </c>
    </row>
    <row r="27" spans="1:21">
      <c r="A27" s="2" t="s">
        <v>353</v>
      </c>
      <c r="B27" s="16" t="s">
        <v>354</v>
      </c>
      <c r="D27" s="14">
        <v>1</v>
      </c>
      <c r="E27" s="14">
        <v>0.48886085743179675</v>
      </c>
      <c r="F27" s="14">
        <v>3.8951846719569093E-3</v>
      </c>
      <c r="G27" s="14">
        <v>1.4892120450550538E-4</v>
      </c>
      <c r="H27" s="14">
        <v>391.58680792840079</v>
      </c>
      <c r="I27" s="14">
        <v>9136.6128620290474</v>
      </c>
      <c r="J27" s="14">
        <v>0</v>
      </c>
      <c r="K27" s="14">
        <v>256.72723740145756</v>
      </c>
      <c r="L27" s="14">
        <v>3.8951846719569093E-3</v>
      </c>
      <c r="M27" s="14">
        <v>3.1959990233406442E-3</v>
      </c>
      <c r="N27" s="14">
        <v>574.74154219316029</v>
      </c>
      <c r="O27" s="14">
        <v>135863.15315904116</v>
      </c>
      <c r="P27" s="8">
        <v>574.74154219316029</v>
      </c>
      <c r="Q27" s="54">
        <v>0.30745759329776967</v>
      </c>
    </row>
    <row r="28" spans="1:21">
      <c r="A28" s="2" t="s">
        <v>355</v>
      </c>
      <c r="B28" s="16" t="s">
        <v>356</v>
      </c>
      <c r="D28" s="14">
        <v>1</v>
      </c>
      <c r="E28" s="14">
        <v>0.43351176677094372</v>
      </c>
      <c r="F28" s="14">
        <v>1.2328204166623405E-2</v>
      </c>
      <c r="G28" s="14">
        <v>7.2248411986494604E-6</v>
      </c>
      <c r="H28" s="14">
        <v>647.44043338550193</v>
      </c>
      <c r="I28" s="14">
        <v>5089.2875407652009</v>
      </c>
      <c r="J28" s="14">
        <v>0</v>
      </c>
      <c r="K28" s="14">
        <v>81.114814979081572</v>
      </c>
      <c r="L28" s="14">
        <v>1.2328204166623405E-2</v>
      </c>
      <c r="M28" s="14">
        <v>1.0115291518714504E-2</v>
      </c>
      <c r="N28" s="14">
        <v>318.31446368850413</v>
      </c>
      <c r="O28" s="14">
        <v>82252.457417109457</v>
      </c>
      <c r="P28" s="8">
        <v>318.31446368850413</v>
      </c>
      <c r="Q28" s="54">
        <v>0.36614827199704914</v>
      </c>
    </row>
    <row r="29" spans="1:21">
      <c r="A29" s="2" t="s">
        <v>357</v>
      </c>
      <c r="B29" s="16" t="s">
        <v>358</v>
      </c>
      <c r="D29" s="14">
        <v>1</v>
      </c>
      <c r="E29" s="14">
        <v>0.37915866252751335</v>
      </c>
      <c r="F29" s="14">
        <v>1.6427856413790593E-2</v>
      </c>
      <c r="G29" s="14">
        <v>1.2933301024886815E-3</v>
      </c>
      <c r="H29" s="14">
        <v>665.39709162647534</v>
      </c>
      <c r="I29" s="14">
        <v>3384.839411352842</v>
      </c>
      <c r="J29" s="14">
        <v>0</v>
      </c>
      <c r="K29" s="14">
        <v>60.872214536799582</v>
      </c>
      <c r="L29" s="14">
        <v>1.6427856413790593E-2</v>
      </c>
      <c r="M29" s="14">
        <v>1.3479056187515182E-2</v>
      </c>
      <c r="N29" s="14">
        <v>211.23232909239584</v>
      </c>
      <c r="O29" s="14">
        <v>49933.210274151454</v>
      </c>
      <c r="P29" s="8">
        <v>211.23232909239587</v>
      </c>
      <c r="Q29" s="54">
        <v>0.33001833514064466</v>
      </c>
    </row>
    <row r="30" spans="1:21">
      <c r="A30" s="2" t="s">
        <v>359</v>
      </c>
      <c r="B30" s="16" t="s">
        <v>360</v>
      </c>
      <c r="D30" s="14">
        <v>1</v>
      </c>
      <c r="E30" s="14">
        <v>0.43351176677094372</v>
      </c>
      <c r="F30" s="14">
        <v>1.2328204166623405E-2</v>
      </c>
      <c r="G30" s="14">
        <v>7.2248411986494604E-6</v>
      </c>
      <c r="H30" s="14">
        <v>647.44043338550193</v>
      </c>
      <c r="I30" s="14">
        <v>5089.2875407652009</v>
      </c>
      <c r="J30" s="14">
        <v>0</v>
      </c>
      <c r="K30" s="14">
        <v>81.114814979081572</v>
      </c>
      <c r="L30" s="14">
        <v>1.2328204166623405E-2</v>
      </c>
      <c r="M30" s="14">
        <v>1.0115291518714504E-2</v>
      </c>
      <c r="N30" s="14">
        <v>318.31446368850413</v>
      </c>
      <c r="O30" s="14">
        <v>82252.457417109457</v>
      </c>
      <c r="P30" s="8">
        <v>318.31446368850413</v>
      </c>
      <c r="Q30" s="54">
        <v>0.36614827199704914</v>
      </c>
    </row>
    <row r="31" spans="1:21">
      <c r="A31" s="2" t="s">
        <v>283</v>
      </c>
      <c r="B31" s="16" t="s">
        <v>284</v>
      </c>
      <c r="D31" s="14">
        <v>1</v>
      </c>
      <c r="E31" s="14">
        <v>0.97662631502149777</v>
      </c>
      <c r="F31" s="14">
        <v>0.97692324672879616</v>
      </c>
      <c r="G31" s="14">
        <v>2.905152480626553E-10</v>
      </c>
      <c r="H31" s="14">
        <v>0.17019251032448249</v>
      </c>
      <c r="I31" s="14">
        <v>0.63240837825744511</v>
      </c>
      <c r="J31" s="14">
        <v>0</v>
      </c>
      <c r="K31" s="14">
        <v>1.0236218693213368</v>
      </c>
      <c r="L31" s="14">
        <v>0.97692324672879627</v>
      </c>
      <c r="M31" s="14">
        <v>0.80156552394097735</v>
      </c>
      <c r="N31" s="14">
        <v>0.90147157259412847</v>
      </c>
      <c r="O31" s="14">
        <v>175.0567646820538</v>
      </c>
      <c r="P31" s="8">
        <v>0.90147157259412847</v>
      </c>
      <c r="Q31" s="54">
        <v>1.5732495453292257E-2</v>
      </c>
    </row>
    <row r="32" spans="1:21">
      <c r="A32" s="2" t="s">
        <v>361</v>
      </c>
      <c r="B32" s="16" t="s">
        <v>362</v>
      </c>
      <c r="D32" s="14">
        <v>1</v>
      </c>
      <c r="E32" s="14">
        <v>0.58801566265718708</v>
      </c>
      <c r="F32" s="14">
        <v>0.55713367509071043</v>
      </c>
      <c r="G32" s="14">
        <v>3.0292961135373569E-10</v>
      </c>
      <c r="H32" s="14">
        <v>70.907362265326796</v>
      </c>
      <c r="I32" s="14">
        <v>161.87195313003653</v>
      </c>
      <c r="J32" s="14">
        <v>0</v>
      </c>
      <c r="K32" s="14">
        <v>1.7949013759349293</v>
      </c>
      <c r="L32" s="14">
        <v>0.55713367509071043</v>
      </c>
      <c r="M32" s="14">
        <v>0.45712818041192793</v>
      </c>
      <c r="N32" s="14">
        <v>10.481155866060529</v>
      </c>
      <c r="O32" s="14">
        <v>2684.1192057394405</v>
      </c>
      <c r="P32" s="8">
        <v>10.481155866060529</v>
      </c>
      <c r="Q32" s="54">
        <v>0.27756941295802001</v>
      </c>
    </row>
    <row r="33" spans="1:17">
      <c r="A33" s="2" t="s">
        <v>364</v>
      </c>
      <c r="B33" s="16" t="s">
        <v>365</v>
      </c>
      <c r="D33" s="14">
        <v>1</v>
      </c>
      <c r="E33" s="14">
        <v>0.99987745327999944</v>
      </c>
      <c r="F33" s="14">
        <v>0.9998467863644408</v>
      </c>
      <c r="G33" s="14">
        <v>1.3415837513702366E-12</v>
      </c>
      <c r="H33" s="14">
        <v>1.1946301054920361</v>
      </c>
      <c r="I33" s="14">
        <v>3.3823799645438788E-3</v>
      </c>
      <c r="J33" s="14">
        <v>0</v>
      </c>
      <c r="K33" s="14">
        <v>1.0001532371135744</v>
      </c>
      <c r="L33" s="14">
        <v>0.99984678636444091</v>
      </c>
      <c r="M33" s="14">
        <v>0.82037428821202374</v>
      </c>
      <c r="N33" s="14">
        <v>0.88992439685241986</v>
      </c>
      <c r="O33" s="14">
        <v>263.55111012784414</v>
      </c>
      <c r="P33" s="8">
        <v>0.88992439685241997</v>
      </c>
      <c r="Q33" s="54">
        <v>3.8567580360223128E-5</v>
      </c>
    </row>
    <row r="34" spans="1:17">
      <c r="A34" s="2" t="s">
        <v>285</v>
      </c>
      <c r="B34" s="16" t="s">
        <v>286</v>
      </c>
      <c r="D34" s="14">
        <v>1</v>
      </c>
      <c r="E34" s="14">
        <v>0.99955619711147436</v>
      </c>
      <c r="F34" s="14">
        <v>0.92392285469399538</v>
      </c>
      <c r="G34" s="14">
        <v>6.7020932250707886E-12</v>
      </c>
      <c r="H34" s="14">
        <v>215.97113477725247</v>
      </c>
      <c r="I34" s="14">
        <v>0.16422218748407444</v>
      </c>
      <c r="J34" s="14">
        <v>0</v>
      </c>
      <c r="K34" s="14">
        <v>1.0823414475781115</v>
      </c>
      <c r="L34" s="14">
        <v>0.92392285469399538</v>
      </c>
      <c r="M34" s="14">
        <v>0.75807870227642316</v>
      </c>
      <c r="N34" s="14">
        <v>1.5872992604287921</v>
      </c>
      <c r="O34" s="14">
        <v>350.85662852518021</v>
      </c>
      <c r="P34" s="8">
        <v>1.5872992604287921</v>
      </c>
      <c r="Q34" s="54">
        <v>2.2081665804456478E-4</v>
      </c>
    </row>
    <row r="35" spans="1:17">
      <c r="A35" s="2" t="s">
        <v>287</v>
      </c>
      <c r="B35" s="16" t="s">
        <v>288</v>
      </c>
      <c r="D35" s="14">
        <v>1</v>
      </c>
      <c r="E35" s="14">
        <v>0.99862579119184802</v>
      </c>
      <c r="F35" s="14">
        <v>0.82728925684552879</v>
      </c>
      <c r="G35" s="14">
        <v>2.9527162844360897E-13</v>
      </c>
      <c r="H35" s="14">
        <v>487.79504519311888</v>
      </c>
      <c r="I35" s="14">
        <v>0.87463393318242277</v>
      </c>
      <c r="J35" s="14">
        <v>0</v>
      </c>
      <c r="K35" s="14">
        <v>1.2087670566556379</v>
      </c>
      <c r="L35" s="14">
        <v>0.8272892568455289</v>
      </c>
      <c r="M35" s="14">
        <v>0.67879083524175643</v>
      </c>
      <c r="N35" s="14">
        <v>2.4024367728696618</v>
      </c>
      <c r="O35" s="14">
        <v>553.18509132096835</v>
      </c>
      <c r="P35" s="8">
        <v>2.4024367728696618</v>
      </c>
      <c r="Q35" s="54">
        <v>8.0840003317082841E-4</v>
      </c>
    </row>
    <row r="36" spans="1:17">
      <c r="A36" s="2" t="s">
        <v>366</v>
      </c>
      <c r="B36" s="16" t="s">
        <v>305</v>
      </c>
      <c r="D36" s="14">
        <v>1</v>
      </c>
      <c r="E36" s="14">
        <v>0.99700802703665725</v>
      </c>
      <c r="F36" s="14">
        <v>0.54761938750027539</v>
      </c>
      <c r="G36" s="14">
        <v>1.0329999240691995E-9</v>
      </c>
      <c r="H36" s="14">
        <v>1277.4938414596988</v>
      </c>
      <c r="I36" s="14">
        <v>3.3865868216985451</v>
      </c>
      <c r="J36" s="14">
        <v>0</v>
      </c>
      <c r="K36" s="14">
        <v>1.8260858231566846</v>
      </c>
      <c r="L36" s="14">
        <v>0.5476193875002755</v>
      </c>
      <c r="M36" s="14">
        <v>0.44932170744397598</v>
      </c>
      <c r="N36" s="14">
        <v>4.5672687183271892</v>
      </c>
      <c r="O36" s="14">
        <v>942.13619121653255</v>
      </c>
      <c r="P36" s="8">
        <v>4.5672687183271892</v>
      </c>
      <c r="Q36" s="54">
        <v>1.792925376222787E-3</v>
      </c>
    </row>
    <row r="37" spans="1:17">
      <c r="A37" s="2" t="s">
        <v>289</v>
      </c>
      <c r="B37" s="16" t="s">
        <v>290</v>
      </c>
      <c r="D37" s="14">
        <v>1</v>
      </c>
      <c r="E37" s="14">
        <v>0.79809170695534049</v>
      </c>
      <c r="F37" s="14">
        <v>0.59353977509560651</v>
      </c>
      <c r="G37" s="14">
        <v>1.3232810982386951E-16</v>
      </c>
      <c r="H37" s="14">
        <v>562.82039650629474</v>
      </c>
      <c r="I37" s="14">
        <v>177.91023944427715</v>
      </c>
      <c r="J37" s="14">
        <v>0</v>
      </c>
      <c r="K37" s="14">
        <v>1.6848070541505351</v>
      </c>
      <c r="L37" s="14">
        <v>0.59353977509560651</v>
      </c>
      <c r="M37" s="14">
        <v>0.48699938546594518</v>
      </c>
      <c r="N37" s="14">
        <v>12.980329868483858</v>
      </c>
      <c r="O37" s="14">
        <v>4522.6065327771457</v>
      </c>
      <c r="P37" s="8">
        <v>12.980329868483858</v>
      </c>
      <c r="Q37" s="54">
        <v>0.13564411118953695</v>
      </c>
    </row>
    <row r="38" spans="1:17">
      <c r="A38" s="2" t="s">
        <v>291</v>
      </c>
      <c r="B38" s="16" t="s">
        <v>292</v>
      </c>
      <c r="D38" s="14">
        <v>1</v>
      </c>
      <c r="E38" s="14">
        <v>0.99701865867950967</v>
      </c>
      <c r="F38" s="14">
        <v>0.93869865815459486</v>
      </c>
      <c r="G38" s="14">
        <v>2.046838097839667E-14</v>
      </c>
      <c r="H38" s="14">
        <v>166.6580120255783</v>
      </c>
      <c r="I38" s="14">
        <v>1.2891541771127462</v>
      </c>
      <c r="J38" s="14">
        <v>0</v>
      </c>
      <c r="K38" s="14">
        <v>1.0653046015490408</v>
      </c>
      <c r="L38" s="14">
        <v>0.93869865815459486</v>
      </c>
      <c r="M38" s="14">
        <v>0.77020224901584511</v>
      </c>
      <c r="N38" s="14">
        <v>1.5041299210698862</v>
      </c>
      <c r="O38" s="14">
        <v>463.768378563478</v>
      </c>
      <c r="P38" s="8">
        <v>1.5041299210698864</v>
      </c>
      <c r="Q38" s="54">
        <v>1.9377817443784202E-3</v>
      </c>
    </row>
    <row r="39" spans="1:17">
      <c r="A39" s="2" t="s">
        <v>367</v>
      </c>
      <c r="B39" s="16" t="s">
        <v>368</v>
      </c>
      <c r="D39" s="14">
        <v>1</v>
      </c>
      <c r="E39" s="14">
        <v>0.46700784972639048</v>
      </c>
      <c r="F39" s="14">
        <v>4.9435005445318682E-2</v>
      </c>
      <c r="G39" s="14">
        <v>7.6810938947099603E-7</v>
      </c>
      <c r="H39" s="14">
        <v>1010.4029053375036</v>
      </c>
      <c r="I39" s="14">
        <v>1633.9988897275623</v>
      </c>
      <c r="J39" s="14">
        <v>0</v>
      </c>
      <c r="K39" s="14">
        <v>20.228580759561673</v>
      </c>
      <c r="L39" s="14">
        <v>4.9435005445318682E-2</v>
      </c>
      <c r="M39" s="14">
        <v>4.0561421967883982E-2</v>
      </c>
      <c r="N39" s="14">
        <v>101.40068652124337</v>
      </c>
      <c r="O39" s="14">
        <v>28223.86708632288</v>
      </c>
      <c r="P39" s="8">
        <v>101.40068652124339</v>
      </c>
      <c r="Q39" s="54">
        <v>0.35469229722924089</v>
      </c>
    </row>
    <row r="40" spans="1:17">
      <c r="A40" s="2" t="s">
        <v>369</v>
      </c>
      <c r="B40" s="16" t="s">
        <v>370</v>
      </c>
      <c r="D40" s="14">
        <v>1</v>
      </c>
      <c r="E40" s="14">
        <v>0.92911083664655669</v>
      </c>
      <c r="F40" s="14">
        <v>9.4365928635339481E-3</v>
      </c>
      <c r="G40" s="14">
        <v>9.5796210487075786E-14</v>
      </c>
      <c r="H40" s="14">
        <v>2437.5594583645484</v>
      </c>
      <c r="I40" s="14">
        <v>1632.8158608790015</v>
      </c>
      <c r="J40" s="14">
        <v>0</v>
      </c>
      <c r="K40" s="14">
        <v>105.97045082492897</v>
      </c>
      <c r="L40" s="14">
        <v>9.4365928635339481E-3</v>
      </c>
      <c r="M40" s="14">
        <v>7.7427244445296044E-3</v>
      </c>
      <c r="N40" s="14">
        <v>597.41077380695901</v>
      </c>
      <c r="O40" s="14">
        <v>243086.44386205159</v>
      </c>
      <c r="P40" s="8">
        <v>597.41077380695901</v>
      </c>
      <c r="Q40" s="54">
        <v>1.8211143242256724E-2</v>
      </c>
    </row>
    <row r="41" spans="1:17">
      <c r="A41" s="2" t="s">
        <v>371</v>
      </c>
      <c r="B41" s="16" t="s">
        <v>372</v>
      </c>
      <c r="D41" s="14">
        <v>1</v>
      </c>
      <c r="E41" s="14">
        <v>0.91383249258655097</v>
      </c>
      <c r="F41" s="14">
        <v>0.91418469498388111</v>
      </c>
      <c r="G41" s="14">
        <v>9.0602969920432295E-4</v>
      </c>
      <c r="H41" s="14">
        <v>7.9234431487825024E-3</v>
      </c>
      <c r="I41" s="14">
        <v>3.6725787495318685E-2</v>
      </c>
      <c r="J41" s="14">
        <v>0</v>
      </c>
      <c r="K41" s="14">
        <v>1.0938708616398702</v>
      </c>
      <c r="L41" s="14">
        <v>0.91418469498388111</v>
      </c>
      <c r="M41" s="14">
        <v>0.75008854223427446</v>
      </c>
      <c r="N41" s="14">
        <v>0.81027581911931279</v>
      </c>
      <c r="O41" s="14">
        <v>113.59256708233646</v>
      </c>
      <c r="P41" s="8">
        <v>0.81027581911931279</v>
      </c>
      <c r="Q41" s="54">
        <v>3.0815634683395089E-3</v>
      </c>
    </row>
    <row r="42" spans="1:17">
      <c r="A42" s="2" t="s">
        <v>293</v>
      </c>
      <c r="B42" s="16" t="s">
        <v>294</v>
      </c>
      <c r="D42" s="14">
        <v>1</v>
      </c>
      <c r="E42" s="14">
        <v>0.64560601681722452</v>
      </c>
      <c r="F42" s="14">
        <v>0.62489049212717684</v>
      </c>
      <c r="G42" s="14">
        <v>2.3104278158119295E-10</v>
      </c>
      <c r="H42" s="14">
        <v>47.4093408077212</v>
      </c>
      <c r="I42" s="14">
        <v>112.59551393973186</v>
      </c>
      <c r="J42" s="14">
        <v>0</v>
      </c>
      <c r="K42" s="14">
        <v>1.6002803892821611</v>
      </c>
      <c r="L42" s="14">
        <v>0.62489049212717696</v>
      </c>
      <c r="M42" s="14">
        <v>0.51272264879034868</v>
      </c>
      <c r="N42" s="14">
        <v>7.4217466626092801</v>
      </c>
      <c r="O42" s="14">
        <v>2451.8482274596017</v>
      </c>
      <c r="P42" s="8">
        <v>7.4217466626092801</v>
      </c>
      <c r="Q42" s="54">
        <v>0.23884771320622575</v>
      </c>
    </row>
    <row r="43" spans="1:17">
      <c r="A43" s="2" t="s">
        <v>373</v>
      </c>
      <c r="B43" s="16" t="s">
        <v>374</v>
      </c>
      <c r="D43" s="14">
        <v>1</v>
      </c>
      <c r="E43" s="14">
        <v>0.99491646978735737</v>
      </c>
      <c r="F43" s="14">
        <v>8.1602501696798779E-2</v>
      </c>
      <c r="G43" s="14">
        <v>4.4186163250884896E-9</v>
      </c>
      <c r="H43" s="14">
        <v>2593.7222832516154</v>
      </c>
      <c r="I43" s="14">
        <v>20.277154488726424</v>
      </c>
      <c r="J43" s="14">
        <v>0</v>
      </c>
      <c r="K43" s="14">
        <v>12.254526260917675</v>
      </c>
      <c r="L43" s="14">
        <v>8.1602501696798793E-2</v>
      </c>
      <c r="M43" s="14">
        <v>6.6954852642223409E-2</v>
      </c>
      <c r="N43" s="14">
        <v>16.238745596305105</v>
      </c>
      <c r="O43" s="14">
        <v>4325.0275021199013</v>
      </c>
      <c r="P43" s="8">
        <v>16.238745596305105</v>
      </c>
      <c r="Q43" s="54">
        <v>2.6254696966952888E-3</v>
      </c>
    </row>
    <row r="44" spans="1:17">
      <c r="A44" s="2" t="s">
        <v>375</v>
      </c>
      <c r="B44" s="16" t="s">
        <v>376</v>
      </c>
      <c r="D44" s="14">
        <v>1</v>
      </c>
      <c r="E44" s="14">
        <v>0.78310113071301624</v>
      </c>
      <c r="F44" s="14">
        <v>0.78081300497279749</v>
      </c>
      <c r="G44" s="14">
        <v>9.6559615086934598E-4</v>
      </c>
      <c r="H44" s="14">
        <v>5.6463401575143255</v>
      </c>
      <c r="I44" s="14">
        <v>15.944988448880208</v>
      </c>
      <c r="J44" s="14">
        <v>0</v>
      </c>
      <c r="K44" s="14">
        <v>1.2807163733586107</v>
      </c>
      <c r="L44" s="14">
        <v>0.78081300497279749</v>
      </c>
      <c r="M44" s="14">
        <v>0.6406570705801804</v>
      </c>
      <c r="N44" s="14">
        <v>1.6564374578099372</v>
      </c>
      <c r="O44" s="14">
        <v>247.47175619680465</v>
      </c>
      <c r="P44" s="8">
        <v>1.6564374578099375</v>
      </c>
      <c r="Q44" s="54">
        <v>8.7664590600025696E-2</v>
      </c>
    </row>
    <row r="45" spans="1:17">
      <c r="A45" s="2" t="s">
        <v>377</v>
      </c>
      <c r="B45" s="16" t="s">
        <v>378</v>
      </c>
      <c r="D45" s="14">
        <v>1</v>
      </c>
      <c r="E45" s="14">
        <v>0.62253035529298073</v>
      </c>
      <c r="F45" s="14">
        <v>0.59832439297600359</v>
      </c>
      <c r="G45" s="14">
        <v>9.0220493132487641E-6</v>
      </c>
      <c r="H45" s="14">
        <v>55.446828354948615</v>
      </c>
      <c r="I45" s="14">
        <v>129.75792131394229</v>
      </c>
      <c r="J45" s="14">
        <v>0</v>
      </c>
      <c r="K45" s="14">
        <v>1.6713341654451084</v>
      </c>
      <c r="L45" s="14">
        <v>0.59832439297600359</v>
      </c>
      <c r="M45" s="14">
        <v>0.49092516443681095</v>
      </c>
      <c r="N45" s="14">
        <v>8.4499228669901996</v>
      </c>
      <c r="O45" s="14">
        <v>1877.9108579599019</v>
      </c>
      <c r="P45" s="8">
        <v>8.4499228669901996</v>
      </c>
      <c r="Q45" s="54">
        <v>0.25382469888321951</v>
      </c>
    </row>
    <row r="46" spans="1:17">
      <c r="A46" s="2" t="s">
        <v>379</v>
      </c>
      <c r="B46" s="16" t="s">
        <v>380</v>
      </c>
      <c r="D46" s="14">
        <v>1</v>
      </c>
      <c r="E46" s="14">
        <v>0.63564676620420824</v>
      </c>
      <c r="F46" s="14">
        <v>0.6137228041973537</v>
      </c>
      <c r="G46" s="14">
        <v>2.6671088988233428E-5</v>
      </c>
      <c r="H46" s="14">
        <v>50.18942968734666</v>
      </c>
      <c r="I46" s="14">
        <v>118.54123062228486</v>
      </c>
      <c r="J46" s="14">
        <v>0</v>
      </c>
      <c r="K46" s="14">
        <v>1.6294001023928579</v>
      </c>
      <c r="L46" s="14">
        <v>0.6137228041973537</v>
      </c>
      <c r="M46" s="14">
        <v>0.50355956084392872</v>
      </c>
      <c r="N46" s="14">
        <v>7.7761915328061253</v>
      </c>
      <c r="O46" s="14">
        <v>999.7071834575554</v>
      </c>
      <c r="P46" s="8">
        <v>7.7761915328061253</v>
      </c>
      <c r="Q46" s="54">
        <v>0.24393236785370295</v>
      </c>
    </row>
    <row r="47" spans="1:17">
      <c r="A47" s="2" t="s">
        <v>381</v>
      </c>
      <c r="B47" s="16" t="s">
        <v>382</v>
      </c>
      <c r="D47" s="14">
        <v>1</v>
      </c>
      <c r="E47" s="14">
        <v>0.50185638140661182</v>
      </c>
      <c r="F47" s="14">
        <v>3.6362791856404571E-3</v>
      </c>
      <c r="G47" s="14">
        <v>2.5905125923180406E-9</v>
      </c>
      <c r="H47" s="14">
        <v>381.73081542529792</v>
      </c>
      <c r="I47" s="14">
        <v>9576.667097074007</v>
      </c>
      <c r="J47" s="14">
        <v>0</v>
      </c>
      <c r="K47" s="14">
        <v>275.00638673426562</v>
      </c>
      <c r="L47" s="14">
        <v>3.6362791856404575E-3</v>
      </c>
      <c r="M47" s="14">
        <v>2.9835670718179955E-3</v>
      </c>
      <c r="N47" s="14">
        <v>602.65557545318143</v>
      </c>
      <c r="O47" s="14">
        <v>235813.10011907536</v>
      </c>
      <c r="P47" s="8">
        <v>602.65557545318143</v>
      </c>
      <c r="Q47" s="54">
        <v>0.30634753543972609</v>
      </c>
    </row>
    <row r="48" spans="1:17">
      <c r="A48" s="2" t="s">
        <v>383</v>
      </c>
      <c r="B48" s="16" t="s">
        <v>384</v>
      </c>
      <c r="D48" s="14">
        <v>1</v>
      </c>
      <c r="E48" s="14">
        <v>0.91117566333727518</v>
      </c>
      <c r="F48" s="14">
        <v>0.91068752671174236</v>
      </c>
      <c r="G48" s="14">
        <v>1.3137050699035113E-4</v>
      </c>
      <c r="H48" s="14">
        <v>1.794193951523438</v>
      </c>
      <c r="I48" s="14">
        <v>5.5760487116332511</v>
      </c>
      <c r="J48" s="14">
        <v>0</v>
      </c>
      <c r="K48" s="14">
        <v>1.0980714796992355</v>
      </c>
      <c r="L48" s="14">
        <v>0.91068752671174247</v>
      </c>
      <c r="M48" s="14">
        <v>0.74721911566698462</v>
      </c>
      <c r="N48" s="14">
        <v>1.141652884568688</v>
      </c>
      <c r="O48" s="14">
        <v>106.3221331398819</v>
      </c>
      <c r="P48" s="8">
        <v>1.141652884568688</v>
      </c>
      <c r="Q48" s="54">
        <v>5.1919028693939717E-2</v>
      </c>
    </row>
    <row r="49" spans="1:17">
      <c r="A49" s="2" t="s">
        <v>385</v>
      </c>
      <c r="B49" s="16" t="s">
        <v>386</v>
      </c>
      <c r="D49" s="14">
        <v>1</v>
      </c>
      <c r="E49" s="14">
        <v>0.87541218426723999</v>
      </c>
      <c r="F49" s="14">
        <v>0.87425766657884385</v>
      </c>
      <c r="G49" s="14">
        <v>2.4675612247244331E-4</v>
      </c>
      <c r="H49" s="14">
        <v>3.2183957749678429</v>
      </c>
      <c r="I49" s="14">
        <v>9.5520507281707143</v>
      </c>
      <c r="J49" s="14">
        <v>0</v>
      </c>
      <c r="K49" s="14">
        <v>1.1438275444734873</v>
      </c>
      <c r="L49" s="14">
        <v>0.87425766657884396</v>
      </c>
      <c r="M49" s="14">
        <v>0.71732841542794146</v>
      </c>
      <c r="N49" s="14">
        <v>1.3505243927004045</v>
      </c>
      <c r="O49" s="14">
        <v>150.07027051686896</v>
      </c>
      <c r="P49" s="8">
        <v>1.3505243927004047</v>
      </c>
      <c r="Q49" s="54">
        <v>6.903933828797916E-2</v>
      </c>
    </row>
    <row r="50" spans="1:17">
      <c r="A50" s="2" t="s">
        <v>387</v>
      </c>
      <c r="B50" s="16" t="s">
        <v>388</v>
      </c>
      <c r="D50" s="14">
        <v>1</v>
      </c>
      <c r="E50" s="14">
        <v>0.36364967728689296</v>
      </c>
      <c r="F50" s="14">
        <v>0.19226858069232003</v>
      </c>
      <c r="G50" s="14">
        <v>1.8611304217146151E-4</v>
      </c>
      <c r="H50" s="14">
        <v>405.83389890004736</v>
      </c>
      <c r="I50" s="14">
        <v>754.40662076519357</v>
      </c>
      <c r="J50" s="14">
        <v>0</v>
      </c>
      <c r="K50" s="14">
        <v>5.2010577932140736</v>
      </c>
      <c r="L50" s="14">
        <v>0.19226858069232003</v>
      </c>
      <c r="M50" s="14">
        <v>0.15775637045804858</v>
      </c>
      <c r="N50" s="14">
        <v>46.646132888188212</v>
      </c>
      <c r="O50" s="14">
        <v>9210.2789387727626</v>
      </c>
      <c r="P50" s="8">
        <v>46.646132888188212</v>
      </c>
      <c r="Q50" s="54">
        <v>0.41591586925151575</v>
      </c>
    </row>
    <row r="51" spans="1:17">
      <c r="A51" s="2" t="s">
        <v>295</v>
      </c>
      <c r="B51" s="16" t="s">
        <v>296</v>
      </c>
      <c r="D51" s="14">
        <v>1</v>
      </c>
      <c r="E51" s="14">
        <v>0.90498610557818182</v>
      </c>
      <c r="F51" s="14">
        <v>0.90519905042985516</v>
      </c>
      <c r="G51" s="14">
        <v>7.2692997500330202E-4</v>
      </c>
      <c r="H51" s="14">
        <v>0.28738499551355862</v>
      </c>
      <c r="I51" s="14">
        <v>1.0216949822331161</v>
      </c>
      <c r="J51" s="14">
        <v>0</v>
      </c>
      <c r="K51" s="14">
        <v>1.1047293957335973</v>
      </c>
      <c r="L51" s="14">
        <v>0.90519905042985516</v>
      </c>
      <c r="M51" s="14">
        <v>0.74271582087769616</v>
      </c>
      <c r="N51" s="14">
        <v>0.86151736035932136</v>
      </c>
      <c r="O51" s="14">
        <v>50.036928289669383</v>
      </c>
      <c r="P51" s="8">
        <v>0.86151736035932136</v>
      </c>
      <c r="Q51" s="54">
        <v>1.9930640723235818E-2</v>
      </c>
    </row>
    <row r="52" spans="1:17">
      <c r="A52" s="2" t="s">
        <v>389</v>
      </c>
      <c r="B52" s="16" t="s">
        <v>390</v>
      </c>
      <c r="D52" s="14">
        <v>1</v>
      </c>
      <c r="E52" s="14">
        <v>0.75706856814985712</v>
      </c>
      <c r="F52" s="14">
        <v>0.75285272176566354</v>
      </c>
      <c r="G52" s="14">
        <v>7.9505745196663063E-4</v>
      </c>
      <c r="H52" s="14">
        <v>9.9213329606542988</v>
      </c>
      <c r="I52" s="14">
        <v>26.805702641319989</v>
      </c>
      <c r="J52" s="14">
        <v>0</v>
      </c>
      <c r="K52" s="14">
        <v>1.3282810450026701</v>
      </c>
      <c r="L52" s="14">
        <v>0.75285272176566354</v>
      </c>
      <c r="M52" s="14">
        <v>0.61771565820872698</v>
      </c>
      <c r="N52" s="14">
        <v>2.2926532895820131</v>
      </c>
      <c r="O52" s="14">
        <v>245.65779997871272</v>
      </c>
      <c r="P52" s="8">
        <v>2.2926532895820135</v>
      </c>
      <c r="Q52" s="54">
        <v>0.11556523203054418</v>
      </c>
    </row>
    <row r="53" spans="1:17">
      <c r="A53" s="2" t="s">
        <v>391</v>
      </c>
      <c r="B53" s="16" t="s">
        <v>392</v>
      </c>
      <c r="D53" s="14">
        <v>1</v>
      </c>
      <c r="E53" s="14">
        <v>0.55062244746359956</v>
      </c>
      <c r="F53" s="14">
        <v>0.5120929601005304</v>
      </c>
      <c r="G53" s="14">
        <v>2.9458952026739115E-5</v>
      </c>
      <c r="H53" s="14">
        <v>88.672469887849005</v>
      </c>
      <c r="I53" s="14">
        <v>198.17368098141819</v>
      </c>
      <c r="J53" s="14">
        <v>0</v>
      </c>
      <c r="K53" s="14">
        <v>1.9527704497317968</v>
      </c>
      <c r="L53" s="14">
        <v>0.51209296010053051</v>
      </c>
      <c r="M53" s="14">
        <v>0.42017227376248523</v>
      </c>
      <c r="N53" s="14">
        <v>12.572120844286905</v>
      </c>
      <c r="O53" s="14">
        <v>2036.9350191913645</v>
      </c>
      <c r="P53" s="8">
        <v>12.572120844286905</v>
      </c>
      <c r="Q53" s="54">
        <v>0.30091648228105855</v>
      </c>
    </row>
    <row r="54" spans="1:17">
      <c r="A54" s="2" t="s">
        <v>393</v>
      </c>
      <c r="B54" s="16" t="s">
        <v>394</v>
      </c>
      <c r="D54" s="14">
        <v>1</v>
      </c>
      <c r="E54" s="14">
        <v>0.47961257845446303</v>
      </c>
      <c r="F54" s="14">
        <v>4.8660866665059966E-3</v>
      </c>
      <c r="G54" s="14">
        <v>1.1450602198921318E-5</v>
      </c>
      <c r="H54" s="14">
        <v>437.11915646532844</v>
      </c>
      <c r="I54" s="14">
        <v>8446.1153887479468</v>
      </c>
      <c r="J54" s="14">
        <v>0</v>
      </c>
      <c r="K54" s="14">
        <v>205.50394362746343</v>
      </c>
      <c r="L54" s="14">
        <v>4.8660866665059975E-3</v>
      </c>
      <c r="M54" s="14">
        <v>3.9926241098681703E-3</v>
      </c>
      <c r="N54" s="14">
        <v>530.77426048835696</v>
      </c>
      <c r="O54" s="14">
        <v>123877.40465537761</v>
      </c>
      <c r="P54" s="8">
        <v>530.77426048835696</v>
      </c>
      <c r="Q54" s="54">
        <v>0.3242328474611742</v>
      </c>
    </row>
    <row r="55" spans="1:17">
      <c r="A55" s="2" t="s">
        <v>395</v>
      </c>
      <c r="B55" s="16" t="s">
        <v>396</v>
      </c>
      <c r="D55" s="14">
        <v>1</v>
      </c>
      <c r="E55" s="14">
        <v>0.31551206016345457</v>
      </c>
      <c r="F55" s="14">
        <v>0.23544256185763238</v>
      </c>
      <c r="G55" s="14">
        <v>2.5433929455330306E-3</v>
      </c>
      <c r="H55" s="14">
        <v>187.40664016712836</v>
      </c>
      <c r="I55" s="14">
        <v>374.31923572985062</v>
      </c>
      <c r="J55" s="14">
        <v>0</v>
      </c>
      <c r="K55" s="14">
        <v>4.2473204169630163</v>
      </c>
      <c r="L55" s="14">
        <v>0.23544256185763238</v>
      </c>
      <c r="M55" s="14">
        <v>0.19318062200418737</v>
      </c>
      <c r="N55" s="14">
        <v>23.202297447775948</v>
      </c>
      <c r="O55" s="14">
        <v>2973.8384638814427</v>
      </c>
      <c r="P55" s="8">
        <v>23.202297447775948</v>
      </c>
      <c r="Q55" s="54">
        <v>0.30636711396640887</v>
      </c>
    </row>
    <row r="56" spans="1:17">
      <c r="A56" s="2" t="s">
        <v>397</v>
      </c>
      <c r="B56" s="16" t="s">
        <v>398</v>
      </c>
      <c r="D56" s="14">
        <v>1</v>
      </c>
      <c r="E56" s="14">
        <v>6.385008244230736E-2</v>
      </c>
      <c r="F56" s="14">
        <v>2.224104709206589E-2</v>
      </c>
      <c r="G56" s="14">
        <v>9.2219702603198762E-3</v>
      </c>
      <c r="H56" s="14">
        <v>99.402024496220392</v>
      </c>
      <c r="I56" s="14">
        <v>174.84467108656978</v>
      </c>
      <c r="J56" s="14">
        <v>0</v>
      </c>
      <c r="K56" s="14">
        <v>44.961911903722047</v>
      </c>
      <c r="L56" s="14">
        <v>2.224104709206589E-2</v>
      </c>
      <c r="M56" s="14">
        <v>1.8248779139040064E-2</v>
      </c>
      <c r="N56" s="14">
        <v>10.815175710599016</v>
      </c>
      <c r="O56" s="14">
        <v>1962.4136326881912</v>
      </c>
      <c r="P56" s="8">
        <v>10.815175710599016</v>
      </c>
      <c r="Q56" s="54">
        <v>7.1129933132068057E-2</v>
      </c>
    </row>
    <row r="57" spans="1:17">
      <c r="A57" s="2" t="s">
        <v>399</v>
      </c>
      <c r="B57" s="16" t="s">
        <v>400</v>
      </c>
      <c r="D57" s="14">
        <v>1</v>
      </c>
      <c r="E57" s="14">
        <v>4.8999922807337899E-2</v>
      </c>
      <c r="F57" s="14">
        <v>3.3358458736547615E-2</v>
      </c>
      <c r="G57" s="14">
        <v>9.7166031262448868E-3</v>
      </c>
      <c r="H57" s="14">
        <v>36.752423027027909</v>
      </c>
      <c r="I57" s="14">
        <v>71.670947750385096</v>
      </c>
      <c r="J57" s="14">
        <v>0</v>
      </c>
      <c r="K57" s="14">
        <v>29.977404168988095</v>
      </c>
      <c r="L57" s="14">
        <v>3.3358458736547622E-2</v>
      </c>
      <c r="M57" s="14">
        <v>2.7370615393337322E-2</v>
      </c>
      <c r="N57" s="14">
        <v>4.4363997552507888</v>
      </c>
      <c r="O57" s="14">
        <v>652.15076402186605</v>
      </c>
      <c r="P57" s="8">
        <v>4.4363997552507897</v>
      </c>
      <c r="Q57" s="54">
        <v>5.1421311302812737E-2</v>
      </c>
    </row>
    <row r="58" spans="1:17">
      <c r="A58" s="2" t="s">
        <v>297</v>
      </c>
      <c r="B58" s="16" t="s">
        <v>298</v>
      </c>
      <c r="D58" s="14">
        <v>1</v>
      </c>
      <c r="E58" s="14">
        <v>5.9560879099895624E-2</v>
      </c>
      <c r="F58" s="14">
        <v>5.9454053761661511E-2</v>
      </c>
      <c r="G58" s="14">
        <v>1.0361197669558396E-2</v>
      </c>
      <c r="H58" s="14">
        <v>0.28104862927936075</v>
      </c>
      <c r="I58" s="14">
        <v>0.81891465333962077</v>
      </c>
      <c r="J58" s="14">
        <v>0</v>
      </c>
      <c r="K58" s="14">
        <v>16.819710965526159</v>
      </c>
      <c r="L58" s="14">
        <v>5.9454053761661518E-2</v>
      </c>
      <c r="M58" s="14">
        <v>4.8782051111443271E-2</v>
      </c>
      <c r="N58" s="14">
        <v>0.10211903914945125</v>
      </c>
      <c r="O58" s="14">
        <v>8.6729699949628944</v>
      </c>
      <c r="P58" s="8">
        <v>0.10211903914945125</v>
      </c>
      <c r="Q58" s="54">
        <v>5.348581801068196E-3</v>
      </c>
    </row>
    <row r="59" spans="1:17">
      <c r="A59" s="2" t="s">
        <v>401</v>
      </c>
      <c r="B59" s="16" t="s">
        <v>402</v>
      </c>
      <c r="D59" s="14">
        <v>1</v>
      </c>
      <c r="E59" s="14">
        <v>1.8120369123228865E-2</v>
      </c>
      <c r="F59" s="14">
        <v>1.2623971258598109E-2</v>
      </c>
      <c r="G59" s="14">
        <v>1.0600454463753937E-2</v>
      </c>
      <c r="H59" s="14">
        <v>12.903157459981205</v>
      </c>
      <c r="I59" s="14">
        <v>25.301901917537371</v>
      </c>
      <c r="J59" s="14">
        <v>0</v>
      </c>
      <c r="K59" s="14">
        <v>79.214375533286002</v>
      </c>
      <c r="L59" s="14">
        <v>1.2623971258598111E-2</v>
      </c>
      <c r="M59" s="14">
        <v>1.0357968417679751E-2</v>
      </c>
      <c r="N59" s="14">
        <v>1.5665818403077796</v>
      </c>
      <c r="O59" s="14">
        <v>259.78626657823912</v>
      </c>
      <c r="P59" s="8">
        <v>1.5665818403077796</v>
      </c>
      <c r="Q59" s="54">
        <v>1.8713420127216794E-2</v>
      </c>
    </row>
    <row r="60" spans="1:17">
      <c r="A60" s="2" t="s">
        <v>299</v>
      </c>
      <c r="B60" s="16" t="s">
        <v>300</v>
      </c>
      <c r="D60" s="14">
        <v>1</v>
      </c>
      <c r="E60" s="14">
        <v>5.3654325104516881E-4</v>
      </c>
      <c r="F60" s="14">
        <v>4.4987903148117019E-4</v>
      </c>
      <c r="G60" s="14">
        <v>1.1097987701100261E-2</v>
      </c>
      <c r="H60" s="14">
        <v>0.20147248887980648</v>
      </c>
      <c r="I60" s="14">
        <v>0.41982947153052919</v>
      </c>
      <c r="J60" s="14">
        <v>0</v>
      </c>
      <c r="K60" s="14">
        <v>2222.8197582528474</v>
      </c>
      <c r="L60" s="14">
        <v>4.4987903148117024E-4</v>
      </c>
      <c r="M60" s="14">
        <v>3.6912574533030018E-4</v>
      </c>
      <c r="N60" s="14">
        <v>2.6144013320438184E-2</v>
      </c>
      <c r="O60" s="14">
        <v>2.1474692541407925</v>
      </c>
      <c r="P60" s="8">
        <v>2.6144013320438184E-2</v>
      </c>
      <c r="Q60" s="54">
        <v>4.3378339384273764E-4</v>
      </c>
    </row>
    <row r="61" spans="1:17">
      <c r="A61" s="2" t="s">
        <v>403</v>
      </c>
      <c r="B61" s="16" t="s">
        <v>404</v>
      </c>
      <c r="D61" s="14">
        <v>1</v>
      </c>
      <c r="E61" s="14">
        <v>0.49028227436685345</v>
      </c>
      <c r="F61" s="14">
        <v>0.43274935188967523</v>
      </c>
      <c r="G61" s="14">
        <v>7.5419719666644784E-46</v>
      </c>
      <c r="H61" s="14">
        <v>133.18534073494914</v>
      </c>
      <c r="I61" s="14">
        <v>285.30776842985216</v>
      </c>
      <c r="J61" s="14">
        <v>0</v>
      </c>
      <c r="K61" s="14">
        <v>2.3108064648354207</v>
      </c>
      <c r="L61" s="14">
        <v>0.43274935188967523</v>
      </c>
      <c r="M61" s="14">
        <v>0.35507084322547855</v>
      </c>
      <c r="N61" s="14">
        <v>17.860037276838707</v>
      </c>
      <c r="O61" s="14">
        <v>21478.659429498992</v>
      </c>
      <c r="P61" s="8">
        <v>17.860037276838707</v>
      </c>
      <c r="Q61" s="54">
        <v>0.34317338370297679</v>
      </c>
    </row>
    <row r="62" spans="1:17">
      <c r="A62" s="2" t="s">
        <v>405</v>
      </c>
      <c r="B62" s="16" t="s">
        <v>406</v>
      </c>
      <c r="D62" s="14">
        <v>1</v>
      </c>
      <c r="E62" s="14">
        <v>0.42907753858403436</v>
      </c>
      <c r="F62" s="14">
        <v>1.8346348158626277E-2</v>
      </c>
      <c r="G62" s="14">
        <v>5.6200233314727119E-9</v>
      </c>
      <c r="H62" s="14">
        <v>749.56557187227941</v>
      </c>
      <c r="I62" s="14">
        <v>3868.715572585038</v>
      </c>
      <c r="J62" s="14">
        <v>0</v>
      </c>
      <c r="K62" s="14">
        <v>54.50676022027902</v>
      </c>
      <c r="L62" s="14">
        <v>1.8346348158626277E-2</v>
      </c>
      <c r="M62" s="14">
        <v>1.5053178664152862E-2</v>
      </c>
      <c r="N62" s="14">
        <v>241.44678616641676</v>
      </c>
      <c r="O62" s="14">
        <v>76987.722237023641</v>
      </c>
      <c r="P62" s="8">
        <v>241.44678616641676</v>
      </c>
      <c r="Q62" s="54">
        <v>0.37339354136067809</v>
      </c>
    </row>
    <row r="63" spans="1:17">
      <c r="A63" s="2" t="s">
        <v>407</v>
      </c>
      <c r="B63" s="16" t="s">
        <v>408</v>
      </c>
      <c r="D63" s="14">
        <v>1</v>
      </c>
      <c r="E63" s="14">
        <v>0.54550422186131609</v>
      </c>
      <c r="F63" s="14">
        <v>2.1432907793615388E-3</v>
      </c>
      <c r="G63" s="14">
        <v>1.7205590538515609E-6</v>
      </c>
      <c r="H63" s="14">
        <v>294.26668416121947</v>
      </c>
      <c r="I63" s="14">
        <v>11574.394117556541</v>
      </c>
      <c r="J63" s="14">
        <v>0</v>
      </c>
      <c r="K63" s="14">
        <v>466.57224937900787</v>
      </c>
      <c r="L63" s="14">
        <v>2.1432907793615388E-3</v>
      </c>
      <c r="M63" s="14">
        <v>1.7585700844661425E-3</v>
      </c>
      <c r="N63" s="14">
        <v>730.12046129666646</v>
      </c>
      <c r="O63" s="14">
        <v>354685.21889330761</v>
      </c>
      <c r="P63" s="8">
        <v>730.12046129666646</v>
      </c>
      <c r="Q63" s="54">
        <v>0.27045702489500933</v>
      </c>
    </row>
    <row r="64" spans="1:17">
      <c r="A64" s="2" t="s">
        <v>409</v>
      </c>
      <c r="B64" s="16" t="s">
        <v>410</v>
      </c>
      <c r="D64" s="14">
        <v>1</v>
      </c>
      <c r="E64" s="14">
        <v>0.62583206705380667</v>
      </c>
      <c r="F64" s="14">
        <v>8.4019347233601799E-4</v>
      </c>
      <c r="G64" s="14">
        <v>2.4100596449121239E-7</v>
      </c>
      <c r="H64" s="14">
        <v>179.39044330111653</v>
      </c>
      <c r="I64" s="14">
        <v>14786.196514511292</v>
      </c>
      <c r="J64" s="14">
        <v>0</v>
      </c>
      <c r="K64" s="14">
        <v>1190.2020581279528</v>
      </c>
      <c r="L64" s="14">
        <v>8.401934723360181E-4</v>
      </c>
      <c r="M64" s="14">
        <v>6.8937874405170288E-4</v>
      </c>
      <c r="N64" s="14">
        <v>936.43587770257238</v>
      </c>
      <c r="O64" s="14">
        <v>528795.97577986564</v>
      </c>
      <c r="P64" s="8">
        <v>936.4358777025725</v>
      </c>
      <c r="Q64" s="54">
        <v>0.20608978864381863</v>
      </c>
    </row>
    <row r="65" spans="1:17">
      <c r="A65" s="2" t="s">
        <v>301</v>
      </c>
      <c r="B65" s="16" t="s">
        <v>302</v>
      </c>
      <c r="D65" s="14">
        <v>1</v>
      </c>
      <c r="E65" s="14">
        <v>0.71163576280283558</v>
      </c>
      <c r="F65" s="14">
        <v>2.6473812636644827E-4</v>
      </c>
      <c r="G65" s="14">
        <v>3.3415270304001407E-8</v>
      </c>
      <c r="H65" s="14">
        <v>93.393465515057116</v>
      </c>
      <c r="I65" s="14">
        <v>17855.567657241121</v>
      </c>
      <c r="J65" s="14">
        <v>0</v>
      </c>
      <c r="K65" s="14">
        <v>3777.3176600026568</v>
      </c>
      <c r="L65" s="14">
        <v>2.6473812636644827E-4</v>
      </c>
      <c r="M65" s="14">
        <v>2.1721763268367083E-4</v>
      </c>
      <c r="N65" s="14">
        <v>1135.9895156321506</v>
      </c>
      <c r="O65" s="14">
        <v>731100.13247053954</v>
      </c>
      <c r="P65" s="8">
        <v>1135.9895156321506</v>
      </c>
      <c r="Q65" s="54">
        <v>0.13828455028611489</v>
      </c>
    </row>
    <row r="66" spans="1:17">
      <c r="A66" s="2" t="s">
        <v>303</v>
      </c>
      <c r="B66" s="16" t="s">
        <v>304</v>
      </c>
      <c r="D66" s="14">
        <v>1</v>
      </c>
      <c r="E66" s="14">
        <v>0.66459611302357635</v>
      </c>
      <c r="F66" s="14">
        <v>5.1614899250094993E-4</v>
      </c>
      <c r="G66" s="14">
        <v>3.0333573185065041E-14</v>
      </c>
      <c r="H66" s="14">
        <v>136.83433438458053</v>
      </c>
      <c r="I66" s="14">
        <v>16208.851922019156</v>
      </c>
      <c r="J66" s="14">
        <v>0</v>
      </c>
      <c r="K66" s="14">
        <v>1937.4250740170912</v>
      </c>
      <c r="L66" s="14">
        <v>5.1614899250094993E-4</v>
      </c>
      <c r="M66" s="14">
        <v>4.2350024834702946E-4</v>
      </c>
      <c r="N66" s="14">
        <v>1028.5483335232395</v>
      </c>
      <c r="O66" s="14">
        <v>663732.52510588174</v>
      </c>
      <c r="P66" s="8">
        <v>1028.5483335232398</v>
      </c>
      <c r="Q66" s="54">
        <v>0.17536876951032135</v>
      </c>
    </row>
    <row r="67" spans="1:17">
      <c r="A67" s="2" t="s">
        <v>411</v>
      </c>
      <c r="B67" s="16" t="s">
        <v>412</v>
      </c>
      <c r="D67" s="14">
        <v>1</v>
      </c>
      <c r="E67" s="14">
        <v>0.84047386804948765</v>
      </c>
      <c r="F67" s="14">
        <v>0.83741571739080256</v>
      </c>
      <c r="G67" s="14">
        <v>5.317035935853587E-5</v>
      </c>
      <c r="H67" s="14">
        <v>7.3967528524404518</v>
      </c>
      <c r="I67" s="14">
        <v>20.582507325001419</v>
      </c>
      <c r="J67" s="14">
        <v>0</v>
      </c>
      <c r="K67" s="14">
        <v>1.1941500251700232</v>
      </c>
      <c r="L67" s="14">
        <v>0.83741571739080256</v>
      </c>
      <c r="M67" s="14">
        <v>0.6870995961191535</v>
      </c>
      <c r="N67" s="14">
        <v>1.988209984320946</v>
      </c>
      <c r="O67" s="14">
        <v>596.66181629471589</v>
      </c>
      <c r="P67" s="8">
        <v>1.988209984320946</v>
      </c>
      <c r="Q67" s="54">
        <v>0.10435139966771763</v>
      </c>
    </row>
    <row r="68" spans="1:17">
      <c r="A68" s="2" t="s">
        <v>413</v>
      </c>
      <c r="B68" s="16" t="s">
        <v>414</v>
      </c>
      <c r="D68" s="14">
        <v>1</v>
      </c>
      <c r="E68" s="14">
        <v>0.78690061614889117</v>
      </c>
      <c r="F68" s="14">
        <v>0.781221291259662</v>
      </c>
      <c r="G68" s="14">
        <v>1.1669777041280068E-4</v>
      </c>
      <c r="H68" s="14">
        <v>13.220079625906985</v>
      </c>
      <c r="I68" s="14">
        <v>35.066404785124746</v>
      </c>
      <c r="J68" s="14">
        <v>0</v>
      </c>
      <c r="K68" s="14">
        <v>1.2800470381286888</v>
      </c>
      <c r="L68" s="14">
        <v>0.781221291259662</v>
      </c>
      <c r="M68" s="14">
        <v>0.6409920694785527</v>
      </c>
      <c r="N68" s="14">
        <v>2.8207010147880109</v>
      </c>
      <c r="O68" s="14">
        <v>925.6130380026857</v>
      </c>
      <c r="P68" s="8">
        <v>2.8207010147880109</v>
      </c>
      <c r="Q68" s="54">
        <v>0.13661275251782468</v>
      </c>
    </row>
    <row r="69" spans="1:17">
      <c r="A69" s="2" t="s">
        <v>415</v>
      </c>
      <c r="B69" s="16" t="s">
        <v>416</v>
      </c>
      <c r="D69" s="14">
        <v>1</v>
      </c>
      <c r="E69" s="14">
        <v>0.45282969999324352</v>
      </c>
      <c r="F69" s="14">
        <v>7.1405547682968761E-3</v>
      </c>
      <c r="G69" s="14">
        <v>6.980402128011005E-5</v>
      </c>
      <c r="H69" s="14">
        <v>516.59708892968547</v>
      </c>
      <c r="I69" s="14">
        <v>6945.5897139420258</v>
      </c>
      <c r="J69" s="14">
        <v>0</v>
      </c>
      <c r="K69" s="14">
        <v>140.0451410918194</v>
      </c>
      <c r="L69" s="14">
        <v>7.140554768296877E-3</v>
      </c>
      <c r="M69" s="14">
        <v>5.8588251873875879E-3</v>
      </c>
      <c r="N69" s="14">
        <v>435.64204880810576</v>
      </c>
      <c r="O69" s="14">
        <v>202172.7620108657</v>
      </c>
      <c r="P69" s="8">
        <v>435.64204880810576</v>
      </c>
      <c r="Q69" s="54">
        <v>0.34348606706530166</v>
      </c>
    </row>
    <row r="70" spans="1:17">
      <c r="A70" s="2" t="s">
        <v>417</v>
      </c>
      <c r="B70" s="16" t="s">
        <v>418</v>
      </c>
      <c r="D70" s="14">
        <v>1</v>
      </c>
      <c r="E70" s="14">
        <v>0.39259046711757267</v>
      </c>
      <c r="F70" s="14">
        <v>9.4735810253712055E-2</v>
      </c>
      <c r="G70" s="14">
        <v>1.3044957291374087E-4</v>
      </c>
      <c r="H70" s="14">
        <v>715.83705201018415</v>
      </c>
      <c r="I70" s="14">
        <v>1211.3547445491247</v>
      </c>
      <c r="J70" s="14">
        <v>0</v>
      </c>
      <c r="K70" s="14">
        <v>10.555670525452827</v>
      </c>
      <c r="L70" s="14">
        <v>9.4735810253712055E-2</v>
      </c>
      <c r="M70" s="14">
        <v>7.7730732313170736E-2</v>
      </c>
      <c r="N70" s="14">
        <v>74.994000036051261</v>
      </c>
      <c r="O70" s="14">
        <v>23551.865711321898</v>
      </c>
      <c r="P70" s="8">
        <v>74.994000036051261</v>
      </c>
      <c r="Q70" s="54">
        <v>0.39835598331434019</v>
      </c>
    </row>
    <row r="71" spans="1:17">
      <c r="A71" s="2" t="s">
        <v>419</v>
      </c>
      <c r="B71" s="16" t="s">
        <v>420</v>
      </c>
      <c r="D71" s="14">
        <v>1</v>
      </c>
      <c r="E71" s="14">
        <v>0.7828879329552233</v>
      </c>
      <c r="F71" s="14">
        <v>0.77779173500197574</v>
      </c>
      <c r="G71" s="14">
        <v>2.8504393948638887E-4</v>
      </c>
      <c r="H71" s="14">
        <v>11.909220159842462</v>
      </c>
      <c r="I71" s="14">
        <v>31.822954267942119</v>
      </c>
      <c r="J71" s="14">
        <v>0</v>
      </c>
      <c r="K71" s="14">
        <v>1.2856912139821846</v>
      </c>
      <c r="L71" s="14">
        <v>0.77779173500197585</v>
      </c>
      <c r="M71" s="14">
        <v>0.63817811856912121</v>
      </c>
      <c r="N71" s="14">
        <v>2.6200883389238339</v>
      </c>
      <c r="O71" s="14">
        <v>560.80370806325732</v>
      </c>
      <c r="P71" s="8">
        <v>2.6200883389238339</v>
      </c>
      <c r="Q71" s="54">
        <v>0.12910423679871127</v>
      </c>
    </row>
    <row r="72" spans="1:17">
      <c r="A72" s="2" t="s">
        <v>421</v>
      </c>
      <c r="B72" s="16" t="s">
        <v>422</v>
      </c>
      <c r="D72" s="14">
        <v>1</v>
      </c>
      <c r="E72" s="14">
        <v>0.37075404641032755</v>
      </c>
      <c r="F72" s="14">
        <v>0.10173202971210978</v>
      </c>
      <c r="G72" s="14">
        <v>5.0811989201461063E-4</v>
      </c>
      <c r="H72" s="14">
        <v>645.26440624943677</v>
      </c>
      <c r="I72" s="14">
        <v>1106.101242575761</v>
      </c>
      <c r="J72" s="14">
        <v>0</v>
      </c>
      <c r="K72" s="14">
        <v>9.8297458807210258</v>
      </c>
      <c r="L72" s="14">
        <v>0.10173202971210978</v>
      </c>
      <c r="M72" s="14">
        <v>8.3471130378786076E-2</v>
      </c>
      <c r="N72" s="14">
        <v>68.455626016129543</v>
      </c>
      <c r="O72" s="14">
        <v>28345.421064498758</v>
      </c>
      <c r="P72" s="8">
        <v>68.455626016129543</v>
      </c>
      <c r="Q72" s="54">
        <v>0.39047648048741601</v>
      </c>
    </row>
    <row r="73" spans="1:17">
      <c r="A73" s="2" t="s">
        <v>423</v>
      </c>
      <c r="B73" s="16" t="s">
        <v>424</v>
      </c>
      <c r="D73" s="14">
        <v>1</v>
      </c>
      <c r="E73" s="14">
        <v>0.46815359103348431</v>
      </c>
      <c r="F73" s="14">
        <v>0.40693246768037655</v>
      </c>
      <c r="G73" s="14">
        <v>2.2442479115971484E-4</v>
      </c>
      <c r="H73" s="14">
        <v>141.91958810557838</v>
      </c>
      <c r="I73" s="14">
        <v>301.2308954537246</v>
      </c>
      <c r="J73" s="14">
        <v>0</v>
      </c>
      <c r="K73" s="14">
        <v>2.4574102078909217</v>
      </c>
      <c r="L73" s="14">
        <v>0.40693246768037661</v>
      </c>
      <c r="M73" s="14">
        <v>0.33388808973174899</v>
      </c>
      <c r="N73" s="14">
        <v>18.819389853060549</v>
      </c>
      <c r="O73" s="14">
        <v>8057.8981533849364</v>
      </c>
      <c r="P73" s="8">
        <v>18.819389853060549</v>
      </c>
      <c r="Q73" s="54">
        <v>0.34442884301036042</v>
      </c>
    </row>
    <row r="74" spans="1:17">
      <c r="A74" s="2" t="s">
        <v>425</v>
      </c>
      <c r="B74" s="16" t="s">
        <v>426</v>
      </c>
      <c r="D74" s="14">
        <v>1</v>
      </c>
      <c r="E74" s="14">
        <v>0.38759382778602453</v>
      </c>
      <c r="F74" s="14">
        <v>9.7083673578150731E-2</v>
      </c>
      <c r="G74" s="14">
        <v>1.9767633890739402E-4</v>
      </c>
      <c r="H74" s="14">
        <v>697.7923459278386</v>
      </c>
      <c r="I74" s="14">
        <v>1185.1774293665994</v>
      </c>
      <c r="J74" s="14">
        <v>0</v>
      </c>
      <c r="K74" s="14">
        <v>10.30039308509496</v>
      </c>
      <c r="L74" s="14">
        <v>9.7083673578150731E-2</v>
      </c>
      <c r="M74" s="14">
        <v>7.9657154170872685E-2</v>
      </c>
      <c r="N74" s="14">
        <v>73.366340750475928</v>
      </c>
      <c r="O74" s="14">
        <v>38750.633857586377</v>
      </c>
      <c r="P74" s="8">
        <v>73.366340750475942</v>
      </c>
      <c r="Q74" s="54">
        <v>0.3977254410753262</v>
      </c>
    </row>
    <row r="75" spans="1:17">
      <c r="A75" s="2" t="s">
        <v>427</v>
      </c>
      <c r="B75" s="16" t="s">
        <v>428</v>
      </c>
      <c r="D75" s="14">
        <v>1</v>
      </c>
      <c r="E75" s="14">
        <v>0.99525555763477891</v>
      </c>
      <c r="F75" s="14">
        <v>4.1553474523146491E-2</v>
      </c>
      <c r="G75" s="14">
        <v>5.8618650209528607E-11</v>
      </c>
      <c r="H75" s="14">
        <v>2709.6134754701011</v>
      </c>
      <c r="I75" s="14">
        <v>9.6809765457909034</v>
      </c>
      <c r="J75" s="14">
        <v>0</v>
      </c>
      <c r="K75" s="14">
        <v>24.065376276608852</v>
      </c>
      <c r="L75" s="14">
        <v>4.1553474523146498E-2</v>
      </c>
      <c r="M75" s="14">
        <v>3.4094625846241698E-2</v>
      </c>
      <c r="N75" s="14">
        <v>53.652634915882501</v>
      </c>
      <c r="O75" s="14">
        <v>30264.914829700163</v>
      </c>
      <c r="P75" s="8">
        <v>53.652634915882508</v>
      </c>
      <c r="Q75" s="54">
        <v>5.4065368567705419E-4</v>
      </c>
    </row>
    <row r="76" spans="1:17">
      <c r="A76" s="2" t="s">
        <v>429</v>
      </c>
      <c r="B76" s="16" t="s">
        <v>430</v>
      </c>
      <c r="D76" s="14">
        <v>1</v>
      </c>
      <c r="E76" s="14">
        <v>0.99525556275353677</v>
      </c>
      <c r="F76" s="14">
        <v>4.155347473686264E-2</v>
      </c>
      <c r="G76" s="14">
        <v>1.4724339285201738E-12</v>
      </c>
      <c r="H76" s="14">
        <v>2709.6134894060751</v>
      </c>
      <c r="I76" s="14">
        <v>9.6809765955817095</v>
      </c>
      <c r="J76" s="14">
        <v>0</v>
      </c>
      <c r="K76" s="14">
        <v>24.065376152836784</v>
      </c>
      <c r="L76" s="14">
        <v>4.155347473686264E-2</v>
      </c>
      <c r="M76" s="14">
        <v>3.4094626021595797E-2</v>
      </c>
      <c r="N76" s="14">
        <v>53.652635191826569</v>
      </c>
      <c r="O76" s="14">
        <v>26833.292438488221</v>
      </c>
      <c r="P76" s="8">
        <v>53.652635191826569</v>
      </c>
      <c r="Q76" s="54">
        <v>5.4065368845772235E-4</v>
      </c>
    </row>
    <row r="77" spans="1:17">
      <c r="A77" s="2" t="s">
        <v>431</v>
      </c>
      <c r="B77" s="16" t="s">
        <v>432</v>
      </c>
      <c r="D77" s="14">
        <v>1</v>
      </c>
      <c r="E77" s="14">
        <v>0.35976872853210129</v>
      </c>
      <c r="F77" s="14">
        <v>0.22481314617373827</v>
      </c>
      <c r="G77" s="14">
        <v>5.844268915260422E-4</v>
      </c>
      <c r="H77" s="14">
        <v>318.05461634406856</v>
      </c>
      <c r="I77" s="14">
        <v>608.91808686237607</v>
      </c>
      <c r="J77" s="14">
        <v>0</v>
      </c>
      <c r="K77" s="14">
        <v>4.4481384519532865</v>
      </c>
      <c r="L77" s="14">
        <v>0.22481314617373827</v>
      </c>
      <c r="M77" s="14">
        <v>0.18445918643555226</v>
      </c>
      <c r="N77" s="14">
        <v>37.667575117239465</v>
      </c>
      <c r="O77" s="14">
        <v>13713.2573971822</v>
      </c>
      <c r="P77" s="8">
        <v>37.667575117239465</v>
      </c>
      <c r="Q77" s="54">
        <v>0.39478339201012053</v>
      </c>
    </row>
    <row r="78" spans="1:17">
      <c r="A78" s="2" t="s">
        <v>433</v>
      </c>
      <c r="B78" s="16" t="s">
        <v>434</v>
      </c>
      <c r="D78" s="14">
        <v>1</v>
      </c>
      <c r="E78" s="14">
        <v>0.63125752022367443</v>
      </c>
      <c r="F78" s="14">
        <v>0.61286904150054089</v>
      </c>
      <c r="G78" s="14">
        <v>4.3153514539857391E-4</v>
      </c>
      <c r="H78" s="14">
        <v>42.071469725315687</v>
      </c>
      <c r="I78" s="14">
        <v>100.65720216097196</v>
      </c>
      <c r="J78" s="14">
        <v>0</v>
      </c>
      <c r="K78" s="14">
        <v>1.6316699527710072</v>
      </c>
      <c r="L78" s="14">
        <v>0.61286904150054089</v>
      </c>
      <c r="M78" s="14">
        <v>0.50285904855119379</v>
      </c>
      <c r="N78" s="14">
        <v>6.6809932381323094</v>
      </c>
      <c r="O78" s="14">
        <v>1764.1162645288364</v>
      </c>
      <c r="P78" s="8">
        <v>6.6809932381323094</v>
      </c>
      <c r="Q78" s="54">
        <v>0.22235395298902949</v>
      </c>
    </row>
    <row r="79" spans="1:17">
      <c r="A79" s="2" t="s">
        <v>435</v>
      </c>
      <c r="B79" s="16" t="s">
        <v>436</v>
      </c>
      <c r="D79" s="14">
        <v>1</v>
      </c>
      <c r="E79" s="14">
        <v>0.54072427922267896</v>
      </c>
      <c r="F79" s="14">
        <v>0.50110633832096307</v>
      </c>
      <c r="G79" s="14">
        <v>1.1746767789911022E-4</v>
      </c>
      <c r="H79" s="14">
        <v>91.219963896586023</v>
      </c>
      <c r="I79" s="14">
        <v>203.1173710334775</v>
      </c>
      <c r="J79" s="14">
        <v>0</v>
      </c>
      <c r="K79" s="14">
        <v>1.9955844169735708</v>
      </c>
      <c r="L79" s="14">
        <v>0.50110633832096307</v>
      </c>
      <c r="M79" s="14">
        <v>0.41115775059235021</v>
      </c>
      <c r="N79" s="14">
        <v>12.866553894731465</v>
      </c>
      <c r="O79" s="14">
        <v>5148.0368788210071</v>
      </c>
      <c r="P79" s="8">
        <v>12.866553894731467</v>
      </c>
      <c r="Q79" s="54">
        <v>0.30223660818721837</v>
      </c>
    </row>
    <row r="80" spans="1:17">
      <c r="A80" s="2" t="s">
        <v>437</v>
      </c>
      <c r="B80" s="16" t="s">
        <v>438</v>
      </c>
      <c r="D80" s="14">
        <v>1</v>
      </c>
      <c r="E80" s="14">
        <v>0.99129499117947695</v>
      </c>
      <c r="F80" s="14">
        <v>2.8406262426383364E-2</v>
      </c>
      <c r="G80" s="14">
        <v>2.116131077474167E-11</v>
      </c>
      <c r="H80" s="14">
        <v>2734.7277331651321</v>
      </c>
      <c r="I80" s="14">
        <v>18.768342463624254</v>
      </c>
      <c r="J80" s="14">
        <v>0</v>
      </c>
      <c r="K80" s="14">
        <v>35.203504952176075</v>
      </c>
      <c r="L80" s="14">
        <v>2.8406262426383364E-2</v>
      </c>
      <c r="M80" s="14">
        <v>2.330733832084755E-2</v>
      </c>
      <c r="N80" s="14">
        <v>105.04379612873629</v>
      </c>
      <c r="O80" s="14">
        <v>54000.914713860759</v>
      </c>
      <c r="P80" s="8">
        <v>105.04379612873629</v>
      </c>
      <c r="Q80" s="54">
        <v>6.6439433286663054E-4</v>
      </c>
    </row>
    <row r="81" spans="1:17">
      <c r="A81" s="2" t="s">
        <v>440</v>
      </c>
      <c r="B81" s="16" t="s">
        <v>441</v>
      </c>
      <c r="D81" s="14">
        <v>1</v>
      </c>
      <c r="E81" s="14">
        <v>0.97101324794245847</v>
      </c>
      <c r="F81" s="14">
        <v>0.97126539195237827</v>
      </c>
      <c r="G81" s="14">
        <v>2.0495872084128461E-15</v>
      </c>
      <c r="H81" s="14">
        <v>0.25884388781395845</v>
      </c>
      <c r="I81" s="14">
        <v>0.93216992080427608</v>
      </c>
      <c r="J81" s="14">
        <v>0</v>
      </c>
      <c r="K81" s="14">
        <v>1.0295847131851998</v>
      </c>
      <c r="L81" s="14">
        <v>0.97126539195237827</v>
      </c>
      <c r="M81" s="14">
        <v>0.79692325409692644</v>
      </c>
      <c r="N81" s="14">
        <v>0.91451181573347129</v>
      </c>
      <c r="O81" s="14">
        <v>253.55754603026224</v>
      </c>
      <c r="P81" s="8">
        <v>0.9145118157334714</v>
      </c>
      <c r="Q81" s="54">
        <v>1.9520686421257746E-2</v>
      </c>
    </row>
    <row r="82" spans="1:17">
      <c r="A82" s="2" t="s">
        <v>442</v>
      </c>
      <c r="B82" s="16" t="s">
        <v>443</v>
      </c>
      <c r="D82" s="14">
        <v>1</v>
      </c>
      <c r="E82" s="14">
        <v>0.77350990074434678</v>
      </c>
      <c r="F82" s="14">
        <v>0.76630209656066117</v>
      </c>
      <c r="G82" s="14">
        <v>9.7563753767105776E-7</v>
      </c>
      <c r="H82" s="14">
        <v>16.65175505170102</v>
      </c>
      <c r="I82" s="14">
        <v>43.36278672679849</v>
      </c>
      <c r="J82" s="14">
        <v>0</v>
      </c>
      <c r="K82" s="14">
        <v>1.3049683727712977</v>
      </c>
      <c r="L82" s="14">
        <v>0.76630209656066128</v>
      </c>
      <c r="M82" s="14">
        <v>0.62875087022802256</v>
      </c>
      <c r="N82" s="14">
        <v>3.3133773069296044</v>
      </c>
      <c r="O82" s="14">
        <v>547.33679733170129</v>
      </c>
      <c r="P82" s="8">
        <v>3.3133773069296044</v>
      </c>
      <c r="Q82" s="54">
        <v>0.15265716208551228</v>
      </c>
    </row>
    <row r="83" spans="1:17">
      <c r="A83" s="2" t="s">
        <v>444</v>
      </c>
      <c r="B83" s="16" t="s">
        <v>445</v>
      </c>
      <c r="D83" s="14">
        <v>1</v>
      </c>
      <c r="E83" s="14">
        <v>0.39125403059681607</v>
      </c>
      <c r="F83" s="14">
        <v>0.26845146015181881</v>
      </c>
      <c r="G83" s="14">
        <v>1.1833528421382506E-5</v>
      </c>
      <c r="H83" s="14">
        <v>288.46011379645478</v>
      </c>
      <c r="I83" s="14">
        <v>563.56360852837281</v>
      </c>
      <c r="J83" s="14">
        <v>0</v>
      </c>
      <c r="K83" s="14">
        <v>3.7250682094798986</v>
      </c>
      <c r="L83" s="14">
        <v>0.26845146015181881</v>
      </c>
      <c r="M83" s="14">
        <v>0.22026442305456734</v>
      </c>
      <c r="N83" s="14">
        <v>34.887217264281588</v>
      </c>
      <c r="O83" s="14">
        <v>6288.072039714114</v>
      </c>
      <c r="P83" s="8">
        <v>34.887217264281595</v>
      </c>
      <c r="Q83" s="54">
        <v>0.40845380042902596</v>
      </c>
    </row>
    <row r="84" spans="1:17">
      <c r="A84" s="2" t="s">
        <v>446</v>
      </c>
      <c r="B84" s="16" t="s">
        <v>447</v>
      </c>
      <c r="D84" s="14">
        <v>1</v>
      </c>
      <c r="E84" s="14">
        <v>0.93770353606648127</v>
      </c>
      <c r="F84" s="14">
        <v>0.93751773239784642</v>
      </c>
      <c r="G84" s="14">
        <v>6.3095440758029127E-17</v>
      </c>
      <c r="H84" s="14">
        <v>1.162972621625264</v>
      </c>
      <c r="I84" s="14">
        <v>3.7396130063197752</v>
      </c>
      <c r="J84" s="14">
        <v>0</v>
      </c>
      <c r="K84" s="14">
        <v>1.0666464915200542</v>
      </c>
      <c r="L84" s="14">
        <v>0.93751773239784642</v>
      </c>
      <c r="M84" s="14">
        <v>0.76923329943243302</v>
      </c>
      <c r="N84" s="14">
        <v>1.0542000240944265</v>
      </c>
      <c r="O84" s="14">
        <v>409.96784737008147</v>
      </c>
      <c r="P84" s="8">
        <v>1.0542000240944265</v>
      </c>
      <c r="Q84" s="54">
        <v>4.1997811656425944E-2</v>
      </c>
    </row>
    <row r="85" spans="1:17">
      <c r="A85" s="2" t="s">
        <v>448</v>
      </c>
      <c r="B85" s="16" t="s">
        <v>449</v>
      </c>
      <c r="D85" s="14">
        <v>1</v>
      </c>
      <c r="E85" s="14">
        <v>0.98788431359325457</v>
      </c>
      <c r="F85" s="14">
        <v>0.98824548643335242</v>
      </c>
      <c r="G85" s="14">
        <v>4.4165517867945567E-10</v>
      </c>
      <c r="H85" s="14">
        <v>4.7495759791045117E-2</v>
      </c>
      <c r="I85" s="14">
        <v>0.1940492686439127</v>
      </c>
      <c r="J85" s="14">
        <v>0</v>
      </c>
      <c r="K85" s="14">
        <v>1.0118943255780206</v>
      </c>
      <c r="L85" s="14">
        <v>0.98824548643335242</v>
      </c>
      <c r="M85" s="14">
        <v>0.81085542161856572</v>
      </c>
      <c r="N85" s="14">
        <v>0.88515222020931383</v>
      </c>
      <c r="O85" s="14">
        <v>158.65468395031741</v>
      </c>
      <c r="P85" s="8">
        <v>0.88515222020931383</v>
      </c>
      <c r="Q85" s="54">
        <v>8.1341468794759834E-3</v>
      </c>
    </row>
    <row r="86" spans="1:17">
      <c r="A86" s="2" t="s">
        <v>450</v>
      </c>
      <c r="B86" s="16" t="s">
        <v>451</v>
      </c>
      <c r="D86" s="14">
        <v>1</v>
      </c>
      <c r="E86" s="14">
        <v>0.93920610675342475</v>
      </c>
      <c r="F86" s="14">
        <v>0.93904643712431535</v>
      </c>
      <c r="G86" s="14">
        <v>1.5870315367464319E-10</v>
      </c>
      <c r="H86" s="14">
        <v>1.1080441603510003</v>
      </c>
      <c r="I86" s="14">
        <v>3.5761377573712441</v>
      </c>
      <c r="J86" s="14">
        <v>0</v>
      </c>
      <c r="K86" s="14">
        <v>1.0649100624483976</v>
      </c>
      <c r="L86" s="14">
        <v>0.93904643712431535</v>
      </c>
      <c r="M86" s="14">
        <v>0.77048760166050079</v>
      </c>
      <c r="N86" s="14">
        <v>1.0456640117908895</v>
      </c>
      <c r="O86" s="14">
        <v>273.01241683848332</v>
      </c>
      <c r="P86" s="8">
        <v>1.0456640117908895</v>
      </c>
      <c r="Q86" s="54">
        <v>4.0983990294436612E-2</v>
      </c>
    </row>
    <row r="87" spans="1:17">
      <c r="A87" s="2" t="s">
        <v>452</v>
      </c>
      <c r="B87" s="16" t="s">
        <v>453</v>
      </c>
      <c r="D87" s="14">
        <v>1</v>
      </c>
      <c r="E87" s="14">
        <v>0.5179782909208247</v>
      </c>
      <c r="F87" s="14">
        <v>2.9747150755930082E-3</v>
      </c>
      <c r="G87" s="14">
        <v>3.068272037097514E-9</v>
      </c>
      <c r="H87" s="14">
        <v>346.46979126997837</v>
      </c>
      <c r="I87" s="14">
        <v>10344.810635466516</v>
      </c>
      <c r="J87" s="14">
        <v>0</v>
      </c>
      <c r="K87" s="14">
        <v>336.16664943974524</v>
      </c>
      <c r="L87" s="14">
        <v>2.9747150755930082E-3</v>
      </c>
      <c r="M87" s="14">
        <v>2.4407537195240635E-3</v>
      </c>
      <c r="N87" s="14">
        <v>651.59807374758589</v>
      </c>
      <c r="O87" s="14">
        <v>271260.27810112003</v>
      </c>
      <c r="P87" s="8">
        <v>651.598073747586</v>
      </c>
      <c r="Q87" s="54">
        <v>0.29303705779711497</v>
      </c>
    </row>
    <row r="88" spans="1:17">
      <c r="A88" s="2" t="s">
        <v>454</v>
      </c>
      <c r="B88" s="16" t="s">
        <v>455</v>
      </c>
      <c r="D88" s="14">
        <v>1</v>
      </c>
      <c r="E88" s="14">
        <v>0.69481695316689296</v>
      </c>
      <c r="F88" s="14">
        <v>0.68043170758206151</v>
      </c>
      <c r="G88" s="14">
        <v>5.0071780056103779E-7</v>
      </c>
      <c r="H88" s="14">
        <v>32.912778209610586</v>
      </c>
      <c r="I88" s="14">
        <v>80.80192622226248</v>
      </c>
      <c r="J88" s="14">
        <v>0</v>
      </c>
      <c r="K88" s="14">
        <v>1.4696552039785682</v>
      </c>
      <c r="L88" s="14">
        <v>0.68043170758206151</v>
      </c>
      <c r="M88" s="14">
        <v>0.55829421607108143</v>
      </c>
      <c r="N88" s="14">
        <v>5.5247217535084605</v>
      </c>
      <c r="O88" s="14">
        <v>1056.7135297935633</v>
      </c>
      <c r="P88" s="8">
        <v>5.5247217535084605</v>
      </c>
      <c r="Q88" s="54">
        <v>0.20569404274796713</v>
      </c>
    </row>
    <row r="89" spans="1:17">
      <c r="A89" s="2" t="s">
        <v>456</v>
      </c>
      <c r="B89" s="16" t="s">
        <v>457</v>
      </c>
      <c r="D89" s="14">
        <v>1</v>
      </c>
      <c r="E89" s="14">
        <v>0.75986404076331404</v>
      </c>
      <c r="F89" s="14">
        <v>0.7516230908363839</v>
      </c>
      <c r="G89" s="14">
        <v>3.2452533089539324E-19</v>
      </c>
      <c r="H89" s="14">
        <v>18.976674734210132</v>
      </c>
      <c r="I89" s="14">
        <v>48.873932478349936</v>
      </c>
      <c r="J89" s="14">
        <v>0</v>
      </c>
      <c r="K89" s="14">
        <v>1.3304540695885616</v>
      </c>
      <c r="L89" s="14">
        <v>0.7516230908363839</v>
      </c>
      <c r="M89" s="14">
        <v>0.61670674603125297</v>
      </c>
      <c r="N89" s="14">
        <v>3.6367043004945727</v>
      </c>
      <c r="O89" s="14">
        <v>1427.2609697720998</v>
      </c>
      <c r="P89" s="8">
        <v>3.6367043004945727</v>
      </c>
      <c r="Q89" s="54">
        <v>0.16191134649265473</v>
      </c>
    </row>
    <row r="90" spans="1:17">
      <c r="A90" s="2" t="s">
        <v>458</v>
      </c>
      <c r="B90" s="16" t="s">
        <v>459</v>
      </c>
      <c r="D90" s="14">
        <v>1</v>
      </c>
      <c r="E90" s="14">
        <v>0.88113279418419865</v>
      </c>
      <c r="F90" s="14">
        <v>0.87950469765417805</v>
      </c>
      <c r="G90" s="14">
        <v>4.7372537818287405E-31</v>
      </c>
      <c r="H90" s="14">
        <v>4.2628314721061917</v>
      </c>
      <c r="I90" s="14">
        <v>12.398105689691482</v>
      </c>
      <c r="J90" s="14">
        <v>0</v>
      </c>
      <c r="K90" s="14">
        <v>1.1370035915296508</v>
      </c>
      <c r="L90" s="14">
        <v>0.87950469765417805</v>
      </c>
      <c r="M90" s="14">
        <v>0.72163360442525315</v>
      </c>
      <c r="N90" s="14">
        <v>1.5278842466135698</v>
      </c>
      <c r="O90" s="14">
        <v>1193.1859235504012</v>
      </c>
      <c r="P90" s="8">
        <v>1.5278842466135698</v>
      </c>
      <c r="Q90" s="54">
        <v>8.0159561768480769E-2</v>
      </c>
    </row>
    <row r="91" spans="1:17">
      <c r="A91" s="2" t="s">
        <v>460</v>
      </c>
      <c r="B91" s="16" t="s">
        <v>461</v>
      </c>
      <c r="D91" s="14">
        <v>1</v>
      </c>
      <c r="E91" s="14">
        <v>0.42948240984390024</v>
      </c>
      <c r="F91" s="14">
        <v>1.603960403055878E-2</v>
      </c>
      <c r="G91" s="14">
        <v>2.6423000339556068E-9</v>
      </c>
      <c r="H91" s="14">
        <v>714.58458381777086</v>
      </c>
      <c r="I91" s="14">
        <v>4263.9373347929532</v>
      </c>
      <c r="J91" s="14">
        <v>0</v>
      </c>
      <c r="K91" s="14">
        <v>62.345678739624255</v>
      </c>
      <c r="L91" s="14">
        <v>1.603960403055878E-2</v>
      </c>
      <c r="M91" s="14">
        <v>1.316049510707348E-2</v>
      </c>
      <c r="N91" s="14">
        <v>266.31131414872561</v>
      </c>
      <c r="O91" s="14">
        <v>81597.786655169519</v>
      </c>
      <c r="P91" s="8">
        <v>266.31131414872561</v>
      </c>
      <c r="Q91" s="54">
        <v>0.37188684276243666</v>
      </c>
    </row>
    <row r="92" spans="1:17">
      <c r="A92" s="2" t="s">
        <v>462</v>
      </c>
      <c r="B92" s="16" t="s">
        <v>463</v>
      </c>
      <c r="D92" s="14">
        <v>1</v>
      </c>
      <c r="E92" s="14">
        <v>0.42139715358064728</v>
      </c>
      <c r="F92" s="14">
        <v>0.32766354348408228</v>
      </c>
      <c r="G92" s="14">
        <v>9.0894292022603956E-11</v>
      </c>
      <c r="H92" s="14">
        <v>218.93143494736071</v>
      </c>
      <c r="I92" s="14">
        <v>442.96079948624811</v>
      </c>
      <c r="J92" s="14">
        <v>0</v>
      </c>
      <c r="K92" s="14">
        <v>3.0519110834452028</v>
      </c>
      <c r="L92" s="14">
        <v>0.32766354348408233</v>
      </c>
      <c r="M92" s="14">
        <v>0.26884793742868951</v>
      </c>
      <c r="N92" s="14">
        <v>27.486427373182277</v>
      </c>
      <c r="O92" s="14">
        <v>9257.9784678352553</v>
      </c>
      <c r="P92" s="8">
        <v>27.486427373182281</v>
      </c>
      <c r="Q92" s="54">
        <v>0.38919324543318279</v>
      </c>
    </row>
    <row r="93" spans="1:17">
      <c r="A93" s="2" t="s">
        <v>464</v>
      </c>
      <c r="B93" s="16" t="s">
        <v>465</v>
      </c>
      <c r="D93" s="14">
        <v>1</v>
      </c>
      <c r="E93" s="14">
        <v>0.37676945823553976</v>
      </c>
      <c r="F93" s="14">
        <v>0.12704534098913436</v>
      </c>
      <c r="G93" s="14">
        <v>7.1079969192884265E-6</v>
      </c>
      <c r="H93" s="14">
        <v>596.92359133888658</v>
      </c>
      <c r="I93" s="14">
        <v>1046.106532249019</v>
      </c>
      <c r="J93" s="14">
        <v>0</v>
      </c>
      <c r="K93" s="14">
        <v>7.8712056043481802</v>
      </c>
      <c r="L93" s="14">
        <v>0.12704534098913436</v>
      </c>
      <c r="M93" s="14">
        <v>0.10424070228158476</v>
      </c>
      <c r="N93" s="14">
        <v>64.712146609929235</v>
      </c>
      <c r="O93" s="14">
        <v>30096.972266811987</v>
      </c>
      <c r="P93" s="8">
        <v>64.712146609929235</v>
      </c>
      <c r="Q93" s="54">
        <v>0.41703827350447875</v>
      </c>
    </row>
    <row r="94" spans="1:17">
      <c r="A94" s="2" t="s">
        <v>466</v>
      </c>
      <c r="B94" s="16" t="s">
        <v>467</v>
      </c>
      <c r="D94" s="14">
        <v>1</v>
      </c>
      <c r="E94" s="14">
        <v>0.99975040611676569</v>
      </c>
      <c r="F94" s="14">
        <v>0.98857225404524907</v>
      </c>
      <c r="G94" s="14">
        <v>2.2430803756411051E-20</v>
      </c>
      <c r="H94" s="14">
        <v>32.861578214609793</v>
      </c>
      <c r="I94" s="14">
        <v>3.9984210670285153E-2</v>
      </c>
      <c r="J94" s="14">
        <v>0</v>
      </c>
      <c r="K94" s="14">
        <v>1.0115598489720792</v>
      </c>
      <c r="L94" s="14">
        <v>0.98857225404524907</v>
      </c>
      <c r="M94" s="14">
        <v>0.81112353444412688</v>
      </c>
      <c r="N94" s="14">
        <v>1.0074882013284046</v>
      </c>
      <c r="O94" s="14">
        <v>333.21664770735651</v>
      </c>
      <c r="P94" s="8">
        <v>1.0074882013284046</v>
      </c>
      <c r="Q94" s="54">
        <v>1.1849186279466853E-4</v>
      </c>
    </row>
    <row r="95" spans="1:17">
      <c r="A95" s="2" t="s">
        <v>468</v>
      </c>
      <c r="B95" s="16" t="s">
        <v>469</v>
      </c>
      <c r="D95" s="14">
        <v>1</v>
      </c>
      <c r="E95" s="14">
        <v>0.44868156333202253</v>
      </c>
      <c r="F95" s="14">
        <v>3.7260739652883609E-2</v>
      </c>
      <c r="G95" s="14">
        <v>1.0570121012969361E-19</v>
      </c>
      <c r="H95" s="14">
        <v>937.45724911167213</v>
      </c>
      <c r="I95" s="14">
        <v>2147.3787073272233</v>
      </c>
      <c r="J95" s="14">
        <v>0</v>
      </c>
      <c r="K95" s="14">
        <v>26.837899873053377</v>
      </c>
      <c r="L95" s="14">
        <v>3.7260739652883609E-2</v>
      </c>
      <c r="M95" s="14">
        <v>3.0572436885191005E-2</v>
      </c>
      <c r="N95" s="14">
        <v>133.47545494715703</v>
      </c>
      <c r="O95" s="14">
        <v>65936.874743895562</v>
      </c>
      <c r="P95" s="8">
        <v>133.47545494715703</v>
      </c>
      <c r="Q95" s="54">
        <v>0.36551789374231897</v>
      </c>
    </row>
    <row r="96" spans="1:17">
      <c r="A96" s="2" t="s">
        <v>470</v>
      </c>
      <c r="B96" s="166">
        <v>354656</v>
      </c>
      <c r="D96" s="14">
        <v>1</v>
      </c>
      <c r="E96" s="14">
        <v>0.96989487604818148</v>
      </c>
      <c r="F96" s="14">
        <v>0.97013709440133256</v>
      </c>
      <c r="G96" s="14">
        <v>4.0864068010096522E-12</v>
      </c>
      <c r="H96" s="14">
        <v>0.27868469000269547</v>
      </c>
      <c r="I96" s="14">
        <v>0.99809132630900832</v>
      </c>
      <c r="J96" s="14">
        <v>0</v>
      </c>
      <c r="K96" s="14">
        <v>1.0307821500394185</v>
      </c>
      <c r="L96" s="14">
        <v>0.97013709440133267</v>
      </c>
      <c r="M96" s="14">
        <v>0.79599748595629349</v>
      </c>
      <c r="N96" s="14">
        <v>0.91748468195252697</v>
      </c>
      <c r="O96" s="14">
        <v>180.9188044342188</v>
      </c>
      <c r="P96" s="8">
        <v>0.91748468195252708</v>
      </c>
      <c r="Q96" s="54">
        <v>2.0275439710444831E-2</v>
      </c>
    </row>
    <row r="97" spans="1:17">
      <c r="A97" s="2" t="s">
        <v>472</v>
      </c>
      <c r="B97" s="16" t="s">
        <v>473</v>
      </c>
      <c r="D97" s="14">
        <v>1</v>
      </c>
      <c r="E97" s="14">
        <v>0.93693931900837346</v>
      </c>
      <c r="F97" s="14">
        <v>0.93673998969055283</v>
      </c>
      <c r="G97" s="14">
        <v>6.3051808588794604E-12</v>
      </c>
      <c r="H97" s="14">
        <v>1.1914314523898208</v>
      </c>
      <c r="I97" s="14">
        <v>3.8240735050755914</v>
      </c>
      <c r="J97" s="14">
        <v>0</v>
      </c>
      <c r="K97" s="14">
        <v>1.0675320910878854</v>
      </c>
      <c r="L97" s="14">
        <v>0.93673998969055283</v>
      </c>
      <c r="M97" s="14">
        <v>0.76859516154109864</v>
      </c>
      <c r="N97" s="14">
        <v>1.0586214323735494</v>
      </c>
      <c r="O97" s="14">
        <v>169.56998103759517</v>
      </c>
      <c r="P97" s="8">
        <v>1.0586214323735497</v>
      </c>
      <c r="Q97" s="54">
        <v>4.2513438430494523E-2</v>
      </c>
    </row>
    <row r="98" spans="1:17">
      <c r="A98" s="2" t="s">
        <v>474</v>
      </c>
      <c r="B98" s="16" t="s">
        <v>475</v>
      </c>
      <c r="D98" s="14">
        <v>1</v>
      </c>
      <c r="E98" s="14">
        <v>0.42049335917037417</v>
      </c>
      <c r="F98" s="14">
        <v>7.5684118789563062E-2</v>
      </c>
      <c r="G98" s="14">
        <v>2.1322260570155077E-21</v>
      </c>
      <c r="H98" s="14">
        <v>832.15601880254678</v>
      </c>
      <c r="I98" s="14">
        <v>1369.815037426104</v>
      </c>
      <c r="J98" s="14">
        <v>0</v>
      </c>
      <c r="K98" s="14">
        <v>13.212811564609259</v>
      </c>
      <c r="L98" s="14">
        <v>7.5684118789563076E-2</v>
      </c>
      <c r="M98" s="14">
        <v>6.20988194668365E-2</v>
      </c>
      <c r="N98" s="14">
        <v>84.871266387614327</v>
      </c>
      <c r="O98" s="14">
        <v>45103.137096369879</v>
      </c>
      <c r="P98" s="8">
        <v>84.871266387614327</v>
      </c>
      <c r="Q98" s="54">
        <v>0.38695630685634197</v>
      </c>
    </row>
    <row r="99" spans="1:17">
      <c r="A99" s="2" t="s">
        <v>476</v>
      </c>
      <c r="B99" s="16" t="s">
        <v>477</v>
      </c>
      <c r="D99" s="14">
        <v>1</v>
      </c>
      <c r="E99" s="14">
        <v>0.99159178085790778</v>
      </c>
      <c r="F99" s="14">
        <v>0.99196643943500273</v>
      </c>
      <c r="G99" s="14">
        <v>1.9275491769534372E-9</v>
      </c>
      <c r="H99" s="14">
        <v>2.3376364970496447E-2</v>
      </c>
      <c r="I99" s="14">
        <v>0.10065472113595543</v>
      </c>
      <c r="J99" s="14">
        <v>0</v>
      </c>
      <c r="K99" s="14">
        <v>1.0080986213299443</v>
      </c>
      <c r="L99" s="14">
        <v>0.99196643943500284</v>
      </c>
      <c r="M99" s="14">
        <v>0.81390846355641977</v>
      </c>
      <c r="N99" s="14">
        <v>0.88284914103208123</v>
      </c>
      <c r="O99" s="14">
        <v>114.02879505570361</v>
      </c>
      <c r="P99" s="8">
        <v>0.88284914103208134</v>
      </c>
      <c r="Q99" s="54">
        <v>5.6316304692902962E-3</v>
      </c>
    </row>
    <row r="100" spans="1:17">
      <c r="A100" s="2" t="s">
        <v>478</v>
      </c>
      <c r="B100" s="16" t="s">
        <v>479</v>
      </c>
      <c r="D100" s="14">
        <v>1</v>
      </c>
      <c r="E100" s="14">
        <v>0.5718134778732592</v>
      </c>
      <c r="F100" s="14">
        <v>0.5377952256371249</v>
      </c>
      <c r="G100" s="14">
        <v>7.4142193426211892E-13</v>
      </c>
      <c r="H100" s="14">
        <v>78.169429501202671</v>
      </c>
      <c r="I100" s="14">
        <v>176.96774345246095</v>
      </c>
      <c r="J100" s="14">
        <v>0</v>
      </c>
      <c r="K100" s="14">
        <v>1.859443803755048</v>
      </c>
      <c r="L100" s="14">
        <v>0.53779522563712501</v>
      </c>
      <c r="M100" s="14">
        <v>0.44126098263526103</v>
      </c>
      <c r="N100" s="14">
        <v>11.292462955566103</v>
      </c>
      <c r="O100" s="14">
        <v>3385.4803940787178</v>
      </c>
      <c r="P100" s="8">
        <v>11.292462955566103</v>
      </c>
      <c r="Q100" s="54">
        <v>0.28846565507212563</v>
      </c>
    </row>
    <row r="101" spans="1:17">
      <c r="A101" s="2" t="s">
        <v>480</v>
      </c>
      <c r="B101" s="16" t="s">
        <v>481</v>
      </c>
      <c r="D101" s="14">
        <v>1</v>
      </c>
      <c r="E101" s="14">
        <v>0.98596310386968611</v>
      </c>
      <c r="F101" s="14">
        <v>0.98631576813029787</v>
      </c>
      <c r="G101" s="14">
        <v>5.187098127530672E-13</v>
      </c>
      <c r="H101" s="14">
        <v>6.3196929228442389E-2</v>
      </c>
      <c r="I101" s="14">
        <v>0.25278607517105761</v>
      </c>
      <c r="J101" s="14">
        <v>0</v>
      </c>
      <c r="K101" s="14">
        <v>1.0138740881083577</v>
      </c>
      <c r="L101" s="14">
        <v>0.98631576813029787</v>
      </c>
      <c r="M101" s="14">
        <v>0.80927208775090942</v>
      </c>
      <c r="N101" s="14">
        <v>0.88696804319748401</v>
      </c>
      <c r="O101" s="14">
        <v>211.24030916791278</v>
      </c>
      <c r="P101" s="8">
        <v>0.88696804319748401</v>
      </c>
      <c r="Q101" s="54">
        <v>9.4309001544070296E-3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0.99638807012212027</v>
      </c>
      <c r="F102" s="14">
        <v>0.99677423279294786</v>
      </c>
      <c r="G102" s="14">
        <v>3.2594572577308962E-29</v>
      </c>
      <c r="H102" s="14">
        <v>4.5093796715772764E-3</v>
      </c>
      <c r="I102" s="14">
        <v>2.1926735281683728E-2</v>
      </c>
      <c r="J102" s="14">
        <v>0</v>
      </c>
      <c r="K102" s="14">
        <v>1.0032362064557123</v>
      </c>
      <c r="L102" s="14">
        <v>0.99677423279294786</v>
      </c>
      <c r="M102" s="14">
        <v>0.81785325800661368</v>
      </c>
      <c r="N102" s="14">
        <v>0.88239826391394405</v>
      </c>
      <c r="O102" s="14">
        <v>406.28263265389728</v>
      </c>
      <c r="P102" s="8">
        <v>0.88239826391394405</v>
      </c>
      <c r="Q102" s="54">
        <v>2.3942746837003759E-3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0.99185724653801266</v>
      </c>
      <c r="F103" s="14">
        <v>0.99223271951524361</v>
      </c>
      <c r="G103" s="14">
        <v>2.5999921202490689E-15</v>
      </c>
      <c r="H103" s="14">
        <v>2.1965623941955524E-2</v>
      </c>
      <c r="I103" s="14">
        <v>9.5016868873188609E-2</v>
      </c>
      <c r="J103" s="14">
        <v>0</v>
      </c>
      <c r="K103" s="14">
        <v>1.007828083404215</v>
      </c>
      <c r="L103" s="14">
        <v>0.99223271951524361</v>
      </c>
      <c r="M103" s="14">
        <v>0.81412694636225735</v>
      </c>
      <c r="N103" s="14">
        <v>0.88274733966205621</v>
      </c>
      <c r="O103" s="14">
        <v>181.18389146563703</v>
      </c>
      <c r="P103" s="8">
        <v>0.88274733966205621</v>
      </c>
      <c r="Q103" s="54">
        <v>5.4525632842943898E-3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0.95449079534689918</v>
      </c>
      <c r="F104" s="14">
        <v>0.95456257562157798</v>
      </c>
      <c r="G104" s="14">
        <v>3.2084323839533736E-11</v>
      </c>
      <c r="H104" s="14">
        <v>0.62584156536892399</v>
      </c>
      <c r="I104" s="14">
        <v>2.1092185116333999</v>
      </c>
      <c r="J104" s="14">
        <v>0</v>
      </c>
      <c r="K104" s="14">
        <v>1.0476002574779708</v>
      </c>
      <c r="L104" s="14">
        <v>0.95456257562157798</v>
      </c>
      <c r="M104" s="14">
        <v>0.78321859329750476</v>
      </c>
      <c r="N104" s="14">
        <v>0.97073255645508016</v>
      </c>
      <c r="O104" s="14">
        <v>146.7359332337499</v>
      </c>
      <c r="P104" s="8">
        <v>0.97073255645508016</v>
      </c>
      <c r="Q104" s="54">
        <v>3.0670550722763232E-2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0.99568111352285182</v>
      </c>
      <c r="F105" s="14">
        <v>0.9960660182772183</v>
      </c>
      <c r="G105" s="14">
        <v>2.5922483796077982E-18</v>
      </c>
      <c r="H105" s="14">
        <v>6.3951115456588898E-3</v>
      </c>
      <c r="I105" s="14">
        <v>3.0304372435523395E-2</v>
      </c>
      <c r="J105" s="14">
        <v>0</v>
      </c>
      <c r="K105" s="14">
        <v>1.0039495190585719</v>
      </c>
      <c r="L105" s="14">
        <v>0.9960660182772183</v>
      </c>
      <c r="M105" s="14">
        <v>0.81727216799645763</v>
      </c>
      <c r="N105" s="14">
        <v>0.88227129246786584</v>
      </c>
      <c r="O105" s="14">
        <v>299.40758581189493</v>
      </c>
      <c r="P105" s="8">
        <v>0.88227129246786584</v>
      </c>
      <c r="Q105" s="54">
        <v>2.8714766875772802E-3</v>
      </c>
    </row>
    <row r="106" spans="1:17">
      <c r="A106" s="2" t="s">
        <v>490</v>
      </c>
      <c r="B106" s="16" t="s">
        <v>491</v>
      </c>
      <c r="D106" s="14">
        <v>1</v>
      </c>
      <c r="E106" s="14">
        <v>0.85119095413590529</v>
      </c>
      <c r="F106" s="14">
        <v>0.84841373107153528</v>
      </c>
      <c r="G106" s="14">
        <v>1.4490927258470744E-10</v>
      </c>
      <c r="H106" s="14">
        <v>6.7805931832931003</v>
      </c>
      <c r="I106" s="14">
        <v>19.007493886344733</v>
      </c>
      <c r="J106" s="14">
        <v>0</v>
      </c>
      <c r="K106" s="14">
        <v>1.1786702211160742</v>
      </c>
      <c r="L106" s="14">
        <v>0.84841373107153528</v>
      </c>
      <c r="M106" s="14">
        <v>0.69612346634419475</v>
      </c>
      <c r="N106" s="14">
        <v>1.9021046452212584</v>
      </c>
      <c r="O106" s="14">
        <v>365.45136548636037</v>
      </c>
      <c r="P106" s="8">
        <v>1.9021046452212587</v>
      </c>
      <c r="Q106" s="54">
        <v>0.10035172898831451</v>
      </c>
    </row>
    <row r="107" spans="1:17">
      <c r="A107" s="2" t="s">
        <v>492</v>
      </c>
      <c r="B107" s="16" t="s">
        <v>493</v>
      </c>
      <c r="D107" s="14">
        <v>1</v>
      </c>
      <c r="E107" s="14">
        <v>0.44499162765079375</v>
      </c>
      <c r="F107" s="14">
        <v>6.1094790032411146E-2</v>
      </c>
      <c r="G107" s="14">
        <v>1.0879593384203614E-17</v>
      </c>
      <c r="H107" s="14">
        <v>929.78851334134913</v>
      </c>
      <c r="I107" s="14">
        <v>1494.3122178239091</v>
      </c>
      <c r="J107" s="14">
        <v>0</v>
      </c>
      <c r="K107" s="14">
        <v>16.368007803439443</v>
      </c>
      <c r="L107" s="14">
        <v>6.1094790032411146E-2</v>
      </c>
      <c r="M107" s="14">
        <v>5.0128275221593348E-2</v>
      </c>
      <c r="N107" s="14">
        <v>92.655933081079837</v>
      </c>
      <c r="O107" s="14">
        <v>42121.387178658893</v>
      </c>
      <c r="P107" s="8">
        <v>92.655933081079837</v>
      </c>
      <c r="Q107" s="54">
        <v>0.37003375885572853</v>
      </c>
    </row>
    <row r="108" spans="1:17">
      <c r="A108" s="2" t="s">
        <v>291</v>
      </c>
      <c r="B108" s="16" t="s">
        <v>494</v>
      </c>
      <c r="D108" s="14">
        <v>1</v>
      </c>
      <c r="E108" s="14">
        <v>0.61166665279457744</v>
      </c>
      <c r="F108" s="14">
        <v>0.58550269977414415</v>
      </c>
      <c r="G108" s="14">
        <v>4.0377310693413142E-12</v>
      </c>
      <c r="H108" s="14">
        <v>59.96652766813969</v>
      </c>
      <c r="I108" s="14">
        <v>139.30479731986884</v>
      </c>
      <c r="J108" s="14">
        <v>0</v>
      </c>
      <c r="K108" s="14">
        <v>1.7079340545923134</v>
      </c>
      <c r="L108" s="14">
        <v>0.58550269977414415</v>
      </c>
      <c r="M108" s="14">
        <v>0.48040496516468534</v>
      </c>
      <c r="N108" s="14">
        <v>9.0238440327777862</v>
      </c>
      <c r="O108" s="14">
        <v>2782.3218306263748</v>
      </c>
      <c r="P108" s="8">
        <v>9.0238440327777862</v>
      </c>
      <c r="Q108" s="54">
        <v>0.26167731365629177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9.4580339215400539E-5</v>
      </c>
      <c r="E2" s="20">
        <v>0.81339117219319501</v>
      </c>
      <c r="F2" s="20">
        <v>3.8448117631859143E-3</v>
      </c>
      <c r="G2" s="20">
        <v>1.1198778054160952E-3</v>
      </c>
      <c r="H2" s="20">
        <v>0</v>
      </c>
      <c r="I2" s="20">
        <v>0.80842648262459305</v>
      </c>
      <c r="J2" s="20">
        <v>1.8403975075082744E-4</v>
      </c>
      <c r="K2" s="20">
        <v>0.18633020771683867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1.9457838334643856E-2</v>
      </c>
      <c r="E3" s="20">
        <v>0.49209145579921271</v>
      </c>
      <c r="F3" s="20">
        <v>0.13169485414257004</v>
      </c>
      <c r="G3" s="20">
        <v>0.35683246575685823</v>
      </c>
      <c r="H3" s="20">
        <v>0</v>
      </c>
      <c r="I3" s="20">
        <v>3.5641358997844349E-3</v>
      </c>
      <c r="J3" s="20">
        <v>4.3433306377356241E-2</v>
      </c>
      <c r="K3" s="20">
        <v>0.4450173994887871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6.1209990251806522E-12</v>
      </c>
      <c r="E4" s="20">
        <v>0.53542459009779386</v>
      </c>
      <c r="F4" s="20">
        <v>3.4857523210667485E-2</v>
      </c>
      <c r="G4" s="20">
        <v>8.3213172654251211E-3</v>
      </c>
      <c r="H4" s="20">
        <v>0</v>
      </c>
      <c r="I4" s="20">
        <v>0.4922457496217012</v>
      </c>
      <c r="J4" s="20">
        <v>1.0167367023192597E-3</v>
      </c>
      <c r="K4" s="20">
        <v>0.46355867319376587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5.6325501568925223E-4</v>
      </c>
      <c r="E5" s="20">
        <v>0.44186351811862845</v>
      </c>
      <c r="F5" s="20">
        <v>0.31723367520916956</v>
      </c>
      <c r="G5" s="20">
        <v>9.2060819807002564E-2</v>
      </c>
      <c r="H5" s="20">
        <v>0</v>
      </c>
      <c r="I5" s="20">
        <v>3.2569023102456351E-2</v>
      </c>
      <c r="J5" s="20">
        <v>1.1076621591345688E-2</v>
      </c>
      <c r="K5" s="20">
        <v>0.54649660527433674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7.1383246701597536E-5</v>
      </c>
      <c r="E6" s="20">
        <v>0.56084742819928368</v>
      </c>
      <c r="F6" s="20">
        <v>9.457372865729094E-2</v>
      </c>
      <c r="G6" s="20">
        <v>0.46447898260449522</v>
      </c>
      <c r="H6" s="20">
        <v>0</v>
      </c>
      <c r="I6" s="20">
        <v>1.7947169374975338E-3</v>
      </c>
      <c r="J6" s="20">
        <v>5.6715690466483289E-2</v>
      </c>
      <c r="K6" s="20">
        <v>0.38236549808753151</v>
      </c>
      <c r="L6" s="20">
        <v>0</v>
      </c>
    </row>
    <row r="7" spans="1:14">
      <c r="A7" s="2" t="s">
        <v>321</v>
      </c>
      <c r="B7" s="3" t="s">
        <v>322</v>
      </c>
      <c r="D7" s="20">
        <v>9.6515724738147865E-5</v>
      </c>
      <c r="E7" s="20">
        <v>0.5097221930871606</v>
      </c>
      <c r="F7" s="20">
        <v>0.12801836935728383</v>
      </c>
      <c r="G7" s="20">
        <v>0.37841456723694666</v>
      </c>
      <c r="H7" s="20">
        <v>0</v>
      </c>
      <c r="I7" s="20">
        <v>3.2892564929300999E-3</v>
      </c>
      <c r="J7" s="20">
        <v>4.6081594086717956E-2</v>
      </c>
      <c r="K7" s="20">
        <v>0.44409969710138331</v>
      </c>
      <c r="L7" s="20">
        <v>0</v>
      </c>
    </row>
    <row r="8" spans="1:14">
      <c r="A8" s="2" t="s">
        <v>323</v>
      </c>
      <c r="B8" s="3" t="s">
        <v>324</v>
      </c>
      <c r="D8" s="20">
        <v>8.2740082396432087E-4</v>
      </c>
      <c r="E8" s="20">
        <v>0.45960673089026161</v>
      </c>
      <c r="F8" s="20">
        <v>0.1768439325573806</v>
      </c>
      <c r="G8" s="20">
        <v>0.27611227818419631</v>
      </c>
      <c r="H8" s="20">
        <v>0</v>
      </c>
      <c r="I8" s="20">
        <v>6.6505201486846827E-3</v>
      </c>
      <c r="J8" s="20">
        <v>3.3510134573910937E-2</v>
      </c>
      <c r="K8" s="20">
        <v>0.50605573371186319</v>
      </c>
      <c r="L8" s="20">
        <v>0</v>
      </c>
    </row>
    <row r="9" spans="1:14">
      <c r="A9" s="2" t="s">
        <v>325</v>
      </c>
      <c r="B9" s="3" t="s">
        <v>326</v>
      </c>
      <c r="D9" s="20">
        <v>2.8493417251662916E-4</v>
      </c>
      <c r="E9" s="20">
        <v>0.3682529620431792</v>
      </c>
      <c r="F9" s="20">
        <v>0.16788765100822697</v>
      </c>
      <c r="G9" s="20">
        <v>3.2969647824206416E-2</v>
      </c>
      <c r="H9" s="20">
        <v>0</v>
      </c>
      <c r="I9" s="20">
        <v>0.16739566321074581</v>
      </c>
      <c r="J9" s="20">
        <v>3.9430188827259353E-3</v>
      </c>
      <c r="K9" s="20">
        <v>0.62751908490157793</v>
      </c>
      <c r="L9" s="20">
        <v>0</v>
      </c>
    </row>
    <row r="10" spans="1:14">
      <c r="A10" s="2" t="s">
        <v>275</v>
      </c>
      <c r="B10" s="3" t="s">
        <v>276</v>
      </c>
      <c r="D10" s="20">
        <v>7.2306164793387573E-6</v>
      </c>
      <c r="E10" s="20">
        <v>0.43905267962508476</v>
      </c>
      <c r="F10" s="20">
        <v>0.31049137565811341</v>
      </c>
      <c r="G10" s="20">
        <v>9.8298093990323812E-2</v>
      </c>
      <c r="H10" s="20">
        <v>0</v>
      </c>
      <c r="I10" s="20">
        <v>3.0263209976647533E-2</v>
      </c>
      <c r="J10" s="20">
        <v>1.1832144852536197E-2</v>
      </c>
      <c r="K10" s="20">
        <v>0.54910794490589965</v>
      </c>
      <c r="L10" s="20">
        <v>0</v>
      </c>
    </row>
    <row r="11" spans="1:14">
      <c r="A11" s="2" t="s">
        <v>327</v>
      </c>
      <c r="B11" s="3" t="s">
        <v>328</v>
      </c>
      <c r="D11" s="20">
        <v>3.7609314094533925E-4</v>
      </c>
      <c r="E11" s="20">
        <v>0.43466153643448702</v>
      </c>
      <c r="F11" s="20">
        <v>0.2986548885220191</v>
      </c>
      <c r="G11" s="20">
        <v>0.10931133121190217</v>
      </c>
      <c r="H11" s="20">
        <v>0</v>
      </c>
      <c r="I11" s="20">
        <v>2.6695316700565741E-2</v>
      </c>
      <c r="J11" s="20">
        <v>1.3167303179276908E-2</v>
      </c>
      <c r="K11" s="20">
        <v>0.55179506724529082</v>
      </c>
      <c r="L11" s="20">
        <v>0</v>
      </c>
    </row>
    <row r="12" spans="1:14">
      <c r="A12" s="2" t="s">
        <v>329</v>
      </c>
      <c r="B12" s="3" t="s">
        <v>330</v>
      </c>
      <c r="D12" s="20">
        <v>1.7378438237144512E-4</v>
      </c>
      <c r="E12" s="20">
        <v>0.37772991610998374</v>
      </c>
      <c r="F12" s="20">
        <v>0.21236598661832276</v>
      </c>
      <c r="G12" s="20">
        <v>4.0121809821242541E-2</v>
      </c>
      <c r="H12" s="20">
        <v>0</v>
      </c>
      <c r="I12" s="20">
        <v>0.12524211967041846</v>
      </c>
      <c r="J12" s="20">
        <v>4.8007504151738913E-3</v>
      </c>
      <c r="K12" s="20">
        <v>0.61729554909247097</v>
      </c>
      <c r="L12" s="20">
        <v>0</v>
      </c>
    </row>
    <row r="13" spans="1:14">
      <c r="A13" s="2" t="s">
        <v>277</v>
      </c>
      <c r="B13" s="3" t="s">
        <v>278</v>
      </c>
      <c r="D13" s="20">
        <v>4.5003671762060043E-4</v>
      </c>
      <c r="E13" s="20">
        <v>0.3684382033440402</v>
      </c>
      <c r="F13" s="20">
        <v>0.17183916881861369</v>
      </c>
      <c r="G13" s="20">
        <v>3.3621549038748345E-2</v>
      </c>
      <c r="H13" s="20">
        <v>0</v>
      </c>
      <c r="I13" s="20">
        <v>0.16297748548667818</v>
      </c>
      <c r="J13" s="20">
        <v>4.0210755168443189E-3</v>
      </c>
      <c r="K13" s="20">
        <v>0.62709068442149496</v>
      </c>
      <c r="L13" s="20">
        <v>0</v>
      </c>
    </row>
    <row r="14" spans="1:14">
      <c r="A14" s="2" t="s">
        <v>331</v>
      </c>
      <c r="B14" s="3" t="s">
        <v>332</v>
      </c>
      <c r="D14" s="20">
        <v>2.5258531606031962E-4</v>
      </c>
      <c r="E14" s="20">
        <v>0.42894933281035319</v>
      </c>
      <c r="F14" s="20">
        <v>0.26120549820813782</v>
      </c>
      <c r="G14" s="20">
        <v>0.14989179819219284</v>
      </c>
      <c r="H14" s="20">
        <v>0</v>
      </c>
      <c r="I14" s="20">
        <v>1.7852036410022556E-2</v>
      </c>
      <c r="J14" s="20">
        <v>1.8096763849567762E-2</v>
      </c>
      <c r="K14" s="20">
        <v>0.55270131802401878</v>
      </c>
      <c r="L14" s="20">
        <v>0</v>
      </c>
    </row>
    <row r="15" spans="1:14">
      <c r="A15" s="2" t="s">
        <v>333</v>
      </c>
      <c r="B15" s="3" t="s">
        <v>334</v>
      </c>
      <c r="D15" s="20">
        <v>4.0967520871376929E-7</v>
      </c>
      <c r="E15" s="20">
        <v>0.4368029603249427</v>
      </c>
      <c r="F15" s="20">
        <v>0.30465892023156077</v>
      </c>
      <c r="G15" s="20">
        <v>0.10370733015194507</v>
      </c>
      <c r="H15" s="20">
        <v>0</v>
      </c>
      <c r="I15" s="20">
        <v>2.843670994143685E-2</v>
      </c>
      <c r="J15" s="20">
        <v>1.2487743583725818E-2</v>
      </c>
      <c r="K15" s="20">
        <v>0.55070888641612281</v>
      </c>
      <c r="L15" s="20">
        <v>0</v>
      </c>
    </row>
    <row r="16" spans="1:14">
      <c r="A16" s="2" t="s">
        <v>335</v>
      </c>
      <c r="B16" s="3" t="s">
        <v>336</v>
      </c>
      <c r="D16" s="20">
        <v>2.1394370197734955E-3</v>
      </c>
      <c r="E16" s="20">
        <v>0.45725238592529122</v>
      </c>
      <c r="F16" s="20">
        <v>0.17896731446703895</v>
      </c>
      <c r="G16" s="20">
        <v>0.27143714368859401</v>
      </c>
      <c r="H16" s="20">
        <v>0</v>
      </c>
      <c r="I16" s="20">
        <v>6.847927769658241E-3</v>
      </c>
      <c r="J16" s="20">
        <v>3.2937701305141891E-2</v>
      </c>
      <c r="K16" s="20">
        <v>0.50767047574979329</v>
      </c>
      <c r="L16" s="20">
        <v>0</v>
      </c>
    </row>
    <row r="17" spans="1:12">
      <c r="A17" s="2" t="s">
        <v>337</v>
      </c>
      <c r="B17" s="3" t="s">
        <v>338</v>
      </c>
      <c r="D17" s="20">
        <v>1.4465530194108421E-4</v>
      </c>
      <c r="E17" s="20">
        <v>0.44098763403084157</v>
      </c>
      <c r="F17" s="20">
        <v>0.3150711013318534</v>
      </c>
      <c r="G17" s="20">
        <v>9.4124813003829425E-2</v>
      </c>
      <c r="H17" s="20">
        <v>0</v>
      </c>
      <c r="I17" s="20">
        <v>3.1791719695158746E-2</v>
      </c>
      <c r="J17" s="20">
        <v>1.1326569269630249E-2</v>
      </c>
      <c r="K17" s="20">
        <v>0.54754114139758714</v>
      </c>
      <c r="L17" s="20">
        <v>0</v>
      </c>
    </row>
    <row r="18" spans="1:12">
      <c r="A18" s="2" t="s">
        <v>279</v>
      </c>
      <c r="B18" s="3" t="s">
        <v>280</v>
      </c>
      <c r="D18" s="20">
        <v>7.9724240396880936E-3</v>
      </c>
      <c r="E18" s="20">
        <v>0.366053015627615</v>
      </c>
      <c r="F18" s="20">
        <v>0.14950805957057312</v>
      </c>
      <c r="G18" s="20">
        <v>2.9851087694303079E-2</v>
      </c>
      <c r="H18" s="20">
        <v>0</v>
      </c>
      <c r="I18" s="20">
        <v>0.1866938683627388</v>
      </c>
      <c r="J18" s="20">
        <v>3.5699644704025712E-3</v>
      </c>
      <c r="K18" s="20">
        <v>0.62240459586229435</v>
      </c>
      <c r="L18" s="20">
        <v>0</v>
      </c>
    </row>
    <row r="19" spans="1:12">
      <c r="A19" s="2" t="s">
        <v>339</v>
      </c>
      <c r="B19" s="3" t="s">
        <v>340</v>
      </c>
      <c r="D19" s="20">
        <v>1.4356961578939495E-6</v>
      </c>
      <c r="E19" s="20">
        <v>0.43638472311259702</v>
      </c>
      <c r="F19" s="20">
        <v>0.30348466630495602</v>
      </c>
      <c r="G19" s="20">
        <v>0.10481714069559947</v>
      </c>
      <c r="H19" s="20">
        <v>0</v>
      </c>
      <c r="I19" s="20">
        <v>2.8082916112041504E-2</v>
      </c>
      <c r="J19" s="20">
        <v>1.2622290679598211E-2</v>
      </c>
      <c r="K19" s="20">
        <v>0.55099155051164683</v>
      </c>
      <c r="L19" s="20">
        <v>0</v>
      </c>
    </row>
    <row r="20" spans="1:12">
      <c r="A20" s="2" t="s">
        <v>281</v>
      </c>
      <c r="B20" s="3" t="s">
        <v>282</v>
      </c>
      <c r="D20" s="20">
        <v>6.8141838408922539E-5</v>
      </c>
      <c r="E20" s="20">
        <v>0.36857897135797818</v>
      </c>
      <c r="F20" s="20">
        <v>0.17190482286396455</v>
      </c>
      <c r="G20" s="20">
        <v>3.3634394717184365E-2</v>
      </c>
      <c r="H20" s="20">
        <v>0</v>
      </c>
      <c r="I20" s="20">
        <v>0.16303975377682925</v>
      </c>
      <c r="J20" s="20">
        <v>4.0226118363933328E-3</v>
      </c>
      <c r="K20" s="20">
        <v>0.6273302749672196</v>
      </c>
      <c r="L20" s="20">
        <v>0</v>
      </c>
    </row>
    <row r="21" spans="1:12">
      <c r="A21" s="2" t="s">
        <v>341</v>
      </c>
      <c r="B21" s="3" t="s">
        <v>342</v>
      </c>
      <c r="D21" s="20">
        <v>2.1030365977600467E-3</v>
      </c>
      <c r="E21" s="20">
        <v>0.42863626895517493</v>
      </c>
      <c r="F21" s="20">
        <v>0.27171964929673575</v>
      </c>
      <c r="G21" s="20">
        <v>0.13684111390883888</v>
      </c>
      <c r="H21" s="20">
        <v>0</v>
      </c>
      <c r="I21" s="20">
        <v>2.0075505749600282E-2</v>
      </c>
      <c r="J21" s="20">
        <v>1.651008345322344E-2</v>
      </c>
      <c r="K21" s="20">
        <v>0.5527506109938416</v>
      </c>
      <c r="L21" s="20">
        <v>0</v>
      </c>
    </row>
    <row r="22" spans="1:12">
      <c r="A22" s="2" t="s">
        <v>343</v>
      </c>
      <c r="B22" s="3" t="s">
        <v>344</v>
      </c>
      <c r="D22" s="20">
        <v>2.268242525462017E-3</v>
      </c>
      <c r="E22" s="20">
        <v>0.66903699168939346</v>
      </c>
      <c r="F22" s="20">
        <v>1.3891965730973085E-2</v>
      </c>
      <c r="G22" s="20">
        <v>3.6229242918003677E-3</v>
      </c>
      <c r="H22" s="20">
        <v>0</v>
      </c>
      <c r="I22" s="20">
        <v>0.65152210166662006</v>
      </c>
      <c r="J22" s="20">
        <v>4.695902685871544E-4</v>
      </c>
      <c r="K22" s="20">
        <v>0.32822517551655722</v>
      </c>
      <c r="L22" s="20">
        <v>0</v>
      </c>
    </row>
    <row r="23" spans="1:12">
      <c r="A23" s="2" t="s">
        <v>345</v>
      </c>
      <c r="B23" s="3" t="s">
        <v>346</v>
      </c>
      <c r="D23" s="20">
        <v>8.9309296136599856E-5</v>
      </c>
      <c r="E23" s="20">
        <v>0.76899593828442436</v>
      </c>
      <c r="F23" s="20">
        <v>6.1202742240764121E-3</v>
      </c>
      <c r="G23" s="20">
        <v>1.7150091319585534E-3</v>
      </c>
      <c r="H23" s="20">
        <v>0</v>
      </c>
      <c r="I23" s="20">
        <v>0.76116065492838936</v>
      </c>
      <c r="J23" s="20">
        <v>2.5115157175889817E-4</v>
      </c>
      <c r="K23" s="20">
        <v>0.23066360084768006</v>
      </c>
      <c r="L23" s="20">
        <v>0</v>
      </c>
    </row>
    <row r="24" spans="1:12">
      <c r="A24" s="2" t="s">
        <v>347</v>
      </c>
      <c r="B24" s="3" t="s">
        <v>348</v>
      </c>
      <c r="D24" s="20">
        <v>1.3442452283587281E-4</v>
      </c>
      <c r="E24" s="20">
        <v>0.41950871170491599</v>
      </c>
      <c r="F24" s="20">
        <v>7.8190271014479534E-2</v>
      </c>
      <c r="G24" s="20">
        <v>1.7054864519514865E-2</v>
      </c>
      <c r="H24" s="20">
        <v>0</v>
      </c>
      <c r="I24" s="20">
        <v>0.32426357617092161</v>
      </c>
      <c r="J24" s="20">
        <v>2.0465944234924539E-3</v>
      </c>
      <c r="K24" s="20">
        <v>0.57831026934875562</v>
      </c>
      <c r="L24" s="20">
        <v>0</v>
      </c>
    </row>
    <row r="25" spans="1:12">
      <c r="A25" s="2" t="s">
        <v>349</v>
      </c>
      <c r="B25" s="3" t="s">
        <v>350</v>
      </c>
      <c r="D25" s="20">
        <v>5.0343815047107207E-2</v>
      </c>
      <c r="E25" s="20">
        <v>0.38983216535774429</v>
      </c>
      <c r="F25" s="20">
        <v>0.26340277020641978</v>
      </c>
      <c r="G25" s="20">
        <v>4.7349554097020297E-2</v>
      </c>
      <c r="H25" s="20">
        <v>0</v>
      </c>
      <c r="I25" s="20">
        <v>7.9079841054304212E-2</v>
      </c>
      <c r="J25" s="20">
        <v>5.6725056756881248E-3</v>
      </c>
      <c r="K25" s="20">
        <v>0.55415151391946049</v>
      </c>
      <c r="L25" s="20">
        <v>0</v>
      </c>
    </row>
    <row r="26" spans="1:12">
      <c r="A26" s="2" t="s">
        <v>351</v>
      </c>
      <c r="B26" s="3" t="s">
        <v>352</v>
      </c>
      <c r="D26" s="20">
        <v>1.6854343588341293E-3</v>
      </c>
      <c r="E26" s="20">
        <v>0.42968760301556774</v>
      </c>
      <c r="F26" s="20">
        <v>0.27911685179117252</v>
      </c>
      <c r="G26" s="20">
        <v>0.12884916644770986</v>
      </c>
      <c r="H26" s="20">
        <v>0</v>
      </c>
      <c r="I26" s="20">
        <v>2.1721584776685399E-2</v>
      </c>
      <c r="J26" s="20">
        <v>1.5538952504887795E-2</v>
      </c>
      <c r="K26" s="20">
        <v>0.55308801012071029</v>
      </c>
      <c r="L26" s="20">
        <v>0</v>
      </c>
    </row>
    <row r="27" spans="1:12">
      <c r="A27" s="2" t="s">
        <v>353</v>
      </c>
      <c r="B27" s="3" t="s">
        <v>354</v>
      </c>
      <c r="D27" s="20">
        <v>1.3402908405495484E-2</v>
      </c>
      <c r="E27" s="20">
        <v>0.48886085743179675</v>
      </c>
      <c r="F27" s="20">
        <v>0.13777590250152855</v>
      </c>
      <c r="G27" s="20">
        <v>0.34719128875710381</v>
      </c>
      <c r="H27" s="20">
        <v>0</v>
      </c>
      <c r="I27" s="20">
        <v>3.8936661731643939E-3</v>
      </c>
      <c r="J27" s="20">
        <v>4.2243503351197274E-2</v>
      </c>
      <c r="K27" s="20">
        <v>0.45549273081151059</v>
      </c>
      <c r="L27" s="20">
        <v>0</v>
      </c>
    </row>
    <row r="28" spans="1:12">
      <c r="A28" s="2" t="s">
        <v>355</v>
      </c>
      <c r="B28" s="3" t="s">
        <v>356</v>
      </c>
      <c r="D28" s="20">
        <v>6.5023570787845137E-4</v>
      </c>
      <c r="E28" s="20">
        <v>0.43351176677094372</v>
      </c>
      <c r="F28" s="20">
        <v>0.227795442082355</v>
      </c>
      <c r="G28" s="20">
        <v>0.19339292654907764</v>
      </c>
      <c r="H28" s="20">
        <v>0</v>
      </c>
      <c r="I28" s="20">
        <v>1.2323398139511088E-2</v>
      </c>
      <c r="J28" s="20">
        <v>2.3396113081105049E-2</v>
      </c>
      <c r="K28" s="20">
        <v>0.5424418844400728</v>
      </c>
      <c r="L28" s="20">
        <v>0</v>
      </c>
    </row>
    <row r="29" spans="1:12">
      <c r="A29" s="2" t="s">
        <v>357</v>
      </c>
      <c r="B29" s="3" t="s">
        <v>358</v>
      </c>
      <c r="D29" s="20">
        <v>0.11639970922398131</v>
      </c>
      <c r="E29" s="20">
        <v>0.37915866252751335</v>
      </c>
      <c r="F29" s="20">
        <v>0.2341133127178591</v>
      </c>
      <c r="G29" s="20">
        <v>0.128623897631408</v>
      </c>
      <c r="H29" s="20">
        <v>0</v>
      </c>
      <c r="I29" s="20">
        <v>1.6421452178246244E-2</v>
      </c>
      <c r="J29" s="20">
        <v>1.5525576188291092E-2</v>
      </c>
      <c r="K29" s="20">
        <v>0.48891605206021432</v>
      </c>
      <c r="L29" s="20">
        <v>0</v>
      </c>
    </row>
    <row r="30" spans="1:12">
      <c r="A30" s="2" t="s">
        <v>359</v>
      </c>
      <c r="B30" s="3" t="s">
        <v>360</v>
      </c>
      <c r="D30" s="20">
        <v>6.5023570787845137E-4</v>
      </c>
      <c r="E30" s="20">
        <v>0.43351176677094372</v>
      </c>
      <c r="F30" s="20">
        <v>0.227795442082355</v>
      </c>
      <c r="G30" s="20">
        <v>0.19339292654907764</v>
      </c>
      <c r="H30" s="20">
        <v>0</v>
      </c>
      <c r="I30" s="20">
        <v>1.2323398139511088E-2</v>
      </c>
      <c r="J30" s="20">
        <v>2.3396113081105049E-2</v>
      </c>
      <c r="K30" s="20">
        <v>0.5424418844400728</v>
      </c>
      <c r="L30" s="20">
        <v>0</v>
      </c>
    </row>
    <row r="31" spans="1:12">
      <c r="A31" s="2" t="s">
        <v>283</v>
      </c>
      <c r="B31" s="3" t="s">
        <v>284</v>
      </c>
      <c r="D31" s="20">
        <v>2.6146372325638972E-8</v>
      </c>
      <c r="E31" s="20">
        <v>0.97662631502149788</v>
      </c>
      <c r="F31" s="20">
        <v>5.9880532832565927E-5</v>
      </c>
      <c r="G31" s="20">
        <v>2.4031518373782915E-5</v>
      </c>
      <c r="H31" s="20">
        <v>0</v>
      </c>
      <c r="I31" s="20">
        <v>0.97654240297029149</v>
      </c>
      <c r="J31" s="20">
        <v>6.6258160585668422E-5</v>
      </c>
      <c r="K31" s="20">
        <v>2.3307400671544087E-2</v>
      </c>
      <c r="L31" s="20">
        <v>0</v>
      </c>
    </row>
    <row r="32" spans="1:12">
      <c r="A32" s="2" t="s">
        <v>361</v>
      </c>
      <c r="B32" s="3" t="s">
        <v>362</v>
      </c>
      <c r="D32" s="20">
        <v>2.7263665021836209E-8</v>
      </c>
      <c r="E32" s="20">
        <v>0.58801566265718719</v>
      </c>
      <c r="F32" s="20">
        <v>2.4948046339432577E-2</v>
      </c>
      <c r="G32" s="20">
        <v>6.1511342189413875E-3</v>
      </c>
      <c r="H32" s="20">
        <v>0</v>
      </c>
      <c r="I32" s="20">
        <v>0.55691648209881317</v>
      </c>
      <c r="J32" s="20">
        <v>7.703649561554486E-4</v>
      </c>
      <c r="K32" s="20">
        <v>0.41121394512299259</v>
      </c>
      <c r="L32" s="20">
        <v>0</v>
      </c>
    </row>
    <row r="33" spans="1:12">
      <c r="A33" s="2" t="s">
        <v>364</v>
      </c>
      <c r="B33" s="3" t="s">
        <v>365</v>
      </c>
      <c r="D33" s="20">
        <v>1.207425376233213E-10</v>
      </c>
      <c r="E33" s="20">
        <v>0.99987745327999944</v>
      </c>
      <c r="F33" s="20">
        <v>4.2031865631631806E-4</v>
      </c>
      <c r="G33" s="20">
        <v>1.2853043865266739E-7</v>
      </c>
      <c r="H33" s="20">
        <v>0</v>
      </c>
      <c r="I33" s="20">
        <v>0.9994570060932445</v>
      </c>
      <c r="J33" s="20">
        <v>6.5409443168652854E-5</v>
      </c>
      <c r="K33" s="20">
        <v>5.7137156089219449E-5</v>
      </c>
      <c r="L33" s="20">
        <v>0</v>
      </c>
    </row>
    <row r="34" spans="1:12">
      <c r="A34" s="2" t="s">
        <v>285</v>
      </c>
      <c r="B34" s="3" t="s">
        <v>286</v>
      </c>
      <c r="D34" s="20">
        <v>6.0318839025637091E-10</v>
      </c>
      <c r="E34" s="20">
        <v>0.99955619711147436</v>
      </c>
      <c r="F34" s="20">
        <v>7.5987284060028512E-2</v>
      </c>
      <c r="G34" s="20">
        <v>6.2404431243948289E-6</v>
      </c>
      <c r="H34" s="20">
        <v>0</v>
      </c>
      <c r="I34" s="20">
        <v>0.92356267260832148</v>
      </c>
      <c r="J34" s="20">
        <v>1.1666649564151619E-4</v>
      </c>
      <c r="K34" s="20">
        <v>3.2713578969565153E-4</v>
      </c>
      <c r="L34" s="20">
        <v>0</v>
      </c>
    </row>
    <row r="35" spans="1:12">
      <c r="A35" s="2" t="s">
        <v>287</v>
      </c>
      <c r="B35" s="3" t="s">
        <v>288</v>
      </c>
      <c r="D35" s="20">
        <v>2.6574446559924805E-11</v>
      </c>
      <c r="E35" s="20">
        <v>0.99862579119184802</v>
      </c>
      <c r="F35" s="20">
        <v>0.17162580870074695</v>
      </c>
      <c r="G35" s="20">
        <v>3.3236089460932062E-5</v>
      </c>
      <c r="H35" s="20">
        <v>0</v>
      </c>
      <c r="I35" s="20">
        <v>0.82696674640164014</v>
      </c>
      <c r="J35" s="20">
        <v>1.7657910280592014E-4</v>
      </c>
      <c r="K35" s="20">
        <v>1.1976296787715975E-3</v>
      </c>
      <c r="L35" s="20">
        <v>0</v>
      </c>
    </row>
    <row r="36" spans="1:12">
      <c r="A36" s="2" t="s">
        <v>366</v>
      </c>
      <c r="B36" s="3" t="s">
        <v>305</v>
      </c>
      <c r="D36" s="20">
        <v>9.2969993166227945E-8</v>
      </c>
      <c r="E36" s="20">
        <v>0.99700802703665736</v>
      </c>
      <c r="F36" s="20">
        <v>0.44947343317918043</v>
      </c>
      <c r="G36" s="20">
        <v>1.2869029922454471E-4</v>
      </c>
      <c r="H36" s="20">
        <v>0</v>
      </c>
      <c r="I36" s="20">
        <v>0.54740590355825236</v>
      </c>
      <c r="J36" s="20">
        <v>3.3569425079704832E-4</v>
      </c>
      <c r="K36" s="20">
        <v>2.6561857425522772E-3</v>
      </c>
      <c r="L36" s="20">
        <v>0</v>
      </c>
    </row>
    <row r="37" spans="1:12">
      <c r="A37" s="2" t="s">
        <v>289</v>
      </c>
      <c r="B37" s="3" t="s">
        <v>290</v>
      </c>
      <c r="D37" s="20">
        <v>1.1909529884148256E-14</v>
      </c>
      <c r="E37" s="20">
        <v>0.79809170695534049</v>
      </c>
      <c r="F37" s="20">
        <v>0.19802272830677475</v>
      </c>
      <c r="G37" s="20">
        <v>6.7605890988825324E-3</v>
      </c>
      <c r="H37" s="20">
        <v>0</v>
      </c>
      <c r="I37" s="20">
        <v>0.59330838954968323</v>
      </c>
      <c r="J37" s="20">
        <v>9.5405424533356344E-4</v>
      </c>
      <c r="K37" s="20">
        <v>0.20095423879931401</v>
      </c>
      <c r="L37" s="20">
        <v>0</v>
      </c>
    </row>
    <row r="38" spans="1:12">
      <c r="A38" s="2" t="s">
        <v>291</v>
      </c>
      <c r="B38" s="3" t="s">
        <v>292</v>
      </c>
      <c r="D38" s="20">
        <v>1.8421542880557E-12</v>
      </c>
      <c r="E38" s="20">
        <v>0.99701865867950967</v>
      </c>
      <c r="F38" s="20">
        <v>5.863695495107947E-2</v>
      </c>
      <c r="G38" s="20">
        <v>4.8987858730284354E-5</v>
      </c>
      <c r="H38" s="20">
        <v>0</v>
      </c>
      <c r="I38" s="20">
        <v>0.93833271586969991</v>
      </c>
      <c r="J38" s="20">
        <v>1.1055354919863662E-4</v>
      </c>
      <c r="K38" s="20">
        <v>2.8707877694495116E-3</v>
      </c>
      <c r="L38" s="20">
        <v>0</v>
      </c>
    </row>
    <row r="39" spans="1:12">
      <c r="A39" s="2" t="s">
        <v>367</v>
      </c>
      <c r="B39" s="3" t="s">
        <v>368</v>
      </c>
      <c r="D39" s="20">
        <v>6.9129845052389631E-5</v>
      </c>
      <c r="E39" s="20">
        <v>0.46700784972639048</v>
      </c>
      <c r="F39" s="20">
        <v>0.35550015821394726</v>
      </c>
      <c r="G39" s="20">
        <v>6.2091957809647359E-2</v>
      </c>
      <c r="H39" s="20">
        <v>0</v>
      </c>
      <c r="I39" s="20">
        <v>4.941573370279588E-2</v>
      </c>
      <c r="J39" s="20">
        <v>7.4529504593113874E-3</v>
      </c>
      <c r="K39" s="20">
        <v>0.52547006996924583</v>
      </c>
      <c r="L39" s="20">
        <v>0</v>
      </c>
    </row>
    <row r="40" spans="1:12">
      <c r="A40" s="2" t="s">
        <v>369</v>
      </c>
      <c r="B40" s="3" t="s">
        <v>370</v>
      </c>
      <c r="D40" s="20">
        <v>8.6216589438368191E-12</v>
      </c>
      <c r="E40" s="20">
        <v>0.92911083664655669</v>
      </c>
      <c r="F40" s="20">
        <v>0.85763091983098261</v>
      </c>
      <c r="G40" s="20">
        <v>6.2047002713402057E-2</v>
      </c>
      <c r="H40" s="20">
        <v>0</v>
      </c>
      <c r="I40" s="20">
        <v>9.4329141021720284E-3</v>
      </c>
      <c r="J40" s="20">
        <v>4.3909691874811474E-2</v>
      </c>
      <c r="K40" s="20">
        <v>2.6979471470009963E-2</v>
      </c>
      <c r="L40" s="20">
        <v>0</v>
      </c>
    </row>
    <row r="41" spans="1:12">
      <c r="A41" s="2" t="s">
        <v>371</v>
      </c>
      <c r="B41" s="3" t="s">
        <v>372</v>
      </c>
      <c r="D41" s="20">
        <v>8.1542672928389043E-2</v>
      </c>
      <c r="E41" s="20">
        <v>0.91383249258655097</v>
      </c>
      <c r="F41" s="20">
        <v>2.7877842374676356E-6</v>
      </c>
      <c r="G41" s="20">
        <v>1.3955799248221101E-6</v>
      </c>
      <c r="H41" s="20">
        <v>0</v>
      </c>
      <c r="I41" s="20">
        <v>0.91382830922238867</v>
      </c>
      <c r="J41" s="20">
        <v>5.955527270526948E-5</v>
      </c>
      <c r="K41" s="20">
        <v>4.5652792123548284E-3</v>
      </c>
      <c r="L41" s="20">
        <v>0</v>
      </c>
    </row>
    <row r="42" spans="1:12">
      <c r="A42" s="2" t="s">
        <v>293</v>
      </c>
      <c r="B42" s="3" t="s">
        <v>294</v>
      </c>
      <c r="D42" s="20">
        <v>2.0793850342307361E-8</v>
      </c>
      <c r="E42" s="20">
        <v>0.64560601681722452</v>
      </c>
      <c r="F42" s="20">
        <v>1.6680502469788628E-2</v>
      </c>
      <c r="G42" s="20">
        <v>4.2786295297098107E-3</v>
      </c>
      <c r="H42" s="20">
        <v>0</v>
      </c>
      <c r="I42" s="20">
        <v>0.62464688481772612</v>
      </c>
      <c r="J42" s="20">
        <v>5.4549837970178201E-4</v>
      </c>
      <c r="K42" s="20">
        <v>0.35384846400922332</v>
      </c>
      <c r="L42" s="20">
        <v>0</v>
      </c>
    </row>
    <row r="43" spans="1:12">
      <c r="A43" s="2" t="s">
        <v>373</v>
      </c>
      <c r="B43" s="3" t="s">
        <v>374</v>
      </c>
      <c r="D43" s="20">
        <v>3.9767546925796396E-7</v>
      </c>
      <c r="E43" s="20">
        <v>0.99491646978735737</v>
      </c>
      <c r="F43" s="20">
        <v>0.91257524813924851</v>
      </c>
      <c r="G43" s="20">
        <v>7.7053187057160414E-4</v>
      </c>
      <c r="H43" s="20">
        <v>0</v>
      </c>
      <c r="I43" s="20">
        <v>8.1570689777537314E-2</v>
      </c>
      <c r="J43" s="20">
        <v>1.1935478013284249E-3</v>
      </c>
      <c r="K43" s="20">
        <v>3.8895847358448722E-3</v>
      </c>
      <c r="L43" s="20">
        <v>0</v>
      </c>
    </row>
    <row r="44" spans="1:12">
      <c r="A44" s="2" t="s">
        <v>375</v>
      </c>
      <c r="B44" s="3" t="s">
        <v>376</v>
      </c>
      <c r="D44" s="20">
        <v>8.6903653578241133E-2</v>
      </c>
      <c r="E44" s="20">
        <v>0.78310113071301624</v>
      </c>
      <c r="F44" s="20">
        <v>1.9866083210198404E-3</v>
      </c>
      <c r="G44" s="20">
        <v>6.0590956105744797E-4</v>
      </c>
      <c r="H44" s="20">
        <v>0</v>
      </c>
      <c r="I44" s="20">
        <v>0.78050861283093897</v>
      </c>
      <c r="J44" s="20">
        <v>1.2174815314903038E-4</v>
      </c>
      <c r="K44" s="20">
        <v>0.12987346755559362</v>
      </c>
      <c r="L44" s="20">
        <v>0</v>
      </c>
    </row>
    <row r="45" spans="1:12">
      <c r="A45" s="2" t="s">
        <v>377</v>
      </c>
      <c r="B45" s="3" t="s">
        <v>378</v>
      </c>
      <c r="D45" s="20">
        <v>8.1198443819238881E-4</v>
      </c>
      <c r="E45" s="20">
        <v>0.62253035529298084</v>
      </c>
      <c r="F45" s="20">
        <v>1.9508412088405123E-2</v>
      </c>
      <c r="G45" s="20">
        <v>4.9308010099298064E-3</v>
      </c>
      <c r="H45" s="20">
        <v>0</v>
      </c>
      <c r="I45" s="20">
        <v>0.59809114219464588</v>
      </c>
      <c r="J45" s="20">
        <v>6.2106933072377955E-4</v>
      </c>
      <c r="K45" s="20">
        <v>0.37603659093810299</v>
      </c>
      <c r="L45" s="20">
        <v>0</v>
      </c>
    </row>
    <row r="46" spans="1:12">
      <c r="A46" s="2" t="s">
        <v>379</v>
      </c>
      <c r="B46" s="3" t="s">
        <v>380</v>
      </c>
      <c r="D46" s="20">
        <v>2.4003980089410083E-3</v>
      </c>
      <c r="E46" s="20">
        <v>0.63564676620420835</v>
      </c>
      <c r="F46" s="20">
        <v>1.7658648941196051E-2</v>
      </c>
      <c r="G46" s="20">
        <v>4.5045667636468244E-3</v>
      </c>
      <c r="H46" s="20">
        <v>0</v>
      </c>
      <c r="I46" s="20">
        <v>0.61348355049936543</v>
      </c>
      <c r="J46" s="20">
        <v>5.7155007766125014E-4</v>
      </c>
      <c r="K46" s="20">
        <v>0.36138128570918954</v>
      </c>
      <c r="L46" s="20">
        <v>0</v>
      </c>
    </row>
    <row r="47" spans="1:12">
      <c r="A47" s="2" t="s">
        <v>381</v>
      </c>
      <c r="B47" s="3" t="s">
        <v>382</v>
      </c>
      <c r="D47" s="20">
        <v>2.331461333086236E-7</v>
      </c>
      <c r="E47" s="20">
        <v>0.50185638140661182</v>
      </c>
      <c r="F47" s="20">
        <v>0.13430817009923685</v>
      </c>
      <c r="G47" s="20">
        <v>0.36391334968881223</v>
      </c>
      <c r="H47" s="20">
        <v>0</v>
      </c>
      <c r="I47" s="20">
        <v>3.6348616185627272E-3</v>
      </c>
      <c r="J47" s="20">
        <v>4.4295184795808823E-2</v>
      </c>
      <c r="K47" s="20">
        <v>0.45384820065144604</v>
      </c>
      <c r="L47" s="20">
        <v>0</v>
      </c>
    </row>
    <row r="48" spans="1:12">
      <c r="A48" s="2" t="s">
        <v>383</v>
      </c>
      <c r="B48" s="3" t="s">
        <v>384</v>
      </c>
      <c r="D48" s="20">
        <v>1.1823345629131602E-2</v>
      </c>
      <c r="E48" s="20">
        <v>0.91117566333727529</v>
      </c>
      <c r="F48" s="20">
        <v>6.3126919990400649E-4</v>
      </c>
      <c r="G48" s="20">
        <v>2.1188985104206355E-4</v>
      </c>
      <c r="H48" s="20">
        <v>0</v>
      </c>
      <c r="I48" s="20">
        <v>0.91033250428632917</v>
      </c>
      <c r="J48" s="20">
        <v>8.3911487015798556E-5</v>
      </c>
      <c r="K48" s="20">
        <v>7.6917079546577352E-2</v>
      </c>
      <c r="L48" s="20">
        <v>0</v>
      </c>
    </row>
    <row r="49" spans="1:12">
      <c r="A49" s="2" t="s">
        <v>385</v>
      </c>
      <c r="B49" s="3" t="s">
        <v>386</v>
      </c>
      <c r="D49" s="20">
        <v>2.2208051022519895E-2</v>
      </c>
      <c r="E49" s="20">
        <v>0.8754121842672401</v>
      </c>
      <c r="F49" s="20">
        <v>1.1323603694646858E-3</v>
      </c>
      <c r="G49" s="20">
        <v>3.6297792767048714E-4</v>
      </c>
      <c r="H49" s="20">
        <v>0</v>
      </c>
      <c r="I49" s="20">
        <v>0.87391684597010488</v>
      </c>
      <c r="J49" s="20">
        <v>9.9263542863479716E-5</v>
      </c>
      <c r="K49" s="20">
        <v>0.10228050116737653</v>
      </c>
      <c r="L49" s="20">
        <v>0</v>
      </c>
    </row>
    <row r="50" spans="1:12">
      <c r="A50" s="2" t="s">
        <v>387</v>
      </c>
      <c r="B50" s="3" t="s">
        <v>388</v>
      </c>
      <c r="D50" s="20">
        <v>1.6750173795431533E-2</v>
      </c>
      <c r="E50" s="20">
        <v>0.36364967728689296</v>
      </c>
      <c r="F50" s="20">
        <v>0.14278859898899268</v>
      </c>
      <c r="G50" s="20">
        <v>2.8667451589077356E-2</v>
      </c>
      <c r="H50" s="20">
        <v>0</v>
      </c>
      <c r="I50" s="20">
        <v>0.19219362670882292</v>
      </c>
      <c r="J50" s="20">
        <v>3.4284907672818333E-3</v>
      </c>
      <c r="K50" s="20">
        <v>0.61617165815039376</v>
      </c>
      <c r="L50" s="20">
        <v>0</v>
      </c>
    </row>
    <row r="51" spans="1:12">
      <c r="A51" s="2" t="s">
        <v>295</v>
      </c>
      <c r="B51" s="3" t="s">
        <v>296</v>
      </c>
      <c r="D51" s="20">
        <v>6.5423697750297174E-2</v>
      </c>
      <c r="E51" s="20">
        <v>0.90498610557818182</v>
      </c>
      <c r="F51" s="20">
        <v>1.0111353682149046E-4</v>
      </c>
      <c r="G51" s="20">
        <v>3.8824409324858411E-5</v>
      </c>
      <c r="H51" s="20">
        <v>0</v>
      </c>
      <c r="I51" s="20">
        <v>0.90484616763203551</v>
      </c>
      <c r="J51" s="20">
        <v>6.3321525986410106E-5</v>
      </c>
      <c r="K51" s="20">
        <v>2.9526875145534551E-2</v>
      </c>
      <c r="L51" s="20">
        <v>0</v>
      </c>
    </row>
    <row r="52" spans="1:12">
      <c r="A52" s="2" t="s">
        <v>389</v>
      </c>
      <c r="B52" s="3" t="s">
        <v>390</v>
      </c>
      <c r="D52" s="20">
        <v>7.1555170676996752E-2</v>
      </c>
      <c r="E52" s="20">
        <v>0.75706856814985712</v>
      </c>
      <c r="F52" s="20">
        <v>3.490721788876609E-3</v>
      </c>
      <c r="G52" s="20">
        <v>1.0186167003701596E-3</v>
      </c>
      <c r="H52" s="20">
        <v>0</v>
      </c>
      <c r="I52" s="20">
        <v>0.7525592296606104</v>
      </c>
      <c r="J52" s="20">
        <v>1.6851001678427796E-4</v>
      </c>
      <c r="K52" s="20">
        <v>0.17120775115636175</v>
      </c>
      <c r="L52" s="20">
        <v>0</v>
      </c>
    </row>
    <row r="53" spans="1:12">
      <c r="A53" s="2" t="s">
        <v>391</v>
      </c>
      <c r="B53" s="3" t="s">
        <v>392</v>
      </c>
      <c r="D53" s="20">
        <v>2.6513056824065198E-3</v>
      </c>
      <c r="E53" s="20">
        <v>0.55062244746359956</v>
      </c>
      <c r="F53" s="20">
        <v>3.1198521805340794E-2</v>
      </c>
      <c r="G53" s="20">
        <v>7.530599877293891E-3</v>
      </c>
      <c r="H53" s="20">
        <v>0</v>
      </c>
      <c r="I53" s="20">
        <v>0.51189332578096491</v>
      </c>
      <c r="J53" s="20">
        <v>9.2405088205508733E-4</v>
      </c>
      <c r="K53" s="20">
        <v>0.44580219597193865</v>
      </c>
      <c r="L53" s="20">
        <v>0</v>
      </c>
    </row>
    <row r="54" spans="1:12">
      <c r="A54" s="2" t="s">
        <v>393</v>
      </c>
      <c r="B54" s="3" t="s">
        <v>394</v>
      </c>
      <c r="D54" s="20">
        <v>1.0305541979029184E-3</v>
      </c>
      <c r="E54" s="20">
        <v>0.47961257845446309</v>
      </c>
      <c r="F54" s="20">
        <v>0.15379600401076116</v>
      </c>
      <c r="G54" s="20">
        <v>0.32095238477242199</v>
      </c>
      <c r="H54" s="20">
        <v>0</v>
      </c>
      <c r="I54" s="20">
        <v>4.8641896712799271E-3</v>
      </c>
      <c r="J54" s="20">
        <v>3.9011908145894225E-2</v>
      </c>
      <c r="K54" s="20">
        <v>0.48034495920173964</v>
      </c>
      <c r="L54" s="20">
        <v>0</v>
      </c>
    </row>
    <row r="55" spans="1:12">
      <c r="A55" s="2" t="s">
        <v>395</v>
      </c>
      <c r="B55" s="3" t="s">
        <v>396</v>
      </c>
      <c r="D55" s="20">
        <v>0.22890536509797271</v>
      </c>
      <c r="E55" s="20">
        <v>0.31551206016345457</v>
      </c>
      <c r="F55" s="20">
        <v>6.5937152276402441E-2</v>
      </c>
      <c r="G55" s="20">
        <v>1.4224130957734324E-2</v>
      </c>
      <c r="H55" s="20">
        <v>0</v>
      </c>
      <c r="I55" s="20">
        <v>0.23535077692931783</v>
      </c>
      <c r="J55" s="20">
        <v>1.7053688624115318E-3</v>
      </c>
      <c r="K55" s="20">
        <v>0.45387720587616132</v>
      </c>
      <c r="L55" s="20">
        <v>0</v>
      </c>
    </row>
    <row r="56" spans="1:12">
      <c r="A56" s="2" t="s">
        <v>397</v>
      </c>
      <c r="B56" s="3" t="s">
        <v>398</v>
      </c>
      <c r="D56" s="20">
        <v>0.82997732342878872</v>
      </c>
      <c r="E56" s="20">
        <v>6.385008244230736E-2</v>
      </c>
      <c r="F56" s="20">
        <v>3.4973608298750188E-2</v>
      </c>
      <c r="G56" s="20">
        <v>6.644097501289652E-3</v>
      </c>
      <c r="H56" s="20">
        <v>0</v>
      </c>
      <c r="I56" s="20">
        <v>2.2232376642267519E-2</v>
      </c>
      <c r="J56" s="20">
        <v>7.9491541472902758E-4</v>
      </c>
      <c r="K56" s="20">
        <v>0.10537767871417489</v>
      </c>
      <c r="L56" s="20">
        <v>0</v>
      </c>
    </row>
    <row r="57" spans="1:12">
      <c r="A57" s="2" t="s">
        <v>399</v>
      </c>
      <c r="B57" s="3" t="s">
        <v>400</v>
      </c>
      <c r="D57" s="20">
        <v>0.87449428136203977</v>
      </c>
      <c r="E57" s="20">
        <v>4.8999922807337899E-2</v>
      </c>
      <c r="F57" s="20">
        <v>1.29309725178295E-2</v>
      </c>
      <c r="G57" s="20">
        <v>2.7234960145146336E-3</v>
      </c>
      <c r="H57" s="20">
        <v>0</v>
      </c>
      <c r="I57" s="20">
        <v>3.3345454274993767E-2</v>
      </c>
      <c r="J57" s="20">
        <v>3.2607538201093298E-4</v>
      </c>
      <c r="K57" s="20">
        <v>7.617972044861146E-2</v>
      </c>
      <c r="L57" s="20">
        <v>0</v>
      </c>
    </row>
    <row r="58" spans="1:12">
      <c r="A58" s="2" t="s">
        <v>297</v>
      </c>
      <c r="B58" s="3" t="s">
        <v>298</v>
      </c>
      <c r="D58" s="20">
        <v>0.93250779026025554</v>
      </c>
      <c r="E58" s="20">
        <v>5.9560879099895631E-2</v>
      </c>
      <c r="F58" s="20">
        <v>9.8884149725650305E-5</v>
      </c>
      <c r="G58" s="20">
        <v>3.1118756826905585E-5</v>
      </c>
      <c r="H58" s="20">
        <v>0</v>
      </c>
      <c r="I58" s="20">
        <v>5.9430876193343071E-2</v>
      </c>
      <c r="J58" s="20">
        <v>7.5057493774846645E-6</v>
      </c>
      <c r="K58" s="20">
        <v>7.9238248904714027E-3</v>
      </c>
      <c r="L58" s="20">
        <v>0</v>
      </c>
    </row>
    <row r="59" spans="1:12">
      <c r="A59" s="2" t="s">
        <v>401</v>
      </c>
      <c r="B59" s="3" t="s">
        <v>402</v>
      </c>
      <c r="D59" s="20">
        <v>0.95404090173785427</v>
      </c>
      <c r="E59" s="20">
        <v>1.8120369123228865E-2</v>
      </c>
      <c r="F59" s="20">
        <v>4.5398469207197879E-3</v>
      </c>
      <c r="G59" s="20">
        <v>9.6147227286642021E-4</v>
      </c>
      <c r="H59" s="20">
        <v>0</v>
      </c>
      <c r="I59" s="20">
        <v>1.2619049929642658E-2</v>
      </c>
      <c r="J59" s="20">
        <v>1.1514376526262176E-4</v>
      </c>
      <c r="K59" s="20">
        <v>2.7723585373654512E-2</v>
      </c>
      <c r="L59" s="20">
        <v>0</v>
      </c>
    </row>
    <row r="60" spans="1:12">
      <c r="A60" s="2" t="s">
        <v>299</v>
      </c>
      <c r="B60" s="3" t="s">
        <v>300</v>
      </c>
      <c r="D60" s="20">
        <v>0.99881889309902339</v>
      </c>
      <c r="E60" s="20">
        <v>5.3654325104516881E-4</v>
      </c>
      <c r="F60" s="20">
        <v>7.0886080487471125E-5</v>
      </c>
      <c r="G60" s="20">
        <v>1.5953519918160111E-5</v>
      </c>
      <c r="H60" s="20">
        <v>0</v>
      </c>
      <c r="I60" s="20">
        <v>4.4970365063953761E-4</v>
      </c>
      <c r="J60" s="20">
        <v>1.9215849790522062E-6</v>
      </c>
      <c r="K60" s="20">
        <v>6.426420649522039E-4</v>
      </c>
      <c r="L60" s="20">
        <v>0</v>
      </c>
    </row>
    <row r="61" spans="1:12">
      <c r="A61" s="2" t="s">
        <v>403</v>
      </c>
      <c r="B61" s="3" t="s">
        <v>404</v>
      </c>
      <c r="D61" s="20">
        <v>6.7877747699980301E-44</v>
      </c>
      <c r="E61" s="20">
        <v>0.49028227436685345</v>
      </c>
      <c r="F61" s="20">
        <v>4.685993028418451E-2</v>
      </c>
      <c r="G61" s="20">
        <v>1.0841695200334381E-2</v>
      </c>
      <c r="H61" s="20">
        <v>0</v>
      </c>
      <c r="I61" s="20">
        <v>0.43258064888233455</v>
      </c>
      <c r="J61" s="20">
        <v>1.3127127398476447E-3</v>
      </c>
      <c r="K61" s="20">
        <v>0.50840501289329898</v>
      </c>
      <c r="L61" s="20">
        <v>0</v>
      </c>
    </row>
    <row r="62" spans="1:12">
      <c r="A62" s="2" t="s">
        <v>405</v>
      </c>
      <c r="B62" s="3" t="s">
        <v>406</v>
      </c>
      <c r="D62" s="20">
        <v>5.0580209983254401E-7</v>
      </c>
      <c r="E62" s="20">
        <v>0.42907753858403441</v>
      </c>
      <c r="F62" s="20">
        <v>0.26372715080754283</v>
      </c>
      <c r="G62" s="20">
        <v>0.14701119175823144</v>
      </c>
      <c r="H62" s="20">
        <v>0</v>
      </c>
      <c r="I62" s="20">
        <v>1.8339196018260121E-2</v>
      </c>
      <c r="J62" s="20">
        <v>1.7746338783231629E-2</v>
      </c>
      <c r="K62" s="20">
        <v>0.55317561683063421</v>
      </c>
      <c r="L62" s="20">
        <v>0</v>
      </c>
    </row>
    <row r="63" spans="1:12">
      <c r="A63" s="2" t="s">
        <v>407</v>
      </c>
      <c r="B63" s="3" t="s">
        <v>408</v>
      </c>
      <c r="D63" s="20">
        <v>1.5485031484664045E-4</v>
      </c>
      <c r="E63" s="20">
        <v>0.5455042218613162</v>
      </c>
      <c r="F63" s="20">
        <v>0.10353479015528347</v>
      </c>
      <c r="G63" s="20">
        <v>0.43982697646714858</v>
      </c>
      <c r="H63" s="20">
        <v>0</v>
      </c>
      <c r="I63" s="20">
        <v>2.1424552388841123E-3</v>
      </c>
      <c r="J63" s="20">
        <v>5.3663853905304974E-2</v>
      </c>
      <c r="K63" s="20">
        <v>0.40067707391853236</v>
      </c>
      <c r="L63" s="20">
        <v>0</v>
      </c>
    </row>
    <row r="64" spans="1:12">
      <c r="A64" s="2" t="s">
        <v>409</v>
      </c>
      <c r="B64" s="3" t="s">
        <v>410</v>
      </c>
      <c r="D64" s="20">
        <v>2.1690536804209113E-5</v>
      </c>
      <c r="E64" s="20">
        <v>0.62583206705380667</v>
      </c>
      <c r="F64" s="20">
        <v>6.3116733571064856E-2</v>
      </c>
      <c r="G64" s="20">
        <v>0.56187546755142903</v>
      </c>
      <c r="H64" s="20">
        <v>0</v>
      </c>
      <c r="I64" s="20">
        <v>8.3986593131276266E-4</v>
      </c>
      <c r="J64" s="20">
        <v>6.8828037011139057E-2</v>
      </c>
      <c r="K64" s="20">
        <v>0.30531820539824983</v>
      </c>
      <c r="L64" s="20">
        <v>0</v>
      </c>
    </row>
    <row r="65" spans="1:12">
      <c r="A65" s="2" t="s">
        <v>301</v>
      </c>
      <c r="B65" s="3" t="s">
        <v>302</v>
      </c>
      <c r="D65" s="20">
        <v>3.0073743273601262E-6</v>
      </c>
      <c r="E65" s="20">
        <v>0.71163576280283569</v>
      </c>
      <c r="F65" s="20">
        <v>3.2859556906817695E-2</v>
      </c>
      <c r="G65" s="20">
        <v>0.67851157097516268</v>
      </c>
      <c r="H65" s="20">
        <v>0</v>
      </c>
      <c r="I65" s="20">
        <v>2.646349208552656E-4</v>
      </c>
      <c r="J65" s="20">
        <v>8.3495229398963061E-2</v>
      </c>
      <c r="K65" s="20">
        <v>0.20486600042387393</v>
      </c>
      <c r="L65" s="20">
        <v>0</v>
      </c>
    </row>
    <row r="66" spans="1:12">
      <c r="A66" s="2" t="s">
        <v>303</v>
      </c>
      <c r="B66" s="3" t="s">
        <v>304</v>
      </c>
      <c r="D66" s="20">
        <v>2.7300215866558535E-12</v>
      </c>
      <c r="E66" s="20">
        <v>0.66459611302357646</v>
      </c>
      <c r="F66" s="20">
        <v>4.814379220987082E-2</v>
      </c>
      <c r="G66" s="20">
        <v>0.61593637303672788</v>
      </c>
      <c r="H66" s="20">
        <v>0</v>
      </c>
      <c r="I66" s="20">
        <v>5.1594777697771339E-4</v>
      </c>
      <c r="J66" s="20">
        <v>7.5598302513958104E-2</v>
      </c>
      <c r="K66" s="20">
        <v>0.25980558445973534</v>
      </c>
      <c r="L66" s="20">
        <v>0</v>
      </c>
    </row>
    <row r="67" spans="1:12">
      <c r="A67" s="2" t="s">
        <v>411</v>
      </c>
      <c r="B67" s="3" t="s">
        <v>412</v>
      </c>
      <c r="D67" s="20">
        <v>4.7853323422682274E-3</v>
      </c>
      <c r="E67" s="20">
        <v>0.84047386804948765</v>
      </c>
      <c r="F67" s="20">
        <v>2.6024735236026488E-3</v>
      </c>
      <c r="G67" s="20">
        <v>7.8213527835005394E-4</v>
      </c>
      <c r="H67" s="20">
        <v>0</v>
      </c>
      <c r="I67" s="20">
        <v>0.83708925924753497</v>
      </c>
      <c r="J67" s="20">
        <v>1.461334338475895E-4</v>
      </c>
      <c r="K67" s="20">
        <v>0.15459466617439649</v>
      </c>
      <c r="L67" s="20">
        <v>0</v>
      </c>
    </row>
    <row r="68" spans="1:12">
      <c r="A68" s="2" t="s">
        <v>413</v>
      </c>
      <c r="B68" s="3" t="s">
        <v>414</v>
      </c>
      <c r="D68" s="20">
        <v>1.050279933715206E-2</v>
      </c>
      <c r="E68" s="20">
        <v>0.78690061614889106</v>
      </c>
      <c r="F68" s="20">
        <v>4.6513528155791139E-3</v>
      </c>
      <c r="G68" s="20">
        <v>1.3325233818347402E-3</v>
      </c>
      <c r="H68" s="20">
        <v>0</v>
      </c>
      <c r="I68" s="20">
        <v>0.78091673995147726</v>
      </c>
      <c r="J68" s="20">
        <v>2.0732152458691875E-4</v>
      </c>
      <c r="K68" s="20">
        <v>0.20238926298936991</v>
      </c>
      <c r="L68" s="20">
        <v>0</v>
      </c>
    </row>
    <row r="69" spans="1:12">
      <c r="A69" s="2" t="s">
        <v>415</v>
      </c>
      <c r="B69" s="3" t="s">
        <v>416</v>
      </c>
      <c r="D69" s="20">
        <v>6.2823619152099046E-3</v>
      </c>
      <c r="E69" s="20">
        <v>0.45282969999324352</v>
      </c>
      <c r="F69" s="20">
        <v>0.18175951976902055</v>
      </c>
      <c r="G69" s="20">
        <v>0.26393240912979699</v>
      </c>
      <c r="H69" s="20">
        <v>0</v>
      </c>
      <c r="I69" s="20">
        <v>7.1377710944260037E-3</v>
      </c>
      <c r="J69" s="20">
        <v>3.2019690587395767E-2</v>
      </c>
      <c r="K69" s="20">
        <v>0.50886824750415061</v>
      </c>
      <c r="L69" s="20">
        <v>0</v>
      </c>
    </row>
    <row r="70" spans="1:12">
      <c r="A70" s="2" t="s">
        <v>417</v>
      </c>
      <c r="B70" s="3" t="s">
        <v>418</v>
      </c>
      <c r="D70" s="20">
        <v>1.1740461562236676E-2</v>
      </c>
      <c r="E70" s="20">
        <v>0.39259046711757267</v>
      </c>
      <c r="F70" s="20">
        <v>0.2518601083792632</v>
      </c>
      <c r="G70" s="20">
        <v>4.6031480292866737E-2</v>
      </c>
      <c r="H70" s="20">
        <v>0</v>
      </c>
      <c r="I70" s="20">
        <v>9.4698878445442738E-2</v>
      </c>
      <c r="J70" s="20">
        <v>5.5120590026497664E-3</v>
      </c>
      <c r="K70" s="20">
        <v>0.59015701231754103</v>
      </c>
      <c r="L70" s="20">
        <v>0</v>
      </c>
    </row>
    <row r="71" spans="1:12">
      <c r="A71" s="2" t="s">
        <v>419</v>
      </c>
      <c r="B71" s="3" t="s">
        <v>420</v>
      </c>
      <c r="D71" s="20">
        <v>2.5653954553774994E-2</v>
      </c>
      <c r="E71" s="20">
        <v>0.78288793295522341</v>
      </c>
      <c r="F71" s="20">
        <v>4.190140021038972E-3</v>
      </c>
      <c r="G71" s="20">
        <v>1.2092722621818005E-3</v>
      </c>
      <c r="H71" s="20">
        <v>0</v>
      </c>
      <c r="I71" s="20">
        <v>0.77748852067200258</v>
      </c>
      <c r="J71" s="20">
        <v>1.9257649291090176E-4</v>
      </c>
      <c r="K71" s="20">
        <v>0.19126553599809079</v>
      </c>
      <c r="L71" s="20">
        <v>0</v>
      </c>
    </row>
    <row r="72" spans="1:12">
      <c r="A72" s="2" t="s">
        <v>421</v>
      </c>
      <c r="B72" s="3" t="s">
        <v>422</v>
      </c>
      <c r="D72" s="20">
        <v>4.5730790281314951E-2</v>
      </c>
      <c r="E72" s="20">
        <v>0.37075404641032761</v>
      </c>
      <c r="F72" s="20">
        <v>0.22702982869480187</v>
      </c>
      <c r="G72" s="20">
        <v>4.203184721787892E-2</v>
      </c>
      <c r="H72" s="20">
        <v>0</v>
      </c>
      <c r="I72" s="20">
        <v>0.1016923704976468</v>
      </c>
      <c r="J72" s="20">
        <v>5.0314885121855203E-3</v>
      </c>
      <c r="K72" s="20">
        <v>0.57848367479617191</v>
      </c>
      <c r="L72" s="20">
        <v>0</v>
      </c>
    </row>
    <row r="73" spans="1:12">
      <c r="A73" s="2" t="s">
        <v>423</v>
      </c>
      <c r="B73" s="3" t="s">
        <v>424</v>
      </c>
      <c r="D73" s="20">
        <v>2.0198231204374334E-2</v>
      </c>
      <c r="E73" s="20">
        <v>0.46815359103348431</v>
      </c>
      <c r="F73" s="20">
        <v>4.9932987879066699E-2</v>
      </c>
      <c r="G73" s="20">
        <v>1.1446774027241537E-2</v>
      </c>
      <c r="H73" s="20">
        <v>0</v>
      </c>
      <c r="I73" s="20">
        <v>0.40677382912717608</v>
      </c>
      <c r="J73" s="20">
        <v>1.3832251541999502E-3</v>
      </c>
      <c r="K73" s="20">
        <v>0.51026495260794136</v>
      </c>
      <c r="L73" s="20">
        <v>0</v>
      </c>
    </row>
    <row r="74" spans="1:12">
      <c r="A74" s="2" t="s">
        <v>425</v>
      </c>
      <c r="B74" s="3" t="s">
        <v>426</v>
      </c>
      <c r="D74" s="20">
        <v>1.7790870501665459E-2</v>
      </c>
      <c r="E74" s="20">
        <v>0.38759382778602458</v>
      </c>
      <c r="F74" s="20">
        <v>0.24551125899125076</v>
      </c>
      <c r="G74" s="20">
        <v>4.5036742315930779E-2</v>
      </c>
      <c r="H74" s="20">
        <v>0</v>
      </c>
      <c r="I74" s="20">
        <v>9.7045826478843036E-2</v>
      </c>
      <c r="J74" s="20">
        <v>5.3924260451599796E-3</v>
      </c>
      <c r="K74" s="20">
        <v>0.58922287566714993</v>
      </c>
      <c r="L74" s="20">
        <v>0</v>
      </c>
    </row>
    <row r="75" spans="1:12">
      <c r="A75" s="2" t="s">
        <v>427</v>
      </c>
      <c r="B75" s="3" t="s">
        <v>428</v>
      </c>
      <c r="D75" s="20">
        <v>5.2756785188575736E-9</v>
      </c>
      <c r="E75" s="20">
        <v>0.99525555763477891</v>
      </c>
      <c r="F75" s="20">
        <v>0.95335040520940051</v>
      </c>
      <c r="G75" s="20">
        <v>3.678771087400543E-4</v>
      </c>
      <c r="H75" s="20">
        <v>0</v>
      </c>
      <c r="I75" s="20">
        <v>4.1537275316638395E-2</v>
      </c>
      <c r="J75" s="20">
        <v>3.9434686663173636E-3</v>
      </c>
      <c r="K75" s="20">
        <v>8.0096842322526548E-4</v>
      </c>
      <c r="L75" s="20">
        <v>0</v>
      </c>
    </row>
    <row r="76" spans="1:12">
      <c r="A76" s="2" t="s">
        <v>429</v>
      </c>
      <c r="B76" s="3" t="s">
        <v>430</v>
      </c>
      <c r="D76" s="20">
        <v>1.3251905356681563E-10</v>
      </c>
      <c r="E76" s="20">
        <v>0.99525556275353677</v>
      </c>
      <c r="F76" s="20">
        <v>0.95335041011263344</v>
      </c>
      <c r="G76" s="20">
        <v>3.67877110632105E-4</v>
      </c>
      <c r="H76" s="20">
        <v>0</v>
      </c>
      <c r="I76" s="20">
        <v>4.1537275530271228E-2</v>
      </c>
      <c r="J76" s="20">
        <v>3.9434686865992517E-3</v>
      </c>
      <c r="K76" s="20">
        <v>8.0096842734477382E-4</v>
      </c>
      <c r="L76" s="20">
        <v>0</v>
      </c>
    </row>
    <row r="77" spans="1:12">
      <c r="A77" s="2" t="s">
        <v>431</v>
      </c>
      <c r="B77" s="3" t="s">
        <v>432</v>
      </c>
      <c r="D77" s="20">
        <v>5.2598420237343783E-2</v>
      </c>
      <c r="E77" s="20">
        <v>0.35976872853210129</v>
      </c>
      <c r="F77" s="20">
        <v>0.11190433621449709</v>
      </c>
      <c r="G77" s="20">
        <v>2.3138887300770291E-2</v>
      </c>
      <c r="H77" s="20">
        <v>0</v>
      </c>
      <c r="I77" s="20">
        <v>0.22472550501683389</v>
      </c>
      <c r="J77" s="20">
        <v>2.7685667711171004E-3</v>
      </c>
      <c r="K77" s="20">
        <v>0.58486428445943783</v>
      </c>
      <c r="L77" s="20">
        <v>0</v>
      </c>
    </row>
    <row r="78" spans="1:12">
      <c r="A78" s="2" t="s">
        <v>433</v>
      </c>
      <c r="B78" s="3" t="s">
        <v>434</v>
      </c>
      <c r="D78" s="20">
        <v>3.8838163085871645E-2</v>
      </c>
      <c r="E78" s="20">
        <v>0.63125752022367443</v>
      </c>
      <c r="F78" s="20">
        <v>1.4802425908155075E-2</v>
      </c>
      <c r="G78" s="20">
        <v>3.8249736821169343E-3</v>
      </c>
      <c r="H78" s="20">
        <v>0</v>
      </c>
      <c r="I78" s="20">
        <v>0.61263012063340239</v>
      </c>
      <c r="J78" s="20">
        <v>4.9105300300272467E-4</v>
      </c>
      <c r="K78" s="20">
        <v>0.32941326368745111</v>
      </c>
      <c r="L78" s="20">
        <v>0</v>
      </c>
    </row>
    <row r="79" spans="1:12">
      <c r="A79" s="2" t="s">
        <v>435</v>
      </c>
      <c r="B79" s="3" t="s">
        <v>436</v>
      </c>
      <c r="D79" s="20">
        <v>1.057209101091992E-2</v>
      </c>
      <c r="E79" s="20">
        <v>0.54072427922267907</v>
      </c>
      <c r="F79" s="20">
        <v>3.2094832097374827E-2</v>
      </c>
      <c r="G79" s="20">
        <v>7.7184600992721451E-3</v>
      </c>
      <c r="H79" s="20">
        <v>0</v>
      </c>
      <c r="I79" s="20">
        <v>0.5009109870260321</v>
      </c>
      <c r="J79" s="20">
        <v>9.4569171126276269E-4</v>
      </c>
      <c r="K79" s="20">
        <v>0.44775793805513836</v>
      </c>
      <c r="L79" s="20">
        <v>0</v>
      </c>
    </row>
    <row r="80" spans="1:12">
      <c r="A80" s="2" t="s">
        <v>437</v>
      </c>
      <c r="B80" s="3" t="s">
        <v>438</v>
      </c>
      <c r="D80" s="20">
        <v>1.9045179697267498E-9</v>
      </c>
      <c r="E80" s="20">
        <v>0.99129499117947706</v>
      </c>
      <c r="F80" s="20">
        <v>0.96218660563682024</v>
      </c>
      <c r="G80" s="20">
        <v>7.131970136177218E-4</v>
      </c>
      <c r="H80" s="20">
        <v>0</v>
      </c>
      <c r="I80" s="20">
        <v>2.8395188529039061E-2</v>
      </c>
      <c r="J80" s="20">
        <v>7.7207190154621151E-3</v>
      </c>
      <c r="K80" s="20">
        <v>9.8428790054315646E-4</v>
      </c>
      <c r="L80" s="20">
        <v>0</v>
      </c>
    </row>
    <row r="81" spans="1:12">
      <c r="A81" s="2" t="s">
        <v>440</v>
      </c>
      <c r="B81" s="3" t="s">
        <v>441</v>
      </c>
      <c r="D81" s="20">
        <v>1.8446284875715614E-13</v>
      </c>
      <c r="E81" s="20">
        <v>0.97101324794245858</v>
      </c>
      <c r="F81" s="20">
        <v>9.1071633488463153E-5</v>
      </c>
      <c r="G81" s="20">
        <v>3.5422456990562492E-5</v>
      </c>
      <c r="H81" s="20">
        <v>0</v>
      </c>
      <c r="I81" s="20">
        <v>0.97088675385197953</v>
      </c>
      <c r="J81" s="20">
        <v>6.7216618456410123E-5</v>
      </c>
      <c r="K81" s="20">
        <v>2.8919535438900364E-2</v>
      </c>
      <c r="L81" s="20">
        <v>0</v>
      </c>
    </row>
    <row r="82" spans="1:12">
      <c r="A82" s="2" t="s">
        <v>442</v>
      </c>
      <c r="B82" s="3" t="s">
        <v>443</v>
      </c>
      <c r="D82" s="20">
        <v>8.7807378390395197E-5</v>
      </c>
      <c r="E82" s="20">
        <v>0.77350990074434678</v>
      </c>
      <c r="F82" s="20">
        <v>5.8587534973904868E-3</v>
      </c>
      <c r="G82" s="20">
        <v>1.6477858956183426E-3</v>
      </c>
      <c r="H82" s="20">
        <v>0</v>
      </c>
      <c r="I82" s="20">
        <v>0.76600336135133795</v>
      </c>
      <c r="J82" s="20">
        <v>2.4353323205932587E-4</v>
      </c>
      <c r="K82" s="20">
        <v>0.22615875864520338</v>
      </c>
      <c r="L82" s="20">
        <v>0</v>
      </c>
    </row>
    <row r="83" spans="1:12">
      <c r="A83" s="2" t="s">
        <v>444</v>
      </c>
      <c r="B83" s="3" t="s">
        <v>445</v>
      </c>
      <c r="D83" s="20">
        <v>1.0650175579244253E-3</v>
      </c>
      <c r="E83" s="20">
        <v>0.39125403059681607</v>
      </c>
      <c r="F83" s="20">
        <v>0.10149180643814466</v>
      </c>
      <c r="G83" s="20">
        <v>2.1415417124078164E-2</v>
      </c>
      <c r="H83" s="20">
        <v>0</v>
      </c>
      <c r="I83" s="20">
        <v>0.26834680703459324</v>
      </c>
      <c r="J83" s="20">
        <v>2.5642104689246967E-3</v>
      </c>
      <c r="K83" s="20">
        <v>0.60511674137633475</v>
      </c>
      <c r="L83" s="20">
        <v>0</v>
      </c>
    </row>
    <row r="84" spans="1:12">
      <c r="A84" s="2" t="s">
        <v>446</v>
      </c>
      <c r="B84" s="3" t="s">
        <v>447</v>
      </c>
      <c r="D84" s="20">
        <v>5.6785896682226213E-15</v>
      </c>
      <c r="E84" s="20">
        <v>0.93770353606648127</v>
      </c>
      <c r="F84" s="20">
        <v>4.0918028719263294E-4</v>
      </c>
      <c r="G84" s="20">
        <v>1.4210529424015146E-4</v>
      </c>
      <c r="H84" s="20">
        <v>0</v>
      </c>
      <c r="I84" s="20">
        <v>0.93715225048504847</v>
      </c>
      <c r="J84" s="20">
        <v>7.7483701770940326E-5</v>
      </c>
      <c r="K84" s="20">
        <v>6.2218980231742146E-2</v>
      </c>
      <c r="L84" s="20">
        <v>0</v>
      </c>
    </row>
    <row r="85" spans="1:12">
      <c r="A85" s="2" t="s">
        <v>448</v>
      </c>
      <c r="B85" s="3" t="s">
        <v>449</v>
      </c>
      <c r="D85" s="20">
        <v>3.9748966081151007E-8</v>
      </c>
      <c r="E85" s="20">
        <v>0.98788431359325457</v>
      </c>
      <c r="F85" s="20">
        <v>1.6710908124881315E-5</v>
      </c>
      <c r="G85" s="20">
        <v>7.3738722084686818E-6</v>
      </c>
      <c r="H85" s="20">
        <v>0</v>
      </c>
      <c r="I85" s="20">
        <v>0.98786022881292124</v>
      </c>
      <c r="J85" s="20">
        <v>6.5058688185384546E-5</v>
      </c>
      <c r="K85" s="20">
        <v>1.2050587969594051E-2</v>
      </c>
      <c r="L85" s="20">
        <v>0</v>
      </c>
    </row>
    <row r="86" spans="1:12">
      <c r="A86" s="2" t="s">
        <v>450</v>
      </c>
      <c r="B86" s="3" t="s">
        <v>451</v>
      </c>
      <c r="D86" s="20">
        <v>1.4283283830717887E-8</v>
      </c>
      <c r="E86" s="20">
        <v>0.93920610675342486</v>
      </c>
      <c r="F86" s="20">
        <v>3.8985425737789598E-4</v>
      </c>
      <c r="G86" s="20">
        <v>1.3589323478010727E-4</v>
      </c>
      <c r="H86" s="20">
        <v>0</v>
      </c>
      <c r="I86" s="20">
        <v>0.93868035926126681</v>
      </c>
      <c r="J86" s="20">
        <v>7.6856304866630365E-5</v>
      </c>
      <c r="K86" s="20">
        <v>6.0717022658424616E-2</v>
      </c>
      <c r="L86" s="20">
        <v>0</v>
      </c>
    </row>
    <row r="87" spans="1:12">
      <c r="A87" s="2" t="s">
        <v>452</v>
      </c>
      <c r="B87" s="3" t="s">
        <v>453</v>
      </c>
      <c r="D87" s="20">
        <v>2.7614448333877622E-7</v>
      </c>
      <c r="E87" s="20">
        <v>0.5179782909208247</v>
      </c>
      <c r="F87" s="20">
        <v>0.12190193136042921</v>
      </c>
      <c r="G87" s="20">
        <v>0.39310280414772758</v>
      </c>
      <c r="H87" s="20">
        <v>0</v>
      </c>
      <c r="I87" s="20">
        <v>2.973555412667939E-3</v>
      </c>
      <c r="J87" s="20">
        <v>4.7892458420447558E-2</v>
      </c>
      <c r="K87" s="20">
        <v>0.43412897451424437</v>
      </c>
      <c r="L87" s="20">
        <v>0</v>
      </c>
    </row>
    <row r="88" spans="1:12">
      <c r="A88" s="2" t="s">
        <v>454</v>
      </c>
      <c r="B88" s="3" t="s">
        <v>455</v>
      </c>
      <c r="D88" s="20">
        <v>4.5064602050493404E-5</v>
      </c>
      <c r="E88" s="20">
        <v>0.69481695316689307</v>
      </c>
      <c r="F88" s="20">
        <v>1.158003188526939E-2</v>
      </c>
      <c r="G88" s="20">
        <v>3.0704731964459743E-3</v>
      </c>
      <c r="H88" s="20">
        <v>0</v>
      </c>
      <c r="I88" s="20">
        <v>0.68016644808517768</v>
      </c>
      <c r="J88" s="20">
        <v>4.0606704888287174E-4</v>
      </c>
      <c r="K88" s="20">
        <v>0.30473191518217352</v>
      </c>
      <c r="L88" s="20">
        <v>0</v>
      </c>
    </row>
    <row r="89" spans="1:12">
      <c r="A89" s="2" t="s">
        <v>456</v>
      </c>
      <c r="B89" s="3" t="s">
        <v>457</v>
      </c>
      <c r="D89" s="20">
        <v>2.920727978058539E-17</v>
      </c>
      <c r="E89" s="20">
        <v>0.75986404076331404</v>
      </c>
      <c r="F89" s="20">
        <v>6.6767532384844931E-3</v>
      </c>
      <c r="G89" s="20">
        <v>1.8572094341772977E-3</v>
      </c>
      <c r="H89" s="20">
        <v>0</v>
      </c>
      <c r="I89" s="20">
        <v>0.75133007809065222</v>
      </c>
      <c r="J89" s="20">
        <v>2.6729776608635104E-4</v>
      </c>
      <c r="K89" s="20">
        <v>0.23986866147059963</v>
      </c>
      <c r="L89" s="20">
        <v>0</v>
      </c>
    </row>
    <row r="90" spans="1:12">
      <c r="A90" s="2" t="s">
        <v>458</v>
      </c>
      <c r="B90" s="3" t="s">
        <v>459</v>
      </c>
      <c r="D90" s="20">
        <v>4.2635284036458664E-29</v>
      </c>
      <c r="E90" s="20">
        <v>0.88113279418419865</v>
      </c>
      <c r="F90" s="20">
        <v>1.4998346251458424E-3</v>
      </c>
      <c r="G90" s="20">
        <v>4.7112801620827628E-4</v>
      </c>
      <c r="H90" s="20">
        <v>0</v>
      </c>
      <c r="I90" s="20">
        <v>0.87916183154284455</v>
      </c>
      <c r="J90" s="20">
        <v>1.1229949212609735E-4</v>
      </c>
      <c r="K90" s="20">
        <v>0.11875490632367522</v>
      </c>
      <c r="L90" s="20">
        <v>0</v>
      </c>
    </row>
    <row r="91" spans="1:12">
      <c r="A91" s="2" t="s">
        <v>460</v>
      </c>
      <c r="B91" s="3" t="s">
        <v>461</v>
      </c>
      <c r="D91" s="20">
        <v>2.3780700305600462E-7</v>
      </c>
      <c r="E91" s="20">
        <v>0.42948240984390029</v>
      </c>
      <c r="F91" s="20">
        <v>0.25141943997044452</v>
      </c>
      <c r="G91" s="20">
        <v>0.16202961872213223</v>
      </c>
      <c r="H91" s="20">
        <v>0</v>
      </c>
      <c r="I91" s="20">
        <v>1.6033351151323511E-2</v>
      </c>
      <c r="J91" s="20">
        <v>1.9573881589931331E-2</v>
      </c>
      <c r="K91" s="20">
        <v>0.5509434707591655</v>
      </c>
      <c r="L91" s="20">
        <v>0</v>
      </c>
    </row>
    <row r="92" spans="1:12">
      <c r="A92" s="2" t="s">
        <v>462</v>
      </c>
      <c r="B92" s="3" t="s">
        <v>463</v>
      </c>
      <c r="D92" s="20">
        <v>8.1804862820343557E-9</v>
      </c>
      <c r="E92" s="20">
        <v>0.42139715358064733</v>
      </c>
      <c r="F92" s="20">
        <v>7.7028836071879395E-2</v>
      </c>
      <c r="G92" s="20">
        <v>1.6832510380477426E-2</v>
      </c>
      <c r="H92" s="20">
        <v>0</v>
      </c>
      <c r="I92" s="20">
        <v>0.3275358071282905</v>
      </c>
      <c r="J92" s="20">
        <v>2.020252411928897E-3</v>
      </c>
      <c r="K92" s="20">
        <v>0.57658258582693744</v>
      </c>
      <c r="L92" s="20">
        <v>0</v>
      </c>
    </row>
    <row r="93" spans="1:12">
      <c r="A93" s="2" t="s">
        <v>464</v>
      </c>
      <c r="B93" s="3" t="s">
        <v>465</v>
      </c>
      <c r="D93" s="20">
        <v>6.3971972273595828E-4</v>
      </c>
      <c r="E93" s="20">
        <v>0.37676945823553976</v>
      </c>
      <c r="F93" s="20">
        <v>0.21002159637667386</v>
      </c>
      <c r="G93" s="20">
        <v>3.9752048225462723E-2</v>
      </c>
      <c r="H93" s="20">
        <v>0</v>
      </c>
      <c r="I93" s="20">
        <v>0.12699581363340318</v>
      </c>
      <c r="J93" s="20">
        <v>4.7563427758297973E-3</v>
      </c>
      <c r="K93" s="20">
        <v>0.61783447926589441</v>
      </c>
      <c r="L93" s="20">
        <v>0</v>
      </c>
    </row>
    <row r="94" spans="1:12">
      <c r="A94" s="2" t="s">
        <v>466</v>
      </c>
      <c r="B94" s="3" t="s">
        <v>467</v>
      </c>
      <c r="D94" s="20">
        <v>2.0187723380769942E-18</v>
      </c>
      <c r="E94" s="20">
        <v>0.9997504061167658</v>
      </c>
      <c r="F94" s="20">
        <v>1.156201767902831E-2</v>
      </c>
      <c r="G94" s="20">
        <v>1.5194000054708357E-6</v>
      </c>
      <c r="H94" s="20">
        <v>0</v>
      </c>
      <c r="I94" s="20">
        <v>0.98818686903773201</v>
      </c>
      <c r="J94" s="20">
        <v>7.4050382797637729E-5</v>
      </c>
      <c r="K94" s="20">
        <v>1.7554350043654597E-4</v>
      </c>
      <c r="L94" s="20">
        <v>0</v>
      </c>
    </row>
    <row r="95" spans="1:12">
      <c r="A95" s="2" t="s">
        <v>468</v>
      </c>
      <c r="B95" s="3" t="s">
        <v>469</v>
      </c>
      <c r="D95" s="20">
        <v>9.513108911672424E-18</v>
      </c>
      <c r="E95" s="20">
        <v>0.44868156333202253</v>
      </c>
      <c r="F95" s="20">
        <v>0.32983495852745071</v>
      </c>
      <c r="G95" s="20">
        <v>8.1600390878434487E-2</v>
      </c>
      <c r="H95" s="20">
        <v>0</v>
      </c>
      <c r="I95" s="20">
        <v>3.7246213926137334E-2</v>
      </c>
      <c r="J95" s="20">
        <v>9.81044593861604E-3</v>
      </c>
      <c r="K95" s="20">
        <v>0.5415079907293614</v>
      </c>
      <c r="L95" s="20">
        <v>0</v>
      </c>
    </row>
    <row r="96" spans="1:12">
      <c r="A96" s="2" t="s">
        <v>470</v>
      </c>
      <c r="B96" s="165">
        <v>354656</v>
      </c>
      <c r="D96" s="20">
        <v>3.6777661209086872E-10</v>
      </c>
      <c r="E96" s="20">
        <v>0.96989487604818159</v>
      </c>
      <c r="F96" s="20">
        <v>9.8052421330548374E-5</v>
      </c>
      <c r="G96" s="20">
        <v>3.7927470399742316E-5</v>
      </c>
      <c r="H96" s="20">
        <v>0</v>
      </c>
      <c r="I96" s="20">
        <v>0.96975889615645128</v>
      </c>
      <c r="J96" s="20">
        <v>6.7435124123510726E-5</v>
      </c>
      <c r="K96" s="20">
        <v>3.0037688459918267E-2</v>
      </c>
      <c r="L96" s="20">
        <v>0</v>
      </c>
    </row>
    <row r="97" spans="1:12">
      <c r="A97" s="2" t="s">
        <v>472</v>
      </c>
      <c r="B97" s="3" t="s">
        <v>473</v>
      </c>
      <c r="D97" s="20">
        <v>5.6746627729915136E-10</v>
      </c>
      <c r="E97" s="20">
        <v>0.93693931900837357</v>
      </c>
      <c r="F97" s="20">
        <v>4.1919324220883453E-4</v>
      </c>
      <c r="G97" s="20">
        <v>1.4531479319287248E-4</v>
      </c>
      <c r="H97" s="20">
        <v>0</v>
      </c>
      <c r="I97" s="20">
        <v>0.93637481097297182</v>
      </c>
      <c r="J97" s="20">
        <v>7.7808675279455886E-5</v>
      </c>
      <c r="K97" s="20">
        <v>6.2982871748880773E-2</v>
      </c>
      <c r="L97" s="20">
        <v>0</v>
      </c>
    </row>
    <row r="98" spans="1:12">
      <c r="A98" s="2" t="s">
        <v>474</v>
      </c>
      <c r="B98" s="3" t="s">
        <v>475</v>
      </c>
      <c r="D98" s="20">
        <v>1.9190034513139566E-19</v>
      </c>
      <c r="E98" s="20">
        <v>0.42049335917037417</v>
      </c>
      <c r="F98" s="20">
        <v>0.29278577365548808</v>
      </c>
      <c r="G98" s="20">
        <v>5.2052971422191952E-2</v>
      </c>
      <c r="H98" s="20">
        <v>0</v>
      </c>
      <c r="I98" s="20">
        <v>7.5654614092694153E-2</v>
      </c>
      <c r="J98" s="20">
        <v>6.2380380794896523E-3</v>
      </c>
      <c r="K98" s="20">
        <v>0.57326860275013625</v>
      </c>
      <c r="L98" s="20">
        <v>0</v>
      </c>
    </row>
    <row r="99" spans="1:12">
      <c r="A99" s="2" t="s">
        <v>476</v>
      </c>
      <c r="B99" s="3" t="s">
        <v>477</v>
      </c>
      <c r="D99" s="20">
        <v>1.7347942592580934E-7</v>
      </c>
      <c r="E99" s="20">
        <v>0.99159178085790789</v>
      </c>
      <c r="F99" s="20">
        <v>8.2247402512194694E-6</v>
      </c>
      <c r="G99" s="20">
        <v>3.8248794031663068E-6</v>
      </c>
      <c r="H99" s="20">
        <v>0</v>
      </c>
      <c r="I99" s="20">
        <v>0.99157973123825349</v>
      </c>
      <c r="J99" s="20">
        <v>6.4889411865857969E-5</v>
      </c>
      <c r="K99" s="20">
        <v>8.3431562508004386E-3</v>
      </c>
      <c r="L99" s="20">
        <v>0</v>
      </c>
    </row>
    <row r="100" spans="1:12">
      <c r="A100" s="2" t="s">
        <v>478</v>
      </c>
      <c r="B100" s="3" t="s">
        <v>479</v>
      </c>
      <c r="D100" s="20">
        <v>6.672797408359069E-11</v>
      </c>
      <c r="E100" s="20">
        <v>0.5718134778732592</v>
      </c>
      <c r="F100" s="20">
        <v>2.7503132075703148E-2</v>
      </c>
      <c r="G100" s="20">
        <v>6.7247742511935158E-3</v>
      </c>
      <c r="H100" s="20">
        <v>0</v>
      </c>
      <c r="I100" s="20">
        <v>0.53758557154636255</v>
      </c>
      <c r="J100" s="20">
        <v>8.2999602723410836E-4</v>
      </c>
      <c r="K100" s="20">
        <v>0.42735652603277874</v>
      </c>
      <c r="L100" s="20">
        <v>0</v>
      </c>
    </row>
    <row r="101" spans="1:12">
      <c r="A101" s="2" t="s">
        <v>480</v>
      </c>
      <c r="B101" s="3" t="s">
        <v>481</v>
      </c>
      <c r="D101" s="20">
        <v>4.6683883147776042E-11</v>
      </c>
      <c r="E101" s="20">
        <v>0.98596310386968611</v>
      </c>
      <c r="F101" s="20">
        <v>2.2235207579735173E-5</v>
      </c>
      <c r="G101" s="20">
        <v>9.605870856500189E-6</v>
      </c>
      <c r="H101" s="20">
        <v>0</v>
      </c>
      <c r="I101" s="20">
        <v>0.98593126279124987</v>
      </c>
      <c r="J101" s="20">
        <v>6.5192151175015061E-5</v>
      </c>
      <c r="K101" s="20">
        <v>1.3971703932454858E-2</v>
      </c>
      <c r="L101" s="20">
        <v>0</v>
      </c>
    </row>
    <row r="102" spans="1:12">
      <c r="A102" s="2" t="s">
        <v>482</v>
      </c>
      <c r="B102" s="3" t="s">
        <v>483</v>
      </c>
      <c r="D102" s="20">
        <v>2.9335115319578068E-27</v>
      </c>
      <c r="E102" s="20">
        <v>0.99638807012212027</v>
      </c>
      <c r="F102" s="20">
        <v>1.586580143647749E-6</v>
      </c>
      <c r="G102" s="20">
        <v>8.3321594070398161E-7</v>
      </c>
      <c r="H102" s="20">
        <v>0</v>
      </c>
      <c r="I102" s="20">
        <v>0.99638565032603588</v>
      </c>
      <c r="J102" s="20">
        <v>6.4856272397674882E-5</v>
      </c>
      <c r="K102" s="20">
        <v>3.5470736054820382E-3</v>
      </c>
      <c r="L102" s="20">
        <v>0</v>
      </c>
    </row>
    <row r="103" spans="1:12">
      <c r="A103" s="2" t="s">
        <v>484</v>
      </c>
      <c r="B103" s="3" t="s">
        <v>485</v>
      </c>
      <c r="D103" s="20">
        <v>2.3399929082241622E-13</v>
      </c>
      <c r="E103" s="20">
        <v>0.99185724653801277</v>
      </c>
      <c r="F103" s="20">
        <v>7.7283851277376314E-6</v>
      </c>
      <c r="G103" s="20">
        <v>3.6106410171811666E-6</v>
      </c>
      <c r="H103" s="20">
        <v>0</v>
      </c>
      <c r="I103" s="20">
        <v>0.99184590751186785</v>
      </c>
      <c r="J103" s="20">
        <v>6.4881929465161118E-5</v>
      </c>
      <c r="K103" s="20">
        <v>8.0778715322879849E-3</v>
      </c>
      <c r="L103" s="20">
        <v>0</v>
      </c>
    </row>
    <row r="104" spans="1:12">
      <c r="A104" s="2" t="s">
        <v>486</v>
      </c>
      <c r="B104" s="3" t="s">
        <v>487</v>
      </c>
      <c r="D104" s="20">
        <v>2.8875891455580357E-9</v>
      </c>
      <c r="E104" s="20">
        <v>0.95449079534689929</v>
      </c>
      <c r="F104" s="20">
        <v>2.2019609635940223E-4</v>
      </c>
      <c r="G104" s="20">
        <v>8.0150303442069184E-5</v>
      </c>
      <c r="H104" s="20">
        <v>0</v>
      </c>
      <c r="I104" s="20">
        <v>0.95419044894709781</v>
      </c>
      <c r="J104" s="20">
        <v>7.1348842899448381E-5</v>
      </c>
      <c r="K104" s="20">
        <v>4.5437852922612196E-2</v>
      </c>
      <c r="L104" s="20">
        <v>0</v>
      </c>
    </row>
    <row r="105" spans="1:12">
      <c r="A105" s="2" t="s">
        <v>488</v>
      </c>
      <c r="B105" s="3" t="s">
        <v>489</v>
      </c>
      <c r="D105" s="20">
        <v>2.3330235416470185E-16</v>
      </c>
      <c r="E105" s="20">
        <v>0.99568111352285193</v>
      </c>
      <c r="F105" s="20">
        <v>2.2500560462246237E-6</v>
      </c>
      <c r="G105" s="20">
        <v>1.1515661525498891E-6</v>
      </c>
      <c r="H105" s="20">
        <v>0</v>
      </c>
      <c r="I105" s="20">
        <v>0.99567771190065313</v>
      </c>
      <c r="J105" s="20">
        <v>6.4846939996388123E-5</v>
      </c>
      <c r="K105" s="20">
        <v>4.2540395371515266E-3</v>
      </c>
      <c r="L105" s="20">
        <v>0</v>
      </c>
    </row>
    <row r="106" spans="1:12">
      <c r="A106" s="2" t="s">
        <v>490</v>
      </c>
      <c r="B106" s="3" t="s">
        <v>491</v>
      </c>
      <c r="D106" s="20">
        <v>1.3041834532623668E-8</v>
      </c>
      <c r="E106" s="20">
        <v>0.8511909541359054</v>
      </c>
      <c r="F106" s="20">
        <v>2.3856839056098445E-3</v>
      </c>
      <c r="G106" s="20">
        <v>7.2228476768109991E-4</v>
      </c>
      <c r="H106" s="20">
        <v>0</v>
      </c>
      <c r="I106" s="20">
        <v>0.8480829854626144</v>
      </c>
      <c r="J106" s="20">
        <v>1.3980469142376247E-4</v>
      </c>
      <c r="K106" s="20">
        <v>0.14866922813083633</v>
      </c>
      <c r="L106" s="20">
        <v>0</v>
      </c>
    </row>
    <row r="107" spans="1:12">
      <c r="A107" s="2" t="s">
        <v>492</v>
      </c>
      <c r="B107" s="3" t="s">
        <v>493</v>
      </c>
      <c r="D107" s="20">
        <v>9.7916340457832515E-16</v>
      </c>
      <c r="E107" s="20">
        <v>0.44499162765079375</v>
      </c>
      <c r="F107" s="20">
        <v>0.32713679053402028</v>
      </c>
      <c r="G107" s="20">
        <v>5.6783864277308548E-2</v>
      </c>
      <c r="H107" s="20">
        <v>0</v>
      </c>
      <c r="I107" s="20">
        <v>6.1070972839464908E-2</v>
      </c>
      <c r="J107" s="20">
        <v>6.8102110814593662E-3</v>
      </c>
      <c r="K107" s="20">
        <v>0.54819816126774601</v>
      </c>
      <c r="L107" s="20">
        <v>0</v>
      </c>
    </row>
    <row r="108" spans="1:12">
      <c r="A108" s="2" t="s">
        <v>291</v>
      </c>
      <c r="B108" s="3" t="s">
        <v>494</v>
      </c>
      <c r="D108" s="20">
        <v>3.6339579624071823E-10</v>
      </c>
      <c r="E108" s="20">
        <v>0.61166665279457755</v>
      </c>
      <c r="F108" s="20">
        <v>2.1098623094758271E-2</v>
      </c>
      <c r="G108" s="20">
        <v>5.2935822981550152E-3</v>
      </c>
      <c r="H108" s="20">
        <v>0</v>
      </c>
      <c r="I108" s="20">
        <v>0.58527444740166423</v>
      </c>
      <c r="J108" s="20">
        <v>6.6325253640916722E-4</v>
      </c>
      <c r="K108" s="20">
        <v>0.38767009430561744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3.7832135686160224E-9</v>
      </c>
      <c r="E2" s="14">
        <v>3.2337059304983727E-5</v>
      </c>
      <c r="F2" s="14">
        <v>1.5379247052743658E-7</v>
      </c>
      <c r="G2" s="14">
        <v>4.4795112216643818E-8</v>
      </c>
      <c r="H2" s="14">
        <v>0</v>
      </c>
      <c r="I2" s="14">
        <v>7.3615900300330983E-9</v>
      </c>
      <c r="J2" s="14">
        <v>7.4532083086735472E-6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7.7831353338575425E-7</v>
      </c>
      <c r="E3" s="14">
        <v>1.4256543599137742E-7</v>
      </c>
      <c r="F3" s="14">
        <v>5.2677941657028024E-6</v>
      </c>
      <c r="G3" s="14">
        <v>1.427329863027433E-5</v>
      </c>
      <c r="H3" s="14">
        <v>0</v>
      </c>
      <c r="I3" s="14">
        <v>1.7373322550942499E-6</v>
      </c>
      <c r="J3" s="14">
        <v>1.7800695979551486E-5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2.4483996100722614E-16</v>
      </c>
      <c r="E4" s="14">
        <v>1.9689829984868049E-5</v>
      </c>
      <c r="F4" s="14">
        <v>1.3943009284266997E-6</v>
      </c>
      <c r="G4" s="14">
        <v>3.3285269061700488E-7</v>
      </c>
      <c r="H4" s="14">
        <v>0</v>
      </c>
      <c r="I4" s="14">
        <v>4.0669468092770392E-8</v>
      </c>
      <c r="J4" s="14">
        <v>1.8542346927750636E-5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2.253020062757009E-8</v>
      </c>
      <c r="E5" s="14">
        <v>1.3027609240982543E-6</v>
      </c>
      <c r="F5" s="14">
        <v>1.2689347008366782E-5</v>
      </c>
      <c r="G5" s="14">
        <v>3.6824327922801028E-6</v>
      </c>
      <c r="H5" s="14">
        <v>0</v>
      </c>
      <c r="I5" s="14">
        <v>4.4306486365382755E-7</v>
      </c>
      <c r="J5" s="14">
        <v>2.1859864210973473E-5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2.8553298680639018E-9</v>
      </c>
      <c r="E6" s="14">
        <v>7.1788677499901364E-8</v>
      </c>
      <c r="F6" s="14">
        <v>3.7829491462916381E-6</v>
      </c>
      <c r="G6" s="14">
        <v>1.8579159304179809E-5</v>
      </c>
      <c r="H6" s="14">
        <v>0</v>
      </c>
      <c r="I6" s="14">
        <v>2.2686276186593319E-6</v>
      </c>
      <c r="J6" s="14">
        <v>1.5294619923501262E-5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3.8606289895259155E-9</v>
      </c>
      <c r="E7" s="14">
        <v>1.3157025971720402E-7</v>
      </c>
      <c r="F7" s="14">
        <v>5.1207347742913532E-6</v>
      </c>
      <c r="G7" s="14">
        <v>1.5136582689477869E-5</v>
      </c>
      <c r="H7" s="14">
        <v>0</v>
      </c>
      <c r="I7" s="14">
        <v>1.8432637634687183E-6</v>
      </c>
      <c r="J7" s="14">
        <v>1.7763987884055333E-5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3.3096032958572837E-8</v>
      </c>
      <c r="E8" s="14">
        <v>2.6602080594738735E-7</v>
      </c>
      <c r="F8" s="14">
        <v>7.0737573022952243E-6</v>
      </c>
      <c r="G8" s="14">
        <v>1.1044491127367854E-5</v>
      </c>
      <c r="H8" s="14">
        <v>0</v>
      </c>
      <c r="I8" s="14">
        <v>1.3404053829564376E-6</v>
      </c>
      <c r="J8" s="14">
        <v>2.0242229348474528E-5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1.1397366900665168E-8</v>
      </c>
      <c r="E9" s="14">
        <v>6.6958265284298328E-6</v>
      </c>
      <c r="F9" s="14">
        <v>6.7155060403290801E-6</v>
      </c>
      <c r="G9" s="14">
        <v>1.3187859129682566E-6</v>
      </c>
      <c r="H9" s="14">
        <v>0</v>
      </c>
      <c r="I9" s="14">
        <v>1.577207553090374E-7</v>
      </c>
      <c r="J9" s="14">
        <v>2.510076339606312E-5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2.8922465917355029E-10</v>
      </c>
      <c r="E10" s="14">
        <v>1.2105283990659014E-6</v>
      </c>
      <c r="F10" s="14">
        <v>1.2419655026324536E-5</v>
      </c>
      <c r="G10" s="14">
        <v>3.9319237596129527E-6</v>
      </c>
      <c r="H10" s="14">
        <v>0</v>
      </c>
      <c r="I10" s="14">
        <v>4.7328579410144793E-7</v>
      </c>
      <c r="J10" s="14">
        <v>2.1964317796235987E-5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1.504372563781357E-8</v>
      </c>
      <c r="E11" s="14">
        <v>1.0678126680226297E-6</v>
      </c>
      <c r="F11" s="14">
        <v>1.1946195540880765E-5</v>
      </c>
      <c r="G11" s="14">
        <v>4.3724532484760875E-6</v>
      </c>
      <c r="H11" s="14">
        <v>0</v>
      </c>
      <c r="I11" s="14">
        <v>5.266921271710763E-7</v>
      </c>
      <c r="J11" s="14">
        <v>2.2071802689811635E-5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6.9513752948578054E-9</v>
      </c>
      <c r="E12" s="14">
        <v>5.0096847868167381E-6</v>
      </c>
      <c r="F12" s="14">
        <v>8.4946394647329122E-6</v>
      </c>
      <c r="G12" s="14">
        <v>1.6048723928497016E-6</v>
      </c>
      <c r="H12" s="14">
        <v>0</v>
      </c>
      <c r="I12" s="14">
        <v>1.9203001660695568E-7</v>
      </c>
      <c r="J12" s="14">
        <v>2.4691821963698841E-5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1.800146870482402E-8</v>
      </c>
      <c r="E13" s="14">
        <v>6.5190994194671282E-6</v>
      </c>
      <c r="F13" s="14">
        <v>6.8735667527445481E-6</v>
      </c>
      <c r="G13" s="14">
        <v>1.3448619615499338E-6</v>
      </c>
      <c r="H13" s="14">
        <v>0</v>
      </c>
      <c r="I13" s="14">
        <v>1.6084302067377278E-7</v>
      </c>
      <c r="J13" s="14">
        <v>2.50836273768598E-5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1.0103412642412786E-8</v>
      </c>
      <c r="E14" s="14">
        <v>7.1408145640090232E-7</v>
      </c>
      <c r="F14" s="14">
        <v>1.0448219928325514E-5</v>
      </c>
      <c r="G14" s="14">
        <v>5.9956719276877141E-6</v>
      </c>
      <c r="H14" s="14">
        <v>0</v>
      </c>
      <c r="I14" s="14">
        <v>7.2387055398271056E-7</v>
      </c>
      <c r="J14" s="14">
        <v>2.2108052720960751E-5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1.6387008348550774E-11</v>
      </c>
      <c r="E15" s="14">
        <v>1.1374683976574741E-6</v>
      </c>
      <c r="F15" s="14">
        <v>1.2186356809262432E-5</v>
      </c>
      <c r="G15" s="14">
        <v>4.1482932060778032E-6</v>
      </c>
      <c r="H15" s="14">
        <v>0</v>
      </c>
      <c r="I15" s="14">
        <v>4.9950974334903276E-7</v>
      </c>
      <c r="J15" s="14">
        <v>2.2028355456644916E-5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8.5577480790939825E-8</v>
      </c>
      <c r="E16" s="14">
        <v>2.7391711078632965E-7</v>
      </c>
      <c r="F16" s="14">
        <v>7.1586925786815588E-6</v>
      </c>
      <c r="G16" s="14">
        <v>1.085748574754376E-5</v>
      </c>
      <c r="H16" s="14">
        <v>0</v>
      </c>
      <c r="I16" s="14">
        <v>1.317508052205676E-6</v>
      </c>
      <c r="J16" s="14">
        <v>2.0306819029991735E-5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5.7862120776433688E-9</v>
      </c>
      <c r="E17" s="14">
        <v>1.27166878780635E-6</v>
      </c>
      <c r="F17" s="14">
        <v>1.2602844053274137E-5</v>
      </c>
      <c r="G17" s="14">
        <v>3.7649925201531769E-6</v>
      </c>
      <c r="H17" s="14">
        <v>0</v>
      </c>
      <c r="I17" s="14">
        <v>4.5306277078520997E-7</v>
      </c>
      <c r="J17" s="14">
        <v>2.1901645655903487E-5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3.1889696158752377E-7</v>
      </c>
      <c r="E18" s="14">
        <v>7.4677547345095524E-6</v>
      </c>
      <c r="F18" s="14">
        <v>5.9803223828229249E-6</v>
      </c>
      <c r="G18" s="14">
        <v>1.1940435077721231E-6</v>
      </c>
      <c r="H18" s="14">
        <v>0</v>
      </c>
      <c r="I18" s="14">
        <v>1.4279857881610286E-7</v>
      </c>
      <c r="J18" s="14">
        <v>2.4896183834491778E-5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5.7427846315757988E-11</v>
      </c>
      <c r="E19" s="14">
        <v>1.1233166444816601E-6</v>
      </c>
      <c r="F19" s="14">
        <v>1.2139386652198242E-5</v>
      </c>
      <c r="G19" s="14">
        <v>4.1926856278239794E-6</v>
      </c>
      <c r="H19" s="14">
        <v>0</v>
      </c>
      <c r="I19" s="14">
        <v>5.0489162718392848E-7</v>
      </c>
      <c r="J19" s="14">
        <v>2.2039662020465879E-5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2.7256735363569016E-9</v>
      </c>
      <c r="E20" s="14">
        <v>6.5215901510731708E-6</v>
      </c>
      <c r="F20" s="14">
        <v>6.8761929145585833E-6</v>
      </c>
      <c r="G20" s="14">
        <v>1.3453757886873748E-6</v>
      </c>
      <c r="H20" s="14">
        <v>0</v>
      </c>
      <c r="I20" s="14">
        <v>1.6090447345573331E-7</v>
      </c>
      <c r="J20" s="14">
        <v>2.5093210998688785E-5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8.4121463910401892E-8</v>
      </c>
      <c r="E21" s="14">
        <v>8.0302022998401139E-7</v>
      </c>
      <c r="F21" s="14">
        <v>1.0868785971869431E-5</v>
      </c>
      <c r="G21" s="14">
        <v>5.4736445563535548E-6</v>
      </c>
      <c r="H21" s="14">
        <v>0</v>
      </c>
      <c r="I21" s="14">
        <v>6.6040333812893768E-7</v>
      </c>
      <c r="J21" s="14">
        <v>2.2110024439753667E-5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9.072970101848069E-8</v>
      </c>
      <c r="E22" s="14">
        <v>2.6060884066664806E-5</v>
      </c>
      <c r="F22" s="14">
        <v>5.5567862923892344E-7</v>
      </c>
      <c r="G22" s="14">
        <v>1.4491697167201474E-7</v>
      </c>
      <c r="H22" s="14">
        <v>0</v>
      </c>
      <c r="I22" s="14">
        <v>1.8783610743486176E-8</v>
      </c>
      <c r="J22" s="14">
        <v>1.3129007020662291E-5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3.5723718454639945E-9</v>
      </c>
      <c r="E23" s="14">
        <v>3.0446426197135577E-5</v>
      </c>
      <c r="F23" s="14">
        <v>2.448109689630565E-7</v>
      </c>
      <c r="G23" s="14">
        <v>6.860036527834214E-8</v>
      </c>
      <c r="H23" s="14">
        <v>0</v>
      </c>
      <c r="I23" s="14">
        <v>1.0046062870355929E-8</v>
      </c>
      <c r="J23" s="14">
        <v>9.2265440339072024E-6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5.3769809134349133E-9</v>
      </c>
      <c r="E24" s="14">
        <v>1.2970543046836866E-5</v>
      </c>
      <c r="F24" s="14">
        <v>3.1276108405791819E-6</v>
      </c>
      <c r="G24" s="14">
        <v>6.8219458078059469E-7</v>
      </c>
      <c r="H24" s="14">
        <v>0</v>
      </c>
      <c r="I24" s="14">
        <v>8.1863776939698159E-8</v>
      </c>
      <c r="J24" s="14">
        <v>2.3132410773950226E-5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2.0137526018842884E-6</v>
      </c>
      <c r="E25" s="14">
        <v>3.1631936421721688E-6</v>
      </c>
      <c r="F25" s="14">
        <v>1.0536110808256792E-5</v>
      </c>
      <c r="G25" s="14">
        <v>1.893982163880812E-6</v>
      </c>
      <c r="H25" s="14">
        <v>0</v>
      </c>
      <c r="I25" s="14">
        <v>2.26900227027525E-7</v>
      </c>
      <c r="J25" s="14">
        <v>2.2166060556778421E-5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6.7417374353365173E-8</v>
      </c>
      <c r="E26" s="14">
        <v>8.6886339106741602E-7</v>
      </c>
      <c r="F26" s="14">
        <v>1.1164674071646902E-5</v>
      </c>
      <c r="G26" s="14">
        <v>5.1539666579083943E-6</v>
      </c>
      <c r="H26" s="14">
        <v>0</v>
      </c>
      <c r="I26" s="14">
        <v>6.2155810019551189E-7</v>
      </c>
      <c r="J26" s="14">
        <v>2.2123520404828413E-5</v>
      </c>
      <c r="K26" s="14">
        <v>0</v>
      </c>
    </row>
    <row r="27" spans="1:13">
      <c r="A27" s="2" t="s">
        <v>353</v>
      </c>
      <c r="B27" s="3" t="s">
        <v>354</v>
      </c>
      <c r="D27" s="14">
        <v>5.3611633621981946E-7</v>
      </c>
      <c r="E27" s="14">
        <v>1.5574664692657578E-7</v>
      </c>
      <c r="F27" s="14">
        <v>5.5110361000611426E-6</v>
      </c>
      <c r="G27" s="14">
        <v>1.3887651550284155E-5</v>
      </c>
      <c r="H27" s="14">
        <v>0</v>
      </c>
      <c r="I27" s="14">
        <v>1.689740134047891E-6</v>
      </c>
      <c r="J27" s="14">
        <v>1.8219709232460426E-5</v>
      </c>
      <c r="K27" s="14">
        <v>0</v>
      </c>
    </row>
    <row r="28" spans="1:13">
      <c r="A28" s="2" t="s">
        <v>355</v>
      </c>
      <c r="B28" s="3" t="s">
        <v>356</v>
      </c>
      <c r="D28" s="14">
        <v>2.6009428315138058E-8</v>
      </c>
      <c r="E28" s="14">
        <v>4.9293592558044357E-7</v>
      </c>
      <c r="F28" s="14">
        <v>9.1118176832942004E-6</v>
      </c>
      <c r="G28" s="14">
        <v>7.7357170619631055E-6</v>
      </c>
      <c r="H28" s="14">
        <v>0</v>
      </c>
      <c r="I28" s="14">
        <v>9.3584452324420208E-7</v>
      </c>
      <c r="J28" s="14">
        <v>2.1697675377602913E-5</v>
      </c>
      <c r="K28" s="14">
        <v>0</v>
      </c>
    </row>
    <row r="29" spans="1:13">
      <c r="A29" s="2" t="s">
        <v>357</v>
      </c>
      <c r="B29" s="3" t="s">
        <v>358</v>
      </c>
      <c r="D29" s="14">
        <v>4.6559883689592531E-6</v>
      </c>
      <c r="E29" s="14">
        <v>6.5685808712984985E-7</v>
      </c>
      <c r="F29" s="14">
        <v>9.3645325087143652E-6</v>
      </c>
      <c r="G29" s="14">
        <v>5.144955905256321E-6</v>
      </c>
      <c r="H29" s="14">
        <v>0</v>
      </c>
      <c r="I29" s="14">
        <v>6.2102304753164375E-7</v>
      </c>
      <c r="J29" s="14">
        <v>1.9556642082408574E-5</v>
      </c>
      <c r="K29" s="14">
        <v>0</v>
      </c>
    </row>
    <row r="30" spans="1:13">
      <c r="A30" s="2" t="s">
        <v>359</v>
      </c>
      <c r="B30" s="3" t="s">
        <v>360</v>
      </c>
      <c r="D30" s="14">
        <v>2.6009428315138058E-8</v>
      </c>
      <c r="E30" s="14">
        <v>4.9293592558044357E-7</v>
      </c>
      <c r="F30" s="14">
        <v>9.1118176832942004E-6</v>
      </c>
      <c r="G30" s="14">
        <v>7.7357170619631055E-6</v>
      </c>
      <c r="H30" s="14">
        <v>0</v>
      </c>
      <c r="I30" s="14">
        <v>9.3584452324420208E-7</v>
      </c>
      <c r="J30" s="14">
        <v>2.1697675377602913E-5</v>
      </c>
      <c r="K30" s="14">
        <v>0</v>
      </c>
    </row>
    <row r="31" spans="1:13">
      <c r="A31" s="2" t="s">
        <v>283</v>
      </c>
      <c r="B31" s="3" t="s">
        <v>284</v>
      </c>
      <c r="D31" s="14">
        <v>1.045854893025559E-12</v>
      </c>
      <c r="E31" s="14">
        <v>3.906169611881166E-5</v>
      </c>
      <c r="F31" s="14">
        <v>2.3952213133026371E-9</v>
      </c>
      <c r="G31" s="14">
        <v>9.6126073495131661E-10</v>
      </c>
      <c r="H31" s="14">
        <v>0</v>
      </c>
      <c r="I31" s="14">
        <v>2.6503264234267372E-9</v>
      </c>
      <c r="J31" s="14">
        <v>9.3229602686176353E-7</v>
      </c>
      <c r="K31" s="14">
        <v>0</v>
      </c>
    </row>
    <row r="32" spans="1:13">
      <c r="A32" s="2" t="s">
        <v>361</v>
      </c>
      <c r="B32" s="3" t="s">
        <v>362</v>
      </c>
      <c r="D32" s="14">
        <v>1.0905466008734485E-12</v>
      </c>
      <c r="E32" s="14">
        <v>2.227665928395253E-5</v>
      </c>
      <c r="F32" s="14">
        <v>9.9792185357730312E-7</v>
      </c>
      <c r="G32" s="14">
        <v>2.460453687576555E-7</v>
      </c>
      <c r="H32" s="14">
        <v>0</v>
      </c>
      <c r="I32" s="14">
        <v>3.0814598246217952E-8</v>
      </c>
      <c r="J32" s="14">
        <v>1.6448557804919705E-5</v>
      </c>
      <c r="K32" s="14">
        <v>0</v>
      </c>
    </row>
    <row r="33" spans="1:11">
      <c r="A33" s="2" t="s">
        <v>364</v>
      </c>
      <c r="B33" s="3" t="s">
        <v>365</v>
      </c>
      <c r="D33" s="14">
        <v>4.8297015049328523E-15</v>
      </c>
      <c r="E33" s="14">
        <v>3.9978280243729782E-5</v>
      </c>
      <c r="F33" s="14">
        <v>1.6812746252652724E-8</v>
      </c>
      <c r="G33" s="14">
        <v>5.1412175461066955E-12</v>
      </c>
      <c r="H33" s="14">
        <v>0</v>
      </c>
      <c r="I33" s="14">
        <v>2.6163777267461143E-9</v>
      </c>
      <c r="J33" s="14">
        <v>2.285486243568778E-9</v>
      </c>
      <c r="K33" s="14">
        <v>0</v>
      </c>
    </row>
    <row r="34" spans="1:11">
      <c r="A34" s="2" t="s">
        <v>285</v>
      </c>
      <c r="B34" s="3" t="s">
        <v>286</v>
      </c>
      <c r="D34" s="14">
        <v>2.4127535610254841E-14</v>
      </c>
      <c r="E34" s="14">
        <v>3.694250690433286E-5</v>
      </c>
      <c r="F34" s="14">
        <v>3.0394913624011409E-6</v>
      </c>
      <c r="G34" s="14">
        <v>2.4961772497579319E-10</v>
      </c>
      <c r="H34" s="14">
        <v>0</v>
      </c>
      <c r="I34" s="14">
        <v>4.6666598256606485E-9</v>
      </c>
      <c r="J34" s="14">
        <v>1.3085431587826063E-8</v>
      </c>
      <c r="K34" s="14">
        <v>0</v>
      </c>
    </row>
    <row r="35" spans="1:11">
      <c r="A35" s="2" t="s">
        <v>287</v>
      </c>
      <c r="B35" s="3" t="s">
        <v>288</v>
      </c>
      <c r="D35" s="14">
        <v>1.0629778623969923E-15</v>
      </c>
      <c r="E35" s="14">
        <v>3.3078669856065606E-5</v>
      </c>
      <c r="F35" s="14">
        <v>6.8650323480298795E-6</v>
      </c>
      <c r="G35" s="14">
        <v>1.3294435784372827E-9</v>
      </c>
      <c r="H35" s="14">
        <v>0</v>
      </c>
      <c r="I35" s="14">
        <v>7.0631641122368057E-9</v>
      </c>
      <c r="J35" s="14">
        <v>4.7905187150863908E-8</v>
      </c>
      <c r="K35" s="14">
        <v>0</v>
      </c>
    </row>
    <row r="36" spans="1:11">
      <c r="A36" s="2" t="s">
        <v>366</v>
      </c>
      <c r="B36" s="3" t="s">
        <v>305</v>
      </c>
      <c r="D36" s="14">
        <v>3.7187997266491184E-12</v>
      </c>
      <c r="E36" s="14">
        <v>2.1896236142330098E-5</v>
      </c>
      <c r="F36" s="14">
        <v>1.7978937327167217E-5</v>
      </c>
      <c r="G36" s="14">
        <v>5.1476119689817887E-9</v>
      </c>
      <c r="H36" s="14">
        <v>0</v>
      </c>
      <c r="I36" s="14">
        <v>1.3427770031881935E-8</v>
      </c>
      <c r="J36" s="14">
        <v>1.062474297020911E-7</v>
      </c>
      <c r="K36" s="14">
        <v>0</v>
      </c>
    </row>
    <row r="37" spans="1:11">
      <c r="A37" s="2" t="s">
        <v>289</v>
      </c>
      <c r="B37" s="3" t="s">
        <v>290</v>
      </c>
      <c r="D37" s="14">
        <v>4.7638119536593023E-19</v>
      </c>
      <c r="E37" s="14">
        <v>2.3732335581987335E-5</v>
      </c>
      <c r="F37" s="14">
        <v>7.9209091322709916E-6</v>
      </c>
      <c r="G37" s="14">
        <v>2.704235639553013E-7</v>
      </c>
      <c r="H37" s="14">
        <v>0</v>
      </c>
      <c r="I37" s="14">
        <v>3.8162169813342541E-8</v>
      </c>
      <c r="J37" s="14">
        <v>8.0381695519725613E-6</v>
      </c>
      <c r="K37" s="14">
        <v>0</v>
      </c>
    </row>
    <row r="38" spans="1:11">
      <c r="A38" s="2" t="s">
        <v>291</v>
      </c>
      <c r="B38" s="3" t="s">
        <v>292</v>
      </c>
      <c r="D38" s="14">
        <v>7.3686171522228004E-17</v>
      </c>
      <c r="E38" s="14">
        <v>3.7533308634788002E-5</v>
      </c>
      <c r="F38" s="14">
        <v>2.3454781980431789E-6</v>
      </c>
      <c r="G38" s="14">
        <v>1.9595143492113744E-9</v>
      </c>
      <c r="H38" s="14">
        <v>0</v>
      </c>
      <c r="I38" s="14">
        <v>4.4221419679454654E-9</v>
      </c>
      <c r="J38" s="14">
        <v>1.1483151077798048E-7</v>
      </c>
      <c r="K38" s="14">
        <v>0</v>
      </c>
    </row>
    <row r="39" spans="1:11">
      <c r="A39" s="2" t="s">
        <v>367</v>
      </c>
      <c r="B39" s="3" t="s">
        <v>368</v>
      </c>
      <c r="D39" s="14">
        <v>2.7651938020955856E-9</v>
      </c>
      <c r="E39" s="14">
        <v>1.9766293481118355E-6</v>
      </c>
      <c r="F39" s="14">
        <v>1.4220006328557893E-5</v>
      </c>
      <c r="G39" s="14">
        <v>2.4836783123858948E-6</v>
      </c>
      <c r="H39" s="14">
        <v>0</v>
      </c>
      <c r="I39" s="14">
        <v>2.9811801837245551E-7</v>
      </c>
      <c r="J39" s="14">
        <v>2.1018802798769835E-5</v>
      </c>
      <c r="K39" s="14">
        <v>0</v>
      </c>
    </row>
    <row r="40" spans="1:11">
      <c r="A40" s="2" t="s">
        <v>369</v>
      </c>
      <c r="B40" s="3" t="s">
        <v>370</v>
      </c>
      <c r="D40" s="14">
        <v>3.4486635775347283E-16</v>
      </c>
      <c r="E40" s="14">
        <v>3.7731656408688115E-7</v>
      </c>
      <c r="F40" s="14">
        <v>3.4305236793239311E-5</v>
      </c>
      <c r="G40" s="14">
        <v>2.4818801085360827E-6</v>
      </c>
      <c r="H40" s="14">
        <v>0</v>
      </c>
      <c r="I40" s="14">
        <v>1.7563876749924592E-6</v>
      </c>
      <c r="J40" s="14">
        <v>1.0791788588003986E-6</v>
      </c>
      <c r="K40" s="14">
        <v>0</v>
      </c>
    </row>
    <row r="41" spans="1:11">
      <c r="A41" s="2" t="s">
        <v>371</v>
      </c>
      <c r="B41" s="3" t="s">
        <v>372</v>
      </c>
      <c r="D41" s="14">
        <v>3.2617069171355622E-6</v>
      </c>
      <c r="E41" s="14">
        <v>3.6553132368895549E-5</v>
      </c>
      <c r="F41" s="14">
        <v>1.1151136949870543E-10</v>
      </c>
      <c r="G41" s="14">
        <v>5.582319699288441E-11</v>
      </c>
      <c r="H41" s="14">
        <v>0</v>
      </c>
      <c r="I41" s="14">
        <v>2.3822109082107793E-9</v>
      </c>
      <c r="J41" s="14">
        <v>1.8261116849419313E-7</v>
      </c>
      <c r="K41" s="14">
        <v>0</v>
      </c>
    </row>
    <row r="42" spans="1:11">
      <c r="A42" s="2" t="s">
        <v>293</v>
      </c>
      <c r="B42" s="3" t="s">
        <v>294</v>
      </c>
      <c r="D42" s="14">
        <v>8.3175401369229458E-13</v>
      </c>
      <c r="E42" s="14">
        <v>2.4985875392709044E-5</v>
      </c>
      <c r="F42" s="14">
        <v>6.672200987915452E-7</v>
      </c>
      <c r="G42" s="14">
        <v>1.7114518118839245E-7</v>
      </c>
      <c r="H42" s="14">
        <v>0</v>
      </c>
      <c r="I42" s="14">
        <v>2.1819935188071283E-8</v>
      </c>
      <c r="J42" s="14">
        <v>1.4153938560368935E-5</v>
      </c>
      <c r="K42" s="14">
        <v>0</v>
      </c>
    </row>
    <row r="43" spans="1:11">
      <c r="A43" s="2" t="s">
        <v>373</v>
      </c>
      <c r="B43" s="3" t="s">
        <v>374</v>
      </c>
      <c r="D43" s="14">
        <v>1.590701877031856E-11</v>
      </c>
      <c r="E43" s="14">
        <v>3.2628275911014925E-6</v>
      </c>
      <c r="F43" s="14">
        <v>3.6503009925569941E-5</v>
      </c>
      <c r="G43" s="14">
        <v>3.0821274822864169E-8</v>
      </c>
      <c r="H43" s="14">
        <v>0</v>
      </c>
      <c r="I43" s="14">
        <v>4.7741912053137001E-8</v>
      </c>
      <c r="J43" s="14">
        <v>1.5558338943379491E-7</v>
      </c>
      <c r="K43" s="14">
        <v>0</v>
      </c>
    </row>
    <row r="44" spans="1:11">
      <c r="A44" s="2" t="s">
        <v>375</v>
      </c>
      <c r="B44" s="3" t="s">
        <v>376</v>
      </c>
      <c r="D44" s="14">
        <v>3.4761461431296454E-6</v>
      </c>
      <c r="E44" s="14">
        <v>3.1220344513237561E-5</v>
      </c>
      <c r="F44" s="14">
        <v>7.9464332840793626E-8</v>
      </c>
      <c r="G44" s="14">
        <v>2.4236382442297923E-8</v>
      </c>
      <c r="H44" s="14">
        <v>0</v>
      </c>
      <c r="I44" s="14">
        <v>4.8699261259612161E-9</v>
      </c>
      <c r="J44" s="14">
        <v>5.1949387022237455E-6</v>
      </c>
      <c r="K44" s="14">
        <v>0</v>
      </c>
    </row>
    <row r="45" spans="1:11">
      <c r="A45" s="2" t="s">
        <v>377</v>
      </c>
      <c r="B45" s="3" t="s">
        <v>378</v>
      </c>
      <c r="D45" s="14">
        <v>3.2479377527695557E-8</v>
      </c>
      <c r="E45" s="14">
        <v>2.3923645687785836E-5</v>
      </c>
      <c r="F45" s="14">
        <v>7.8033648353620495E-7</v>
      </c>
      <c r="G45" s="14">
        <v>1.9723204039719227E-7</v>
      </c>
      <c r="H45" s="14">
        <v>0</v>
      </c>
      <c r="I45" s="14">
        <v>2.4842773228951182E-8</v>
      </c>
      <c r="J45" s="14">
        <v>1.504146363752412E-5</v>
      </c>
      <c r="K45" s="14">
        <v>0</v>
      </c>
    </row>
    <row r="46" spans="1:11">
      <c r="A46" s="2" t="s">
        <v>379</v>
      </c>
      <c r="B46" s="3" t="s">
        <v>380</v>
      </c>
      <c r="D46" s="14">
        <v>9.6015920357640344E-8</v>
      </c>
      <c r="E46" s="14">
        <v>2.4539342019974621E-5</v>
      </c>
      <c r="F46" s="14">
        <v>7.06345957647842E-7</v>
      </c>
      <c r="G46" s="14">
        <v>1.8018267054587299E-7</v>
      </c>
      <c r="H46" s="14">
        <v>0</v>
      </c>
      <c r="I46" s="14">
        <v>2.2862003106450006E-8</v>
      </c>
      <c r="J46" s="14">
        <v>1.4455251428367583E-5</v>
      </c>
      <c r="K46" s="14">
        <v>0</v>
      </c>
    </row>
    <row r="47" spans="1:11">
      <c r="A47" s="2" t="s">
        <v>381</v>
      </c>
      <c r="B47" s="3" t="s">
        <v>382</v>
      </c>
      <c r="D47" s="14">
        <v>9.3258453323449454E-12</v>
      </c>
      <c r="E47" s="14">
        <v>1.4539446474250911E-7</v>
      </c>
      <c r="F47" s="14">
        <v>5.3723268039694742E-6</v>
      </c>
      <c r="G47" s="14">
        <v>1.4556533987552492E-5</v>
      </c>
      <c r="H47" s="14">
        <v>0</v>
      </c>
      <c r="I47" s="14">
        <v>1.7718073918323532E-6</v>
      </c>
      <c r="J47" s="14">
        <v>1.8153928026057843E-5</v>
      </c>
      <c r="K47" s="14">
        <v>0</v>
      </c>
    </row>
    <row r="48" spans="1:11">
      <c r="A48" s="2" t="s">
        <v>383</v>
      </c>
      <c r="B48" s="3" t="s">
        <v>384</v>
      </c>
      <c r="D48" s="14">
        <v>4.7293382516526411E-7</v>
      </c>
      <c r="E48" s="14">
        <v>3.6413300171453169E-5</v>
      </c>
      <c r="F48" s="14">
        <v>2.5250767996160262E-8</v>
      </c>
      <c r="G48" s="14">
        <v>8.4755940416825432E-9</v>
      </c>
      <c r="H48" s="14">
        <v>0</v>
      </c>
      <c r="I48" s="14">
        <v>3.3564594806319424E-9</v>
      </c>
      <c r="J48" s="14">
        <v>3.0766831818630944E-6</v>
      </c>
      <c r="K48" s="14">
        <v>0</v>
      </c>
    </row>
    <row r="49" spans="1:11">
      <c r="A49" s="2" t="s">
        <v>385</v>
      </c>
      <c r="B49" s="3" t="s">
        <v>386</v>
      </c>
      <c r="D49" s="14">
        <v>8.8832204090079597E-7</v>
      </c>
      <c r="E49" s="14">
        <v>3.4956673838804201E-5</v>
      </c>
      <c r="F49" s="14">
        <v>4.5294414778587439E-8</v>
      </c>
      <c r="G49" s="14">
        <v>1.4519117106819487E-8</v>
      </c>
      <c r="H49" s="14">
        <v>0</v>
      </c>
      <c r="I49" s="14">
        <v>3.970541714539189E-9</v>
      </c>
      <c r="J49" s="14">
        <v>4.0912200466950617E-6</v>
      </c>
      <c r="K49" s="14">
        <v>0</v>
      </c>
    </row>
    <row r="50" spans="1:11">
      <c r="A50" s="2" t="s">
        <v>387</v>
      </c>
      <c r="B50" s="3" t="s">
        <v>388</v>
      </c>
      <c r="D50" s="14">
        <v>6.7000695181726139E-7</v>
      </c>
      <c r="E50" s="14">
        <v>7.6877450683529185E-6</v>
      </c>
      <c r="F50" s="14">
        <v>5.7115439595597077E-6</v>
      </c>
      <c r="G50" s="14">
        <v>1.1466980635630944E-6</v>
      </c>
      <c r="H50" s="14">
        <v>0</v>
      </c>
      <c r="I50" s="14">
        <v>1.3713963069127336E-7</v>
      </c>
      <c r="J50" s="14">
        <v>2.4646866326015751E-5</v>
      </c>
      <c r="K50" s="14">
        <v>0</v>
      </c>
    </row>
    <row r="51" spans="1:11">
      <c r="A51" s="2" t="s">
        <v>295</v>
      </c>
      <c r="B51" s="3" t="s">
        <v>296</v>
      </c>
      <c r="D51" s="14">
        <v>2.6169479100118871E-6</v>
      </c>
      <c r="E51" s="14">
        <v>3.6193846705281426E-5</v>
      </c>
      <c r="F51" s="14">
        <v>4.0445414728596187E-9</v>
      </c>
      <c r="G51" s="14">
        <v>1.5529763729943366E-9</v>
      </c>
      <c r="H51" s="14">
        <v>0</v>
      </c>
      <c r="I51" s="14">
        <v>2.5328610394564042E-9</v>
      </c>
      <c r="J51" s="14">
        <v>1.1810750058213821E-6</v>
      </c>
      <c r="K51" s="14">
        <v>0</v>
      </c>
    </row>
    <row r="52" spans="1:11">
      <c r="A52" s="2" t="s">
        <v>389</v>
      </c>
      <c r="B52" s="3" t="s">
        <v>390</v>
      </c>
      <c r="D52" s="14">
        <v>2.8622068270798699E-6</v>
      </c>
      <c r="E52" s="14">
        <v>3.0102369186424417E-5</v>
      </c>
      <c r="F52" s="14">
        <v>1.3962887155506439E-7</v>
      </c>
      <c r="G52" s="14">
        <v>4.0744668014806386E-8</v>
      </c>
      <c r="H52" s="14">
        <v>0</v>
      </c>
      <c r="I52" s="14">
        <v>6.7404006713711183E-9</v>
      </c>
      <c r="J52" s="14">
        <v>6.8483100462544711E-6</v>
      </c>
      <c r="K52" s="14">
        <v>0</v>
      </c>
    </row>
    <row r="53" spans="1:11">
      <c r="A53" s="2" t="s">
        <v>391</v>
      </c>
      <c r="B53" s="3" t="s">
        <v>392</v>
      </c>
      <c r="D53" s="14">
        <v>1.0605222729626082E-7</v>
      </c>
      <c r="E53" s="14">
        <v>2.0475733031238597E-5</v>
      </c>
      <c r="F53" s="14">
        <v>1.2479408722136319E-6</v>
      </c>
      <c r="G53" s="14">
        <v>3.0122399509175567E-7</v>
      </c>
      <c r="H53" s="14">
        <v>0</v>
      </c>
      <c r="I53" s="14">
        <v>3.6962035282203497E-8</v>
      </c>
      <c r="J53" s="14">
        <v>1.7832087838877547E-5</v>
      </c>
      <c r="K53" s="14">
        <v>0</v>
      </c>
    </row>
    <row r="54" spans="1:11">
      <c r="A54" s="2" t="s">
        <v>393</v>
      </c>
      <c r="B54" s="3" t="s">
        <v>394</v>
      </c>
      <c r="D54" s="14">
        <v>4.1222167916116743E-8</v>
      </c>
      <c r="E54" s="14">
        <v>1.945675868511971E-7</v>
      </c>
      <c r="F54" s="14">
        <v>6.151840160430447E-6</v>
      </c>
      <c r="G54" s="14">
        <v>1.283809539089688E-5</v>
      </c>
      <c r="H54" s="14">
        <v>0</v>
      </c>
      <c r="I54" s="14">
        <v>1.5604763258357692E-6</v>
      </c>
      <c r="J54" s="14">
        <v>1.9213798368069589E-5</v>
      </c>
      <c r="K54" s="14">
        <v>0</v>
      </c>
    </row>
    <row r="55" spans="1:11">
      <c r="A55" s="2" t="s">
        <v>395</v>
      </c>
      <c r="B55" s="3" t="s">
        <v>396</v>
      </c>
      <c r="D55" s="14">
        <v>9.1562146039189099E-6</v>
      </c>
      <c r="E55" s="14">
        <v>9.4140310771727142E-6</v>
      </c>
      <c r="F55" s="14">
        <v>2.6374860910560979E-6</v>
      </c>
      <c r="G55" s="14">
        <v>5.6896523830937304E-7</v>
      </c>
      <c r="H55" s="14">
        <v>0</v>
      </c>
      <c r="I55" s="14">
        <v>6.821475449646127E-8</v>
      </c>
      <c r="J55" s="14">
        <v>1.8155088235046454E-5</v>
      </c>
      <c r="K55" s="14">
        <v>0</v>
      </c>
    </row>
    <row r="56" spans="1:11">
      <c r="A56" s="2" t="s">
        <v>397</v>
      </c>
      <c r="B56" s="3" t="s">
        <v>398</v>
      </c>
      <c r="D56" s="14">
        <v>3.3199092937151551E-5</v>
      </c>
      <c r="E56" s="14">
        <v>8.8929506569070084E-7</v>
      </c>
      <c r="F56" s="14">
        <v>1.3989443319500076E-6</v>
      </c>
      <c r="G56" s="14">
        <v>2.6576390005158608E-7</v>
      </c>
      <c r="H56" s="14">
        <v>0</v>
      </c>
      <c r="I56" s="14">
        <v>3.1796616589161105E-8</v>
      </c>
      <c r="J56" s="14">
        <v>4.215107148566996E-6</v>
      </c>
      <c r="K56" s="14">
        <v>0</v>
      </c>
    </row>
    <row r="57" spans="1:11">
      <c r="A57" s="2" t="s">
        <v>399</v>
      </c>
      <c r="B57" s="3" t="s">
        <v>400</v>
      </c>
      <c r="D57" s="14">
        <v>3.4979771254481597E-5</v>
      </c>
      <c r="E57" s="14">
        <v>1.3338181709997508E-6</v>
      </c>
      <c r="F57" s="14">
        <v>5.1723890071318001E-7</v>
      </c>
      <c r="G57" s="14">
        <v>1.0893984058058536E-7</v>
      </c>
      <c r="H57" s="14">
        <v>0</v>
      </c>
      <c r="I57" s="14">
        <v>1.3043015280437319E-8</v>
      </c>
      <c r="J57" s="14">
        <v>3.0471888179444585E-6</v>
      </c>
      <c r="K57" s="14">
        <v>0</v>
      </c>
    </row>
    <row r="58" spans="1:11">
      <c r="A58" s="2" t="s">
        <v>297</v>
      </c>
      <c r="B58" s="3" t="s">
        <v>298</v>
      </c>
      <c r="D58" s="14">
        <v>3.7300311610410224E-5</v>
      </c>
      <c r="E58" s="14">
        <v>2.3772350477337233E-6</v>
      </c>
      <c r="F58" s="14">
        <v>3.9553659890260129E-9</v>
      </c>
      <c r="G58" s="14">
        <v>1.2447502730762235E-9</v>
      </c>
      <c r="H58" s="14">
        <v>0</v>
      </c>
      <c r="I58" s="14">
        <v>3.0022997509938663E-10</v>
      </c>
      <c r="J58" s="14">
        <v>3.1695299561885609E-7</v>
      </c>
      <c r="K58" s="14">
        <v>0</v>
      </c>
    </row>
    <row r="59" spans="1:11">
      <c r="A59" s="2" t="s">
        <v>401</v>
      </c>
      <c r="B59" s="3" t="s">
        <v>402</v>
      </c>
      <c r="D59" s="14">
        <v>3.8161636069514174E-5</v>
      </c>
      <c r="E59" s="14">
        <v>5.0476199718570638E-7</v>
      </c>
      <c r="F59" s="14">
        <v>1.8159387682879152E-7</v>
      </c>
      <c r="G59" s="14">
        <v>3.8458890914656807E-8</v>
      </c>
      <c r="H59" s="14">
        <v>0</v>
      </c>
      <c r="I59" s="14">
        <v>4.6057506105048711E-9</v>
      </c>
      <c r="J59" s="14">
        <v>1.1089434149461805E-6</v>
      </c>
      <c r="K59" s="14">
        <v>0</v>
      </c>
    </row>
    <row r="60" spans="1:11">
      <c r="A60" s="2" t="s">
        <v>299</v>
      </c>
      <c r="B60" s="3" t="s">
        <v>300</v>
      </c>
      <c r="D60" s="14">
        <v>3.9952755723960942E-5</v>
      </c>
      <c r="E60" s="14">
        <v>1.7988146025581506E-8</v>
      </c>
      <c r="F60" s="14">
        <v>2.8354432194988453E-9</v>
      </c>
      <c r="G60" s="14">
        <v>6.3814079672640447E-10</v>
      </c>
      <c r="H60" s="14">
        <v>0</v>
      </c>
      <c r="I60" s="14">
        <v>7.6863399162088249E-11</v>
      </c>
      <c r="J60" s="14">
        <v>2.5705682598088157E-8</v>
      </c>
      <c r="K60" s="14">
        <v>0</v>
      </c>
    </row>
    <row r="61" spans="1:11">
      <c r="A61" s="2" t="s">
        <v>403</v>
      </c>
      <c r="B61" s="3" t="s">
        <v>404</v>
      </c>
      <c r="D61" s="14">
        <v>2.7151099079992124E-48</v>
      </c>
      <c r="E61" s="14">
        <v>1.7303225955293386E-5</v>
      </c>
      <c r="F61" s="14">
        <v>1.8743972113673808E-6</v>
      </c>
      <c r="G61" s="14">
        <v>4.3366780801337532E-7</v>
      </c>
      <c r="H61" s="14">
        <v>0</v>
      </c>
      <c r="I61" s="14">
        <v>5.250850959390579E-8</v>
      </c>
      <c r="J61" s="14">
        <v>2.0336200515731961E-5</v>
      </c>
      <c r="K61" s="14">
        <v>0</v>
      </c>
    </row>
    <row r="62" spans="1:11">
      <c r="A62" s="2" t="s">
        <v>405</v>
      </c>
      <c r="B62" s="3" t="s">
        <v>406</v>
      </c>
      <c r="D62" s="14">
        <v>2.0232083993301765E-11</v>
      </c>
      <c r="E62" s="14">
        <v>7.3356784073040485E-7</v>
      </c>
      <c r="F62" s="14">
        <v>1.0549086032301714E-5</v>
      </c>
      <c r="G62" s="14">
        <v>5.8804476703292586E-6</v>
      </c>
      <c r="H62" s="14">
        <v>0</v>
      </c>
      <c r="I62" s="14">
        <v>7.0985355132926514E-7</v>
      </c>
      <c r="J62" s="14">
        <v>2.212702467322537E-5</v>
      </c>
      <c r="K62" s="14">
        <v>0</v>
      </c>
    </row>
    <row r="63" spans="1:11">
      <c r="A63" s="2" t="s">
        <v>407</v>
      </c>
      <c r="B63" s="3" t="s">
        <v>408</v>
      </c>
      <c r="D63" s="14">
        <v>6.1940125938656193E-9</v>
      </c>
      <c r="E63" s="14">
        <v>8.5698209555364505E-8</v>
      </c>
      <c r="F63" s="14">
        <v>4.1413916062113391E-6</v>
      </c>
      <c r="G63" s="14">
        <v>1.7593079058685944E-5</v>
      </c>
      <c r="H63" s="14">
        <v>0</v>
      </c>
      <c r="I63" s="14">
        <v>2.1465541562121992E-6</v>
      </c>
      <c r="J63" s="14">
        <v>1.6027082956741297E-5</v>
      </c>
      <c r="K63" s="14">
        <v>0</v>
      </c>
    </row>
    <row r="64" spans="1:11">
      <c r="A64" s="2" t="s">
        <v>409</v>
      </c>
      <c r="B64" s="3" t="s">
        <v>410</v>
      </c>
      <c r="D64" s="14">
        <v>8.6762147216836452E-10</v>
      </c>
      <c r="E64" s="14">
        <v>3.3594637252510511E-8</v>
      </c>
      <c r="F64" s="14">
        <v>2.5246693428425942E-6</v>
      </c>
      <c r="G64" s="14">
        <v>2.2475018702057167E-5</v>
      </c>
      <c r="H64" s="14">
        <v>0</v>
      </c>
      <c r="I64" s="14">
        <v>2.7531214804455626E-6</v>
      </c>
      <c r="J64" s="14">
        <v>1.2212728215929995E-5</v>
      </c>
      <c r="K64" s="14">
        <v>0</v>
      </c>
    </row>
    <row r="65" spans="1:11">
      <c r="A65" s="2" t="s">
        <v>301</v>
      </c>
      <c r="B65" s="3" t="s">
        <v>302</v>
      </c>
      <c r="D65" s="14">
        <v>1.2029497309440506E-10</v>
      </c>
      <c r="E65" s="14">
        <v>1.0585396834210624E-8</v>
      </c>
      <c r="F65" s="14">
        <v>1.3143822762727081E-6</v>
      </c>
      <c r="G65" s="14">
        <v>2.7140462839006509E-5</v>
      </c>
      <c r="H65" s="14">
        <v>0</v>
      </c>
      <c r="I65" s="14">
        <v>3.3398091759585225E-6</v>
      </c>
      <c r="J65" s="14">
        <v>8.1946400169549574E-6</v>
      </c>
      <c r="K65" s="14">
        <v>0</v>
      </c>
    </row>
    <row r="66" spans="1:11">
      <c r="A66" s="2" t="s">
        <v>303</v>
      </c>
      <c r="B66" s="3" t="s">
        <v>304</v>
      </c>
      <c r="D66" s="14">
        <v>1.0920086346623414E-16</v>
      </c>
      <c r="E66" s="14">
        <v>2.0637911079108537E-8</v>
      </c>
      <c r="F66" s="14">
        <v>1.9257516883948329E-6</v>
      </c>
      <c r="G66" s="14">
        <v>2.4637454921469115E-5</v>
      </c>
      <c r="H66" s="14">
        <v>0</v>
      </c>
      <c r="I66" s="14">
        <v>3.0239321005583242E-6</v>
      </c>
      <c r="J66" s="14">
        <v>1.0392223378389416E-5</v>
      </c>
      <c r="K66" s="14">
        <v>0</v>
      </c>
    </row>
    <row r="67" spans="1:11">
      <c r="A67" s="2" t="s">
        <v>411</v>
      </c>
      <c r="B67" s="3" t="s">
        <v>412</v>
      </c>
      <c r="D67" s="14">
        <v>1.9141329369072914E-7</v>
      </c>
      <c r="E67" s="14">
        <v>3.3483570369901399E-5</v>
      </c>
      <c r="F67" s="14">
        <v>1.0409894094410596E-7</v>
      </c>
      <c r="G67" s="14">
        <v>3.1285411134002161E-8</v>
      </c>
      <c r="H67" s="14">
        <v>0</v>
      </c>
      <c r="I67" s="14">
        <v>5.8453373539035807E-9</v>
      </c>
      <c r="J67" s="14">
        <v>6.1837866469758608E-6</v>
      </c>
      <c r="K67" s="14">
        <v>0</v>
      </c>
    </row>
    <row r="68" spans="1:11">
      <c r="A68" s="2" t="s">
        <v>413</v>
      </c>
      <c r="B68" s="3" t="s">
        <v>414</v>
      </c>
      <c r="D68" s="14">
        <v>4.2011197348608243E-7</v>
      </c>
      <c r="E68" s="14">
        <v>3.1236669598059092E-5</v>
      </c>
      <c r="F68" s="14">
        <v>1.8605411262316456E-7</v>
      </c>
      <c r="G68" s="14">
        <v>5.3300935273389616E-8</v>
      </c>
      <c r="H68" s="14">
        <v>0</v>
      </c>
      <c r="I68" s="14">
        <v>8.2928609834767502E-9</v>
      </c>
      <c r="J68" s="14">
        <v>8.0955705195747961E-6</v>
      </c>
      <c r="K68" s="14">
        <v>0</v>
      </c>
    </row>
    <row r="69" spans="1:11">
      <c r="A69" s="2" t="s">
        <v>415</v>
      </c>
      <c r="B69" s="3" t="s">
        <v>416</v>
      </c>
      <c r="D69" s="14">
        <v>2.5129447660839619E-7</v>
      </c>
      <c r="E69" s="14">
        <v>2.8551084377704019E-7</v>
      </c>
      <c r="F69" s="14">
        <v>7.2703807907608226E-6</v>
      </c>
      <c r="G69" s="14">
        <v>1.0557296365191879E-5</v>
      </c>
      <c r="H69" s="14">
        <v>0</v>
      </c>
      <c r="I69" s="14">
        <v>1.2807876234958308E-6</v>
      </c>
      <c r="J69" s="14">
        <v>2.0354729900166026E-5</v>
      </c>
      <c r="K69" s="14">
        <v>0</v>
      </c>
    </row>
    <row r="70" spans="1:11">
      <c r="A70" s="2" t="s">
        <v>417</v>
      </c>
      <c r="B70" s="3" t="s">
        <v>418</v>
      </c>
      <c r="D70" s="14">
        <v>4.6961846248946707E-7</v>
      </c>
      <c r="E70" s="14">
        <v>3.7879551378177101E-6</v>
      </c>
      <c r="F70" s="14">
        <v>1.007440433517053E-5</v>
      </c>
      <c r="G70" s="14">
        <v>1.8412592117146697E-6</v>
      </c>
      <c r="H70" s="14">
        <v>0</v>
      </c>
      <c r="I70" s="14">
        <v>2.2048236010599067E-7</v>
      </c>
      <c r="J70" s="14">
        <v>2.3606280492701644E-5</v>
      </c>
      <c r="K70" s="14">
        <v>0</v>
      </c>
    </row>
    <row r="71" spans="1:11">
      <c r="A71" s="2" t="s">
        <v>419</v>
      </c>
      <c r="B71" s="3" t="s">
        <v>420</v>
      </c>
      <c r="D71" s="14">
        <v>1.0261581821509999E-6</v>
      </c>
      <c r="E71" s="14">
        <v>3.1099540826880108E-5</v>
      </c>
      <c r="F71" s="14">
        <v>1.6760560084155889E-7</v>
      </c>
      <c r="G71" s="14">
        <v>4.837089048727203E-8</v>
      </c>
      <c r="H71" s="14">
        <v>0</v>
      </c>
      <c r="I71" s="14">
        <v>7.7030597164360709E-9</v>
      </c>
      <c r="J71" s="14">
        <v>7.6506214399236323E-6</v>
      </c>
      <c r="K71" s="14">
        <v>0</v>
      </c>
    </row>
    <row r="72" spans="1:11">
      <c r="A72" s="2" t="s">
        <v>421</v>
      </c>
      <c r="B72" s="3" t="s">
        <v>422</v>
      </c>
      <c r="D72" s="14">
        <v>1.8292316112525984E-6</v>
      </c>
      <c r="E72" s="14">
        <v>4.0676948199058729E-6</v>
      </c>
      <c r="F72" s="14">
        <v>9.0811931477920751E-6</v>
      </c>
      <c r="G72" s="14">
        <v>1.6812738887151569E-6</v>
      </c>
      <c r="H72" s="14">
        <v>0</v>
      </c>
      <c r="I72" s="14">
        <v>2.0125954048742081E-7</v>
      </c>
      <c r="J72" s="14">
        <v>2.313934699184688E-5</v>
      </c>
      <c r="K72" s="14">
        <v>0</v>
      </c>
    </row>
    <row r="73" spans="1:11">
      <c r="A73" s="2" t="s">
        <v>423</v>
      </c>
      <c r="B73" s="3" t="s">
        <v>424</v>
      </c>
      <c r="D73" s="14">
        <v>8.0792924817497343E-7</v>
      </c>
      <c r="E73" s="14">
        <v>1.6270953165087045E-5</v>
      </c>
      <c r="F73" s="14">
        <v>1.9973195151626681E-6</v>
      </c>
      <c r="G73" s="14">
        <v>4.5787096108966151E-7</v>
      </c>
      <c r="H73" s="14">
        <v>0</v>
      </c>
      <c r="I73" s="14">
        <v>5.5329006167998014E-8</v>
      </c>
      <c r="J73" s="14">
        <v>2.0410598104317656E-5</v>
      </c>
      <c r="K73" s="14">
        <v>0</v>
      </c>
    </row>
    <row r="74" spans="1:11">
      <c r="A74" s="2" t="s">
        <v>425</v>
      </c>
      <c r="B74" s="3" t="s">
        <v>426</v>
      </c>
      <c r="D74" s="14">
        <v>7.1163482006661849E-7</v>
      </c>
      <c r="E74" s="14">
        <v>3.8818330591537217E-6</v>
      </c>
      <c r="F74" s="14">
        <v>9.8204503596500303E-6</v>
      </c>
      <c r="G74" s="14">
        <v>1.8014696926372316E-6</v>
      </c>
      <c r="H74" s="14">
        <v>0</v>
      </c>
      <c r="I74" s="14">
        <v>2.1569704180639921E-7</v>
      </c>
      <c r="J74" s="14">
        <v>2.3568915026685998E-5</v>
      </c>
      <c r="K74" s="14">
        <v>0</v>
      </c>
    </row>
    <row r="75" spans="1:11">
      <c r="A75" s="2" t="s">
        <v>427</v>
      </c>
      <c r="B75" s="3" t="s">
        <v>428</v>
      </c>
      <c r="D75" s="14">
        <v>2.1102714075430299E-13</v>
      </c>
      <c r="E75" s="14">
        <v>1.6614910126655359E-6</v>
      </c>
      <c r="F75" s="14">
        <v>3.8134016208376022E-5</v>
      </c>
      <c r="G75" s="14">
        <v>1.4715084349602173E-8</v>
      </c>
      <c r="H75" s="14">
        <v>0</v>
      </c>
      <c r="I75" s="14">
        <v>1.5773874665269456E-7</v>
      </c>
      <c r="J75" s="14">
        <v>3.2038736929010624E-8</v>
      </c>
      <c r="K75" s="14">
        <v>0</v>
      </c>
    </row>
    <row r="76" spans="1:11">
      <c r="A76" s="2" t="s">
        <v>429</v>
      </c>
      <c r="B76" s="3" t="s">
        <v>430</v>
      </c>
      <c r="D76" s="14">
        <v>5.3007621426726254E-15</v>
      </c>
      <c r="E76" s="14">
        <v>1.6614910212108492E-6</v>
      </c>
      <c r="F76" s="14">
        <v>3.8134016404505342E-5</v>
      </c>
      <c r="G76" s="14">
        <v>1.4715084425284202E-8</v>
      </c>
      <c r="H76" s="14">
        <v>0</v>
      </c>
      <c r="I76" s="14">
        <v>1.5773874746397009E-7</v>
      </c>
      <c r="J76" s="14">
        <v>3.2038737093790958E-8</v>
      </c>
      <c r="K76" s="14">
        <v>0</v>
      </c>
    </row>
    <row r="77" spans="1:11">
      <c r="A77" s="2" t="s">
        <v>431</v>
      </c>
      <c r="B77" s="3" t="s">
        <v>432</v>
      </c>
      <c r="D77" s="14">
        <v>2.1039368094937515E-6</v>
      </c>
      <c r="E77" s="14">
        <v>8.9890202006733567E-6</v>
      </c>
      <c r="F77" s="14">
        <v>4.4761734485798845E-6</v>
      </c>
      <c r="G77" s="14">
        <v>9.2555549203081166E-7</v>
      </c>
      <c r="H77" s="14">
        <v>0</v>
      </c>
      <c r="I77" s="14">
        <v>1.1074267084468403E-7</v>
      </c>
      <c r="J77" s="14">
        <v>2.3394571378377517E-5</v>
      </c>
      <c r="K77" s="14">
        <v>0</v>
      </c>
    </row>
    <row r="78" spans="1:11">
      <c r="A78" s="2" t="s">
        <v>433</v>
      </c>
      <c r="B78" s="3" t="s">
        <v>434</v>
      </c>
      <c r="D78" s="14">
        <v>1.5535265234348661E-6</v>
      </c>
      <c r="E78" s="14">
        <v>2.4505204825336098E-5</v>
      </c>
      <c r="F78" s="14">
        <v>5.9209703632620304E-7</v>
      </c>
      <c r="G78" s="14">
        <v>1.5299894728467737E-7</v>
      </c>
      <c r="H78" s="14">
        <v>0</v>
      </c>
      <c r="I78" s="14">
        <v>1.9642120120108987E-8</v>
      </c>
      <c r="J78" s="14">
        <v>1.3176530547498045E-5</v>
      </c>
      <c r="K78" s="14">
        <v>0</v>
      </c>
    </row>
    <row r="79" spans="1:11">
      <c r="A79" s="2" t="s">
        <v>435</v>
      </c>
      <c r="B79" s="3" t="s">
        <v>436</v>
      </c>
      <c r="D79" s="14">
        <v>4.2288364043679679E-7</v>
      </c>
      <c r="E79" s="14">
        <v>2.0036439481041283E-5</v>
      </c>
      <c r="F79" s="14">
        <v>1.2837932838949932E-6</v>
      </c>
      <c r="G79" s="14">
        <v>3.0873840397088581E-7</v>
      </c>
      <c r="H79" s="14">
        <v>0</v>
      </c>
      <c r="I79" s="14">
        <v>3.7827668450510507E-8</v>
      </c>
      <c r="J79" s="14">
        <v>1.7910317522205536E-5</v>
      </c>
      <c r="K79" s="14">
        <v>0</v>
      </c>
    </row>
    <row r="80" spans="1:11">
      <c r="A80" s="2" t="s">
        <v>437</v>
      </c>
      <c r="B80" s="3" t="s">
        <v>438</v>
      </c>
      <c r="D80" s="14">
        <v>7.6180718789070004E-14</v>
      </c>
      <c r="E80" s="14">
        <v>1.1358075411615626E-6</v>
      </c>
      <c r="F80" s="14">
        <v>3.8487464225472813E-5</v>
      </c>
      <c r="G80" s="14">
        <v>2.8527880544708873E-8</v>
      </c>
      <c r="H80" s="14">
        <v>0</v>
      </c>
      <c r="I80" s="14">
        <v>3.0882876061848466E-7</v>
      </c>
      <c r="J80" s="14">
        <v>3.9371516021726264E-8</v>
      </c>
      <c r="K80" s="14">
        <v>0</v>
      </c>
    </row>
    <row r="81" spans="1:11">
      <c r="A81" s="2" t="s">
        <v>440</v>
      </c>
      <c r="B81" s="3" t="s">
        <v>441</v>
      </c>
      <c r="D81" s="14">
        <v>7.3785139502862467E-18</v>
      </c>
      <c r="E81" s="14">
        <v>3.8835470154079185E-5</v>
      </c>
      <c r="F81" s="14">
        <v>3.6428653395385265E-9</v>
      </c>
      <c r="G81" s="14">
        <v>1.4168982796224997E-9</v>
      </c>
      <c r="H81" s="14">
        <v>0</v>
      </c>
      <c r="I81" s="14">
        <v>2.6886647382564051E-9</v>
      </c>
      <c r="J81" s="14">
        <v>1.1567814175560148E-6</v>
      </c>
      <c r="K81" s="14">
        <v>0</v>
      </c>
    </row>
    <row r="82" spans="1:11">
      <c r="A82" s="2" t="s">
        <v>442</v>
      </c>
      <c r="B82" s="3" t="s">
        <v>443</v>
      </c>
      <c r="D82" s="14">
        <v>3.5122951356158082E-9</v>
      </c>
      <c r="E82" s="14">
        <v>3.064013445405352E-5</v>
      </c>
      <c r="F82" s="14">
        <v>2.343501398956195E-7</v>
      </c>
      <c r="G82" s="14">
        <v>6.591143582473371E-8</v>
      </c>
      <c r="H82" s="14">
        <v>0</v>
      </c>
      <c r="I82" s="14">
        <v>9.741329282373036E-9</v>
      </c>
      <c r="J82" s="14">
        <v>9.0463503458081364E-6</v>
      </c>
      <c r="K82" s="14">
        <v>0</v>
      </c>
    </row>
    <row r="83" spans="1:11">
      <c r="A83" s="2" t="s">
        <v>444</v>
      </c>
      <c r="B83" s="3" t="s">
        <v>445</v>
      </c>
      <c r="D83" s="14">
        <v>4.2600702316977017E-8</v>
      </c>
      <c r="E83" s="14">
        <v>1.0733872281383731E-5</v>
      </c>
      <c r="F83" s="14">
        <v>4.0596722575257871E-6</v>
      </c>
      <c r="G83" s="14">
        <v>8.5661668496312669E-7</v>
      </c>
      <c r="H83" s="14">
        <v>0</v>
      </c>
      <c r="I83" s="14">
        <v>1.0256841875698788E-7</v>
      </c>
      <c r="J83" s="14">
        <v>2.4204669655053391E-5</v>
      </c>
      <c r="K83" s="14">
        <v>0</v>
      </c>
    </row>
    <row r="84" spans="1:11">
      <c r="A84" s="2" t="s">
        <v>446</v>
      </c>
      <c r="B84" s="3" t="s">
        <v>447</v>
      </c>
      <c r="D84" s="14">
        <v>2.2714358672890489E-19</v>
      </c>
      <c r="E84" s="14">
        <v>3.7486090019401946E-5</v>
      </c>
      <c r="F84" s="14">
        <v>1.636721148770532E-8</v>
      </c>
      <c r="G84" s="14">
        <v>5.6842117696060594E-9</v>
      </c>
      <c r="H84" s="14">
        <v>0</v>
      </c>
      <c r="I84" s="14">
        <v>3.0993480708376134E-9</v>
      </c>
      <c r="J84" s="14">
        <v>2.4887592092696859E-6</v>
      </c>
      <c r="K84" s="14">
        <v>0</v>
      </c>
    </row>
    <row r="85" spans="1:11">
      <c r="A85" s="2" t="s">
        <v>448</v>
      </c>
      <c r="B85" s="3" t="s">
        <v>449</v>
      </c>
      <c r="D85" s="14">
        <v>1.5899586432460403E-12</v>
      </c>
      <c r="E85" s="14">
        <v>3.9514409152516854E-5</v>
      </c>
      <c r="F85" s="14">
        <v>6.6843632499525269E-10</v>
      </c>
      <c r="G85" s="14">
        <v>2.9495488833874729E-10</v>
      </c>
      <c r="H85" s="14">
        <v>0</v>
      </c>
      <c r="I85" s="14">
        <v>2.6023475274153821E-9</v>
      </c>
      <c r="J85" s="14">
        <v>4.82023518783762E-7</v>
      </c>
      <c r="K85" s="14">
        <v>0</v>
      </c>
    </row>
    <row r="86" spans="1:11">
      <c r="A86" s="2" t="s">
        <v>450</v>
      </c>
      <c r="B86" s="3" t="s">
        <v>451</v>
      </c>
      <c r="D86" s="14">
        <v>5.7133135322871547E-13</v>
      </c>
      <c r="E86" s="14">
        <v>3.7547214370450676E-5</v>
      </c>
      <c r="F86" s="14">
        <v>1.559417029511584E-8</v>
      </c>
      <c r="G86" s="14">
        <v>5.4357293912042912E-9</v>
      </c>
      <c r="H86" s="14">
        <v>0</v>
      </c>
      <c r="I86" s="14">
        <v>3.0742521946652145E-9</v>
      </c>
      <c r="J86" s="14">
        <v>2.428680906336985E-6</v>
      </c>
      <c r="K86" s="14">
        <v>0</v>
      </c>
    </row>
    <row r="87" spans="1:11">
      <c r="A87" s="2" t="s">
        <v>452</v>
      </c>
      <c r="B87" s="3" t="s">
        <v>453</v>
      </c>
      <c r="D87" s="14">
        <v>1.104577933355105E-11</v>
      </c>
      <c r="E87" s="14">
        <v>1.1894221650671757E-7</v>
      </c>
      <c r="F87" s="14">
        <v>4.8760772544171685E-6</v>
      </c>
      <c r="G87" s="14">
        <v>1.5724112165909106E-5</v>
      </c>
      <c r="H87" s="14">
        <v>0</v>
      </c>
      <c r="I87" s="14">
        <v>1.9156983368179027E-6</v>
      </c>
      <c r="J87" s="14">
        <v>1.7365158980569778E-5</v>
      </c>
      <c r="K87" s="14">
        <v>0</v>
      </c>
    </row>
    <row r="88" spans="1:11">
      <c r="A88" s="2" t="s">
        <v>454</v>
      </c>
      <c r="B88" s="3" t="s">
        <v>455</v>
      </c>
      <c r="D88" s="14">
        <v>1.8025840820197362E-9</v>
      </c>
      <c r="E88" s="14">
        <v>2.720665792340711E-5</v>
      </c>
      <c r="F88" s="14">
        <v>4.6320127541077565E-7</v>
      </c>
      <c r="G88" s="14">
        <v>1.2281892785783898E-7</v>
      </c>
      <c r="H88" s="14">
        <v>0</v>
      </c>
      <c r="I88" s="14">
        <v>1.6242681955314873E-8</v>
      </c>
      <c r="J88" s="14">
        <v>1.2189276607286942E-5</v>
      </c>
      <c r="K88" s="14">
        <v>0</v>
      </c>
    </row>
    <row r="89" spans="1:11">
      <c r="A89" s="2" t="s">
        <v>456</v>
      </c>
      <c r="B89" s="3" t="s">
        <v>457</v>
      </c>
      <c r="D89" s="14">
        <v>1.1682911912234157E-21</v>
      </c>
      <c r="E89" s="14">
        <v>3.0053203123626096E-5</v>
      </c>
      <c r="F89" s="14">
        <v>2.6707012953937974E-7</v>
      </c>
      <c r="G89" s="14">
        <v>7.4288377367091917E-8</v>
      </c>
      <c r="H89" s="14">
        <v>0</v>
      </c>
      <c r="I89" s="14">
        <v>1.0691910643454043E-8</v>
      </c>
      <c r="J89" s="14">
        <v>9.5947464588239856E-6</v>
      </c>
      <c r="K89" s="14">
        <v>0</v>
      </c>
    </row>
    <row r="90" spans="1:11">
      <c r="A90" s="2" t="s">
        <v>458</v>
      </c>
      <c r="B90" s="3" t="s">
        <v>459</v>
      </c>
      <c r="D90" s="14">
        <v>1.7054113614583467E-33</v>
      </c>
      <c r="E90" s="14">
        <v>3.5166473261713789E-5</v>
      </c>
      <c r="F90" s="14">
        <v>5.9993385005833708E-8</v>
      </c>
      <c r="G90" s="14">
        <v>1.8845120648331055E-8</v>
      </c>
      <c r="H90" s="14">
        <v>0</v>
      </c>
      <c r="I90" s="14">
        <v>4.4919796850438945E-9</v>
      </c>
      <c r="J90" s="14">
        <v>4.7501962529470093E-6</v>
      </c>
      <c r="K90" s="14">
        <v>0</v>
      </c>
    </row>
    <row r="91" spans="1:11">
      <c r="A91" s="2" t="s">
        <v>460</v>
      </c>
      <c r="B91" s="3" t="s">
        <v>461</v>
      </c>
      <c r="D91" s="14">
        <v>9.5122801222401846E-12</v>
      </c>
      <c r="E91" s="14">
        <v>6.4133404605294046E-7</v>
      </c>
      <c r="F91" s="14">
        <v>1.0056777598817783E-5</v>
      </c>
      <c r="G91" s="14">
        <v>6.4811847488852901E-6</v>
      </c>
      <c r="H91" s="14">
        <v>0</v>
      </c>
      <c r="I91" s="14">
        <v>7.8295526359725329E-7</v>
      </c>
      <c r="J91" s="14">
        <v>2.203773883036662E-5</v>
      </c>
      <c r="K91" s="14">
        <v>0</v>
      </c>
    </row>
    <row r="92" spans="1:11">
      <c r="A92" s="2" t="s">
        <v>462</v>
      </c>
      <c r="B92" s="3" t="s">
        <v>463</v>
      </c>
      <c r="D92" s="14">
        <v>3.2721945128137424E-13</v>
      </c>
      <c r="E92" s="14">
        <v>1.3101432285131621E-5</v>
      </c>
      <c r="F92" s="14">
        <v>3.0811534428751762E-6</v>
      </c>
      <c r="G92" s="14">
        <v>6.7330041521909714E-7</v>
      </c>
      <c r="H92" s="14">
        <v>0</v>
      </c>
      <c r="I92" s="14">
        <v>8.0810096477155892E-8</v>
      </c>
      <c r="J92" s="14">
        <v>2.3063303433077502E-5</v>
      </c>
      <c r="K92" s="14">
        <v>0</v>
      </c>
    </row>
    <row r="93" spans="1:11">
      <c r="A93" s="2" t="s">
        <v>464</v>
      </c>
      <c r="B93" s="3" t="s">
        <v>465</v>
      </c>
      <c r="D93" s="14">
        <v>2.5588788909438335E-8</v>
      </c>
      <c r="E93" s="14">
        <v>5.0798325453361279E-6</v>
      </c>
      <c r="F93" s="14">
        <v>8.4008638550669547E-6</v>
      </c>
      <c r="G93" s="14">
        <v>1.590081929018509E-6</v>
      </c>
      <c r="H93" s="14">
        <v>0</v>
      </c>
      <c r="I93" s="14">
        <v>1.9025371103319193E-7</v>
      </c>
      <c r="J93" s="14">
        <v>2.4713379170635779E-5</v>
      </c>
      <c r="K93" s="14">
        <v>0</v>
      </c>
    </row>
    <row r="94" spans="1:11">
      <c r="A94" s="2" t="s">
        <v>466</v>
      </c>
      <c r="B94" s="3" t="s">
        <v>467</v>
      </c>
      <c r="D94" s="14">
        <v>8.0750893523079783E-23</v>
      </c>
      <c r="E94" s="14">
        <v>3.9527474761509284E-5</v>
      </c>
      <c r="F94" s="14">
        <v>4.6248070716113242E-7</v>
      </c>
      <c r="G94" s="14">
        <v>6.0776000218833436E-11</v>
      </c>
      <c r="H94" s="14">
        <v>0</v>
      </c>
      <c r="I94" s="14">
        <v>2.9620153119055095E-9</v>
      </c>
      <c r="J94" s="14">
        <v>7.0217400174618396E-9</v>
      </c>
      <c r="K94" s="14">
        <v>0</v>
      </c>
    </row>
    <row r="95" spans="1:11">
      <c r="A95" s="2" t="s">
        <v>468</v>
      </c>
      <c r="B95" s="3" t="s">
        <v>469</v>
      </c>
      <c r="D95" s="14">
        <v>3.8052435646689699E-22</v>
      </c>
      <c r="E95" s="14">
        <v>1.4898485570454935E-6</v>
      </c>
      <c r="F95" s="14">
        <v>1.3193398341098029E-5</v>
      </c>
      <c r="G95" s="14">
        <v>3.2640156351373799E-6</v>
      </c>
      <c r="H95" s="14">
        <v>0</v>
      </c>
      <c r="I95" s="14">
        <v>3.9241783754464161E-7</v>
      </c>
      <c r="J95" s="14">
        <v>2.1660319629174459E-5</v>
      </c>
      <c r="K95" s="14">
        <v>0</v>
      </c>
    </row>
    <row r="96" spans="1:11">
      <c r="A96" s="2" t="s">
        <v>470</v>
      </c>
      <c r="B96" s="165">
        <v>354656</v>
      </c>
      <c r="D96" s="14">
        <v>1.4711064483634748E-14</v>
      </c>
      <c r="E96" s="14">
        <v>3.8790355846258052E-5</v>
      </c>
      <c r="F96" s="14">
        <v>3.9220968532219352E-9</v>
      </c>
      <c r="G96" s="14">
        <v>1.5170988159896929E-9</v>
      </c>
      <c r="H96" s="14">
        <v>0</v>
      </c>
      <c r="I96" s="14">
        <v>2.6974049649404292E-9</v>
      </c>
      <c r="J96" s="14">
        <v>1.2015075383967308E-6</v>
      </c>
      <c r="K96" s="14">
        <v>0</v>
      </c>
    </row>
    <row r="97" spans="1:11">
      <c r="A97" s="2" t="s">
        <v>472</v>
      </c>
      <c r="B97" s="3" t="s">
        <v>473</v>
      </c>
      <c r="D97" s="14">
        <v>2.2698651091966055E-14</v>
      </c>
      <c r="E97" s="14">
        <v>3.7454992438918878E-5</v>
      </c>
      <c r="F97" s="14">
        <v>1.6767729688353383E-8</v>
      </c>
      <c r="G97" s="14">
        <v>5.8125917277148992E-9</v>
      </c>
      <c r="H97" s="14">
        <v>0</v>
      </c>
      <c r="I97" s="14">
        <v>3.1123470111782353E-9</v>
      </c>
      <c r="J97" s="14">
        <v>2.519314869955231E-6</v>
      </c>
      <c r="K97" s="14">
        <v>0</v>
      </c>
    </row>
    <row r="98" spans="1:11">
      <c r="A98" s="2" t="s">
        <v>474</v>
      </c>
      <c r="B98" s="3" t="s">
        <v>475</v>
      </c>
      <c r="D98" s="14">
        <v>7.6760138052558273E-24</v>
      </c>
      <c r="E98" s="14">
        <v>3.0261845637077663E-6</v>
      </c>
      <c r="F98" s="14">
        <v>1.1711430946219524E-5</v>
      </c>
      <c r="G98" s="14">
        <v>2.0821188568876784E-6</v>
      </c>
      <c r="H98" s="14">
        <v>0</v>
      </c>
      <c r="I98" s="14">
        <v>2.4952152317958612E-7</v>
      </c>
      <c r="J98" s="14">
        <v>2.2930744110005454E-5</v>
      </c>
      <c r="K98" s="14">
        <v>0</v>
      </c>
    </row>
    <row r="99" spans="1:11">
      <c r="A99" s="2" t="s">
        <v>476</v>
      </c>
      <c r="B99" s="3" t="s">
        <v>477</v>
      </c>
      <c r="D99" s="14">
        <v>6.9391770370323742E-12</v>
      </c>
      <c r="E99" s="14">
        <v>3.966318924953014E-5</v>
      </c>
      <c r="F99" s="14">
        <v>3.2898961004877883E-10</v>
      </c>
      <c r="G99" s="14">
        <v>1.5299517612665228E-10</v>
      </c>
      <c r="H99" s="14">
        <v>0</v>
      </c>
      <c r="I99" s="14">
        <v>2.5955764746343187E-9</v>
      </c>
      <c r="J99" s="14">
        <v>3.3372625003201759E-7</v>
      </c>
      <c r="K99" s="14">
        <v>0</v>
      </c>
    </row>
    <row r="100" spans="1:11">
      <c r="A100" s="2" t="s">
        <v>478</v>
      </c>
      <c r="B100" s="3" t="s">
        <v>479</v>
      </c>
      <c r="D100" s="14">
        <v>2.669118963343628E-15</v>
      </c>
      <c r="E100" s="14">
        <v>2.1503422861854508E-5</v>
      </c>
      <c r="F100" s="14">
        <v>1.1001252830281261E-6</v>
      </c>
      <c r="G100" s="14">
        <v>2.6899097004774068E-7</v>
      </c>
      <c r="H100" s="14">
        <v>0</v>
      </c>
      <c r="I100" s="14">
        <v>3.3199841089364337E-8</v>
      </c>
      <c r="J100" s="14">
        <v>1.7094261041311152E-5</v>
      </c>
      <c r="K100" s="14">
        <v>0</v>
      </c>
    </row>
    <row r="101" spans="1:11">
      <c r="A101" s="2" t="s">
        <v>480</v>
      </c>
      <c r="B101" s="3" t="s">
        <v>481</v>
      </c>
      <c r="D101" s="14">
        <v>1.8673553259110417E-15</v>
      </c>
      <c r="E101" s="14">
        <v>3.943725051165E-5</v>
      </c>
      <c r="F101" s="14">
        <v>8.8940830318940693E-10</v>
      </c>
      <c r="G101" s="14">
        <v>3.8423483426000759E-10</v>
      </c>
      <c r="H101" s="14">
        <v>0</v>
      </c>
      <c r="I101" s="14">
        <v>2.6076860470006027E-9</v>
      </c>
      <c r="J101" s="14">
        <v>5.5886815729819441E-7</v>
      </c>
      <c r="K101" s="14">
        <v>0</v>
      </c>
    </row>
    <row r="102" spans="1:11">
      <c r="A102" s="2" t="s">
        <v>482</v>
      </c>
      <c r="B102" s="3" t="s">
        <v>483</v>
      </c>
      <c r="D102" s="14">
        <v>1.1734046127831227E-31</v>
      </c>
      <c r="E102" s="14">
        <v>3.9855426013041443E-5</v>
      </c>
      <c r="F102" s="14">
        <v>6.3463205745909964E-11</v>
      </c>
      <c r="G102" s="14">
        <v>3.3328637628159268E-11</v>
      </c>
      <c r="H102" s="14">
        <v>0</v>
      </c>
      <c r="I102" s="14">
        <v>2.5942508959069954E-9</v>
      </c>
      <c r="J102" s="14">
        <v>1.4188294421928154E-7</v>
      </c>
      <c r="K102" s="14">
        <v>0</v>
      </c>
    </row>
    <row r="103" spans="1:11">
      <c r="A103" s="2" t="s">
        <v>484</v>
      </c>
      <c r="B103" s="3" t="s">
        <v>485</v>
      </c>
      <c r="D103" s="14">
        <v>9.3599716328966483E-18</v>
      </c>
      <c r="E103" s="14">
        <v>3.9673836300474717E-5</v>
      </c>
      <c r="F103" s="14">
        <v>3.0913540510950531E-10</v>
      </c>
      <c r="G103" s="14">
        <v>1.4442564068724668E-10</v>
      </c>
      <c r="H103" s="14">
        <v>0</v>
      </c>
      <c r="I103" s="14">
        <v>2.5952771786064451E-9</v>
      </c>
      <c r="J103" s="14">
        <v>3.231148612915194E-7</v>
      </c>
      <c r="K103" s="14">
        <v>0</v>
      </c>
    </row>
    <row r="104" spans="1:11">
      <c r="A104" s="2" t="s">
        <v>486</v>
      </c>
      <c r="B104" s="3" t="s">
        <v>487</v>
      </c>
      <c r="D104" s="14">
        <v>1.1550356582232143E-13</v>
      </c>
      <c r="E104" s="14">
        <v>3.8167617957883915E-5</v>
      </c>
      <c r="F104" s="14">
        <v>8.8078438543760907E-9</v>
      </c>
      <c r="G104" s="14">
        <v>3.2060121376827679E-9</v>
      </c>
      <c r="H104" s="14">
        <v>0</v>
      </c>
      <c r="I104" s="14">
        <v>2.8539537159779353E-9</v>
      </c>
      <c r="J104" s="14">
        <v>1.8175141169044882E-6</v>
      </c>
      <c r="K104" s="14">
        <v>0</v>
      </c>
    </row>
    <row r="105" spans="1:11">
      <c r="A105" s="2" t="s">
        <v>488</v>
      </c>
      <c r="B105" s="3" t="s">
        <v>489</v>
      </c>
      <c r="D105" s="14">
        <v>9.3320941665880737E-21</v>
      </c>
      <c r="E105" s="14">
        <v>3.9827108476026132E-5</v>
      </c>
      <c r="F105" s="14">
        <v>9.0002241848984958E-11</v>
      </c>
      <c r="G105" s="14">
        <v>4.6062646101995566E-11</v>
      </c>
      <c r="H105" s="14">
        <v>0</v>
      </c>
      <c r="I105" s="14">
        <v>2.5938775998555253E-9</v>
      </c>
      <c r="J105" s="14">
        <v>1.7016158148606107E-7</v>
      </c>
      <c r="K105" s="14">
        <v>0</v>
      </c>
    </row>
    <row r="106" spans="1:11">
      <c r="A106" s="2" t="s">
        <v>490</v>
      </c>
      <c r="B106" s="3" t="s">
        <v>491</v>
      </c>
      <c r="D106" s="14">
        <v>5.216733813049468E-13</v>
      </c>
      <c r="E106" s="14">
        <v>3.3923319418504579E-5</v>
      </c>
      <c r="F106" s="14">
        <v>9.5427356224393777E-8</v>
      </c>
      <c r="G106" s="14">
        <v>2.8891390707243999E-8</v>
      </c>
      <c r="H106" s="14">
        <v>0</v>
      </c>
      <c r="I106" s="14">
        <v>5.5921876569505001E-9</v>
      </c>
      <c r="J106" s="14">
        <v>5.9467691252334534E-6</v>
      </c>
      <c r="K106" s="14">
        <v>0</v>
      </c>
    </row>
    <row r="107" spans="1:11">
      <c r="A107" s="2" t="s">
        <v>492</v>
      </c>
      <c r="B107" s="3" t="s">
        <v>493</v>
      </c>
      <c r="D107" s="14">
        <v>3.916653618313301E-20</v>
      </c>
      <c r="E107" s="14">
        <v>2.4428389135785965E-6</v>
      </c>
      <c r="F107" s="14">
        <v>1.3085471621360813E-5</v>
      </c>
      <c r="G107" s="14">
        <v>2.2713545710923419E-6</v>
      </c>
      <c r="H107" s="14">
        <v>0</v>
      </c>
      <c r="I107" s="14">
        <v>2.7240844325837465E-7</v>
      </c>
      <c r="J107" s="14">
        <v>2.1927926450709841E-5</v>
      </c>
      <c r="K107" s="14">
        <v>0</v>
      </c>
    </row>
    <row r="108" spans="1:11">
      <c r="A108" s="2" t="s">
        <v>291</v>
      </c>
      <c r="B108" s="3" t="s">
        <v>494</v>
      </c>
      <c r="D108" s="14">
        <v>1.4535831849628732E-14</v>
      </c>
      <c r="E108" s="14">
        <v>2.341097789606657E-5</v>
      </c>
      <c r="F108" s="14">
        <v>8.4394492379033086E-7</v>
      </c>
      <c r="G108" s="14">
        <v>2.1174329192620063E-7</v>
      </c>
      <c r="H108" s="14">
        <v>0</v>
      </c>
      <c r="I108" s="14">
        <v>2.6530101456366693E-8</v>
      </c>
      <c r="J108" s="14">
        <v>1.5506803772224698E-5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8B54-1554-4FB2-A19E-8F397D4DB40E}">
  <dimension ref="A1:D108"/>
  <sheetViews>
    <sheetView tabSelected="1" topLeftCell="A76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7.3615900300330983E-9</v>
      </c>
      <c r="B2">
        <f>'Mass Balance'!E2</f>
        <v>3.2337059304983727E-5</v>
      </c>
      <c r="C2">
        <f>SUM('Mass Balance'!E2:H2)</f>
        <v>3.2535646887727805E-5</v>
      </c>
      <c r="D2">
        <f>Concentrations!F2/Concentrations!E2</f>
        <v>0.99428391917831205</v>
      </c>
    </row>
    <row r="3" spans="1:4">
      <c r="A3">
        <f>'Mass Balance'!I3</f>
        <v>1.7373322550942499E-6</v>
      </c>
      <c r="B3">
        <f>'Mass Balance'!E3</f>
        <v>1.4256543599137742E-7</v>
      </c>
      <c r="C3">
        <f>SUM('Mass Balance'!E3:H3)</f>
        <v>1.9683658231968512E-5</v>
      </c>
      <c r="D3">
        <f>Concentrations!F3/Concentrations!E3</f>
        <v>7.245656965541877E-3</v>
      </c>
    </row>
    <row r="4" spans="1:4">
      <c r="A4">
        <f>'Mass Balance'!I4</f>
        <v>4.0669468092770392E-8</v>
      </c>
      <c r="B4">
        <f>'Mass Balance'!E4</f>
        <v>1.9689829984868049E-5</v>
      </c>
      <c r="C4">
        <f>SUM('Mass Balance'!E4:H4)</f>
        <v>2.1416983603911752E-5</v>
      </c>
      <c r="D4">
        <f>Concentrations!F4/Concentrations!E4</f>
        <v>0.91971442972599593</v>
      </c>
    </row>
    <row r="5" spans="1:4">
      <c r="A5">
        <f>'Mass Balance'!I5</f>
        <v>4.4306486365382755E-7</v>
      </c>
      <c r="B5">
        <f>'Mass Balance'!E5</f>
        <v>1.3027609240982543E-6</v>
      </c>
      <c r="C5">
        <f>SUM('Mass Balance'!E5:H5)</f>
        <v>1.7674540724745138E-5</v>
      </c>
      <c r="D5">
        <f>Concentrations!F5/Concentrations!E5</f>
        <v>7.3737078138436107E-2</v>
      </c>
    </row>
    <row r="6" spans="1:4">
      <c r="A6">
        <f>'Mass Balance'!I6</f>
        <v>2.2686276186593319E-6</v>
      </c>
      <c r="B6">
        <f>'Mass Balance'!E6</f>
        <v>7.1788677499901364E-8</v>
      </c>
      <c r="C6">
        <f>SUM('Mass Balance'!E6:H6)</f>
        <v>2.2433897127971348E-5</v>
      </c>
      <c r="D6">
        <f>Concentrations!F6/Concentrations!E6</f>
        <v>3.2012571914110167E-3</v>
      </c>
    </row>
    <row r="7" spans="1:4">
      <c r="A7">
        <f>'Mass Balance'!I7</f>
        <v>1.8432637634687183E-6</v>
      </c>
      <c r="B7">
        <f>'Mass Balance'!E7</f>
        <v>1.3157025971720402E-7</v>
      </c>
      <c r="C7">
        <f>SUM('Mass Balance'!E7:H7)</f>
        <v>2.0388887723486427E-5</v>
      </c>
      <c r="D7">
        <f>Concentrations!F7/Concentrations!E7</f>
        <v>6.4555542634555894E-3</v>
      </c>
    </row>
    <row r="8" spans="1:4">
      <c r="A8">
        <f>'Mass Balance'!I8</f>
        <v>1.3404053829564376E-6</v>
      </c>
      <c r="B8">
        <f>'Mass Balance'!E8</f>
        <v>2.6602080594738735E-7</v>
      </c>
      <c r="C8">
        <f>SUM('Mass Balance'!E8:H8)</f>
        <v>1.8384269235610466E-5</v>
      </c>
      <c r="D8">
        <f>Concentrations!F8/Concentrations!E8</f>
        <v>1.4475666589305134E-2</v>
      </c>
    </row>
    <row r="9" spans="1:4">
      <c r="A9">
        <f>'Mass Balance'!I9</f>
        <v>1.577207553090374E-7</v>
      </c>
      <c r="B9">
        <f>'Mass Balance'!E9</f>
        <v>6.6958265284298328E-6</v>
      </c>
      <c r="C9">
        <f>SUM('Mass Balance'!E9:H9)</f>
        <v>1.4730118481727169E-5</v>
      </c>
      <c r="D9">
        <f>Concentrations!F9/Concentrations!E9</f>
        <v>0.45474432916135366</v>
      </c>
    </row>
    <row r="10" spans="1:4">
      <c r="A10">
        <f>'Mass Balance'!I10</f>
        <v>4.7328579410144793E-7</v>
      </c>
      <c r="B10">
        <f>'Mass Balance'!E10</f>
        <v>1.2105283990659014E-6</v>
      </c>
      <c r="C10">
        <f>SUM('Mass Balance'!E10:H10)</f>
        <v>1.7562107185003392E-5</v>
      </c>
      <c r="D10">
        <f>Concentrations!F10/Concentrations!E10</f>
        <v>6.895530717026728E-2</v>
      </c>
    </row>
    <row r="11" spans="1:4">
      <c r="A11">
        <f>'Mass Balance'!I11</f>
        <v>5.266921271710763E-7</v>
      </c>
      <c r="B11">
        <f>'Mass Balance'!E11</f>
        <v>1.0678126680226297E-6</v>
      </c>
      <c r="C11">
        <f>SUM('Mass Balance'!E11:H11)</f>
        <v>1.7386461457379482E-5</v>
      </c>
      <c r="D11">
        <f>Concentrations!F11/Concentrations!E11</f>
        <v>6.1440282663387712E-2</v>
      </c>
    </row>
    <row r="12" spans="1:4">
      <c r="A12">
        <f>'Mass Balance'!I12</f>
        <v>1.9203001660695568E-7</v>
      </c>
      <c r="B12">
        <f>'Mass Balance'!E12</f>
        <v>5.0096847868167381E-6</v>
      </c>
      <c r="C12">
        <f>SUM('Mass Balance'!E12:H12)</f>
        <v>1.5109196644399353E-5</v>
      </c>
      <c r="D12">
        <f>Concentrations!F12/Concentrations!E12</f>
        <v>0.33169457264537167</v>
      </c>
    </row>
    <row r="13" spans="1:4">
      <c r="A13">
        <f>'Mass Balance'!I13</f>
        <v>1.6084302067377278E-7</v>
      </c>
      <c r="B13">
        <f>'Mass Balance'!E13</f>
        <v>6.5190994194671282E-6</v>
      </c>
      <c r="C13">
        <f>SUM('Mass Balance'!E13:H13)</f>
        <v>1.4737528133761611E-5</v>
      </c>
      <c r="D13">
        <f>Concentrations!F13/Concentrations!E13</f>
        <v>0.4425193802597488</v>
      </c>
    </row>
    <row r="14" spans="1:4">
      <c r="A14">
        <f>'Mass Balance'!I14</f>
        <v>7.2387055398271056E-7</v>
      </c>
      <c r="B14">
        <f>'Mass Balance'!E14</f>
        <v>7.1408145640090232E-7</v>
      </c>
      <c r="C14">
        <f>SUM('Mass Balance'!E14:H14)</f>
        <v>1.715797331241413E-5</v>
      </c>
      <c r="D14">
        <f>Concentrations!F14/Concentrations!E14</f>
        <v>4.163428450865031E-2</v>
      </c>
    </row>
    <row r="15" spans="1:4">
      <c r="A15">
        <f>'Mass Balance'!I15</f>
        <v>4.9950974334903276E-7</v>
      </c>
      <c r="B15">
        <f>'Mass Balance'!E15</f>
        <v>1.1374683976574741E-6</v>
      </c>
      <c r="C15">
        <f>SUM('Mass Balance'!E15:H15)</f>
        <v>1.7472118412997708E-5</v>
      </c>
      <c r="D15">
        <f>Concentrations!F15/Concentrations!E15</f>
        <v>6.5127305938216654E-2</v>
      </c>
    </row>
    <row r="16" spans="1:4">
      <c r="A16">
        <f>'Mass Balance'!I16</f>
        <v>1.317508052205676E-6</v>
      </c>
      <c r="B16">
        <f>'Mass Balance'!E16</f>
        <v>2.7391711078632965E-7</v>
      </c>
      <c r="C16">
        <f>SUM('Mass Balance'!E16:H16)</f>
        <v>1.8290095437011649E-5</v>
      </c>
      <c r="D16">
        <f>Concentrations!F16/Concentrations!E16</f>
        <v>1.4982094392090273E-2</v>
      </c>
    </row>
    <row r="17" spans="1:4">
      <c r="A17">
        <f>'Mass Balance'!I17</f>
        <v>4.5306277078520997E-7</v>
      </c>
      <c r="B17">
        <f>'Mass Balance'!E17</f>
        <v>1.27166878780635E-6</v>
      </c>
      <c r="C17">
        <f>SUM('Mass Balance'!E17:H17)</f>
        <v>1.7639505361233663E-5</v>
      </c>
      <c r="D17">
        <f>Concentrations!F17/Concentrations!E17</f>
        <v>7.2120204192343523E-2</v>
      </c>
    </row>
    <row r="18" spans="1:4">
      <c r="A18">
        <f>'Mass Balance'!I18</f>
        <v>1.4279857881610286E-7</v>
      </c>
      <c r="B18">
        <f>'Mass Balance'!E18</f>
        <v>7.4677547345095524E-6</v>
      </c>
      <c r="C18">
        <f>SUM('Mass Balance'!E18:H18)</f>
        <v>1.4642120625104601E-5</v>
      </c>
      <c r="D18">
        <f>Concentrations!F18/Concentrations!E18</f>
        <v>0.51021756278682484</v>
      </c>
    </row>
    <row r="19" spans="1:4">
      <c r="A19">
        <f>'Mass Balance'!I19</f>
        <v>5.0489162718392848E-7</v>
      </c>
      <c r="B19">
        <f>'Mass Balance'!E19</f>
        <v>1.1233166444816601E-6</v>
      </c>
      <c r="C19">
        <f>SUM('Mass Balance'!E19:H19)</f>
        <v>1.7455388924503881E-5</v>
      </c>
      <c r="D19">
        <f>Concentrations!F19/Concentrations!E19</f>
        <v>6.4378670328433418E-2</v>
      </c>
    </row>
    <row r="20" spans="1:4">
      <c r="A20">
        <f>'Mass Balance'!I20</f>
        <v>1.6090447345573331E-7</v>
      </c>
      <c r="B20">
        <f>'Mass Balance'!E20</f>
        <v>6.5215901510731708E-6</v>
      </c>
      <c r="C20">
        <f>SUM('Mass Balance'!E20:H20)</f>
        <v>1.474315885431913E-5</v>
      </c>
      <c r="D20">
        <f>Concentrations!F20/Concentrations!E20</f>
        <v>0.44251938025974874</v>
      </c>
    </row>
    <row r="21" spans="1:4">
      <c r="A21">
        <f>'Mass Balance'!I21</f>
        <v>6.6040333812893768E-7</v>
      </c>
      <c r="B21">
        <f>'Mass Balance'!E21</f>
        <v>8.0302022998401139E-7</v>
      </c>
      <c r="C21">
        <f>SUM('Mass Balance'!E21:H21)</f>
        <v>1.7145450758206998E-5</v>
      </c>
      <c r="D21">
        <f>Concentrations!F21/Concentrations!E21</f>
        <v>4.685402634239362E-2</v>
      </c>
    </row>
    <row r="22" spans="1:4">
      <c r="A22">
        <f>'Mass Balance'!I22</f>
        <v>1.8783610743486176E-8</v>
      </c>
      <c r="B22">
        <f>'Mass Balance'!E22</f>
        <v>2.6060884066664806E-5</v>
      </c>
      <c r="C22">
        <f>SUM('Mass Balance'!E22:H22)</f>
        <v>2.6761479667575746E-5</v>
      </c>
      <c r="D22">
        <f>Concentrations!F22/Concentrations!E22</f>
        <v>0.97420052731428075</v>
      </c>
    </row>
    <row r="23" spans="1:4">
      <c r="A23">
        <f>'Mass Balance'!I23</f>
        <v>1.0046062870355929E-8</v>
      </c>
      <c r="B23">
        <f>'Mass Balance'!E23</f>
        <v>3.0446426197135577E-5</v>
      </c>
      <c r="C23">
        <f>SUM('Mass Balance'!E23:H23)</f>
        <v>3.0759837531376976E-5</v>
      </c>
      <c r="D23">
        <f>Concentrations!F23/Concentrations!E23</f>
        <v>0.99019703955724436</v>
      </c>
    </row>
    <row r="24" spans="1:4">
      <c r="A24">
        <f>'Mass Balance'!I24</f>
        <v>8.1863776939698159E-8</v>
      </c>
      <c r="B24">
        <f>'Mass Balance'!E24</f>
        <v>1.2970543046836866E-5</v>
      </c>
      <c r="C24">
        <f>SUM('Mass Balance'!E24:H24)</f>
        <v>1.6780348468196642E-5</v>
      </c>
      <c r="D24">
        <f>Concentrations!F24/Concentrations!E24</f>
        <v>0.7732617400586479</v>
      </c>
    </row>
    <row r="25" spans="1:4">
      <c r="A25">
        <f>'Mass Balance'!I25</f>
        <v>2.26900227027525E-7</v>
      </c>
      <c r="B25">
        <f>'Mass Balance'!E25</f>
        <v>3.1631936421721688E-6</v>
      </c>
      <c r="C25">
        <f>SUM('Mass Balance'!E25:H25)</f>
        <v>1.5593286614309771E-5</v>
      </c>
      <c r="D25">
        <f>Concentrations!F25/Concentrations!E25</f>
        <v>0.2029352336531943</v>
      </c>
    </row>
    <row r="26" spans="1:4">
      <c r="A26">
        <f>'Mass Balance'!I26</f>
        <v>6.2155810019551189E-7</v>
      </c>
      <c r="B26">
        <f>'Mass Balance'!E26</f>
        <v>8.6886339106741602E-7</v>
      </c>
      <c r="C26">
        <f>SUM('Mass Balance'!E26:H26)</f>
        <v>1.7187504120622711E-5</v>
      </c>
      <c r="D26">
        <f>Concentrations!F26/Concentrations!E26</f>
        <v>5.0571754617127318E-2</v>
      </c>
    </row>
    <row r="27" spans="1:4">
      <c r="A27">
        <f>'Mass Balance'!I27</f>
        <v>1.689740134047891E-6</v>
      </c>
      <c r="B27">
        <f>'Mass Balance'!E27</f>
        <v>1.5574664692657578E-7</v>
      </c>
      <c r="C27">
        <f>SUM('Mass Balance'!E27:H27)</f>
        <v>1.9554434297271874E-5</v>
      </c>
      <c r="D27">
        <f>Concentrations!F27/Concentrations!E27</f>
        <v>7.9678800475457261E-3</v>
      </c>
    </row>
    <row r="28" spans="1:4">
      <c r="A28">
        <f>'Mass Balance'!I28</f>
        <v>9.3584452324420208E-7</v>
      </c>
      <c r="B28">
        <f>'Mass Balance'!E28</f>
        <v>4.9293592558044357E-7</v>
      </c>
      <c r="C28">
        <f>SUM('Mass Balance'!E28:H28)</f>
        <v>1.734047067083775E-5</v>
      </c>
      <c r="D28">
        <f>Concentrations!F28/Concentrations!E28</f>
        <v>2.8437992026032609E-2</v>
      </c>
    </row>
    <row r="29" spans="1:4">
      <c r="A29">
        <f>'Mass Balance'!I29</f>
        <v>6.2102304753164375E-7</v>
      </c>
      <c r="B29">
        <f>'Mass Balance'!E29</f>
        <v>6.5685808712984985E-7</v>
      </c>
      <c r="C29">
        <f>SUM('Mass Balance'!E29:H29)</f>
        <v>1.5166346501100536E-5</v>
      </c>
      <c r="D29">
        <f>Concentrations!F29/Concentrations!E29</f>
        <v>4.3327129345484806E-2</v>
      </c>
    </row>
    <row r="30" spans="1:4">
      <c r="A30">
        <f>'Mass Balance'!I30</f>
        <v>9.3584452324420208E-7</v>
      </c>
      <c r="B30">
        <f>'Mass Balance'!E30</f>
        <v>4.9293592558044357E-7</v>
      </c>
      <c r="C30">
        <f>SUM('Mass Balance'!E30:H30)</f>
        <v>1.734047067083775E-5</v>
      </c>
      <c r="D30">
        <f>Concentrations!F30/Concentrations!E30</f>
        <v>2.8437992026032609E-2</v>
      </c>
    </row>
    <row r="31" spans="1:4">
      <c r="A31">
        <f>'Mass Balance'!I31</f>
        <v>2.6503264234267372E-9</v>
      </c>
      <c r="B31">
        <f>'Mass Balance'!E31</f>
        <v>3.906169611881166E-5</v>
      </c>
      <c r="C31">
        <f>SUM('Mass Balance'!E31:H31)</f>
        <v>3.9065052600859913E-5</v>
      </c>
      <c r="D31">
        <f>Concentrations!F31/Concentrations!E31</f>
        <v>1.0003040382004162</v>
      </c>
    </row>
    <row r="32" spans="1:4">
      <c r="A32">
        <f>'Mass Balance'!I32</f>
        <v>3.0814598246217952E-8</v>
      </c>
      <c r="B32">
        <f>'Mass Balance'!E32</f>
        <v>2.227665928395253E-5</v>
      </c>
      <c r="C32">
        <f>SUM('Mass Balance'!E32:H32)</f>
        <v>2.3520626506287487E-5</v>
      </c>
      <c r="D32">
        <f>Concentrations!F32/Concentrations!E32</f>
        <v>0.9474810119395054</v>
      </c>
    </row>
    <row r="33" spans="1:4">
      <c r="A33">
        <f>'Mass Balance'!I33</f>
        <v>2.6163777267461143E-9</v>
      </c>
      <c r="B33">
        <f>'Mass Balance'!E33</f>
        <v>3.9978280243729782E-5</v>
      </c>
      <c r="C33">
        <f>SUM('Mass Balance'!E33:H33)</f>
        <v>3.9995098131199976E-5</v>
      </c>
      <c r="D33">
        <f>Concentrations!F33/Concentrations!E33</f>
        <v>0.99996932932585081</v>
      </c>
    </row>
    <row r="34" spans="1:4">
      <c r="A34">
        <f>'Mass Balance'!I34</f>
        <v>4.6666598256606485E-9</v>
      </c>
      <c r="B34">
        <f>'Mass Balance'!E34</f>
        <v>3.694250690433286E-5</v>
      </c>
      <c r="C34">
        <f>SUM('Mass Balance'!E34:H34)</f>
        <v>3.9982247884458976E-5</v>
      </c>
      <c r="D34">
        <f>Concentrations!F34/Concentrations!E34</f>
        <v>0.92433307638325402</v>
      </c>
    </row>
    <row r="35" spans="1:4">
      <c r="A35">
        <f>'Mass Balance'!I35</f>
        <v>7.0631641122368057E-9</v>
      </c>
      <c r="B35">
        <f>'Mass Balance'!E35</f>
        <v>3.3078669856065606E-5</v>
      </c>
      <c r="C35">
        <f>SUM('Mass Balance'!E35:H35)</f>
        <v>3.994503164767392E-5</v>
      </c>
      <c r="D35">
        <f>Concentrations!F35/Concentrations!E35</f>
        <v>0.82842768947332002</v>
      </c>
    </row>
    <row r="36" spans="1:4">
      <c r="A36">
        <f>'Mass Balance'!I36</f>
        <v>1.3427770031881935E-8</v>
      </c>
      <c r="B36">
        <f>'Mass Balance'!E36</f>
        <v>2.1896236142330098E-5</v>
      </c>
      <c r="C36">
        <f>SUM('Mass Balance'!E36:H36)</f>
        <v>3.9880321081466303E-5</v>
      </c>
      <c r="D36">
        <f>Concentrations!F36/Concentrations!E36</f>
        <v>0.54926276684845676</v>
      </c>
    </row>
    <row r="37" spans="1:4">
      <c r="A37">
        <f>'Mass Balance'!I37</f>
        <v>3.8162169813342541E-8</v>
      </c>
      <c r="B37">
        <f>'Mass Balance'!E37</f>
        <v>2.3732335581987335E-5</v>
      </c>
      <c r="C37">
        <f>SUM('Mass Balance'!E37:H37)</f>
        <v>3.1923668278213629E-5</v>
      </c>
      <c r="D37">
        <f>Concentrations!F37/Concentrations!E37</f>
        <v>0.74369871272051669</v>
      </c>
    </row>
    <row r="38" spans="1:4">
      <c r="A38">
        <f>'Mass Balance'!I38</f>
        <v>4.4221419679454654E-9</v>
      </c>
      <c r="B38">
        <f>'Mass Balance'!E38</f>
        <v>3.7533308634788002E-5</v>
      </c>
      <c r="C38">
        <f>SUM('Mass Balance'!E38:H38)</f>
        <v>3.9880746347180392E-5</v>
      </c>
      <c r="D38">
        <f>Concentrations!F38/Concentrations!E38</f>
        <v>0.94150560772638292</v>
      </c>
    </row>
    <row r="39" spans="1:4">
      <c r="A39">
        <f>'Mass Balance'!I39</f>
        <v>2.9811801837245551E-7</v>
      </c>
      <c r="B39">
        <f>'Mass Balance'!E39</f>
        <v>1.9766293481118355E-6</v>
      </c>
      <c r="C39">
        <f>SUM('Mass Balance'!E39:H39)</f>
        <v>1.8680313989055622E-5</v>
      </c>
      <c r="D39">
        <f>Concentrations!F39/Concentrations!E39</f>
        <v>0.10585476341410868</v>
      </c>
    </row>
    <row r="40" spans="1:4">
      <c r="A40">
        <f>'Mass Balance'!I40</f>
        <v>1.7563876749924592E-6</v>
      </c>
      <c r="B40">
        <f>'Mass Balance'!E40</f>
        <v>3.7731656408688115E-7</v>
      </c>
      <c r="C40">
        <f>SUM('Mass Balance'!E40:H40)</f>
        <v>3.7164433465862276E-5</v>
      </c>
      <c r="D40">
        <f>Concentrations!F40/Concentrations!E40</f>
        <v>1.0156584652045905E-2</v>
      </c>
    </row>
    <row r="41" spans="1:4">
      <c r="A41">
        <f>'Mass Balance'!I41</f>
        <v>2.3822109082107793E-9</v>
      </c>
      <c r="B41">
        <f>'Mass Balance'!E41</f>
        <v>3.6553132368895549E-5</v>
      </c>
      <c r="C41">
        <f>SUM('Mass Balance'!E41:H41)</f>
        <v>3.655329970346204E-5</v>
      </c>
      <c r="D41">
        <f>Concentrations!F41/Concentrations!E41</f>
        <v>1.0003854124253486</v>
      </c>
    </row>
    <row r="42" spans="1:4">
      <c r="A42">
        <f>'Mass Balance'!I42</f>
        <v>2.1819935188071283E-8</v>
      </c>
      <c r="B42">
        <f>'Mass Balance'!E42</f>
        <v>2.4985875392709044E-5</v>
      </c>
      <c r="C42">
        <f>SUM('Mass Balance'!E42:H42)</f>
        <v>2.5824240672688981E-5</v>
      </c>
      <c r="D42">
        <f>Concentrations!F42/Concentrations!E42</f>
        <v>0.96791305509794778</v>
      </c>
    </row>
    <row r="43" spans="1:4">
      <c r="A43">
        <f>'Mass Balance'!I43</f>
        <v>4.7741912053137001E-8</v>
      </c>
      <c r="B43">
        <f>'Mass Balance'!E43</f>
        <v>3.2628275911014925E-6</v>
      </c>
      <c r="C43">
        <f>SUM('Mass Balance'!E43:H43)</f>
        <v>3.9796658791494301E-5</v>
      </c>
      <c r="D43">
        <f>Concentrations!F43/Concentrations!E43</f>
        <v>8.2019450049147957E-2</v>
      </c>
    </row>
    <row r="44" spans="1:4">
      <c r="A44">
        <f>'Mass Balance'!I44</f>
        <v>4.8699261259612161E-9</v>
      </c>
      <c r="B44">
        <f>'Mass Balance'!E44</f>
        <v>3.1220344513237561E-5</v>
      </c>
      <c r="C44">
        <f>SUM('Mass Balance'!E44:H44)</f>
        <v>3.1324045228520656E-5</v>
      </c>
      <c r="D44">
        <f>Concentrations!F44/Concentrations!E44</f>
        <v>0.99707812228781312</v>
      </c>
    </row>
    <row r="45" spans="1:4">
      <c r="A45">
        <f>'Mass Balance'!I45</f>
        <v>2.4842773228951182E-8</v>
      </c>
      <c r="B45">
        <f>'Mass Balance'!E45</f>
        <v>2.3923645687785836E-5</v>
      </c>
      <c r="C45">
        <f>SUM('Mass Balance'!E45:H45)</f>
        <v>2.4901214211719232E-5</v>
      </c>
      <c r="D45">
        <f>Concentrations!F45/Concentrations!E45</f>
        <v>0.96111681605375676</v>
      </c>
    </row>
    <row r="46" spans="1:4">
      <c r="A46">
        <f>'Mass Balance'!I46</f>
        <v>2.2862003106450006E-8</v>
      </c>
      <c r="B46">
        <f>'Mass Balance'!E46</f>
        <v>2.4539342019974621E-5</v>
      </c>
      <c r="C46">
        <f>SUM('Mass Balance'!E46:H46)</f>
        <v>2.5425870648168335E-5</v>
      </c>
      <c r="D46">
        <f>Concentrations!F46/Concentrations!E46</f>
        <v>0.96550920546992725</v>
      </c>
    </row>
    <row r="47" spans="1:4">
      <c r="A47">
        <f>'Mass Balance'!I47</f>
        <v>1.7718073918323532E-6</v>
      </c>
      <c r="B47">
        <f>'Mass Balance'!E47</f>
        <v>1.4539446474250911E-7</v>
      </c>
      <c r="C47">
        <f>SUM('Mass Balance'!E47:H47)</f>
        <v>2.0074255256264474E-5</v>
      </c>
      <c r="D47">
        <f>Concentrations!F47/Concentrations!E47</f>
        <v>7.2456569655418752E-3</v>
      </c>
    </row>
    <row r="48" spans="1:4">
      <c r="A48">
        <f>'Mass Balance'!I48</f>
        <v>3.3564594806319424E-9</v>
      </c>
      <c r="B48">
        <f>'Mass Balance'!E48</f>
        <v>3.6413300171453169E-5</v>
      </c>
      <c r="C48">
        <f>SUM('Mass Balance'!E48:H48)</f>
        <v>3.6447026533491013E-5</v>
      </c>
      <c r="D48">
        <f>Concentrations!F48/Concentrations!E48</f>
        <v>0.999464278244938</v>
      </c>
    </row>
    <row r="49" spans="1:4">
      <c r="A49">
        <f>'Mass Balance'!I49</f>
        <v>3.970541714539189E-9</v>
      </c>
      <c r="B49">
        <f>'Mass Balance'!E49</f>
        <v>3.4956673838804201E-5</v>
      </c>
      <c r="C49">
        <f>SUM('Mass Balance'!E49:H49)</f>
        <v>3.5016487370689607E-5</v>
      </c>
      <c r="D49">
        <f>Concentrations!F49/Concentrations!E49</f>
        <v>0.99868117247035748</v>
      </c>
    </row>
    <row r="50" spans="1:4">
      <c r="A50">
        <f>'Mass Balance'!I50</f>
        <v>1.3713963069127336E-7</v>
      </c>
      <c r="B50">
        <f>'Mass Balance'!E50</f>
        <v>7.6877450683529185E-6</v>
      </c>
      <c r="C50">
        <f>SUM('Mass Balance'!E50:H50)</f>
        <v>1.454598709147572E-5</v>
      </c>
      <c r="D50">
        <f>Concentrations!F50/Concentrations!E50</f>
        <v>0.52871923915014007</v>
      </c>
    </row>
    <row r="51" spans="1:4">
      <c r="A51">
        <f>'Mass Balance'!I51</f>
        <v>2.5328610394564042E-9</v>
      </c>
      <c r="B51">
        <f>'Mass Balance'!E51</f>
        <v>3.6193846705281426E-5</v>
      </c>
      <c r="C51">
        <f>SUM('Mass Balance'!E51:H51)</f>
        <v>3.619944422312728E-5</v>
      </c>
      <c r="D51">
        <f>Concentrations!F51/Concentrations!E51</f>
        <v>1.0002353017912218</v>
      </c>
    </row>
    <row r="52" spans="1:4">
      <c r="A52">
        <f>'Mass Balance'!I52</f>
        <v>6.7404006713711183E-9</v>
      </c>
      <c r="B52">
        <f>'Mass Balance'!E52</f>
        <v>3.0102369186424417E-5</v>
      </c>
      <c r="C52">
        <f>SUM('Mass Balance'!E52:H52)</f>
        <v>3.0282742725994286E-5</v>
      </c>
      <c r="D52">
        <f>Concentrations!F52/Concentrations!E52</f>
        <v>0.99443135462023424</v>
      </c>
    </row>
    <row r="53" spans="1:4">
      <c r="A53">
        <f>'Mass Balance'!I53</f>
        <v>3.6962035282203497E-8</v>
      </c>
      <c r="B53">
        <f>'Mass Balance'!E53</f>
        <v>2.0475733031238597E-5</v>
      </c>
      <c r="C53">
        <f>SUM('Mass Balance'!E53:H53)</f>
        <v>2.2024897898543984E-5</v>
      </c>
      <c r="D53">
        <f>Concentrations!F53/Concentrations!E53</f>
        <v>0.93002557825139109</v>
      </c>
    </row>
    <row r="54" spans="1:4">
      <c r="A54">
        <f>'Mass Balance'!I54</f>
        <v>1.5604763258357692E-6</v>
      </c>
      <c r="B54">
        <f>'Mass Balance'!E54</f>
        <v>1.945675868511971E-7</v>
      </c>
      <c r="C54">
        <f>SUM('Mass Balance'!E54:H54)</f>
        <v>1.9184503138178525E-5</v>
      </c>
      <c r="D54">
        <f>Concentrations!F54/Concentrations!E54</f>
        <v>1.0145869572868196E-2</v>
      </c>
    </row>
    <row r="55" spans="1:4">
      <c r="A55">
        <f>'Mass Balance'!I55</f>
        <v>6.821475449646127E-8</v>
      </c>
      <c r="B55">
        <f>'Mass Balance'!E55</f>
        <v>9.4140310771727142E-6</v>
      </c>
      <c r="C55">
        <f>SUM('Mass Balance'!E55:H55)</f>
        <v>1.2620482406538184E-5</v>
      </c>
      <c r="D55">
        <f>Concentrations!F55/Concentrations!E55</f>
        <v>0.7462236522295177</v>
      </c>
    </row>
    <row r="56" spans="1:4">
      <c r="A56">
        <f>'Mass Balance'!I56</f>
        <v>3.1796616589161105E-8</v>
      </c>
      <c r="B56">
        <f>'Mass Balance'!E56</f>
        <v>8.8929506569070084E-7</v>
      </c>
      <c r="C56">
        <f>SUM('Mass Balance'!E56:H56)</f>
        <v>2.5540032976922944E-6</v>
      </c>
      <c r="D56">
        <f>Concentrations!F56/Concentrations!E56</f>
        <v>0.3483323159709637</v>
      </c>
    </row>
    <row r="57" spans="1:4">
      <c r="A57">
        <f>'Mass Balance'!I57</f>
        <v>1.3043015280437319E-8</v>
      </c>
      <c r="B57">
        <f>'Mass Balance'!E57</f>
        <v>1.3338181709997508E-6</v>
      </c>
      <c r="C57">
        <f>SUM('Mass Balance'!E57:H57)</f>
        <v>1.9599969122935161E-6</v>
      </c>
      <c r="D57">
        <f>Concentrations!F57/Concentrations!E57</f>
        <v>0.68078594465769393</v>
      </c>
    </row>
    <row r="58" spans="1:4">
      <c r="A58">
        <f>'Mass Balance'!I58</f>
        <v>3.0022997509938663E-10</v>
      </c>
      <c r="B58">
        <f>'Mass Balance'!E58</f>
        <v>2.3772350477337233E-6</v>
      </c>
      <c r="C58">
        <f>SUM('Mass Balance'!E58:H58)</f>
        <v>2.3824351639958253E-6</v>
      </c>
      <c r="D58">
        <f>Concentrations!F58/Concentrations!E58</f>
        <v>0.99820645128398888</v>
      </c>
    </row>
    <row r="59" spans="1:4">
      <c r="A59">
        <f>'Mass Balance'!I59</f>
        <v>4.6057506105048711E-9</v>
      </c>
      <c r="B59">
        <f>'Mass Balance'!E59</f>
        <v>5.0476199718570638E-7</v>
      </c>
      <c r="C59">
        <f>SUM('Mass Balance'!E59:H59)</f>
        <v>7.2481476492915471E-7</v>
      </c>
      <c r="D59">
        <f>Concentrations!F59/Concentrations!E59</f>
        <v>0.69667296359957631</v>
      </c>
    </row>
    <row r="60" spans="1:4">
      <c r="A60">
        <f>'Mass Balance'!I60</f>
        <v>7.6863399162088249E-11</v>
      </c>
      <c r="B60">
        <f>'Mass Balance'!E60</f>
        <v>1.7988146025581506E-8</v>
      </c>
      <c r="C60">
        <f>SUM('Mass Balance'!E60:H60)</f>
        <v>2.1461730041806754E-8</v>
      </c>
      <c r="D60">
        <f>Concentrations!F60/Concentrations!E60</f>
        <v>0.83847673156790337</v>
      </c>
    </row>
    <row r="61" spans="1:4">
      <c r="A61">
        <f>'Mass Balance'!I61</f>
        <v>5.250850959390579E-8</v>
      </c>
      <c r="B61">
        <f>'Mass Balance'!E61</f>
        <v>1.7303225955293386E-5</v>
      </c>
      <c r="C61">
        <f>SUM('Mass Balance'!E61:H61)</f>
        <v>1.961129097467414E-5</v>
      </c>
      <c r="D61">
        <f>Concentrations!F61/Concentrations!E61</f>
        <v>0.88265347232576219</v>
      </c>
    </row>
    <row r="62" spans="1:4">
      <c r="A62">
        <f>'Mass Balance'!I62</f>
        <v>7.0985355132926514E-7</v>
      </c>
      <c r="B62">
        <f>'Mass Balance'!E62</f>
        <v>7.3356784073040485E-7</v>
      </c>
      <c r="C62">
        <f>SUM('Mass Balance'!E62:H62)</f>
        <v>1.7163101543361378E-5</v>
      </c>
      <c r="D62">
        <f>Concentrations!F62/Concentrations!E62</f>
        <v>4.275765219305034E-2</v>
      </c>
    </row>
    <row r="63" spans="1:4">
      <c r="A63">
        <f>'Mass Balance'!I63</f>
        <v>2.1465541562121992E-6</v>
      </c>
      <c r="B63">
        <f>'Mass Balance'!E63</f>
        <v>8.5698209555364505E-8</v>
      </c>
      <c r="C63">
        <f>SUM('Mass Balance'!E63:H63)</f>
        <v>2.1820168874452648E-5</v>
      </c>
      <c r="D63">
        <f>Concentrations!F63/Concentrations!E63</f>
        <v>3.9290086006088312E-3</v>
      </c>
    </row>
    <row r="64" spans="1:4">
      <c r="A64">
        <f>'Mass Balance'!I64</f>
        <v>2.7531214804455626E-6</v>
      </c>
      <c r="B64">
        <f>'Mass Balance'!E64</f>
        <v>3.3594637252510511E-8</v>
      </c>
      <c r="C64">
        <f>SUM('Mass Balance'!E64:H64)</f>
        <v>2.5033282682152272E-5</v>
      </c>
      <c r="D64">
        <f>Concentrations!F64/Concentrations!E64</f>
        <v>1.3425222460896708E-3</v>
      </c>
    </row>
    <row r="65" spans="1:4">
      <c r="A65">
        <f>'Mass Balance'!I65</f>
        <v>3.3398091759585225E-6</v>
      </c>
      <c r="B65">
        <f>'Mass Balance'!E65</f>
        <v>1.0585396834210624E-8</v>
      </c>
      <c r="C65">
        <f>SUM('Mass Balance'!E65:H65)</f>
        <v>2.8465430512113429E-5</v>
      </c>
      <c r="D65">
        <f>Concentrations!F65/Concentrations!E65</f>
        <v>3.7201352181030859E-4</v>
      </c>
    </row>
    <row r="66" spans="1:4">
      <c r="A66">
        <f>'Mass Balance'!I66</f>
        <v>3.0239321005583242E-6</v>
      </c>
      <c r="B66">
        <f>'Mass Balance'!E66</f>
        <v>2.0637911079108537E-8</v>
      </c>
      <c r="C66">
        <f>SUM('Mass Balance'!E66:H66)</f>
        <v>2.6583844520943055E-5</v>
      </c>
      <c r="D66">
        <f>Concentrations!F66/Concentrations!E66</f>
        <v>7.7663558721812701E-4</v>
      </c>
    </row>
    <row r="67" spans="1:4">
      <c r="A67">
        <f>'Mass Balance'!I67</f>
        <v>5.8453373539035807E-9</v>
      </c>
      <c r="B67">
        <f>'Mass Balance'!E67</f>
        <v>3.3483570369901399E-5</v>
      </c>
      <c r="C67">
        <f>SUM('Mass Balance'!E67:H67)</f>
        <v>3.3618954721979509E-5</v>
      </c>
      <c r="D67">
        <f>Concentrations!F67/Concentrations!E67</f>
        <v>0.99636139709402005</v>
      </c>
    </row>
    <row r="68" spans="1:4">
      <c r="A68">
        <f>'Mass Balance'!I68</f>
        <v>8.2928609834767502E-9</v>
      </c>
      <c r="B68">
        <f>'Mass Balance'!E68</f>
        <v>3.1236669598059092E-5</v>
      </c>
      <c r="C68">
        <f>SUM('Mass Balance'!E68:H68)</f>
        <v>3.1476024645955647E-5</v>
      </c>
      <c r="D68">
        <f>Concentrations!F68/Concentrations!E68</f>
        <v>0.99278266559629358</v>
      </c>
    </row>
    <row r="69" spans="1:4">
      <c r="A69">
        <f>'Mass Balance'!I69</f>
        <v>1.2807876234958308E-6</v>
      </c>
      <c r="B69">
        <f>'Mass Balance'!E69</f>
        <v>2.8551084377704019E-7</v>
      </c>
      <c r="C69">
        <f>SUM('Mass Balance'!E69:H69)</f>
        <v>1.8113187999729744E-5</v>
      </c>
      <c r="D69">
        <f>Concentrations!F69/Concentrations!E69</f>
        <v>1.5768742130658431E-2</v>
      </c>
    </row>
    <row r="70" spans="1:4">
      <c r="A70">
        <f>'Mass Balance'!I70</f>
        <v>2.2048236010599067E-7</v>
      </c>
      <c r="B70">
        <f>'Mass Balance'!E70</f>
        <v>3.7879551378177101E-6</v>
      </c>
      <c r="C70">
        <f>SUM('Mass Balance'!E70:H70)</f>
        <v>1.5703618684702911E-5</v>
      </c>
      <c r="D70">
        <f>Concentrations!F70/Concentrations!E70</f>
        <v>0.2413095023658347</v>
      </c>
    </row>
    <row r="71" spans="1:4">
      <c r="A71">
        <f>'Mass Balance'!I71</f>
        <v>7.7030597164360709E-9</v>
      </c>
      <c r="B71">
        <f>'Mass Balance'!E71</f>
        <v>3.1099540826880108E-5</v>
      </c>
      <c r="C71">
        <f>SUM('Mass Balance'!E71:H71)</f>
        <v>3.1315517318208935E-5</v>
      </c>
      <c r="D71">
        <f>Concentrations!F71/Concentrations!E71</f>
        <v>0.99349051410971356</v>
      </c>
    </row>
    <row r="72" spans="1:4">
      <c r="A72">
        <f>'Mass Balance'!I72</f>
        <v>2.0125954048742081E-7</v>
      </c>
      <c r="B72">
        <f>'Mass Balance'!E72</f>
        <v>4.0676948199058729E-6</v>
      </c>
      <c r="C72">
        <f>SUM('Mass Balance'!E72:H72)</f>
        <v>1.4830161856413104E-5</v>
      </c>
      <c r="D72">
        <f>Concentrations!F72/Concentrations!E72</f>
        <v>0.27439223036697241</v>
      </c>
    </row>
    <row r="73" spans="1:4">
      <c r="A73">
        <f>'Mass Balance'!I73</f>
        <v>5.5329006167998014E-8</v>
      </c>
      <c r="B73">
        <f>'Mass Balance'!E73</f>
        <v>1.6270953165087045E-5</v>
      </c>
      <c r="C73">
        <f>SUM('Mass Balance'!E73:H73)</f>
        <v>1.8726143641339376E-5</v>
      </c>
      <c r="D73">
        <f>Concentrations!F73/Concentrations!E73</f>
        <v>0.86922855121551557</v>
      </c>
    </row>
    <row r="74" spans="1:4">
      <c r="A74">
        <f>'Mass Balance'!I74</f>
        <v>2.1569704180639921E-7</v>
      </c>
      <c r="B74">
        <f>'Mass Balance'!E74</f>
        <v>3.8818330591537217E-6</v>
      </c>
      <c r="C74">
        <f>SUM('Mass Balance'!E74:H74)</f>
        <v>1.5503753111440984E-5</v>
      </c>
      <c r="D74">
        <f>Concentrations!F74/Concentrations!E74</f>
        <v>0.25047786269637617</v>
      </c>
    </row>
    <row r="75" spans="1:4">
      <c r="A75">
        <f>'Mass Balance'!I75</f>
        <v>1.5773874665269456E-7</v>
      </c>
      <c r="B75">
        <f>'Mass Balance'!E75</f>
        <v>1.6614910126655359E-6</v>
      </c>
      <c r="C75">
        <f>SUM('Mass Balance'!E75:H75)</f>
        <v>3.9810222305391157E-5</v>
      </c>
      <c r="D75">
        <f>Concentrations!F75/Concentrations!E75</f>
        <v>4.1751562404633208E-2</v>
      </c>
    </row>
    <row r="76" spans="1:4">
      <c r="A76">
        <f>'Mass Balance'!I76</f>
        <v>1.5773874746397009E-7</v>
      </c>
      <c r="B76">
        <f>'Mass Balance'!E76</f>
        <v>1.6614910212108492E-6</v>
      </c>
      <c r="C76">
        <f>SUM('Mass Balance'!E76:H76)</f>
        <v>3.9810222510141477E-5</v>
      </c>
      <c r="D76">
        <f>Concentrations!F76/Concentrations!E76</f>
        <v>4.1751562404633215E-2</v>
      </c>
    </row>
    <row r="77" spans="1:4">
      <c r="A77">
        <f>'Mass Balance'!I77</f>
        <v>1.1074267084468403E-7</v>
      </c>
      <c r="B77">
        <f>'Mass Balance'!E77</f>
        <v>8.9890202006733567E-6</v>
      </c>
      <c r="C77">
        <f>SUM('Mass Balance'!E77:H77)</f>
        <v>1.4390749141284054E-5</v>
      </c>
      <c r="D77">
        <f>Concentrations!F77/Concentrations!E77</f>
        <v>0.62488239900950349</v>
      </c>
    </row>
    <row r="78" spans="1:4">
      <c r="A78">
        <f>'Mass Balance'!I78</f>
        <v>1.9642120120108987E-8</v>
      </c>
      <c r="B78">
        <f>'Mass Balance'!E78</f>
        <v>2.4505204825336098E-5</v>
      </c>
      <c r="C78">
        <f>SUM('Mass Balance'!E78:H78)</f>
        <v>2.5250300808946979E-5</v>
      </c>
      <c r="D78">
        <f>Concentrations!F78/Concentrations!E78</f>
        <v>0.97087008370748928</v>
      </c>
    </row>
    <row r="79" spans="1:4">
      <c r="A79">
        <f>'Mass Balance'!I79</f>
        <v>3.7827668450510507E-8</v>
      </c>
      <c r="B79">
        <f>'Mass Balance'!E79</f>
        <v>2.0036439481041283E-5</v>
      </c>
      <c r="C79">
        <f>SUM('Mass Balance'!E79:H79)</f>
        <v>2.1628971168907162E-5</v>
      </c>
      <c r="D79">
        <f>Concentrations!F79/Concentrations!E79</f>
        <v>0.92673171443555513</v>
      </c>
    </row>
    <row r="80" spans="1:4">
      <c r="A80">
        <f>'Mass Balance'!I80</f>
        <v>3.0882876061848466E-7</v>
      </c>
      <c r="B80">
        <f>'Mass Balance'!E80</f>
        <v>1.1358075411615626E-6</v>
      </c>
      <c r="C80">
        <f>SUM('Mass Balance'!E80:H80)</f>
        <v>3.9651799647179084E-5</v>
      </c>
      <c r="D80">
        <f>Concentrations!F80/Concentrations!E80</f>
        <v>2.8655710640265231E-2</v>
      </c>
    </row>
    <row r="81" spans="1:4">
      <c r="A81">
        <f>'Mass Balance'!I81</f>
        <v>2.6886647382564051E-9</v>
      </c>
      <c r="B81">
        <f>'Mass Balance'!E81</f>
        <v>3.8835470154079185E-5</v>
      </c>
      <c r="C81">
        <f>SUM('Mass Balance'!E81:H81)</f>
        <v>3.8840529917698346E-5</v>
      </c>
      <c r="D81">
        <f>Concentrations!F81/Concentrations!E81</f>
        <v>1.0002596710296734</v>
      </c>
    </row>
    <row r="82" spans="1:4">
      <c r="A82">
        <f>'Mass Balance'!I82</f>
        <v>9.741329282373036E-9</v>
      </c>
      <c r="B82">
        <f>'Mass Balance'!E82</f>
        <v>3.064013445405352E-5</v>
      </c>
      <c r="C82">
        <f>SUM('Mass Balance'!E82:H82)</f>
        <v>3.0940396029773874E-5</v>
      </c>
      <c r="D82">
        <f>Concentrations!F82/Concentrations!E82</f>
        <v>0.99068169111119386</v>
      </c>
    </row>
    <row r="83" spans="1:4">
      <c r="A83">
        <f>'Mass Balance'!I83</f>
        <v>1.0256841875698788E-7</v>
      </c>
      <c r="B83">
        <f>'Mass Balance'!E83</f>
        <v>1.0733872281383731E-5</v>
      </c>
      <c r="C83">
        <f>SUM('Mass Balance'!E83:H83)</f>
        <v>1.5650161223872642E-5</v>
      </c>
      <c r="D83">
        <f>Concentrations!F83/Concentrations!E83</f>
        <v>0.68613084890735798</v>
      </c>
    </row>
    <row r="84" spans="1:4">
      <c r="A84">
        <f>'Mass Balance'!I84</f>
        <v>3.0993480708376134E-9</v>
      </c>
      <c r="B84">
        <f>'Mass Balance'!E84</f>
        <v>3.7486090019401946E-5</v>
      </c>
      <c r="C84">
        <f>SUM('Mass Balance'!E84:H84)</f>
        <v>3.7508141442659262E-5</v>
      </c>
      <c r="D84">
        <f>Concentrations!F84/Concentrations!E84</f>
        <v>0.99980185243897635</v>
      </c>
    </row>
    <row r="85" spans="1:4">
      <c r="A85">
        <f>'Mass Balance'!I85</f>
        <v>2.6023475274153821E-9</v>
      </c>
      <c r="B85">
        <f>'Mass Balance'!E85</f>
        <v>3.9514409152516854E-5</v>
      </c>
      <c r="C85">
        <f>SUM('Mass Balance'!E85:H85)</f>
        <v>3.9515372543730189E-5</v>
      </c>
      <c r="D85">
        <f>Concentrations!F85/Concentrations!E85</f>
        <v>1.0003656023636858</v>
      </c>
    </row>
    <row r="86" spans="1:4">
      <c r="A86">
        <f>'Mass Balance'!I86</f>
        <v>3.0742521946652145E-9</v>
      </c>
      <c r="B86">
        <f>'Mass Balance'!E86</f>
        <v>3.7547214370450676E-5</v>
      </c>
      <c r="C86">
        <f>SUM('Mass Balance'!E86:H86)</f>
        <v>3.7568244270136999E-5</v>
      </c>
      <c r="D86">
        <f>Concentrations!F86/Concentrations!E86</f>
        <v>0.99982999511187021</v>
      </c>
    </row>
    <row r="87" spans="1:4">
      <c r="A87">
        <f>'Mass Balance'!I87</f>
        <v>1.9156983368179027E-6</v>
      </c>
      <c r="B87">
        <f>'Mass Balance'!E87</f>
        <v>1.1894221650671757E-7</v>
      </c>
      <c r="C87">
        <f>SUM('Mass Balance'!E87:H87)</f>
        <v>2.0719131636832991E-5</v>
      </c>
      <c r="D87">
        <f>Concentrations!F87/Concentrations!E87</f>
        <v>5.742933879149207E-3</v>
      </c>
    </row>
    <row r="88" spans="1:4">
      <c r="A88">
        <f>'Mass Balance'!I88</f>
        <v>1.6242681955314873E-8</v>
      </c>
      <c r="B88">
        <f>'Mass Balance'!E88</f>
        <v>2.720665792340711E-5</v>
      </c>
      <c r="C88">
        <f>SUM('Mass Balance'!E88:H88)</f>
        <v>2.7792678126675724E-5</v>
      </c>
      <c r="D88">
        <f>Concentrations!F88/Concentrations!E88</f>
        <v>0.97929635205464516</v>
      </c>
    </row>
    <row r="89" spans="1:4">
      <c r="A89">
        <f>'Mass Balance'!I89</f>
        <v>1.0691910643454043E-8</v>
      </c>
      <c r="B89">
        <f>'Mass Balance'!E89</f>
        <v>3.0053203123626096E-5</v>
      </c>
      <c r="C89">
        <f>SUM('Mass Balance'!E89:H89)</f>
        <v>3.0394561630532565E-5</v>
      </c>
      <c r="D89">
        <f>Concentrations!F89/Concentrations!E89</f>
        <v>0.98915470467762656</v>
      </c>
    </row>
    <row r="90" spans="1:4">
      <c r="A90">
        <f>'Mass Balance'!I90</f>
        <v>4.4919796850438945E-9</v>
      </c>
      <c r="B90">
        <f>'Mass Balance'!E90</f>
        <v>3.5166473261713789E-5</v>
      </c>
      <c r="C90">
        <f>SUM('Mass Balance'!E90:H90)</f>
        <v>3.5245311767367957E-5</v>
      </c>
      <c r="D90">
        <f>Concentrations!F90/Concentrations!E90</f>
        <v>0.9981522688285277</v>
      </c>
    </row>
    <row r="91" spans="1:4">
      <c r="A91">
        <f>'Mass Balance'!I91</f>
        <v>7.8295526359725329E-7</v>
      </c>
      <c r="B91">
        <f>'Mass Balance'!E91</f>
        <v>6.4133404605294046E-7</v>
      </c>
      <c r="C91">
        <f>SUM('Mass Balance'!E91:H91)</f>
        <v>1.7179296393756014E-5</v>
      </c>
      <c r="D91">
        <f>Concentrations!F91/Concentrations!E91</f>
        <v>3.7346358460614341E-2</v>
      </c>
    </row>
    <row r="92" spans="1:4">
      <c r="A92">
        <f>'Mass Balance'!I92</f>
        <v>8.0810096477155892E-8</v>
      </c>
      <c r="B92">
        <f>'Mass Balance'!E92</f>
        <v>1.3101432285131621E-5</v>
      </c>
      <c r="C92">
        <f>SUM('Mass Balance'!E92:H92)</f>
        <v>1.6855886143225893E-5</v>
      </c>
      <c r="D92">
        <f>Concentrations!F92/Concentrations!E92</f>
        <v>0.77756468144100499</v>
      </c>
    </row>
    <row r="93" spans="1:4">
      <c r="A93">
        <f>'Mass Balance'!I93</f>
        <v>1.9025371103319193E-7</v>
      </c>
      <c r="B93">
        <f>'Mass Balance'!E93</f>
        <v>5.0798325453361279E-6</v>
      </c>
      <c r="C93">
        <f>SUM('Mass Balance'!E93:H93)</f>
        <v>1.5070778329421592E-5</v>
      </c>
      <c r="D93">
        <f>Concentrations!F93/Concentrations!E93</f>
        <v>0.33719649566104476</v>
      </c>
    </row>
    <row r="94" spans="1:4">
      <c r="A94">
        <f>'Mass Balance'!I94</f>
        <v>2.9620153119055095E-9</v>
      </c>
      <c r="B94">
        <f>'Mass Balance'!E94</f>
        <v>3.9527474761509284E-5</v>
      </c>
      <c r="C94">
        <f>SUM('Mass Balance'!E94:H94)</f>
        <v>3.9990016244670636E-5</v>
      </c>
      <c r="D94">
        <f>Concentrations!F94/Concentrations!E94</f>
        <v>0.98881905723356012</v>
      </c>
    </row>
    <row r="95" spans="1:4">
      <c r="A95">
        <f>'Mass Balance'!I95</f>
        <v>3.9241783754464161E-7</v>
      </c>
      <c r="B95">
        <f>'Mass Balance'!E95</f>
        <v>1.4898485570454935E-6</v>
      </c>
      <c r="C95">
        <f>SUM('Mass Balance'!E95:H95)</f>
        <v>1.7947262533280905E-5</v>
      </c>
      <c r="D95">
        <f>Concentrations!F95/Concentrations!E95</f>
        <v>8.304495369984885E-2</v>
      </c>
    </row>
    <row r="96" spans="1:4">
      <c r="A96">
        <f>'Mass Balance'!I96</f>
        <v>2.6974049649404292E-9</v>
      </c>
      <c r="B96">
        <f>'Mass Balance'!E96</f>
        <v>3.8790355846258052E-5</v>
      </c>
      <c r="C96">
        <f>SUM('Mass Balance'!E96:H96)</f>
        <v>3.8795795041927262E-5</v>
      </c>
      <c r="D96">
        <f>Concentrations!F96/Concentrations!E96</f>
        <v>1.0002497367076915</v>
      </c>
    </row>
    <row r="97" spans="1:4">
      <c r="A97">
        <f>'Mass Balance'!I97</f>
        <v>3.1123470111782353E-9</v>
      </c>
      <c r="B97">
        <f>'Mass Balance'!E97</f>
        <v>3.7454992438918878E-5</v>
      </c>
      <c r="C97">
        <f>SUM('Mass Balance'!E97:H97)</f>
        <v>3.7477572760334949E-5</v>
      </c>
      <c r="D97">
        <f>Concentrations!F97/Concentrations!E97</f>
        <v>0.99978725482667163</v>
      </c>
    </row>
    <row r="98" spans="1:4">
      <c r="A98">
        <f>'Mass Balance'!I98</f>
        <v>2.4952152317958612E-7</v>
      </c>
      <c r="B98">
        <f>'Mass Balance'!E98</f>
        <v>3.0261845637077663E-6</v>
      </c>
      <c r="C98">
        <f>SUM('Mass Balance'!E98:H98)</f>
        <v>1.6819734366814967E-5</v>
      </c>
      <c r="D98">
        <f>Concentrations!F98/Concentrations!E98</f>
        <v>0.17998885627798372</v>
      </c>
    </row>
    <row r="99" spans="1:4">
      <c r="A99">
        <f>'Mass Balance'!I99</f>
        <v>2.5955764746343187E-9</v>
      </c>
      <c r="B99">
        <f>'Mass Balance'!E99</f>
        <v>3.966318924953014E-5</v>
      </c>
      <c r="C99">
        <f>SUM('Mass Balance'!E99:H99)</f>
        <v>3.9663671234316315E-5</v>
      </c>
      <c r="D99">
        <f>Concentrations!F99/Concentrations!E99</f>
        <v>1.0003778355007853</v>
      </c>
    </row>
    <row r="100" spans="1:4">
      <c r="A100">
        <f>'Mass Balance'!I100</f>
        <v>3.3199841089364337E-8</v>
      </c>
      <c r="B100">
        <f>'Mass Balance'!E100</f>
        <v>2.1503422861854508E-5</v>
      </c>
      <c r="C100">
        <f>SUM('Mass Balance'!E100:H100)</f>
        <v>2.2872539114930375E-5</v>
      </c>
      <c r="D100">
        <f>Concentrations!F100/Concentrations!E100</f>
        <v>0.9405081314930559</v>
      </c>
    </row>
    <row r="101" spans="1:4">
      <c r="A101">
        <f>'Mass Balance'!I101</f>
        <v>2.6076860470006027E-9</v>
      </c>
      <c r="B101">
        <f>'Mass Balance'!E101</f>
        <v>3.943725051165E-5</v>
      </c>
      <c r="C101">
        <f>SUM('Mass Balance'!E101:H101)</f>
        <v>3.9438524154787449E-5</v>
      </c>
      <c r="D101">
        <f>Concentrations!F101/Concentrations!E101</f>
        <v>1.0003576850484848</v>
      </c>
    </row>
    <row r="102" spans="1:4">
      <c r="A102">
        <f>'Mass Balance'!I102</f>
        <v>2.5942508959069954E-9</v>
      </c>
      <c r="B102">
        <f>'Mass Balance'!E102</f>
        <v>3.9855426013041443E-5</v>
      </c>
      <c r="C102">
        <f>SUM('Mass Balance'!E102:H102)</f>
        <v>3.9855522804884817E-5</v>
      </c>
      <c r="D102">
        <f>Concentrations!F102/Concentrations!E102</f>
        <v>1.0003875625194711</v>
      </c>
    </row>
    <row r="103" spans="1:4">
      <c r="A103">
        <f>'Mass Balance'!I103</f>
        <v>2.5952771786064451E-9</v>
      </c>
      <c r="B103">
        <f>'Mass Balance'!E103</f>
        <v>3.9673836300474717E-5</v>
      </c>
      <c r="C103">
        <f>SUM('Mass Balance'!E103:H103)</f>
        <v>3.9674289861520515E-5</v>
      </c>
      <c r="D103">
        <f>Concentrations!F103/Concentrations!E103</f>
        <v>1.0003785554610218</v>
      </c>
    </row>
    <row r="104" spans="1:4">
      <c r="A104">
        <f>'Mass Balance'!I104</f>
        <v>2.8539537159779353E-9</v>
      </c>
      <c r="B104">
        <f>'Mass Balance'!E104</f>
        <v>3.8167617957883915E-5</v>
      </c>
      <c r="C104">
        <f>SUM('Mass Balance'!E104:H104)</f>
        <v>3.8179631813875972E-5</v>
      </c>
      <c r="D104">
        <f>Concentrations!F104/Concentrations!E104</f>
        <v>1.0000752026892545</v>
      </c>
    </row>
    <row r="105" spans="1:4">
      <c r="A105">
        <f>'Mass Balance'!I105</f>
        <v>2.5938775998555253E-9</v>
      </c>
      <c r="B105">
        <f>'Mass Balance'!E105</f>
        <v>3.9827108476026132E-5</v>
      </c>
      <c r="C105">
        <f>SUM('Mass Balance'!E105:H105)</f>
        <v>3.9827244540914086E-5</v>
      </c>
      <c r="D105">
        <f>Concentrations!F105/Concentrations!E105</f>
        <v>1.0003865743249911</v>
      </c>
    </row>
    <row r="106" spans="1:4">
      <c r="A106">
        <f>'Mass Balance'!I106</f>
        <v>5.5921876569505001E-9</v>
      </c>
      <c r="B106">
        <f>'Mass Balance'!E106</f>
        <v>3.3923319418504579E-5</v>
      </c>
      <c r="C106">
        <f>SUM('Mass Balance'!E106:H106)</f>
        <v>3.404763816543622E-5</v>
      </c>
      <c r="D106">
        <f>Concentrations!F106/Concentrations!E106</f>
        <v>0.99673725025991455</v>
      </c>
    </row>
    <row r="107" spans="1:4">
      <c r="A107">
        <f>'Mass Balance'!I107</f>
        <v>2.7240844325837465E-7</v>
      </c>
      <c r="B107">
        <f>'Mass Balance'!E107</f>
        <v>2.4428389135785965E-6</v>
      </c>
      <c r="C107">
        <f>SUM('Mass Balance'!E107:H107)</f>
        <v>1.779966510603175E-5</v>
      </c>
      <c r="D107">
        <f>Concentrations!F107/Concentrations!E107</f>
        <v>0.13729424608490648</v>
      </c>
    </row>
    <row r="108" spans="1:4">
      <c r="A108">
        <f>'Mass Balance'!I108</f>
        <v>2.6530101456366693E-8</v>
      </c>
      <c r="B108">
        <f>'Mass Balance'!E108</f>
        <v>2.341097789606657E-5</v>
      </c>
      <c r="C108">
        <f>SUM('Mass Balance'!E108:H108)</f>
        <v>2.4466666111783102E-5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0.80611736597424644</v>
      </c>
      <c r="M2" s="115">
        <v>2.5039421870860878</v>
      </c>
      <c r="N2" s="115">
        <v>55.160712872333377</v>
      </c>
      <c r="O2" s="115">
        <v>1.1771492150081719</v>
      </c>
      <c r="P2" s="115">
        <v>1.2081994938893614</v>
      </c>
      <c r="Q2" s="111">
        <v>1.1771492150081719</v>
      </c>
      <c r="R2" s="68">
        <v>1.2081994938893614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3.5604419678977499E-3</v>
      </c>
      <c r="M3" s="115">
        <v>590.92933846743199</v>
      </c>
      <c r="N3" s="115">
        <v>19643.713600081439</v>
      </c>
      <c r="O3" s="115">
        <v>118.47266680782363</v>
      </c>
      <c r="P3" s="115">
        <v>50.747951965642152</v>
      </c>
      <c r="Q3" s="111">
        <v>118.47266680782364</v>
      </c>
      <c r="R3" s="68">
        <v>50.747951965642159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0.49150627713722544</v>
      </c>
      <c r="M4" s="115">
        <v>13.833152412506935</v>
      </c>
      <c r="N4" s="115">
        <v>420.19541882739486</v>
      </c>
      <c r="O4" s="115">
        <v>4.5288786527126588</v>
      </c>
      <c r="P4" s="115">
        <v>4.2426396714414301</v>
      </c>
      <c r="Q4" s="111">
        <v>4.5288786527126597</v>
      </c>
      <c r="R4" s="68">
        <v>4.2426396714414301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3.2531113159192424E-2</v>
      </c>
      <c r="M5" s="115">
        <v>150.70233457613185</v>
      </c>
      <c r="N5" s="115">
        <v>4891.410039597723</v>
      </c>
      <c r="O5" s="115">
        <v>43.084023162760147</v>
      </c>
      <c r="P5" s="115">
        <v>36.328777803312505</v>
      </c>
      <c r="Q5" s="111">
        <v>43.084023162760147</v>
      </c>
      <c r="R5" s="68">
        <v>36.328777803312505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1.7929178434850765E-3</v>
      </c>
      <c r="M6" s="115">
        <v>771.64204716303811</v>
      </c>
      <c r="N6" s="115">
        <v>25812.21654311668</v>
      </c>
      <c r="O6" s="115">
        <v>151.24908589439286</v>
      </c>
      <c r="P6" s="115">
        <v>59.914267443088171</v>
      </c>
      <c r="Q6" s="111">
        <v>151.24908589439286</v>
      </c>
      <c r="R6" s="68">
        <v>59.914267443088178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3.285863788193739E-3</v>
      </c>
      <c r="M7" s="115">
        <v>626.96046376487027</v>
      </c>
      <c r="N7" s="115">
        <v>20860.613613609359</v>
      </c>
      <c r="O7" s="115">
        <v>125.17173214528823</v>
      </c>
      <c r="P7" s="115">
        <v>52.880330064859677</v>
      </c>
      <c r="Q7" s="111">
        <v>125.17173214528823</v>
      </c>
      <c r="R7" s="68">
        <v>52.880330064859685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6.6434184740163157E-3</v>
      </c>
      <c r="M8" s="115">
        <v>455.92019828450259</v>
      </c>
      <c r="N8" s="115">
        <v>15067.630165730654</v>
      </c>
      <c r="O8" s="115">
        <v>94.792391999898783</v>
      </c>
      <c r="P8" s="115">
        <v>45.342735742312499</v>
      </c>
      <c r="Q8" s="111">
        <v>94.792391999898783</v>
      </c>
      <c r="R8" s="68">
        <v>45.342735742312499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0.1671829381893648</v>
      </c>
      <c r="M9" s="115">
        <v>53.646515411237218</v>
      </c>
      <c r="N9" s="115">
        <v>1705.9784495573087</v>
      </c>
      <c r="O9" s="115">
        <v>17.925017011617097</v>
      </c>
      <c r="P9" s="115">
        <v>17.596070301178354</v>
      </c>
      <c r="Q9" s="111">
        <v>17.925017011617101</v>
      </c>
      <c r="R9" s="68">
        <v>17.596070301178354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3.0228136300763077E-2</v>
      </c>
      <c r="M10" s="115">
        <v>160.98156261954014</v>
      </c>
      <c r="N10" s="115">
        <v>5230.0318001286942</v>
      </c>
      <c r="O10" s="115">
        <v>44.731207608664938</v>
      </c>
      <c r="P10" s="115">
        <v>36.464313764848157</v>
      </c>
      <c r="Q10" s="111">
        <v>44.731207608664945</v>
      </c>
      <c r="R10" s="68">
        <v>36.464313764848157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2.6664601170074957E-2</v>
      </c>
      <c r="M11" s="115">
        <v>179.14698203097836</v>
      </c>
      <c r="N11" s="115">
        <v>5829.4075063704313</v>
      </c>
      <c r="O11" s="115">
        <v>47.646417290927722</v>
      </c>
      <c r="P11" s="115">
        <v>36.710929611792963</v>
      </c>
      <c r="Q11" s="111">
        <v>47.646417290927722</v>
      </c>
      <c r="R11" s="68">
        <v>36.71092961179297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0.12508578016451094</v>
      </c>
      <c r="M12" s="115">
        <v>65.316332179236625</v>
      </c>
      <c r="N12" s="115">
        <v>2086.1222137966101</v>
      </c>
      <c r="O12" s="115">
        <v>22.137700295381556</v>
      </c>
      <c r="P12" s="115">
        <v>22.010589216440724</v>
      </c>
      <c r="Q12" s="111">
        <v>22.137700295381556</v>
      </c>
      <c r="R12" s="68">
        <v>22.010589216440724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0.16277074372310935</v>
      </c>
      <c r="M13" s="115">
        <v>54.708510433256052</v>
      </c>
      <c r="N13" s="115">
        <v>1740.5117172716732</v>
      </c>
      <c r="O13" s="115">
        <v>18.303600287029788</v>
      </c>
      <c r="P13" s="115">
        <v>17.989346071618609</v>
      </c>
      <c r="Q13" s="111">
        <v>18.303600287029788</v>
      </c>
      <c r="R13" s="68">
        <v>17.989346071618613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1.7831955560567127E-2</v>
      </c>
      <c r="M14" s="115">
        <v>246.21447414377911</v>
      </c>
      <c r="N14" s="115">
        <v>8050.7641182154975</v>
      </c>
      <c r="O14" s="115">
        <v>58.700194959583321</v>
      </c>
      <c r="P14" s="115">
        <v>38.142112551033044</v>
      </c>
      <c r="Q14" s="111">
        <v>58.700194959583321</v>
      </c>
      <c r="R14" s="68">
        <v>38.142112551033044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2.840387205781883E-2</v>
      </c>
      <c r="M15" s="115">
        <v>169.90127324797032</v>
      </c>
      <c r="N15" s="115">
        <v>5524.1910067336767</v>
      </c>
      <c r="O15" s="115">
        <v>46.161612834161694</v>
      </c>
      <c r="P15" s="115">
        <v>36.583631665587255</v>
      </c>
      <c r="Q15" s="111">
        <v>46.161612834161694</v>
      </c>
      <c r="R15" s="68">
        <v>36.583631665587255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6.8406039811330852E-3</v>
      </c>
      <c r="M16" s="115">
        <v>448.1319905461483</v>
      </c>
      <c r="N16" s="115">
        <v>14805.685135107402</v>
      </c>
      <c r="O16" s="115">
        <v>93.405346262234858</v>
      </c>
      <c r="P16" s="115">
        <v>44.991652996311572</v>
      </c>
      <c r="Q16" s="111">
        <v>93.405346262234858</v>
      </c>
      <c r="R16" s="68">
        <v>44.991652996311579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3.1754767920332536E-2</v>
      </c>
      <c r="M17" s="115">
        <v>154.10298326027552</v>
      </c>
      <c r="N17" s="115">
        <v>5003.3785114873799</v>
      </c>
      <c r="O17" s="115">
        <v>43.632013803595747</v>
      </c>
      <c r="P17" s="115">
        <v>36.379195351034824</v>
      </c>
      <c r="Q17" s="111">
        <v>43.632013803595747</v>
      </c>
      <c r="R17" s="68">
        <v>36.379195351034831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0.18645464577774229</v>
      </c>
      <c r="M18" s="115">
        <v>48.570945175545198</v>
      </c>
      <c r="N18" s="115">
        <v>1541.4143326511585</v>
      </c>
      <c r="O18" s="115">
        <v>16.137656975886138</v>
      </c>
      <c r="P18" s="115">
        <v>15.756637490602781</v>
      </c>
      <c r="Q18" s="111">
        <v>16.137656975886138</v>
      </c>
      <c r="R18" s="68">
        <v>15.756637490602781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2.8050510245011099E-2</v>
      </c>
      <c r="M19" s="115">
        <v>171.73184598092809</v>
      </c>
      <c r="N19" s="115">
        <v>5584.5931724167867</v>
      </c>
      <c r="O19" s="115">
        <v>46.456232976446266</v>
      </c>
      <c r="P19" s="115">
        <v>36.610017106143069</v>
      </c>
      <c r="Q19" s="111">
        <v>46.456232976446266</v>
      </c>
      <c r="R19" s="68">
        <v>36.610017106143069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0.16283293302409158</v>
      </c>
      <c r="M20" s="115">
        <v>54.729412740045355</v>
      </c>
      <c r="N20" s="115">
        <v>1741.1767090544265</v>
      </c>
      <c r="O20" s="115">
        <v>18.310593485446603</v>
      </c>
      <c r="P20" s="115">
        <v>17.996219203925634</v>
      </c>
      <c r="Q20" s="111">
        <v>18.310593485446603</v>
      </c>
      <c r="R20" s="68">
        <v>17.996219203925634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2.0052774135335929E-2</v>
      </c>
      <c r="M21" s="115">
        <v>224.6269857581421</v>
      </c>
      <c r="N21" s="115">
        <v>7334.5898540594117</v>
      </c>
      <c r="O21" s="115">
        <v>55.071302727426257</v>
      </c>
      <c r="P21" s="115">
        <v>37.553749642306229</v>
      </c>
      <c r="Q21" s="111">
        <v>55.071302727426257</v>
      </c>
      <c r="R21" s="68">
        <v>37.553749642306229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0.65032577720556617</v>
      </c>
      <c r="M22" s="115">
        <v>6.3889832460837344</v>
      </c>
      <c r="N22" s="115">
        <v>180.93329459964673</v>
      </c>
      <c r="O22" s="115">
        <v>2.2678212791547439</v>
      </c>
      <c r="P22" s="115">
        <v>2.1568214926944065</v>
      </c>
      <c r="Q22" s="111">
        <v>2.2678212791547439</v>
      </c>
      <c r="R22" s="68">
        <v>2.1568214926944065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0.75933346239135968</v>
      </c>
      <c r="M23" s="115">
        <v>3.4170281871958945</v>
      </c>
      <c r="N23" s="115">
        <v>84.883967321363841</v>
      </c>
      <c r="O23" s="115">
        <v>1.4227416765145553</v>
      </c>
      <c r="P23" s="115">
        <v>1.4147545514582238</v>
      </c>
      <c r="Q23" s="111">
        <v>1.4227416765145553</v>
      </c>
      <c r="R23" s="68">
        <v>1.4147545514582238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0.32382406897429672</v>
      </c>
      <c r="M24" s="115">
        <v>27.844822088332709</v>
      </c>
      <c r="N24" s="115">
        <v>870.97864396824878</v>
      </c>
      <c r="O24" s="115">
        <v>9.048552800070226</v>
      </c>
      <c r="P24" s="115">
        <v>8.6063329917800822</v>
      </c>
      <c r="Q24" s="111">
        <v>9.048552800070226</v>
      </c>
      <c r="R24" s="68">
        <v>8.6063329917800822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7.8983181817353004E-2</v>
      </c>
      <c r="M25" s="115">
        <v>77.176947968545932</v>
      </c>
      <c r="N25" s="115">
        <v>2477.2801691949962</v>
      </c>
      <c r="O25" s="115">
        <v>26.684242457956984</v>
      </c>
      <c r="P25" s="115">
        <v>26.975787827260369</v>
      </c>
      <c r="Q25" s="111">
        <v>26.684242457956984</v>
      </c>
      <c r="R25" s="68">
        <v>26.975787827260373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2.1696881166600044E-2</v>
      </c>
      <c r="M26" s="115">
        <v>211.41431979439182</v>
      </c>
      <c r="N26" s="115">
        <v>6896.6922340899737</v>
      </c>
      <c r="O26" s="115">
        <v>52.894352240628223</v>
      </c>
      <c r="P26" s="115">
        <v>37.273267067678326</v>
      </c>
      <c r="Q26" s="111">
        <v>52.894352240628223</v>
      </c>
      <c r="R26" s="68">
        <v>37.273267067678326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3.8896145994441089E-3</v>
      </c>
      <c r="M27" s="115">
        <v>574.74154219316029</v>
      </c>
      <c r="N27" s="115">
        <v>19090.972521373784</v>
      </c>
      <c r="O27" s="115">
        <v>115.66199586385345</v>
      </c>
      <c r="P27" s="115">
        <v>50.154123610583412</v>
      </c>
      <c r="Q27" s="111">
        <v>115.66199586385345</v>
      </c>
      <c r="R27" s="68">
        <v>50.154123610583412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1.230981128070288E-2</v>
      </c>
      <c r="M28" s="115">
        <v>318.31446368850413</v>
      </c>
      <c r="N28" s="115">
        <v>10452.010036713342</v>
      </c>
      <c r="O28" s="115">
        <v>70.903068752250746</v>
      </c>
      <c r="P28" s="115">
        <v>40.251176523430502</v>
      </c>
      <c r="Q28" s="111">
        <v>70.903068752250746</v>
      </c>
      <c r="R28" s="68">
        <v>40.251176523430502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1.6402939723519926E-2</v>
      </c>
      <c r="M29" s="115">
        <v>211.23232909239584</v>
      </c>
      <c r="N29" s="115">
        <v>6903.6839036513147</v>
      </c>
      <c r="O29" s="115">
        <v>50.815110887752333</v>
      </c>
      <c r="P29" s="115">
        <v>33.549178110709832</v>
      </c>
      <c r="Q29" s="111">
        <v>50.815110887752333</v>
      </c>
      <c r="R29" s="68">
        <v>33.549178110709839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1.230981128070288E-2</v>
      </c>
      <c r="M30" s="115">
        <v>318.31446368850413</v>
      </c>
      <c r="N30" s="115">
        <v>10452.010036713342</v>
      </c>
      <c r="O30" s="115">
        <v>70.903068752250746</v>
      </c>
      <c r="P30" s="115">
        <v>40.251176523430502</v>
      </c>
      <c r="Q30" s="111">
        <v>70.903068752250746</v>
      </c>
      <c r="R30" s="68">
        <v>40.251176523430502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0.9704783740299987</v>
      </c>
      <c r="M31" s="115">
        <v>0.90147157259412847</v>
      </c>
      <c r="N31" s="115">
        <v>1.137209408618669</v>
      </c>
      <c r="O31" s="115">
        <v>0.81145522078302001</v>
      </c>
      <c r="P31" s="115">
        <v>0.93916514481435254</v>
      </c>
      <c r="Q31" s="111">
        <v>0.81145522078302013</v>
      </c>
      <c r="R31" s="68">
        <v>0.93916514481435265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0.56064310581883658</v>
      </c>
      <c r="M32" s="115">
        <v>10.481155866060529</v>
      </c>
      <c r="N32" s="115">
        <v>310.48892803722379</v>
      </c>
      <c r="O32" s="115">
        <v>3.1793314832139319</v>
      </c>
      <c r="P32" s="115">
        <v>2.9204218635016881</v>
      </c>
      <c r="Q32" s="111">
        <v>3.1793314832139319</v>
      </c>
      <c r="R32" s="68">
        <v>2.9204218635016885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0.99315469665595357</v>
      </c>
      <c r="M33" s="115">
        <v>0.88992439685241986</v>
      </c>
      <c r="N33" s="115">
        <v>0.59148605626944994</v>
      </c>
      <c r="O33" s="115">
        <v>0.84243068845667524</v>
      </c>
      <c r="P33" s="115">
        <v>0.99034111594529417</v>
      </c>
      <c r="Q33" s="111">
        <v>0.84243068845667535</v>
      </c>
      <c r="R33" s="68">
        <v>0.99034111594529428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0.92477695194680443</v>
      </c>
      <c r="M34" s="115">
        <v>1.5872992604287921</v>
      </c>
      <c r="N34" s="115">
        <v>75.662818195802586</v>
      </c>
      <c r="O34" s="115">
        <v>4.4154726913444886</v>
      </c>
      <c r="P34" s="115">
        <v>7.2184883476210162</v>
      </c>
      <c r="Q34" s="111">
        <v>4.4154726913444895</v>
      </c>
      <c r="R34" s="68">
        <v>7.2184883476210162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0.83072930277719037</v>
      </c>
      <c r="M35" s="115">
        <v>2.4024367728696618</v>
      </c>
      <c r="N35" s="115">
        <v>161.93787669029609</v>
      </c>
      <c r="O35" s="115">
        <v>8.9164044897159282</v>
      </c>
      <c r="P35" s="115">
        <v>15.092059209093129</v>
      </c>
      <c r="Q35" s="111">
        <v>8.91640448971593</v>
      </c>
      <c r="R35" s="68">
        <v>15.092059209093131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0.55152983304365866</v>
      </c>
      <c r="M36" s="115">
        <v>4.5672687183271892</v>
      </c>
      <c r="N36" s="115">
        <v>390.49294029930417</v>
      </c>
      <c r="O36" s="115">
        <v>21.937079810996906</v>
      </c>
      <c r="P36" s="115">
        <v>37.946122998987839</v>
      </c>
      <c r="Q36" s="111">
        <v>21.937079810996909</v>
      </c>
      <c r="R36" s="68">
        <v>37.946122998987839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0.59318068661683898</v>
      </c>
      <c r="M37" s="115">
        <v>12.980329868483858</v>
      </c>
      <c r="N37" s="115">
        <v>496.99161740642654</v>
      </c>
      <c r="O37" s="115">
        <v>11.64897089625763</v>
      </c>
      <c r="P37" s="115">
        <v>17.403907578945027</v>
      </c>
      <c r="Q37" s="111">
        <v>11.64897089625763</v>
      </c>
      <c r="R37" s="68">
        <v>17.403907578945031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0.93852505428947663</v>
      </c>
      <c r="M38" s="115">
        <v>1.5041299210698862</v>
      </c>
      <c r="N38" s="115">
        <v>61.469295119763466</v>
      </c>
      <c r="O38" s="115">
        <v>3.6064762279105436</v>
      </c>
      <c r="P38" s="115">
        <v>5.7891350037352662</v>
      </c>
      <c r="Q38" s="111">
        <v>3.606476227910544</v>
      </c>
      <c r="R38" s="68">
        <v>5.7891350037352662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4.9356741466918846E-2</v>
      </c>
      <c r="M39" s="115">
        <v>101.40068652124337</v>
      </c>
      <c r="N39" s="115">
        <v>3272.6125109594082</v>
      </c>
      <c r="O39" s="115">
        <v>35.459420055759395</v>
      </c>
      <c r="P39" s="115">
        <v>36.173543893593461</v>
      </c>
      <c r="Q39" s="111">
        <v>35.459420055759402</v>
      </c>
      <c r="R39" s="68">
        <v>36.173543893593468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9.5074868967170607E-3</v>
      </c>
      <c r="M40" s="115">
        <v>597.41077380695901</v>
      </c>
      <c r="N40" s="115">
        <v>52420.614250096209</v>
      </c>
      <c r="O40" s="115">
        <v>185.02159715270119</v>
      </c>
      <c r="P40" s="115">
        <v>121.32674383584833</v>
      </c>
      <c r="Q40" s="111">
        <v>185.02159715270122</v>
      </c>
      <c r="R40" s="68">
        <v>121.32674383584835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0.90797989368731635</v>
      </c>
      <c r="M41" s="115">
        <v>0.81027581911931279</v>
      </c>
      <c r="N41" s="115">
        <v>6.4241244581468002E-2</v>
      </c>
      <c r="O41" s="115">
        <v>0.75062754396268028</v>
      </c>
      <c r="P41" s="115">
        <v>0.87223366459535656</v>
      </c>
      <c r="Q41" s="111">
        <v>0.75062754396268028</v>
      </c>
      <c r="R41" s="68">
        <v>0.87223366459535656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0.62355378333379374</v>
      </c>
      <c r="M42" s="115">
        <v>7.4217466626092801</v>
      </c>
      <c r="N42" s="115">
        <v>214.12329449877544</v>
      </c>
      <c r="O42" s="115">
        <v>2.5728677619872533</v>
      </c>
      <c r="P42" s="115">
        <v>2.4319973811601683</v>
      </c>
      <c r="Q42" s="111">
        <v>2.5728677619872533</v>
      </c>
      <c r="R42" s="68">
        <v>2.4319973811601687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8.2292734413635243E-2</v>
      </c>
      <c r="M43" s="115">
        <v>16.238745596305105</v>
      </c>
      <c r="N43" s="115">
        <v>1517.6248212171006</v>
      </c>
      <c r="O43" s="115">
        <v>45.669158859044487</v>
      </c>
      <c r="P43" s="115">
        <v>76.757097342987961</v>
      </c>
      <c r="Q43" s="111">
        <v>45.669158859044494</v>
      </c>
      <c r="R43" s="68">
        <v>76.757097342987976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0.77775916073399864</v>
      </c>
      <c r="M44" s="115">
        <v>1.6564374578099372</v>
      </c>
      <c r="N44" s="115">
        <v>29.673381363558452</v>
      </c>
      <c r="O44" s="115">
        <v>0.91389300521830119</v>
      </c>
      <c r="P44" s="115">
        <v>0.9731932642881358</v>
      </c>
      <c r="Q44" s="111">
        <v>0.91389300521830119</v>
      </c>
      <c r="R44" s="68">
        <v>0.9731932642881358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0.59708392453002712</v>
      </c>
      <c r="M45" s="115">
        <v>8.4499228669901996</v>
      </c>
      <c r="N45" s="115">
        <v>247.21607610211788</v>
      </c>
      <c r="O45" s="115">
        <v>2.8790671482100394</v>
      </c>
      <c r="P45" s="115">
        <v>2.7104061538823707</v>
      </c>
      <c r="Q45" s="111">
        <v>2.8790671482100394</v>
      </c>
      <c r="R45" s="68">
        <v>2.7104061538823707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0.61242582750402708</v>
      </c>
      <c r="M46" s="115">
        <v>7.7761915328061253</v>
      </c>
      <c r="N46" s="115">
        <v>225.58606085530363</v>
      </c>
      <c r="O46" s="115">
        <v>2.6772608392709527</v>
      </c>
      <c r="P46" s="115">
        <v>2.5264464072066439</v>
      </c>
      <c r="Q46" s="111">
        <v>2.6772608392709527</v>
      </c>
      <c r="R46" s="68">
        <v>2.5264464072066439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3.6310943853218986E-3</v>
      </c>
      <c r="M47" s="115">
        <v>602.65557545318143</v>
      </c>
      <c r="N47" s="115">
        <v>20033.517974242564</v>
      </c>
      <c r="O47" s="115">
        <v>120.82360536661182</v>
      </c>
      <c r="P47" s="115">
        <v>51.754980171136047</v>
      </c>
      <c r="Q47" s="111">
        <v>120.82360536661182</v>
      </c>
      <c r="R47" s="68">
        <v>51.754980171136047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0.90581193869192211</v>
      </c>
      <c r="M48" s="115">
        <v>1.141652884568688</v>
      </c>
      <c r="N48" s="115">
        <v>10.253435133415241</v>
      </c>
      <c r="O48" s="115">
        <v>0.83961369706332223</v>
      </c>
      <c r="P48" s="115">
        <v>0.94311224029947283</v>
      </c>
      <c r="Q48" s="111">
        <v>0.83961369706332223</v>
      </c>
      <c r="R48" s="68">
        <v>0.94311224029947283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0.87015550107768302</v>
      </c>
      <c r="M49" s="115">
        <v>1.3505243927004045</v>
      </c>
      <c r="N49" s="115">
        <v>17.666049762094133</v>
      </c>
      <c r="O49" s="115">
        <v>0.87814567182539627</v>
      </c>
      <c r="P49" s="115">
        <v>0.96583698489028313</v>
      </c>
      <c r="Q49" s="111">
        <v>0.87814567182539638</v>
      </c>
      <c r="R49" s="68">
        <v>0.96583698489028313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0.19194664923310506</v>
      </c>
      <c r="M50" s="115">
        <v>46.646132888188212</v>
      </c>
      <c r="N50" s="115">
        <v>1479.2729656220347</v>
      </c>
      <c r="O50" s="115">
        <v>15.470135855368321</v>
      </c>
      <c r="P50" s="115">
        <v>15.078138579433093</v>
      </c>
      <c r="Q50" s="111">
        <v>15.470135855368321</v>
      </c>
      <c r="R50" s="68">
        <v>15.078138579433094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0.8993559255884801</v>
      </c>
      <c r="M51" s="115">
        <v>0.86151736035932136</v>
      </c>
      <c r="N51" s="115">
        <v>1.8474134012633141</v>
      </c>
      <c r="O51" s="115">
        <v>0.75891449306494974</v>
      </c>
      <c r="P51" s="115">
        <v>0.87573071701585814</v>
      </c>
      <c r="Q51" s="111">
        <v>0.75891449306494974</v>
      </c>
      <c r="R51" s="68">
        <v>0.87573071701585825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0.7503913578698409</v>
      </c>
      <c r="M52" s="115">
        <v>2.2926532895820131</v>
      </c>
      <c r="N52" s="115">
        <v>50.161443396237878</v>
      </c>
      <c r="O52" s="115">
        <v>1.0845357617125413</v>
      </c>
      <c r="P52" s="115">
        <v>1.1148529827531448</v>
      </c>
      <c r="Q52" s="111">
        <v>1.0845357617125413</v>
      </c>
      <c r="R52" s="68">
        <v>1.1148529827531448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0.51111012881718643</v>
      </c>
      <c r="M53" s="115">
        <v>12.572120844286905</v>
      </c>
      <c r="N53" s="115">
        <v>379.74215049796283</v>
      </c>
      <c r="O53" s="115">
        <v>4.1361286217077904</v>
      </c>
      <c r="P53" s="115">
        <v>3.8738636070340289</v>
      </c>
      <c r="Q53" s="111">
        <v>4.1361286217077904</v>
      </c>
      <c r="R53" s="68">
        <v>3.8738636070340293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4.8590759109579619E-3</v>
      </c>
      <c r="M54" s="115">
        <v>530.77426048835696</v>
      </c>
      <c r="N54" s="115">
        <v>17595.428173663047</v>
      </c>
      <c r="O54" s="115">
        <v>108.00788109038064</v>
      </c>
      <c r="P54" s="115">
        <v>48.501411523654134</v>
      </c>
      <c r="Q54" s="111">
        <v>108.00788109038064</v>
      </c>
      <c r="R54" s="68">
        <v>48.501411523654134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0.23503451494247618</v>
      </c>
      <c r="M55" s="115">
        <v>23.202297447775948</v>
      </c>
      <c r="N55" s="115">
        <v>727.41955969948583</v>
      </c>
      <c r="O55" s="115">
        <v>7.5530547406811062</v>
      </c>
      <c r="P55" s="115">
        <v>7.2049302186582977</v>
      </c>
      <c r="Q55" s="111">
        <v>7.553054740681107</v>
      </c>
      <c r="R55" s="68">
        <v>7.2049302186582986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2.2204555914557077E-2</v>
      </c>
      <c r="M56" s="115">
        <v>10.815175710599016</v>
      </c>
      <c r="N56" s="115">
        <v>345.21942881453054</v>
      </c>
      <c r="O56" s="115">
        <v>3.6578491126657799</v>
      </c>
      <c r="P56" s="115">
        <v>3.6301717309631556</v>
      </c>
      <c r="Q56" s="111">
        <v>3.6578491126657804</v>
      </c>
      <c r="R56" s="68">
        <v>3.6301717309631556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3.3301390391520372E-2</v>
      </c>
      <c r="M57" s="115">
        <v>4.4363997552507888</v>
      </c>
      <c r="N57" s="115">
        <v>139.69664519478846</v>
      </c>
      <c r="O57" s="115">
        <v>1.4513995818918213</v>
      </c>
      <c r="P57" s="115">
        <v>1.3939037219541142</v>
      </c>
      <c r="Q57" s="111">
        <v>1.4513995818918215</v>
      </c>
      <c r="R57" s="68">
        <v>1.3939037219541142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5.9192222135813634E-2</v>
      </c>
      <c r="M58" s="115">
        <v>0.10211903914945125</v>
      </c>
      <c r="N58" s="115">
        <v>1.5180339048436302</v>
      </c>
      <c r="O58" s="115">
        <v>6.2658962998945397E-2</v>
      </c>
      <c r="P58" s="115">
        <v>6.8174410757331438E-2</v>
      </c>
      <c r="Q58" s="111">
        <v>6.2658962998945397E-2</v>
      </c>
      <c r="R58" s="68">
        <v>6.8174410757331438E-2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1.2602313372934272E-2</v>
      </c>
      <c r="M59" s="115">
        <v>1.5665818403077796</v>
      </c>
      <c r="N59" s="115">
        <v>49.282870675868274</v>
      </c>
      <c r="O59" s="115">
        <v>0.51186210398651277</v>
      </c>
      <c r="P59" s="115">
        <v>0.49079543891158278</v>
      </c>
      <c r="Q59" s="111">
        <v>0.51186210398651277</v>
      </c>
      <c r="R59" s="68">
        <v>0.49079543891158284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4.490767170882356E-4</v>
      </c>
      <c r="M60" s="115">
        <v>2.6144013320438184E-2</v>
      </c>
      <c r="N60" s="115">
        <v>0.81155087718149799</v>
      </c>
      <c r="O60" s="115">
        <v>8.4748338851915374E-3</v>
      </c>
      <c r="P60" s="115">
        <v>8.001816077306793E-3</v>
      </c>
      <c r="Q60" s="111">
        <v>8.4748338851915374E-3</v>
      </c>
      <c r="R60" s="68">
        <v>8.001816077306793E-3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0.4319587317238478</v>
      </c>
      <c r="M61" s="115">
        <v>17.860037276838707</v>
      </c>
      <c r="N61" s="115">
        <v>549.61227811673416</v>
      </c>
      <c r="O61" s="115">
        <v>5.7996638356870687</v>
      </c>
      <c r="P61" s="115">
        <v>5.4492839840971721</v>
      </c>
      <c r="Q61" s="111">
        <v>5.7996638356870687</v>
      </c>
      <c r="R61" s="68">
        <v>5.4492839840971721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1.8318536815807293E-2</v>
      </c>
      <c r="M62" s="115">
        <v>241.44678616641676</v>
      </c>
      <c r="N62" s="115">
        <v>7892.4098669716604</v>
      </c>
      <c r="O62" s="115">
        <v>57.907733905113901</v>
      </c>
      <c r="P62" s="115">
        <v>38.028582061118776</v>
      </c>
      <c r="Q62" s="111">
        <v>57.907733905113908</v>
      </c>
      <c r="R62" s="68">
        <v>38.028582061118783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2.1402897849387044E-3</v>
      </c>
      <c r="M63" s="115">
        <v>730.12046129666646</v>
      </c>
      <c r="N63" s="115">
        <v>24386.02954232529</v>
      </c>
      <c r="O63" s="115">
        <v>143.73406732582527</v>
      </c>
      <c r="P63" s="115">
        <v>57.842123547740997</v>
      </c>
      <c r="Q63" s="111">
        <v>143.73406732582529</v>
      </c>
      <c r="R63" s="68">
        <v>57.842123547741004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8.390526347835151E-4</v>
      </c>
      <c r="M64" s="115">
        <v>936.43587770257238</v>
      </c>
      <c r="N64" s="115">
        <v>31520.950362740183</v>
      </c>
      <c r="O64" s="115">
        <v>181.28262626019139</v>
      </c>
      <c r="P64" s="115">
        <v>68.485982042408864</v>
      </c>
      <c r="Q64" s="111">
        <v>181.28262626019139</v>
      </c>
      <c r="R64" s="68">
        <v>68.485982042408864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2.6439145972118175E-4</v>
      </c>
      <c r="M65" s="115">
        <v>1135.9895156321506</v>
      </c>
      <c r="N65" s="115">
        <v>38575.937633198599</v>
      </c>
      <c r="O65" s="115">
        <v>218.06739851780094</v>
      </c>
      <c r="P65" s="115">
        <v>79.537406313075309</v>
      </c>
      <c r="Q65" s="111">
        <v>218.06739851780094</v>
      </c>
      <c r="R65" s="68">
        <v>79.537406313075323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5.1545889675734427E-4</v>
      </c>
      <c r="M66" s="115">
        <v>1028.5483335232395</v>
      </c>
      <c r="N66" s="115">
        <v>34753.222749068867</v>
      </c>
      <c r="O66" s="115">
        <v>198.20621963285981</v>
      </c>
      <c r="P66" s="115">
        <v>73.499897219684513</v>
      </c>
      <c r="Q66" s="111">
        <v>198.20621963285981</v>
      </c>
      <c r="R66" s="68">
        <v>73.499897219684513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0.83432838663437059</v>
      </c>
      <c r="M67" s="115">
        <v>1.988209984320946</v>
      </c>
      <c r="N67" s="115">
        <v>38.374356677940099</v>
      </c>
      <c r="O67" s="115">
        <v>1.0416914384917992</v>
      </c>
      <c r="P67" s="115">
        <v>1.0968370091098851</v>
      </c>
      <c r="Q67" s="111">
        <v>1.0416914384917992</v>
      </c>
      <c r="R67" s="68">
        <v>1.0968370091098854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0.77884915032392266</v>
      </c>
      <c r="M68" s="115">
        <v>2.8207010147880109</v>
      </c>
      <c r="N68" s="115">
        <v>65.770943347855138</v>
      </c>
      <c r="O68" s="115">
        <v>1.2558654186337497</v>
      </c>
      <c r="P68" s="115">
        <v>1.2713259790992382</v>
      </c>
      <c r="Q68" s="111">
        <v>1.2558654186337497</v>
      </c>
      <c r="R68" s="68">
        <v>1.2713259790992384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7.1301196325588264E-3</v>
      </c>
      <c r="M69" s="115">
        <v>435.64204880810576</v>
      </c>
      <c r="N69" s="115">
        <v>14386.394146116449</v>
      </c>
      <c r="O69" s="115">
        <v>91.153376751012402</v>
      </c>
      <c r="P69" s="115">
        <v>44.378208115931322</v>
      </c>
      <c r="Q69" s="111">
        <v>91.153376751012402</v>
      </c>
      <c r="R69" s="68">
        <v>44.378208115931322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9.458233248703099E-2</v>
      </c>
      <c r="M70" s="115">
        <v>74.994000036051261</v>
      </c>
      <c r="N70" s="115">
        <v>2403.3342402860872</v>
      </c>
      <c r="O70" s="115">
        <v>25.753625599073199</v>
      </c>
      <c r="P70" s="115">
        <v>25.890845148835226</v>
      </c>
      <c r="Q70" s="111">
        <v>25.753625599073199</v>
      </c>
      <c r="R70" s="68">
        <v>25.890845148835226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0.77535976156072128</v>
      </c>
      <c r="M71" s="115">
        <v>2.6200883389238339</v>
      </c>
      <c r="N71" s="115">
        <v>59.632542163618396</v>
      </c>
      <c r="O71" s="115">
        <v>1.1946489693587192</v>
      </c>
      <c r="P71" s="115">
        <v>1.216779514226475</v>
      </c>
      <c r="Q71" s="111">
        <v>1.1946489693587192</v>
      </c>
      <c r="R71" s="68">
        <v>1.216779514226475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0.10156653615701629</v>
      </c>
      <c r="M72" s="115">
        <v>68.455626016129543</v>
      </c>
      <c r="N72" s="115">
        <v>2190.9764495962058</v>
      </c>
      <c r="O72" s="115">
        <v>23.386648091057136</v>
      </c>
      <c r="P72" s="115">
        <v>23.410056214404861</v>
      </c>
      <c r="Q72" s="111">
        <v>23.38664809105714</v>
      </c>
      <c r="R72" s="68">
        <v>23.410056214404861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0.40619540607720456</v>
      </c>
      <c r="M73" s="115">
        <v>18.819389853060549</v>
      </c>
      <c r="N73" s="115">
        <v>580.95479695288702</v>
      </c>
      <c r="O73" s="115">
        <v>6.1046343809460835</v>
      </c>
      <c r="P73" s="115">
        <v>5.7440226614193</v>
      </c>
      <c r="Q73" s="111">
        <v>6.1046343809460843</v>
      </c>
      <c r="R73" s="68">
        <v>5.7440226614193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9.6926207891629299E-2</v>
      </c>
      <c r="M74" s="115">
        <v>73.366340750475928</v>
      </c>
      <c r="N74" s="115">
        <v>2350.31569843548</v>
      </c>
      <c r="O74" s="115">
        <v>25.157107427845638</v>
      </c>
      <c r="P74" s="115">
        <v>25.259981207278116</v>
      </c>
      <c r="Q74" s="111">
        <v>25.157107427845638</v>
      </c>
      <c r="R74" s="68">
        <v>25.259981207278116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4.1938027096773717E-2</v>
      </c>
      <c r="M75" s="115">
        <v>53.652634915882501</v>
      </c>
      <c r="N75" s="115">
        <v>5271.6113028615136</v>
      </c>
      <c r="O75" s="115">
        <v>57.352282391575251</v>
      </c>
      <c r="P75" s="115">
        <v>83.681790579096841</v>
      </c>
      <c r="Q75" s="111">
        <v>57.352282391575251</v>
      </c>
      <c r="R75" s="68">
        <v>83.681790579096841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4.1938027312467686E-2</v>
      </c>
      <c r="M76" s="115">
        <v>53.652635191826569</v>
      </c>
      <c r="N76" s="115">
        <v>5271.6113299742519</v>
      </c>
      <c r="O76" s="115">
        <v>57.352282686547191</v>
      </c>
      <c r="P76" s="115">
        <v>83.68179100948565</v>
      </c>
      <c r="Q76" s="111">
        <v>57.352282686547191</v>
      </c>
      <c r="R76" s="68">
        <v>83.68179100948565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0.22443193571828451</v>
      </c>
      <c r="M77" s="115">
        <v>37.667575117239465</v>
      </c>
      <c r="N77" s="115">
        <v>1189.6020486986588</v>
      </c>
      <c r="O77" s="115">
        <v>12.381944991666183</v>
      </c>
      <c r="P77" s="115">
        <v>11.957289671613839</v>
      </c>
      <c r="Q77" s="111">
        <v>12.381944991666183</v>
      </c>
      <c r="R77" s="68">
        <v>11.957289671613839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0.61153559540059321</v>
      </c>
      <c r="M78" s="115">
        <v>6.6809932381323094</v>
      </c>
      <c r="N78" s="115">
        <v>191.24394065969304</v>
      </c>
      <c r="O78" s="115">
        <v>2.3392045481751325</v>
      </c>
      <c r="P78" s="115">
        <v>2.2166963749594699</v>
      </c>
      <c r="Q78" s="111">
        <v>2.3392045481751329</v>
      </c>
      <c r="R78" s="68">
        <v>2.2166963749594704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0.50014939341654663</v>
      </c>
      <c r="M79" s="115">
        <v>12.866553894731465</v>
      </c>
      <c r="N79" s="115">
        <v>389.39457440125773</v>
      </c>
      <c r="O79" s="115">
        <v>4.2255748668990529</v>
      </c>
      <c r="P79" s="115">
        <v>3.957712138507147</v>
      </c>
      <c r="Q79" s="111">
        <v>4.2255748668990529</v>
      </c>
      <c r="R79" s="68">
        <v>3.9577121385071474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2.8669388122044406E-2</v>
      </c>
      <c r="M80" s="115">
        <v>105.04379612873629</v>
      </c>
      <c r="N80" s="115">
        <v>10326.428251592002</v>
      </c>
      <c r="O80" s="115">
        <v>71.132240098124342</v>
      </c>
      <c r="P80" s="115">
        <v>89.252513239936491</v>
      </c>
      <c r="Q80" s="111">
        <v>71.132240098124356</v>
      </c>
      <c r="R80" s="68">
        <v>89.252513239936491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0.96494825811905516</v>
      </c>
      <c r="M81" s="115">
        <v>0.91451181573347129</v>
      </c>
      <c r="N81" s="115">
        <v>1.6828209663169049</v>
      </c>
      <c r="O81" s="115">
        <v>0.81164281252721238</v>
      </c>
      <c r="P81" s="115">
        <v>0.93754834442867319</v>
      </c>
      <c r="Q81" s="111">
        <v>0.81164281252721238</v>
      </c>
      <c r="R81" s="68">
        <v>0.93754834442867319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0.76413493176110858</v>
      </c>
      <c r="M82" s="115">
        <v>3.3133773069296044</v>
      </c>
      <c r="N82" s="115">
        <v>81.51921966289018</v>
      </c>
      <c r="O82" s="115">
        <v>1.3943728136983635</v>
      </c>
      <c r="P82" s="115">
        <v>1.3905732451911459</v>
      </c>
      <c r="Q82" s="111">
        <v>1.3943728136983635</v>
      </c>
      <c r="R82" s="68">
        <v>1.3905732451911459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0.26799177438086436</v>
      </c>
      <c r="M83" s="115">
        <v>34.887217264281588</v>
      </c>
      <c r="N83" s="115">
        <v>1098.2109521828431</v>
      </c>
      <c r="O83" s="115">
        <v>11.408635126472284</v>
      </c>
      <c r="P83" s="115">
        <v>10.9507919370753</v>
      </c>
      <c r="Q83" s="111">
        <v>11.408635126472285</v>
      </c>
      <c r="R83" s="68">
        <v>10.9507919370753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0.9321228029462757</v>
      </c>
      <c r="M84" s="115">
        <v>1.0542000240944265</v>
      </c>
      <c r="N84" s="115">
        <v>6.8473021257914573</v>
      </c>
      <c r="O84" s="115">
        <v>0.83048897257633936</v>
      </c>
      <c r="P84" s="115">
        <v>0.94294209865826017</v>
      </c>
      <c r="Q84" s="111">
        <v>0.83048897257633947</v>
      </c>
      <c r="R84" s="68">
        <v>0.94294209865826017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0.98158732658121184</v>
      </c>
      <c r="M85" s="115">
        <v>0.88515222020931383</v>
      </c>
      <c r="N85" s="115">
        <v>0.34482983908411102</v>
      </c>
      <c r="O85" s="115">
        <v>0.81380532112544923</v>
      </c>
      <c r="P85" s="115">
        <v>0.94464252849023689</v>
      </c>
      <c r="Q85" s="111">
        <v>0.81380532112544923</v>
      </c>
      <c r="R85" s="68">
        <v>0.94464252849023689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0.93360698458798763</v>
      </c>
      <c r="M86" s="115">
        <v>1.0456640117908895</v>
      </c>
      <c r="N86" s="115">
        <v>6.5449610937716454</v>
      </c>
      <c r="O86" s="115">
        <v>0.82899344682264586</v>
      </c>
      <c r="P86" s="115">
        <v>0.94214436979745175</v>
      </c>
      <c r="Q86" s="111">
        <v>0.82899344682264597</v>
      </c>
      <c r="R86" s="68">
        <v>0.94214436979745186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2.970503112666765E-3</v>
      </c>
      <c r="M87" s="115">
        <v>651.59807374758589</v>
      </c>
      <c r="N87" s="115">
        <v>21700.281839487456</v>
      </c>
      <c r="O87" s="115">
        <v>129.59172918090999</v>
      </c>
      <c r="P87" s="115">
        <v>54.04272602017523</v>
      </c>
      <c r="Q87" s="111">
        <v>129.59172918091002</v>
      </c>
      <c r="R87" s="68">
        <v>54.04272602017523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0.67884893875228824</v>
      </c>
      <c r="M88" s="115">
        <v>5.5247217535084605</v>
      </c>
      <c r="N88" s="115">
        <v>153.02575933050065</v>
      </c>
      <c r="O88" s="115">
        <v>2.0175646277227561</v>
      </c>
      <c r="P88" s="115">
        <v>1.9338381789378849</v>
      </c>
      <c r="Q88" s="111">
        <v>2.0175646277227561</v>
      </c>
      <c r="R88" s="68">
        <v>1.9338381789378849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0.74958229583180169</v>
      </c>
      <c r="M89" s="115">
        <v>3.6367043004945727</v>
      </c>
      <c r="N89" s="115">
        <v>92.006839730390809</v>
      </c>
      <c r="O89" s="115">
        <v>1.483251353743356</v>
      </c>
      <c r="P89" s="115">
        <v>1.4665747292187243</v>
      </c>
      <c r="Q89" s="111">
        <v>1.483251353743356</v>
      </c>
      <c r="R89" s="68">
        <v>1.4665747292187243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0.87565702670449574</v>
      </c>
      <c r="M90" s="115">
        <v>1.5278842466135698</v>
      </c>
      <c r="N90" s="115">
        <v>22.987839882486256</v>
      </c>
      <c r="O90" s="115">
        <v>0.93186277468574641</v>
      </c>
      <c r="P90" s="115">
        <v>1.0127141284327756</v>
      </c>
      <c r="Q90" s="111">
        <v>0.93186277468574652</v>
      </c>
      <c r="R90" s="68">
        <v>1.0127141284327756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1.6015422191773949E-2</v>
      </c>
      <c r="M91" s="115">
        <v>266.31131414872561</v>
      </c>
      <c r="N91" s="115">
        <v>8718.7383100702846</v>
      </c>
      <c r="O91" s="115">
        <v>62.079293562045017</v>
      </c>
      <c r="P91" s="115">
        <v>38.69046884473849</v>
      </c>
      <c r="Q91" s="111">
        <v>62.079293562045017</v>
      </c>
      <c r="R91" s="68">
        <v>38.690468844738497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0.32709120080300563</v>
      </c>
      <c r="M92" s="115">
        <v>27.486427373182277</v>
      </c>
      <c r="N92" s="115">
        <v>859.42527855031244</v>
      </c>
      <c r="O92" s="115">
        <v>8.9298436609073146</v>
      </c>
      <c r="P92" s="115">
        <v>8.4894182171422727</v>
      </c>
      <c r="Q92" s="111">
        <v>8.9298436609073146</v>
      </c>
      <c r="R92" s="68">
        <v>8.4894182171422727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0.12683715594398251</v>
      </c>
      <c r="M93" s="115">
        <v>64.712146609929235</v>
      </c>
      <c r="N93" s="115">
        <v>2066.4206979192118</v>
      </c>
      <c r="O93" s="115">
        <v>21.917410383107057</v>
      </c>
      <c r="P93" s="115">
        <v>21.778216820664205</v>
      </c>
      <c r="Q93" s="111">
        <v>21.917410383107057</v>
      </c>
      <c r="R93" s="68">
        <v>21.778216820664205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0.98391712951956722</v>
      </c>
      <c r="M94" s="115">
        <v>1.0074882013284046</v>
      </c>
      <c r="N94" s="115">
        <v>13.074220431810813</v>
      </c>
      <c r="O94" s="115">
        <v>1.3729945514154001</v>
      </c>
      <c r="P94" s="115">
        <v>1.9099349796536746</v>
      </c>
      <c r="Q94" s="111">
        <v>1.3729945514154003</v>
      </c>
      <c r="R94" s="68">
        <v>1.9099349796536749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3.720251436097205E-2</v>
      </c>
      <c r="M95" s="115">
        <v>133.47545494715703</v>
      </c>
      <c r="N95" s="115">
        <v>4324.655044142416</v>
      </c>
      <c r="O95" s="115">
        <v>40.383574419929488</v>
      </c>
      <c r="P95" s="115">
        <v>36.209806116512063</v>
      </c>
      <c r="Q95" s="111">
        <v>40.383574419929495</v>
      </c>
      <c r="R95" s="68">
        <v>36.209806116512063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0.96384682663984722</v>
      </c>
      <c r="M96" s="115">
        <v>0.91748468195252697</v>
      </c>
      <c r="N96" s="115">
        <v>1.8030721720615817</v>
      </c>
      <c r="O96" s="115">
        <v>0.81178529781302411</v>
      </c>
      <c r="P96" s="115">
        <v>0.93731358163707712</v>
      </c>
      <c r="Q96" s="111">
        <v>0.81178529781302411</v>
      </c>
      <c r="R96" s="68">
        <v>0.93731358163707712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0.93136772166698123</v>
      </c>
      <c r="M97" s="115">
        <v>1.0586214323735494</v>
      </c>
      <c r="N97" s="115">
        <v>7.0035633404594888</v>
      </c>
      <c r="O97" s="115">
        <v>0.83127294621694836</v>
      </c>
      <c r="P97" s="115">
        <v>0.9433681185422309</v>
      </c>
      <c r="Q97" s="111">
        <v>0.83127294621694836</v>
      </c>
      <c r="R97" s="68">
        <v>0.9433681185422309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7.5562556682790313E-2</v>
      </c>
      <c r="M98" s="115">
        <v>84.871266387614327</v>
      </c>
      <c r="N98" s="115">
        <v>2727.1232043701343</v>
      </c>
      <c r="O98" s="115">
        <v>29.480264004428449</v>
      </c>
      <c r="P98" s="115">
        <v>29.912902437801023</v>
      </c>
      <c r="Q98" s="111">
        <v>29.480264004428449</v>
      </c>
      <c r="R98" s="68">
        <v>29.912902437801026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0.98525317315060901</v>
      </c>
      <c r="M99" s="115">
        <v>0.88284914103208123</v>
      </c>
      <c r="N99" s="115">
        <v>0.17769572480043827</v>
      </c>
      <c r="O99" s="115">
        <v>0.81541586300459712</v>
      </c>
      <c r="P99" s="115">
        <v>0.94711759346142843</v>
      </c>
      <c r="Q99" s="111">
        <v>0.81541586300459723</v>
      </c>
      <c r="R99" s="68">
        <v>0.94711759346142843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0.5367435090783067</v>
      </c>
      <c r="M100" s="115">
        <v>11.292462955566103</v>
      </c>
      <c r="N100" s="115">
        <v>338.5610106013757</v>
      </c>
      <c r="O100" s="115">
        <v>3.7421514332022783</v>
      </c>
      <c r="P100" s="115">
        <v>3.5062494728159153</v>
      </c>
      <c r="Q100" s="111">
        <v>3.7421514332022783</v>
      </c>
      <c r="R100" s="68">
        <v>3.5062494728159153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0.9796893620079512</v>
      </c>
      <c r="M101" s="115">
        <v>0.88696804319748401</v>
      </c>
      <c r="N101" s="115">
        <v>0.45039750515301008</v>
      </c>
      <c r="O101" s="115">
        <v>0.81313870790097398</v>
      </c>
      <c r="P101" s="115">
        <v>0.94349315826490199</v>
      </c>
      <c r="Q101" s="111">
        <v>0.81313870790097398</v>
      </c>
      <c r="R101" s="68">
        <v>0.94349315826490199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0.99000309317096824</v>
      </c>
      <c r="M102" s="115">
        <v>0.88239826391394405</v>
      </c>
      <c r="N102" s="115">
        <v>3.8125610147347014E-2</v>
      </c>
      <c r="O102" s="115">
        <v>0.81817101989872953</v>
      </c>
      <c r="P102" s="115">
        <v>0.95084130726171512</v>
      </c>
      <c r="Q102" s="111">
        <v>0.81817101989872965</v>
      </c>
      <c r="R102" s="68">
        <v>0.95084130726171523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0.98551583836718626</v>
      </c>
      <c r="M103" s="115">
        <v>0.88274733966205621</v>
      </c>
      <c r="N103" s="115">
        <v>0.16764613447696947</v>
      </c>
      <c r="O103" s="115">
        <v>0.81554807906047089</v>
      </c>
      <c r="P103" s="115">
        <v>0.94730807932928662</v>
      </c>
      <c r="Q103" s="111">
        <v>0.815548079060471</v>
      </c>
      <c r="R103" s="68">
        <v>0.94730807932928662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0.94867902071707488</v>
      </c>
      <c r="M104" s="115">
        <v>0.97073255645508016</v>
      </c>
      <c r="N104" s="115">
        <v>3.8394092202901016</v>
      </c>
      <c r="O104" s="115">
        <v>0.81723672717983631</v>
      </c>
      <c r="P104" s="115">
        <v>0.93701730649927217</v>
      </c>
      <c r="Q104" s="111">
        <v>0.81723672717983631</v>
      </c>
      <c r="R104" s="68">
        <v>0.93701730649927228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0.98930236592633636</v>
      </c>
      <c r="M105" s="115">
        <v>0.88227129246786584</v>
      </c>
      <c r="N105" s="115">
        <v>5.286255183275216E-2</v>
      </c>
      <c r="O105" s="115">
        <v>0.81771431780268311</v>
      </c>
      <c r="P105" s="115">
        <v>0.95025392653567575</v>
      </c>
      <c r="Q105" s="111">
        <v>0.81771431780268311</v>
      </c>
      <c r="R105" s="68">
        <v>0.95025392653567575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0.84519152142696541</v>
      </c>
      <c r="M106" s="115">
        <v>1.9021046452212584</v>
      </c>
      <c r="N106" s="115">
        <v>35.405251905130022</v>
      </c>
      <c r="O106" s="115">
        <v>1.0227071459989541</v>
      </c>
      <c r="P106" s="115">
        <v>1.0830271312612272</v>
      </c>
      <c r="Q106" s="111">
        <v>1.0227071459989543</v>
      </c>
      <c r="R106" s="68">
        <v>1.0830271312612272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6.099737190363571E-2</v>
      </c>
      <c r="M107" s="115">
        <v>92.655933081079837</v>
      </c>
      <c r="N107" s="115">
        <v>2983.8993962734708</v>
      </c>
      <c r="O107" s="115">
        <v>32.5136342028134</v>
      </c>
      <c r="P107" s="115">
        <v>33.256261753200164</v>
      </c>
      <c r="Q107" s="111">
        <v>32.5136342028134</v>
      </c>
      <c r="R107" s="68">
        <v>33.256261753200164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0.58430611288230627</v>
      </c>
      <c r="M108" s="115">
        <v>9.0238440327777862</v>
      </c>
      <c r="N108" s="115">
        <v>265.64943830232676</v>
      </c>
      <c r="O108" s="115">
        <v>3.0518349796448736</v>
      </c>
      <c r="P108" s="115">
        <v>2.8685738839241783</v>
      </c>
      <c r="Q108" s="111">
        <v>3.051834979644874</v>
      </c>
      <c r="R108" s="68">
        <v>2.8685738839241783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2024-10-28T23:26:07Z</dcterms:modified>
</cp:coreProperties>
</file>