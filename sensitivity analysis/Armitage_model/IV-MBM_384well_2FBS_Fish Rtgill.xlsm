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384well_1um\"/>
    </mc:Choice>
  </mc:AlternateContent>
  <xr:revisionPtr revIDLastSave="0" documentId="13_ncr:1_{C2EDF984-6222-4479-894D-663FFEEAD39B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<sst xmlns="http://schemas.openxmlformats.org/spreadsheetml/2006/main" count="3131" uniqueCount="515">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</sst>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14" borderId="0" xfId="0" applyFill="1"/>
    <xf numFmtId="0" fontId="0" fillId="0" borderId="0" xfId="0" applyAlignment="1">
      <alignment vertic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42863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0.49875000000000003</v>
      </c>
      <c r="K5" s="136">
        <v>0.52500000000000002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0.19950000000000001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9.9750000000000005E-2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4.9875000000000003E-2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1.0500000000000001E-2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8.3999999999999995E-3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2.9399999999999999E-3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1.6275E-3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1.0499999999999999E-3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1.2075E-3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6.3000000000000003E-4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1.0500000000000001E-2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P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6" ht="13.15">
      <c r="A1" s="74" t="s">
        <v>132</v>
      </c>
      <c r="B1" s="75"/>
      <c r="F1" s="74" t="s">
        <v>131</v>
      </c>
      <c r="I1" s="76"/>
    </row>
    <row r="2" spans="1:16" ht="13.15" thickBot="1">
      <c r="B2" s="75"/>
      <c r="I2" s="76"/>
    </row>
    <row r="3" spans="1:16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6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6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6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6" ht="13.15" thickBot="1">
      <c r="B7" s="87"/>
      <c r="I7" s="76"/>
    </row>
    <row r="8" spans="1:16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6" ht="17.25">
      <c r="A9" s="76" t="s">
        <v>56</v>
      </c>
      <c r="B9" s="137">
        <f>K9*B6*K16/(1/0.733)/1000</f>
        <v>1.4073600000000002E-2</v>
      </c>
      <c r="C9" s="75" t="s">
        <v>99</v>
      </c>
      <c r="F9" s="76" t="s">
        <v>68</v>
      </c>
      <c r="G9" s="89">
        <v>0.04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6" ht="17.25">
      <c r="A10" s="76" t="s">
        <v>115</v>
      </c>
      <c r="B10" s="137">
        <f>K9*B6*K17/1000</f>
        <v>1.5200000000000001E-3</v>
      </c>
      <c r="C10" s="75" t="s">
        <v>99</v>
      </c>
      <c r="F10" s="76" t="s">
        <v>69</v>
      </c>
      <c r="G10" s="90">
        <v>0.01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6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0.06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6" ht="13.15" thickBot="1">
      <c r="A12" s="76" t="s">
        <v>22</v>
      </c>
      <c r="B12" s="138">
        <f>G13/1000000/G12*1000000</f>
        <v>2.9399999999999999E-3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6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2.9399999999999999E-3</v>
      </c>
      <c r="H13" s="75" t="s">
        <v>16</v>
      </c>
      <c r="K13" s="75"/>
      <c r="L13" s="76"/>
      <c r="M13" s="75"/>
    </row>
    <row r="14" spans="1:16" ht="13.15" thickBot="1">
      <c r="C14" s="76"/>
      <c r="D14" s="76"/>
      <c r="E14" s="76"/>
      <c r="F14" s="102" t="s">
        <v>164</v>
      </c>
      <c r="G14" s="88">
        <v>7.4</v>
      </c>
    </row>
    <row r="15" spans="1:16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  <c r="P15" s="163">
        <v>0.04</v>
      </c>
    </row>
    <row r="16" spans="1:16" ht="15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  <c r="P16" s="163">
        <v>0.01</v>
      </c>
    </row>
    <row r="17" spans="1:16" ht="15.4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  <c r="P17" s="163">
        <v>0.06</v>
      </c>
    </row>
    <row r="18" spans="1:16">
      <c r="C18" s="76"/>
      <c r="D18" s="76"/>
      <c r="E18" s="76"/>
      <c r="K18" s="75"/>
    </row>
    <row r="19" spans="1:16" ht="13.15">
      <c r="A19" s="93" t="s">
        <v>15</v>
      </c>
      <c r="C19" s="76"/>
      <c r="D19" s="76"/>
      <c r="E19" s="76"/>
    </row>
    <row r="20" spans="1:16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6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7.3499999999999998E-5</v>
      </c>
      <c r="K21" s="76" t="s">
        <v>125</v>
      </c>
      <c r="M21" s="75"/>
    </row>
    <row r="22" spans="1:16" ht="13.15" thickBot="1">
      <c r="A22" s="75"/>
      <c r="C22" s="76"/>
      <c r="F22" s="102" t="s">
        <v>164</v>
      </c>
      <c r="G22" s="88">
        <v>7.4</v>
      </c>
      <c r="J22" s="95">
        <f>B12*(G9+G10)/B6</f>
        <v>3.675E-6</v>
      </c>
      <c r="K22" s="78" t="s">
        <v>126</v>
      </c>
      <c r="L22" s="96"/>
    </row>
    <row r="23" spans="1:16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3.8000000000000002E-5</v>
      </c>
      <c r="K23" s="76" t="s">
        <v>127</v>
      </c>
    </row>
    <row r="24" spans="1:16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3.5184000000000007E-4</v>
      </c>
      <c r="K24" s="76" t="s">
        <v>128</v>
      </c>
    </row>
    <row r="25" spans="1:16">
      <c r="C25" s="96"/>
      <c r="F25" s="76" t="s">
        <v>137</v>
      </c>
    </row>
    <row r="26" spans="1:16">
      <c r="B26" s="75"/>
      <c r="F26" s="98" t="s">
        <v>152</v>
      </c>
      <c r="G26" s="76" t="b">
        <v>0</v>
      </c>
    </row>
    <row r="27" spans="1:16" ht="13.15">
      <c r="C27" s="96"/>
      <c r="F27" s="74"/>
      <c r="G27" s="75"/>
      <c r="H27" s="75"/>
      <c r="J27" s="99"/>
    </row>
    <row r="28" spans="1:16" ht="13.15">
      <c r="B28" s="100"/>
      <c r="C28" s="96"/>
      <c r="F28" s="6" t="s">
        <v>269</v>
      </c>
      <c r="G28" s="75"/>
      <c r="H28" s="75"/>
      <c r="J28" s="99"/>
    </row>
    <row r="29" spans="1:16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6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6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6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38100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8.1130699830405353E-8</v>
      </c>
      <c r="J2" s="67" t="s">
        <v>231</v>
      </c>
      <c r="K2" s="68">
        <v>9.0147157259412851E-4</v>
      </c>
      <c r="L2" s="67" t="s">
        <v>231</v>
      </c>
      <c r="M2" s="68">
        <v>1.1372094086186692E-3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9.9401158035148992E-6</v>
      </c>
      <c r="J3" s="67" t="s">
        <v>231</v>
      </c>
      <c r="K3" s="68">
        <v>1.1192729265253014E-2</v>
      </c>
      <c r="L3" s="67" t="s">
        <v>231</v>
      </c>
      <c r="M3" s="68">
        <v>0.30513687838192394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9.1372617272631435E-15</v>
      </c>
      <c r="J4" s="67" t="s">
        <v>231</v>
      </c>
      <c r="K4" s="68">
        <v>1.0130672725836118E-3</v>
      </c>
      <c r="L4" s="67" t="s">
        <v>231</v>
      </c>
      <c r="M4" s="68">
        <v>3.0506746021319673E-3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2.053007208910402E-10</v>
      </c>
      <c r="J5" s="67" t="s">
        <v>231</v>
      </c>
      <c r="K5" s="68">
        <v>1.5869887966356918E-3</v>
      </c>
      <c r="L5" s="67" t="s">
        <v>231</v>
      </c>
      <c r="M5" s="68">
        <v>7.5653962114770643E-2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8.9203108984421202E-7</v>
      </c>
      <c r="J6" s="67" t="s">
        <v>231</v>
      </c>
      <c r="K6" s="68">
        <v>2.4269447169882187E-3</v>
      </c>
      <c r="L6" s="67" t="s">
        <v>231</v>
      </c>
      <c r="M6" s="68">
        <v>0.16261118148164755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7.8873276198812524E-6</v>
      </c>
      <c r="J7" s="67" t="s">
        <v>231</v>
      </c>
      <c r="K7" s="68">
        <v>5.7106028848488317E-3</v>
      </c>
      <c r="L7" s="67" t="s">
        <v>231</v>
      </c>
      <c r="M7" s="68">
        <v>0.42053437457925241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1.725353502045586E-8</v>
      </c>
      <c r="J8" s="67" t="s">
        <v>231</v>
      </c>
      <c r="K8" s="68">
        <v>3.0079862774839588E-3</v>
      </c>
      <c r="L8" s="67" t="s">
        <v>231</v>
      </c>
      <c r="M8" s="68">
        <v>0.22826528431101864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6.4105657610156753E-7</v>
      </c>
      <c r="J9" s="67" t="s">
        <v>231</v>
      </c>
      <c r="K9" s="68">
        <v>1.46452847551673E-3</v>
      </c>
      <c r="L9" s="67" t="s">
        <v>231</v>
      </c>
      <c r="M9" s="68">
        <v>6.0327999609815754E-2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9.977591151327579E-4</v>
      </c>
      <c r="J10" s="67" t="s">
        <v>231</v>
      </c>
      <c r="K10" s="68">
        <v>0.10140068652124337</v>
      </c>
      <c r="L10" s="67" t="s">
        <v>231</v>
      </c>
      <c r="M10" s="68">
        <v>3.2726125109594082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4.3145069293241879E-8</v>
      </c>
      <c r="J11" s="67" t="s">
        <v>231</v>
      </c>
      <c r="K11" s="68">
        <v>0.80605151201158143</v>
      </c>
      <c r="L11" s="67" t="s">
        <v>231</v>
      </c>
      <c r="M11" s="68">
        <v>43.469725432882313</v>
      </c>
      <c r="N11" s="67" t="s">
        <v>232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2.3968403924008138E-8</v>
      </c>
      <c r="J12" s="67" t="s">
        <v>231</v>
      </c>
      <c r="K12" s="68">
        <v>8.166739309393901E-4</v>
      </c>
      <c r="L12" s="67" t="s">
        <v>231</v>
      </c>
      <c r="M12" s="68">
        <v>6.1407693240936014E-5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1.1221398281714896E-3</v>
      </c>
      <c r="J13" s="67" t="s">
        <v>231</v>
      </c>
      <c r="K13" s="68">
        <v>7.4217466626092798E-3</v>
      </c>
      <c r="L13" s="67" t="s">
        <v>231</v>
      </c>
      <c r="M13" s="68">
        <v>0.21412329449877543</v>
      </c>
      <c r="N13" s="67" t="s">
        <v>231</v>
      </c>
      <c r="P13" s="109" t="s">
        <v>192</v>
      </c>
      <c r="Q13" s="103">
        <f>COUNTIF(J2:J50000,"Yes")</f>
        <v>11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8.6107511146255649E-8</v>
      </c>
      <c r="J14" s="67" t="s">
        <v>231</v>
      </c>
      <c r="K14" s="68">
        <v>1.7219377887249612E-2</v>
      </c>
      <c r="L14" s="67" t="s">
        <v>231</v>
      </c>
      <c r="M14" s="68">
        <v>1.5435817948733526</v>
      </c>
      <c r="N14" s="67" t="s">
        <v>231</v>
      </c>
      <c r="P14" s="109" t="s">
        <v>229</v>
      </c>
      <c r="Q14" s="103">
        <f>COUNTIF(N2:N50000,"Yes")</f>
        <v>10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1.0883510830732653E-6</v>
      </c>
      <c r="J15" s="67" t="s">
        <v>231</v>
      </c>
      <c r="K15" s="68">
        <v>1.6564374578099373E-3</v>
      </c>
      <c r="L15" s="67" t="s">
        <v>231</v>
      </c>
      <c r="M15" s="68">
        <v>2.9673381363558453E-2</v>
      </c>
      <c r="N15" s="67" t="s">
        <v>231</v>
      </c>
      <c r="P15" s="109" t="s">
        <v>230</v>
      </c>
      <c r="Q15" s="103">
        <f>COUNTIF(M2:M50000,"&gt;=60")</f>
        <v>1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1.0088277015348617E-4</v>
      </c>
      <c r="J16" s="67" t="s">
        <v>231</v>
      </c>
      <c r="K16" s="68">
        <v>8.4499228669901987E-3</v>
      </c>
      <c r="L16" s="67" t="s">
        <v>231</v>
      </c>
      <c r="M16" s="68">
        <v>0.24721607610211788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2.2315073080426303E-6</v>
      </c>
      <c r="J17" s="67" t="s">
        <v>231</v>
      </c>
      <c r="K17" s="68">
        <v>7.7761915328061247E-3</v>
      </c>
      <c r="L17" s="67" t="s">
        <v>231</v>
      </c>
      <c r="M17" s="68">
        <v>0.22558606085530364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1.4151439448573217E-2</v>
      </c>
      <c r="J18" s="67" t="s">
        <v>232</v>
      </c>
      <c r="K18" s="68">
        <v>0.60265557545318138</v>
      </c>
      <c r="L18" s="67" t="s">
        <v>231</v>
      </c>
      <c r="M18" s="68">
        <v>20.033517974242564</v>
      </c>
      <c r="N18" s="67" t="s">
        <v>232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1.8139094109760271E-6</v>
      </c>
      <c r="J19" s="67" t="s">
        <v>231</v>
      </c>
      <c r="K19" s="68">
        <v>1.141652884568688E-3</v>
      </c>
      <c r="L19" s="67" t="s">
        <v>231</v>
      </c>
      <c r="M19" s="68">
        <v>1.0253435133415241E-2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5.0844616881442803E-6</v>
      </c>
      <c r="J20" s="67" t="s">
        <v>231</v>
      </c>
      <c r="K20" s="68">
        <v>1.3505243927004046E-3</v>
      </c>
      <c r="L20" s="67" t="s">
        <v>231</v>
      </c>
      <c r="M20" s="68">
        <v>1.766604976209413E-2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7.7543885639223392E-6</v>
      </c>
      <c r="J21" s="67" t="s">
        <v>231</v>
      </c>
      <c r="K21" s="68">
        <v>2.240800220065485E-2</v>
      </c>
      <c r="L21" s="67" t="s">
        <v>231</v>
      </c>
      <c r="M21" s="68">
        <v>0.84386742022298866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4.0159917647164161E-8</v>
      </c>
      <c r="J22" s="67" t="s">
        <v>231</v>
      </c>
      <c r="K22" s="68">
        <v>8.6151736035932139E-4</v>
      </c>
      <c r="L22" s="67" t="s">
        <v>231</v>
      </c>
      <c r="M22" s="68">
        <v>1.8474134012633142E-3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1.1170378579368199E-5</v>
      </c>
      <c r="J23" s="67" t="s">
        <v>231</v>
      </c>
      <c r="K23" s="68">
        <v>2.2926532895820133E-3</v>
      </c>
      <c r="L23" s="67" t="s">
        <v>231</v>
      </c>
      <c r="M23" s="68">
        <v>5.0161443396237883E-2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2.0904869649075774E-4</v>
      </c>
      <c r="J24" s="67" t="s">
        <v>231</v>
      </c>
      <c r="K24" s="68">
        <v>1.2572120844286905E-2</v>
      </c>
      <c r="L24" s="67" t="s">
        <v>231</v>
      </c>
      <c r="M24" s="68">
        <v>0.37974215049796278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4.630658634918761E-3</v>
      </c>
      <c r="J25" s="67" t="s">
        <v>231</v>
      </c>
      <c r="K25" s="68">
        <v>0.53077426048835696</v>
      </c>
      <c r="L25" s="67" t="s">
        <v>231</v>
      </c>
      <c r="M25" s="68">
        <v>17.595428173663045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2.9476786344520052E-4</v>
      </c>
      <c r="J26" s="67" t="s">
        <v>231</v>
      </c>
      <c r="K26" s="68">
        <v>2.3202297447775945E-2</v>
      </c>
      <c r="L26" s="67" t="s">
        <v>231</v>
      </c>
      <c r="M26" s="68">
        <v>0.72741955969948591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232</v>
      </c>
      <c r="H27" s="67" t="s">
        <v>231</v>
      </c>
      <c r="I27" s="68">
        <v>6.9889580726765674E-5</v>
      </c>
      <c r="J27" s="67" t="s">
        <v>231</v>
      </c>
      <c r="K27" s="68">
        <v>1.0815175710599015E-2</v>
      </c>
      <c r="L27" s="67" t="s">
        <v>231</v>
      </c>
      <c r="M27" s="68">
        <v>0.34521942881453055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2.7311058453385425E-5</v>
      </c>
      <c r="J28" s="67" t="s">
        <v>231</v>
      </c>
      <c r="K28" s="68">
        <v>4.4363997552507896E-3</v>
      </c>
      <c r="L28" s="67" t="s">
        <v>231</v>
      </c>
      <c r="M28" s="68">
        <v>0.13969664519478847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2.5871323111056034E-7</v>
      </c>
      <c r="J29" s="67" t="s">
        <v>231</v>
      </c>
      <c r="K29" s="68">
        <v>1.0211903914945125E-4</v>
      </c>
      <c r="L29" s="67" t="s">
        <v>231</v>
      </c>
      <c r="M29" s="68">
        <v>1.5180339048436302E-3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6.0316578335406595E-6</v>
      </c>
      <c r="J30" s="67" t="s">
        <v>231</v>
      </c>
      <c r="K30" s="68">
        <v>1.5665818403077796E-3</v>
      </c>
      <c r="L30" s="67" t="s">
        <v>231</v>
      </c>
      <c r="M30" s="68">
        <v>4.9282870675868271E-2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8.9782118788451005E-8</v>
      </c>
      <c r="J31" s="67" t="s">
        <v>231</v>
      </c>
      <c r="K31" s="68">
        <v>2.6144013320438183E-5</v>
      </c>
      <c r="L31" s="67" t="s">
        <v>231</v>
      </c>
      <c r="M31" s="68">
        <v>8.1155087718149798E-4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1.0000131273329443E-4</v>
      </c>
      <c r="J32" s="67" t="s">
        <v>231</v>
      </c>
      <c r="K32" s="68">
        <v>6.3889832460837341E-3</v>
      </c>
      <c r="L32" s="67" t="s">
        <v>231</v>
      </c>
      <c r="M32" s="68">
        <v>0.18093329459964674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3.1313328876594682E-5</v>
      </c>
      <c r="J33" s="67" t="s">
        <v>231</v>
      </c>
      <c r="K33" s="68">
        <v>3.4170281871958945E-3</v>
      </c>
      <c r="L33" s="67" t="s">
        <v>231</v>
      </c>
      <c r="M33" s="68">
        <v>8.4883967321363843E-2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1.5148920371794839E-4</v>
      </c>
      <c r="J34" s="67" t="s">
        <v>231</v>
      </c>
      <c r="K34" s="68">
        <v>2.7844822088332711E-2</v>
      </c>
      <c r="L34" s="67" t="s">
        <v>231</v>
      </c>
      <c r="M34" s="68">
        <v>0.87097864396824876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1.5398705038409506E-3</v>
      </c>
      <c r="J35" s="67" t="s">
        <v>231</v>
      </c>
      <c r="K35" s="68">
        <v>7.7176947968545934E-2</v>
      </c>
      <c r="L35" s="67" t="s">
        <v>231</v>
      </c>
      <c r="M35" s="68">
        <v>2.4772801691949962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3.9141117712442313E-3</v>
      </c>
      <c r="J36" s="67" t="s">
        <v>231</v>
      </c>
      <c r="K36" s="68">
        <v>0.21141431979439182</v>
      </c>
      <c r="L36" s="67" t="s">
        <v>231</v>
      </c>
      <c r="M36" s="68">
        <v>6.8966922340899739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2.9949149751397675E-3</v>
      </c>
      <c r="J37" s="67" t="s">
        <v>231</v>
      </c>
      <c r="K37" s="68">
        <v>0.57474154219316032</v>
      </c>
      <c r="L37" s="67" t="s">
        <v>231</v>
      </c>
      <c r="M37" s="68">
        <v>19.090972521373786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1.4298557194304879E-3</v>
      </c>
      <c r="J38" s="67" t="s">
        <v>231</v>
      </c>
      <c r="K38" s="68">
        <v>0.31831446368850413</v>
      </c>
      <c r="L38" s="67" t="s">
        <v>231</v>
      </c>
      <c r="M38" s="68">
        <v>10.452010036713341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7.7836981508531402E-4</v>
      </c>
      <c r="J39" s="67" t="s">
        <v>231</v>
      </c>
      <c r="K39" s="68">
        <v>0.21123232909239587</v>
      </c>
      <c r="L39" s="67" t="s">
        <v>231</v>
      </c>
      <c r="M39" s="68">
        <v>6.9036839036513147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1.4298557194304879E-3</v>
      </c>
      <c r="J40" s="67" t="s">
        <v>231</v>
      </c>
      <c r="K40" s="68">
        <v>0.31831446368850413</v>
      </c>
      <c r="L40" s="67" t="s">
        <v>231</v>
      </c>
      <c r="M40" s="68">
        <v>10.452010036713341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8.7877664922749593E-9</v>
      </c>
      <c r="J41" s="67" t="s">
        <v>231</v>
      </c>
      <c r="K41" s="68">
        <v>9.3857039253723363E-4</v>
      </c>
      <c r="L41" s="67" t="s">
        <v>231</v>
      </c>
      <c r="M41" s="68">
        <v>5.691647240264221E-3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5.4869268592786062E-3</v>
      </c>
      <c r="J42" s="67" t="s">
        <v>231</v>
      </c>
      <c r="K42" s="68">
        <v>0.5909293384674319</v>
      </c>
      <c r="L42" s="67" t="s">
        <v>231</v>
      </c>
      <c r="M42" s="68">
        <v>19.643713600081441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2.4273183559026536E-3</v>
      </c>
      <c r="J43" s="67" t="s">
        <v>231</v>
      </c>
      <c r="K43" s="68">
        <v>1.3833152412506936E-2</v>
      </c>
      <c r="L43" s="67" t="s">
        <v>231</v>
      </c>
      <c r="M43" s="68">
        <v>0.42019541882739486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7.2583920682474544E-3</v>
      </c>
      <c r="J44" s="67" t="s">
        <v>231</v>
      </c>
      <c r="K44" s="68">
        <v>0.15070233457613183</v>
      </c>
      <c r="L44" s="67" t="s">
        <v>231</v>
      </c>
      <c r="M44" s="68">
        <v>4.8914100395977229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1.6792974566804092E-2</v>
      </c>
      <c r="J45" s="67" t="s">
        <v>232</v>
      </c>
      <c r="K45" s="68">
        <v>0.77164204716303808</v>
      </c>
      <c r="L45" s="67" t="s">
        <v>231</v>
      </c>
      <c r="M45" s="68">
        <v>25.81221654311668</v>
      </c>
      <c r="N45" s="67" t="s">
        <v>232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2.2491286794928686E-3</v>
      </c>
      <c r="J46" s="67" t="s">
        <v>231</v>
      </c>
      <c r="K46" s="68">
        <v>0.62696046376487025</v>
      </c>
      <c r="L46" s="67" t="s">
        <v>231</v>
      </c>
      <c r="M46" s="68">
        <v>20.86061361360936</v>
      </c>
      <c r="N46" s="67" t="s">
        <v>232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3.9484731438940608E-3</v>
      </c>
      <c r="J47" s="142" t="s">
        <v>231</v>
      </c>
      <c r="K47" s="143">
        <v>0.45592019828450259</v>
      </c>
      <c r="L47" s="142" t="s">
        <v>231</v>
      </c>
      <c r="M47" s="143">
        <v>15.067630165730654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6.1202047707403632E-4</v>
      </c>
      <c r="J48" s="142" t="s">
        <v>231</v>
      </c>
      <c r="K48" s="143">
        <v>5.3646515411237217E-2</v>
      </c>
      <c r="L48" s="142" t="s">
        <v>231</v>
      </c>
      <c r="M48" s="143">
        <v>1.7059784495573087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4.3654808433913556E-3</v>
      </c>
      <c r="J49" s="142" t="s">
        <v>231</v>
      </c>
      <c r="K49" s="143">
        <v>0.16098156261954014</v>
      </c>
      <c r="L49" s="142" t="s">
        <v>231</v>
      </c>
      <c r="M49" s="143">
        <v>5.2300318001286934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1.0736286835533626E-3</v>
      </c>
      <c r="J50" s="142" t="s">
        <v>231</v>
      </c>
      <c r="K50" s="143">
        <v>0.17914698203097834</v>
      </c>
      <c r="L50" s="142" t="s">
        <v>231</v>
      </c>
      <c r="M50" s="143">
        <v>5.8294075063704307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1.5323960533134139E-3</v>
      </c>
      <c r="J51" s="142" t="s">
        <v>231</v>
      </c>
      <c r="K51" s="143">
        <v>6.531633217923663E-2</v>
      </c>
      <c r="L51" s="142" t="s">
        <v>231</v>
      </c>
      <c r="M51" s="143">
        <v>2.0861222137966098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2.8945210840328722E-2</v>
      </c>
      <c r="J52" s="142" t="s">
        <v>232</v>
      </c>
      <c r="K52" s="143">
        <v>5.4708510433256051E-2</v>
      </c>
      <c r="L52" s="142" t="s">
        <v>231</v>
      </c>
      <c r="M52" s="143">
        <v>1.7405117172716733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1.0334943649053052E-2</v>
      </c>
      <c r="J53" s="142" t="s">
        <v>232</v>
      </c>
      <c r="K53" s="143">
        <v>0.24621447414377912</v>
      </c>
      <c r="L53" s="142" t="s">
        <v>231</v>
      </c>
      <c r="M53" s="143">
        <v>8.050764118215497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5.1504990974870222E-3</v>
      </c>
      <c r="J54" s="67" t="s">
        <v>231</v>
      </c>
      <c r="K54" s="68">
        <v>0.16990127324797033</v>
      </c>
      <c r="L54" s="67" t="s">
        <v>231</v>
      </c>
      <c r="M54" s="68">
        <v>5.5241910067336768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4.1334254018467491E-3</v>
      </c>
      <c r="J55" s="67" t="s">
        <v>231</v>
      </c>
      <c r="K55" s="68">
        <v>0.44813199054614833</v>
      </c>
      <c r="L55" s="67" t="s">
        <v>231</v>
      </c>
      <c r="M55" s="68">
        <v>14.805685135107401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3.0575413427967597E-3</v>
      </c>
      <c r="J56" s="67" t="s">
        <v>231</v>
      </c>
      <c r="K56" s="68">
        <v>0.15410298326027552</v>
      </c>
      <c r="L56" s="67" t="s">
        <v>231</v>
      </c>
      <c r="M56" s="68">
        <v>5.0033785114873801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4.2364008704589284E-3</v>
      </c>
      <c r="J57" s="67" t="s">
        <v>231</v>
      </c>
      <c r="K57" s="68">
        <v>4.8570945175545194E-2</v>
      </c>
      <c r="L57" s="67" t="s">
        <v>231</v>
      </c>
      <c r="M57" s="68">
        <v>1.5414143326511585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3.131214962888966E-2</v>
      </c>
      <c r="J58" s="67" t="s">
        <v>232</v>
      </c>
      <c r="K58" s="68">
        <v>0.17173184598092808</v>
      </c>
      <c r="L58" s="67" t="s">
        <v>231</v>
      </c>
      <c r="M58" s="68">
        <v>5.5845931724167874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2.9958397782215928E-3</v>
      </c>
      <c r="J59" s="67" t="s">
        <v>231</v>
      </c>
      <c r="K59" s="68">
        <v>5.472941274004535E-2</v>
      </c>
      <c r="L59" s="67" t="s">
        <v>231</v>
      </c>
      <c r="M59" s="68">
        <v>1.7411767090544266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1.4818027449092089E-2</v>
      </c>
      <c r="J60" s="67" t="s">
        <v>232</v>
      </c>
      <c r="K60" s="68">
        <v>0.22462698575814211</v>
      </c>
      <c r="L60" s="67" t="s">
        <v>231</v>
      </c>
      <c r="M60" s="68">
        <v>7.334589854059411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4.7850322678701695E-5</v>
      </c>
      <c r="J61" s="67" t="s">
        <v>231</v>
      </c>
      <c r="K61" s="68">
        <v>6.5806254568592307E-2</v>
      </c>
      <c r="L61" s="67" t="s">
        <v>231</v>
      </c>
      <c r="M61" s="68">
        <v>1.506980849306385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2.2678131980161407E-4</v>
      </c>
      <c r="J62" s="67" t="s">
        <v>231</v>
      </c>
      <c r="K62" s="68">
        <v>2.6419625040961806E-2</v>
      </c>
      <c r="L62" s="67" t="s">
        <v>231</v>
      </c>
      <c r="M62" s="68">
        <v>0.82505302355849397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1.736681450903495E-6</v>
      </c>
      <c r="J63" s="67" t="s">
        <v>231</v>
      </c>
      <c r="K63" s="68">
        <v>5.8416683050097236E-3</v>
      </c>
      <c r="L63" s="67" t="s">
        <v>231</v>
      </c>
      <c r="M63" s="68">
        <v>0.11496967223110531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1.0611284702971458E-7</v>
      </c>
      <c r="J64" s="67" t="s">
        <v>231</v>
      </c>
      <c r="K64" s="68">
        <v>9.1894683901360633E-4</v>
      </c>
      <c r="L64" s="67" t="s">
        <v>231</v>
      </c>
      <c r="M64" s="68">
        <v>2.2723750527086483E-3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2.0107743845857713E-8</v>
      </c>
      <c r="J65" s="67" t="s">
        <v>231</v>
      </c>
      <c r="K65" s="68">
        <v>1.2891412023147018E-3</v>
      </c>
      <c r="L65" s="67" t="s">
        <v>231</v>
      </c>
      <c r="M65" s="68">
        <v>9.5607109300336786E-3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1.7859159261382026E-7</v>
      </c>
      <c r="J66" s="67" t="s">
        <v>231</v>
      </c>
      <c r="K66" s="68">
        <v>4.7039607174702847E-2</v>
      </c>
      <c r="L66" s="67" t="s">
        <v>231</v>
      </c>
      <c r="M66" s="68">
        <v>1.088065773109439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1.980517536917139E-8</v>
      </c>
      <c r="J67" s="67" t="s">
        <v>231</v>
      </c>
      <c r="K67" s="68">
        <v>1.2213467066814433E-3</v>
      </c>
      <c r="L67" s="67" t="s">
        <v>231</v>
      </c>
      <c r="M67" s="68">
        <v>7.9582334587478629E-3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6.4282176355649502E-9</v>
      </c>
      <c r="J68" s="67" t="s">
        <v>231</v>
      </c>
      <c r="K68" s="68">
        <v>9.2852744424651312E-4</v>
      </c>
      <c r="L68" s="67" t="s">
        <v>231</v>
      </c>
      <c r="M68" s="68">
        <v>1.0551358460986482E-3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1.7126236508493428E-4</v>
      </c>
      <c r="J69" s="67" t="s">
        <v>231</v>
      </c>
      <c r="K69" s="68">
        <v>0.13756386048883482</v>
      </c>
      <c r="L69" s="67" t="s">
        <v>231</v>
      </c>
      <c r="M69" s="68">
        <v>4.4590525646189363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2.2849394342238895E-14</v>
      </c>
      <c r="J70" s="67" t="s">
        <v>231</v>
      </c>
      <c r="K70" s="68">
        <v>9.2022063903157063E-4</v>
      </c>
      <c r="L70" s="67" t="s">
        <v>231</v>
      </c>
      <c r="M70" s="68">
        <v>3.809800993494115E-3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1.9836459395642488E-10</v>
      </c>
      <c r="J71" s="67" t="s">
        <v>231</v>
      </c>
      <c r="K71" s="68">
        <v>9.4996558697788642E-4</v>
      </c>
      <c r="L71" s="67" t="s">
        <v>231</v>
      </c>
      <c r="M71" s="68">
        <v>6.9795078504316108E-3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2.7862641529532349E-13</v>
      </c>
      <c r="J72" s="67" t="s">
        <v>231</v>
      </c>
      <c r="K72" s="68">
        <v>6.4226120673759199E-2</v>
      </c>
      <c r="L72" s="67" t="s">
        <v>231</v>
      </c>
      <c r="M72" s="68">
        <v>6.3116910738404979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1.1822242808301234E-10</v>
      </c>
      <c r="J73" s="67" t="s">
        <v>231</v>
      </c>
      <c r="K73" s="68">
        <v>6.1177816076133339E-3</v>
      </c>
      <c r="L73" s="67" t="s">
        <v>231</v>
      </c>
      <c r="M73" s="68">
        <v>0.57759800989065202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1.8599530011365558E-11</v>
      </c>
      <c r="J74" s="67" t="s">
        <v>231</v>
      </c>
      <c r="K74" s="68">
        <v>9.4415409222942559E-4</v>
      </c>
      <c r="L74" s="67" t="s">
        <v>231</v>
      </c>
      <c r="M74" s="68">
        <v>6.3595618229199619E-3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7.0071498211723071E-13</v>
      </c>
      <c r="J75" s="67" t="s">
        <v>231</v>
      </c>
      <c r="K75" s="68">
        <v>5.9211817881733879E-3</v>
      </c>
      <c r="L75" s="67" t="s">
        <v>231</v>
      </c>
      <c r="M75" s="68">
        <v>0.55513230686217419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1.6581928875760532E-8</v>
      </c>
      <c r="J76" s="67" t="s">
        <v>231</v>
      </c>
      <c r="K76" s="68">
        <v>1.8659708109597219E-3</v>
      </c>
      <c r="L76" s="67" t="s">
        <v>231</v>
      </c>
      <c r="M76" s="68">
        <v>0.10600553254567244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4.9107561995688435E-7</v>
      </c>
      <c r="J77" s="67" t="s">
        <v>231</v>
      </c>
      <c r="K77" s="68">
        <v>6.0643554327939131E-3</v>
      </c>
      <c r="L77" s="67" t="s">
        <v>231</v>
      </c>
      <c r="M77" s="68">
        <v>0.57145917718258432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2.7446064869464283E-12</v>
      </c>
      <c r="J78" s="67" t="s">
        <v>231</v>
      </c>
      <c r="K78" s="68">
        <v>5.3652651942984013E-2</v>
      </c>
      <c r="L78" s="67" t="s">
        <v>231</v>
      </c>
      <c r="M78" s="68">
        <v>5.2716116848624859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1.5099401430006222E-15</v>
      </c>
      <c r="J79" s="67" t="s">
        <v>231</v>
      </c>
      <c r="K79" s="68">
        <v>5.3652569238358525E-2</v>
      </c>
      <c r="L79" s="67" t="s">
        <v>231</v>
      </c>
      <c r="M79" s="68">
        <v>5.2716098294205107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8.2508510979158083E-14</v>
      </c>
      <c r="J80" s="67" t="s">
        <v>231</v>
      </c>
      <c r="K80" s="68">
        <v>3.5852807881469047E-3</v>
      </c>
      <c r="L80" s="67" t="s">
        <v>231</v>
      </c>
      <c r="M80" s="68">
        <v>0.29438975826773267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8.4744823527586763E-11</v>
      </c>
      <c r="J81" s="67" t="s">
        <v>231</v>
      </c>
      <c r="K81" s="68">
        <v>1.1217877921892868E-3</v>
      </c>
      <c r="L81" s="67" t="s">
        <v>231</v>
      </c>
      <c r="M81" s="68">
        <v>2.5406683047657405E-2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2.1433469551177668E-15</v>
      </c>
      <c r="J82" s="67" t="s">
        <v>231</v>
      </c>
      <c r="K82" s="68">
        <v>1.4503641833928239E-3</v>
      </c>
      <c r="L82" s="67" t="s">
        <v>231</v>
      </c>
      <c r="M82" s="68">
        <v>6.0887781438863565E-2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1.6476796273865791E-13</v>
      </c>
      <c r="J83" s="67" t="s">
        <v>231</v>
      </c>
      <c r="K83" s="68">
        <v>0.10504382736078004</v>
      </c>
      <c r="L83" s="67" t="s">
        <v>231</v>
      </c>
      <c r="M83" s="68">
        <v>10.326428817246804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5.1234863214730531E-2</v>
      </c>
      <c r="J84" s="67" t="s">
        <v>232</v>
      </c>
      <c r="K84" s="68">
        <v>1.7860037276838703E-2</v>
      </c>
      <c r="L84" s="67" t="s">
        <v>231</v>
      </c>
      <c r="M84" s="68">
        <v>0.54961227811673408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2.7182417929856909E-5</v>
      </c>
      <c r="J85" s="67" t="s">
        <v>231</v>
      </c>
      <c r="K85" s="68">
        <v>2.2558806167838661</v>
      </c>
      <c r="L85" s="67" t="s">
        <v>232</v>
      </c>
      <c r="M85" s="68">
        <v>53.205763052935438</v>
      </c>
      <c r="N85" s="67" t="s">
        <v>232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1.5855738087553154E-3</v>
      </c>
      <c r="J86" s="67" t="s">
        <v>231</v>
      </c>
      <c r="K86" s="68">
        <v>0.73012046129666641</v>
      </c>
      <c r="L86" s="67" t="s">
        <v>231</v>
      </c>
      <c r="M86" s="68">
        <v>24.386029542325293</v>
      </c>
      <c r="N86" s="67" t="s">
        <v>232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1.2967834958571389E-3</v>
      </c>
      <c r="J87" s="67" t="s">
        <v>231</v>
      </c>
      <c r="K87" s="68">
        <v>0.93643587770257242</v>
      </c>
      <c r="L87" s="67" t="s">
        <v>231</v>
      </c>
      <c r="M87" s="68">
        <v>31.520950362740184</v>
      </c>
      <c r="N87" s="67" t="s">
        <v>232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2.2277571850138531E-3</v>
      </c>
      <c r="J88" s="67" t="s">
        <v>231</v>
      </c>
      <c r="K88" s="68">
        <v>1.1359895156321507</v>
      </c>
      <c r="L88" s="67" t="s">
        <v>232</v>
      </c>
      <c r="M88" s="68">
        <v>38.575937633198599</v>
      </c>
      <c r="N88" s="67" t="s">
        <v>232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2.6417453029097954E-6</v>
      </c>
      <c r="J89" s="67" t="s">
        <v>231</v>
      </c>
      <c r="K89" s="68">
        <v>8.6119172603070702</v>
      </c>
      <c r="L89" s="67" t="s">
        <v>232</v>
      </c>
      <c r="M89" s="68">
        <v>202.48431037272539</v>
      </c>
      <c r="N89" s="67" t="s">
        <v>232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1.9060424234748934E-5</v>
      </c>
      <c r="J90" s="67" t="s">
        <v>231</v>
      </c>
      <c r="K90" s="68">
        <v>9.1065772010103332E-4</v>
      </c>
      <c r="L90" s="67" t="s">
        <v>231</v>
      </c>
      <c r="M90" s="68">
        <v>1.4776464515865195E-3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3.5520501456230874E-5</v>
      </c>
      <c r="J91" s="67" t="s">
        <v>231</v>
      </c>
      <c r="K91" s="68">
        <v>3.3133773069296043E-3</v>
      </c>
      <c r="L91" s="67" t="s">
        <v>231</v>
      </c>
      <c r="M91" s="68">
        <v>8.1519219662890177E-2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5.8426564152919041E-5</v>
      </c>
      <c r="J92" s="67" t="s">
        <v>231</v>
      </c>
      <c r="K92" s="68">
        <v>3.4887217264281595E-2</v>
      </c>
      <c r="L92" s="67" t="s">
        <v>231</v>
      </c>
      <c r="M92" s="68">
        <v>1.0982109521828431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1.290320626371035E-8</v>
      </c>
      <c r="J93" s="67" t="s">
        <v>231</v>
      </c>
      <c r="K93" s="68">
        <v>8.9037751033707981E-4</v>
      </c>
      <c r="L93" s="67" t="s">
        <v>231</v>
      </c>
      <c r="M93" s="68">
        <v>6.2210780467155541E-4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2.1071148366908495E-18</v>
      </c>
      <c r="J94" s="67" t="s">
        <v>231</v>
      </c>
      <c r="K94" s="68">
        <v>8.9060835205468714E-4</v>
      </c>
      <c r="L94" s="67" t="s">
        <v>231</v>
      </c>
      <c r="M94" s="68">
        <v>1.509609462790983E-4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2.2769076982259591E-6</v>
      </c>
      <c r="J95" s="67" t="s">
        <v>231</v>
      </c>
      <c r="K95" s="68">
        <v>1.0495730383679302E-3</v>
      </c>
      <c r="L95" s="67" t="s">
        <v>231</v>
      </c>
      <c r="M95" s="68">
        <v>6.3863399833877423E-3</v>
      </c>
      <c r="N95" s="67" t="s">
        <v>231</v>
      </c>
      <c r="O95" s="65"/>
      <c r="P95" s="102"/>
    </row>
    <row r="96" spans="1:16">
      <c r="A96" s="65" t="s">
        <v>437</v>
      </c>
      <c r="B96" s="167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1.6826489747034434E-2</v>
      </c>
      <c r="J96" s="67" t="s">
        <v>232</v>
      </c>
      <c r="K96" s="68">
        <v>0.65159807374758594</v>
      </c>
      <c r="L96" s="67" t="s">
        <v>231</v>
      </c>
      <c r="M96" s="68">
        <v>21.700281839487456</v>
      </c>
      <c r="N96" s="67" t="s">
        <v>232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1.1145157252910629E-4</v>
      </c>
      <c r="J97" s="67" t="s">
        <v>231</v>
      </c>
      <c r="K97" s="68">
        <v>5.5247217535084603E-3</v>
      </c>
      <c r="L97" s="67" t="s">
        <v>231</v>
      </c>
      <c r="M97" s="68">
        <v>0.15302575933050064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2.8860175653331725E-5</v>
      </c>
      <c r="J98" s="67" t="s">
        <v>231</v>
      </c>
      <c r="K98" s="68">
        <v>3.6367043004945725E-3</v>
      </c>
      <c r="L98" s="67" t="s">
        <v>231</v>
      </c>
      <c r="M98" s="68">
        <v>9.200683973039081E-2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1.787300273934655E-6</v>
      </c>
      <c r="J99" s="67" t="s">
        <v>231</v>
      </c>
      <c r="K99" s="68">
        <v>1.5278842466135698E-3</v>
      </c>
      <c r="L99" s="67" t="s">
        <v>231</v>
      </c>
      <c r="M99" s="68">
        <v>2.2987839882486254E-2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1.0876824072535141E-2</v>
      </c>
      <c r="J100" s="67" t="s">
        <v>232</v>
      </c>
      <c r="K100" s="68">
        <v>0.26631131414872561</v>
      </c>
      <c r="L100" s="67" t="s">
        <v>231</v>
      </c>
      <c r="M100" s="68">
        <v>8.7187383100702842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3.4173350935598097E-2</v>
      </c>
      <c r="J101" s="67" t="s">
        <v>232</v>
      </c>
      <c r="K101" s="68">
        <v>2.7486427373182278E-2</v>
      </c>
      <c r="L101" s="67" t="s">
        <v>231</v>
      </c>
      <c r="M101" s="68">
        <v>0.85942527855031237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1.8416903154252578E-2</v>
      </c>
      <c r="J102" s="67" t="s">
        <v>232</v>
      </c>
      <c r="K102" s="68">
        <v>6.471214660992923E-2</v>
      </c>
      <c r="L102" s="67" t="s">
        <v>231</v>
      </c>
      <c r="M102" s="68">
        <v>2.0664206979192117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1.711781530621004E-9</v>
      </c>
      <c r="J103" s="67" t="s">
        <v>231</v>
      </c>
      <c r="K103" s="68">
        <v>1.0069149811341676E-3</v>
      </c>
      <c r="L103" s="67" t="s">
        <v>231</v>
      </c>
      <c r="M103" s="68">
        <v>1.3056730114273404E-2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2.2225946005666871E-6</v>
      </c>
      <c r="J104" s="67" t="s">
        <v>231</v>
      </c>
      <c r="K104" s="68">
        <v>1.1391351606056376E-2</v>
      </c>
      <c r="L104" s="67" t="s">
        <v>231</v>
      </c>
      <c r="M104" s="68">
        <v>1.0168318899324562</v>
      </c>
      <c r="N104" s="67" t="s">
        <v>231</v>
      </c>
      <c r="O104" s="65"/>
      <c r="P104" s="102"/>
    </row>
    <row r="105" spans="1:16">
      <c r="A105" s="65" t="s">
        <v>455</v>
      </c>
      <c r="B105" s="167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9.6991013974783163E-8</v>
      </c>
      <c r="J105" s="67" t="s">
        <v>231</v>
      </c>
      <c r="K105" s="68">
        <v>9.1748468195252699E-4</v>
      </c>
      <c r="L105" s="67" t="s">
        <v>231</v>
      </c>
      <c r="M105" s="68">
        <v>1.8030721720615815E-3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3.3274775150339279E-8</v>
      </c>
      <c r="J106" s="67" t="s">
        <v>231</v>
      </c>
      <c r="K106" s="68">
        <v>1.0619777215697872E-3</v>
      </c>
      <c r="L106" s="67" t="s">
        <v>231</v>
      </c>
      <c r="M106" s="68">
        <v>6.8680862195065577E-3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3.4929182648030086E-5</v>
      </c>
      <c r="J107" s="67" t="s">
        <v>231</v>
      </c>
      <c r="K107" s="68">
        <v>9.7848879207731582E-2</v>
      </c>
      <c r="L107" s="67" t="s">
        <v>231</v>
      </c>
      <c r="M107" s="68">
        <v>2.8632538937974212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2.6474219291420547E-10</v>
      </c>
      <c r="J108" s="67" t="s">
        <v>231</v>
      </c>
      <c r="K108" s="68">
        <v>8.8749745191729309E-4</v>
      </c>
      <c r="L108" s="67" t="s">
        <v>231</v>
      </c>
      <c r="M108" s="68">
        <v>7.8134177768562939E-5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2.9016464126780779E-6</v>
      </c>
      <c r="J109" s="67" t="s">
        <v>231</v>
      </c>
      <c r="K109" s="68">
        <v>1.2536896113203551E-2</v>
      </c>
      <c r="L109" s="67" t="s">
        <v>231</v>
      </c>
      <c r="M109" s="68">
        <v>0.27368640729116872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5.8262227785953452E-6</v>
      </c>
      <c r="J110" s="67" t="s">
        <v>231</v>
      </c>
      <c r="K110" s="68">
        <v>8.8565605918146568E-4</v>
      </c>
      <c r="L110" s="67" t="s">
        <v>231</v>
      </c>
      <c r="M110" s="68">
        <v>2.2204358060981351E-4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8.1195175855217904E-14</v>
      </c>
      <c r="J111" s="67" t="s">
        <v>231</v>
      </c>
      <c r="K111" s="68">
        <v>8.8426299070616969E-4</v>
      </c>
      <c r="L111" s="67" t="s">
        <v>231</v>
      </c>
      <c r="M111" s="68">
        <v>3.2341195582476556E-6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9.1604124678089097E-9</v>
      </c>
      <c r="J112" s="67" t="s">
        <v>231</v>
      </c>
      <c r="K112" s="68">
        <v>8.8274733966205621E-4</v>
      </c>
      <c r="L112" s="67" t="s">
        <v>231</v>
      </c>
      <c r="M112" s="68">
        <v>1.6764613447696946E-4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4.2168138765301841E-7</v>
      </c>
      <c r="J113" s="67" t="s">
        <v>231</v>
      </c>
      <c r="K113" s="68">
        <v>9.7073255645508012E-4</v>
      </c>
      <c r="L113" s="67" t="s">
        <v>231</v>
      </c>
      <c r="M113" s="68">
        <v>3.8394092202901015E-3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5.6984251753980124E-8</v>
      </c>
      <c r="J114" s="67" t="s">
        <v>231</v>
      </c>
      <c r="K114" s="68">
        <v>8.8230245605728412E-4</v>
      </c>
      <c r="L114" s="67" t="s">
        <v>231</v>
      </c>
      <c r="M114" s="68">
        <v>5.211002965246603E-5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4.8521517632845308E-11</v>
      </c>
      <c r="J115" s="67" t="s">
        <v>231</v>
      </c>
      <c r="K115" s="68">
        <v>9.1712207681426841E-4</v>
      </c>
      <c r="L115" s="67" t="s">
        <v>231</v>
      </c>
      <c r="M115" s="68">
        <v>3.4734801957676158E-3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3.8337262267217725E-5</v>
      </c>
      <c r="J116" s="67" t="s">
        <v>231</v>
      </c>
      <c r="K116" s="68">
        <v>0.49953995471745194</v>
      </c>
      <c r="L116" s="67" t="s">
        <v>231</v>
      </c>
      <c r="M116" s="68">
        <v>11.745751475365971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8.3385262422610256E-5</v>
      </c>
      <c r="J117" s="67" t="s">
        <v>231</v>
      </c>
      <c r="K117" s="68">
        <v>9.023844032777787E-3</v>
      </c>
      <c r="L117" s="67" t="s">
        <v>231</v>
      </c>
      <c r="M117" s="68">
        <v>0.26564943830232673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0.97662631502149777</v>
      </c>
      <c r="F2" s="14">
        <v>0.97692324672879616</v>
      </c>
      <c r="G2" s="14">
        <v>2.905152480626553E-10</v>
      </c>
      <c r="H2" s="14">
        <v>0.17019251032448249</v>
      </c>
      <c r="I2" s="14">
        <v>0.63240837825744511</v>
      </c>
      <c r="J2" s="14">
        <v>0</v>
      </c>
      <c r="K2" s="14">
        <v>1.0236218693213368</v>
      </c>
      <c r="L2" s="14">
        <v>0.97692324672879627</v>
      </c>
      <c r="M2" s="14">
        <v>0.80156552394097735</v>
      </c>
      <c r="N2" s="14">
        <v>0.90147157259412847</v>
      </c>
      <c r="O2" s="14">
        <v>175.0567646820538</v>
      </c>
      <c r="P2" s="8">
        <v>0.90147157259412847</v>
      </c>
      <c r="Q2" s="54">
        <v>1.5732495453292257E-2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0.61953344654926701</v>
      </c>
      <c r="F3" s="14">
        <v>0.59070854590535826</v>
      </c>
      <c r="G3" s="14">
        <v>2.7965958411761672E-10</v>
      </c>
      <c r="H3" s="14">
        <v>66.440110809742023</v>
      </c>
      <c r="I3" s="14">
        <v>149.44457568802292</v>
      </c>
      <c r="J3" s="14">
        <v>0</v>
      </c>
      <c r="K3" s="14">
        <v>1.6928822292004173</v>
      </c>
      <c r="L3" s="14">
        <v>0.59070854590535826</v>
      </c>
      <c r="M3" s="14">
        <v>0.48467636191534647</v>
      </c>
      <c r="N3" s="14">
        <v>11.192729265253014</v>
      </c>
      <c r="O3" s="14">
        <v>2866.3460375386439</v>
      </c>
      <c r="P3" s="8">
        <v>11.192729265253014</v>
      </c>
      <c r="Q3" s="54">
        <v>0.25625960730925262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0.99990495396828993</v>
      </c>
      <c r="F4" s="14">
        <v>1.0002527972776893</v>
      </c>
      <c r="G4" s="14">
        <v>1.5067398072500018E-19</v>
      </c>
      <c r="H4" s="14">
        <v>0.11951152133558567</v>
      </c>
      <c r="I4" s="14">
        <v>1.2186164378010322E-3</v>
      </c>
      <c r="J4" s="14">
        <v>0</v>
      </c>
      <c r="K4" s="14">
        <v>0.99974726661262292</v>
      </c>
      <c r="L4" s="14">
        <v>1.0002527972776893</v>
      </c>
      <c r="M4" s="14">
        <v>0.82070742016634413</v>
      </c>
      <c r="N4" s="14">
        <v>1.0130672725836118</v>
      </c>
      <c r="O4" s="14">
        <v>300.0198727756366</v>
      </c>
      <c r="P4" s="8">
        <v>1.0130672725836118</v>
      </c>
      <c r="Q4" s="54">
        <v>1.3895271343211755E-5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0.99956718810820544</v>
      </c>
      <c r="F5" s="14">
        <v>0.92393320749379615</v>
      </c>
      <c r="G5" s="14">
        <v>4.2288316773961819E-12</v>
      </c>
      <c r="H5" s="14">
        <v>215.97355479090382</v>
      </c>
      <c r="I5" s="14">
        <v>0.15871627334366409</v>
      </c>
      <c r="J5" s="14">
        <v>0</v>
      </c>
      <c r="K5" s="14">
        <v>1.0823293197919985</v>
      </c>
      <c r="L5" s="14">
        <v>0.92393320749379626</v>
      </c>
      <c r="M5" s="14">
        <v>0.75808719674865988</v>
      </c>
      <c r="N5" s="14">
        <v>1.5869887966356917</v>
      </c>
      <c r="O5" s="14">
        <v>350.78800360835328</v>
      </c>
      <c r="P5" s="8">
        <v>1.5869887966356917</v>
      </c>
      <c r="Q5" s="54">
        <v>2.1341328838671251E-4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0.99802927675797792</v>
      </c>
      <c r="F6" s="14">
        <v>0.8267813983205976</v>
      </c>
      <c r="G6" s="14">
        <v>5.2452368919162058E-13</v>
      </c>
      <c r="H6" s="14">
        <v>487.49559627598302</v>
      </c>
      <c r="I6" s="14">
        <v>1.3089553673638126</v>
      </c>
      <c r="J6" s="14">
        <v>0</v>
      </c>
      <c r="K6" s="14">
        <v>1.2095095535908926</v>
      </c>
      <c r="L6" s="14">
        <v>0.8267813983205976</v>
      </c>
      <c r="M6" s="14">
        <v>0.67837413732205032</v>
      </c>
      <c r="N6" s="14">
        <v>2.4269447169882183</v>
      </c>
      <c r="O6" s="14">
        <v>558.82829053370722</v>
      </c>
      <c r="P6" s="8">
        <v>2.4269447169882188</v>
      </c>
      <c r="Q6" s="54">
        <v>1.2098313617284952E-3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0.98101231489305929</v>
      </c>
      <c r="F7" s="14">
        <v>0.53840893673738854</v>
      </c>
      <c r="G7" s="14">
        <v>8.9722088395024266E-9</v>
      </c>
      <c r="H7" s="14">
        <v>1256.007578563921</v>
      </c>
      <c r="I7" s="14">
        <v>23.672764569433035</v>
      </c>
      <c r="J7" s="14">
        <v>0</v>
      </c>
      <c r="K7" s="14">
        <v>1.8573242971406221</v>
      </c>
      <c r="L7" s="14">
        <v>0.53840893673738865</v>
      </c>
      <c r="M7" s="14">
        <v>0.44176453259302734</v>
      </c>
      <c r="N7" s="14">
        <v>5.7106028848488322</v>
      </c>
      <c r="O7" s="14">
        <v>1177.983163086617</v>
      </c>
      <c r="P7" s="8">
        <v>5.7106028848488322</v>
      </c>
      <c r="Q7" s="54">
        <v>1.2532825099873452E-2</v>
      </c>
    </row>
    <row r="8" spans="1:20">
      <c r="A8" s="2" t="s">
        <v>289</v>
      </c>
      <c r="B8" s="16" t="s">
        <v>290</v>
      </c>
      <c r="D8" s="14">
        <v>1</v>
      </c>
      <c r="E8" s="14">
        <v>0.99864940183362605</v>
      </c>
      <c r="F8" s="14">
        <v>0.74901084233050563</v>
      </c>
      <c r="G8" s="14">
        <v>4.1520610517223552E-19</v>
      </c>
      <c r="H8" s="14">
        <v>710.24486808835172</v>
      </c>
      <c r="I8" s="14">
        <v>0.99998688654778201</v>
      </c>
      <c r="J8" s="14">
        <v>0</v>
      </c>
      <c r="K8" s="14">
        <v>1.3350941581680653</v>
      </c>
      <c r="L8" s="14">
        <v>0.74901084233050563</v>
      </c>
      <c r="M8" s="14">
        <v>0.61456339613217981</v>
      </c>
      <c r="N8" s="14">
        <v>3.0079862774839587</v>
      </c>
      <c r="O8" s="14">
        <v>1048.0425788009611</v>
      </c>
      <c r="P8" s="8">
        <v>3.0079862774839592</v>
      </c>
      <c r="Q8" s="54">
        <v>7.6242004311084257E-4</v>
      </c>
    </row>
    <row r="9" spans="1:20">
      <c r="A9" s="2" t="s">
        <v>291</v>
      </c>
      <c r="B9" s="16" t="s">
        <v>292</v>
      </c>
      <c r="D9" s="14">
        <v>1</v>
      </c>
      <c r="E9" s="14">
        <v>0.99858783748538871</v>
      </c>
      <c r="F9" s="14">
        <v>0.94020128643967382</v>
      </c>
      <c r="G9" s="14">
        <v>8.177168147723677E-15</v>
      </c>
      <c r="H9" s="14">
        <v>166.92479097602123</v>
      </c>
      <c r="I9" s="14">
        <v>0.58580679519230472</v>
      </c>
      <c r="J9" s="14">
        <v>0</v>
      </c>
      <c r="K9" s="14">
        <v>1.0636020333334897</v>
      </c>
      <c r="L9" s="14">
        <v>0.94020128643967393</v>
      </c>
      <c r="M9" s="14">
        <v>0.77143515552375241</v>
      </c>
      <c r="N9" s="14">
        <v>1.46452847551673</v>
      </c>
      <c r="O9" s="14">
        <v>451.55806485607337</v>
      </c>
      <c r="P9" s="8">
        <v>1.4645284755167303</v>
      </c>
      <c r="Q9" s="54">
        <v>8.8055077787425667E-4</v>
      </c>
    </row>
    <row r="10" spans="1:20">
      <c r="A10" s="2" t="s">
        <v>367</v>
      </c>
      <c r="B10" s="16" t="s">
        <v>368</v>
      </c>
      <c r="D10" s="14">
        <v>1</v>
      </c>
      <c r="E10" s="14">
        <v>0.46700784972639048</v>
      </c>
      <c r="F10" s="14">
        <v>4.9435005445318682E-2</v>
      </c>
      <c r="G10" s="14">
        <v>7.6810938947099603E-7</v>
      </c>
      <c r="H10" s="14">
        <v>1010.4029053375036</v>
      </c>
      <c r="I10" s="14">
        <v>1633.9988897275623</v>
      </c>
      <c r="J10" s="14">
        <v>0</v>
      </c>
      <c r="K10" s="14">
        <v>20.228580759561673</v>
      </c>
      <c r="L10" s="14">
        <v>4.9435005445318682E-2</v>
      </c>
      <c r="M10" s="14">
        <v>4.0561421967883982E-2</v>
      </c>
      <c r="N10" s="14">
        <v>101.40068652124337</v>
      </c>
      <c r="O10" s="14">
        <v>28223.86708632288</v>
      </c>
      <c r="P10" s="8">
        <v>101.40068652124339</v>
      </c>
      <c r="Q10" s="54">
        <v>0.35469229722924089</v>
      </c>
    </row>
    <row r="11" spans="1:20">
      <c r="A11" s="2" t="s">
        <v>369</v>
      </c>
      <c r="B11" s="16" t="s">
        <v>370</v>
      </c>
      <c r="D11" s="14">
        <v>1</v>
      </c>
      <c r="E11" s="14">
        <v>0.79562406670496166</v>
      </c>
      <c r="F11" s="14">
        <v>5.0265315568085601E-3</v>
      </c>
      <c r="G11" s="14">
        <v>5.415823788388333E-13</v>
      </c>
      <c r="H11" s="14">
        <v>1298.3997207735958</v>
      </c>
      <c r="I11" s="14">
        <v>8783.435182479825</v>
      </c>
      <c r="J11" s="14">
        <v>0</v>
      </c>
      <c r="K11" s="14">
        <v>198.94433939153839</v>
      </c>
      <c r="L11" s="14">
        <v>5.0265315568085601E-3</v>
      </c>
      <c r="M11" s="14">
        <v>4.1242691423614237E-3</v>
      </c>
      <c r="N11" s="14">
        <v>806.05151201158151</v>
      </c>
      <c r="O11" s="14">
        <v>327982.3602375125</v>
      </c>
      <c r="P11" s="8">
        <v>806.05151201158151</v>
      </c>
      <c r="Q11" s="54">
        <v>9.7963524301575164E-2</v>
      </c>
    </row>
    <row r="12" spans="1:20">
      <c r="A12" s="2" t="s">
        <v>371</v>
      </c>
      <c r="B12" s="16" t="s">
        <v>372</v>
      </c>
      <c r="D12" s="14">
        <v>1</v>
      </c>
      <c r="E12" s="14">
        <v>0.92104225813299168</v>
      </c>
      <c r="F12" s="14">
        <v>0.92139759712396818</v>
      </c>
      <c r="G12" s="14">
        <v>8.3016205323858071E-4</v>
      </c>
      <c r="H12" s="14">
        <v>7.3325623401505752E-3</v>
      </c>
      <c r="I12" s="14">
        <v>3.3651567169528017E-2</v>
      </c>
      <c r="J12" s="14">
        <v>0</v>
      </c>
      <c r="K12" s="14">
        <v>1.0853078010202977</v>
      </c>
      <c r="L12" s="14">
        <v>0.92139759712396818</v>
      </c>
      <c r="M12" s="14">
        <v>0.75600672844021599</v>
      </c>
      <c r="N12" s="14">
        <v>0.81667393093939011</v>
      </c>
      <c r="O12" s="14">
        <v>114.48951837839309</v>
      </c>
      <c r="P12" s="8">
        <v>0.81667393093939011</v>
      </c>
      <c r="Q12" s="54">
        <v>2.8236137905881236E-3</v>
      </c>
    </row>
    <row r="13" spans="1:20">
      <c r="A13" s="2" t="s">
        <v>293</v>
      </c>
      <c r="B13" s="16" t="s">
        <v>294</v>
      </c>
      <c r="D13" s="14">
        <v>1</v>
      </c>
      <c r="E13" s="14">
        <v>0.64560601681722452</v>
      </c>
      <c r="F13" s="14">
        <v>0.62489049212717684</v>
      </c>
      <c r="G13" s="14">
        <v>2.3104278158119295E-10</v>
      </c>
      <c r="H13" s="14">
        <v>47.4093408077212</v>
      </c>
      <c r="I13" s="14">
        <v>112.59551393973186</v>
      </c>
      <c r="J13" s="14">
        <v>0</v>
      </c>
      <c r="K13" s="14">
        <v>1.6002803892821611</v>
      </c>
      <c r="L13" s="14">
        <v>0.62489049212717696</v>
      </c>
      <c r="M13" s="14">
        <v>0.51272264879034868</v>
      </c>
      <c r="N13" s="14">
        <v>7.4217466626092801</v>
      </c>
      <c r="O13" s="14">
        <v>2451.8482274596017</v>
      </c>
      <c r="P13" s="8">
        <v>7.4217466626092801</v>
      </c>
      <c r="Q13" s="54">
        <v>0.23884771320622575</v>
      </c>
    </row>
    <row r="14" spans="1:20">
      <c r="A14" s="2" t="s">
        <v>373</v>
      </c>
      <c r="B14" s="16" t="s">
        <v>374</v>
      </c>
      <c r="D14" s="14">
        <v>1</v>
      </c>
      <c r="E14" s="14">
        <v>0.99154595940060852</v>
      </c>
      <c r="F14" s="14">
        <v>8.1272211355857077E-2</v>
      </c>
      <c r="G14" s="14">
        <v>8.7632467286399306E-9</v>
      </c>
      <c r="H14" s="14">
        <v>2583.2240583267676</v>
      </c>
      <c r="I14" s="14">
        <v>37.470487419382074</v>
      </c>
      <c r="J14" s="14">
        <v>0</v>
      </c>
      <c r="K14" s="14">
        <v>12.304328666798758</v>
      </c>
      <c r="L14" s="14">
        <v>8.1272211355857091E-2</v>
      </c>
      <c r="M14" s="14">
        <v>6.6683849417480734E-2</v>
      </c>
      <c r="N14" s="14">
        <v>17.21937788724961</v>
      </c>
      <c r="O14" s="14">
        <v>4586.2091064900605</v>
      </c>
      <c r="P14" s="8">
        <v>17.21937788724961</v>
      </c>
      <c r="Q14" s="54">
        <v>4.8516486519193389E-3</v>
      </c>
    </row>
    <row r="15" spans="1:20">
      <c r="A15" s="2" t="s">
        <v>375</v>
      </c>
      <c r="B15" s="16" t="s">
        <v>376</v>
      </c>
      <c r="D15" s="14">
        <v>1</v>
      </c>
      <c r="E15" s="14">
        <v>0.78310113071301624</v>
      </c>
      <c r="F15" s="14">
        <v>0.78081300497279749</v>
      </c>
      <c r="G15" s="14">
        <v>9.6559615086934598E-4</v>
      </c>
      <c r="H15" s="14">
        <v>5.6463401575143255</v>
      </c>
      <c r="I15" s="14">
        <v>15.944988448880208</v>
      </c>
      <c r="J15" s="14">
        <v>0</v>
      </c>
      <c r="K15" s="14">
        <v>1.2807163733586107</v>
      </c>
      <c r="L15" s="14">
        <v>0.78081300497279749</v>
      </c>
      <c r="M15" s="14">
        <v>0.6406570705801804</v>
      </c>
      <c r="N15" s="14">
        <v>1.6564374578099372</v>
      </c>
      <c r="O15" s="14">
        <v>247.47175619680465</v>
      </c>
      <c r="P15" s="8">
        <v>1.6564374578099375</v>
      </c>
      <c r="Q15" s="54">
        <v>8.7664590600025696E-2</v>
      </c>
    </row>
    <row r="16" spans="1:20">
      <c r="A16" s="2" t="s">
        <v>377</v>
      </c>
      <c r="B16" s="16" t="s">
        <v>378</v>
      </c>
      <c r="D16" s="14">
        <v>1</v>
      </c>
      <c r="E16" s="14">
        <v>0.62253035529298073</v>
      </c>
      <c r="F16" s="14">
        <v>0.59832439297600359</v>
      </c>
      <c r="G16" s="14">
        <v>9.0220493132487641E-6</v>
      </c>
      <c r="H16" s="14">
        <v>55.446828354948615</v>
      </c>
      <c r="I16" s="14">
        <v>129.75792131394229</v>
      </c>
      <c r="J16" s="14">
        <v>0</v>
      </c>
      <c r="K16" s="14">
        <v>1.6713341654451084</v>
      </c>
      <c r="L16" s="14">
        <v>0.59832439297600359</v>
      </c>
      <c r="M16" s="14">
        <v>0.49092516443681095</v>
      </c>
      <c r="N16" s="14">
        <v>8.4499228669901996</v>
      </c>
      <c r="O16" s="14">
        <v>1877.9108579599019</v>
      </c>
      <c r="P16" s="8">
        <v>8.4499228669901996</v>
      </c>
      <c r="Q16" s="54">
        <v>0.25382469888321951</v>
      </c>
    </row>
    <row r="17" spans="1:21">
      <c r="A17" s="2" t="s">
        <v>379</v>
      </c>
      <c r="B17" s="16" t="s">
        <v>380</v>
      </c>
      <c r="D17" s="14">
        <v>1</v>
      </c>
      <c r="E17" s="14">
        <v>0.63564676620420824</v>
      </c>
      <c r="F17" s="14">
        <v>0.6137228041973537</v>
      </c>
      <c r="G17" s="14">
        <v>2.6671088988233428E-5</v>
      </c>
      <c r="H17" s="14">
        <v>50.18942968734666</v>
      </c>
      <c r="I17" s="14">
        <v>118.54123062228486</v>
      </c>
      <c r="J17" s="14">
        <v>0</v>
      </c>
      <c r="K17" s="14">
        <v>1.6294001023928579</v>
      </c>
      <c r="L17" s="14">
        <v>0.6137228041973537</v>
      </c>
      <c r="M17" s="14">
        <v>0.50355956084392872</v>
      </c>
      <c r="N17" s="14">
        <v>7.7761915328061253</v>
      </c>
      <c r="O17" s="14">
        <v>999.7071834575554</v>
      </c>
      <c r="P17" s="8">
        <v>7.7761915328061253</v>
      </c>
      <c r="Q17" s="54">
        <v>0.24393236785370295</v>
      </c>
    </row>
    <row r="18" spans="1:21">
      <c r="A18" s="2" t="s">
        <v>381</v>
      </c>
      <c r="B18" s="16" t="s">
        <v>382</v>
      </c>
      <c r="D18" s="14">
        <v>1</v>
      </c>
      <c r="E18" s="14">
        <v>0.50185638140661182</v>
      </c>
      <c r="F18" s="14">
        <v>3.6362791856404571E-3</v>
      </c>
      <c r="G18" s="14">
        <v>2.5905125923180406E-9</v>
      </c>
      <c r="H18" s="14">
        <v>381.73081542529792</v>
      </c>
      <c r="I18" s="14">
        <v>9576.667097074007</v>
      </c>
      <c r="J18" s="14">
        <v>0</v>
      </c>
      <c r="K18" s="14">
        <v>275.00638673426562</v>
      </c>
      <c r="L18" s="14">
        <v>3.6362791856404575E-3</v>
      </c>
      <c r="M18" s="14">
        <v>2.9835670718179955E-3</v>
      </c>
      <c r="N18" s="14">
        <v>602.65557545318143</v>
      </c>
      <c r="O18" s="14">
        <v>235813.10011907536</v>
      </c>
      <c r="P18" s="8">
        <v>602.65557545318143</v>
      </c>
      <c r="Q18" s="54">
        <v>0.30634753543972609</v>
      </c>
    </row>
    <row r="19" spans="1:21">
      <c r="A19" s="2" t="s">
        <v>383</v>
      </c>
      <c r="B19" s="16" t="s">
        <v>384</v>
      </c>
      <c r="D19" s="14">
        <v>1</v>
      </c>
      <c r="E19" s="14">
        <v>0.91117566333727518</v>
      </c>
      <c r="F19" s="14">
        <v>0.91068752671174236</v>
      </c>
      <c r="G19" s="14">
        <v>1.3137050699035113E-4</v>
      </c>
      <c r="H19" s="14">
        <v>1.794193951523438</v>
      </c>
      <c r="I19" s="14">
        <v>5.5760487116332511</v>
      </c>
      <c r="J19" s="14">
        <v>0</v>
      </c>
      <c r="K19" s="14">
        <v>1.0980714796992355</v>
      </c>
      <c r="L19" s="14">
        <v>0.91068752671174247</v>
      </c>
      <c r="M19" s="14">
        <v>0.74721911566698462</v>
      </c>
      <c r="N19" s="14">
        <v>1.141652884568688</v>
      </c>
      <c r="O19" s="14">
        <v>106.3221331398819</v>
      </c>
      <c r="P19" s="8">
        <v>1.141652884568688</v>
      </c>
      <c r="Q19" s="54">
        <v>5.1919028693939717E-2</v>
      </c>
    </row>
    <row r="20" spans="1:21">
      <c r="A20" s="2" t="s">
        <v>385</v>
      </c>
      <c r="B20" s="16" t="s">
        <v>386</v>
      </c>
      <c r="D20" s="14">
        <v>1</v>
      </c>
      <c r="E20" s="14">
        <v>0.87541218426723999</v>
      </c>
      <c r="F20" s="14">
        <v>0.87425766657884385</v>
      </c>
      <c r="G20" s="14">
        <v>2.4675612247244331E-4</v>
      </c>
      <c r="H20" s="14">
        <v>3.2183957749678429</v>
      </c>
      <c r="I20" s="14">
        <v>9.5520507281707143</v>
      </c>
      <c r="J20" s="14">
        <v>0</v>
      </c>
      <c r="K20" s="14">
        <v>1.1438275444734873</v>
      </c>
      <c r="L20" s="14">
        <v>0.87425766657884396</v>
      </c>
      <c r="M20" s="14">
        <v>0.71732841542794146</v>
      </c>
      <c r="N20" s="14">
        <v>1.3505243927004045</v>
      </c>
      <c r="O20" s="14">
        <v>150.07027051686896</v>
      </c>
      <c r="P20" s="8">
        <v>1.3505243927004047</v>
      </c>
      <c r="Q20" s="54">
        <v>6.903933828797916E-2</v>
      </c>
    </row>
    <row r="21" spans="1:21">
      <c r="A21" s="2" t="s">
        <v>387</v>
      </c>
      <c r="B21" s="16" t="s">
        <v>388</v>
      </c>
      <c r="D21" s="14">
        <v>1</v>
      </c>
      <c r="E21" s="14">
        <v>0.72694092738308913</v>
      </c>
      <c r="F21" s="14">
        <v>0.41018357807520223</v>
      </c>
      <c r="G21" s="14">
        <v>7.9712047222815216E-5</v>
      </c>
      <c r="H21" s="14">
        <v>865.80137095525265</v>
      </c>
      <c r="I21" s="14">
        <v>323.51844518599029</v>
      </c>
      <c r="J21" s="14">
        <v>0</v>
      </c>
      <c r="K21" s="14">
        <v>2.437932802411368</v>
      </c>
      <c r="L21" s="14">
        <v>0.41018357807520223</v>
      </c>
      <c r="M21" s="14">
        <v>0.33655562581070342</v>
      </c>
      <c r="N21" s="14">
        <v>22.408002200654849</v>
      </c>
      <c r="O21" s="14">
        <v>4424.4600345192994</v>
      </c>
      <c r="P21" s="8">
        <v>22.408002200654849</v>
      </c>
      <c r="Q21" s="54">
        <v>0.17836065013844871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0.90498610557818182</v>
      </c>
      <c r="F22" s="14">
        <v>0.90519905042985516</v>
      </c>
      <c r="G22" s="14">
        <v>7.2692997500330202E-4</v>
      </c>
      <c r="H22" s="14">
        <v>0.28738499551355862</v>
      </c>
      <c r="I22" s="14">
        <v>1.0216949822331161</v>
      </c>
      <c r="J22" s="14">
        <v>0</v>
      </c>
      <c r="K22" s="14">
        <v>1.1047293957335973</v>
      </c>
      <c r="L22" s="14">
        <v>0.90519905042985516</v>
      </c>
      <c r="M22" s="14">
        <v>0.74271582087769616</v>
      </c>
      <c r="N22" s="14">
        <v>0.86151736035932136</v>
      </c>
      <c r="O22" s="14">
        <v>50.036928289669383</v>
      </c>
      <c r="P22" s="8">
        <v>0.86151736035932136</v>
      </c>
      <c r="Q22" s="54">
        <v>1.9930640723235818E-2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0.75706856814985712</v>
      </c>
      <c r="F23" s="14">
        <v>0.75285272176566354</v>
      </c>
      <c r="G23" s="14">
        <v>7.9505745196663063E-4</v>
      </c>
      <c r="H23" s="14">
        <v>9.9213329606542988</v>
      </c>
      <c r="I23" s="14">
        <v>26.805702641319989</v>
      </c>
      <c r="J23" s="14">
        <v>0</v>
      </c>
      <c r="K23" s="14">
        <v>1.3282810450026701</v>
      </c>
      <c r="L23" s="14">
        <v>0.75285272176566354</v>
      </c>
      <c r="M23" s="14">
        <v>0.61771565820872698</v>
      </c>
      <c r="N23" s="14">
        <v>2.2926532895820131</v>
      </c>
      <c r="O23" s="14">
        <v>245.65779997871272</v>
      </c>
      <c r="P23" s="8">
        <v>2.2926532895820135</v>
      </c>
      <c r="Q23" s="54">
        <v>0.11556523203054418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0.55062244746359956</v>
      </c>
      <c r="F24" s="14">
        <v>0.5120929601005304</v>
      </c>
      <c r="G24" s="14">
        <v>2.9458952026739115E-5</v>
      </c>
      <c r="H24" s="14">
        <v>88.672469887849005</v>
      </c>
      <c r="I24" s="14">
        <v>198.17368098141819</v>
      </c>
      <c r="J24" s="14">
        <v>0</v>
      </c>
      <c r="K24" s="14">
        <v>1.9527704497317968</v>
      </c>
      <c r="L24" s="14">
        <v>0.51209296010053051</v>
      </c>
      <c r="M24" s="14">
        <v>0.42017227376248523</v>
      </c>
      <c r="N24" s="14">
        <v>12.572120844286905</v>
      </c>
      <c r="O24" s="14">
        <v>2036.9350191913645</v>
      </c>
      <c r="P24" s="8">
        <v>12.572120844286905</v>
      </c>
      <c r="Q24" s="54">
        <v>0.30091648228105855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0.47961257845446303</v>
      </c>
      <c r="F25" s="14">
        <v>4.8660866665059966E-3</v>
      </c>
      <c r="G25" s="14">
        <v>1.1450602198921318E-5</v>
      </c>
      <c r="H25" s="14">
        <v>437.11915646532844</v>
      </c>
      <c r="I25" s="14">
        <v>8446.1153887479468</v>
      </c>
      <c r="J25" s="14">
        <v>0</v>
      </c>
      <c r="K25" s="14">
        <v>205.50394362746343</v>
      </c>
      <c r="L25" s="14">
        <v>4.8660866665059975E-3</v>
      </c>
      <c r="M25" s="14">
        <v>3.9926241098681703E-3</v>
      </c>
      <c r="N25" s="14">
        <v>530.77426048835696</v>
      </c>
      <c r="O25" s="14">
        <v>123877.40465537761</v>
      </c>
      <c r="P25" s="8">
        <v>530.77426048835696</v>
      </c>
      <c r="Q25" s="54">
        <v>0.3242328474611742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0.31551206016345457</v>
      </c>
      <c r="F26" s="14">
        <v>0.23544256185763238</v>
      </c>
      <c r="G26" s="14">
        <v>2.5433929455330306E-3</v>
      </c>
      <c r="H26" s="14">
        <v>187.40664016712836</v>
      </c>
      <c r="I26" s="14">
        <v>374.31923572985062</v>
      </c>
      <c r="J26" s="14">
        <v>0</v>
      </c>
      <c r="K26" s="14">
        <v>4.2473204169630163</v>
      </c>
      <c r="L26" s="14">
        <v>0.23544256185763238</v>
      </c>
      <c r="M26" s="14">
        <v>0.19318062200418737</v>
      </c>
      <c r="N26" s="14">
        <v>23.202297447775948</v>
      </c>
      <c r="O26" s="14">
        <v>2973.8384638814427</v>
      </c>
      <c r="P26" s="8">
        <v>23.202297447775948</v>
      </c>
      <c r="Q26" s="54">
        <v>0.30636711396640887</v>
      </c>
    </row>
    <row r="27" spans="1:21">
      <c r="A27" s="2" t="s">
        <v>397</v>
      </c>
      <c r="B27" s="16" t="s">
        <v>398</v>
      </c>
      <c r="D27" s="14">
        <v>1</v>
      </c>
      <c r="E27" s="14">
        <v>6.385008244230736E-2</v>
      </c>
      <c r="F27" s="14">
        <v>2.224104709206589E-2</v>
      </c>
      <c r="G27" s="14">
        <v>9.2219702603198762E-3</v>
      </c>
      <c r="H27" s="14">
        <v>99.402024496220392</v>
      </c>
      <c r="I27" s="14">
        <v>174.84467108656978</v>
      </c>
      <c r="J27" s="14">
        <v>0</v>
      </c>
      <c r="K27" s="14">
        <v>44.961911903722047</v>
      </c>
      <c r="L27" s="14">
        <v>2.224104709206589E-2</v>
      </c>
      <c r="M27" s="14">
        <v>1.8248779139040064E-2</v>
      </c>
      <c r="N27" s="14">
        <v>10.815175710599016</v>
      </c>
      <c r="O27" s="14">
        <v>1962.4136326881912</v>
      </c>
      <c r="P27" s="8">
        <v>10.815175710599016</v>
      </c>
      <c r="Q27" s="54">
        <v>7.1129933132068057E-2</v>
      </c>
    </row>
    <row r="28" spans="1:21">
      <c r="A28" s="2" t="s">
        <v>399</v>
      </c>
      <c r="B28" s="16" t="s">
        <v>400</v>
      </c>
      <c r="D28" s="14">
        <v>1</v>
      </c>
      <c r="E28" s="14">
        <v>4.8999922807337899E-2</v>
      </c>
      <c r="F28" s="14">
        <v>3.3358458736547615E-2</v>
      </c>
      <c r="G28" s="14">
        <v>9.7166031262448868E-3</v>
      </c>
      <c r="H28" s="14">
        <v>36.752423027027909</v>
      </c>
      <c r="I28" s="14">
        <v>71.670947750385096</v>
      </c>
      <c r="J28" s="14">
        <v>0</v>
      </c>
      <c r="K28" s="14">
        <v>29.977404168988095</v>
      </c>
      <c r="L28" s="14">
        <v>3.3358458736547622E-2</v>
      </c>
      <c r="M28" s="14">
        <v>2.7370615393337322E-2</v>
      </c>
      <c r="N28" s="14">
        <v>4.4363997552507888</v>
      </c>
      <c r="O28" s="14">
        <v>652.15076402186605</v>
      </c>
      <c r="P28" s="8">
        <v>4.4363997552507897</v>
      </c>
      <c r="Q28" s="54">
        <v>5.1421311302812737E-2</v>
      </c>
    </row>
    <row r="29" spans="1:21">
      <c r="A29" s="2" t="s">
        <v>297</v>
      </c>
      <c r="B29" s="16" t="s">
        <v>298</v>
      </c>
      <c r="D29" s="14">
        <v>1</v>
      </c>
      <c r="E29" s="14">
        <v>5.9560879099895624E-2</v>
      </c>
      <c r="F29" s="14">
        <v>5.9454053761661511E-2</v>
      </c>
      <c r="G29" s="14">
        <v>1.0361197669558396E-2</v>
      </c>
      <c r="H29" s="14">
        <v>0.28104862927936075</v>
      </c>
      <c r="I29" s="14">
        <v>0.81891465333962077</v>
      </c>
      <c r="J29" s="14">
        <v>0</v>
      </c>
      <c r="K29" s="14">
        <v>16.819710965526159</v>
      </c>
      <c r="L29" s="14">
        <v>5.9454053761661518E-2</v>
      </c>
      <c r="M29" s="14">
        <v>4.8782051111443271E-2</v>
      </c>
      <c r="N29" s="14">
        <v>0.10211903914945125</v>
      </c>
      <c r="O29" s="14">
        <v>8.6729699949628944</v>
      </c>
      <c r="P29" s="8">
        <v>0.10211903914945125</v>
      </c>
      <c r="Q29" s="54">
        <v>5.348581801068196E-3</v>
      </c>
    </row>
    <row r="30" spans="1:21">
      <c r="A30" s="2" t="s">
        <v>401</v>
      </c>
      <c r="B30" s="16" t="s">
        <v>402</v>
      </c>
      <c r="D30" s="14">
        <v>1</v>
      </c>
      <c r="E30" s="14">
        <v>1.8120369123228865E-2</v>
      </c>
      <c r="F30" s="14">
        <v>1.2623971258598109E-2</v>
      </c>
      <c r="G30" s="14">
        <v>1.0600454463753937E-2</v>
      </c>
      <c r="H30" s="14">
        <v>12.903157459981205</v>
      </c>
      <c r="I30" s="14">
        <v>25.301901917537371</v>
      </c>
      <c r="J30" s="14">
        <v>0</v>
      </c>
      <c r="K30" s="14">
        <v>79.214375533286002</v>
      </c>
      <c r="L30" s="14">
        <v>1.2623971258598111E-2</v>
      </c>
      <c r="M30" s="14">
        <v>1.0357968417679751E-2</v>
      </c>
      <c r="N30" s="14">
        <v>1.5665818403077796</v>
      </c>
      <c r="O30" s="14">
        <v>259.78626657823912</v>
      </c>
      <c r="P30" s="8">
        <v>1.5665818403077796</v>
      </c>
      <c r="Q30" s="54">
        <v>1.8713420127216794E-2</v>
      </c>
    </row>
    <row r="31" spans="1:21">
      <c r="A31" s="2" t="s">
        <v>299</v>
      </c>
      <c r="B31" s="16" t="s">
        <v>300</v>
      </c>
      <c r="D31" s="14">
        <v>1</v>
      </c>
      <c r="E31" s="14">
        <v>5.3654325104516881E-4</v>
      </c>
      <c r="F31" s="14">
        <v>4.4987903148117019E-4</v>
      </c>
      <c r="G31" s="14">
        <v>1.1097987701100261E-2</v>
      </c>
      <c r="H31" s="14">
        <v>0.20147248887980648</v>
      </c>
      <c r="I31" s="14">
        <v>0.41982947153052919</v>
      </c>
      <c r="J31" s="14">
        <v>0</v>
      </c>
      <c r="K31" s="14">
        <v>2222.8197582528474</v>
      </c>
      <c r="L31" s="14">
        <v>4.4987903148117024E-4</v>
      </c>
      <c r="M31" s="14">
        <v>3.6912574533030018E-4</v>
      </c>
      <c r="N31" s="14">
        <v>2.6144013320438184E-2</v>
      </c>
      <c r="O31" s="14">
        <v>2.1474692541407925</v>
      </c>
      <c r="P31" s="8">
        <v>2.6144013320438184E-2</v>
      </c>
      <c r="Q31" s="54">
        <v>4.3378339384273764E-4</v>
      </c>
    </row>
    <row r="32" spans="1:21">
      <c r="A32" s="2" t="s">
        <v>343</v>
      </c>
      <c r="B32" s="16" t="s">
        <v>344</v>
      </c>
      <c r="D32" s="14">
        <v>1</v>
      </c>
      <c r="E32" s="14">
        <v>0.66903699168939357</v>
      </c>
      <c r="F32" s="14">
        <v>0.65177619009656729</v>
      </c>
      <c r="G32" s="14">
        <v>2.5202694727355749E-5</v>
      </c>
      <c r="H32" s="14">
        <v>39.48375889885483</v>
      </c>
      <c r="I32" s="14">
        <v>95.340112942114942</v>
      </c>
      <c r="J32" s="14">
        <v>0</v>
      </c>
      <c r="K32" s="14">
        <v>1.5342689947784678</v>
      </c>
      <c r="L32" s="14">
        <v>0.6517761900965674</v>
      </c>
      <c r="M32" s="14">
        <v>0.53478236397423351</v>
      </c>
      <c r="N32" s="14">
        <v>6.3889832460837344</v>
      </c>
      <c r="O32" s="14">
        <v>1049.0710490069491</v>
      </c>
      <c r="P32" s="8">
        <v>6.3889832460837344</v>
      </c>
      <c r="Q32" s="54">
        <v>0.22155199347367613</v>
      </c>
    </row>
    <row r="33" spans="1:17">
      <c r="A33" s="2" t="s">
        <v>345</v>
      </c>
      <c r="B33" s="16" t="s">
        <v>346</v>
      </c>
      <c r="D33" s="14">
        <v>1</v>
      </c>
      <c r="E33" s="14">
        <v>0.76899593828442425</v>
      </c>
      <c r="F33" s="14">
        <v>0.76145750152078229</v>
      </c>
      <c r="G33" s="14">
        <v>9.9232551262888746E-7</v>
      </c>
      <c r="H33" s="14">
        <v>17.395049522727408</v>
      </c>
      <c r="I33" s="14">
        <v>45.131819262067197</v>
      </c>
      <c r="J33" s="14">
        <v>0</v>
      </c>
      <c r="K33" s="14">
        <v>1.3132709284533948</v>
      </c>
      <c r="L33" s="14">
        <v>0.76145750152078229</v>
      </c>
      <c r="M33" s="14">
        <v>0.62477587999780182</v>
      </c>
      <c r="N33" s="14">
        <v>3.4170281871958945</v>
      </c>
      <c r="O33" s="14">
        <v>516.51798077653143</v>
      </c>
      <c r="P33" s="8">
        <v>3.4170281871958945</v>
      </c>
      <c r="Q33" s="54">
        <v>0.15569793057218403</v>
      </c>
    </row>
    <row r="34" spans="1:17">
      <c r="A34" s="2" t="s">
        <v>347</v>
      </c>
      <c r="B34" s="16" t="s">
        <v>348</v>
      </c>
      <c r="D34" s="14">
        <v>1</v>
      </c>
      <c r="E34" s="14">
        <v>0.41950871170491599</v>
      </c>
      <c r="F34" s="14">
        <v>0.32439003638270503</v>
      </c>
      <c r="G34" s="14">
        <v>1.493605809287476E-6</v>
      </c>
      <c r="H34" s="14">
        <v>222.23246650318191</v>
      </c>
      <c r="I34" s="14">
        <v>448.81222419775963</v>
      </c>
      <c r="J34" s="14">
        <v>0</v>
      </c>
      <c r="K34" s="14">
        <v>3.0827087389953984</v>
      </c>
      <c r="L34" s="14">
        <v>0.32439003638270503</v>
      </c>
      <c r="M34" s="14">
        <v>0.26616202485200952</v>
      </c>
      <c r="N34" s="14">
        <v>27.844822088332709</v>
      </c>
      <c r="O34" s="14">
        <v>4907.6498930686403</v>
      </c>
      <c r="P34" s="8">
        <v>27.844822088332712</v>
      </c>
      <c r="Q34" s="54">
        <v>0.39035943181041</v>
      </c>
    </row>
    <row r="35" spans="1:17">
      <c r="A35" s="2" t="s">
        <v>349</v>
      </c>
      <c r="B35" s="16" t="s">
        <v>350</v>
      </c>
      <c r="D35" s="14">
        <v>1</v>
      </c>
      <c r="E35" s="14">
        <v>0.38983216535774423</v>
      </c>
      <c r="F35" s="14">
        <v>7.91106815624045E-2</v>
      </c>
      <c r="G35" s="14">
        <v>5.5937572274563578E-4</v>
      </c>
      <c r="H35" s="14">
        <v>748.64361700323946</v>
      </c>
      <c r="I35" s="14">
        <v>1246.0408972900079</v>
      </c>
      <c r="J35" s="14">
        <v>0</v>
      </c>
      <c r="K35" s="14">
        <v>12.640518072280477</v>
      </c>
      <c r="L35" s="14">
        <v>7.91106815624045E-2</v>
      </c>
      <c r="M35" s="14">
        <v>6.4910314221952897E-2</v>
      </c>
      <c r="N35" s="14">
        <v>77.176947968545932</v>
      </c>
      <c r="O35" s="14">
        <v>14841.127094351383</v>
      </c>
      <c r="P35" s="8">
        <v>77.176947968545932</v>
      </c>
      <c r="Q35" s="54">
        <v>0.37405227189563578</v>
      </c>
    </row>
    <row r="36" spans="1:17">
      <c r="A36" s="2" t="s">
        <v>351</v>
      </c>
      <c r="B36" s="16" t="s">
        <v>352</v>
      </c>
      <c r="D36" s="14">
        <v>1</v>
      </c>
      <c r="E36" s="14">
        <v>0.42968760301556774</v>
      </c>
      <c r="F36" s="14">
        <v>2.1730056021724908E-2</v>
      </c>
      <c r="G36" s="14">
        <v>1.8727048431490327E-5</v>
      </c>
      <c r="H36" s="14">
        <v>793.30619540465125</v>
      </c>
      <c r="I36" s="14">
        <v>3390.7675380976279</v>
      </c>
      <c r="J36" s="14">
        <v>0</v>
      </c>
      <c r="K36" s="14">
        <v>46.01920947650742</v>
      </c>
      <c r="L36" s="14">
        <v>2.1730056021724908E-2</v>
      </c>
      <c r="M36" s="14">
        <v>1.7829510965825288E-2</v>
      </c>
      <c r="N36" s="14">
        <v>211.41431979439182</v>
      </c>
      <c r="O36" s="14">
        <v>47012.202292678907</v>
      </c>
      <c r="P36" s="8">
        <v>211.41431979439182</v>
      </c>
      <c r="Q36" s="54">
        <v>0.37333440683147945</v>
      </c>
    </row>
    <row r="37" spans="1:17">
      <c r="A37" s="2" t="s">
        <v>353</v>
      </c>
      <c r="B37" s="16" t="s">
        <v>354</v>
      </c>
      <c r="D37" s="14">
        <v>1</v>
      </c>
      <c r="E37" s="14">
        <v>0.48886085743179675</v>
      </c>
      <c r="F37" s="14">
        <v>3.8951846719569093E-3</v>
      </c>
      <c r="G37" s="14">
        <v>1.4892120450550538E-4</v>
      </c>
      <c r="H37" s="14">
        <v>391.58680792840079</v>
      </c>
      <c r="I37" s="14">
        <v>9136.6128620290474</v>
      </c>
      <c r="J37" s="14">
        <v>0</v>
      </c>
      <c r="K37" s="14">
        <v>256.72723740145756</v>
      </c>
      <c r="L37" s="14">
        <v>3.8951846719569093E-3</v>
      </c>
      <c r="M37" s="14">
        <v>3.1959990233406442E-3</v>
      </c>
      <c r="N37" s="14">
        <v>574.74154219316029</v>
      </c>
      <c r="O37" s="14">
        <v>135863.15315904116</v>
      </c>
      <c r="P37" s="8">
        <v>574.74154219316029</v>
      </c>
      <c r="Q37" s="54">
        <v>0.30745759329776967</v>
      </c>
    </row>
    <row r="38" spans="1:17">
      <c r="A38" s="2" t="s">
        <v>355</v>
      </c>
      <c r="B38" s="16" t="s">
        <v>356</v>
      </c>
      <c r="D38" s="14">
        <v>1</v>
      </c>
      <c r="E38" s="14">
        <v>0.43351176677094372</v>
      </c>
      <c r="F38" s="14">
        <v>1.2328204166623405E-2</v>
      </c>
      <c r="G38" s="14">
        <v>7.2248411986494604E-6</v>
      </c>
      <c r="H38" s="14">
        <v>647.44043338550193</v>
      </c>
      <c r="I38" s="14">
        <v>5089.2875407652009</v>
      </c>
      <c r="J38" s="14">
        <v>0</v>
      </c>
      <c r="K38" s="14">
        <v>81.114814979081572</v>
      </c>
      <c r="L38" s="14">
        <v>1.2328204166623405E-2</v>
      </c>
      <c r="M38" s="14">
        <v>1.0115291518714504E-2</v>
      </c>
      <c r="N38" s="14">
        <v>318.31446368850413</v>
      </c>
      <c r="O38" s="14">
        <v>82252.457417109457</v>
      </c>
      <c r="P38" s="8">
        <v>318.31446368850413</v>
      </c>
      <c r="Q38" s="54">
        <v>0.36614827199704914</v>
      </c>
    </row>
    <row r="39" spans="1:17">
      <c r="A39" s="2" t="s">
        <v>357</v>
      </c>
      <c r="B39" s="16" t="s">
        <v>358</v>
      </c>
      <c r="D39" s="14">
        <v>1</v>
      </c>
      <c r="E39" s="14">
        <v>0.37915866252751335</v>
      </c>
      <c r="F39" s="14">
        <v>1.6427856413790593E-2</v>
      </c>
      <c r="G39" s="14">
        <v>1.2933301024886815E-3</v>
      </c>
      <c r="H39" s="14">
        <v>665.39709162647534</v>
      </c>
      <c r="I39" s="14">
        <v>3384.839411352842</v>
      </c>
      <c r="J39" s="14">
        <v>0</v>
      </c>
      <c r="K39" s="14">
        <v>60.872214536799582</v>
      </c>
      <c r="L39" s="14">
        <v>1.6427856413790593E-2</v>
      </c>
      <c r="M39" s="14">
        <v>1.3479056187515182E-2</v>
      </c>
      <c r="N39" s="14">
        <v>211.23232909239584</v>
      </c>
      <c r="O39" s="14">
        <v>49933.210274151454</v>
      </c>
      <c r="P39" s="8">
        <v>211.23232909239587</v>
      </c>
      <c r="Q39" s="54">
        <v>0.33001833514064466</v>
      </c>
    </row>
    <row r="40" spans="1:17">
      <c r="A40" s="2" t="s">
        <v>359</v>
      </c>
      <c r="B40" s="16" t="s">
        <v>360</v>
      </c>
      <c r="D40" s="14">
        <v>1</v>
      </c>
      <c r="E40" s="14">
        <v>0.43351176677094372</v>
      </c>
      <c r="F40" s="14">
        <v>1.2328204166623405E-2</v>
      </c>
      <c r="G40" s="14">
        <v>7.2248411986494604E-6</v>
      </c>
      <c r="H40" s="14">
        <v>647.44043338550193</v>
      </c>
      <c r="I40" s="14">
        <v>5089.2875407652009</v>
      </c>
      <c r="J40" s="14">
        <v>0</v>
      </c>
      <c r="K40" s="14">
        <v>81.114814979081572</v>
      </c>
      <c r="L40" s="14">
        <v>1.2328204166623405E-2</v>
      </c>
      <c r="M40" s="14">
        <v>1.0115291518714504E-2</v>
      </c>
      <c r="N40" s="14">
        <v>318.31446368850413</v>
      </c>
      <c r="O40" s="14">
        <v>82252.457417109457</v>
      </c>
      <c r="P40" s="8">
        <v>318.31446368850413</v>
      </c>
      <c r="Q40" s="54">
        <v>0.36614827199704914</v>
      </c>
    </row>
    <row r="41" spans="1:17">
      <c r="A41" s="2" t="s">
        <v>313</v>
      </c>
      <c r="B41" s="16" t="s">
        <v>314</v>
      </c>
      <c r="D41" s="14">
        <v>1</v>
      </c>
      <c r="E41" s="14">
        <v>0.99974358881663339</v>
      </c>
      <c r="F41" s="14">
        <v>0.99539831941773271</v>
      </c>
      <c r="G41" s="14">
        <v>6.4792954305834405E-10</v>
      </c>
      <c r="H41" s="14">
        <v>13.449833347389832</v>
      </c>
      <c r="I41" s="14">
        <v>2.9634599917206586E-2</v>
      </c>
      <c r="J41" s="14">
        <v>0</v>
      </c>
      <c r="K41" s="14">
        <v>1.0046229539396441</v>
      </c>
      <c r="L41" s="14">
        <v>0.99539831941773271</v>
      </c>
      <c r="M41" s="14">
        <v>0.81672432108224968</v>
      </c>
      <c r="N41" s="14">
        <v>0.93857039253723362</v>
      </c>
      <c r="O41" s="14">
        <v>172.80019497003011</v>
      </c>
      <c r="P41" s="8">
        <v>0.93857039253723373</v>
      </c>
      <c r="Q41" s="54">
        <v>1.2647336345294728E-4</v>
      </c>
    </row>
    <row r="42" spans="1:17">
      <c r="A42" s="2" t="s">
        <v>315</v>
      </c>
      <c r="B42" s="16" t="s">
        <v>316</v>
      </c>
      <c r="D42" s="14">
        <v>1</v>
      </c>
      <c r="E42" s="14">
        <v>0.49209145579921265</v>
      </c>
      <c r="F42" s="14">
        <v>3.5655258843952076E-3</v>
      </c>
      <c r="G42" s="14">
        <v>2.161982037182651E-4</v>
      </c>
      <c r="H42" s="14">
        <v>374.30324619875523</v>
      </c>
      <c r="I42" s="14">
        <v>9390.3280462331113</v>
      </c>
      <c r="J42" s="14">
        <v>0</v>
      </c>
      <c r="K42" s="14">
        <v>280.46353677491874</v>
      </c>
      <c r="L42" s="14">
        <v>3.5655258843952081E-3</v>
      </c>
      <c r="M42" s="14">
        <v>2.9255139881462682E-3</v>
      </c>
      <c r="N42" s="14">
        <v>590.92933846743199</v>
      </c>
      <c r="O42" s="14">
        <v>215636.0249001506</v>
      </c>
      <c r="P42" s="8">
        <v>590.92933846743199</v>
      </c>
      <c r="Q42" s="54">
        <v>0.30038674465493126</v>
      </c>
    </row>
    <row r="43" spans="1:17">
      <c r="A43" s="2" t="s">
        <v>317</v>
      </c>
      <c r="B43" s="16" t="s">
        <v>318</v>
      </c>
      <c r="D43" s="14">
        <v>1</v>
      </c>
      <c r="E43" s="14">
        <v>0.53542459009779375</v>
      </c>
      <c r="F43" s="14">
        <v>0.49243772154306753</v>
      </c>
      <c r="G43" s="14">
        <v>6.8011100279785041E-14</v>
      </c>
      <c r="H43" s="14">
        <v>99.072087342733866</v>
      </c>
      <c r="I43" s="14">
        <v>218.98203330066107</v>
      </c>
      <c r="J43" s="14">
        <v>0</v>
      </c>
      <c r="K43" s="14">
        <v>2.0307136440857367</v>
      </c>
      <c r="L43" s="14">
        <v>0.49243772154306753</v>
      </c>
      <c r="M43" s="14">
        <v>0.40404515052608692</v>
      </c>
      <c r="N43" s="14">
        <v>13.833152412506935</v>
      </c>
      <c r="O43" s="14">
        <v>4389.5359235367005</v>
      </c>
      <c r="P43" s="8">
        <v>13.833152412506937</v>
      </c>
      <c r="Q43" s="54">
        <v>0.31290210440579197</v>
      </c>
    </row>
    <row r="44" spans="1:17">
      <c r="A44" s="2" t="s">
        <v>307</v>
      </c>
      <c r="B44" s="16" t="s">
        <v>308</v>
      </c>
      <c r="D44" s="14">
        <v>1</v>
      </c>
      <c r="E44" s="14">
        <v>0.44186351811862845</v>
      </c>
      <c r="F44" s="14">
        <v>3.2581724762037585E-2</v>
      </c>
      <c r="G44" s="14">
        <v>6.2583890632139138E-6</v>
      </c>
      <c r="H44" s="14">
        <v>901.64186905743952</v>
      </c>
      <c r="I44" s="14">
        <v>2422.6531528158571</v>
      </c>
      <c r="J44" s="14">
        <v>0</v>
      </c>
      <c r="K44" s="14">
        <v>30.692052287089002</v>
      </c>
      <c r="L44" s="14">
        <v>3.2581724762037585E-2</v>
      </c>
      <c r="M44" s="14">
        <v>2.673330516725184E-2</v>
      </c>
      <c r="N44" s="14">
        <v>150.70233457613185</v>
      </c>
      <c r="O44" s="14">
        <v>52834.731479046059</v>
      </c>
      <c r="P44" s="8">
        <v>150.70233457613185</v>
      </c>
      <c r="Q44" s="54">
        <v>0.36888520856017731</v>
      </c>
    </row>
    <row r="45" spans="1:17">
      <c r="A45" s="2" t="s">
        <v>319</v>
      </c>
      <c r="B45" s="16" t="s">
        <v>320</v>
      </c>
      <c r="D45" s="14">
        <v>1</v>
      </c>
      <c r="E45" s="14">
        <v>0.56084742819928368</v>
      </c>
      <c r="F45" s="14">
        <v>1.7954168628073308E-3</v>
      </c>
      <c r="G45" s="14">
        <v>7.9314718557330603E-7</v>
      </c>
      <c r="H45" s="14">
        <v>268.79754620648856</v>
      </c>
      <c r="I45" s="14">
        <v>12223.131121170925</v>
      </c>
      <c r="J45" s="14">
        <v>0</v>
      </c>
      <c r="K45" s="14">
        <v>556.97371497134679</v>
      </c>
      <c r="L45" s="14">
        <v>1.7954168628073308E-3</v>
      </c>
      <c r="M45" s="14">
        <v>1.4731395359334149E-3</v>
      </c>
      <c r="N45" s="14">
        <v>771.64204716303811</v>
      </c>
      <c r="O45" s="14">
        <v>273539.38929882541</v>
      </c>
      <c r="P45" s="8">
        <v>771.64204716303811</v>
      </c>
      <c r="Q45" s="54">
        <v>0.25809671120908378</v>
      </c>
    </row>
    <row r="46" spans="1:17">
      <c r="A46" s="2" t="s">
        <v>321</v>
      </c>
      <c r="B46" s="16" t="s">
        <v>322</v>
      </c>
      <c r="D46" s="14">
        <v>1</v>
      </c>
      <c r="E46" s="14">
        <v>0.5097221930871606</v>
      </c>
      <c r="F46" s="14">
        <v>3.2905392767617527E-3</v>
      </c>
      <c r="G46" s="14">
        <v>1.0723969415349766E-6</v>
      </c>
      <c r="H46" s="14">
        <v>363.85393746385802</v>
      </c>
      <c r="I46" s="14">
        <v>9958.2780851828084</v>
      </c>
      <c r="J46" s="14">
        <v>0</v>
      </c>
      <c r="K46" s="14">
        <v>303.90155408936749</v>
      </c>
      <c r="L46" s="14">
        <v>3.2905392767617527E-3</v>
      </c>
      <c r="M46" s="14">
        <v>2.699887476583018E-3</v>
      </c>
      <c r="N46" s="14">
        <v>626.96046376487027</v>
      </c>
      <c r="O46" s="14">
        <v>222251.21480000886</v>
      </c>
      <c r="P46" s="8">
        <v>626.96046376487027</v>
      </c>
      <c r="Q46" s="54">
        <v>0.29976729554343373</v>
      </c>
    </row>
    <row r="47" spans="1:17">
      <c r="A47" s="2" t="s">
        <v>323</v>
      </c>
      <c r="B47" s="16" t="s">
        <v>324</v>
      </c>
      <c r="D47" s="14">
        <v>1</v>
      </c>
      <c r="E47" s="14">
        <v>0.45960673089026161</v>
      </c>
      <c r="F47" s="14">
        <v>6.6531137985679162E-3</v>
      </c>
      <c r="G47" s="14">
        <v>9.1933424884924562E-6</v>
      </c>
      <c r="H47" s="14">
        <v>502.62600203893982</v>
      </c>
      <c r="I47" s="14">
        <v>7266.1125837946411</v>
      </c>
      <c r="J47" s="14">
        <v>0</v>
      </c>
      <c r="K47" s="14">
        <v>150.30556071583356</v>
      </c>
      <c r="L47" s="14">
        <v>6.6531137985679162E-3</v>
      </c>
      <c r="M47" s="14">
        <v>5.4588798717249759E-3</v>
      </c>
      <c r="N47" s="14">
        <v>455.92019828450259</v>
      </c>
      <c r="O47" s="14">
        <v>145912.70025897221</v>
      </c>
      <c r="P47" s="8">
        <v>455.92019828450265</v>
      </c>
      <c r="Q47" s="54">
        <v>0.3415876202555076</v>
      </c>
    </row>
    <row r="48" spans="1:17">
      <c r="A48" s="2" t="s">
        <v>325</v>
      </c>
      <c r="B48" s="16" t="s">
        <v>326</v>
      </c>
      <c r="D48" s="14">
        <v>1</v>
      </c>
      <c r="E48" s="14">
        <v>0.3682529620431792</v>
      </c>
      <c r="F48" s="14">
        <v>0.16746094618600696</v>
      </c>
      <c r="G48" s="14">
        <v>3.165935250184769E-6</v>
      </c>
      <c r="H48" s="14">
        <v>477.17044965958104</v>
      </c>
      <c r="I48" s="14">
        <v>867.62231116332669</v>
      </c>
      <c r="J48" s="14">
        <v>0</v>
      </c>
      <c r="K48" s="14">
        <v>5.9715415610350826</v>
      </c>
      <c r="L48" s="14">
        <v>0.16746094618600696</v>
      </c>
      <c r="M48" s="14">
        <v>0.13740170634561871</v>
      </c>
      <c r="N48" s="14">
        <v>53.646515411237218</v>
      </c>
      <c r="O48" s="14">
        <v>16327.316965410047</v>
      </c>
      <c r="P48" s="8">
        <v>53.646515411237218</v>
      </c>
      <c r="Q48" s="54">
        <v>0.42357538230856512</v>
      </c>
    </row>
    <row r="49" spans="1:17">
      <c r="A49" s="2" t="s">
        <v>275</v>
      </c>
      <c r="B49" s="16" t="s">
        <v>276</v>
      </c>
      <c r="D49" s="14">
        <v>1</v>
      </c>
      <c r="E49" s="14">
        <v>0.43905267962508471</v>
      </c>
      <c r="F49" s="14">
        <v>3.0275012387476666E-2</v>
      </c>
      <c r="G49" s="14">
        <v>8.0340183103763977E-8</v>
      </c>
      <c r="H49" s="14">
        <v>882.47889852806213</v>
      </c>
      <c r="I49" s="14">
        <v>2586.7919471137848</v>
      </c>
      <c r="J49" s="14">
        <v>0</v>
      </c>
      <c r="K49" s="14">
        <v>33.030539746819471</v>
      </c>
      <c r="L49" s="14">
        <v>3.0275012387476669E-2</v>
      </c>
      <c r="M49" s="14">
        <v>2.4840647663924607E-2</v>
      </c>
      <c r="N49" s="14">
        <v>160.98156261954014</v>
      </c>
      <c r="O49" s="14">
        <v>59642.059134913427</v>
      </c>
      <c r="P49" s="8">
        <v>160.98156261954014</v>
      </c>
      <c r="Q49" s="54">
        <v>0.37064786281148226</v>
      </c>
    </row>
    <row r="50" spans="1:17">
      <c r="A50" s="2" t="s">
        <v>327</v>
      </c>
      <c r="B50" s="16" t="s">
        <v>328</v>
      </c>
      <c r="D50" s="14">
        <v>1</v>
      </c>
      <c r="E50" s="14">
        <v>0.43466153643448696</v>
      </c>
      <c r="F50" s="14">
        <v>2.6705727661437275E-2</v>
      </c>
      <c r="G50" s="14">
        <v>4.1788126771704364E-6</v>
      </c>
      <c r="H50" s="14">
        <v>848.83722294798497</v>
      </c>
      <c r="I50" s="14">
        <v>2876.6139792605832</v>
      </c>
      <c r="J50" s="14">
        <v>0</v>
      </c>
      <c r="K50" s="14">
        <v>37.445150818488543</v>
      </c>
      <c r="L50" s="14">
        <v>2.6705727661437275E-2</v>
      </c>
      <c r="M50" s="14">
        <v>2.1912049546209286E-2</v>
      </c>
      <c r="N50" s="14">
        <v>179.14698203097836</v>
      </c>
      <c r="O50" s="14">
        <v>68238.876925419972</v>
      </c>
      <c r="P50" s="8">
        <v>179.14698203097836</v>
      </c>
      <c r="Q50" s="54">
        <v>0.37246167039057132</v>
      </c>
    </row>
    <row r="51" spans="1:17">
      <c r="A51" s="2" t="s">
        <v>329</v>
      </c>
      <c r="B51" s="16" t="s">
        <v>330</v>
      </c>
      <c r="D51" s="14">
        <v>1</v>
      </c>
      <c r="E51" s="14">
        <v>0.37772991610998374</v>
      </c>
      <c r="F51" s="14">
        <v>0.12529096309947316</v>
      </c>
      <c r="G51" s="14">
        <v>1.9309375819049461E-6</v>
      </c>
      <c r="H51" s="14">
        <v>603.58681962915739</v>
      </c>
      <c r="I51" s="14">
        <v>1055.8371005590143</v>
      </c>
      <c r="J51" s="14">
        <v>0</v>
      </c>
      <c r="K51" s="14">
        <v>7.9814216066490191</v>
      </c>
      <c r="L51" s="14">
        <v>0.12529096309947316</v>
      </c>
      <c r="M51" s="14">
        <v>0.10280123522311772</v>
      </c>
      <c r="N51" s="14">
        <v>65.316332179236625</v>
      </c>
      <c r="O51" s="14">
        <v>17922.801549982531</v>
      </c>
      <c r="P51" s="8">
        <v>65.316332179236625</v>
      </c>
      <c r="Q51" s="54">
        <v>0.41667449563741787</v>
      </c>
    </row>
    <row r="52" spans="1:17">
      <c r="A52" s="2" t="s">
        <v>277</v>
      </c>
      <c r="B52" s="16" t="s">
        <v>278</v>
      </c>
      <c r="D52" s="14">
        <v>1</v>
      </c>
      <c r="E52" s="14">
        <v>0.3684382033440402</v>
      </c>
      <c r="F52" s="14">
        <v>0.16304104540781997</v>
      </c>
      <c r="G52" s="14">
        <v>5.0004079735622279E-6</v>
      </c>
      <c r="H52" s="14">
        <v>488.40145753357683</v>
      </c>
      <c r="I52" s="14">
        <v>884.77760628285114</v>
      </c>
      <c r="J52" s="14">
        <v>0</v>
      </c>
      <c r="K52" s="14">
        <v>6.1334248532243327</v>
      </c>
      <c r="L52" s="14">
        <v>0.16304104540781997</v>
      </c>
      <c r="M52" s="14">
        <v>0.13377517775711628</v>
      </c>
      <c r="N52" s="14">
        <v>54.708510433256052</v>
      </c>
      <c r="O52" s="14">
        <v>22262.534150604886</v>
      </c>
      <c r="P52" s="8">
        <v>54.708510433256052</v>
      </c>
      <c r="Q52" s="54">
        <v>0.42328621198450905</v>
      </c>
    </row>
    <row r="53" spans="1:17">
      <c r="A53" s="2" t="s">
        <v>331</v>
      </c>
      <c r="B53" s="16" t="s">
        <v>332</v>
      </c>
      <c r="D53" s="14">
        <v>1</v>
      </c>
      <c r="E53" s="14">
        <v>0.42894933281035319</v>
      </c>
      <c r="F53" s="14">
        <v>1.7858998562021975E-2</v>
      </c>
      <c r="G53" s="14">
        <v>2.8065035117813297E-6</v>
      </c>
      <c r="H53" s="14">
        <v>742.3985283314513</v>
      </c>
      <c r="I53" s="14">
        <v>3944.5210050577061</v>
      </c>
      <c r="J53" s="14">
        <v>0</v>
      </c>
      <c r="K53" s="14">
        <v>55.994181114194632</v>
      </c>
      <c r="L53" s="14">
        <v>1.7858998562021975E-2</v>
      </c>
      <c r="M53" s="14">
        <v>1.4653308320139032E-2</v>
      </c>
      <c r="N53" s="14">
        <v>246.21447414377911</v>
      </c>
      <c r="O53" s="14">
        <v>93785.555346106907</v>
      </c>
      <c r="P53" s="8">
        <v>246.21447414377911</v>
      </c>
      <c r="Q53" s="54">
        <v>0.37307338966621262</v>
      </c>
    </row>
    <row r="54" spans="1:17">
      <c r="A54" s="2" t="s">
        <v>333</v>
      </c>
      <c r="B54" s="16" t="s">
        <v>334</v>
      </c>
      <c r="D54" s="14">
        <v>1</v>
      </c>
      <c r="E54" s="14">
        <v>0.43680296032494265</v>
      </c>
      <c r="F54" s="14">
        <v>2.8447800031801248E-2</v>
      </c>
      <c r="G54" s="14">
        <v>4.5519467634863258E-9</v>
      </c>
      <c r="H54" s="14">
        <v>865.90188787960653</v>
      </c>
      <c r="I54" s="14">
        <v>2729.1402671564492</v>
      </c>
      <c r="J54" s="14">
        <v>0</v>
      </c>
      <c r="K54" s="14">
        <v>35.152103111035622</v>
      </c>
      <c r="L54" s="14">
        <v>2.8447800031801248E-2</v>
      </c>
      <c r="M54" s="14">
        <v>2.3341419926092923E-2</v>
      </c>
      <c r="N54" s="14">
        <v>169.90127324797032</v>
      </c>
      <c r="O54" s="14">
        <v>65323.641538379641</v>
      </c>
      <c r="P54" s="8">
        <v>169.90127324797035</v>
      </c>
      <c r="Q54" s="54">
        <v>0.37172849833088289</v>
      </c>
    </row>
    <row r="55" spans="1:17">
      <c r="A55" s="2" t="s">
        <v>335</v>
      </c>
      <c r="B55" s="16" t="s">
        <v>336</v>
      </c>
      <c r="D55" s="14">
        <v>1</v>
      </c>
      <c r="E55" s="14">
        <v>0.45725238592529116</v>
      </c>
      <c r="F55" s="14">
        <v>6.8505984069412024E-3</v>
      </c>
      <c r="G55" s="14">
        <v>2.3771522441927729E-5</v>
      </c>
      <c r="H55" s="14">
        <v>508.66108022691833</v>
      </c>
      <c r="I55" s="14">
        <v>7143.0827286472104</v>
      </c>
      <c r="J55" s="14">
        <v>0</v>
      </c>
      <c r="K55" s="14">
        <v>145.9726494822371</v>
      </c>
      <c r="L55" s="14">
        <v>6.8505984069412024E-3</v>
      </c>
      <c r="M55" s="14">
        <v>5.6209159928952571E-3</v>
      </c>
      <c r="N55" s="14">
        <v>448.1319905461483</v>
      </c>
      <c r="O55" s="14">
        <v>167296.63471068809</v>
      </c>
      <c r="P55" s="8">
        <v>448.1319905461483</v>
      </c>
      <c r="Q55" s="54">
        <v>0.34267757113111053</v>
      </c>
    </row>
    <row r="56" spans="1:17">
      <c r="A56" s="2" t="s">
        <v>337</v>
      </c>
      <c r="B56" s="16" t="s">
        <v>338</v>
      </c>
      <c r="D56" s="14">
        <v>1</v>
      </c>
      <c r="E56" s="14">
        <v>0.44098763403084151</v>
      </c>
      <c r="F56" s="14">
        <v>3.1804118212602747E-2</v>
      </c>
      <c r="G56" s="14">
        <v>1.6072811326787135E-6</v>
      </c>
      <c r="H56" s="14">
        <v>895.49539941977423</v>
      </c>
      <c r="I56" s="14">
        <v>2476.9687632586688</v>
      </c>
      <c r="J56" s="14">
        <v>0</v>
      </c>
      <c r="K56" s="14">
        <v>31.442468969434863</v>
      </c>
      <c r="L56" s="14">
        <v>3.1804118212602747E-2</v>
      </c>
      <c r="M56" s="14">
        <v>2.6095278993440552E-2</v>
      </c>
      <c r="N56" s="14">
        <v>154.10298326027552</v>
      </c>
      <c r="O56" s="14">
        <v>59995.373442890457</v>
      </c>
      <c r="P56" s="8">
        <v>154.10298326027552</v>
      </c>
      <c r="Q56" s="54">
        <v>0.36959027044337128</v>
      </c>
    </row>
    <row r="57" spans="1:17">
      <c r="A57" s="2" t="s">
        <v>279</v>
      </c>
      <c r="B57" s="16" t="s">
        <v>280</v>
      </c>
      <c r="D57" s="14">
        <v>1</v>
      </c>
      <c r="E57" s="14">
        <v>0.366053015627615</v>
      </c>
      <c r="F57" s="14">
        <v>0.18676667748428924</v>
      </c>
      <c r="G57" s="14">
        <v>8.8582489329867709E-5</v>
      </c>
      <c r="H57" s="14">
        <v>424.93195648753158</v>
      </c>
      <c r="I57" s="14">
        <v>785.55493932376521</v>
      </c>
      <c r="J57" s="14">
        <v>0</v>
      </c>
      <c r="K57" s="14">
        <v>5.3542741856834688</v>
      </c>
      <c r="L57" s="14">
        <v>0.18676667748428927</v>
      </c>
      <c r="M57" s="14">
        <v>0.15324205887585934</v>
      </c>
      <c r="N57" s="14">
        <v>48.570945175545198</v>
      </c>
      <c r="O57" s="14">
        <v>14125.887985403808</v>
      </c>
      <c r="P57" s="8">
        <v>48.570945175545198</v>
      </c>
      <c r="Q57" s="54">
        <v>0.42012310220704868</v>
      </c>
    </row>
    <row r="58" spans="1:17">
      <c r="A58" s="2" t="s">
        <v>339</v>
      </c>
      <c r="B58" s="16" t="s">
        <v>340</v>
      </c>
      <c r="D58" s="14">
        <v>1</v>
      </c>
      <c r="E58" s="14">
        <v>0.43638472311259696</v>
      </c>
      <c r="F58" s="14">
        <v>2.8093868225630578E-2</v>
      </c>
      <c r="G58" s="14">
        <v>1.5952179532154994E-8</v>
      </c>
      <c r="H58" s="14">
        <v>862.56442219462247</v>
      </c>
      <c r="I58" s="14">
        <v>2758.3458077789332</v>
      </c>
      <c r="J58" s="14">
        <v>0</v>
      </c>
      <c r="K58" s="14">
        <v>35.594955880361134</v>
      </c>
      <c r="L58" s="14">
        <v>2.8093868225630581E-2</v>
      </c>
      <c r="M58" s="14">
        <v>2.305101887912989E-2</v>
      </c>
      <c r="N58" s="14">
        <v>171.73184598092809</v>
      </c>
      <c r="O58" s="14">
        <v>59359.112563307783</v>
      </c>
      <c r="P58" s="8">
        <v>171.73184598092809</v>
      </c>
      <c r="Q58" s="54">
        <v>0.3719192965953616</v>
      </c>
    </row>
    <row r="59" spans="1:17">
      <c r="A59" s="2" t="s">
        <v>281</v>
      </c>
      <c r="B59" s="16" t="s">
        <v>282</v>
      </c>
      <c r="D59" s="14">
        <v>1</v>
      </c>
      <c r="E59" s="14">
        <v>0.36857897135797818</v>
      </c>
      <c r="F59" s="14">
        <v>0.16310333798210819</v>
      </c>
      <c r="G59" s="14">
        <v>7.5713153787691719E-7</v>
      </c>
      <c r="H59" s="14">
        <v>488.58805952695701</v>
      </c>
      <c r="I59" s="14">
        <v>885.11565045222017</v>
      </c>
      <c r="J59" s="14">
        <v>0</v>
      </c>
      <c r="K59" s="14">
        <v>6.1310823700597483</v>
      </c>
      <c r="L59" s="14">
        <v>0.16310333798210819</v>
      </c>
      <c r="M59" s="14">
        <v>0.13382628881431977</v>
      </c>
      <c r="N59" s="14">
        <v>54.729412740045355</v>
      </c>
      <c r="O59" s="14">
        <v>15940.488754665608</v>
      </c>
      <c r="P59" s="8">
        <v>54.729412740045355</v>
      </c>
      <c r="Q59" s="54">
        <v>0.42344793560287319</v>
      </c>
    </row>
    <row r="60" spans="1:17">
      <c r="A60" s="2" t="s">
        <v>341</v>
      </c>
      <c r="B60" s="16" t="s">
        <v>342</v>
      </c>
      <c r="D60" s="14">
        <v>1</v>
      </c>
      <c r="E60" s="14">
        <v>0.42863626895517487</v>
      </c>
      <c r="F60" s="14">
        <v>2.008333503693108E-2</v>
      </c>
      <c r="G60" s="14">
        <v>2.3367073308444969E-5</v>
      </c>
      <c r="H60" s="14">
        <v>772.28185907439672</v>
      </c>
      <c r="I60" s="14">
        <v>3601.0819449694436</v>
      </c>
      <c r="J60" s="14">
        <v>0</v>
      </c>
      <c r="K60" s="14">
        <v>49.792526896608962</v>
      </c>
      <c r="L60" s="14">
        <v>2.008333503693108E-2</v>
      </c>
      <c r="M60" s="14">
        <v>1.6478376397801951E-2</v>
      </c>
      <c r="N60" s="14">
        <v>224.6269857581421</v>
      </c>
      <c r="O60" s="14">
        <v>75312.935784989881</v>
      </c>
      <c r="P60" s="8">
        <v>224.6269857581421</v>
      </c>
      <c r="Q60" s="54">
        <v>0.37310666242084306</v>
      </c>
    </row>
    <row r="61" spans="1:17">
      <c r="A61" s="2" t="s">
        <v>483</v>
      </c>
      <c r="B61" s="16" t="s">
        <v>484</v>
      </c>
      <c r="D61" s="14">
        <v>1</v>
      </c>
      <c r="E61" s="14">
        <v>0.62472970986306264</v>
      </c>
      <c r="F61" s="14">
        <v>0.5263959272193095</v>
      </c>
      <c r="G61" s="14">
        <v>1.604872535743227E-15</v>
      </c>
      <c r="H61" s="14">
        <v>240.06831875916694</v>
      </c>
      <c r="I61" s="14">
        <v>370.35146209986686</v>
      </c>
      <c r="J61" s="14">
        <v>0</v>
      </c>
      <c r="K61" s="14">
        <v>1.8997107467804841</v>
      </c>
      <c r="L61" s="14">
        <v>0.52639592721930961</v>
      </c>
      <c r="M61" s="14">
        <v>0.43190785828344347</v>
      </c>
      <c r="N61" s="14">
        <v>65.806254568592308</v>
      </c>
      <c r="O61" s="14">
        <v>30662.424316235585</v>
      </c>
      <c r="P61" s="8">
        <v>65.806254568592308</v>
      </c>
      <c r="Q61" s="54">
        <v>0.25004263303755092</v>
      </c>
    </row>
    <row r="62" spans="1:17">
      <c r="A62" s="2" t="s">
        <v>485</v>
      </c>
      <c r="B62" s="16" t="s">
        <v>486</v>
      </c>
      <c r="D62" s="14">
        <v>1</v>
      </c>
      <c r="E62" s="14">
        <v>0.42705890429485271</v>
      </c>
      <c r="F62" s="14">
        <v>0.33742857680644051</v>
      </c>
      <c r="G62" s="14">
        <v>4.122022403489373E-9</v>
      </c>
      <c r="H62" s="14">
        <v>209.16155417020047</v>
      </c>
      <c r="I62" s="14">
        <v>425.53866909344953</v>
      </c>
      <c r="J62" s="14">
        <v>0</v>
      </c>
      <c r="K62" s="14">
        <v>2.9635901305823036</v>
      </c>
      <c r="L62" s="14">
        <v>0.33742857680644056</v>
      </c>
      <c r="M62" s="14">
        <v>0.27686014726968444</v>
      </c>
      <c r="N62" s="14">
        <v>26.419625040961808</v>
      </c>
      <c r="O62" s="14">
        <v>8570.2621670376011</v>
      </c>
      <c r="P62" s="8">
        <v>26.419625040961808</v>
      </c>
      <c r="Q62" s="54">
        <v>0.38542424554076876</v>
      </c>
    </row>
    <row r="63" spans="1:17">
      <c r="A63" s="2" t="s">
        <v>487</v>
      </c>
      <c r="B63" s="16" t="s">
        <v>488</v>
      </c>
      <c r="D63" s="14">
        <v>1</v>
      </c>
      <c r="E63" s="14">
        <v>0.95831927731424049</v>
      </c>
      <c r="F63" s="14">
        <v>0.95496700436024218</v>
      </c>
      <c r="G63" s="14">
        <v>8.1971365323646393E-15</v>
      </c>
      <c r="H63" s="14">
        <v>9.351982312709529</v>
      </c>
      <c r="I63" s="14">
        <v>11.425153528271832</v>
      </c>
      <c r="J63" s="14">
        <v>0</v>
      </c>
      <c r="K63" s="14">
        <v>1.0471565985360161</v>
      </c>
      <c r="L63" s="14">
        <v>0.95496700436024218</v>
      </c>
      <c r="M63" s="14">
        <v>0.78355042707757872</v>
      </c>
      <c r="N63" s="14">
        <v>5.8416683050097236</v>
      </c>
      <c r="O63" s="14">
        <v>2579.4470567600938</v>
      </c>
      <c r="P63" s="8">
        <v>5.8416683050097244</v>
      </c>
      <c r="Q63" s="54">
        <v>2.7844668043607263E-2</v>
      </c>
    </row>
    <row r="64" spans="1:17">
      <c r="A64" s="2" t="s">
        <v>489</v>
      </c>
      <c r="B64" s="16" t="s">
        <v>490</v>
      </c>
      <c r="D64" s="14">
        <v>1</v>
      </c>
      <c r="E64" s="14">
        <v>0.99555714417911811</v>
      </c>
      <c r="F64" s="14">
        <v>0.9947041873121476</v>
      </c>
      <c r="G64" s="14">
        <v>1.4765499545035101E-16</v>
      </c>
      <c r="H64" s="14">
        <v>3.4831641849017601</v>
      </c>
      <c r="I64" s="14">
        <v>0.40041738254026232</v>
      </c>
      <c r="J64" s="14">
        <v>0</v>
      </c>
      <c r="K64" s="14">
        <v>1.0053240076350363</v>
      </c>
      <c r="L64" s="14">
        <v>0.9947041873121476</v>
      </c>
      <c r="M64" s="14">
        <v>0.81615478568961708</v>
      </c>
      <c r="N64" s="14">
        <v>0.9189468390136063</v>
      </c>
      <c r="O64" s="14">
        <v>368.89282958523199</v>
      </c>
      <c r="P64" s="8">
        <v>0.9189468390136063</v>
      </c>
      <c r="Q64" s="54">
        <v>2.9533364290357435E-3</v>
      </c>
    </row>
    <row r="65" spans="1:17">
      <c r="A65" s="2" t="s">
        <v>491</v>
      </c>
      <c r="B65" s="16" t="s">
        <v>492</v>
      </c>
      <c r="D65" s="14">
        <v>1</v>
      </c>
      <c r="E65" s="14">
        <v>0.99797157773795109</v>
      </c>
      <c r="F65" s="14">
        <v>0.99819450833684875</v>
      </c>
      <c r="G65" s="14">
        <v>2.4389198905994503E-14</v>
      </c>
      <c r="H65" s="14">
        <v>0.45227343764228439</v>
      </c>
      <c r="I65" s="14">
        <v>0.18625426137775231</v>
      </c>
      <c r="J65" s="14">
        <v>0</v>
      </c>
      <c r="K65" s="14">
        <v>1.0018087573594845</v>
      </c>
      <c r="L65" s="14">
        <v>0.99819450833684875</v>
      </c>
      <c r="M65" s="14">
        <v>0.81901859409038447</v>
      </c>
      <c r="N65" s="14">
        <v>1.2891412023147018</v>
      </c>
      <c r="O65" s="14">
        <v>357.55620387400569</v>
      </c>
      <c r="P65" s="8">
        <v>1.2891412023147018</v>
      </c>
      <c r="Q65" s="54">
        <v>1.3052275075015275E-3</v>
      </c>
    </row>
    <row r="66" spans="1:17">
      <c r="A66" s="2" t="s">
        <v>493</v>
      </c>
      <c r="B66" s="16" t="s">
        <v>494</v>
      </c>
      <c r="D66" s="14">
        <v>1</v>
      </c>
      <c r="E66" s="14">
        <v>0.97531084511633814</v>
      </c>
      <c r="F66" s="14">
        <v>0.95040640432042167</v>
      </c>
      <c r="G66" s="14">
        <v>3.9225322923099411E-13</v>
      </c>
      <c r="H66" s="14">
        <v>70.080143419671231</v>
      </c>
      <c r="I66" s="14">
        <v>16.261830731569571</v>
      </c>
      <c r="J66" s="14">
        <v>0</v>
      </c>
      <c r="K66" s="14">
        <v>1.0521814620083918</v>
      </c>
      <c r="L66" s="14">
        <v>0.95040640432042167</v>
      </c>
      <c r="M66" s="14">
        <v>0.77980845474490601</v>
      </c>
      <c r="N66" s="14">
        <v>47.039607174702844</v>
      </c>
      <c r="O66" s="14">
        <v>15260.589359617097</v>
      </c>
      <c r="P66" s="8">
        <v>47.039607174702844</v>
      </c>
      <c r="Q66" s="54">
        <v>1.4331427011687561E-2</v>
      </c>
    </row>
    <row r="67" spans="1:17">
      <c r="A67" s="2" t="s">
        <v>495</v>
      </c>
      <c r="B67" s="16" t="s">
        <v>496</v>
      </c>
      <c r="D67" s="14">
        <v>1</v>
      </c>
      <c r="E67" s="14">
        <v>0.99773639844700446</v>
      </c>
      <c r="F67" s="14">
        <v>0.99798396655532251</v>
      </c>
      <c r="G67" s="14">
        <v>1.9048994328398787E-14</v>
      </c>
      <c r="H67" s="14">
        <v>0.38128815558001261</v>
      </c>
      <c r="I67" s="14">
        <v>0.192987803806355</v>
      </c>
      <c r="J67" s="14">
        <v>0</v>
      </c>
      <c r="K67" s="14">
        <v>1.0020201060460281</v>
      </c>
      <c r="L67" s="14">
        <v>0.99798396655532251</v>
      </c>
      <c r="M67" s="14">
        <v>0.81884584455864218</v>
      </c>
      <c r="N67" s="14">
        <v>1.2213467066814434</v>
      </c>
      <c r="O67" s="14">
        <v>382.79448480809799</v>
      </c>
      <c r="P67" s="8">
        <v>1.2213467066814434</v>
      </c>
      <c r="Q67" s="54">
        <v>1.4673369836294826E-3</v>
      </c>
    </row>
    <row r="68" spans="1:17">
      <c r="A68" s="2" t="s">
        <v>497</v>
      </c>
      <c r="B68" s="16" t="s">
        <v>498</v>
      </c>
      <c r="D68" s="14">
        <v>1</v>
      </c>
      <c r="E68" s="14">
        <v>0.99905365889160125</v>
      </c>
      <c r="F68" s="14">
        <v>0.99942609367052637</v>
      </c>
      <c r="G68" s="14">
        <v>1.7222767794918627E-13</v>
      </c>
      <c r="H68" s="14">
        <v>4.5335379161697081E-2</v>
      </c>
      <c r="I68" s="14">
        <v>3.2386569137558135E-2</v>
      </c>
      <c r="J68" s="14">
        <v>0</v>
      </c>
      <c r="K68" s="14">
        <v>1.0005742358870839</v>
      </c>
      <c r="L68" s="14">
        <v>0.99942609367052637</v>
      </c>
      <c r="M68" s="14">
        <v>0.82002910985666688</v>
      </c>
      <c r="N68" s="14">
        <v>0.92852744424651301</v>
      </c>
      <c r="O68" s="14">
        <v>252.8937347149803</v>
      </c>
      <c r="P68" s="8">
        <v>0.92852744424651312</v>
      </c>
      <c r="Q68" s="54">
        <v>5.927136698785164E-4</v>
      </c>
    </row>
    <row r="69" spans="1:17">
      <c r="A69" s="2" t="s">
        <v>499</v>
      </c>
      <c r="B69" s="16" t="s">
        <v>500</v>
      </c>
      <c r="D69" s="14">
        <v>1</v>
      </c>
      <c r="E69" s="14">
        <v>0.44695636799478716</v>
      </c>
      <c r="F69" s="14">
        <v>3.6067047513563842E-2</v>
      </c>
      <c r="G69" s="14">
        <v>4.0096002801395586E-13</v>
      </c>
      <c r="H69" s="14">
        <v>928.8863735472238</v>
      </c>
      <c r="I69" s="14">
        <v>2212.736820793968</v>
      </c>
      <c r="J69" s="14">
        <v>0</v>
      </c>
      <c r="K69" s="14">
        <v>27.726139757459404</v>
      </c>
      <c r="L69" s="14">
        <v>3.6067047513563849E-2</v>
      </c>
      <c r="M69" s="14">
        <v>2.9593012484879135E-2</v>
      </c>
      <c r="N69" s="14">
        <v>137.56386048883482</v>
      </c>
      <c r="O69" s="14">
        <v>59096.058827398541</v>
      </c>
      <c r="P69" s="8">
        <v>137.56386048883482</v>
      </c>
      <c r="Q69" s="54">
        <v>0.366479564550658</v>
      </c>
    </row>
    <row r="70" spans="1:17">
      <c r="A70" s="2" t="s">
        <v>501</v>
      </c>
      <c r="B70" s="16" t="s">
        <v>411</v>
      </c>
      <c r="D70" s="14">
        <v>1</v>
      </c>
      <c r="E70" s="14">
        <v>0.99987415079224518</v>
      </c>
      <c r="F70" s="14">
        <v>0.99716366134928924</v>
      </c>
      <c r="G70" s="14">
        <v>3.173181628473163E-15</v>
      </c>
      <c r="H70" s="14">
        <v>8.8077797004056197</v>
      </c>
      <c r="I70" s="14">
        <v>7.7503922550127211E-3</v>
      </c>
      <c r="J70" s="14">
        <v>0</v>
      </c>
      <c r="K70" s="14">
        <v>1.0028444063503807</v>
      </c>
      <c r="L70" s="14">
        <v>0.99716366134928924</v>
      </c>
      <c r="M70" s="14">
        <v>0.81817278413709182</v>
      </c>
      <c r="N70" s="14">
        <v>0.92022063903157059</v>
      </c>
      <c r="O70" s="14">
        <v>276.15821377337437</v>
      </c>
      <c r="P70" s="8">
        <v>0.9202206390315707</v>
      </c>
      <c r="Q70" s="54">
        <v>3.9293768587756791E-5</v>
      </c>
    </row>
    <row r="71" spans="1:17">
      <c r="A71" s="2" t="s">
        <v>502</v>
      </c>
      <c r="B71" s="16" t="s">
        <v>412</v>
      </c>
      <c r="D71" s="14">
        <v>1</v>
      </c>
      <c r="E71" s="14">
        <v>0.99984844792929084</v>
      </c>
      <c r="F71" s="14">
        <v>0.99431542909782866</v>
      </c>
      <c r="G71" s="14">
        <v>1.4852933339974568E-10</v>
      </c>
      <c r="H71" s="14">
        <v>16.826127619673464</v>
      </c>
      <c r="I71" s="14">
        <v>1.4158332519487622E-2</v>
      </c>
      <c r="J71" s="14">
        <v>0</v>
      </c>
      <c r="K71" s="14">
        <v>1.0057170699918929</v>
      </c>
      <c r="L71" s="14">
        <v>0.99431542909782866</v>
      </c>
      <c r="M71" s="14">
        <v>0.81583580957476842</v>
      </c>
      <c r="N71" s="14">
        <v>0.94996558697788647</v>
      </c>
      <c r="O71" s="14">
        <v>311.7312073667934</v>
      </c>
      <c r="P71" s="8">
        <v>0.94996558697788647</v>
      </c>
      <c r="Q71" s="54">
        <v>5.5158456887782344E-5</v>
      </c>
    </row>
    <row r="72" spans="1:17">
      <c r="A72" s="2" t="s">
        <v>503</v>
      </c>
      <c r="B72" s="16" t="s">
        <v>413</v>
      </c>
      <c r="D72" s="14">
        <v>1</v>
      </c>
      <c r="E72" s="14">
        <v>0.99443247902586607</v>
      </c>
      <c r="F72" s="14">
        <v>3.7574191799866728E-2</v>
      </c>
      <c r="G72" s="14">
        <v>1.8409335553921935E-11</v>
      </c>
      <c r="H72" s="14">
        <v>2718.3767553857083</v>
      </c>
      <c r="I72" s="14">
        <v>11.559408790077967</v>
      </c>
      <c r="J72" s="14">
        <v>0</v>
      </c>
      <c r="K72" s="14">
        <v>26.614012227497781</v>
      </c>
      <c r="L72" s="14">
        <v>3.7574191799866728E-2</v>
      </c>
      <c r="M72" s="14">
        <v>3.082962437179065E-2</v>
      </c>
      <c r="N72" s="14">
        <v>64.226120673759198</v>
      </c>
      <c r="O72" s="14">
        <v>29806.058082278167</v>
      </c>
      <c r="P72" s="8">
        <v>64.226120673759198</v>
      </c>
      <c r="Q72" s="54">
        <v>5.716571272463577E-4</v>
      </c>
    </row>
    <row r="73" spans="1:17">
      <c r="A73" s="2" t="s">
        <v>504</v>
      </c>
      <c r="B73" s="16" t="s">
        <v>414</v>
      </c>
      <c r="D73" s="14">
        <v>1</v>
      </c>
      <c r="E73" s="14">
        <v>0.9990123047753563</v>
      </c>
      <c r="F73" s="14">
        <v>0.27307981626965955</v>
      </c>
      <c r="G73" s="14">
        <v>1.8845951446844754E-11</v>
      </c>
      <c r="H73" s="14">
        <v>2063.4293422776341</v>
      </c>
      <c r="I73" s="14">
        <v>1.1043724818019871</v>
      </c>
      <c r="J73" s="14">
        <v>0</v>
      </c>
      <c r="K73" s="14">
        <v>3.6619330335733227</v>
      </c>
      <c r="L73" s="14">
        <v>0.27307981626965955</v>
      </c>
      <c r="M73" s="14">
        <v>0.22406198924925566</v>
      </c>
      <c r="N73" s="14">
        <v>6.1177816076133338</v>
      </c>
      <c r="O73" s="14">
        <v>1921.2893138709676</v>
      </c>
      <c r="P73" s="8">
        <v>6.1177816076133347</v>
      </c>
      <c r="Q73" s="54">
        <v>3.6317469173514038E-4</v>
      </c>
    </row>
    <row r="74" spans="1:17">
      <c r="A74" s="2" t="s">
        <v>505</v>
      </c>
      <c r="B74" s="16" t="s">
        <v>415</v>
      </c>
      <c r="D74" s="14">
        <v>1</v>
      </c>
      <c r="E74" s="14">
        <v>0.99985322577634728</v>
      </c>
      <c r="F74" s="14">
        <v>0.99488093230820596</v>
      </c>
      <c r="G74" s="14">
        <v>1.8273408934608431E-11</v>
      </c>
      <c r="H74" s="14">
        <v>15.233198711808955</v>
      </c>
      <c r="I74" s="14">
        <v>1.2874106039249713E-2</v>
      </c>
      <c r="J74" s="14">
        <v>0</v>
      </c>
      <c r="K74" s="14">
        <v>1.0051454073804766</v>
      </c>
      <c r="L74" s="14">
        <v>0.99488093230820596</v>
      </c>
      <c r="M74" s="14">
        <v>0.81629980495888299</v>
      </c>
      <c r="N74" s="14">
        <v>0.94415409222942559</v>
      </c>
      <c r="O74" s="14">
        <v>202.08674190078625</v>
      </c>
      <c r="P74" s="8">
        <v>0.94415409222942559</v>
      </c>
      <c r="Q74" s="54">
        <v>5.2229645955196109E-5</v>
      </c>
    </row>
    <row r="75" spans="1:17">
      <c r="A75" s="2" t="s">
        <v>506</v>
      </c>
      <c r="B75" s="16" t="s">
        <v>416</v>
      </c>
      <c r="D75" s="14">
        <v>1</v>
      </c>
      <c r="E75" s="14">
        <v>0.99900877615351158</v>
      </c>
      <c r="F75" s="14">
        <v>0.30915794820562437</v>
      </c>
      <c r="G75" s="14">
        <v>7.7390719136399833E-11</v>
      </c>
      <c r="H75" s="14">
        <v>1960.9224395770609</v>
      </c>
      <c r="I75" s="14">
        <v>1.0631300427013248</v>
      </c>
      <c r="J75" s="14">
        <v>0</v>
      </c>
      <c r="K75" s="14">
        <v>3.2345925628115793</v>
      </c>
      <c r="L75" s="14">
        <v>0.30915794820562437</v>
      </c>
      <c r="M75" s="14">
        <v>0.25366409650271482</v>
      </c>
      <c r="N75" s="14">
        <v>5.9211817881733886</v>
      </c>
      <c r="O75" s="14">
        <v>2451.7837430289546</v>
      </c>
      <c r="P75" s="8">
        <v>5.9211817881733886</v>
      </c>
      <c r="Q75" s="54">
        <v>3.7530676342768479E-4</v>
      </c>
    </row>
    <row r="76" spans="1:17">
      <c r="A76" s="2" t="s">
        <v>507</v>
      </c>
      <c r="B76" s="16" t="s">
        <v>417</v>
      </c>
      <c r="D76" s="14">
        <v>1</v>
      </c>
      <c r="E76" s="14">
        <v>0.99950855514050085</v>
      </c>
      <c r="F76" s="14">
        <v>0.89056969110494366</v>
      </c>
      <c r="G76" s="14">
        <v>4.9115205334430418E-10</v>
      </c>
      <c r="H76" s="14">
        <v>310.59031603297308</v>
      </c>
      <c r="I76" s="14">
        <v>0.20912976042903317</v>
      </c>
      <c r="J76" s="14">
        <v>0</v>
      </c>
      <c r="K76" s="14">
        <v>1.1228767495548657</v>
      </c>
      <c r="L76" s="14">
        <v>0.89056969110494366</v>
      </c>
      <c r="M76" s="14">
        <v>0.73071243155160626</v>
      </c>
      <c r="N76" s="14">
        <v>1.8659708109597219</v>
      </c>
      <c r="O76" s="14">
        <v>798.95272212862415</v>
      </c>
      <c r="P76" s="8">
        <v>1.8659708109597222</v>
      </c>
      <c r="Q76" s="54">
        <v>2.3911996581595996E-4</v>
      </c>
    </row>
    <row r="77" spans="1:17">
      <c r="A77" s="2" t="s">
        <v>508</v>
      </c>
      <c r="B77" s="16" t="s">
        <v>418</v>
      </c>
      <c r="D77" s="14">
        <v>1</v>
      </c>
      <c r="E77" s="14">
        <v>0.99900912732643798</v>
      </c>
      <c r="F77" s="14">
        <v>0.28311611490045763</v>
      </c>
      <c r="G77" s="14">
        <v>5.7646460059893937E-10</v>
      </c>
      <c r="H77" s="14">
        <v>2034.9071136799985</v>
      </c>
      <c r="I77" s="14">
        <v>1.0964088169078734</v>
      </c>
      <c r="J77" s="14">
        <v>0</v>
      </c>
      <c r="K77" s="14">
        <v>3.5321196758849123</v>
      </c>
      <c r="L77" s="14">
        <v>0.28311611490045763</v>
      </c>
      <c r="M77" s="14">
        <v>0.23229677227582551</v>
      </c>
      <c r="N77" s="14">
        <v>6.0643554327939126</v>
      </c>
      <c r="O77" s="14">
        <v>3203.0712524930887</v>
      </c>
      <c r="P77" s="8">
        <v>6.0643554327939135</v>
      </c>
      <c r="Q77" s="54">
        <v>3.6793620052029706E-4</v>
      </c>
    </row>
    <row r="78" spans="1:17">
      <c r="A78" s="2" t="s">
        <v>509</v>
      </c>
      <c r="B78" s="16" t="s">
        <v>419</v>
      </c>
      <c r="D78" s="14">
        <v>1</v>
      </c>
      <c r="E78" s="14">
        <v>0.99525552895256375</v>
      </c>
      <c r="F78" s="14">
        <v>4.1553472825172182E-2</v>
      </c>
      <c r="G78" s="14">
        <v>7.3796504577652409E-11</v>
      </c>
      <c r="H78" s="14">
        <v>2709.6133647488168</v>
      </c>
      <c r="I78" s="14">
        <v>9.6812915793165484</v>
      </c>
      <c r="J78" s="14">
        <v>0</v>
      </c>
      <c r="K78" s="14">
        <v>24.065377259977698</v>
      </c>
      <c r="L78" s="14">
        <v>4.1553472825172189E-2</v>
      </c>
      <c r="M78" s="14">
        <v>3.4094624453053779E-2</v>
      </c>
      <c r="N78" s="14">
        <v>53.652651942984015</v>
      </c>
      <c r="O78" s="14">
        <v>30264.924434517856</v>
      </c>
      <c r="P78" s="8">
        <v>53.652651942984015</v>
      </c>
      <c r="Q78" s="54">
        <v>5.4067127936049573E-4</v>
      </c>
    </row>
    <row r="79" spans="1:17">
      <c r="A79" s="2" t="s">
        <v>510</v>
      </c>
      <c r="B79" s="16" t="s">
        <v>420</v>
      </c>
      <c r="D79" s="14">
        <v>1</v>
      </c>
      <c r="E79" s="14">
        <v>0.99525566827583845</v>
      </c>
      <c r="F79" s="14">
        <v>4.1553481072935328E-2</v>
      </c>
      <c r="G79" s="14">
        <v>1.8536848461553378E-15</v>
      </c>
      <c r="H79" s="14">
        <v>2709.6139025678654</v>
      </c>
      <c r="I79" s="14">
        <v>9.6797613812316268</v>
      </c>
      <c r="J79" s="14">
        <v>0</v>
      </c>
      <c r="K79" s="14">
        <v>24.065372483349449</v>
      </c>
      <c r="L79" s="14">
        <v>4.1553481072935328E-2</v>
      </c>
      <c r="M79" s="14">
        <v>3.4094631220343438E-2</v>
      </c>
      <c r="N79" s="14">
        <v>53.652569238358524</v>
      </c>
      <c r="O79" s="14">
        <v>26833.25945318025</v>
      </c>
      <c r="P79" s="8">
        <v>53.652569238358524</v>
      </c>
      <c r="Q79" s="54">
        <v>5.4058582235824845E-4</v>
      </c>
    </row>
    <row r="80" spans="1:17">
      <c r="A80" s="2" t="s">
        <v>511</v>
      </c>
      <c r="B80" s="16" t="s">
        <v>421</v>
      </c>
      <c r="D80" s="14">
        <v>1</v>
      </c>
      <c r="E80" s="14">
        <v>0.99918742793567294</v>
      </c>
      <c r="F80" s="14">
        <v>0.66727769920649715</v>
      </c>
      <c r="G80" s="14">
        <v>8.6939087312272335E-11</v>
      </c>
      <c r="H80" s="14">
        <v>944.03177139854984</v>
      </c>
      <c r="I80" s="14">
        <v>0.57162680443924696</v>
      </c>
      <c r="J80" s="14">
        <v>0</v>
      </c>
      <c r="K80" s="14">
        <v>1.4986264357240835</v>
      </c>
      <c r="L80" s="14">
        <v>0.66727769920649715</v>
      </c>
      <c r="M80" s="14">
        <v>0.54750135219893092</v>
      </c>
      <c r="N80" s="14">
        <v>3.5852807881469047</v>
      </c>
      <c r="O80" s="14">
        <v>1305.2573237327622</v>
      </c>
      <c r="P80" s="8">
        <v>3.5852807881469051</v>
      </c>
      <c r="Q80" s="54">
        <v>3.7060611876919966E-4</v>
      </c>
    </row>
    <row r="81" spans="1:17">
      <c r="A81" s="2" t="s">
        <v>512</v>
      </c>
      <c r="B81" s="16" t="s">
        <v>422</v>
      </c>
      <c r="D81" s="14">
        <v>1</v>
      </c>
      <c r="E81" s="14">
        <v>0.99975153555850216</v>
      </c>
      <c r="F81" s="14">
        <v>0.97654415177384213</v>
      </c>
      <c r="G81" s="14">
        <v>3.4461989789764068E-11</v>
      </c>
      <c r="H81" s="14">
        <v>67.036585199663776</v>
      </c>
      <c r="I81" s="14">
        <v>5.0726845730797353E-2</v>
      </c>
      <c r="J81" s="14">
        <v>0</v>
      </c>
      <c r="K81" s="14">
        <v>1.0240192398710815</v>
      </c>
      <c r="L81" s="14">
        <v>0.97654415177384224</v>
      </c>
      <c r="M81" s="14">
        <v>0.80125447653043758</v>
      </c>
      <c r="N81" s="14">
        <v>1.1217877921892869</v>
      </c>
      <c r="O81" s="14">
        <v>296.2080665275812</v>
      </c>
      <c r="P81" s="8">
        <v>1.1217877921892869</v>
      </c>
      <c r="Q81" s="54">
        <v>1.1205670760517927E-4</v>
      </c>
    </row>
    <row r="82" spans="1:17">
      <c r="A82" s="2" t="s">
        <v>513</v>
      </c>
      <c r="B82" s="16" t="s">
        <v>423</v>
      </c>
      <c r="D82" s="14">
        <v>1</v>
      </c>
      <c r="E82" s="14">
        <v>0.99962784733646137</v>
      </c>
      <c r="F82" s="14">
        <v>0.93979753773824648</v>
      </c>
      <c r="G82" s="14">
        <v>1.104136560241804E-14</v>
      </c>
      <c r="H82" s="14">
        <v>171.0780545100061</v>
      </c>
      <c r="I82" s="14">
        <v>0.12046240858521538</v>
      </c>
      <c r="J82" s="14">
        <v>0</v>
      </c>
      <c r="K82" s="14">
        <v>1.0640589699847895</v>
      </c>
      <c r="L82" s="14">
        <v>0.93979753773824648</v>
      </c>
      <c r="M82" s="14">
        <v>0.77110387971423122</v>
      </c>
      <c r="N82" s="14">
        <v>1.450364183392824</v>
      </c>
      <c r="O82" s="14">
        <v>580.30521341730275</v>
      </c>
      <c r="P82" s="8">
        <v>1.450364183392824</v>
      </c>
      <c r="Q82" s="54">
        <v>1.7924685416914713E-4</v>
      </c>
    </row>
    <row r="83" spans="1:17">
      <c r="A83" s="2" t="s">
        <v>514</v>
      </c>
      <c r="B83" s="16" t="s">
        <v>424</v>
      </c>
      <c r="D83" s="14">
        <v>1</v>
      </c>
      <c r="E83" s="14">
        <v>0.99129495637799525</v>
      </c>
      <c r="F83" s="14">
        <v>2.8406260763230943E-2</v>
      </c>
      <c r="G83" s="14">
        <v>2.6640510046815594E-11</v>
      </c>
      <c r="H83" s="14">
        <v>2734.7275730501196</v>
      </c>
      <c r="I83" s="14">
        <v>18.768952881738322</v>
      </c>
      <c r="J83" s="14">
        <v>0</v>
      </c>
      <c r="K83" s="14">
        <v>35.203507013298974</v>
      </c>
      <c r="L83" s="14">
        <v>2.8406260763230943E-2</v>
      </c>
      <c r="M83" s="14">
        <v>2.3307336956230988E-2</v>
      </c>
      <c r="N83" s="14">
        <v>105.04382736078004</v>
      </c>
      <c r="O83" s="14">
        <v>54000.930769629806</v>
      </c>
      <c r="P83" s="8">
        <v>105.04382736078004</v>
      </c>
      <c r="Q83" s="54">
        <v>6.6441594150556341E-4</v>
      </c>
    </row>
    <row r="84" spans="1:17">
      <c r="A84" s="2" t="s">
        <v>403</v>
      </c>
      <c r="B84" s="16" t="s">
        <v>404</v>
      </c>
      <c r="D84" s="14">
        <v>1</v>
      </c>
      <c r="E84" s="14">
        <v>0.49028227436685345</v>
      </c>
      <c r="F84" s="14">
        <v>0.43274935188967523</v>
      </c>
      <c r="G84" s="14">
        <v>7.5419719666644784E-46</v>
      </c>
      <c r="H84" s="14">
        <v>133.18534073494914</v>
      </c>
      <c r="I84" s="14">
        <v>285.30776842985216</v>
      </c>
      <c r="J84" s="14">
        <v>0</v>
      </c>
      <c r="K84" s="14">
        <v>2.3108064648354207</v>
      </c>
      <c r="L84" s="14">
        <v>0.43274935188967523</v>
      </c>
      <c r="M84" s="14">
        <v>0.35507084322547855</v>
      </c>
      <c r="N84" s="14">
        <v>17.860037276838707</v>
      </c>
      <c r="O84" s="14">
        <v>21478.659429498992</v>
      </c>
      <c r="P84" s="8">
        <v>17.860037276838707</v>
      </c>
      <c r="Q84" s="54">
        <v>0.34317338370297679</v>
      </c>
    </row>
    <row r="85" spans="1:17">
      <c r="A85" s="2" t="s">
        <v>405</v>
      </c>
      <c r="B85" s="16" t="s">
        <v>406</v>
      </c>
      <c r="D85" s="14">
        <v>1</v>
      </c>
      <c r="E85" s="14">
        <v>0.74725268055543548</v>
      </c>
      <c r="F85" s="14">
        <v>0.28229733274016316</v>
      </c>
      <c r="G85" s="14">
        <v>8.5619736844450461E-10</v>
      </c>
      <c r="H85" s="14">
        <v>1256.140118087405</v>
      </c>
      <c r="I85" s="14">
        <v>608.02788051566188</v>
      </c>
      <c r="J85" s="14">
        <v>0</v>
      </c>
      <c r="K85" s="14">
        <v>3.542364323082134</v>
      </c>
      <c r="L85" s="14">
        <v>0.28229733274016316</v>
      </c>
      <c r="M85" s="14">
        <v>0.23162496151330389</v>
      </c>
      <c r="N85" s="14">
        <v>2255.8806167838661</v>
      </c>
      <c r="O85" s="14">
        <v>719310.09346770355</v>
      </c>
      <c r="P85" s="8">
        <v>2255.8806167838661</v>
      </c>
      <c r="Q85" s="54">
        <v>5.8684511510901406E-2</v>
      </c>
    </row>
    <row r="86" spans="1:17">
      <c r="A86" s="2" t="s">
        <v>407</v>
      </c>
      <c r="B86" s="16" t="s">
        <v>408</v>
      </c>
      <c r="D86" s="14">
        <v>1</v>
      </c>
      <c r="E86" s="14">
        <v>0.54550422186131609</v>
      </c>
      <c r="F86" s="14">
        <v>2.1432907793615388E-3</v>
      </c>
      <c r="G86" s="14">
        <v>1.7205590538515609E-6</v>
      </c>
      <c r="H86" s="14">
        <v>294.26668416121947</v>
      </c>
      <c r="I86" s="14">
        <v>11574.394117556541</v>
      </c>
      <c r="J86" s="14">
        <v>0</v>
      </c>
      <c r="K86" s="14">
        <v>466.57224937900787</v>
      </c>
      <c r="L86" s="14">
        <v>2.1432907793615388E-3</v>
      </c>
      <c r="M86" s="14">
        <v>1.7585700844661425E-3</v>
      </c>
      <c r="N86" s="14">
        <v>730.12046129666646</v>
      </c>
      <c r="O86" s="14">
        <v>354685.21889330761</v>
      </c>
      <c r="P86" s="8">
        <v>730.12046129666646</v>
      </c>
      <c r="Q86" s="54">
        <v>0.27045702489500933</v>
      </c>
    </row>
    <row r="87" spans="1:17">
      <c r="A87" s="2" t="s">
        <v>409</v>
      </c>
      <c r="B87" s="16" t="s">
        <v>410</v>
      </c>
      <c r="D87" s="14">
        <v>1</v>
      </c>
      <c r="E87" s="14">
        <v>0.62583206705380667</v>
      </c>
      <c r="F87" s="14">
        <v>8.4019347233601799E-4</v>
      </c>
      <c r="G87" s="14">
        <v>2.4100596449121239E-7</v>
      </c>
      <c r="H87" s="14">
        <v>179.39044330111653</v>
      </c>
      <c r="I87" s="14">
        <v>14786.196514511292</v>
      </c>
      <c r="J87" s="14">
        <v>0</v>
      </c>
      <c r="K87" s="14">
        <v>1190.2020581279528</v>
      </c>
      <c r="L87" s="14">
        <v>8.401934723360181E-4</v>
      </c>
      <c r="M87" s="14">
        <v>6.8937874405170288E-4</v>
      </c>
      <c r="N87" s="14">
        <v>936.43587770257238</v>
      </c>
      <c r="O87" s="14">
        <v>528795.97577986564</v>
      </c>
      <c r="P87" s="8">
        <v>936.4358777025725</v>
      </c>
      <c r="Q87" s="54">
        <v>0.20608978864381863</v>
      </c>
    </row>
    <row r="88" spans="1:17">
      <c r="A88" s="2" t="s">
        <v>301</v>
      </c>
      <c r="B88" s="16" t="s">
        <v>302</v>
      </c>
      <c r="D88" s="14">
        <v>1</v>
      </c>
      <c r="E88" s="14">
        <v>0.71163576280283558</v>
      </c>
      <c r="F88" s="14">
        <v>2.6473812636644827E-4</v>
      </c>
      <c r="G88" s="14">
        <v>3.3415270304001407E-8</v>
      </c>
      <c r="H88" s="14">
        <v>93.393465515057116</v>
      </c>
      <c r="I88" s="14">
        <v>17855.567657241121</v>
      </c>
      <c r="J88" s="14">
        <v>0</v>
      </c>
      <c r="K88" s="14">
        <v>3777.3176600026568</v>
      </c>
      <c r="L88" s="14">
        <v>2.6473812636644827E-4</v>
      </c>
      <c r="M88" s="14">
        <v>2.1721763268367083E-4</v>
      </c>
      <c r="N88" s="14">
        <v>1135.9895156321506</v>
      </c>
      <c r="O88" s="14">
        <v>731100.13247053954</v>
      </c>
      <c r="P88" s="8">
        <v>1135.9895156321506</v>
      </c>
      <c r="Q88" s="54">
        <v>0.13828455028611489</v>
      </c>
    </row>
    <row r="89" spans="1:17">
      <c r="A89" s="2" t="s">
        <v>303</v>
      </c>
      <c r="B89" s="16" t="s">
        <v>304</v>
      </c>
      <c r="D89" s="14">
        <v>1</v>
      </c>
      <c r="E89" s="14">
        <v>0.28288957122806374</v>
      </c>
      <c r="F89" s="14">
        <v>6.7366143148649884E-3</v>
      </c>
      <c r="G89" s="14">
        <v>9.7009875222157173E-15</v>
      </c>
      <c r="H89" s="14">
        <v>217.97678963654303</v>
      </c>
      <c r="I89" s="14">
        <v>5249.0165644526842</v>
      </c>
      <c r="J89" s="14">
        <v>0</v>
      </c>
      <c r="K89" s="14">
        <v>148.44251923305205</v>
      </c>
      <c r="L89" s="14">
        <v>6.7366143148649893E-3</v>
      </c>
      <c r="M89" s="14">
        <v>5.5273920453467237E-3</v>
      </c>
      <c r="N89" s="14">
        <v>8611.9172603070692</v>
      </c>
      <c r="O89" s="14">
        <v>5557356.3272487549</v>
      </c>
      <c r="P89" s="8">
        <v>8611.9172603070692</v>
      </c>
      <c r="Q89" s="54">
        <v>5.6790794343483157E-2</v>
      </c>
    </row>
    <row r="90" spans="1:17">
      <c r="A90" s="2" t="s">
        <v>425</v>
      </c>
      <c r="B90" s="16" t="s">
        <v>426</v>
      </c>
      <c r="D90" s="14">
        <v>1</v>
      </c>
      <c r="E90" s="14">
        <v>0.97486940629652963</v>
      </c>
      <c r="F90" s="14">
        <v>0.97512741666882619</v>
      </c>
      <c r="G90" s="14">
        <v>1.7762243554190215E-15</v>
      </c>
      <c r="H90" s="14">
        <v>0.25987312400493356</v>
      </c>
      <c r="I90" s="14">
        <v>0.80788262809515299</v>
      </c>
      <c r="J90" s="14">
        <v>0</v>
      </c>
      <c r="K90" s="14">
        <v>1.0255070085262723</v>
      </c>
      <c r="L90" s="14">
        <v>0.9751274166688263</v>
      </c>
      <c r="M90" s="14">
        <v>0.80009204537677192</v>
      </c>
      <c r="N90" s="14">
        <v>0.9106577201010333</v>
      </c>
      <c r="O90" s="14">
        <v>252.48895947521248</v>
      </c>
      <c r="P90" s="8">
        <v>0.91065772010103341</v>
      </c>
      <c r="Q90" s="54">
        <v>1.6917970743596144E-2</v>
      </c>
    </row>
    <row r="91" spans="1:17">
      <c r="A91" s="2" t="s">
        <v>427</v>
      </c>
      <c r="B91" s="16" t="s">
        <v>428</v>
      </c>
      <c r="D91" s="14">
        <v>1</v>
      </c>
      <c r="E91" s="14">
        <v>0.77350990074434678</v>
      </c>
      <c r="F91" s="14">
        <v>0.76630209656066117</v>
      </c>
      <c r="G91" s="14">
        <v>9.7563753767105776E-7</v>
      </c>
      <c r="H91" s="14">
        <v>16.65175505170102</v>
      </c>
      <c r="I91" s="14">
        <v>43.36278672679849</v>
      </c>
      <c r="J91" s="14">
        <v>0</v>
      </c>
      <c r="K91" s="14">
        <v>1.3049683727712977</v>
      </c>
      <c r="L91" s="14">
        <v>0.76630209656066128</v>
      </c>
      <c r="M91" s="14">
        <v>0.62875087022802256</v>
      </c>
      <c r="N91" s="14">
        <v>3.3133773069296044</v>
      </c>
      <c r="O91" s="14">
        <v>547.33679733170129</v>
      </c>
      <c r="P91" s="8">
        <v>3.3133773069296044</v>
      </c>
      <c r="Q91" s="54">
        <v>0.15265716208551228</v>
      </c>
    </row>
    <row r="92" spans="1:17">
      <c r="A92" s="2" t="s">
        <v>429</v>
      </c>
      <c r="B92" s="16" t="s">
        <v>430</v>
      </c>
      <c r="D92" s="14">
        <v>1</v>
      </c>
      <c r="E92" s="14">
        <v>0.39125403059681607</v>
      </c>
      <c r="F92" s="14">
        <v>0.26845146015181881</v>
      </c>
      <c r="G92" s="14">
        <v>1.1833528421382506E-5</v>
      </c>
      <c r="H92" s="14">
        <v>288.46011379645478</v>
      </c>
      <c r="I92" s="14">
        <v>563.56360852837281</v>
      </c>
      <c r="J92" s="14">
        <v>0</v>
      </c>
      <c r="K92" s="14">
        <v>3.7250682094798986</v>
      </c>
      <c r="L92" s="14">
        <v>0.26845146015181881</v>
      </c>
      <c r="M92" s="14">
        <v>0.22026442305456734</v>
      </c>
      <c r="N92" s="14">
        <v>34.887217264281588</v>
      </c>
      <c r="O92" s="14">
        <v>6288.072039714114</v>
      </c>
      <c r="P92" s="8">
        <v>34.887217264281595</v>
      </c>
      <c r="Q92" s="54">
        <v>0.40845380042902596</v>
      </c>
    </row>
    <row r="93" spans="1:17">
      <c r="A93" s="2" t="s">
        <v>431</v>
      </c>
      <c r="B93" s="16" t="s">
        <v>432</v>
      </c>
      <c r="D93" s="14">
        <v>1</v>
      </c>
      <c r="E93" s="14">
        <v>0.99978149980562758</v>
      </c>
      <c r="F93" s="14">
        <v>0.99973455188443894</v>
      </c>
      <c r="G93" s="14">
        <v>1.3397924361892353E-19</v>
      </c>
      <c r="H93" s="14">
        <v>1.2401513833351312</v>
      </c>
      <c r="I93" s="14">
        <v>9.1993732256463508E-3</v>
      </c>
      <c r="J93" s="14">
        <v>0</v>
      </c>
      <c r="K93" s="14">
        <v>1.0002655185969722</v>
      </c>
      <c r="L93" s="14">
        <v>0.99973455188443905</v>
      </c>
      <c r="M93" s="14">
        <v>0.82028219982118222</v>
      </c>
      <c r="N93" s="14">
        <v>0.8903775103370799</v>
      </c>
      <c r="O93" s="14">
        <v>346.25890999498699</v>
      </c>
      <c r="P93" s="8">
        <v>0.8903775103370799</v>
      </c>
      <c r="Q93" s="54">
        <v>1.0331377696968727E-4</v>
      </c>
    </row>
    <row r="94" spans="1:17">
      <c r="A94" s="2" t="s">
        <v>433</v>
      </c>
      <c r="B94" s="16" t="s">
        <v>434</v>
      </c>
      <c r="D94" s="14">
        <v>1</v>
      </c>
      <c r="E94" s="14">
        <v>0.99993068299886967</v>
      </c>
      <c r="F94" s="14">
        <v>1.0003189534727281</v>
      </c>
      <c r="G94" s="14">
        <v>2.8207005635617051E-20</v>
      </c>
      <c r="H94" s="14">
        <v>4.8076018972796107E-3</v>
      </c>
      <c r="I94" s="14">
        <v>6.2113464714330215E-5</v>
      </c>
      <c r="J94" s="14">
        <v>0</v>
      </c>
      <c r="K94" s="14">
        <v>0.99968114822615217</v>
      </c>
      <c r="L94" s="14">
        <v>1.0003189534727284</v>
      </c>
      <c r="M94" s="14">
        <v>0.82076170132437354</v>
      </c>
      <c r="N94" s="14">
        <v>0.89060835205468714</v>
      </c>
      <c r="O94" s="14">
        <v>159.63264102228212</v>
      </c>
      <c r="P94" s="8">
        <v>0.89060835205468714</v>
      </c>
      <c r="Q94" s="54">
        <v>2.6036688966174129E-6</v>
      </c>
    </row>
    <row r="95" spans="1:17">
      <c r="A95" s="2" t="s">
        <v>435</v>
      </c>
      <c r="B95" s="16" t="s">
        <v>436</v>
      </c>
      <c r="D95" s="14">
        <v>1</v>
      </c>
      <c r="E95" s="14">
        <v>0.94193339450585312</v>
      </c>
      <c r="F95" s="14">
        <v>0.94179655480076518</v>
      </c>
      <c r="G95" s="14">
        <v>1.5157137248477798E-10</v>
      </c>
      <c r="H95" s="14">
        <v>1.0635548384087008</v>
      </c>
      <c r="I95" s="14">
        <v>3.4154878859396898</v>
      </c>
      <c r="J95" s="14">
        <v>0</v>
      </c>
      <c r="K95" s="14">
        <v>1.0618004439520885</v>
      </c>
      <c r="L95" s="14">
        <v>0.94179655480076518</v>
      </c>
      <c r="M95" s="14">
        <v>0.77274407321402783</v>
      </c>
      <c r="N95" s="14">
        <v>1.0495730383679303</v>
      </c>
      <c r="O95" s="14">
        <v>274.03302458748288</v>
      </c>
      <c r="P95" s="8">
        <v>1.0495730383679303</v>
      </c>
      <c r="Q95" s="54">
        <v>3.9142877558222239E-2</v>
      </c>
    </row>
    <row r="96" spans="1:17">
      <c r="A96" s="2" t="s">
        <v>437</v>
      </c>
      <c r="B96" s="166" t="s">
        <v>438</v>
      </c>
      <c r="D96" s="14">
        <v>1</v>
      </c>
      <c r="E96" s="14">
        <v>0.5179782909208247</v>
      </c>
      <c r="F96" s="14">
        <v>2.9747150755930082E-3</v>
      </c>
      <c r="G96" s="14">
        <v>3.068272037097514E-9</v>
      </c>
      <c r="H96" s="14">
        <v>346.46979126997837</v>
      </c>
      <c r="I96" s="14">
        <v>10344.810635466516</v>
      </c>
      <c r="J96" s="14">
        <v>0</v>
      </c>
      <c r="K96" s="14">
        <v>336.16664943974524</v>
      </c>
      <c r="L96" s="14">
        <v>2.9747150755930082E-3</v>
      </c>
      <c r="M96" s="14">
        <v>2.4407537195240635E-3</v>
      </c>
      <c r="N96" s="14">
        <v>651.59807374758589</v>
      </c>
      <c r="O96" s="14">
        <v>271260.27810112003</v>
      </c>
      <c r="P96" s="8">
        <v>651.598073747586</v>
      </c>
      <c r="Q96" s="54">
        <v>0.29303705779711497</v>
      </c>
    </row>
    <row r="97" spans="1:17">
      <c r="A97" s="2" t="s">
        <v>439</v>
      </c>
      <c r="B97" s="16" t="s">
        <v>440</v>
      </c>
      <c r="D97" s="14">
        <v>1</v>
      </c>
      <c r="E97" s="14">
        <v>0.69481695316689296</v>
      </c>
      <c r="F97" s="14">
        <v>0.68043170758206151</v>
      </c>
      <c r="G97" s="14">
        <v>5.0071780056103779E-7</v>
      </c>
      <c r="H97" s="14">
        <v>32.912778209610586</v>
      </c>
      <c r="I97" s="14">
        <v>80.80192622226248</v>
      </c>
      <c r="J97" s="14">
        <v>0</v>
      </c>
      <c r="K97" s="14">
        <v>1.4696552039785682</v>
      </c>
      <c r="L97" s="14">
        <v>0.68043170758206151</v>
      </c>
      <c r="M97" s="14">
        <v>0.55829421607108143</v>
      </c>
      <c r="N97" s="14">
        <v>5.5247217535084605</v>
      </c>
      <c r="O97" s="14">
        <v>1056.7135297935633</v>
      </c>
      <c r="P97" s="8">
        <v>5.5247217535084605</v>
      </c>
      <c r="Q97" s="54">
        <v>0.20569404274796713</v>
      </c>
    </row>
    <row r="98" spans="1:17">
      <c r="A98" s="2" t="s">
        <v>441</v>
      </c>
      <c r="B98" s="16" t="s">
        <v>442</v>
      </c>
      <c r="D98" s="14">
        <v>1</v>
      </c>
      <c r="E98" s="14">
        <v>0.75986404076331404</v>
      </c>
      <c r="F98" s="14">
        <v>0.7516230908363839</v>
      </c>
      <c r="G98" s="14">
        <v>3.2452533089539324E-19</v>
      </c>
      <c r="H98" s="14">
        <v>18.976674734210132</v>
      </c>
      <c r="I98" s="14">
        <v>48.873932478349936</v>
      </c>
      <c r="J98" s="14">
        <v>0</v>
      </c>
      <c r="K98" s="14">
        <v>1.3304540695885616</v>
      </c>
      <c r="L98" s="14">
        <v>0.7516230908363839</v>
      </c>
      <c r="M98" s="14">
        <v>0.61670674603125297</v>
      </c>
      <c r="N98" s="14">
        <v>3.6367043004945727</v>
      </c>
      <c r="O98" s="14">
        <v>1427.2609697720998</v>
      </c>
      <c r="P98" s="8">
        <v>3.6367043004945727</v>
      </c>
      <c r="Q98" s="54">
        <v>0.16191134649265473</v>
      </c>
    </row>
    <row r="99" spans="1:17">
      <c r="A99" s="2" t="s">
        <v>443</v>
      </c>
      <c r="B99" s="16" t="s">
        <v>444</v>
      </c>
      <c r="D99" s="14">
        <v>1</v>
      </c>
      <c r="E99" s="14">
        <v>0.88113279418419865</v>
      </c>
      <c r="F99" s="14">
        <v>0.87950469765417805</v>
      </c>
      <c r="G99" s="14">
        <v>4.7372537818287405E-31</v>
      </c>
      <c r="H99" s="14">
        <v>4.2628314721061917</v>
      </c>
      <c r="I99" s="14">
        <v>12.398105689691482</v>
      </c>
      <c r="J99" s="14">
        <v>0</v>
      </c>
      <c r="K99" s="14">
        <v>1.1370035915296508</v>
      </c>
      <c r="L99" s="14">
        <v>0.87950469765417805</v>
      </c>
      <c r="M99" s="14">
        <v>0.72163360442525315</v>
      </c>
      <c r="N99" s="14">
        <v>1.5278842466135698</v>
      </c>
      <c r="O99" s="14">
        <v>1193.1859235504012</v>
      </c>
      <c r="P99" s="8">
        <v>1.5278842466135698</v>
      </c>
      <c r="Q99" s="54">
        <v>8.0159561768480769E-2</v>
      </c>
    </row>
    <row r="100" spans="1:17">
      <c r="A100" s="2" t="s">
        <v>445</v>
      </c>
      <c r="B100" s="16" t="s">
        <v>446</v>
      </c>
      <c r="D100" s="14">
        <v>1</v>
      </c>
      <c r="E100" s="14">
        <v>0.42948240984390024</v>
      </c>
      <c r="F100" s="14">
        <v>1.603960403055878E-2</v>
      </c>
      <c r="G100" s="14">
        <v>2.6423000339556068E-9</v>
      </c>
      <c r="H100" s="14">
        <v>714.58458381777086</v>
      </c>
      <c r="I100" s="14">
        <v>4263.9373347929532</v>
      </c>
      <c r="J100" s="14">
        <v>0</v>
      </c>
      <c r="K100" s="14">
        <v>62.345678739624255</v>
      </c>
      <c r="L100" s="14">
        <v>1.603960403055878E-2</v>
      </c>
      <c r="M100" s="14">
        <v>1.316049510707348E-2</v>
      </c>
      <c r="N100" s="14">
        <v>266.31131414872561</v>
      </c>
      <c r="O100" s="14">
        <v>81597.786655169519</v>
      </c>
      <c r="P100" s="8">
        <v>266.31131414872561</v>
      </c>
      <c r="Q100" s="54">
        <v>0.37188684276243666</v>
      </c>
    </row>
    <row r="101" spans="1:17">
      <c r="A101" s="2" t="s">
        <v>447</v>
      </c>
      <c r="B101" s="16" t="s">
        <v>448</v>
      </c>
      <c r="D101" s="14">
        <v>1</v>
      </c>
      <c r="E101" s="14">
        <v>0.42139715358064728</v>
      </c>
      <c r="F101" s="14">
        <v>0.32766354348408228</v>
      </c>
      <c r="G101" s="14">
        <v>9.0894292022603956E-11</v>
      </c>
      <c r="H101" s="14">
        <v>218.93143494736071</v>
      </c>
      <c r="I101" s="14">
        <v>442.96079948624811</v>
      </c>
      <c r="J101" s="14">
        <v>0</v>
      </c>
      <c r="K101" s="14">
        <v>3.0519110834452028</v>
      </c>
      <c r="L101" s="14">
        <v>0.32766354348408233</v>
      </c>
      <c r="M101" s="14">
        <v>0.26884793742868951</v>
      </c>
      <c r="N101" s="14">
        <v>27.486427373182277</v>
      </c>
      <c r="O101" s="14">
        <v>9257.9784678352553</v>
      </c>
      <c r="P101" s="8">
        <v>27.486427373182281</v>
      </c>
      <c r="Q101" s="54">
        <v>0.38919324543318279</v>
      </c>
    </row>
    <row r="102" spans="1:17">
      <c r="A102" s="2" t="s">
        <v>449</v>
      </c>
      <c r="B102" s="16" t="s">
        <v>450</v>
      </c>
      <c r="D102" s="14">
        <v>1</v>
      </c>
      <c r="E102" s="14">
        <v>0.37676945823553976</v>
      </c>
      <c r="F102" s="14">
        <v>0.12704534098913436</v>
      </c>
      <c r="G102" s="14">
        <v>7.1079969192884265E-6</v>
      </c>
      <c r="H102" s="14">
        <v>596.92359133888658</v>
      </c>
      <c r="I102" s="14">
        <v>1046.106532249019</v>
      </c>
      <c r="J102" s="14">
        <v>0</v>
      </c>
      <c r="K102" s="14">
        <v>7.8712056043481802</v>
      </c>
      <c r="L102" s="14">
        <v>0.12704534098913436</v>
      </c>
      <c r="M102" s="14">
        <v>0.10424070228158476</v>
      </c>
      <c r="N102" s="14">
        <v>64.712146609929235</v>
      </c>
      <c r="O102" s="14">
        <v>30096.972266811987</v>
      </c>
      <c r="P102" s="8">
        <v>64.712146609929235</v>
      </c>
      <c r="Q102" s="54">
        <v>0.41703827350447875</v>
      </c>
    </row>
    <row r="103" spans="1:17">
      <c r="A103" s="2" t="s">
        <v>451</v>
      </c>
      <c r="B103" s="16" t="s">
        <v>452</v>
      </c>
      <c r="D103" s="14">
        <v>1</v>
      </c>
      <c r="E103" s="14">
        <v>0.99979635097987118</v>
      </c>
      <c r="F103" s="14">
        <v>0.98861807813555713</v>
      </c>
      <c r="G103" s="14">
        <v>5.3817032428278022E-21</v>
      </c>
      <c r="H103" s="14">
        <v>32.86310147395843</v>
      </c>
      <c r="I103" s="14">
        <v>2.9528770970650795E-2</v>
      </c>
      <c r="J103" s="14">
        <v>0</v>
      </c>
      <c r="K103" s="14">
        <v>1.0115129614925797</v>
      </c>
      <c r="L103" s="14">
        <v>0.98861807813555713</v>
      </c>
      <c r="M103" s="14">
        <v>0.81116113311022464</v>
      </c>
      <c r="N103" s="14">
        <v>1.0069149811341676</v>
      </c>
      <c r="O103" s="14">
        <v>333.02706086031458</v>
      </c>
      <c r="P103" s="8">
        <v>1.0069149811341676</v>
      </c>
      <c r="Q103" s="54">
        <v>8.7507519085522844E-5</v>
      </c>
    </row>
    <row r="104" spans="1:17">
      <c r="A104" s="2" t="s">
        <v>453</v>
      </c>
      <c r="B104" s="16" t="s">
        <v>454</v>
      </c>
      <c r="D104" s="14">
        <v>1</v>
      </c>
      <c r="E104" s="14">
        <v>0.99289940874771643</v>
      </c>
      <c r="F104" s="14">
        <v>0.10068889784631768</v>
      </c>
      <c r="G104" s="14">
        <v>1.1326208436517515E-21</v>
      </c>
      <c r="H104" s="14">
        <v>2533.2706239982053</v>
      </c>
      <c r="I104" s="14">
        <v>24.837555626487557</v>
      </c>
      <c r="J104" s="14">
        <v>0</v>
      </c>
      <c r="K104" s="14">
        <v>9.9315815486063652</v>
      </c>
      <c r="L104" s="14">
        <v>0.1006888978463177</v>
      </c>
      <c r="M104" s="14">
        <v>8.2615240682903671E-2</v>
      </c>
      <c r="N104" s="14">
        <v>11.391351606056377</v>
      </c>
      <c r="O104" s="14">
        <v>5627.3276933918505</v>
      </c>
      <c r="P104" s="8">
        <v>11.391351606056377</v>
      </c>
      <c r="Q104" s="54">
        <v>4.2277456637358751E-3</v>
      </c>
    </row>
    <row r="105" spans="1:17">
      <c r="A105" s="2" t="s">
        <v>455</v>
      </c>
      <c r="B105" s="166">
        <v>354656</v>
      </c>
      <c r="D105" s="14">
        <v>1</v>
      </c>
      <c r="E105" s="14">
        <v>0.96989487604818148</v>
      </c>
      <c r="F105" s="14">
        <v>0.97013709440133256</v>
      </c>
      <c r="G105" s="14">
        <v>4.0864068010096522E-12</v>
      </c>
      <c r="H105" s="14">
        <v>0.27868469000269547</v>
      </c>
      <c r="I105" s="14">
        <v>0.99809132630900832</v>
      </c>
      <c r="J105" s="14">
        <v>0</v>
      </c>
      <c r="K105" s="14">
        <v>1.0307821500394185</v>
      </c>
      <c r="L105" s="14">
        <v>0.97013709440133267</v>
      </c>
      <c r="M105" s="14">
        <v>0.79599748595629349</v>
      </c>
      <c r="N105" s="14">
        <v>0.91748468195252697</v>
      </c>
      <c r="O105" s="14">
        <v>180.9188044342188</v>
      </c>
      <c r="P105" s="8">
        <v>0.91748468195252708</v>
      </c>
      <c r="Q105" s="54">
        <v>2.0275439710444831E-2</v>
      </c>
    </row>
    <row r="106" spans="1:17">
      <c r="A106" s="2" t="s">
        <v>457</v>
      </c>
      <c r="B106" s="16" t="s">
        <v>458</v>
      </c>
      <c r="D106" s="14">
        <v>1</v>
      </c>
      <c r="E106" s="14">
        <v>0.93920211931501429</v>
      </c>
      <c r="F106" s="14">
        <v>0.93902235941157919</v>
      </c>
      <c r="G106" s="14">
        <v>6.0785519391051073E-12</v>
      </c>
      <c r="H106" s="14">
        <v>1.1531801795628411</v>
      </c>
      <c r="I106" s="14">
        <v>3.6866701487058138</v>
      </c>
      <c r="J106" s="14">
        <v>0</v>
      </c>
      <c r="K106" s="14">
        <v>1.0649373680799585</v>
      </c>
      <c r="L106" s="14">
        <v>0.93902235941157919</v>
      </c>
      <c r="M106" s="14">
        <v>0.77046784589720074</v>
      </c>
      <c r="N106" s="14">
        <v>1.0619777215697872</v>
      </c>
      <c r="O106" s="14">
        <v>170.1075914410485</v>
      </c>
      <c r="P106" s="8">
        <v>1.0619777215697872</v>
      </c>
      <c r="Q106" s="54">
        <v>4.0985881723381919E-2</v>
      </c>
    </row>
    <row r="107" spans="1:17">
      <c r="A107" s="2" t="s">
        <v>459</v>
      </c>
      <c r="B107" s="16" t="s">
        <v>460</v>
      </c>
      <c r="D107" s="14">
        <v>1</v>
      </c>
      <c r="E107" s="14">
        <v>0.42950578145529911</v>
      </c>
      <c r="F107" s="14">
        <v>8.6150621519472531E-2</v>
      </c>
      <c r="G107" s="14">
        <v>2.0950522976025984E-21</v>
      </c>
      <c r="H107" s="14">
        <v>830.60685134434209</v>
      </c>
      <c r="I107" s="14">
        <v>1346.0007978191159</v>
      </c>
      <c r="J107" s="14">
        <v>0</v>
      </c>
      <c r="K107" s="14">
        <v>11.607577314737899</v>
      </c>
      <c r="L107" s="14">
        <v>8.6150621519472531E-2</v>
      </c>
      <c r="M107" s="14">
        <v>7.0686584956727208E-2</v>
      </c>
      <c r="N107" s="14">
        <v>97.848879207731571</v>
      </c>
      <c r="O107" s="14">
        <v>51999.829877364784</v>
      </c>
      <c r="P107" s="8">
        <v>97.848879207731585</v>
      </c>
      <c r="Q107" s="54">
        <v>0.38022906999797945</v>
      </c>
    </row>
    <row r="108" spans="1:17">
      <c r="A108" s="2" t="s">
        <v>461</v>
      </c>
      <c r="B108" s="16" t="s">
        <v>462</v>
      </c>
      <c r="D108" s="14">
        <v>1</v>
      </c>
      <c r="E108" s="14">
        <v>0.99987937460249854</v>
      </c>
      <c r="F108" s="14">
        <v>1.0002684176894698</v>
      </c>
      <c r="G108" s="14">
        <v>1.2186905401868368E-11</v>
      </c>
      <c r="H108" s="14">
        <v>2.4902177702973783E-3</v>
      </c>
      <c r="I108" s="14">
        <v>6.6828317155764741E-4</v>
      </c>
      <c r="J108" s="14">
        <v>0</v>
      </c>
      <c r="K108" s="14">
        <v>0.99973165433925237</v>
      </c>
      <c r="L108" s="14">
        <v>1.0002684176894698</v>
      </c>
      <c r="M108" s="14">
        <v>0.82072023671421002</v>
      </c>
      <c r="N108" s="14">
        <v>0.88749745191729312</v>
      </c>
      <c r="O108" s="14">
        <v>114.62917088963758</v>
      </c>
      <c r="P108" s="8">
        <v>0.88749745191729312</v>
      </c>
      <c r="Q108" s="54">
        <v>3.7390435625712673E-5</v>
      </c>
    </row>
    <row r="109" spans="1:17">
      <c r="A109" s="2" t="s">
        <v>463</v>
      </c>
      <c r="B109" s="16" t="s">
        <v>464</v>
      </c>
      <c r="D109" s="14">
        <v>1</v>
      </c>
      <c r="E109" s="14">
        <v>0.97987699988191423</v>
      </c>
      <c r="F109" s="14">
        <v>0.97387571258891226</v>
      </c>
      <c r="G109" s="14">
        <v>3.2898628813453548E-14</v>
      </c>
      <c r="H109" s="14">
        <v>17.277149981054372</v>
      </c>
      <c r="I109" s="14">
        <v>7.9513303016702492</v>
      </c>
      <c r="J109" s="14">
        <v>0</v>
      </c>
      <c r="K109" s="14">
        <v>1.0268250733367608</v>
      </c>
      <c r="L109" s="14">
        <v>0.97387571258891226</v>
      </c>
      <c r="M109" s="14">
        <v>0.7990650221792025</v>
      </c>
      <c r="N109" s="14">
        <v>12.53689611320355</v>
      </c>
      <c r="O109" s="14">
        <v>3758.5614547384243</v>
      </c>
      <c r="P109" s="8">
        <v>12.536896113203552</v>
      </c>
      <c r="Q109" s="54">
        <v>1.2961038319292949E-2</v>
      </c>
    </row>
    <row r="110" spans="1:17">
      <c r="A110" s="2" t="s">
        <v>465</v>
      </c>
      <c r="B110" s="16" t="s">
        <v>466</v>
      </c>
      <c r="D110" s="14">
        <v>1</v>
      </c>
      <c r="E110" s="14">
        <v>0.99369875096311455</v>
      </c>
      <c r="F110" s="14">
        <v>0.99405957786705545</v>
      </c>
      <c r="G110" s="14">
        <v>2.3142965651802213E-13</v>
      </c>
      <c r="H110" s="14">
        <v>6.3693103994886702E-2</v>
      </c>
      <c r="I110" s="14">
        <v>0.11282895224575437</v>
      </c>
      <c r="J110" s="14">
        <v>0</v>
      </c>
      <c r="K110" s="14">
        <v>1.0059759216300603</v>
      </c>
      <c r="L110" s="14">
        <v>0.99405957786705557</v>
      </c>
      <c r="M110" s="14">
        <v>0.81562588363991906</v>
      </c>
      <c r="N110" s="14">
        <v>0.88565605918146573</v>
      </c>
      <c r="O110" s="14">
        <v>210.92784705465786</v>
      </c>
      <c r="P110" s="8">
        <v>0.88565605918146573</v>
      </c>
      <c r="Q110" s="54">
        <v>4.209403474602063E-3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0.99992940667339336</v>
      </c>
      <c r="F111" s="14">
        <v>1.0003177770196794</v>
      </c>
      <c r="G111" s="14">
        <v>4.1128235163152526E-32</v>
      </c>
      <c r="H111" s="14">
        <v>4.5254105698245006E-3</v>
      </c>
      <c r="I111" s="14">
        <v>3.4617169205668991E-5</v>
      </c>
      <c r="J111" s="14">
        <v>0</v>
      </c>
      <c r="K111" s="14">
        <v>0.99968232393047518</v>
      </c>
      <c r="L111" s="14">
        <v>1.0003177770196794</v>
      </c>
      <c r="M111" s="14">
        <v>0.82076073604464694</v>
      </c>
      <c r="N111" s="14">
        <v>0.88426299070616976</v>
      </c>
      <c r="O111" s="14">
        <v>407.14120881084176</v>
      </c>
      <c r="P111" s="8">
        <v>0.88426299070616976</v>
      </c>
      <c r="Q111" s="54">
        <v>3.7799978330445318E-6</v>
      </c>
    </row>
    <row r="112" spans="1:17">
      <c r="A112" s="2" t="s">
        <v>469</v>
      </c>
      <c r="B112" s="16" t="s">
        <v>470</v>
      </c>
      <c r="D112" s="14">
        <v>1</v>
      </c>
      <c r="E112" s="14">
        <v>0.99185724653801266</v>
      </c>
      <c r="F112" s="14">
        <v>0.99223271951524361</v>
      </c>
      <c r="G112" s="14">
        <v>2.5999921202490689E-15</v>
      </c>
      <c r="H112" s="14">
        <v>2.1965623941955524E-2</v>
      </c>
      <c r="I112" s="14">
        <v>9.5016868873188609E-2</v>
      </c>
      <c r="J112" s="14">
        <v>0</v>
      </c>
      <c r="K112" s="14">
        <v>1.007828083404215</v>
      </c>
      <c r="L112" s="14">
        <v>0.99223271951524361</v>
      </c>
      <c r="M112" s="14">
        <v>0.81412694636225735</v>
      </c>
      <c r="N112" s="14">
        <v>0.88274733966205621</v>
      </c>
      <c r="O112" s="14">
        <v>181.18389146563703</v>
      </c>
      <c r="P112" s="8">
        <v>0.88274733966205621</v>
      </c>
      <c r="Q112" s="54">
        <v>5.4525632842943898E-3</v>
      </c>
    </row>
    <row r="113" spans="1:17">
      <c r="A113" s="2" t="s">
        <v>471</v>
      </c>
      <c r="B113" s="16" t="s">
        <v>472</v>
      </c>
      <c r="D113" s="14">
        <v>1</v>
      </c>
      <c r="E113" s="14">
        <v>0.95449079534689918</v>
      </c>
      <c r="F113" s="14">
        <v>0.95456257562157798</v>
      </c>
      <c r="G113" s="14">
        <v>3.2084323839533736E-11</v>
      </c>
      <c r="H113" s="14">
        <v>0.62584156536892399</v>
      </c>
      <c r="I113" s="14">
        <v>2.1092185116333999</v>
      </c>
      <c r="J113" s="14">
        <v>0</v>
      </c>
      <c r="K113" s="14">
        <v>1.0476002574779708</v>
      </c>
      <c r="L113" s="14">
        <v>0.95456257562157798</v>
      </c>
      <c r="M113" s="14">
        <v>0.78321859329750476</v>
      </c>
      <c r="N113" s="14">
        <v>0.97073255645508016</v>
      </c>
      <c r="O113" s="14">
        <v>146.7359332337499</v>
      </c>
      <c r="P113" s="8">
        <v>0.97073255645508016</v>
      </c>
      <c r="Q113" s="54">
        <v>3.0670550722763232E-2</v>
      </c>
    </row>
    <row r="114" spans="1:17">
      <c r="A114" s="2" t="s">
        <v>473</v>
      </c>
      <c r="B114" s="16" t="s">
        <v>474</v>
      </c>
      <c r="D114" s="14">
        <v>1</v>
      </c>
      <c r="E114" s="14">
        <v>0.99574718238070115</v>
      </c>
      <c r="F114" s="14">
        <v>0.9961321306443921</v>
      </c>
      <c r="G114" s="14">
        <v>2.5519743681181196E-18</v>
      </c>
      <c r="H114" s="14">
        <v>6.3955360114622264E-3</v>
      </c>
      <c r="I114" s="14">
        <v>2.9833703399644539E-2</v>
      </c>
      <c r="J114" s="14">
        <v>0</v>
      </c>
      <c r="K114" s="14">
        <v>1.0038828878585673</v>
      </c>
      <c r="L114" s="14">
        <v>0.99613213064439221</v>
      </c>
      <c r="M114" s="14">
        <v>0.81732641319372379</v>
      </c>
      <c r="N114" s="14">
        <v>0.88230245605728408</v>
      </c>
      <c r="O114" s="14">
        <v>299.41816148759995</v>
      </c>
      <c r="P114" s="8">
        <v>0.88230245605728419</v>
      </c>
      <c r="Q114" s="54">
        <v>2.8268786624254276E-3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0.99986344161779306</v>
      </c>
      <c r="F115" s="14">
        <v>0.99744719422492589</v>
      </c>
      <c r="G115" s="14">
        <v>1.3531436531231374E-14</v>
      </c>
      <c r="H115" s="14">
        <v>7.9716810303322463</v>
      </c>
      <c r="I115" s="14">
        <v>8.8408776759252607E-3</v>
      </c>
      <c r="J115" s="14">
        <v>0</v>
      </c>
      <c r="K115" s="14">
        <v>1.0025593392711458</v>
      </c>
      <c r="L115" s="14">
        <v>0.99744719422492589</v>
      </c>
      <c r="M115" s="14">
        <v>0.81840542286155171</v>
      </c>
      <c r="N115" s="14">
        <v>0.91712207681426849</v>
      </c>
      <c r="O115" s="14">
        <v>176.20666461832539</v>
      </c>
      <c r="P115" s="8">
        <v>0.91712207681426849</v>
      </c>
      <c r="Q115" s="54">
        <v>4.6676188131811933E-5</v>
      </c>
    </row>
    <row r="116" spans="1:17">
      <c r="A116" s="2" t="s">
        <v>477</v>
      </c>
      <c r="B116" s="16" t="s">
        <v>478</v>
      </c>
      <c r="D116" s="14">
        <v>1</v>
      </c>
      <c r="E116" s="14">
        <v>0.88548050484686114</v>
      </c>
      <c r="F116" s="14">
        <v>0.54489622143709726</v>
      </c>
      <c r="G116" s="14">
        <v>1.5138859404836776E-18</v>
      </c>
      <c r="H116" s="14">
        <v>945.7072145058504</v>
      </c>
      <c r="I116" s="14">
        <v>212.08103686817</v>
      </c>
      <c r="J116" s="14">
        <v>0</v>
      </c>
      <c r="K116" s="14">
        <v>1.8352118452255406</v>
      </c>
      <c r="L116" s="14">
        <v>0.54489622143709726</v>
      </c>
      <c r="M116" s="14">
        <v>0.44708734968913832</v>
      </c>
      <c r="N116" s="14">
        <v>499.53995471745191</v>
      </c>
      <c r="O116" s="14">
        <v>227090.86341455366</v>
      </c>
      <c r="P116" s="8">
        <v>499.53995471745196</v>
      </c>
      <c r="Q116" s="54">
        <v>5.251723322494916E-2</v>
      </c>
    </row>
    <row r="117" spans="1:17">
      <c r="A117" s="2" t="s">
        <v>291</v>
      </c>
      <c r="B117" s="16" t="s">
        <v>479</v>
      </c>
      <c r="D117" s="14">
        <v>1</v>
      </c>
      <c r="E117" s="14">
        <v>0.61166665279457744</v>
      </c>
      <c r="F117" s="14">
        <v>0.58550269977414415</v>
      </c>
      <c r="G117" s="14">
        <v>4.0377310693413142E-12</v>
      </c>
      <c r="H117" s="14">
        <v>59.96652766813969</v>
      </c>
      <c r="I117" s="14">
        <v>139.30479731986884</v>
      </c>
      <c r="J117" s="14">
        <v>0</v>
      </c>
      <c r="K117" s="14">
        <v>1.7079340545923134</v>
      </c>
      <c r="L117" s="14">
        <v>0.58550269977414415</v>
      </c>
      <c r="M117" s="14">
        <v>0.48040496516468534</v>
      </c>
      <c r="N117" s="14">
        <v>9.0238440327777862</v>
      </c>
      <c r="O117" s="14">
        <v>2782.3218306263748</v>
      </c>
      <c r="P117" s="8">
        <v>9.0238440327777862</v>
      </c>
      <c r="Q117" s="54">
        <v>0.26167731365629177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2.6146372325638972E-8</v>
      </c>
      <c r="E2" s="20">
        <v>0.97662631502149788</v>
      </c>
      <c r="F2" s="20">
        <v>5.9880532832565927E-5</v>
      </c>
      <c r="G2" s="20">
        <v>2.4031518373782915E-5</v>
      </c>
      <c r="H2" s="20">
        <v>0</v>
      </c>
      <c r="I2" s="20">
        <v>0.97654240297029149</v>
      </c>
      <c r="J2" s="20">
        <v>6.6258160585668422E-5</v>
      </c>
      <c r="K2" s="20">
        <v>2.3307400671544087E-2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2.5169362570585505E-8</v>
      </c>
      <c r="E3" s="20">
        <v>0.61953344654926712</v>
      </c>
      <c r="F3" s="20">
        <v>2.3376288587299635E-2</v>
      </c>
      <c r="G3" s="20">
        <v>5.678893876144871E-3</v>
      </c>
      <c r="H3" s="20">
        <v>0</v>
      </c>
      <c r="I3" s="20">
        <v>0.5904782640858226</v>
      </c>
      <c r="J3" s="20">
        <v>8.2266560099609641E-4</v>
      </c>
      <c r="K3" s="20">
        <v>0.37964386268037426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1.3560658265250014E-17</v>
      </c>
      <c r="E4" s="20">
        <v>0.99990495396828993</v>
      </c>
      <c r="F4" s="20">
        <v>4.204893366671246E-5</v>
      </c>
      <c r="G4" s="20">
        <v>4.6307424636439224E-8</v>
      </c>
      <c r="H4" s="20">
        <v>0</v>
      </c>
      <c r="I4" s="20">
        <v>0.9998628587271986</v>
      </c>
      <c r="J4" s="20">
        <v>7.4460444534895455E-5</v>
      </c>
      <c r="K4" s="20">
        <v>2.0585587175128527E-5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3.805948509656563E-10</v>
      </c>
      <c r="E5" s="20">
        <v>0.99956718810820544</v>
      </c>
      <c r="F5" s="20">
        <v>7.5988135517631603E-2</v>
      </c>
      <c r="G5" s="20">
        <v>6.0312183870592362E-6</v>
      </c>
      <c r="H5" s="20">
        <v>0</v>
      </c>
      <c r="I5" s="20">
        <v>0.92357302137218678</v>
      </c>
      <c r="J5" s="20">
        <v>1.1664367655272331E-4</v>
      </c>
      <c r="K5" s="20">
        <v>3.1616783464698153E-4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4.7207132027245846E-11</v>
      </c>
      <c r="E6" s="20">
        <v>0.99802927675797803</v>
      </c>
      <c r="F6" s="20">
        <v>0.17152045059374188</v>
      </c>
      <c r="G6" s="20">
        <v>4.9740303959824875E-5</v>
      </c>
      <c r="H6" s="20">
        <v>0</v>
      </c>
      <c r="I6" s="20">
        <v>0.82645908586027628</v>
      </c>
      <c r="J6" s="20">
        <v>1.7838043669863405E-4</v>
      </c>
      <c r="K6" s="20">
        <v>1.7923427581162891E-3</v>
      </c>
      <c r="L6" s="20">
        <v>0</v>
      </c>
    </row>
    <row r="7" spans="1:14">
      <c r="A7" s="2" t="s">
        <v>366</v>
      </c>
      <c r="B7" s="3" t="s">
        <v>305</v>
      </c>
      <c r="D7" s="20">
        <v>8.0749879555521821E-7</v>
      </c>
      <c r="E7" s="20">
        <v>0.9810123148930594</v>
      </c>
      <c r="F7" s="20">
        <v>0.44191370644193001</v>
      </c>
      <c r="G7" s="20">
        <v>8.9956505363845518E-4</v>
      </c>
      <c r="H7" s="20">
        <v>0</v>
      </c>
      <c r="I7" s="20">
        <v>0.53819904339749092</v>
      </c>
      <c r="J7" s="20">
        <v>4.1972931203638911E-4</v>
      </c>
      <c r="K7" s="20">
        <v>1.856714829610882E-2</v>
      </c>
      <c r="L7" s="20">
        <v>0</v>
      </c>
    </row>
    <row r="8" spans="1:14">
      <c r="A8" s="2" t="s">
        <v>289</v>
      </c>
      <c r="B8" s="3" t="s">
        <v>290</v>
      </c>
      <c r="D8" s="20">
        <v>3.7368549465501186E-17</v>
      </c>
      <c r="E8" s="20">
        <v>0.99864940183362605</v>
      </c>
      <c r="F8" s="20">
        <v>0.24989255438820568</v>
      </c>
      <c r="G8" s="20">
        <v>3.7999501688815714E-5</v>
      </c>
      <c r="H8" s="20">
        <v>0</v>
      </c>
      <c r="I8" s="20">
        <v>0.74871884794373156</v>
      </c>
      <c r="J8" s="20">
        <v>2.2108699139507094E-4</v>
      </c>
      <c r="K8" s="20">
        <v>1.129511174979026E-3</v>
      </c>
      <c r="L8" s="20">
        <v>0</v>
      </c>
    </row>
    <row r="9" spans="1:14">
      <c r="A9" s="2" t="s">
        <v>291</v>
      </c>
      <c r="B9" s="3" t="s">
        <v>292</v>
      </c>
      <c r="D9" s="20">
        <v>7.3594513329513078E-13</v>
      </c>
      <c r="E9" s="20">
        <v>0.99858783748538882</v>
      </c>
      <c r="F9" s="20">
        <v>5.8730818457003314E-2</v>
      </c>
      <c r="G9" s="20">
        <v>2.2260658217307577E-5</v>
      </c>
      <c r="H9" s="20">
        <v>0</v>
      </c>
      <c r="I9" s="20">
        <v>0.93983475837016817</v>
      </c>
      <c r="J9" s="20">
        <v>1.0764284295047965E-4</v>
      </c>
      <c r="K9" s="20">
        <v>1.3045196709248247E-3</v>
      </c>
      <c r="L9" s="20">
        <v>0</v>
      </c>
    </row>
    <row r="10" spans="1:14">
      <c r="A10" s="2" t="s">
        <v>367</v>
      </c>
      <c r="B10" s="3" t="s">
        <v>368</v>
      </c>
      <c r="D10" s="20">
        <v>6.9129845052389631E-5</v>
      </c>
      <c r="E10" s="20">
        <v>0.46700784972639048</v>
      </c>
      <c r="F10" s="20">
        <v>0.35550015821394726</v>
      </c>
      <c r="G10" s="20">
        <v>6.2091957809647359E-2</v>
      </c>
      <c r="H10" s="20">
        <v>0</v>
      </c>
      <c r="I10" s="20">
        <v>4.941573370279588E-2</v>
      </c>
      <c r="J10" s="20">
        <v>7.4529504593113874E-3</v>
      </c>
      <c r="K10" s="20">
        <v>0.52547006996924583</v>
      </c>
      <c r="L10" s="20">
        <v>0</v>
      </c>
    </row>
    <row r="11" spans="1:14">
      <c r="A11" s="2" t="s">
        <v>369</v>
      </c>
      <c r="B11" s="3" t="s">
        <v>370</v>
      </c>
      <c r="D11" s="20">
        <v>4.8742414095494992E-11</v>
      </c>
      <c r="E11" s="20">
        <v>0.79562406670496177</v>
      </c>
      <c r="F11" s="20">
        <v>0.45682895775698196</v>
      </c>
      <c r="G11" s="20">
        <v>0.33377053693423336</v>
      </c>
      <c r="H11" s="20">
        <v>0</v>
      </c>
      <c r="I11" s="20">
        <v>5.0245720137464533E-3</v>
      </c>
      <c r="J11" s="20">
        <v>5.9244786132851231E-2</v>
      </c>
      <c r="K11" s="20">
        <v>0.14513114711344469</v>
      </c>
      <c r="L11" s="20">
        <v>0</v>
      </c>
    </row>
    <row r="12" spans="1:14">
      <c r="A12" s="2" t="s">
        <v>371</v>
      </c>
      <c r="B12" s="3" t="s">
        <v>372</v>
      </c>
      <c r="D12" s="20">
        <v>7.4714584791472263E-2</v>
      </c>
      <c r="E12" s="20">
        <v>0.92104225813299168</v>
      </c>
      <c r="F12" s="20">
        <v>2.5798887337585783E-6</v>
      </c>
      <c r="G12" s="20">
        <v>1.2787595524420648E-6</v>
      </c>
      <c r="H12" s="20">
        <v>0</v>
      </c>
      <c r="I12" s="20">
        <v>0.92103839948470545</v>
      </c>
      <c r="J12" s="20">
        <v>6.0025533924045163E-5</v>
      </c>
      <c r="K12" s="20">
        <v>4.1831315416120353E-3</v>
      </c>
      <c r="L12" s="20">
        <v>0</v>
      </c>
    </row>
    <row r="13" spans="1:14">
      <c r="A13" s="2" t="s">
        <v>293</v>
      </c>
      <c r="B13" s="3" t="s">
        <v>294</v>
      </c>
      <c r="D13" s="20">
        <v>2.0793850342307361E-8</v>
      </c>
      <c r="E13" s="20">
        <v>0.64560601681722452</v>
      </c>
      <c r="F13" s="20">
        <v>1.6680502469788628E-2</v>
      </c>
      <c r="G13" s="20">
        <v>4.2786295297098107E-3</v>
      </c>
      <c r="H13" s="20">
        <v>0</v>
      </c>
      <c r="I13" s="20">
        <v>0.62464688481772612</v>
      </c>
      <c r="J13" s="20">
        <v>5.4549837970178201E-4</v>
      </c>
      <c r="K13" s="20">
        <v>0.35384846400922332</v>
      </c>
      <c r="L13" s="20">
        <v>0</v>
      </c>
    </row>
    <row r="14" spans="1:14">
      <c r="A14" s="2" t="s">
        <v>373</v>
      </c>
      <c r="B14" s="3" t="s">
        <v>374</v>
      </c>
      <c r="D14" s="20">
        <v>7.8869220557759373E-7</v>
      </c>
      <c r="E14" s="20">
        <v>0.99154595940060852</v>
      </c>
      <c r="F14" s="20">
        <v>0.90888155268168991</v>
      </c>
      <c r="G14" s="20">
        <v>1.4238785219365189E-3</v>
      </c>
      <c r="H14" s="20">
        <v>0</v>
      </c>
      <c r="I14" s="20">
        <v>8.1240528196982117E-2</v>
      </c>
      <c r="J14" s="20">
        <v>1.2656242747128461E-3</v>
      </c>
      <c r="K14" s="20">
        <v>7.1876276324730941E-3</v>
      </c>
      <c r="L14" s="20">
        <v>0</v>
      </c>
    </row>
    <row r="15" spans="1:14">
      <c r="A15" s="2" t="s">
        <v>375</v>
      </c>
      <c r="B15" s="3" t="s">
        <v>376</v>
      </c>
      <c r="D15" s="20">
        <v>8.6903653578241133E-2</v>
      </c>
      <c r="E15" s="20">
        <v>0.78310113071301624</v>
      </c>
      <c r="F15" s="20">
        <v>1.9866083210198404E-3</v>
      </c>
      <c r="G15" s="20">
        <v>6.0590956105744797E-4</v>
      </c>
      <c r="H15" s="20">
        <v>0</v>
      </c>
      <c r="I15" s="20">
        <v>0.78050861283093897</v>
      </c>
      <c r="J15" s="20">
        <v>1.2174815314903038E-4</v>
      </c>
      <c r="K15" s="20">
        <v>0.12987346755559362</v>
      </c>
      <c r="L15" s="20">
        <v>0</v>
      </c>
    </row>
    <row r="16" spans="1:14">
      <c r="A16" s="2" t="s">
        <v>377</v>
      </c>
      <c r="B16" s="3" t="s">
        <v>378</v>
      </c>
      <c r="D16" s="20">
        <v>8.1198443819238881E-4</v>
      </c>
      <c r="E16" s="20">
        <v>0.62253035529298084</v>
      </c>
      <c r="F16" s="20">
        <v>1.9508412088405123E-2</v>
      </c>
      <c r="G16" s="20">
        <v>4.9308010099298064E-3</v>
      </c>
      <c r="H16" s="20">
        <v>0</v>
      </c>
      <c r="I16" s="20">
        <v>0.59809114219464588</v>
      </c>
      <c r="J16" s="20">
        <v>6.2106933072377955E-4</v>
      </c>
      <c r="K16" s="20">
        <v>0.37603659093810299</v>
      </c>
      <c r="L16" s="20">
        <v>0</v>
      </c>
    </row>
    <row r="17" spans="1:12">
      <c r="A17" s="2" t="s">
        <v>379</v>
      </c>
      <c r="B17" s="3" t="s">
        <v>380</v>
      </c>
      <c r="D17" s="20">
        <v>2.4003980089410083E-3</v>
      </c>
      <c r="E17" s="20">
        <v>0.63564676620420835</v>
      </c>
      <c r="F17" s="20">
        <v>1.7658648941196051E-2</v>
      </c>
      <c r="G17" s="20">
        <v>4.5045667636468244E-3</v>
      </c>
      <c r="H17" s="20">
        <v>0</v>
      </c>
      <c r="I17" s="20">
        <v>0.61348355049936543</v>
      </c>
      <c r="J17" s="20">
        <v>5.7155007766125014E-4</v>
      </c>
      <c r="K17" s="20">
        <v>0.36138128570918954</v>
      </c>
      <c r="L17" s="20">
        <v>0</v>
      </c>
    </row>
    <row r="18" spans="1:12">
      <c r="A18" s="2" t="s">
        <v>381</v>
      </c>
      <c r="B18" s="3" t="s">
        <v>382</v>
      </c>
      <c r="D18" s="20">
        <v>2.331461333086236E-7</v>
      </c>
      <c r="E18" s="20">
        <v>0.50185638140661182</v>
      </c>
      <c r="F18" s="20">
        <v>0.13430817009923685</v>
      </c>
      <c r="G18" s="20">
        <v>0.36391334968881223</v>
      </c>
      <c r="H18" s="20">
        <v>0</v>
      </c>
      <c r="I18" s="20">
        <v>3.6348616185627272E-3</v>
      </c>
      <c r="J18" s="20">
        <v>4.4295184795808823E-2</v>
      </c>
      <c r="K18" s="20">
        <v>0.45384820065144604</v>
      </c>
      <c r="L18" s="20">
        <v>0</v>
      </c>
    </row>
    <row r="19" spans="1:12">
      <c r="A19" s="2" t="s">
        <v>383</v>
      </c>
      <c r="B19" s="3" t="s">
        <v>384</v>
      </c>
      <c r="D19" s="20">
        <v>1.1823345629131602E-2</v>
      </c>
      <c r="E19" s="20">
        <v>0.91117566333727529</v>
      </c>
      <c r="F19" s="20">
        <v>6.3126919990400649E-4</v>
      </c>
      <c r="G19" s="20">
        <v>2.1188985104206355E-4</v>
      </c>
      <c r="H19" s="20">
        <v>0</v>
      </c>
      <c r="I19" s="20">
        <v>0.91033250428632917</v>
      </c>
      <c r="J19" s="20">
        <v>8.3911487015798556E-5</v>
      </c>
      <c r="K19" s="20">
        <v>7.6917079546577352E-2</v>
      </c>
      <c r="L19" s="20">
        <v>0</v>
      </c>
    </row>
    <row r="20" spans="1:12">
      <c r="A20" s="2" t="s">
        <v>385</v>
      </c>
      <c r="B20" s="3" t="s">
        <v>386</v>
      </c>
      <c r="D20" s="20">
        <v>2.2208051022519895E-2</v>
      </c>
      <c r="E20" s="20">
        <v>0.8754121842672401</v>
      </c>
      <c r="F20" s="20">
        <v>1.1323603694646858E-3</v>
      </c>
      <c r="G20" s="20">
        <v>3.6297792767048714E-4</v>
      </c>
      <c r="H20" s="20">
        <v>0</v>
      </c>
      <c r="I20" s="20">
        <v>0.87391684597010488</v>
      </c>
      <c r="J20" s="20">
        <v>9.9263542863479716E-5</v>
      </c>
      <c r="K20" s="20">
        <v>0.10228050116737653</v>
      </c>
      <c r="L20" s="20">
        <v>0</v>
      </c>
    </row>
    <row r="21" spans="1:12">
      <c r="A21" s="2" t="s">
        <v>387</v>
      </c>
      <c r="B21" s="3" t="s">
        <v>388</v>
      </c>
      <c r="D21" s="20">
        <v>7.1740842500533685E-3</v>
      </c>
      <c r="E21" s="20">
        <v>0.72694092738308913</v>
      </c>
      <c r="F21" s="20">
        <v>0.30462355435689614</v>
      </c>
      <c r="G21" s="20">
        <v>1.2293700917067633E-2</v>
      </c>
      <c r="H21" s="20">
        <v>0</v>
      </c>
      <c r="I21" s="20">
        <v>0.41002367210912538</v>
      </c>
      <c r="J21" s="20">
        <v>1.6469881617481312E-3</v>
      </c>
      <c r="K21" s="20">
        <v>0.26423800020510924</v>
      </c>
      <c r="L21" s="20">
        <v>0</v>
      </c>
    </row>
    <row r="22" spans="1:12">
      <c r="A22" s="2" t="s">
        <v>295</v>
      </c>
      <c r="B22" s="3" t="s">
        <v>296</v>
      </c>
      <c r="D22" s="20">
        <v>6.5423697750297174E-2</v>
      </c>
      <c r="E22" s="20">
        <v>0.90498610557818182</v>
      </c>
      <c r="F22" s="20">
        <v>1.0111353682149046E-4</v>
      </c>
      <c r="G22" s="20">
        <v>3.8824409324858411E-5</v>
      </c>
      <c r="H22" s="20">
        <v>0</v>
      </c>
      <c r="I22" s="20">
        <v>0.90484616763203551</v>
      </c>
      <c r="J22" s="20">
        <v>6.3321525986410106E-5</v>
      </c>
      <c r="K22" s="20">
        <v>2.9526875145534551E-2</v>
      </c>
      <c r="L22" s="20">
        <v>0</v>
      </c>
    </row>
    <row r="23" spans="1:12">
      <c r="A23" s="2" t="s">
        <v>389</v>
      </c>
      <c r="B23" s="3" t="s">
        <v>390</v>
      </c>
      <c r="D23" s="20">
        <v>7.1555170676996752E-2</v>
      </c>
      <c r="E23" s="20">
        <v>0.75706856814985712</v>
      </c>
      <c r="F23" s="20">
        <v>3.490721788876609E-3</v>
      </c>
      <c r="G23" s="20">
        <v>1.0186167003701596E-3</v>
      </c>
      <c r="H23" s="20">
        <v>0</v>
      </c>
      <c r="I23" s="20">
        <v>0.7525592296606104</v>
      </c>
      <c r="J23" s="20">
        <v>1.6851001678427796E-4</v>
      </c>
      <c r="K23" s="20">
        <v>0.17120775115636175</v>
      </c>
      <c r="L23" s="20">
        <v>0</v>
      </c>
    </row>
    <row r="24" spans="1:12">
      <c r="A24" s="2" t="s">
        <v>391</v>
      </c>
      <c r="B24" s="3" t="s">
        <v>392</v>
      </c>
      <c r="D24" s="20">
        <v>2.6513056824065198E-3</v>
      </c>
      <c r="E24" s="20">
        <v>0.55062244746359956</v>
      </c>
      <c r="F24" s="20">
        <v>3.1198521805340794E-2</v>
      </c>
      <c r="G24" s="20">
        <v>7.530599877293891E-3</v>
      </c>
      <c r="H24" s="20">
        <v>0</v>
      </c>
      <c r="I24" s="20">
        <v>0.51189332578096491</v>
      </c>
      <c r="J24" s="20">
        <v>9.2405088205508733E-4</v>
      </c>
      <c r="K24" s="20">
        <v>0.44580219597193865</v>
      </c>
      <c r="L24" s="20">
        <v>0</v>
      </c>
    </row>
    <row r="25" spans="1:12">
      <c r="A25" s="2" t="s">
        <v>393</v>
      </c>
      <c r="B25" s="3" t="s">
        <v>394</v>
      </c>
      <c r="D25" s="20">
        <v>1.0305541979029184E-3</v>
      </c>
      <c r="E25" s="20">
        <v>0.47961257845446309</v>
      </c>
      <c r="F25" s="20">
        <v>0.15379600401076116</v>
      </c>
      <c r="G25" s="20">
        <v>0.32095238477242199</v>
      </c>
      <c r="H25" s="20">
        <v>0</v>
      </c>
      <c r="I25" s="20">
        <v>4.8641896712799271E-3</v>
      </c>
      <c r="J25" s="20">
        <v>3.9011908145894225E-2</v>
      </c>
      <c r="K25" s="20">
        <v>0.48034495920173964</v>
      </c>
      <c r="L25" s="20">
        <v>0</v>
      </c>
    </row>
    <row r="26" spans="1:12">
      <c r="A26" s="2" t="s">
        <v>395</v>
      </c>
      <c r="B26" s="3" t="s">
        <v>396</v>
      </c>
      <c r="D26" s="20">
        <v>0.22890536509797271</v>
      </c>
      <c r="E26" s="20">
        <v>0.31551206016345457</v>
      </c>
      <c r="F26" s="20">
        <v>6.5937152276402441E-2</v>
      </c>
      <c r="G26" s="20">
        <v>1.4224130957734324E-2</v>
      </c>
      <c r="H26" s="20">
        <v>0</v>
      </c>
      <c r="I26" s="20">
        <v>0.23535077692931783</v>
      </c>
      <c r="J26" s="20">
        <v>1.7053688624115318E-3</v>
      </c>
      <c r="K26" s="20">
        <v>0.45387720587616132</v>
      </c>
      <c r="L26" s="20">
        <v>0</v>
      </c>
    </row>
    <row r="27" spans="1:12">
      <c r="A27" s="2" t="s">
        <v>397</v>
      </c>
      <c r="B27" s="3" t="s">
        <v>398</v>
      </c>
      <c r="D27" s="20">
        <v>0.82997732342878872</v>
      </c>
      <c r="E27" s="20">
        <v>6.385008244230736E-2</v>
      </c>
      <c r="F27" s="20">
        <v>3.4973608298750188E-2</v>
      </c>
      <c r="G27" s="20">
        <v>6.644097501289652E-3</v>
      </c>
      <c r="H27" s="20">
        <v>0</v>
      </c>
      <c r="I27" s="20">
        <v>2.2232376642267519E-2</v>
      </c>
      <c r="J27" s="20">
        <v>7.9491541472902758E-4</v>
      </c>
      <c r="K27" s="20">
        <v>0.10537767871417489</v>
      </c>
      <c r="L27" s="20">
        <v>0</v>
      </c>
    </row>
    <row r="28" spans="1:12">
      <c r="A28" s="2" t="s">
        <v>399</v>
      </c>
      <c r="B28" s="3" t="s">
        <v>400</v>
      </c>
      <c r="D28" s="20">
        <v>0.87449428136203977</v>
      </c>
      <c r="E28" s="20">
        <v>4.8999922807337899E-2</v>
      </c>
      <c r="F28" s="20">
        <v>1.29309725178295E-2</v>
      </c>
      <c r="G28" s="20">
        <v>2.7234960145146336E-3</v>
      </c>
      <c r="H28" s="20">
        <v>0</v>
      </c>
      <c r="I28" s="20">
        <v>3.3345454274993767E-2</v>
      </c>
      <c r="J28" s="20">
        <v>3.2607538201093298E-4</v>
      </c>
      <c r="K28" s="20">
        <v>7.617972044861146E-2</v>
      </c>
      <c r="L28" s="20">
        <v>0</v>
      </c>
    </row>
    <row r="29" spans="1:12">
      <c r="A29" s="2" t="s">
        <v>297</v>
      </c>
      <c r="B29" s="3" t="s">
        <v>298</v>
      </c>
      <c r="D29" s="20">
        <v>0.93250779026025554</v>
      </c>
      <c r="E29" s="20">
        <v>5.9560879099895631E-2</v>
      </c>
      <c r="F29" s="20">
        <v>9.8884149725650305E-5</v>
      </c>
      <c r="G29" s="20">
        <v>3.1118756826905585E-5</v>
      </c>
      <c r="H29" s="20">
        <v>0</v>
      </c>
      <c r="I29" s="20">
        <v>5.9430876193343071E-2</v>
      </c>
      <c r="J29" s="20">
        <v>7.5057493774846645E-6</v>
      </c>
      <c r="K29" s="20">
        <v>7.9238248904714027E-3</v>
      </c>
      <c r="L29" s="20">
        <v>0</v>
      </c>
    </row>
    <row r="30" spans="1:12">
      <c r="A30" s="2" t="s">
        <v>401</v>
      </c>
      <c r="B30" s="3" t="s">
        <v>402</v>
      </c>
      <c r="D30" s="20">
        <v>0.95404090173785427</v>
      </c>
      <c r="E30" s="20">
        <v>1.8120369123228865E-2</v>
      </c>
      <c r="F30" s="20">
        <v>4.5398469207197879E-3</v>
      </c>
      <c r="G30" s="20">
        <v>9.6147227286642021E-4</v>
      </c>
      <c r="H30" s="20">
        <v>0</v>
      </c>
      <c r="I30" s="20">
        <v>1.2619049929642658E-2</v>
      </c>
      <c r="J30" s="20">
        <v>1.1514376526262176E-4</v>
      </c>
      <c r="K30" s="20">
        <v>2.7723585373654512E-2</v>
      </c>
      <c r="L30" s="20">
        <v>0</v>
      </c>
    </row>
    <row r="31" spans="1:12">
      <c r="A31" s="2" t="s">
        <v>299</v>
      </c>
      <c r="B31" s="3" t="s">
        <v>300</v>
      </c>
      <c r="D31" s="20">
        <v>0.99881889309902339</v>
      </c>
      <c r="E31" s="20">
        <v>5.3654325104516881E-4</v>
      </c>
      <c r="F31" s="20">
        <v>7.0886080487471125E-5</v>
      </c>
      <c r="G31" s="20">
        <v>1.5953519918160111E-5</v>
      </c>
      <c r="H31" s="20">
        <v>0</v>
      </c>
      <c r="I31" s="20">
        <v>4.4970365063953761E-4</v>
      </c>
      <c r="J31" s="20">
        <v>1.9215849790522062E-6</v>
      </c>
      <c r="K31" s="20">
        <v>6.426420649522039E-4</v>
      </c>
      <c r="L31" s="20">
        <v>0</v>
      </c>
    </row>
    <row r="32" spans="1:12">
      <c r="A32" s="2" t="s">
        <v>343</v>
      </c>
      <c r="B32" s="3" t="s">
        <v>344</v>
      </c>
      <c r="D32" s="20">
        <v>2.268242525462017E-3</v>
      </c>
      <c r="E32" s="20">
        <v>0.66903699168939346</v>
      </c>
      <c r="F32" s="20">
        <v>1.3891965730973085E-2</v>
      </c>
      <c r="G32" s="20">
        <v>3.6229242918003677E-3</v>
      </c>
      <c r="H32" s="20">
        <v>0</v>
      </c>
      <c r="I32" s="20">
        <v>0.65152210166662006</v>
      </c>
      <c r="J32" s="20">
        <v>4.695902685871544E-4</v>
      </c>
      <c r="K32" s="20">
        <v>0.32822517551655722</v>
      </c>
      <c r="L32" s="20">
        <v>0</v>
      </c>
    </row>
    <row r="33" spans="1:12">
      <c r="A33" s="2" t="s">
        <v>345</v>
      </c>
      <c r="B33" s="3" t="s">
        <v>346</v>
      </c>
      <c r="D33" s="20">
        <v>8.9309296136599856E-5</v>
      </c>
      <c r="E33" s="20">
        <v>0.76899593828442436</v>
      </c>
      <c r="F33" s="20">
        <v>6.1202742240764121E-3</v>
      </c>
      <c r="G33" s="20">
        <v>1.7150091319585534E-3</v>
      </c>
      <c r="H33" s="20">
        <v>0</v>
      </c>
      <c r="I33" s="20">
        <v>0.76116065492838936</v>
      </c>
      <c r="J33" s="20">
        <v>2.5115157175889817E-4</v>
      </c>
      <c r="K33" s="20">
        <v>0.23066360084768006</v>
      </c>
      <c r="L33" s="20">
        <v>0</v>
      </c>
    </row>
    <row r="34" spans="1:12">
      <c r="A34" s="2" t="s">
        <v>347</v>
      </c>
      <c r="B34" s="3" t="s">
        <v>348</v>
      </c>
      <c r="D34" s="20">
        <v>1.3442452283587281E-4</v>
      </c>
      <c r="E34" s="20">
        <v>0.41950871170491599</v>
      </c>
      <c r="F34" s="20">
        <v>7.8190271014479534E-2</v>
      </c>
      <c r="G34" s="20">
        <v>1.7054864519514865E-2</v>
      </c>
      <c r="H34" s="20">
        <v>0</v>
      </c>
      <c r="I34" s="20">
        <v>0.32426357617092161</v>
      </c>
      <c r="J34" s="20">
        <v>2.0465944234924539E-3</v>
      </c>
      <c r="K34" s="20">
        <v>0.57831026934875562</v>
      </c>
      <c r="L34" s="20">
        <v>0</v>
      </c>
    </row>
    <row r="35" spans="1:12">
      <c r="A35" s="2" t="s">
        <v>349</v>
      </c>
      <c r="B35" s="3" t="s">
        <v>350</v>
      </c>
      <c r="D35" s="20">
        <v>5.0343815047107207E-2</v>
      </c>
      <c r="E35" s="20">
        <v>0.38983216535774429</v>
      </c>
      <c r="F35" s="20">
        <v>0.26340277020641978</v>
      </c>
      <c r="G35" s="20">
        <v>4.7349554097020297E-2</v>
      </c>
      <c r="H35" s="20">
        <v>0</v>
      </c>
      <c r="I35" s="20">
        <v>7.9079841054304212E-2</v>
      </c>
      <c r="J35" s="20">
        <v>5.6725056756881248E-3</v>
      </c>
      <c r="K35" s="20">
        <v>0.55415151391946049</v>
      </c>
      <c r="L35" s="20">
        <v>0</v>
      </c>
    </row>
    <row r="36" spans="1:12">
      <c r="A36" s="2" t="s">
        <v>351</v>
      </c>
      <c r="B36" s="3" t="s">
        <v>352</v>
      </c>
      <c r="D36" s="20">
        <v>1.6854343588341293E-3</v>
      </c>
      <c r="E36" s="20">
        <v>0.42968760301556774</v>
      </c>
      <c r="F36" s="20">
        <v>0.27911685179117252</v>
      </c>
      <c r="G36" s="20">
        <v>0.12884916644770986</v>
      </c>
      <c r="H36" s="20">
        <v>0</v>
      </c>
      <c r="I36" s="20">
        <v>2.1721584776685399E-2</v>
      </c>
      <c r="J36" s="20">
        <v>1.5538952504887795E-2</v>
      </c>
      <c r="K36" s="20">
        <v>0.55308801012071029</v>
      </c>
      <c r="L36" s="20">
        <v>0</v>
      </c>
    </row>
    <row r="37" spans="1:12">
      <c r="A37" s="2" t="s">
        <v>353</v>
      </c>
      <c r="B37" s="3" t="s">
        <v>354</v>
      </c>
      <c r="D37" s="20">
        <v>1.3402908405495484E-2</v>
      </c>
      <c r="E37" s="20">
        <v>0.48886085743179675</v>
      </c>
      <c r="F37" s="20">
        <v>0.13777590250152855</v>
      </c>
      <c r="G37" s="20">
        <v>0.34719128875710381</v>
      </c>
      <c r="H37" s="20">
        <v>0</v>
      </c>
      <c r="I37" s="20">
        <v>3.8936661731643939E-3</v>
      </c>
      <c r="J37" s="20">
        <v>4.2243503351197274E-2</v>
      </c>
      <c r="K37" s="20">
        <v>0.45549273081151059</v>
      </c>
      <c r="L37" s="20">
        <v>0</v>
      </c>
    </row>
    <row r="38" spans="1:12">
      <c r="A38" s="2" t="s">
        <v>355</v>
      </c>
      <c r="B38" s="3" t="s">
        <v>356</v>
      </c>
      <c r="D38" s="20">
        <v>6.5023570787845137E-4</v>
      </c>
      <c r="E38" s="20">
        <v>0.43351176677094372</v>
      </c>
      <c r="F38" s="20">
        <v>0.227795442082355</v>
      </c>
      <c r="G38" s="20">
        <v>0.19339292654907764</v>
      </c>
      <c r="H38" s="20">
        <v>0</v>
      </c>
      <c r="I38" s="20">
        <v>1.2323398139511088E-2</v>
      </c>
      <c r="J38" s="20">
        <v>2.3396113081105049E-2</v>
      </c>
      <c r="K38" s="20">
        <v>0.5424418844400728</v>
      </c>
      <c r="L38" s="20">
        <v>0</v>
      </c>
    </row>
    <row r="39" spans="1:12">
      <c r="A39" s="2" t="s">
        <v>357</v>
      </c>
      <c r="B39" s="3" t="s">
        <v>358</v>
      </c>
      <c r="D39" s="20">
        <v>0.11639970922398131</v>
      </c>
      <c r="E39" s="20">
        <v>0.37915866252751335</v>
      </c>
      <c r="F39" s="20">
        <v>0.2341133127178591</v>
      </c>
      <c r="G39" s="20">
        <v>0.128623897631408</v>
      </c>
      <c r="H39" s="20">
        <v>0</v>
      </c>
      <c r="I39" s="20">
        <v>1.6421452178246244E-2</v>
      </c>
      <c r="J39" s="20">
        <v>1.5525576188291092E-2</v>
      </c>
      <c r="K39" s="20">
        <v>0.48891605206021432</v>
      </c>
      <c r="L39" s="20">
        <v>0</v>
      </c>
    </row>
    <row r="40" spans="1:12">
      <c r="A40" s="2" t="s">
        <v>359</v>
      </c>
      <c r="B40" s="3" t="s">
        <v>360</v>
      </c>
      <c r="D40" s="20">
        <v>6.5023570787845137E-4</v>
      </c>
      <c r="E40" s="20">
        <v>0.43351176677094372</v>
      </c>
      <c r="F40" s="20">
        <v>0.227795442082355</v>
      </c>
      <c r="G40" s="20">
        <v>0.19339292654907764</v>
      </c>
      <c r="H40" s="20">
        <v>0</v>
      </c>
      <c r="I40" s="20">
        <v>1.2323398139511088E-2</v>
      </c>
      <c r="J40" s="20">
        <v>2.3396113081105049E-2</v>
      </c>
      <c r="K40" s="20">
        <v>0.5424418844400728</v>
      </c>
      <c r="L40" s="20">
        <v>0</v>
      </c>
    </row>
    <row r="41" spans="1:12">
      <c r="A41" s="2" t="s">
        <v>313</v>
      </c>
      <c r="B41" s="3" t="s">
        <v>314</v>
      </c>
      <c r="D41" s="20">
        <v>5.8313658875250955E-8</v>
      </c>
      <c r="E41" s="20">
        <v>0.99974358881663339</v>
      </c>
      <c r="F41" s="20">
        <v>4.7321893649456392E-3</v>
      </c>
      <c r="G41" s="20">
        <v>1.1261147968538503E-6</v>
      </c>
      <c r="H41" s="20">
        <v>0</v>
      </c>
      <c r="I41" s="20">
        <v>0.99501027333689085</v>
      </c>
      <c r="J41" s="20">
        <v>6.898492385148666E-5</v>
      </c>
      <c r="K41" s="20">
        <v>1.8736794585621819E-4</v>
      </c>
      <c r="L41" s="20">
        <v>0</v>
      </c>
    </row>
    <row r="42" spans="1:12">
      <c r="A42" s="2" t="s">
        <v>315</v>
      </c>
      <c r="B42" s="3" t="s">
        <v>316</v>
      </c>
      <c r="D42" s="20">
        <v>1.9457838334643856E-2</v>
      </c>
      <c r="E42" s="20">
        <v>0.49209145579921271</v>
      </c>
      <c r="F42" s="20">
        <v>0.13169485414257004</v>
      </c>
      <c r="G42" s="20">
        <v>0.35683246575685823</v>
      </c>
      <c r="H42" s="20">
        <v>0</v>
      </c>
      <c r="I42" s="20">
        <v>3.5641358997844349E-3</v>
      </c>
      <c r="J42" s="20">
        <v>4.3433306377356241E-2</v>
      </c>
      <c r="K42" s="20">
        <v>0.4450173994887871</v>
      </c>
      <c r="L42" s="20">
        <v>0</v>
      </c>
    </row>
    <row r="43" spans="1:12">
      <c r="A43" s="2" t="s">
        <v>317</v>
      </c>
      <c r="B43" s="3" t="s">
        <v>318</v>
      </c>
      <c r="D43" s="20">
        <v>6.1209990251806522E-12</v>
      </c>
      <c r="E43" s="20">
        <v>0.53542459009779386</v>
      </c>
      <c r="F43" s="20">
        <v>3.4857523210667485E-2</v>
      </c>
      <c r="G43" s="20">
        <v>8.3213172654251211E-3</v>
      </c>
      <c r="H43" s="20">
        <v>0</v>
      </c>
      <c r="I43" s="20">
        <v>0.4922457496217012</v>
      </c>
      <c r="J43" s="20">
        <v>1.0167367023192597E-3</v>
      </c>
      <c r="K43" s="20">
        <v>0.46355867319376587</v>
      </c>
      <c r="L43" s="20">
        <v>0</v>
      </c>
    </row>
    <row r="44" spans="1:12">
      <c r="A44" s="2" t="s">
        <v>307</v>
      </c>
      <c r="B44" s="3" t="s">
        <v>308</v>
      </c>
      <c r="D44" s="20">
        <v>5.6325501568925223E-4</v>
      </c>
      <c r="E44" s="20">
        <v>0.44186351811862845</v>
      </c>
      <c r="F44" s="20">
        <v>0.31723367520916956</v>
      </c>
      <c r="G44" s="20">
        <v>9.2060819807002564E-2</v>
      </c>
      <c r="H44" s="20">
        <v>0</v>
      </c>
      <c r="I44" s="20">
        <v>3.2569023102456351E-2</v>
      </c>
      <c r="J44" s="20">
        <v>1.1076621591345688E-2</v>
      </c>
      <c r="K44" s="20">
        <v>0.54649660527433674</v>
      </c>
      <c r="L44" s="20">
        <v>0</v>
      </c>
    </row>
    <row r="45" spans="1:12">
      <c r="A45" s="2" t="s">
        <v>319</v>
      </c>
      <c r="B45" s="3" t="s">
        <v>320</v>
      </c>
      <c r="D45" s="20">
        <v>7.1383246701597536E-5</v>
      </c>
      <c r="E45" s="20">
        <v>0.56084742819928368</v>
      </c>
      <c r="F45" s="20">
        <v>9.457372865729094E-2</v>
      </c>
      <c r="G45" s="20">
        <v>0.46447898260449522</v>
      </c>
      <c r="H45" s="20">
        <v>0</v>
      </c>
      <c r="I45" s="20">
        <v>1.7947169374975338E-3</v>
      </c>
      <c r="J45" s="20">
        <v>5.6715690466483289E-2</v>
      </c>
      <c r="K45" s="20">
        <v>0.38236549808753151</v>
      </c>
      <c r="L45" s="20">
        <v>0</v>
      </c>
    </row>
    <row r="46" spans="1:12">
      <c r="A46" s="2" t="s">
        <v>321</v>
      </c>
      <c r="B46" s="3" t="s">
        <v>322</v>
      </c>
      <c r="D46" s="20">
        <v>9.6515724738147865E-5</v>
      </c>
      <c r="E46" s="20">
        <v>0.5097221930871606</v>
      </c>
      <c r="F46" s="20">
        <v>0.12801836935728383</v>
      </c>
      <c r="G46" s="20">
        <v>0.37841456723694666</v>
      </c>
      <c r="H46" s="20">
        <v>0</v>
      </c>
      <c r="I46" s="20">
        <v>3.2892564929300999E-3</v>
      </c>
      <c r="J46" s="20">
        <v>4.6081594086717956E-2</v>
      </c>
      <c r="K46" s="20">
        <v>0.44409969710138331</v>
      </c>
      <c r="L46" s="20">
        <v>0</v>
      </c>
    </row>
    <row r="47" spans="1:12">
      <c r="A47" s="2" t="s">
        <v>323</v>
      </c>
      <c r="B47" s="3" t="s">
        <v>324</v>
      </c>
      <c r="D47" s="20">
        <v>8.2740082396432087E-4</v>
      </c>
      <c r="E47" s="20">
        <v>0.45960673089026161</v>
      </c>
      <c r="F47" s="20">
        <v>0.1768439325573806</v>
      </c>
      <c r="G47" s="20">
        <v>0.27611227818419631</v>
      </c>
      <c r="H47" s="20">
        <v>0</v>
      </c>
      <c r="I47" s="20">
        <v>6.6505201486846827E-3</v>
      </c>
      <c r="J47" s="20">
        <v>3.3510134573910937E-2</v>
      </c>
      <c r="K47" s="20">
        <v>0.50605573371186319</v>
      </c>
      <c r="L47" s="20">
        <v>0</v>
      </c>
    </row>
    <row r="48" spans="1:12">
      <c r="A48" s="2" t="s">
        <v>325</v>
      </c>
      <c r="B48" s="3" t="s">
        <v>326</v>
      </c>
      <c r="D48" s="20">
        <v>2.8493417251662916E-4</v>
      </c>
      <c r="E48" s="20">
        <v>0.3682529620431792</v>
      </c>
      <c r="F48" s="20">
        <v>0.16788765100822697</v>
      </c>
      <c r="G48" s="20">
        <v>3.2969647824206416E-2</v>
      </c>
      <c r="H48" s="20">
        <v>0</v>
      </c>
      <c r="I48" s="20">
        <v>0.16739566321074581</v>
      </c>
      <c r="J48" s="20">
        <v>3.9430188827259353E-3</v>
      </c>
      <c r="K48" s="20">
        <v>0.62751908490157793</v>
      </c>
      <c r="L48" s="20">
        <v>0</v>
      </c>
    </row>
    <row r="49" spans="1:12">
      <c r="A49" s="2" t="s">
        <v>275</v>
      </c>
      <c r="B49" s="3" t="s">
        <v>276</v>
      </c>
      <c r="D49" s="20">
        <v>7.2306164793387573E-6</v>
      </c>
      <c r="E49" s="20">
        <v>0.43905267962508476</v>
      </c>
      <c r="F49" s="20">
        <v>0.31049137565811341</v>
      </c>
      <c r="G49" s="20">
        <v>9.8298093990323812E-2</v>
      </c>
      <c r="H49" s="20">
        <v>0</v>
      </c>
      <c r="I49" s="20">
        <v>3.0263209976647533E-2</v>
      </c>
      <c r="J49" s="20">
        <v>1.1832144852536197E-2</v>
      </c>
      <c r="K49" s="20">
        <v>0.54910794490589965</v>
      </c>
      <c r="L49" s="20">
        <v>0</v>
      </c>
    </row>
    <row r="50" spans="1:12">
      <c r="A50" s="2" t="s">
        <v>327</v>
      </c>
      <c r="B50" s="3" t="s">
        <v>328</v>
      </c>
      <c r="D50" s="20">
        <v>3.7609314094533925E-4</v>
      </c>
      <c r="E50" s="20">
        <v>0.43466153643448702</v>
      </c>
      <c r="F50" s="20">
        <v>0.2986548885220191</v>
      </c>
      <c r="G50" s="20">
        <v>0.10931133121190217</v>
      </c>
      <c r="H50" s="20">
        <v>0</v>
      </c>
      <c r="I50" s="20">
        <v>2.6695316700565741E-2</v>
      </c>
      <c r="J50" s="20">
        <v>1.3167303179276908E-2</v>
      </c>
      <c r="K50" s="20">
        <v>0.55179506724529082</v>
      </c>
      <c r="L50" s="20">
        <v>0</v>
      </c>
    </row>
    <row r="51" spans="1:12">
      <c r="A51" s="2" t="s">
        <v>329</v>
      </c>
      <c r="B51" s="3" t="s">
        <v>330</v>
      </c>
      <c r="D51" s="20">
        <v>1.7378438237144512E-4</v>
      </c>
      <c r="E51" s="20">
        <v>0.37772991610998374</v>
      </c>
      <c r="F51" s="20">
        <v>0.21236598661832276</v>
      </c>
      <c r="G51" s="20">
        <v>4.0121809821242541E-2</v>
      </c>
      <c r="H51" s="20">
        <v>0</v>
      </c>
      <c r="I51" s="20">
        <v>0.12524211967041846</v>
      </c>
      <c r="J51" s="20">
        <v>4.8007504151738913E-3</v>
      </c>
      <c r="K51" s="20">
        <v>0.61729554909247097</v>
      </c>
      <c r="L51" s="20">
        <v>0</v>
      </c>
    </row>
    <row r="52" spans="1:12">
      <c r="A52" s="2" t="s">
        <v>277</v>
      </c>
      <c r="B52" s="3" t="s">
        <v>278</v>
      </c>
      <c r="D52" s="20">
        <v>4.5003671762060043E-4</v>
      </c>
      <c r="E52" s="20">
        <v>0.3684382033440402</v>
      </c>
      <c r="F52" s="20">
        <v>0.17183916881861369</v>
      </c>
      <c r="G52" s="20">
        <v>3.3621549038748345E-2</v>
      </c>
      <c r="H52" s="20">
        <v>0</v>
      </c>
      <c r="I52" s="20">
        <v>0.16297748548667818</v>
      </c>
      <c r="J52" s="20">
        <v>4.0210755168443189E-3</v>
      </c>
      <c r="K52" s="20">
        <v>0.62709068442149496</v>
      </c>
      <c r="L52" s="20">
        <v>0</v>
      </c>
    </row>
    <row r="53" spans="1:12">
      <c r="A53" s="2" t="s">
        <v>331</v>
      </c>
      <c r="B53" s="3" t="s">
        <v>332</v>
      </c>
      <c r="D53" s="20">
        <v>2.5258531606031962E-4</v>
      </c>
      <c r="E53" s="20">
        <v>0.42894933281035319</v>
      </c>
      <c r="F53" s="20">
        <v>0.26120549820813782</v>
      </c>
      <c r="G53" s="20">
        <v>0.14989179819219284</v>
      </c>
      <c r="H53" s="20">
        <v>0</v>
      </c>
      <c r="I53" s="20">
        <v>1.7852036410022556E-2</v>
      </c>
      <c r="J53" s="20">
        <v>1.8096763849567762E-2</v>
      </c>
      <c r="K53" s="20">
        <v>0.55270131802401878</v>
      </c>
      <c r="L53" s="20">
        <v>0</v>
      </c>
    </row>
    <row r="54" spans="1:12">
      <c r="A54" s="2" t="s">
        <v>333</v>
      </c>
      <c r="B54" s="3" t="s">
        <v>334</v>
      </c>
      <c r="D54" s="20">
        <v>4.0967520871376929E-7</v>
      </c>
      <c r="E54" s="20">
        <v>0.4368029603249427</v>
      </c>
      <c r="F54" s="20">
        <v>0.30465892023156077</v>
      </c>
      <c r="G54" s="20">
        <v>0.10370733015194507</v>
      </c>
      <c r="H54" s="20">
        <v>0</v>
      </c>
      <c r="I54" s="20">
        <v>2.843670994143685E-2</v>
      </c>
      <c r="J54" s="20">
        <v>1.2487743583725818E-2</v>
      </c>
      <c r="K54" s="20">
        <v>0.55070888641612281</v>
      </c>
      <c r="L54" s="20">
        <v>0</v>
      </c>
    </row>
    <row r="55" spans="1:12">
      <c r="A55" s="2" t="s">
        <v>335</v>
      </c>
      <c r="B55" s="3" t="s">
        <v>336</v>
      </c>
      <c r="D55" s="20">
        <v>2.1394370197734955E-3</v>
      </c>
      <c r="E55" s="20">
        <v>0.45725238592529122</v>
      </c>
      <c r="F55" s="20">
        <v>0.17896731446703895</v>
      </c>
      <c r="G55" s="20">
        <v>0.27143714368859401</v>
      </c>
      <c r="H55" s="20">
        <v>0</v>
      </c>
      <c r="I55" s="20">
        <v>6.847927769658241E-3</v>
      </c>
      <c r="J55" s="20">
        <v>3.2937701305141891E-2</v>
      </c>
      <c r="K55" s="20">
        <v>0.50767047574979329</v>
      </c>
      <c r="L55" s="20">
        <v>0</v>
      </c>
    </row>
    <row r="56" spans="1:12">
      <c r="A56" s="2" t="s">
        <v>337</v>
      </c>
      <c r="B56" s="3" t="s">
        <v>338</v>
      </c>
      <c r="D56" s="20">
        <v>1.4465530194108421E-4</v>
      </c>
      <c r="E56" s="20">
        <v>0.44098763403084157</v>
      </c>
      <c r="F56" s="20">
        <v>0.3150711013318534</v>
      </c>
      <c r="G56" s="20">
        <v>9.4124813003829425E-2</v>
      </c>
      <c r="H56" s="20">
        <v>0</v>
      </c>
      <c r="I56" s="20">
        <v>3.1791719695158746E-2</v>
      </c>
      <c r="J56" s="20">
        <v>1.1326569269630249E-2</v>
      </c>
      <c r="K56" s="20">
        <v>0.54754114139758714</v>
      </c>
      <c r="L56" s="20">
        <v>0</v>
      </c>
    </row>
    <row r="57" spans="1:12">
      <c r="A57" s="2" t="s">
        <v>279</v>
      </c>
      <c r="B57" s="3" t="s">
        <v>280</v>
      </c>
      <c r="D57" s="20">
        <v>7.9724240396880936E-3</v>
      </c>
      <c r="E57" s="20">
        <v>0.366053015627615</v>
      </c>
      <c r="F57" s="20">
        <v>0.14950805957057312</v>
      </c>
      <c r="G57" s="20">
        <v>2.9851087694303079E-2</v>
      </c>
      <c r="H57" s="20">
        <v>0</v>
      </c>
      <c r="I57" s="20">
        <v>0.1866938683627388</v>
      </c>
      <c r="J57" s="20">
        <v>3.5699644704025712E-3</v>
      </c>
      <c r="K57" s="20">
        <v>0.62240459586229435</v>
      </c>
      <c r="L57" s="20">
        <v>0</v>
      </c>
    </row>
    <row r="58" spans="1:12">
      <c r="A58" s="2" t="s">
        <v>339</v>
      </c>
      <c r="B58" s="3" t="s">
        <v>340</v>
      </c>
      <c r="D58" s="20">
        <v>1.4356961578939495E-6</v>
      </c>
      <c r="E58" s="20">
        <v>0.43638472311259702</v>
      </c>
      <c r="F58" s="20">
        <v>0.30348466630495602</v>
      </c>
      <c r="G58" s="20">
        <v>0.10481714069559947</v>
      </c>
      <c r="H58" s="20">
        <v>0</v>
      </c>
      <c r="I58" s="20">
        <v>2.8082916112041504E-2</v>
      </c>
      <c r="J58" s="20">
        <v>1.2622290679598211E-2</v>
      </c>
      <c r="K58" s="20">
        <v>0.55099155051164683</v>
      </c>
      <c r="L58" s="20">
        <v>0</v>
      </c>
    </row>
    <row r="59" spans="1:12">
      <c r="A59" s="2" t="s">
        <v>281</v>
      </c>
      <c r="B59" s="3" t="s">
        <v>282</v>
      </c>
      <c r="D59" s="20">
        <v>6.8141838408922539E-5</v>
      </c>
      <c r="E59" s="20">
        <v>0.36857897135797818</v>
      </c>
      <c r="F59" s="20">
        <v>0.17190482286396455</v>
      </c>
      <c r="G59" s="20">
        <v>3.3634394717184365E-2</v>
      </c>
      <c r="H59" s="20">
        <v>0</v>
      </c>
      <c r="I59" s="20">
        <v>0.16303975377682925</v>
      </c>
      <c r="J59" s="20">
        <v>4.0226118363933328E-3</v>
      </c>
      <c r="K59" s="20">
        <v>0.6273302749672196</v>
      </c>
      <c r="L59" s="20">
        <v>0</v>
      </c>
    </row>
    <row r="60" spans="1:12">
      <c r="A60" s="2" t="s">
        <v>341</v>
      </c>
      <c r="B60" s="3" t="s">
        <v>342</v>
      </c>
      <c r="D60" s="20">
        <v>2.1030365977600467E-3</v>
      </c>
      <c r="E60" s="20">
        <v>0.42863626895517493</v>
      </c>
      <c r="F60" s="20">
        <v>0.27171964929673575</v>
      </c>
      <c r="G60" s="20">
        <v>0.13684111390883888</v>
      </c>
      <c r="H60" s="20">
        <v>0</v>
      </c>
      <c r="I60" s="20">
        <v>2.0075505749600282E-2</v>
      </c>
      <c r="J60" s="20">
        <v>1.651008345322344E-2</v>
      </c>
      <c r="K60" s="20">
        <v>0.5527506109938416</v>
      </c>
      <c r="L60" s="20">
        <v>0</v>
      </c>
    </row>
    <row r="61" spans="1:12">
      <c r="A61" s="2" t="s">
        <v>483</v>
      </c>
      <c r="B61" s="3" t="s">
        <v>484</v>
      </c>
      <c r="D61" s="20">
        <v>1.444385282168904E-13</v>
      </c>
      <c r="E61" s="20">
        <v>0.62472970986306264</v>
      </c>
      <c r="F61" s="20">
        <v>8.4465637272225308E-2</v>
      </c>
      <c r="G61" s="20">
        <v>1.4073355559794941E-2</v>
      </c>
      <c r="H61" s="20">
        <v>0</v>
      </c>
      <c r="I61" s="20">
        <v>0.52619071703104237</v>
      </c>
      <c r="J61" s="20">
        <v>4.8367597107915336E-3</v>
      </c>
      <c r="K61" s="20">
        <v>0.37043353042600136</v>
      </c>
      <c r="L61" s="20">
        <v>0</v>
      </c>
    </row>
    <row r="62" spans="1:12">
      <c r="A62" s="2" t="s">
        <v>485</v>
      </c>
      <c r="B62" s="3" t="s">
        <v>486</v>
      </c>
      <c r="D62" s="20">
        <v>3.7098201631404356E-7</v>
      </c>
      <c r="E62" s="20">
        <v>0.42705890429485271</v>
      </c>
      <c r="F62" s="20">
        <v>7.3591401219243333E-2</v>
      </c>
      <c r="G62" s="20">
        <v>1.6170469425551084E-2</v>
      </c>
      <c r="H62" s="20">
        <v>0</v>
      </c>
      <c r="I62" s="20">
        <v>0.33729703365005831</v>
      </c>
      <c r="J62" s="20">
        <v>1.9418424405106926E-3</v>
      </c>
      <c r="K62" s="20">
        <v>0.57099888228262041</v>
      </c>
      <c r="L62" s="20">
        <v>0</v>
      </c>
    </row>
    <row r="63" spans="1:12">
      <c r="A63" s="2" t="s">
        <v>487</v>
      </c>
      <c r="B63" s="3" t="s">
        <v>488</v>
      </c>
      <c r="D63" s="20">
        <v>7.377422879128175E-13</v>
      </c>
      <c r="E63" s="20">
        <v>0.95831927731424049</v>
      </c>
      <c r="F63" s="20">
        <v>3.2904014569037211E-3</v>
      </c>
      <c r="G63" s="20">
        <v>4.3415583407432955E-4</v>
      </c>
      <c r="H63" s="20">
        <v>0</v>
      </c>
      <c r="I63" s="20">
        <v>0.9545947200232624</v>
      </c>
      <c r="J63" s="20">
        <v>4.2936262041821466E-4</v>
      </c>
      <c r="K63" s="20">
        <v>4.1251360064603358E-2</v>
      </c>
      <c r="L63" s="20">
        <v>0</v>
      </c>
    </row>
    <row r="64" spans="1:12">
      <c r="A64" s="2" t="s">
        <v>489</v>
      </c>
      <c r="B64" s="3" t="s">
        <v>490</v>
      </c>
      <c r="D64" s="20">
        <v>1.3288949590531589E-14</v>
      </c>
      <c r="E64" s="20">
        <v>0.99555714417911811</v>
      </c>
      <c r="F64" s="20">
        <v>1.2255164868158353E-3</v>
      </c>
      <c r="G64" s="20">
        <v>1.5215860536529969E-5</v>
      </c>
      <c r="H64" s="20">
        <v>0</v>
      </c>
      <c r="I64" s="20">
        <v>0.99431641183176578</v>
      </c>
      <c r="J64" s="20">
        <v>6.7542592667500049E-5</v>
      </c>
      <c r="K64" s="20">
        <v>4.3753132282011017E-3</v>
      </c>
      <c r="L64" s="20">
        <v>0</v>
      </c>
    </row>
    <row r="65" spans="1:12">
      <c r="A65" s="2" t="s">
        <v>491</v>
      </c>
      <c r="B65" s="3" t="s">
        <v>492</v>
      </c>
      <c r="D65" s="20">
        <v>2.1950279015395049E-12</v>
      </c>
      <c r="E65" s="20">
        <v>0.9979715777379512</v>
      </c>
      <c r="F65" s="20">
        <v>1.5912788630006135E-4</v>
      </c>
      <c r="G65" s="20">
        <v>7.0776619323545879E-6</v>
      </c>
      <c r="H65" s="20">
        <v>0</v>
      </c>
      <c r="I65" s="20">
        <v>0.99780537218971876</v>
      </c>
      <c r="J65" s="20">
        <v>9.4751878370130552E-5</v>
      </c>
      <c r="K65" s="20">
        <v>1.9336703814837445E-3</v>
      </c>
      <c r="L65" s="20">
        <v>0</v>
      </c>
    </row>
    <row r="66" spans="1:12">
      <c r="A66" s="2" t="s">
        <v>493</v>
      </c>
      <c r="B66" s="3" t="s">
        <v>494</v>
      </c>
      <c r="D66" s="20">
        <v>3.5302790630789464E-11</v>
      </c>
      <c r="E66" s="20">
        <v>0.97531084511633825</v>
      </c>
      <c r="F66" s="20">
        <v>2.4656997660777127E-2</v>
      </c>
      <c r="G66" s="20">
        <v>6.1794956779964369E-4</v>
      </c>
      <c r="H66" s="20">
        <v>0</v>
      </c>
      <c r="I66" s="20">
        <v>0.95003589788776144</v>
      </c>
      <c r="J66" s="20">
        <v>3.4574111273406585E-3</v>
      </c>
      <c r="K66" s="20">
        <v>2.123174372101861E-2</v>
      </c>
      <c r="L66" s="20">
        <v>0</v>
      </c>
    </row>
    <row r="67" spans="1:12">
      <c r="A67" s="2" t="s">
        <v>495</v>
      </c>
      <c r="B67" s="3" t="s">
        <v>496</v>
      </c>
      <c r="D67" s="20">
        <v>1.7144094895558904E-12</v>
      </c>
      <c r="E67" s="20">
        <v>0.99773639844700446</v>
      </c>
      <c r="F67" s="20">
        <v>1.3415242465927165E-4</v>
      </c>
      <c r="G67" s="20">
        <v>7.3335365446414891E-6</v>
      </c>
      <c r="H67" s="20">
        <v>0</v>
      </c>
      <c r="I67" s="20">
        <v>0.99759491248580057</v>
      </c>
      <c r="J67" s="20">
        <v>8.9768982941086067E-5</v>
      </c>
      <c r="K67" s="20">
        <v>2.1738325683399746E-3</v>
      </c>
      <c r="L67" s="20">
        <v>0</v>
      </c>
    </row>
    <row r="68" spans="1:12">
      <c r="A68" s="2" t="s">
        <v>497</v>
      </c>
      <c r="B68" s="3" t="s">
        <v>498</v>
      </c>
      <c r="D68" s="20">
        <v>1.5500491015426761E-11</v>
      </c>
      <c r="E68" s="20">
        <v>0.99905365889160136</v>
      </c>
      <c r="F68" s="20">
        <v>1.5950799804251502E-5</v>
      </c>
      <c r="G68" s="20">
        <v>1.2306896272272091E-6</v>
      </c>
      <c r="H68" s="20">
        <v>0</v>
      </c>
      <c r="I68" s="20">
        <v>0.99903647740216983</v>
      </c>
      <c r="J68" s="20">
        <v>6.8246767152118696E-5</v>
      </c>
      <c r="K68" s="20">
        <v>8.7809432574595034E-4</v>
      </c>
      <c r="L68" s="20">
        <v>0</v>
      </c>
    </row>
    <row r="69" spans="1:12">
      <c r="A69" s="2" t="s">
        <v>499</v>
      </c>
      <c r="B69" s="3" t="s">
        <v>500</v>
      </c>
      <c r="D69" s="20">
        <v>3.6086402521256024E-11</v>
      </c>
      <c r="E69" s="20">
        <v>0.44695636799478722</v>
      </c>
      <c r="F69" s="20">
        <v>0.32681938166885527</v>
      </c>
      <c r="G69" s="20">
        <v>8.4083999190170775E-2</v>
      </c>
      <c r="H69" s="20">
        <v>0</v>
      </c>
      <c r="I69" s="20">
        <v>3.6052987135761154E-2</v>
      </c>
      <c r="J69" s="20">
        <v>1.0110943745929357E-2</v>
      </c>
      <c r="K69" s="20">
        <v>0.54293268822319707</v>
      </c>
      <c r="L69" s="20">
        <v>0</v>
      </c>
    </row>
    <row r="70" spans="1:12">
      <c r="A70" s="2" t="s">
        <v>501</v>
      </c>
      <c r="B70" s="3" t="s">
        <v>411</v>
      </c>
      <c r="D70" s="20">
        <v>2.8558634656258464E-13</v>
      </c>
      <c r="E70" s="20">
        <v>0.99987415079224529</v>
      </c>
      <c r="F70" s="20">
        <v>3.0989292097907137E-3</v>
      </c>
      <c r="G70" s="20">
        <v>2.9451490569048343E-7</v>
      </c>
      <c r="H70" s="20">
        <v>0</v>
      </c>
      <c r="I70" s="20">
        <v>0.99677492706754889</v>
      </c>
      <c r="J70" s="20">
        <v>6.763621696882042E-5</v>
      </c>
      <c r="K70" s="20">
        <v>5.821299050038043E-5</v>
      </c>
      <c r="L70" s="20">
        <v>0</v>
      </c>
    </row>
    <row r="71" spans="1:12">
      <c r="A71" s="2" t="s">
        <v>502</v>
      </c>
      <c r="B71" s="3" t="s">
        <v>412</v>
      </c>
      <c r="D71" s="20">
        <v>1.336764000597711E-8</v>
      </c>
      <c r="E71" s="20">
        <v>0.99984844792929095</v>
      </c>
      <c r="F71" s="20">
        <v>5.9201047417059118E-3</v>
      </c>
      <c r="G71" s="20">
        <v>5.3801663574052964E-7</v>
      </c>
      <c r="H71" s="20">
        <v>0</v>
      </c>
      <c r="I71" s="20">
        <v>0.99392780517094925</v>
      </c>
      <c r="J71" s="20">
        <v>6.9822470642874645E-5</v>
      </c>
      <c r="K71" s="20">
        <v>8.1716232426344218E-5</v>
      </c>
      <c r="L71" s="20">
        <v>0</v>
      </c>
    </row>
    <row r="72" spans="1:12">
      <c r="A72" s="2" t="s">
        <v>503</v>
      </c>
      <c r="B72" s="3" t="s">
        <v>413</v>
      </c>
      <c r="D72" s="20">
        <v>1.6568401998529737E-9</v>
      </c>
      <c r="E72" s="20">
        <v>0.99443247902586607</v>
      </c>
      <c r="F72" s="20">
        <v>0.95643367761490761</v>
      </c>
      <c r="G72" s="20">
        <v>4.3925753402296276E-4</v>
      </c>
      <c r="H72" s="20">
        <v>0</v>
      </c>
      <c r="I72" s="20">
        <v>3.7559543876935469E-2</v>
      </c>
      <c r="J72" s="20">
        <v>4.7206198695213001E-3</v>
      </c>
      <c r="K72" s="20">
        <v>8.4689944777238191E-4</v>
      </c>
      <c r="L72" s="20">
        <v>0</v>
      </c>
    </row>
    <row r="73" spans="1:12">
      <c r="A73" s="2" t="s">
        <v>504</v>
      </c>
      <c r="B73" s="3" t="s">
        <v>414</v>
      </c>
      <c r="D73" s="20">
        <v>1.6961356302160278E-9</v>
      </c>
      <c r="E73" s="20">
        <v>0.9990123047753563</v>
      </c>
      <c r="F73" s="20">
        <v>0.72599697978696287</v>
      </c>
      <c r="G73" s="20">
        <v>4.1966154308475507E-5</v>
      </c>
      <c r="H73" s="20">
        <v>0</v>
      </c>
      <c r="I73" s="20">
        <v>0.27297335883408497</v>
      </c>
      <c r="J73" s="20">
        <v>4.4965694815957992E-4</v>
      </c>
      <c r="K73" s="20">
        <v>5.3803658034835616E-4</v>
      </c>
      <c r="L73" s="20">
        <v>0</v>
      </c>
    </row>
    <row r="74" spans="1:12">
      <c r="A74" s="2" t="s">
        <v>505</v>
      </c>
      <c r="B74" s="3" t="s">
        <v>415</v>
      </c>
      <c r="D74" s="20">
        <v>1.6446068041147584E-9</v>
      </c>
      <c r="E74" s="20">
        <v>0.99985322577634739</v>
      </c>
      <c r="F74" s="20">
        <v>5.3596486347628628E-3</v>
      </c>
      <c r="G74" s="20">
        <v>4.8921602949148899E-7</v>
      </c>
      <c r="H74" s="20">
        <v>0</v>
      </c>
      <c r="I74" s="20">
        <v>0.99449308792555502</v>
      </c>
      <c r="J74" s="20">
        <v>6.9395325778862758E-5</v>
      </c>
      <c r="K74" s="20">
        <v>7.7377253266957212E-5</v>
      </c>
      <c r="L74" s="20">
        <v>0</v>
      </c>
    </row>
    <row r="75" spans="1:12">
      <c r="A75" s="2" t="s">
        <v>506</v>
      </c>
      <c r="B75" s="3" t="s">
        <v>416</v>
      </c>
      <c r="D75" s="20">
        <v>6.965164722275984E-9</v>
      </c>
      <c r="E75" s="20">
        <v>0.99900877615351169</v>
      </c>
      <c r="F75" s="20">
        <v>0.68993095114079317</v>
      </c>
      <c r="G75" s="20">
        <v>4.0398941622650344E-5</v>
      </c>
      <c r="H75" s="20">
        <v>0</v>
      </c>
      <c r="I75" s="20">
        <v>0.30903742607109591</v>
      </c>
      <c r="J75" s="20">
        <v>4.3520686143074395E-4</v>
      </c>
      <c r="K75" s="20">
        <v>5.5601001989286634E-4</v>
      </c>
      <c r="L75" s="20">
        <v>0</v>
      </c>
    </row>
    <row r="76" spans="1:12">
      <c r="A76" s="2" t="s">
        <v>507</v>
      </c>
      <c r="B76" s="3" t="s">
        <v>417</v>
      </c>
      <c r="D76" s="20">
        <v>4.4203684800987371E-8</v>
      </c>
      <c r="E76" s="20">
        <v>0.99950855514050085</v>
      </c>
      <c r="F76" s="20">
        <v>0.10927809679304126</v>
      </c>
      <c r="G76" s="20">
        <v>7.9469308963032602E-6</v>
      </c>
      <c r="H76" s="20">
        <v>0</v>
      </c>
      <c r="I76" s="20">
        <v>0.89022251141656328</v>
      </c>
      <c r="J76" s="20">
        <v>1.3714885460553954E-4</v>
      </c>
      <c r="K76" s="20">
        <v>3.5425180120882957E-4</v>
      </c>
      <c r="L76" s="20">
        <v>0</v>
      </c>
    </row>
    <row r="77" spans="1:12">
      <c r="A77" s="2" t="s">
        <v>508</v>
      </c>
      <c r="B77" s="3" t="s">
        <v>418</v>
      </c>
      <c r="D77" s="20">
        <v>5.1881814053904529E-8</v>
      </c>
      <c r="E77" s="20">
        <v>0.9990091273264381</v>
      </c>
      <c r="F77" s="20">
        <v>0.71596171887717075</v>
      </c>
      <c r="G77" s="20">
        <v>4.1663535042499188E-5</v>
      </c>
      <c r="H77" s="20">
        <v>0</v>
      </c>
      <c r="I77" s="20">
        <v>0.28300574491422487</v>
      </c>
      <c r="J77" s="20">
        <v>4.4573012431035252E-4</v>
      </c>
      <c r="K77" s="20">
        <v>5.4509066743747717E-4</v>
      </c>
      <c r="L77" s="20">
        <v>0</v>
      </c>
    </row>
    <row r="78" spans="1:12">
      <c r="A78" s="2" t="s">
        <v>509</v>
      </c>
      <c r="B78" s="3" t="s">
        <v>419</v>
      </c>
      <c r="D78" s="20">
        <v>6.6416854119887164E-9</v>
      </c>
      <c r="E78" s="20">
        <v>0.99525552895256386</v>
      </c>
      <c r="F78" s="20">
        <v>0.95335036625322378</v>
      </c>
      <c r="G78" s="20">
        <v>3.6788908001402881E-4</v>
      </c>
      <c r="H78" s="20">
        <v>0</v>
      </c>
      <c r="I78" s="20">
        <v>4.1537273619326021E-2</v>
      </c>
      <c r="J78" s="20">
        <v>3.943469917809324E-3</v>
      </c>
      <c r="K78" s="20">
        <v>8.0099448794147506E-4</v>
      </c>
      <c r="L78" s="20">
        <v>0</v>
      </c>
    </row>
    <row r="79" spans="1:12">
      <c r="A79" s="2" t="s">
        <v>510</v>
      </c>
      <c r="B79" s="3" t="s">
        <v>420</v>
      </c>
      <c r="D79" s="20">
        <v>1.6683163615398039E-13</v>
      </c>
      <c r="E79" s="20">
        <v>0.99525566827583845</v>
      </c>
      <c r="F79" s="20">
        <v>0.95335055547947778</v>
      </c>
      <c r="G79" s="20">
        <v>3.6783093248680184E-4</v>
      </c>
      <c r="H79" s="20">
        <v>0</v>
      </c>
      <c r="I79" s="20">
        <v>4.1537281863873857E-2</v>
      </c>
      <c r="J79" s="20">
        <v>3.9434638390193509E-3</v>
      </c>
      <c r="K79" s="20">
        <v>8.0086788497518301E-4</v>
      </c>
      <c r="L79" s="20">
        <v>0</v>
      </c>
    </row>
    <row r="80" spans="1:12">
      <c r="A80" s="2" t="s">
        <v>511</v>
      </c>
      <c r="B80" s="3" t="s">
        <v>421</v>
      </c>
      <c r="D80" s="20">
        <v>7.8245178581045088E-9</v>
      </c>
      <c r="E80" s="20">
        <v>0.99918742793567306</v>
      </c>
      <c r="F80" s="20">
        <v>0.33214813844886582</v>
      </c>
      <c r="G80" s="20">
        <v>2.1721818568691384E-5</v>
      </c>
      <c r="H80" s="20">
        <v>0</v>
      </c>
      <c r="I80" s="20">
        <v>0.6670175676682385</v>
      </c>
      <c r="J80" s="20">
        <v>2.6351813792879742E-4</v>
      </c>
      <c r="K80" s="20">
        <v>5.4904610188029584E-4</v>
      </c>
      <c r="L80" s="20">
        <v>0</v>
      </c>
    </row>
    <row r="81" spans="1:12">
      <c r="A81" s="2" t="s">
        <v>512</v>
      </c>
      <c r="B81" s="3" t="s">
        <v>422</v>
      </c>
      <c r="D81" s="20">
        <v>3.1015790810787655E-9</v>
      </c>
      <c r="E81" s="20">
        <v>0.99975153555850216</v>
      </c>
      <c r="F81" s="20">
        <v>2.3586152136649705E-2</v>
      </c>
      <c r="G81" s="20">
        <v>1.9276201377702995E-6</v>
      </c>
      <c r="H81" s="20">
        <v>0</v>
      </c>
      <c r="I81" s="20">
        <v>0.97616345580171471</v>
      </c>
      <c r="J81" s="20">
        <v>8.2451402725912569E-5</v>
      </c>
      <c r="K81" s="20">
        <v>1.6600993719285821E-4</v>
      </c>
      <c r="L81" s="20">
        <v>0</v>
      </c>
    </row>
    <row r="82" spans="1:12">
      <c r="A82" s="2" t="s">
        <v>513</v>
      </c>
      <c r="B82" s="3" t="s">
        <v>423</v>
      </c>
      <c r="D82" s="20">
        <v>9.9372290421762349E-13</v>
      </c>
      <c r="E82" s="20">
        <v>0.99962784733646137</v>
      </c>
      <c r="F82" s="20">
        <v>6.0192102698800549E-2</v>
      </c>
      <c r="G82" s="20">
        <v>4.5775715262381842E-6</v>
      </c>
      <c r="H82" s="20">
        <v>0</v>
      </c>
      <c r="I82" s="20">
        <v>0.93943116706613461</v>
      </c>
      <c r="J82" s="20">
        <v>1.0660176747937253E-4</v>
      </c>
      <c r="K82" s="20">
        <v>2.6555089506540317E-4</v>
      </c>
      <c r="L82" s="20">
        <v>0</v>
      </c>
    </row>
    <row r="83" spans="1:12">
      <c r="A83" s="2" t="s">
        <v>514</v>
      </c>
      <c r="B83" s="3" t="s">
        <v>424</v>
      </c>
      <c r="D83" s="20">
        <v>2.3976459042134035E-9</v>
      </c>
      <c r="E83" s="20">
        <v>0.99129495637799525</v>
      </c>
      <c r="F83" s="20">
        <v>0.96218654930195424</v>
      </c>
      <c r="G83" s="20">
        <v>7.1322020950605625E-4</v>
      </c>
      <c r="H83" s="20">
        <v>0</v>
      </c>
      <c r="I83" s="20">
        <v>2.8395186866535006E-2</v>
      </c>
      <c r="J83" s="20">
        <v>7.7207213110173315E-3</v>
      </c>
      <c r="K83" s="20">
        <v>9.8431991334157554E-4</v>
      </c>
      <c r="L83" s="20">
        <v>0</v>
      </c>
    </row>
    <row r="84" spans="1:12">
      <c r="A84" s="2" t="s">
        <v>403</v>
      </c>
      <c r="B84" s="3" t="s">
        <v>404</v>
      </c>
      <c r="D84" s="20">
        <v>6.7877747699980301E-44</v>
      </c>
      <c r="E84" s="20">
        <v>0.49028227436685345</v>
      </c>
      <c r="F84" s="20">
        <v>4.685993028418451E-2</v>
      </c>
      <c r="G84" s="20">
        <v>1.0841695200334381E-2</v>
      </c>
      <c r="H84" s="20">
        <v>0</v>
      </c>
      <c r="I84" s="20">
        <v>0.43258064888233455</v>
      </c>
      <c r="J84" s="20">
        <v>1.3127127398476447E-3</v>
      </c>
      <c r="K84" s="20">
        <v>0.50840501289329898</v>
      </c>
      <c r="L84" s="20">
        <v>0</v>
      </c>
    </row>
    <row r="85" spans="1:12">
      <c r="A85" s="2" t="s">
        <v>405</v>
      </c>
      <c r="B85" s="3" t="s">
        <v>406</v>
      </c>
      <c r="D85" s="20">
        <v>7.7057763160005412E-8</v>
      </c>
      <c r="E85" s="20">
        <v>0.74725268055543548</v>
      </c>
      <c r="F85" s="20">
        <v>0.44196033914787264</v>
      </c>
      <c r="G85" s="20">
        <v>2.3105059459595154E-2</v>
      </c>
      <c r="H85" s="20">
        <v>0</v>
      </c>
      <c r="I85" s="20">
        <v>0.28218728194796772</v>
      </c>
      <c r="J85" s="20">
        <v>0.16580722533361414</v>
      </c>
      <c r="K85" s="20">
        <v>8.6940017053187268E-2</v>
      </c>
      <c r="L85" s="20">
        <v>0</v>
      </c>
    </row>
    <row r="86" spans="1:12">
      <c r="A86" s="2" t="s">
        <v>407</v>
      </c>
      <c r="B86" s="3" t="s">
        <v>408</v>
      </c>
      <c r="D86" s="20">
        <v>1.5485031484664045E-4</v>
      </c>
      <c r="E86" s="20">
        <v>0.5455042218613162</v>
      </c>
      <c r="F86" s="20">
        <v>0.10353479015528347</v>
      </c>
      <c r="G86" s="20">
        <v>0.43982697646714858</v>
      </c>
      <c r="H86" s="20">
        <v>0</v>
      </c>
      <c r="I86" s="20">
        <v>2.1424552388841123E-3</v>
      </c>
      <c r="J86" s="20">
        <v>5.3663853905304974E-2</v>
      </c>
      <c r="K86" s="20">
        <v>0.40067707391853236</v>
      </c>
      <c r="L86" s="20">
        <v>0</v>
      </c>
    </row>
    <row r="87" spans="1:12">
      <c r="A87" s="2" t="s">
        <v>409</v>
      </c>
      <c r="B87" s="3" t="s">
        <v>410</v>
      </c>
      <c r="D87" s="20">
        <v>2.1690536804209113E-5</v>
      </c>
      <c r="E87" s="20">
        <v>0.62583206705380667</v>
      </c>
      <c r="F87" s="20">
        <v>6.3116733571064856E-2</v>
      </c>
      <c r="G87" s="20">
        <v>0.56187546755142903</v>
      </c>
      <c r="H87" s="20">
        <v>0</v>
      </c>
      <c r="I87" s="20">
        <v>8.3986593131276266E-4</v>
      </c>
      <c r="J87" s="20">
        <v>6.8828037011139057E-2</v>
      </c>
      <c r="K87" s="20">
        <v>0.30531820539824983</v>
      </c>
      <c r="L87" s="20">
        <v>0</v>
      </c>
    </row>
    <row r="88" spans="1:12">
      <c r="A88" s="2" t="s">
        <v>301</v>
      </c>
      <c r="B88" s="3" t="s">
        <v>302</v>
      </c>
      <c r="D88" s="20">
        <v>3.0073743273601262E-6</v>
      </c>
      <c r="E88" s="20">
        <v>0.71163576280283569</v>
      </c>
      <c r="F88" s="20">
        <v>3.2859556906817695E-2</v>
      </c>
      <c r="G88" s="20">
        <v>0.67851157097516268</v>
      </c>
      <c r="H88" s="20">
        <v>0</v>
      </c>
      <c r="I88" s="20">
        <v>2.646349208552656E-4</v>
      </c>
      <c r="J88" s="20">
        <v>8.3495229398963061E-2</v>
      </c>
      <c r="K88" s="20">
        <v>0.20486600042387393</v>
      </c>
      <c r="L88" s="20">
        <v>0</v>
      </c>
    </row>
    <row r="89" spans="1:12">
      <c r="A89" s="2" t="s">
        <v>303</v>
      </c>
      <c r="B89" s="3" t="s">
        <v>304</v>
      </c>
      <c r="D89" s="20">
        <v>8.7308887699941431E-13</v>
      </c>
      <c r="E89" s="20">
        <v>0.28288957122806374</v>
      </c>
      <c r="F89" s="20">
        <v>7.6692953665721306E-2</v>
      </c>
      <c r="G89" s="20">
        <v>0.19946262944920196</v>
      </c>
      <c r="H89" s="20">
        <v>0</v>
      </c>
      <c r="I89" s="20">
        <v>6.733988113140482E-3</v>
      </c>
      <c r="J89" s="20">
        <v>0.63297591863256952</v>
      </c>
      <c r="K89" s="20">
        <v>8.4134510138493573E-2</v>
      </c>
      <c r="L89" s="20">
        <v>0</v>
      </c>
    </row>
    <row r="90" spans="1:12">
      <c r="A90" s="2" t="s">
        <v>425</v>
      </c>
      <c r="B90" s="3" t="s">
        <v>426</v>
      </c>
      <c r="D90" s="20">
        <v>1.598601919877119E-13</v>
      </c>
      <c r="E90" s="20">
        <v>0.97486940629652963</v>
      </c>
      <c r="F90" s="20">
        <v>9.1433759949895822E-5</v>
      </c>
      <c r="G90" s="20">
        <v>3.0699539867615814E-5</v>
      </c>
      <c r="H90" s="20">
        <v>0</v>
      </c>
      <c r="I90" s="20">
        <v>0.97474727299671216</v>
      </c>
      <c r="J90" s="20">
        <v>6.6933342427425937E-5</v>
      </c>
      <c r="K90" s="20">
        <v>2.5063660360883176E-2</v>
      </c>
      <c r="L90" s="20">
        <v>0</v>
      </c>
    </row>
    <row r="91" spans="1:12">
      <c r="A91" s="2" t="s">
        <v>427</v>
      </c>
      <c r="B91" s="3" t="s">
        <v>428</v>
      </c>
      <c r="D91" s="20">
        <v>8.7807378390395197E-5</v>
      </c>
      <c r="E91" s="20">
        <v>0.77350990074434678</v>
      </c>
      <c r="F91" s="20">
        <v>5.8587534973904868E-3</v>
      </c>
      <c r="G91" s="20">
        <v>1.6477858956183426E-3</v>
      </c>
      <c r="H91" s="20">
        <v>0</v>
      </c>
      <c r="I91" s="20">
        <v>0.76600336135133795</v>
      </c>
      <c r="J91" s="20">
        <v>2.4353323205932587E-4</v>
      </c>
      <c r="K91" s="20">
        <v>0.22615875864520338</v>
      </c>
      <c r="L91" s="20">
        <v>0</v>
      </c>
    </row>
    <row r="92" spans="1:12">
      <c r="A92" s="2" t="s">
        <v>429</v>
      </c>
      <c r="B92" s="3" t="s">
        <v>430</v>
      </c>
      <c r="D92" s="20">
        <v>1.0650175579244253E-3</v>
      </c>
      <c r="E92" s="20">
        <v>0.39125403059681607</v>
      </c>
      <c r="F92" s="20">
        <v>0.10149180643814466</v>
      </c>
      <c r="G92" s="20">
        <v>2.1415417124078164E-2</v>
      </c>
      <c r="H92" s="20">
        <v>0</v>
      </c>
      <c r="I92" s="20">
        <v>0.26834680703459324</v>
      </c>
      <c r="J92" s="20">
        <v>2.5642104689246967E-3</v>
      </c>
      <c r="K92" s="20">
        <v>0.60511674137633475</v>
      </c>
      <c r="L92" s="20">
        <v>0</v>
      </c>
    </row>
    <row r="93" spans="1:12">
      <c r="A93" s="2" t="s">
        <v>431</v>
      </c>
      <c r="B93" s="3" t="s">
        <v>432</v>
      </c>
      <c r="D93" s="20">
        <v>1.2058131925703117E-17</v>
      </c>
      <c r="E93" s="20">
        <v>0.99978149980562769</v>
      </c>
      <c r="F93" s="20">
        <v>4.3633486271263264E-4</v>
      </c>
      <c r="G93" s="20">
        <v>3.4957618257456135E-7</v>
      </c>
      <c r="H93" s="20">
        <v>0</v>
      </c>
      <c r="I93" s="20">
        <v>0.99934481536673248</v>
      </c>
      <c r="J93" s="20">
        <v>6.5442747009775354E-5</v>
      </c>
      <c r="K93" s="20">
        <v>1.5305744736249967E-4</v>
      </c>
      <c r="L93" s="20">
        <v>0</v>
      </c>
    </row>
    <row r="94" spans="1:12">
      <c r="A94" s="2" t="s">
        <v>433</v>
      </c>
      <c r="B94" s="3" t="s">
        <v>434</v>
      </c>
      <c r="D94" s="20">
        <v>2.5386305072055343E-18</v>
      </c>
      <c r="E94" s="20">
        <v>0.99993068299886967</v>
      </c>
      <c r="F94" s="20">
        <v>1.6915066515388583E-6</v>
      </c>
      <c r="G94" s="20">
        <v>2.3603116591445481E-9</v>
      </c>
      <c r="H94" s="20">
        <v>0</v>
      </c>
      <c r="I94" s="20">
        <v>0.99992898913190642</v>
      </c>
      <c r="J94" s="20">
        <v>6.5459713876019494E-5</v>
      </c>
      <c r="K94" s="20">
        <v>3.8572872542480198E-6</v>
      </c>
      <c r="L94" s="20">
        <v>0</v>
      </c>
    </row>
    <row r="95" spans="1:12">
      <c r="A95" s="2" t="s">
        <v>435</v>
      </c>
      <c r="B95" s="3" t="s">
        <v>436</v>
      </c>
      <c r="D95" s="20">
        <v>1.3641423523630016E-8</v>
      </c>
      <c r="E95" s="20">
        <v>0.94193339450585312</v>
      </c>
      <c r="F95" s="20">
        <v>3.7420113434571728E-4</v>
      </c>
      <c r="G95" s="20">
        <v>1.2978853966570821E-4</v>
      </c>
      <c r="H95" s="20">
        <v>0</v>
      </c>
      <c r="I95" s="20">
        <v>0.94142940483184168</v>
      </c>
      <c r="J95" s="20">
        <v>7.7143618320042861E-5</v>
      </c>
      <c r="K95" s="20">
        <v>5.7989448234403315E-2</v>
      </c>
      <c r="L95" s="20">
        <v>0</v>
      </c>
    </row>
    <row r="96" spans="1:12">
      <c r="A96" s="2" t="s">
        <v>437</v>
      </c>
      <c r="B96" s="165" t="s">
        <v>438</v>
      </c>
      <c r="D96" s="20">
        <v>2.7614448333877622E-7</v>
      </c>
      <c r="E96" s="20">
        <v>0.5179782909208247</v>
      </c>
      <c r="F96" s="20">
        <v>0.12190193136042921</v>
      </c>
      <c r="G96" s="20">
        <v>0.39310280414772758</v>
      </c>
      <c r="H96" s="20">
        <v>0</v>
      </c>
      <c r="I96" s="20">
        <v>2.973555412667939E-3</v>
      </c>
      <c r="J96" s="20">
        <v>4.7892458420447558E-2</v>
      </c>
      <c r="K96" s="20">
        <v>0.43412897451424437</v>
      </c>
      <c r="L96" s="20">
        <v>0</v>
      </c>
    </row>
    <row r="97" spans="1:12">
      <c r="A97" s="2" t="s">
        <v>439</v>
      </c>
      <c r="B97" s="3" t="s">
        <v>440</v>
      </c>
      <c r="D97" s="20">
        <v>4.5064602050493404E-5</v>
      </c>
      <c r="E97" s="20">
        <v>0.69481695316689307</v>
      </c>
      <c r="F97" s="20">
        <v>1.158003188526939E-2</v>
      </c>
      <c r="G97" s="20">
        <v>3.0704731964459743E-3</v>
      </c>
      <c r="H97" s="20">
        <v>0</v>
      </c>
      <c r="I97" s="20">
        <v>0.68016644808517768</v>
      </c>
      <c r="J97" s="20">
        <v>4.0606704888287174E-4</v>
      </c>
      <c r="K97" s="20">
        <v>0.30473191518217352</v>
      </c>
      <c r="L97" s="20">
        <v>0</v>
      </c>
    </row>
    <row r="98" spans="1:12">
      <c r="A98" s="2" t="s">
        <v>441</v>
      </c>
      <c r="B98" s="3" t="s">
        <v>442</v>
      </c>
      <c r="D98" s="20">
        <v>2.920727978058539E-17</v>
      </c>
      <c r="E98" s="20">
        <v>0.75986404076331404</v>
      </c>
      <c r="F98" s="20">
        <v>6.6767532384844931E-3</v>
      </c>
      <c r="G98" s="20">
        <v>1.8572094341772977E-3</v>
      </c>
      <c r="H98" s="20">
        <v>0</v>
      </c>
      <c r="I98" s="20">
        <v>0.75133007809065222</v>
      </c>
      <c r="J98" s="20">
        <v>2.6729776608635104E-4</v>
      </c>
      <c r="K98" s="20">
        <v>0.23986866147059963</v>
      </c>
      <c r="L98" s="20">
        <v>0</v>
      </c>
    </row>
    <row r="99" spans="1:12">
      <c r="A99" s="2" t="s">
        <v>443</v>
      </c>
      <c r="B99" s="3" t="s">
        <v>444</v>
      </c>
      <c r="D99" s="20">
        <v>4.2635284036458664E-29</v>
      </c>
      <c r="E99" s="20">
        <v>0.88113279418419865</v>
      </c>
      <c r="F99" s="20">
        <v>1.4998346251458424E-3</v>
      </c>
      <c r="G99" s="20">
        <v>4.7112801620827628E-4</v>
      </c>
      <c r="H99" s="20">
        <v>0</v>
      </c>
      <c r="I99" s="20">
        <v>0.87916183154284455</v>
      </c>
      <c r="J99" s="20">
        <v>1.1229949212609735E-4</v>
      </c>
      <c r="K99" s="20">
        <v>0.11875490632367522</v>
      </c>
      <c r="L99" s="20">
        <v>0</v>
      </c>
    </row>
    <row r="100" spans="1:12">
      <c r="A100" s="2" t="s">
        <v>445</v>
      </c>
      <c r="B100" s="3" t="s">
        <v>446</v>
      </c>
      <c r="D100" s="20">
        <v>2.3780700305600462E-7</v>
      </c>
      <c r="E100" s="20">
        <v>0.42948240984390029</v>
      </c>
      <c r="F100" s="20">
        <v>0.25141943997044452</v>
      </c>
      <c r="G100" s="20">
        <v>0.16202961872213223</v>
      </c>
      <c r="H100" s="20">
        <v>0</v>
      </c>
      <c r="I100" s="20">
        <v>1.6033351151323511E-2</v>
      </c>
      <c r="J100" s="20">
        <v>1.9573881589931331E-2</v>
      </c>
      <c r="K100" s="20">
        <v>0.5509434707591655</v>
      </c>
      <c r="L100" s="20">
        <v>0</v>
      </c>
    </row>
    <row r="101" spans="1:12">
      <c r="A101" s="2" t="s">
        <v>447</v>
      </c>
      <c r="B101" s="3" t="s">
        <v>448</v>
      </c>
      <c r="D101" s="20">
        <v>8.1804862820343557E-9</v>
      </c>
      <c r="E101" s="20">
        <v>0.42139715358064733</v>
      </c>
      <c r="F101" s="20">
        <v>7.7028836071879395E-2</v>
      </c>
      <c r="G101" s="20">
        <v>1.6832510380477426E-2</v>
      </c>
      <c r="H101" s="20">
        <v>0</v>
      </c>
      <c r="I101" s="20">
        <v>0.3275358071282905</v>
      </c>
      <c r="J101" s="20">
        <v>2.020252411928897E-3</v>
      </c>
      <c r="K101" s="20">
        <v>0.57658258582693744</v>
      </c>
      <c r="L101" s="20">
        <v>0</v>
      </c>
    </row>
    <row r="102" spans="1:12">
      <c r="A102" s="2" t="s">
        <v>449</v>
      </c>
      <c r="B102" s="3" t="s">
        <v>450</v>
      </c>
      <c r="D102" s="20">
        <v>6.3971972273595828E-4</v>
      </c>
      <c r="E102" s="20">
        <v>0.37676945823553976</v>
      </c>
      <c r="F102" s="20">
        <v>0.21002159637667386</v>
      </c>
      <c r="G102" s="20">
        <v>3.9752048225462723E-2</v>
      </c>
      <c r="H102" s="20">
        <v>0</v>
      </c>
      <c r="I102" s="20">
        <v>0.12699581363340318</v>
      </c>
      <c r="J102" s="20">
        <v>4.7563427758297973E-3</v>
      </c>
      <c r="K102" s="20">
        <v>0.61783447926589441</v>
      </c>
      <c r="L102" s="20">
        <v>0</v>
      </c>
    </row>
    <row r="103" spans="1:12">
      <c r="A103" s="2" t="s">
        <v>451</v>
      </c>
      <c r="B103" s="3" t="s">
        <v>452</v>
      </c>
      <c r="D103" s="20">
        <v>4.8435329185450214E-19</v>
      </c>
      <c r="E103" s="20">
        <v>0.9997963509798713</v>
      </c>
      <c r="F103" s="20">
        <v>1.1562553622597534E-2</v>
      </c>
      <c r="G103" s="20">
        <v>1.1220932968847302E-6</v>
      </c>
      <c r="H103" s="20">
        <v>0</v>
      </c>
      <c r="I103" s="20">
        <v>0.98823267526397685</v>
      </c>
      <c r="J103" s="20">
        <v>7.4008251113361293E-5</v>
      </c>
      <c r="K103" s="20">
        <v>1.2964076901558942E-4</v>
      </c>
      <c r="L103" s="20">
        <v>0</v>
      </c>
    </row>
    <row r="104" spans="1:12">
      <c r="A104" s="2" t="s">
        <v>453</v>
      </c>
      <c r="B104" s="3" t="s">
        <v>454</v>
      </c>
      <c r="D104" s="20">
        <v>1.0193587592865762E-19</v>
      </c>
      <c r="E104" s="20">
        <v>0.99289940874771643</v>
      </c>
      <c r="F104" s="20">
        <v>0.89130593634752864</v>
      </c>
      <c r="G104" s="20">
        <v>9.4382711380652708E-4</v>
      </c>
      <c r="H104" s="20">
        <v>0</v>
      </c>
      <c r="I104" s="20">
        <v>0.10064964528638129</v>
      </c>
      <c r="J104" s="20">
        <v>8.3726434304514351E-4</v>
      </c>
      <c r="K104" s="20">
        <v>6.2633269092383335E-3</v>
      </c>
      <c r="L104" s="20">
        <v>0</v>
      </c>
    </row>
    <row r="105" spans="1:12">
      <c r="A105" s="2" t="s">
        <v>455</v>
      </c>
      <c r="B105" s="165">
        <v>354656</v>
      </c>
      <c r="D105" s="20">
        <v>3.6777661209086872E-10</v>
      </c>
      <c r="E105" s="20">
        <v>0.96989487604818159</v>
      </c>
      <c r="F105" s="20">
        <v>9.8052421330548374E-5</v>
      </c>
      <c r="G105" s="20">
        <v>3.7927470399742316E-5</v>
      </c>
      <c r="H105" s="20">
        <v>0</v>
      </c>
      <c r="I105" s="20">
        <v>0.96975889615645128</v>
      </c>
      <c r="J105" s="20">
        <v>6.7435124123510726E-5</v>
      </c>
      <c r="K105" s="20">
        <v>3.0037688459918267E-2</v>
      </c>
      <c r="L105" s="20">
        <v>0</v>
      </c>
    </row>
    <row r="106" spans="1:12">
      <c r="A106" s="2" t="s">
        <v>457</v>
      </c>
      <c r="B106" s="3" t="s">
        <v>458</v>
      </c>
      <c r="D106" s="20">
        <v>5.4706967451945961E-10</v>
      </c>
      <c r="E106" s="20">
        <v>0.93920211931501441</v>
      </c>
      <c r="F106" s="20">
        <v>4.0573491437739004E-4</v>
      </c>
      <c r="G106" s="20">
        <v>1.4009346565082092E-4</v>
      </c>
      <c r="H106" s="20">
        <v>0</v>
      </c>
      <c r="I106" s="20">
        <v>0.93865629093498615</v>
      </c>
      <c r="J106" s="20">
        <v>7.8055362535379332E-5</v>
      </c>
      <c r="K106" s="20">
        <v>6.0719824775380619E-2</v>
      </c>
      <c r="L106" s="20">
        <v>0</v>
      </c>
    </row>
    <row r="107" spans="1:12">
      <c r="A107" s="2" t="s">
        <v>459</v>
      </c>
      <c r="B107" s="3" t="s">
        <v>460</v>
      </c>
      <c r="D107" s="20">
        <v>1.8855470678423383E-19</v>
      </c>
      <c r="E107" s="20">
        <v>0.42950578145529905</v>
      </c>
      <c r="F107" s="20">
        <v>0.2922407145769933</v>
      </c>
      <c r="G107" s="20">
        <v>5.1148030317126406E-2</v>
      </c>
      <c r="H107" s="20">
        <v>0</v>
      </c>
      <c r="I107" s="20">
        <v>8.6117036561179375E-2</v>
      </c>
      <c r="J107" s="20">
        <v>7.1918926217682706E-3</v>
      </c>
      <c r="K107" s="20">
        <v>0.5633023259229325</v>
      </c>
      <c r="L107" s="20">
        <v>0</v>
      </c>
    </row>
    <row r="108" spans="1:12">
      <c r="A108" s="2" t="s">
        <v>461</v>
      </c>
      <c r="B108" s="3" t="s">
        <v>462</v>
      </c>
      <c r="D108" s="20">
        <v>1.096821486168153E-9</v>
      </c>
      <c r="E108" s="20">
        <v>0.99987937460249865</v>
      </c>
      <c r="F108" s="20">
        <v>8.7615822030142962E-7</v>
      </c>
      <c r="G108" s="20">
        <v>2.5394760519190602E-8</v>
      </c>
      <c r="H108" s="20">
        <v>0</v>
      </c>
      <c r="I108" s="20">
        <v>0.99987847304951782</v>
      </c>
      <c r="J108" s="20">
        <v>6.5231062715921025E-5</v>
      </c>
      <c r="K108" s="20">
        <v>5.5393237964018787E-5</v>
      </c>
      <c r="L108" s="20">
        <v>0</v>
      </c>
    </row>
    <row r="109" spans="1:12">
      <c r="A109" s="2" t="s">
        <v>463</v>
      </c>
      <c r="B109" s="3" t="s">
        <v>464</v>
      </c>
      <c r="D109" s="20">
        <v>2.9608765932108189E-12</v>
      </c>
      <c r="E109" s="20">
        <v>0.97987699988191423</v>
      </c>
      <c r="F109" s="20">
        <v>6.078792449334171E-3</v>
      </c>
      <c r="G109" s="20">
        <v>3.0215055146346945E-4</v>
      </c>
      <c r="H109" s="20">
        <v>0</v>
      </c>
      <c r="I109" s="20">
        <v>0.97349605688111662</v>
      </c>
      <c r="J109" s="20">
        <v>9.2146186432046084E-4</v>
      </c>
      <c r="K109" s="20">
        <v>1.9201538250804367E-2</v>
      </c>
      <c r="L109" s="20">
        <v>0</v>
      </c>
    </row>
    <row r="110" spans="1:12">
      <c r="A110" s="2" t="s">
        <v>465</v>
      </c>
      <c r="B110" s="3" t="s">
        <v>466</v>
      </c>
      <c r="D110" s="20">
        <v>2.082866908662199E-11</v>
      </c>
      <c r="E110" s="20">
        <v>0.99369875096311466</v>
      </c>
      <c r="F110" s="20">
        <v>2.2409781709560941E-5</v>
      </c>
      <c r="G110" s="20">
        <v>4.287500185338666E-6</v>
      </c>
      <c r="H110" s="20">
        <v>0</v>
      </c>
      <c r="I110" s="20">
        <v>0.9936720536812198</v>
      </c>
      <c r="J110" s="20">
        <v>6.5095720349837722E-5</v>
      </c>
      <c r="K110" s="20">
        <v>6.2361532957067606E-3</v>
      </c>
      <c r="L110" s="20">
        <v>0</v>
      </c>
    </row>
    <row r="111" spans="1:12">
      <c r="A111" s="2" t="s">
        <v>467</v>
      </c>
      <c r="B111" s="3" t="s">
        <v>468</v>
      </c>
      <c r="D111" s="20">
        <v>3.7015411646837271E-30</v>
      </c>
      <c r="E111" s="20">
        <v>0.99992940667339336</v>
      </c>
      <c r="F111" s="20">
        <v>1.5922204548870521E-6</v>
      </c>
      <c r="G111" s="20">
        <v>1.3154524298154216E-9</v>
      </c>
      <c r="H111" s="20">
        <v>0</v>
      </c>
      <c r="I111" s="20">
        <v>0.99992781313748602</v>
      </c>
      <c r="J111" s="20">
        <v>6.4993329816903463E-5</v>
      </c>
      <c r="K111" s="20">
        <v>5.5999967896956028E-6</v>
      </c>
      <c r="L111" s="20">
        <v>0</v>
      </c>
    </row>
    <row r="112" spans="1:12">
      <c r="A112" s="2" t="s">
        <v>469</v>
      </c>
      <c r="B112" s="3" t="s">
        <v>470</v>
      </c>
      <c r="D112" s="20">
        <v>2.3399929082241622E-13</v>
      </c>
      <c r="E112" s="20">
        <v>0.99185724653801277</v>
      </c>
      <c r="F112" s="20">
        <v>7.7283851277376314E-6</v>
      </c>
      <c r="G112" s="20">
        <v>3.6106410171811666E-6</v>
      </c>
      <c r="H112" s="20">
        <v>0</v>
      </c>
      <c r="I112" s="20">
        <v>0.99184590751186785</v>
      </c>
      <c r="J112" s="20">
        <v>6.4881929465161118E-5</v>
      </c>
      <c r="K112" s="20">
        <v>8.0778715322879849E-3</v>
      </c>
      <c r="L112" s="20">
        <v>0</v>
      </c>
    </row>
    <row r="113" spans="1:12">
      <c r="A113" s="2" t="s">
        <v>471</v>
      </c>
      <c r="B113" s="3" t="s">
        <v>472</v>
      </c>
      <c r="D113" s="20">
        <v>2.8875891455580357E-9</v>
      </c>
      <c r="E113" s="20">
        <v>0.95449079534689929</v>
      </c>
      <c r="F113" s="20">
        <v>2.2019609635940223E-4</v>
      </c>
      <c r="G113" s="20">
        <v>8.0150303442069184E-5</v>
      </c>
      <c r="H113" s="20">
        <v>0</v>
      </c>
      <c r="I113" s="20">
        <v>0.95419044894709781</v>
      </c>
      <c r="J113" s="20">
        <v>7.1348842899448381E-5</v>
      </c>
      <c r="K113" s="20">
        <v>4.5437852922612196E-2</v>
      </c>
      <c r="L113" s="20">
        <v>0</v>
      </c>
    </row>
    <row r="114" spans="1:12">
      <c r="A114" s="2" t="s">
        <v>473</v>
      </c>
      <c r="B114" s="3" t="s">
        <v>474</v>
      </c>
      <c r="D114" s="20">
        <v>2.2967769313063073E-16</v>
      </c>
      <c r="E114" s="20">
        <v>0.99574718238070115</v>
      </c>
      <c r="F114" s="20">
        <v>2.2502053902728699E-6</v>
      </c>
      <c r="G114" s="20">
        <v>1.1336807291864924E-6</v>
      </c>
      <c r="H114" s="20">
        <v>0</v>
      </c>
      <c r="I114" s="20">
        <v>0.99574379849458172</v>
      </c>
      <c r="J114" s="20">
        <v>6.4849230520210371E-5</v>
      </c>
      <c r="K114" s="20">
        <v>4.1879683887784108E-3</v>
      </c>
      <c r="L114" s="20">
        <v>0</v>
      </c>
    </row>
    <row r="115" spans="1:12">
      <c r="A115" s="2" t="s">
        <v>475</v>
      </c>
      <c r="B115" s="3" t="s">
        <v>476</v>
      </c>
      <c r="D115" s="20">
        <v>1.2178292878108235E-12</v>
      </c>
      <c r="E115" s="20">
        <v>0.99986344161779317</v>
      </c>
      <c r="F115" s="20">
        <v>2.8047562537120976E-3</v>
      </c>
      <c r="G115" s="20">
        <v>3.3595335168515994E-7</v>
      </c>
      <c r="H115" s="20">
        <v>0</v>
      </c>
      <c r="I115" s="20">
        <v>0.99705834941072935</v>
      </c>
      <c r="J115" s="20">
        <v>6.7408472645848718E-5</v>
      </c>
      <c r="K115" s="20">
        <v>6.9149908343425079E-5</v>
      </c>
      <c r="L115" s="20">
        <v>0</v>
      </c>
    </row>
    <row r="116" spans="1:12">
      <c r="A116" s="2" t="s">
        <v>477</v>
      </c>
      <c r="B116" s="3" t="s">
        <v>478</v>
      </c>
      <c r="D116" s="20">
        <v>1.3624973464353096E-16</v>
      </c>
      <c r="E116" s="20">
        <v>0.88548050484686125</v>
      </c>
      <c r="F116" s="20">
        <v>0.33273762635173842</v>
      </c>
      <c r="G116" s="20">
        <v>8.0590794009904598E-3</v>
      </c>
      <c r="H116" s="20">
        <v>0</v>
      </c>
      <c r="I116" s="20">
        <v>0.54468379909413234</v>
      </c>
      <c r="J116" s="20">
        <v>3.6716186671732709E-2</v>
      </c>
      <c r="K116" s="20">
        <v>7.7803308481406167E-2</v>
      </c>
      <c r="L116" s="20">
        <v>0</v>
      </c>
    </row>
    <row r="117" spans="1:12">
      <c r="A117" s="2" t="s">
        <v>291</v>
      </c>
      <c r="B117" s="3" t="s">
        <v>479</v>
      </c>
      <c r="D117" s="20">
        <v>3.6339579624071823E-10</v>
      </c>
      <c r="E117" s="20">
        <v>0.61166665279457755</v>
      </c>
      <c r="F117" s="20">
        <v>2.1098623094758271E-2</v>
      </c>
      <c r="G117" s="20">
        <v>5.2935822981550152E-3</v>
      </c>
      <c r="H117" s="20">
        <v>0</v>
      </c>
      <c r="I117" s="20">
        <v>0.58527444740166423</v>
      </c>
      <c r="J117" s="20">
        <v>6.6325253640916722E-4</v>
      </c>
      <c r="K117" s="20">
        <v>0.38767009430561744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1.045854893025559E-12</v>
      </c>
      <c r="E2" s="14">
        <v>3.906169611881166E-5</v>
      </c>
      <c r="F2" s="14">
        <v>2.3952213133026371E-9</v>
      </c>
      <c r="G2" s="14">
        <v>9.6126073495131661E-10</v>
      </c>
      <c r="H2" s="14">
        <v>0</v>
      </c>
      <c r="I2" s="14">
        <v>2.6503264234267372E-9</v>
      </c>
      <c r="J2" s="14">
        <v>9.3229602686176353E-7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1.0067745028234202E-12</v>
      </c>
      <c r="E3" s="14">
        <v>2.3619130563432904E-5</v>
      </c>
      <c r="F3" s="14">
        <v>9.3505154349198547E-7</v>
      </c>
      <c r="G3" s="14">
        <v>2.2715575504579487E-7</v>
      </c>
      <c r="H3" s="14">
        <v>0</v>
      </c>
      <c r="I3" s="14">
        <v>3.2906624039843858E-8</v>
      </c>
      <c r="J3" s="14">
        <v>1.5185754507214972E-5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5.4242633061000059E-22</v>
      </c>
      <c r="E4" s="14">
        <v>3.9994514349087949E-5</v>
      </c>
      <c r="F4" s="14">
        <v>1.6819573466684987E-9</v>
      </c>
      <c r="G4" s="14">
        <v>1.8522969854575691E-12</v>
      </c>
      <c r="H4" s="14">
        <v>0</v>
      </c>
      <c r="I4" s="14">
        <v>2.9784177813958182E-9</v>
      </c>
      <c r="J4" s="14">
        <v>8.2342348700514107E-10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1.5223794038626251E-14</v>
      </c>
      <c r="E5" s="14">
        <v>3.6942920854887473E-5</v>
      </c>
      <c r="F5" s="14">
        <v>3.0395254207052644E-6</v>
      </c>
      <c r="G5" s="14">
        <v>2.4124873548236946E-10</v>
      </c>
      <c r="H5" s="14">
        <v>0</v>
      </c>
      <c r="I5" s="14">
        <v>4.665747062108933E-9</v>
      </c>
      <c r="J5" s="14">
        <v>1.2646713385879263E-8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1.888285281089834E-15</v>
      </c>
      <c r="E6" s="14">
        <v>3.3058363434411053E-5</v>
      </c>
      <c r="F6" s="14">
        <v>6.8608180237496761E-6</v>
      </c>
      <c r="G6" s="14">
        <v>1.9896121583929951E-9</v>
      </c>
      <c r="H6" s="14">
        <v>0</v>
      </c>
      <c r="I6" s="14">
        <v>7.1352174679453621E-9</v>
      </c>
      <c r="J6" s="14">
        <v>7.1693710324651569E-8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3.2299951822208732E-11</v>
      </c>
      <c r="E7" s="14">
        <v>2.1527961735899637E-5</v>
      </c>
      <c r="F7" s="14">
        <v>1.7676548257677201E-5</v>
      </c>
      <c r="G7" s="14">
        <v>3.5982602145538211E-8</v>
      </c>
      <c r="H7" s="14">
        <v>0</v>
      </c>
      <c r="I7" s="14">
        <v>1.6789172481455566E-8</v>
      </c>
      <c r="J7" s="14">
        <v>7.4268593184435283E-7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1.4947419786200476E-21</v>
      </c>
      <c r="E8" s="14">
        <v>2.9948753917749267E-5</v>
      </c>
      <c r="F8" s="14">
        <v>9.995702175528229E-6</v>
      </c>
      <c r="G8" s="14">
        <v>1.5199800675526286E-9</v>
      </c>
      <c r="H8" s="14">
        <v>0</v>
      </c>
      <c r="I8" s="14">
        <v>8.8434796558028391E-9</v>
      </c>
      <c r="J8" s="14">
        <v>4.5180446999161045E-8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2.9437805331805236E-17</v>
      </c>
      <c r="E9" s="14">
        <v>3.7593390334806731E-5</v>
      </c>
      <c r="F9" s="14">
        <v>2.3492327382801327E-6</v>
      </c>
      <c r="G9" s="14">
        <v>8.9042632869230312E-10</v>
      </c>
      <c r="H9" s="14">
        <v>0</v>
      </c>
      <c r="I9" s="14">
        <v>4.3057137180191862E-9</v>
      </c>
      <c r="J9" s="14">
        <v>5.2180786836992993E-8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2.7651938020955856E-9</v>
      </c>
      <c r="E10" s="14">
        <v>1.9766293481118355E-6</v>
      </c>
      <c r="F10" s="14">
        <v>1.4220006328557893E-5</v>
      </c>
      <c r="G10" s="14">
        <v>2.4836783123858948E-6</v>
      </c>
      <c r="H10" s="14">
        <v>0</v>
      </c>
      <c r="I10" s="14">
        <v>2.9811801837245551E-7</v>
      </c>
      <c r="J10" s="14">
        <v>2.1018802798769835E-5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1.9496965638198001E-15</v>
      </c>
      <c r="E11" s="14">
        <v>2.0098288054985817E-7</v>
      </c>
      <c r="F11" s="14">
        <v>1.827315831027928E-5</v>
      </c>
      <c r="G11" s="14">
        <v>1.3350821477369336E-5</v>
      </c>
      <c r="H11" s="14">
        <v>0</v>
      </c>
      <c r="I11" s="14">
        <v>2.3697914453140493E-6</v>
      </c>
      <c r="J11" s="14">
        <v>5.8052458845377879E-6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2.9885833916588905E-6</v>
      </c>
      <c r="E12" s="14">
        <v>3.684153597938822E-5</v>
      </c>
      <c r="F12" s="14">
        <v>1.0319554935034315E-10</v>
      </c>
      <c r="G12" s="14">
        <v>5.1150382097682592E-11</v>
      </c>
      <c r="H12" s="14">
        <v>0</v>
      </c>
      <c r="I12" s="14">
        <v>2.4010213569618065E-9</v>
      </c>
      <c r="J12" s="14">
        <v>1.673252616644814E-7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8.3175401369229458E-13</v>
      </c>
      <c r="E13" s="14">
        <v>2.4985875392709044E-5</v>
      </c>
      <c r="F13" s="14">
        <v>6.672200987915452E-7</v>
      </c>
      <c r="G13" s="14">
        <v>1.7114518118839245E-7</v>
      </c>
      <c r="H13" s="14">
        <v>0</v>
      </c>
      <c r="I13" s="14">
        <v>2.1819935188071283E-8</v>
      </c>
      <c r="J13" s="14">
        <v>1.4153938560368935E-5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3.1547688223103749E-11</v>
      </c>
      <c r="E14" s="14">
        <v>3.2496211278792853E-6</v>
      </c>
      <c r="F14" s="14">
        <v>3.6355262107267599E-5</v>
      </c>
      <c r="G14" s="14">
        <v>5.6955140877460761E-8</v>
      </c>
      <c r="H14" s="14">
        <v>0</v>
      </c>
      <c r="I14" s="14">
        <v>5.0624970988513855E-8</v>
      </c>
      <c r="J14" s="14">
        <v>2.8750510529892379E-7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3.4761461431296454E-6</v>
      </c>
      <c r="E15" s="14">
        <v>3.1220344513237561E-5</v>
      </c>
      <c r="F15" s="14">
        <v>7.9464332840793626E-8</v>
      </c>
      <c r="G15" s="14">
        <v>2.4236382442297923E-8</v>
      </c>
      <c r="H15" s="14">
        <v>0</v>
      </c>
      <c r="I15" s="14">
        <v>4.8699261259612161E-9</v>
      </c>
      <c r="J15" s="14">
        <v>5.1949387022237455E-6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3.2479377527695557E-8</v>
      </c>
      <c r="E16" s="14">
        <v>2.3923645687785836E-5</v>
      </c>
      <c r="F16" s="14">
        <v>7.8033648353620495E-7</v>
      </c>
      <c r="G16" s="14">
        <v>1.9723204039719227E-7</v>
      </c>
      <c r="H16" s="14">
        <v>0</v>
      </c>
      <c r="I16" s="14">
        <v>2.4842773228951182E-8</v>
      </c>
      <c r="J16" s="14">
        <v>1.504146363752412E-5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9.6015920357640344E-8</v>
      </c>
      <c r="E17" s="14">
        <v>2.4539342019974621E-5</v>
      </c>
      <c r="F17" s="14">
        <v>7.06345957647842E-7</v>
      </c>
      <c r="G17" s="14">
        <v>1.8018267054587299E-7</v>
      </c>
      <c r="H17" s="14">
        <v>0</v>
      </c>
      <c r="I17" s="14">
        <v>2.2862003106450006E-8</v>
      </c>
      <c r="J17" s="14">
        <v>1.4455251428367583E-5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9.3258453323449454E-12</v>
      </c>
      <c r="E18" s="14">
        <v>1.4539446474250911E-7</v>
      </c>
      <c r="F18" s="14">
        <v>5.3723268039694742E-6</v>
      </c>
      <c r="G18" s="14">
        <v>1.4556533987552492E-5</v>
      </c>
      <c r="H18" s="14">
        <v>0</v>
      </c>
      <c r="I18" s="14">
        <v>1.7718073918323532E-6</v>
      </c>
      <c r="J18" s="14">
        <v>1.8153928026057843E-5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4.7293382516526411E-7</v>
      </c>
      <c r="E19" s="14">
        <v>3.6413300171453169E-5</v>
      </c>
      <c r="F19" s="14">
        <v>2.5250767996160262E-8</v>
      </c>
      <c r="G19" s="14">
        <v>8.4755940416825432E-9</v>
      </c>
      <c r="H19" s="14">
        <v>0</v>
      </c>
      <c r="I19" s="14">
        <v>3.3564594806319424E-9</v>
      </c>
      <c r="J19" s="14">
        <v>3.0766831818630944E-6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8.8832204090079597E-7</v>
      </c>
      <c r="E20" s="14">
        <v>3.4956673838804201E-5</v>
      </c>
      <c r="F20" s="14">
        <v>4.5294414778587439E-8</v>
      </c>
      <c r="G20" s="14">
        <v>1.4519117106819487E-8</v>
      </c>
      <c r="H20" s="14">
        <v>0</v>
      </c>
      <c r="I20" s="14">
        <v>3.970541714539189E-9</v>
      </c>
      <c r="J20" s="14">
        <v>4.0912200466950617E-6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2.8696337000213475E-7</v>
      </c>
      <c r="E21" s="14">
        <v>1.6400946884365016E-5</v>
      </c>
      <c r="F21" s="14">
        <v>1.2184942174275845E-5</v>
      </c>
      <c r="G21" s="14">
        <v>4.9174803668270534E-7</v>
      </c>
      <c r="H21" s="14">
        <v>0</v>
      </c>
      <c r="I21" s="14">
        <v>6.5879526469925256E-8</v>
      </c>
      <c r="J21" s="14">
        <v>1.0569520008204369E-5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2.6169479100118871E-6</v>
      </c>
      <c r="E22" s="14">
        <v>3.6193846705281426E-5</v>
      </c>
      <c r="F22" s="14">
        <v>4.0445414728596187E-9</v>
      </c>
      <c r="G22" s="14">
        <v>1.5529763729943366E-9</v>
      </c>
      <c r="H22" s="14">
        <v>0</v>
      </c>
      <c r="I22" s="14">
        <v>2.5328610394564042E-9</v>
      </c>
      <c r="J22" s="14">
        <v>1.1810750058213821E-6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2.8622068270798699E-6</v>
      </c>
      <c r="E23" s="14">
        <v>3.0102369186424417E-5</v>
      </c>
      <c r="F23" s="14">
        <v>1.3962887155506439E-7</v>
      </c>
      <c r="G23" s="14">
        <v>4.0744668014806386E-8</v>
      </c>
      <c r="H23" s="14">
        <v>0</v>
      </c>
      <c r="I23" s="14">
        <v>6.7404006713711183E-9</v>
      </c>
      <c r="J23" s="14">
        <v>6.8483100462544711E-6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1.0605222729626082E-7</v>
      </c>
      <c r="E24" s="14">
        <v>2.0475733031238597E-5</v>
      </c>
      <c r="F24" s="14">
        <v>1.2479408722136319E-6</v>
      </c>
      <c r="G24" s="14">
        <v>3.0122399509175567E-7</v>
      </c>
      <c r="H24" s="14">
        <v>0</v>
      </c>
      <c r="I24" s="14">
        <v>3.6962035282203497E-8</v>
      </c>
      <c r="J24" s="14">
        <v>1.7832087838877547E-5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4.1222167916116743E-8</v>
      </c>
      <c r="E25" s="14">
        <v>1.945675868511971E-7</v>
      </c>
      <c r="F25" s="14">
        <v>6.151840160430447E-6</v>
      </c>
      <c r="G25" s="14">
        <v>1.283809539089688E-5</v>
      </c>
      <c r="H25" s="14">
        <v>0</v>
      </c>
      <c r="I25" s="14">
        <v>1.5604763258357692E-6</v>
      </c>
      <c r="J25" s="14">
        <v>1.9213798368069589E-5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9.1562146039189099E-6</v>
      </c>
      <c r="E26" s="14">
        <v>9.4140310771727142E-6</v>
      </c>
      <c r="F26" s="14">
        <v>2.6374860910560979E-6</v>
      </c>
      <c r="G26" s="14">
        <v>5.6896523830937304E-7</v>
      </c>
      <c r="H26" s="14">
        <v>0</v>
      </c>
      <c r="I26" s="14">
        <v>6.821475449646127E-8</v>
      </c>
      <c r="J26" s="14">
        <v>1.8155088235046454E-5</v>
      </c>
      <c r="K26" s="14">
        <v>0</v>
      </c>
    </row>
    <row r="27" spans="1:13">
      <c r="A27" s="2" t="s">
        <v>397</v>
      </c>
      <c r="B27" s="3" t="s">
        <v>398</v>
      </c>
      <c r="D27" s="14">
        <v>3.3199092937151551E-5</v>
      </c>
      <c r="E27" s="14">
        <v>8.8929506569070084E-7</v>
      </c>
      <c r="F27" s="14">
        <v>1.3989443319500076E-6</v>
      </c>
      <c r="G27" s="14">
        <v>2.6576390005158608E-7</v>
      </c>
      <c r="H27" s="14">
        <v>0</v>
      </c>
      <c r="I27" s="14">
        <v>3.1796616589161105E-8</v>
      </c>
      <c r="J27" s="14">
        <v>4.215107148566996E-6</v>
      </c>
      <c r="K27" s="14">
        <v>0</v>
      </c>
    </row>
    <row r="28" spans="1:13">
      <c r="A28" s="2" t="s">
        <v>399</v>
      </c>
      <c r="B28" s="3" t="s">
        <v>400</v>
      </c>
      <c r="D28" s="14">
        <v>3.4979771254481597E-5</v>
      </c>
      <c r="E28" s="14">
        <v>1.3338181709997508E-6</v>
      </c>
      <c r="F28" s="14">
        <v>5.1723890071318001E-7</v>
      </c>
      <c r="G28" s="14">
        <v>1.0893984058058536E-7</v>
      </c>
      <c r="H28" s="14">
        <v>0</v>
      </c>
      <c r="I28" s="14">
        <v>1.3043015280437319E-8</v>
      </c>
      <c r="J28" s="14">
        <v>3.0471888179444585E-6</v>
      </c>
      <c r="K28" s="14">
        <v>0</v>
      </c>
    </row>
    <row r="29" spans="1:13">
      <c r="A29" s="2" t="s">
        <v>297</v>
      </c>
      <c r="B29" s="3" t="s">
        <v>298</v>
      </c>
      <c r="D29" s="14">
        <v>3.7300311610410224E-5</v>
      </c>
      <c r="E29" s="14">
        <v>2.3772350477337233E-6</v>
      </c>
      <c r="F29" s="14">
        <v>3.9553659890260129E-9</v>
      </c>
      <c r="G29" s="14">
        <v>1.2447502730762235E-9</v>
      </c>
      <c r="H29" s="14">
        <v>0</v>
      </c>
      <c r="I29" s="14">
        <v>3.0022997509938663E-10</v>
      </c>
      <c r="J29" s="14">
        <v>3.1695299561885609E-7</v>
      </c>
      <c r="K29" s="14">
        <v>0</v>
      </c>
    </row>
    <row r="30" spans="1:13">
      <c r="A30" s="2" t="s">
        <v>401</v>
      </c>
      <c r="B30" s="3" t="s">
        <v>402</v>
      </c>
      <c r="D30" s="14">
        <v>3.8161636069514174E-5</v>
      </c>
      <c r="E30" s="14">
        <v>5.0476199718570638E-7</v>
      </c>
      <c r="F30" s="14">
        <v>1.8159387682879152E-7</v>
      </c>
      <c r="G30" s="14">
        <v>3.8458890914656807E-8</v>
      </c>
      <c r="H30" s="14">
        <v>0</v>
      </c>
      <c r="I30" s="14">
        <v>4.6057506105048711E-9</v>
      </c>
      <c r="J30" s="14">
        <v>1.1089434149461805E-6</v>
      </c>
      <c r="K30" s="14">
        <v>0</v>
      </c>
    </row>
    <row r="31" spans="1:13">
      <c r="A31" s="2" t="s">
        <v>299</v>
      </c>
      <c r="B31" s="3" t="s">
        <v>300</v>
      </c>
      <c r="D31" s="14">
        <v>3.9952755723960942E-5</v>
      </c>
      <c r="E31" s="14">
        <v>1.7988146025581506E-8</v>
      </c>
      <c r="F31" s="14">
        <v>2.8354432194988453E-9</v>
      </c>
      <c r="G31" s="14">
        <v>6.3814079672640447E-10</v>
      </c>
      <c r="H31" s="14">
        <v>0</v>
      </c>
      <c r="I31" s="14">
        <v>7.6863399162088249E-11</v>
      </c>
      <c r="J31" s="14">
        <v>2.5705682598088157E-8</v>
      </c>
      <c r="K31" s="14">
        <v>0</v>
      </c>
    </row>
    <row r="32" spans="1:13">
      <c r="A32" s="2" t="s">
        <v>343</v>
      </c>
      <c r="B32" s="3" t="s">
        <v>344</v>
      </c>
      <c r="D32" s="14">
        <v>9.072970101848069E-8</v>
      </c>
      <c r="E32" s="14">
        <v>2.6060884066664806E-5</v>
      </c>
      <c r="F32" s="14">
        <v>5.5567862923892344E-7</v>
      </c>
      <c r="G32" s="14">
        <v>1.4491697167201474E-7</v>
      </c>
      <c r="H32" s="14">
        <v>0</v>
      </c>
      <c r="I32" s="14">
        <v>1.8783610743486176E-8</v>
      </c>
      <c r="J32" s="14">
        <v>1.3129007020662291E-5</v>
      </c>
      <c r="K32" s="14">
        <v>0</v>
      </c>
    </row>
    <row r="33" spans="1:11">
      <c r="A33" s="2" t="s">
        <v>345</v>
      </c>
      <c r="B33" s="3" t="s">
        <v>346</v>
      </c>
      <c r="D33" s="14">
        <v>3.5723718454639945E-9</v>
      </c>
      <c r="E33" s="14">
        <v>3.0446426197135577E-5</v>
      </c>
      <c r="F33" s="14">
        <v>2.448109689630565E-7</v>
      </c>
      <c r="G33" s="14">
        <v>6.860036527834214E-8</v>
      </c>
      <c r="H33" s="14">
        <v>0</v>
      </c>
      <c r="I33" s="14">
        <v>1.0046062870355929E-8</v>
      </c>
      <c r="J33" s="14">
        <v>9.2265440339072024E-6</v>
      </c>
      <c r="K33" s="14">
        <v>0</v>
      </c>
    </row>
    <row r="34" spans="1:11">
      <c r="A34" s="2" t="s">
        <v>347</v>
      </c>
      <c r="B34" s="3" t="s">
        <v>348</v>
      </c>
      <c r="D34" s="14">
        <v>5.3769809134349133E-9</v>
      </c>
      <c r="E34" s="14">
        <v>1.2970543046836866E-5</v>
      </c>
      <c r="F34" s="14">
        <v>3.1276108405791819E-6</v>
      </c>
      <c r="G34" s="14">
        <v>6.8219458078059469E-7</v>
      </c>
      <c r="H34" s="14">
        <v>0</v>
      </c>
      <c r="I34" s="14">
        <v>8.1863776939698159E-8</v>
      </c>
      <c r="J34" s="14">
        <v>2.3132410773950226E-5</v>
      </c>
      <c r="K34" s="14">
        <v>0</v>
      </c>
    </row>
    <row r="35" spans="1:11">
      <c r="A35" s="2" t="s">
        <v>349</v>
      </c>
      <c r="B35" s="3" t="s">
        <v>350</v>
      </c>
      <c r="D35" s="14">
        <v>2.0137526018842884E-6</v>
      </c>
      <c r="E35" s="14">
        <v>3.1631936421721688E-6</v>
      </c>
      <c r="F35" s="14">
        <v>1.0536110808256792E-5</v>
      </c>
      <c r="G35" s="14">
        <v>1.893982163880812E-6</v>
      </c>
      <c r="H35" s="14">
        <v>0</v>
      </c>
      <c r="I35" s="14">
        <v>2.26900227027525E-7</v>
      </c>
      <c r="J35" s="14">
        <v>2.2166060556778421E-5</v>
      </c>
      <c r="K35" s="14">
        <v>0</v>
      </c>
    </row>
    <row r="36" spans="1:11">
      <c r="A36" s="2" t="s">
        <v>351</v>
      </c>
      <c r="B36" s="3" t="s">
        <v>352</v>
      </c>
      <c r="D36" s="14">
        <v>6.7417374353365173E-8</v>
      </c>
      <c r="E36" s="14">
        <v>8.6886339106741602E-7</v>
      </c>
      <c r="F36" s="14">
        <v>1.1164674071646902E-5</v>
      </c>
      <c r="G36" s="14">
        <v>5.1539666579083943E-6</v>
      </c>
      <c r="H36" s="14">
        <v>0</v>
      </c>
      <c r="I36" s="14">
        <v>6.2155810019551189E-7</v>
      </c>
      <c r="J36" s="14">
        <v>2.2123520404828413E-5</v>
      </c>
      <c r="K36" s="14">
        <v>0</v>
      </c>
    </row>
    <row r="37" spans="1:11">
      <c r="A37" s="2" t="s">
        <v>353</v>
      </c>
      <c r="B37" s="3" t="s">
        <v>354</v>
      </c>
      <c r="D37" s="14">
        <v>5.3611633621981946E-7</v>
      </c>
      <c r="E37" s="14">
        <v>1.5574664692657578E-7</v>
      </c>
      <c r="F37" s="14">
        <v>5.5110361000611426E-6</v>
      </c>
      <c r="G37" s="14">
        <v>1.3887651550284155E-5</v>
      </c>
      <c r="H37" s="14">
        <v>0</v>
      </c>
      <c r="I37" s="14">
        <v>1.689740134047891E-6</v>
      </c>
      <c r="J37" s="14">
        <v>1.8219709232460426E-5</v>
      </c>
      <c r="K37" s="14">
        <v>0</v>
      </c>
    </row>
    <row r="38" spans="1:11">
      <c r="A38" s="2" t="s">
        <v>355</v>
      </c>
      <c r="B38" s="3" t="s">
        <v>356</v>
      </c>
      <c r="D38" s="14">
        <v>2.6009428315138058E-8</v>
      </c>
      <c r="E38" s="14">
        <v>4.9293592558044357E-7</v>
      </c>
      <c r="F38" s="14">
        <v>9.1118176832942004E-6</v>
      </c>
      <c r="G38" s="14">
        <v>7.7357170619631055E-6</v>
      </c>
      <c r="H38" s="14">
        <v>0</v>
      </c>
      <c r="I38" s="14">
        <v>9.3584452324420208E-7</v>
      </c>
      <c r="J38" s="14">
        <v>2.1697675377602913E-5</v>
      </c>
      <c r="K38" s="14">
        <v>0</v>
      </c>
    </row>
    <row r="39" spans="1:11">
      <c r="A39" s="2" t="s">
        <v>357</v>
      </c>
      <c r="B39" s="3" t="s">
        <v>358</v>
      </c>
      <c r="D39" s="14">
        <v>4.6559883689592531E-6</v>
      </c>
      <c r="E39" s="14">
        <v>6.5685808712984985E-7</v>
      </c>
      <c r="F39" s="14">
        <v>9.3645325087143652E-6</v>
      </c>
      <c r="G39" s="14">
        <v>5.144955905256321E-6</v>
      </c>
      <c r="H39" s="14">
        <v>0</v>
      </c>
      <c r="I39" s="14">
        <v>6.2102304753164375E-7</v>
      </c>
      <c r="J39" s="14">
        <v>1.9556642082408574E-5</v>
      </c>
      <c r="K39" s="14">
        <v>0</v>
      </c>
    </row>
    <row r="40" spans="1:11">
      <c r="A40" s="2" t="s">
        <v>359</v>
      </c>
      <c r="B40" s="3" t="s">
        <v>360</v>
      </c>
      <c r="D40" s="14">
        <v>2.6009428315138058E-8</v>
      </c>
      <c r="E40" s="14">
        <v>4.9293592558044357E-7</v>
      </c>
      <c r="F40" s="14">
        <v>9.1118176832942004E-6</v>
      </c>
      <c r="G40" s="14">
        <v>7.7357170619631055E-6</v>
      </c>
      <c r="H40" s="14">
        <v>0</v>
      </c>
      <c r="I40" s="14">
        <v>9.3584452324420208E-7</v>
      </c>
      <c r="J40" s="14">
        <v>2.1697675377602913E-5</v>
      </c>
      <c r="K40" s="14">
        <v>0</v>
      </c>
    </row>
    <row r="41" spans="1:11">
      <c r="A41" s="2" t="s">
        <v>313</v>
      </c>
      <c r="B41" s="3" t="s">
        <v>314</v>
      </c>
      <c r="D41" s="14">
        <v>2.3325463550100384E-12</v>
      </c>
      <c r="E41" s="14">
        <v>3.9800410933475641E-5</v>
      </c>
      <c r="F41" s="14">
        <v>1.8928757459782559E-7</v>
      </c>
      <c r="G41" s="14">
        <v>4.5044591874154016E-11</v>
      </c>
      <c r="H41" s="14">
        <v>0</v>
      </c>
      <c r="I41" s="14">
        <v>2.7593969540594667E-9</v>
      </c>
      <c r="J41" s="14">
        <v>7.494717834248728E-9</v>
      </c>
      <c r="K41" s="14">
        <v>0</v>
      </c>
    </row>
    <row r="42" spans="1:11">
      <c r="A42" s="2" t="s">
        <v>315</v>
      </c>
      <c r="B42" s="3" t="s">
        <v>316</v>
      </c>
      <c r="D42" s="14">
        <v>7.7831353338575425E-7</v>
      </c>
      <c r="E42" s="14">
        <v>1.4256543599137742E-7</v>
      </c>
      <c r="F42" s="14">
        <v>5.2677941657028024E-6</v>
      </c>
      <c r="G42" s="14">
        <v>1.427329863027433E-5</v>
      </c>
      <c r="H42" s="14">
        <v>0</v>
      </c>
      <c r="I42" s="14">
        <v>1.7373322550942499E-6</v>
      </c>
      <c r="J42" s="14">
        <v>1.7800695979551486E-5</v>
      </c>
      <c r="K42" s="14">
        <v>0</v>
      </c>
    </row>
    <row r="43" spans="1:11">
      <c r="A43" s="2" t="s">
        <v>317</v>
      </c>
      <c r="B43" s="3" t="s">
        <v>318</v>
      </c>
      <c r="D43" s="14">
        <v>2.4483996100722614E-16</v>
      </c>
      <c r="E43" s="14">
        <v>1.9689829984868049E-5</v>
      </c>
      <c r="F43" s="14">
        <v>1.3943009284266997E-6</v>
      </c>
      <c r="G43" s="14">
        <v>3.3285269061700488E-7</v>
      </c>
      <c r="H43" s="14">
        <v>0</v>
      </c>
      <c r="I43" s="14">
        <v>4.0669468092770392E-8</v>
      </c>
      <c r="J43" s="14">
        <v>1.8542346927750636E-5</v>
      </c>
      <c r="K43" s="14">
        <v>0</v>
      </c>
    </row>
    <row r="44" spans="1:11">
      <c r="A44" s="2" t="s">
        <v>307</v>
      </c>
      <c r="B44" s="3" t="s">
        <v>308</v>
      </c>
      <c r="D44" s="14">
        <v>2.253020062757009E-8</v>
      </c>
      <c r="E44" s="14">
        <v>1.3027609240982543E-6</v>
      </c>
      <c r="F44" s="14">
        <v>1.2689347008366782E-5</v>
      </c>
      <c r="G44" s="14">
        <v>3.6824327922801028E-6</v>
      </c>
      <c r="H44" s="14">
        <v>0</v>
      </c>
      <c r="I44" s="14">
        <v>4.4306486365382755E-7</v>
      </c>
      <c r="J44" s="14">
        <v>2.1859864210973473E-5</v>
      </c>
      <c r="K44" s="14">
        <v>0</v>
      </c>
    </row>
    <row r="45" spans="1:11">
      <c r="A45" s="2" t="s">
        <v>319</v>
      </c>
      <c r="B45" s="3" t="s">
        <v>320</v>
      </c>
      <c r="D45" s="14">
        <v>2.8553298680639018E-9</v>
      </c>
      <c r="E45" s="14">
        <v>7.1788677499901364E-8</v>
      </c>
      <c r="F45" s="14">
        <v>3.7829491462916381E-6</v>
      </c>
      <c r="G45" s="14">
        <v>1.8579159304179809E-5</v>
      </c>
      <c r="H45" s="14">
        <v>0</v>
      </c>
      <c r="I45" s="14">
        <v>2.2686276186593319E-6</v>
      </c>
      <c r="J45" s="14">
        <v>1.5294619923501262E-5</v>
      </c>
      <c r="K45" s="14">
        <v>0</v>
      </c>
    </row>
    <row r="46" spans="1:11">
      <c r="A46" s="2" t="s">
        <v>321</v>
      </c>
      <c r="B46" s="3" t="s">
        <v>322</v>
      </c>
      <c r="D46" s="14">
        <v>3.8606289895259155E-9</v>
      </c>
      <c r="E46" s="14">
        <v>1.3157025971720402E-7</v>
      </c>
      <c r="F46" s="14">
        <v>5.1207347742913532E-6</v>
      </c>
      <c r="G46" s="14">
        <v>1.5136582689477869E-5</v>
      </c>
      <c r="H46" s="14">
        <v>0</v>
      </c>
      <c r="I46" s="14">
        <v>1.8432637634687183E-6</v>
      </c>
      <c r="J46" s="14">
        <v>1.7763987884055333E-5</v>
      </c>
      <c r="K46" s="14">
        <v>0</v>
      </c>
    </row>
    <row r="47" spans="1:11">
      <c r="A47" s="2" t="s">
        <v>323</v>
      </c>
      <c r="B47" s="3" t="s">
        <v>324</v>
      </c>
      <c r="D47" s="14">
        <v>3.3096032958572837E-8</v>
      </c>
      <c r="E47" s="14">
        <v>2.6602080594738735E-7</v>
      </c>
      <c r="F47" s="14">
        <v>7.0737573022952243E-6</v>
      </c>
      <c r="G47" s="14">
        <v>1.1044491127367854E-5</v>
      </c>
      <c r="H47" s="14">
        <v>0</v>
      </c>
      <c r="I47" s="14">
        <v>1.3404053829564376E-6</v>
      </c>
      <c r="J47" s="14">
        <v>2.0242229348474528E-5</v>
      </c>
      <c r="K47" s="14">
        <v>0</v>
      </c>
    </row>
    <row r="48" spans="1:11">
      <c r="A48" s="2" t="s">
        <v>325</v>
      </c>
      <c r="B48" s="3" t="s">
        <v>326</v>
      </c>
      <c r="D48" s="14">
        <v>1.1397366900665168E-8</v>
      </c>
      <c r="E48" s="14">
        <v>6.6958265284298328E-6</v>
      </c>
      <c r="F48" s="14">
        <v>6.7155060403290801E-6</v>
      </c>
      <c r="G48" s="14">
        <v>1.3187859129682566E-6</v>
      </c>
      <c r="H48" s="14">
        <v>0</v>
      </c>
      <c r="I48" s="14">
        <v>1.577207553090374E-7</v>
      </c>
      <c r="J48" s="14">
        <v>2.510076339606312E-5</v>
      </c>
      <c r="K48" s="14">
        <v>0</v>
      </c>
    </row>
    <row r="49" spans="1:11">
      <c r="A49" s="2" t="s">
        <v>275</v>
      </c>
      <c r="B49" s="3" t="s">
        <v>276</v>
      </c>
      <c r="D49" s="14">
        <v>2.8922465917355029E-10</v>
      </c>
      <c r="E49" s="14">
        <v>1.2105283990659014E-6</v>
      </c>
      <c r="F49" s="14">
        <v>1.2419655026324536E-5</v>
      </c>
      <c r="G49" s="14">
        <v>3.9319237596129527E-6</v>
      </c>
      <c r="H49" s="14">
        <v>0</v>
      </c>
      <c r="I49" s="14">
        <v>4.7328579410144793E-7</v>
      </c>
      <c r="J49" s="14">
        <v>2.1964317796235987E-5</v>
      </c>
      <c r="K49" s="14">
        <v>0</v>
      </c>
    </row>
    <row r="50" spans="1:11">
      <c r="A50" s="2" t="s">
        <v>327</v>
      </c>
      <c r="B50" s="3" t="s">
        <v>328</v>
      </c>
      <c r="D50" s="14">
        <v>1.504372563781357E-8</v>
      </c>
      <c r="E50" s="14">
        <v>1.0678126680226297E-6</v>
      </c>
      <c r="F50" s="14">
        <v>1.1946195540880765E-5</v>
      </c>
      <c r="G50" s="14">
        <v>4.3724532484760875E-6</v>
      </c>
      <c r="H50" s="14">
        <v>0</v>
      </c>
      <c r="I50" s="14">
        <v>5.266921271710763E-7</v>
      </c>
      <c r="J50" s="14">
        <v>2.2071802689811635E-5</v>
      </c>
      <c r="K50" s="14">
        <v>0</v>
      </c>
    </row>
    <row r="51" spans="1:11">
      <c r="A51" s="2" t="s">
        <v>329</v>
      </c>
      <c r="B51" s="3" t="s">
        <v>330</v>
      </c>
      <c r="D51" s="14">
        <v>6.9513752948578054E-9</v>
      </c>
      <c r="E51" s="14">
        <v>5.0096847868167381E-6</v>
      </c>
      <c r="F51" s="14">
        <v>8.4946394647329122E-6</v>
      </c>
      <c r="G51" s="14">
        <v>1.6048723928497016E-6</v>
      </c>
      <c r="H51" s="14">
        <v>0</v>
      </c>
      <c r="I51" s="14">
        <v>1.9203001660695568E-7</v>
      </c>
      <c r="J51" s="14">
        <v>2.4691821963698841E-5</v>
      </c>
      <c r="K51" s="14">
        <v>0</v>
      </c>
    </row>
    <row r="52" spans="1:11">
      <c r="A52" s="2" t="s">
        <v>277</v>
      </c>
      <c r="B52" s="3" t="s">
        <v>278</v>
      </c>
      <c r="D52" s="14">
        <v>1.800146870482402E-8</v>
      </c>
      <c r="E52" s="14">
        <v>6.5190994194671282E-6</v>
      </c>
      <c r="F52" s="14">
        <v>6.8735667527445481E-6</v>
      </c>
      <c r="G52" s="14">
        <v>1.3448619615499338E-6</v>
      </c>
      <c r="H52" s="14">
        <v>0</v>
      </c>
      <c r="I52" s="14">
        <v>1.6084302067377278E-7</v>
      </c>
      <c r="J52" s="14">
        <v>2.50836273768598E-5</v>
      </c>
      <c r="K52" s="14">
        <v>0</v>
      </c>
    </row>
    <row r="53" spans="1:11">
      <c r="A53" s="2" t="s">
        <v>331</v>
      </c>
      <c r="B53" s="3" t="s">
        <v>332</v>
      </c>
      <c r="D53" s="14">
        <v>1.0103412642412786E-8</v>
      </c>
      <c r="E53" s="14">
        <v>7.1408145640090232E-7</v>
      </c>
      <c r="F53" s="14">
        <v>1.0448219928325514E-5</v>
      </c>
      <c r="G53" s="14">
        <v>5.9956719276877141E-6</v>
      </c>
      <c r="H53" s="14">
        <v>0</v>
      </c>
      <c r="I53" s="14">
        <v>7.2387055398271056E-7</v>
      </c>
      <c r="J53" s="14">
        <v>2.2108052720960751E-5</v>
      </c>
      <c r="K53" s="14">
        <v>0</v>
      </c>
    </row>
    <row r="54" spans="1:11">
      <c r="A54" s="2" t="s">
        <v>333</v>
      </c>
      <c r="B54" s="3" t="s">
        <v>334</v>
      </c>
      <c r="D54" s="14">
        <v>1.6387008348550774E-11</v>
      </c>
      <c r="E54" s="14">
        <v>1.1374683976574741E-6</v>
      </c>
      <c r="F54" s="14">
        <v>1.2186356809262432E-5</v>
      </c>
      <c r="G54" s="14">
        <v>4.1482932060778032E-6</v>
      </c>
      <c r="H54" s="14">
        <v>0</v>
      </c>
      <c r="I54" s="14">
        <v>4.9950974334903276E-7</v>
      </c>
      <c r="J54" s="14">
        <v>2.2028355456644916E-5</v>
      </c>
      <c r="K54" s="14">
        <v>0</v>
      </c>
    </row>
    <row r="55" spans="1:11">
      <c r="A55" s="2" t="s">
        <v>335</v>
      </c>
      <c r="B55" s="3" t="s">
        <v>336</v>
      </c>
      <c r="D55" s="14">
        <v>8.5577480790939825E-8</v>
      </c>
      <c r="E55" s="14">
        <v>2.7391711078632965E-7</v>
      </c>
      <c r="F55" s="14">
        <v>7.1586925786815588E-6</v>
      </c>
      <c r="G55" s="14">
        <v>1.085748574754376E-5</v>
      </c>
      <c r="H55" s="14">
        <v>0</v>
      </c>
      <c r="I55" s="14">
        <v>1.317508052205676E-6</v>
      </c>
      <c r="J55" s="14">
        <v>2.0306819029991735E-5</v>
      </c>
      <c r="K55" s="14">
        <v>0</v>
      </c>
    </row>
    <row r="56" spans="1:11">
      <c r="A56" s="2" t="s">
        <v>337</v>
      </c>
      <c r="B56" s="3" t="s">
        <v>338</v>
      </c>
      <c r="D56" s="14">
        <v>5.7862120776433688E-9</v>
      </c>
      <c r="E56" s="14">
        <v>1.27166878780635E-6</v>
      </c>
      <c r="F56" s="14">
        <v>1.2602844053274137E-5</v>
      </c>
      <c r="G56" s="14">
        <v>3.7649925201531769E-6</v>
      </c>
      <c r="H56" s="14">
        <v>0</v>
      </c>
      <c r="I56" s="14">
        <v>4.5306277078520997E-7</v>
      </c>
      <c r="J56" s="14">
        <v>2.1901645655903487E-5</v>
      </c>
      <c r="K56" s="14">
        <v>0</v>
      </c>
    </row>
    <row r="57" spans="1:11">
      <c r="A57" s="2" t="s">
        <v>279</v>
      </c>
      <c r="B57" s="3" t="s">
        <v>280</v>
      </c>
      <c r="D57" s="14">
        <v>3.1889696158752377E-7</v>
      </c>
      <c r="E57" s="14">
        <v>7.4677547345095524E-6</v>
      </c>
      <c r="F57" s="14">
        <v>5.9803223828229249E-6</v>
      </c>
      <c r="G57" s="14">
        <v>1.1940435077721231E-6</v>
      </c>
      <c r="H57" s="14">
        <v>0</v>
      </c>
      <c r="I57" s="14">
        <v>1.4279857881610286E-7</v>
      </c>
      <c r="J57" s="14">
        <v>2.4896183834491778E-5</v>
      </c>
      <c r="K57" s="14">
        <v>0</v>
      </c>
    </row>
    <row r="58" spans="1:11">
      <c r="A58" s="2" t="s">
        <v>339</v>
      </c>
      <c r="B58" s="3" t="s">
        <v>340</v>
      </c>
      <c r="D58" s="14">
        <v>5.7427846315757988E-11</v>
      </c>
      <c r="E58" s="14">
        <v>1.1233166444816601E-6</v>
      </c>
      <c r="F58" s="14">
        <v>1.2139386652198242E-5</v>
      </c>
      <c r="G58" s="14">
        <v>4.1926856278239794E-6</v>
      </c>
      <c r="H58" s="14">
        <v>0</v>
      </c>
      <c r="I58" s="14">
        <v>5.0489162718392848E-7</v>
      </c>
      <c r="J58" s="14">
        <v>2.2039662020465879E-5</v>
      </c>
      <c r="K58" s="14">
        <v>0</v>
      </c>
    </row>
    <row r="59" spans="1:11">
      <c r="A59" s="2" t="s">
        <v>281</v>
      </c>
      <c r="B59" s="3" t="s">
        <v>282</v>
      </c>
      <c r="D59" s="14">
        <v>2.7256735363569016E-9</v>
      </c>
      <c r="E59" s="14">
        <v>6.5215901510731708E-6</v>
      </c>
      <c r="F59" s="14">
        <v>6.8761929145585833E-6</v>
      </c>
      <c r="G59" s="14">
        <v>1.3453757886873748E-6</v>
      </c>
      <c r="H59" s="14">
        <v>0</v>
      </c>
      <c r="I59" s="14">
        <v>1.6090447345573331E-7</v>
      </c>
      <c r="J59" s="14">
        <v>2.5093210998688785E-5</v>
      </c>
      <c r="K59" s="14">
        <v>0</v>
      </c>
    </row>
    <row r="60" spans="1:11">
      <c r="A60" s="2" t="s">
        <v>341</v>
      </c>
      <c r="B60" s="3" t="s">
        <v>342</v>
      </c>
      <c r="D60" s="14">
        <v>8.4121463910401892E-8</v>
      </c>
      <c r="E60" s="14">
        <v>8.0302022998401139E-7</v>
      </c>
      <c r="F60" s="14">
        <v>1.0868785971869431E-5</v>
      </c>
      <c r="G60" s="14">
        <v>5.4736445563535548E-6</v>
      </c>
      <c r="H60" s="14">
        <v>0</v>
      </c>
      <c r="I60" s="14">
        <v>6.6040333812893768E-7</v>
      </c>
      <c r="J60" s="14">
        <v>2.2110024439753667E-5</v>
      </c>
      <c r="K60" s="14">
        <v>0</v>
      </c>
    </row>
    <row r="61" spans="1:11">
      <c r="A61" s="2" t="s">
        <v>483</v>
      </c>
      <c r="B61" s="3" t="s">
        <v>484</v>
      </c>
      <c r="D61" s="14">
        <v>5.7775411286756169E-18</v>
      </c>
      <c r="E61" s="14">
        <v>2.1047628681241699E-5</v>
      </c>
      <c r="F61" s="14">
        <v>3.3786254908890128E-6</v>
      </c>
      <c r="G61" s="14">
        <v>5.6293422239179762E-7</v>
      </c>
      <c r="H61" s="14">
        <v>0</v>
      </c>
      <c r="I61" s="14">
        <v>1.9347038843166136E-7</v>
      </c>
      <c r="J61" s="14">
        <v>1.4817341217040057E-5</v>
      </c>
      <c r="K61" s="14">
        <v>0</v>
      </c>
    </row>
    <row r="62" spans="1:11">
      <c r="A62" s="2" t="s">
        <v>485</v>
      </c>
      <c r="B62" s="3" t="s">
        <v>486</v>
      </c>
      <c r="D62" s="14">
        <v>1.4839280652561743E-11</v>
      </c>
      <c r="E62" s="14">
        <v>1.3491881346002334E-5</v>
      </c>
      <c r="F62" s="14">
        <v>2.9436560487697337E-6</v>
      </c>
      <c r="G62" s="14">
        <v>6.4681877702204343E-7</v>
      </c>
      <c r="H62" s="14">
        <v>0</v>
      </c>
      <c r="I62" s="14">
        <v>7.7673697620427716E-8</v>
      </c>
      <c r="J62" s="14">
        <v>2.2839955291304817E-5</v>
      </c>
      <c r="K62" s="14">
        <v>0</v>
      </c>
    </row>
    <row r="63" spans="1:11">
      <c r="A63" s="2" t="s">
        <v>487</v>
      </c>
      <c r="B63" s="3" t="s">
        <v>488</v>
      </c>
      <c r="D63" s="14">
        <v>2.9509691516512698E-17</v>
      </c>
      <c r="E63" s="14">
        <v>3.8183788800930502E-5</v>
      </c>
      <c r="F63" s="14">
        <v>1.3161605827614886E-7</v>
      </c>
      <c r="G63" s="14">
        <v>1.7366233362973185E-8</v>
      </c>
      <c r="H63" s="14">
        <v>0</v>
      </c>
      <c r="I63" s="14">
        <v>1.7174504816728587E-8</v>
      </c>
      <c r="J63" s="14">
        <v>1.6500544025841343E-6</v>
      </c>
      <c r="K63" s="14">
        <v>0</v>
      </c>
    </row>
    <row r="64" spans="1:11">
      <c r="A64" s="2" t="s">
        <v>489</v>
      </c>
      <c r="B64" s="3" t="s">
        <v>490</v>
      </c>
      <c r="D64" s="14">
        <v>5.3155798362126363E-19</v>
      </c>
      <c r="E64" s="14">
        <v>3.9772656473270632E-5</v>
      </c>
      <c r="F64" s="14">
        <v>4.9020659472633419E-8</v>
      </c>
      <c r="G64" s="14">
        <v>6.0863442146119888E-10</v>
      </c>
      <c r="H64" s="14">
        <v>0</v>
      </c>
      <c r="I64" s="14">
        <v>2.7017037067000023E-9</v>
      </c>
      <c r="J64" s="14">
        <v>1.7501252912804408E-7</v>
      </c>
      <c r="K64" s="14">
        <v>0</v>
      </c>
    </row>
    <row r="65" spans="1:11">
      <c r="A65" s="2" t="s">
        <v>491</v>
      </c>
      <c r="B65" s="3" t="s">
        <v>492</v>
      </c>
      <c r="D65" s="14">
        <v>8.7801116061580204E-17</v>
      </c>
      <c r="E65" s="14">
        <v>3.9912214887588755E-5</v>
      </c>
      <c r="F65" s="14">
        <v>6.3651154520024544E-9</v>
      </c>
      <c r="G65" s="14">
        <v>2.8310647729418355E-10</v>
      </c>
      <c r="H65" s="14">
        <v>0</v>
      </c>
      <c r="I65" s="14">
        <v>3.7900751348052227E-9</v>
      </c>
      <c r="J65" s="14">
        <v>7.734681525934979E-8</v>
      </c>
      <c r="K65" s="14">
        <v>0</v>
      </c>
    </row>
    <row r="66" spans="1:11">
      <c r="A66" s="2" t="s">
        <v>493</v>
      </c>
      <c r="B66" s="3" t="s">
        <v>494</v>
      </c>
      <c r="D66" s="14">
        <v>1.4121116252315787E-15</v>
      </c>
      <c r="E66" s="14">
        <v>3.8001435915510459E-5</v>
      </c>
      <c r="F66" s="14">
        <v>9.8627990643108507E-7</v>
      </c>
      <c r="G66" s="14">
        <v>2.4717982711985747E-8</v>
      </c>
      <c r="H66" s="14">
        <v>0</v>
      </c>
      <c r="I66" s="14">
        <v>1.3829644509362635E-7</v>
      </c>
      <c r="J66" s="14">
        <v>8.4926974884074449E-7</v>
      </c>
      <c r="K66" s="14">
        <v>0</v>
      </c>
    </row>
    <row r="67" spans="1:11">
      <c r="A67" s="2" t="s">
        <v>495</v>
      </c>
      <c r="B67" s="3" t="s">
        <v>496</v>
      </c>
      <c r="D67" s="14">
        <v>6.8576379582235629E-17</v>
      </c>
      <c r="E67" s="14">
        <v>3.990379649943203E-5</v>
      </c>
      <c r="F67" s="14">
        <v>5.366096986370867E-9</v>
      </c>
      <c r="G67" s="14">
        <v>2.9334146178565964E-10</v>
      </c>
      <c r="H67" s="14">
        <v>0</v>
      </c>
      <c r="I67" s="14">
        <v>3.5907593176434431E-9</v>
      </c>
      <c r="J67" s="14">
        <v>8.6953302733598991E-8</v>
      </c>
      <c r="K67" s="14">
        <v>0</v>
      </c>
    </row>
    <row r="68" spans="1:11">
      <c r="A68" s="2" t="s">
        <v>497</v>
      </c>
      <c r="B68" s="3" t="s">
        <v>498</v>
      </c>
      <c r="D68" s="14">
        <v>6.200196406170705E-16</v>
      </c>
      <c r="E68" s="14">
        <v>3.9961459096086795E-5</v>
      </c>
      <c r="F68" s="14">
        <v>6.3803199217006015E-10</v>
      </c>
      <c r="G68" s="14">
        <v>4.9227585089088363E-11</v>
      </c>
      <c r="H68" s="14">
        <v>0</v>
      </c>
      <c r="I68" s="14">
        <v>2.7298706860847484E-9</v>
      </c>
      <c r="J68" s="14">
        <v>3.5123773029838014E-8</v>
      </c>
      <c r="K68" s="14">
        <v>0</v>
      </c>
    </row>
    <row r="69" spans="1:11">
      <c r="A69" s="2" t="s">
        <v>499</v>
      </c>
      <c r="B69" s="3" t="s">
        <v>500</v>
      </c>
      <c r="D69" s="14">
        <v>1.4434561008502411E-15</v>
      </c>
      <c r="E69" s="14">
        <v>1.4421194854304465E-6</v>
      </c>
      <c r="F69" s="14">
        <v>1.3072775266754212E-5</v>
      </c>
      <c r="G69" s="14">
        <v>3.3633599676068313E-6</v>
      </c>
      <c r="H69" s="14">
        <v>0</v>
      </c>
      <c r="I69" s="14">
        <v>4.0443774983717431E-7</v>
      </c>
      <c r="J69" s="14">
        <v>2.1717307528927886E-5</v>
      </c>
      <c r="K69" s="14">
        <v>0</v>
      </c>
    </row>
    <row r="70" spans="1:11">
      <c r="A70" s="2" t="s">
        <v>501</v>
      </c>
      <c r="B70" s="3" t="s">
        <v>411</v>
      </c>
      <c r="D70" s="14">
        <v>1.1423453862503386E-17</v>
      </c>
      <c r="E70" s="14">
        <v>3.9870997082701956E-5</v>
      </c>
      <c r="F70" s="14">
        <v>1.2395716839162857E-7</v>
      </c>
      <c r="G70" s="14">
        <v>1.1780596227619338E-11</v>
      </c>
      <c r="H70" s="14">
        <v>0</v>
      </c>
      <c r="I70" s="14">
        <v>2.7054486787528171E-9</v>
      </c>
      <c r="J70" s="14">
        <v>2.3285196200152173E-9</v>
      </c>
      <c r="K70" s="14">
        <v>0</v>
      </c>
    </row>
    <row r="71" spans="1:11">
      <c r="A71" s="2" t="s">
        <v>502</v>
      </c>
      <c r="B71" s="3" t="s">
        <v>412</v>
      </c>
      <c r="D71" s="14">
        <v>5.3470560023908441E-13</v>
      </c>
      <c r="E71" s="14">
        <v>3.975711220683797E-5</v>
      </c>
      <c r="F71" s="14">
        <v>2.3680418966823647E-7</v>
      </c>
      <c r="G71" s="14">
        <v>2.1520665429621189E-11</v>
      </c>
      <c r="H71" s="14">
        <v>0</v>
      </c>
      <c r="I71" s="14">
        <v>2.7928988257149862E-9</v>
      </c>
      <c r="J71" s="14">
        <v>3.2686492970537693E-9</v>
      </c>
      <c r="K71" s="14">
        <v>0</v>
      </c>
    </row>
    <row r="72" spans="1:11">
      <c r="A72" s="2" t="s">
        <v>503</v>
      </c>
      <c r="B72" s="3" t="s">
        <v>413</v>
      </c>
      <c r="D72" s="14">
        <v>6.6273607994118958E-14</v>
      </c>
      <c r="E72" s="14">
        <v>1.5023817550774188E-6</v>
      </c>
      <c r="F72" s="14">
        <v>3.825734710459631E-5</v>
      </c>
      <c r="G72" s="14">
        <v>1.7570301360918513E-8</v>
      </c>
      <c r="H72" s="14">
        <v>0</v>
      </c>
      <c r="I72" s="14">
        <v>1.8882479478085201E-7</v>
      </c>
      <c r="J72" s="14">
        <v>3.3875977910895275E-8</v>
      </c>
      <c r="K72" s="14">
        <v>0</v>
      </c>
    </row>
    <row r="73" spans="1:11">
      <c r="A73" s="2" t="s">
        <v>504</v>
      </c>
      <c r="B73" s="3" t="s">
        <v>414</v>
      </c>
      <c r="D73" s="14">
        <v>6.7845425208641119E-14</v>
      </c>
      <c r="E73" s="14">
        <v>1.09189343533634E-5</v>
      </c>
      <c r="F73" s="14">
        <v>2.9039879191478515E-5</v>
      </c>
      <c r="G73" s="14">
        <v>1.6786461723390206E-9</v>
      </c>
      <c r="H73" s="14">
        <v>0</v>
      </c>
      <c r="I73" s="14">
        <v>1.7986277926383201E-8</v>
      </c>
      <c r="J73" s="14">
        <v>2.1521463213934248E-8</v>
      </c>
      <c r="K73" s="14">
        <v>0</v>
      </c>
    </row>
    <row r="74" spans="1:11">
      <c r="A74" s="2" t="s">
        <v>505</v>
      </c>
      <c r="B74" s="3" t="s">
        <v>415</v>
      </c>
      <c r="D74" s="14">
        <v>6.5784272164590349E-14</v>
      </c>
      <c r="E74" s="14">
        <v>3.97797235170222E-5</v>
      </c>
      <c r="F74" s="14">
        <v>2.1438594539051455E-7</v>
      </c>
      <c r="G74" s="14">
        <v>1.9568641179659565E-11</v>
      </c>
      <c r="H74" s="14">
        <v>0</v>
      </c>
      <c r="I74" s="14">
        <v>2.7758130311545107E-9</v>
      </c>
      <c r="J74" s="14">
        <v>3.0950901306782884E-9</v>
      </c>
      <c r="K74" s="14">
        <v>0</v>
      </c>
    </row>
    <row r="75" spans="1:11">
      <c r="A75" s="2" t="s">
        <v>506</v>
      </c>
      <c r="B75" s="3" t="s">
        <v>416</v>
      </c>
      <c r="D75" s="14">
        <v>2.7860658889103936E-13</v>
      </c>
      <c r="E75" s="14">
        <v>1.2361497042843836E-5</v>
      </c>
      <c r="F75" s="14">
        <v>2.7597238045631726E-5</v>
      </c>
      <c r="G75" s="14">
        <v>1.6159576649060138E-9</v>
      </c>
      <c r="H75" s="14">
        <v>0</v>
      </c>
      <c r="I75" s="14">
        <v>1.7408274457229759E-8</v>
      </c>
      <c r="J75" s="14">
        <v>2.2240400795714657E-8</v>
      </c>
      <c r="K75" s="14">
        <v>0</v>
      </c>
    </row>
    <row r="76" spans="1:11">
      <c r="A76" s="2" t="s">
        <v>507</v>
      </c>
      <c r="B76" s="3" t="s">
        <v>417</v>
      </c>
      <c r="D76" s="14">
        <v>1.7681473920394949E-12</v>
      </c>
      <c r="E76" s="14">
        <v>3.5608900456662537E-5</v>
      </c>
      <c r="F76" s="14">
        <v>4.3711238717216512E-6</v>
      </c>
      <c r="G76" s="14">
        <v>3.1787723585213048E-10</v>
      </c>
      <c r="H76" s="14">
        <v>0</v>
      </c>
      <c r="I76" s="14">
        <v>5.4859541842215817E-9</v>
      </c>
      <c r="J76" s="14">
        <v>1.4170072048353184E-8</v>
      </c>
      <c r="K76" s="14">
        <v>0</v>
      </c>
    </row>
    <row r="77" spans="1:11">
      <c r="A77" s="2" t="s">
        <v>508</v>
      </c>
      <c r="B77" s="3" t="s">
        <v>418</v>
      </c>
      <c r="D77" s="14">
        <v>2.0752725621561814E-12</v>
      </c>
      <c r="E77" s="14">
        <v>1.1320229796568996E-5</v>
      </c>
      <c r="F77" s="14">
        <v>2.8638468755086832E-5</v>
      </c>
      <c r="G77" s="14">
        <v>1.6665414016999676E-9</v>
      </c>
      <c r="H77" s="14">
        <v>0</v>
      </c>
      <c r="I77" s="14">
        <v>1.7829204972414102E-8</v>
      </c>
      <c r="J77" s="14">
        <v>2.1803626697499089E-8</v>
      </c>
      <c r="K77" s="14">
        <v>0</v>
      </c>
    </row>
    <row r="78" spans="1:11">
      <c r="A78" s="2" t="s">
        <v>509</v>
      </c>
      <c r="B78" s="3" t="s">
        <v>419</v>
      </c>
      <c r="D78" s="14">
        <v>2.6566741647954865E-13</v>
      </c>
      <c r="E78" s="14">
        <v>1.6614909447730411E-6</v>
      </c>
      <c r="F78" s="14">
        <v>3.8134014650128954E-5</v>
      </c>
      <c r="G78" s="14">
        <v>1.4715563200561155E-8</v>
      </c>
      <c r="H78" s="14">
        <v>0</v>
      </c>
      <c r="I78" s="14">
        <v>1.5773879671237298E-7</v>
      </c>
      <c r="J78" s="14">
        <v>3.2039779517659004E-8</v>
      </c>
      <c r="K78" s="14">
        <v>0</v>
      </c>
    </row>
    <row r="79" spans="1:11">
      <c r="A79" s="2" t="s">
        <v>510</v>
      </c>
      <c r="B79" s="3" t="s">
        <v>420</v>
      </c>
      <c r="D79" s="14">
        <v>6.673265446159216E-18</v>
      </c>
      <c r="E79" s="14">
        <v>1.6614912745549544E-6</v>
      </c>
      <c r="F79" s="14">
        <v>3.8134022219179118E-5</v>
      </c>
      <c r="G79" s="14">
        <v>1.4713237299472074E-8</v>
      </c>
      <c r="H79" s="14">
        <v>0</v>
      </c>
      <c r="I79" s="14">
        <v>1.5773855356077406E-7</v>
      </c>
      <c r="J79" s="14">
        <v>3.2034715399007324E-8</v>
      </c>
      <c r="K79" s="14">
        <v>0</v>
      </c>
    </row>
    <row r="80" spans="1:11">
      <c r="A80" s="2" t="s">
        <v>511</v>
      </c>
      <c r="B80" s="3" t="s">
        <v>421</v>
      </c>
      <c r="D80" s="14">
        <v>3.1298071432418039E-13</v>
      </c>
      <c r="E80" s="14">
        <v>2.6680702706729545E-5</v>
      </c>
      <c r="F80" s="14">
        <v>1.3285925537954634E-5</v>
      </c>
      <c r="G80" s="14">
        <v>8.6887274274765548E-10</v>
      </c>
      <c r="H80" s="14">
        <v>0</v>
      </c>
      <c r="I80" s="14">
        <v>1.0540725517151898E-8</v>
      </c>
      <c r="J80" s="14">
        <v>2.1961844075211836E-8</v>
      </c>
      <c r="K80" s="14">
        <v>0</v>
      </c>
    </row>
    <row r="81" spans="1:11">
      <c r="A81" s="2" t="s">
        <v>512</v>
      </c>
      <c r="B81" s="3" t="s">
        <v>422</v>
      </c>
      <c r="D81" s="14">
        <v>1.2406316324315063E-13</v>
      </c>
      <c r="E81" s="14">
        <v>3.9046538232068593E-5</v>
      </c>
      <c r="F81" s="14">
        <v>9.4344608546598822E-7</v>
      </c>
      <c r="G81" s="14">
        <v>7.7104805510811983E-11</v>
      </c>
      <c r="H81" s="14">
        <v>0</v>
      </c>
      <c r="I81" s="14">
        <v>3.2980561090365033E-9</v>
      </c>
      <c r="J81" s="14">
        <v>6.6403974877143285E-9</v>
      </c>
      <c r="K81" s="14">
        <v>0</v>
      </c>
    </row>
    <row r="82" spans="1:11">
      <c r="A82" s="2" t="s">
        <v>513</v>
      </c>
      <c r="B82" s="3" t="s">
        <v>423</v>
      </c>
      <c r="D82" s="14">
        <v>3.9748916168704947E-17</v>
      </c>
      <c r="E82" s="14">
        <v>3.757724668264539E-5</v>
      </c>
      <c r="F82" s="14">
        <v>2.4076841079520221E-6</v>
      </c>
      <c r="G82" s="14">
        <v>1.831028610495274E-10</v>
      </c>
      <c r="H82" s="14">
        <v>0</v>
      </c>
      <c r="I82" s="14">
        <v>4.2640706991749018E-9</v>
      </c>
      <c r="J82" s="14">
        <v>1.0622035802616126E-8</v>
      </c>
      <c r="K82" s="14">
        <v>0</v>
      </c>
    </row>
    <row r="83" spans="1:11">
      <c r="A83" s="2" t="s">
        <v>514</v>
      </c>
      <c r="B83" s="3" t="s">
        <v>424</v>
      </c>
      <c r="D83" s="14">
        <v>9.5905836168536141E-14</v>
      </c>
      <c r="E83" s="14">
        <v>1.1358074746614004E-6</v>
      </c>
      <c r="F83" s="14">
        <v>3.8487461972078172E-5</v>
      </c>
      <c r="G83" s="14">
        <v>2.8528808380242254E-8</v>
      </c>
      <c r="H83" s="14">
        <v>0</v>
      </c>
      <c r="I83" s="14">
        <v>3.0882885244069331E-7</v>
      </c>
      <c r="J83" s="14">
        <v>3.9372796533663023E-8</v>
      </c>
      <c r="K83" s="14">
        <v>0</v>
      </c>
    </row>
    <row r="84" spans="1:11">
      <c r="A84" s="2" t="s">
        <v>403</v>
      </c>
      <c r="B84" s="3" t="s">
        <v>404</v>
      </c>
      <c r="D84" s="14">
        <v>2.7151099079992124E-48</v>
      </c>
      <c r="E84" s="14">
        <v>1.7303225955293386E-5</v>
      </c>
      <c r="F84" s="14">
        <v>1.8743972113673808E-6</v>
      </c>
      <c r="G84" s="14">
        <v>4.3366780801337532E-7</v>
      </c>
      <c r="H84" s="14">
        <v>0</v>
      </c>
      <c r="I84" s="14">
        <v>5.250850959390579E-8</v>
      </c>
      <c r="J84" s="14">
        <v>2.0336200515731961E-5</v>
      </c>
      <c r="K84" s="14">
        <v>0</v>
      </c>
    </row>
    <row r="85" spans="1:11">
      <c r="A85" s="2" t="s">
        <v>405</v>
      </c>
      <c r="B85" s="3" t="s">
        <v>406</v>
      </c>
      <c r="D85" s="14">
        <v>3.0823105264002168E-12</v>
      </c>
      <c r="E85" s="14">
        <v>1.128749127791871E-5</v>
      </c>
      <c r="F85" s="14">
        <v>1.7678413565914908E-5</v>
      </c>
      <c r="G85" s="14">
        <v>9.2420237838380622E-7</v>
      </c>
      <c r="H85" s="14">
        <v>0</v>
      </c>
      <c r="I85" s="14">
        <v>6.6322890133445661E-6</v>
      </c>
      <c r="J85" s="14">
        <v>3.4776006821274908E-6</v>
      </c>
      <c r="K85" s="14">
        <v>0</v>
      </c>
    </row>
    <row r="86" spans="1:11">
      <c r="A86" s="2" t="s">
        <v>407</v>
      </c>
      <c r="B86" s="3" t="s">
        <v>408</v>
      </c>
      <c r="D86" s="14">
        <v>6.1940125938656193E-9</v>
      </c>
      <c r="E86" s="14">
        <v>8.5698209555364505E-8</v>
      </c>
      <c r="F86" s="14">
        <v>4.1413916062113391E-6</v>
      </c>
      <c r="G86" s="14">
        <v>1.7593079058685944E-5</v>
      </c>
      <c r="H86" s="14">
        <v>0</v>
      </c>
      <c r="I86" s="14">
        <v>2.1465541562121992E-6</v>
      </c>
      <c r="J86" s="14">
        <v>1.6027082956741297E-5</v>
      </c>
      <c r="K86" s="14">
        <v>0</v>
      </c>
    </row>
    <row r="87" spans="1:11">
      <c r="A87" s="2" t="s">
        <v>409</v>
      </c>
      <c r="B87" s="3" t="s">
        <v>410</v>
      </c>
      <c r="D87" s="14">
        <v>8.6762147216836452E-10</v>
      </c>
      <c r="E87" s="14">
        <v>3.3594637252510511E-8</v>
      </c>
      <c r="F87" s="14">
        <v>2.5246693428425942E-6</v>
      </c>
      <c r="G87" s="14">
        <v>2.2475018702057167E-5</v>
      </c>
      <c r="H87" s="14">
        <v>0</v>
      </c>
      <c r="I87" s="14">
        <v>2.7531214804455626E-6</v>
      </c>
      <c r="J87" s="14">
        <v>1.2212728215929995E-5</v>
      </c>
      <c r="K87" s="14">
        <v>0</v>
      </c>
    </row>
    <row r="88" spans="1:11">
      <c r="A88" s="2" t="s">
        <v>301</v>
      </c>
      <c r="B88" s="3" t="s">
        <v>302</v>
      </c>
      <c r="D88" s="14">
        <v>1.2029497309440506E-10</v>
      </c>
      <c r="E88" s="14">
        <v>1.0585396834210624E-8</v>
      </c>
      <c r="F88" s="14">
        <v>1.3143822762727081E-6</v>
      </c>
      <c r="G88" s="14">
        <v>2.7140462839006509E-5</v>
      </c>
      <c r="H88" s="14">
        <v>0</v>
      </c>
      <c r="I88" s="14">
        <v>3.3398091759585225E-6</v>
      </c>
      <c r="J88" s="14">
        <v>8.1946400169549574E-6</v>
      </c>
      <c r="K88" s="14">
        <v>0</v>
      </c>
    </row>
    <row r="89" spans="1:11">
      <c r="A89" s="2" t="s">
        <v>303</v>
      </c>
      <c r="B89" s="3" t="s">
        <v>304</v>
      </c>
      <c r="D89" s="14">
        <v>3.4923555079976577E-17</v>
      </c>
      <c r="E89" s="14">
        <v>2.693595245256193E-7</v>
      </c>
      <c r="F89" s="14">
        <v>3.0677181466288528E-6</v>
      </c>
      <c r="G89" s="14">
        <v>7.9785051779680786E-6</v>
      </c>
      <c r="H89" s="14">
        <v>0</v>
      </c>
      <c r="I89" s="14">
        <v>2.531903674530278E-5</v>
      </c>
      <c r="J89" s="14">
        <v>3.3653804055397429E-6</v>
      </c>
      <c r="K89" s="14">
        <v>0</v>
      </c>
    </row>
    <row r="90" spans="1:11">
      <c r="A90" s="2" t="s">
        <v>425</v>
      </c>
      <c r="B90" s="3" t="s">
        <v>426</v>
      </c>
      <c r="D90" s="14">
        <v>6.3944076795084766E-18</v>
      </c>
      <c r="E90" s="14">
        <v>3.8989890919868487E-5</v>
      </c>
      <c r="F90" s="14">
        <v>3.6573503979958333E-9</v>
      </c>
      <c r="G90" s="14">
        <v>1.2279815947046327E-9</v>
      </c>
      <c r="H90" s="14">
        <v>0</v>
      </c>
      <c r="I90" s="14">
        <v>2.677333697097038E-9</v>
      </c>
      <c r="J90" s="14">
        <v>1.002546414435327E-6</v>
      </c>
      <c r="K90" s="14">
        <v>0</v>
      </c>
    </row>
    <row r="91" spans="1:11">
      <c r="A91" s="2" t="s">
        <v>427</v>
      </c>
      <c r="B91" s="3" t="s">
        <v>428</v>
      </c>
      <c r="D91" s="14">
        <v>3.5122951356158082E-9</v>
      </c>
      <c r="E91" s="14">
        <v>3.064013445405352E-5</v>
      </c>
      <c r="F91" s="14">
        <v>2.343501398956195E-7</v>
      </c>
      <c r="G91" s="14">
        <v>6.591143582473371E-8</v>
      </c>
      <c r="H91" s="14">
        <v>0</v>
      </c>
      <c r="I91" s="14">
        <v>9.741329282373036E-9</v>
      </c>
      <c r="J91" s="14">
        <v>9.0463503458081364E-6</v>
      </c>
      <c r="K91" s="14">
        <v>0</v>
      </c>
    </row>
    <row r="92" spans="1:11">
      <c r="A92" s="2" t="s">
        <v>429</v>
      </c>
      <c r="B92" s="3" t="s">
        <v>430</v>
      </c>
      <c r="D92" s="14">
        <v>4.2600702316977017E-8</v>
      </c>
      <c r="E92" s="14">
        <v>1.0733872281383731E-5</v>
      </c>
      <c r="F92" s="14">
        <v>4.0596722575257871E-6</v>
      </c>
      <c r="G92" s="14">
        <v>8.5661668496312669E-7</v>
      </c>
      <c r="H92" s="14">
        <v>0</v>
      </c>
      <c r="I92" s="14">
        <v>1.0256841875698788E-7</v>
      </c>
      <c r="J92" s="14">
        <v>2.4204669655053391E-5</v>
      </c>
      <c r="K92" s="14">
        <v>0</v>
      </c>
    </row>
    <row r="93" spans="1:11">
      <c r="A93" s="2" t="s">
        <v>431</v>
      </c>
      <c r="B93" s="3" t="s">
        <v>432</v>
      </c>
      <c r="D93" s="14">
        <v>4.8232527702812478E-22</v>
      </c>
      <c r="E93" s="14">
        <v>3.9973792614669304E-5</v>
      </c>
      <c r="F93" s="14">
        <v>1.7453394508505308E-8</v>
      </c>
      <c r="G93" s="14">
        <v>1.3983047302982456E-11</v>
      </c>
      <c r="H93" s="14">
        <v>0</v>
      </c>
      <c r="I93" s="14">
        <v>2.6177098803910144E-9</v>
      </c>
      <c r="J93" s="14">
        <v>6.1222978944999876E-9</v>
      </c>
      <c r="K93" s="14">
        <v>0</v>
      </c>
    </row>
    <row r="94" spans="1:11">
      <c r="A94" s="2" t="s">
        <v>433</v>
      </c>
      <c r="B94" s="3" t="s">
        <v>434</v>
      </c>
      <c r="D94" s="14">
        <v>1.0154522028822139E-22</v>
      </c>
      <c r="E94" s="14">
        <v>3.9997159565276265E-5</v>
      </c>
      <c r="F94" s="14">
        <v>6.7660266061554349E-11</v>
      </c>
      <c r="G94" s="14">
        <v>9.4412466365781924E-14</v>
      </c>
      <c r="H94" s="14">
        <v>0</v>
      </c>
      <c r="I94" s="14">
        <v>2.61838855504078E-9</v>
      </c>
      <c r="J94" s="14">
        <v>1.542914901699208E-10</v>
      </c>
      <c r="K94" s="14">
        <v>0</v>
      </c>
    </row>
    <row r="95" spans="1:11">
      <c r="A95" s="2" t="s">
        <v>435</v>
      </c>
      <c r="B95" s="3" t="s">
        <v>436</v>
      </c>
      <c r="D95" s="14">
        <v>5.4565694094520066E-13</v>
      </c>
      <c r="E95" s="14">
        <v>3.7657176193273671E-5</v>
      </c>
      <c r="F95" s="14">
        <v>1.4968045373828694E-8</v>
      </c>
      <c r="G95" s="14">
        <v>5.1915415866283282E-9</v>
      </c>
      <c r="H95" s="14">
        <v>0</v>
      </c>
      <c r="I95" s="14">
        <v>3.0857447328017148E-9</v>
      </c>
      <c r="J95" s="14">
        <v>2.3195779293761331E-6</v>
      </c>
      <c r="K95" s="14">
        <v>0</v>
      </c>
    </row>
    <row r="96" spans="1:11">
      <c r="A96" s="2" t="s">
        <v>437</v>
      </c>
      <c r="B96" s="165" t="s">
        <v>438</v>
      </c>
      <c r="D96" s="14">
        <v>1.104577933355105E-11</v>
      </c>
      <c r="E96" s="14">
        <v>1.1894221650671757E-7</v>
      </c>
      <c r="F96" s="14">
        <v>4.8760772544171685E-6</v>
      </c>
      <c r="G96" s="14">
        <v>1.5724112165909106E-5</v>
      </c>
      <c r="H96" s="14">
        <v>0</v>
      </c>
      <c r="I96" s="14">
        <v>1.9156983368179027E-6</v>
      </c>
      <c r="J96" s="14">
        <v>1.7365158980569778E-5</v>
      </c>
      <c r="K96" s="14">
        <v>0</v>
      </c>
    </row>
    <row r="97" spans="1:11">
      <c r="A97" s="2" t="s">
        <v>439</v>
      </c>
      <c r="B97" s="3" t="s">
        <v>440</v>
      </c>
      <c r="D97" s="14">
        <v>1.8025840820197362E-9</v>
      </c>
      <c r="E97" s="14">
        <v>2.720665792340711E-5</v>
      </c>
      <c r="F97" s="14">
        <v>4.6320127541077565E-7</v>
      </c>
      <c r="G97" s="14">
        <v>1.2281892785783898E-7</v>
      </c>
      <c r="H97" s="14">
        <v>0</v>
      </c>
      <c r="I97" s="14">
        <v>1.6242681955314873E-8</v>
      </c>
      <c r="J97" s="14">
        <v>1.2189276607286942E-5</v>
      </c>
      <c r="K97" s="14">
        <v>0</v>
      </c>
    </row>
    <row r="98" spans="1:11">
      <c r="A98" s="2" t="s">
        <v>441</v>
      </c>
      <c r="B98" s="3" t="s">
        <v>442</v>
      </c>
      <c r="D98" s="14">
        <v>1.1682911912234157E-21</v>
      </c>
      <c r="E98" s="14">
        <v>3.0053203123626096E-5</v>
      </c>
      <c r="F98" s="14">
        <v>2.6707012953937974E-7</v>
      </c>
      <c r="G98" s="14">
        <v>7.4288377367091917E-8</v>
      </c>
      <c r="H98" s="14">
        <v>0</v>
      </c>
      <c r="I98" s="14">
        <v>1.0691910643454043E-8</v>
      </c>
      <c r="J98" s="14">
        <v>9.5947464588239856E-6</v>
      </c>
      <c r="K98" s="14">
        <v>0</v>
      </c>
    </row>
    <row r="99" spans="1:11">
      <c r="A99" s="2" t="s">
        <v>443</v>
      </c>
      <c r="B99" s="3" t="s">
        <v>444</v>
      </c>
      <c r="D99" s="14">
        <v>1.7054113614583467E-33</v>
      </c>
      <c r="E99" s="14">
        <v>3.5166473261713789E-5</v>
      </c>
      <c r="F99" s="14">
        <v>5.9993385005833708E-8</v>
      </c>
      <c r="G99" s="14">
        <v>1.8845120648331055E-8</v>
      </c>
      <c r="H99" s="14">
        <v>0</v>
      </c>
      <c r="I99" s="14">
        <v>4.4919796850438945E-9</v>
      </c>
      <c r="J99" s="14">
        <v>4.7501962529470093E-6</v>
      </c>
      <c r="K99" s="14">
        <v>0</v>
      </c>
    </row>
    <row r="100" spans="1:11">
      <c r="A100" s="2" t="s">
        <v>445</v>
      </c>
      <c r="B100" s="3" t="s">
        <v>446</v>
      </c>
      <c r="D100" s="14">
        <v>9.5122801222401846E-12</v>
      </c>
      <c r="E100" s="14">
        <v>6.4133404605294046E-7</v>
      </c>
      <c r="F100" s="14">
        <v>1.0056777598817783E-5</v>
      </c>
      <c r="G100" s="14">
        <v>6.4811847488852901E-6</v>
      </c>
      <c r="H100" s="14">
        <v>0</v>
      </c>
      <c r="I100" s="14">
        <v>7.8295526359725329E-7</v>
      </c>
      <c r="J100" s="14">
        <v>2.203773883036662E-5</v>
      </c>
      <c r="K100" s="14">
        <v>0</v>
      </c>
    </row>
    <row r="101" spans="1:11">
      <c r="A101" s="2" t="s">
        <v>447</v>
      </c>
      <c r="B101" s="3" t="s">
        <v>448</v>
      </c>
      <c r="D101" s="14">
        <v>3.2721945128137424E-13</v>
      </c>
      <c r="E101" s="14">
        <v>1.3101432285131621E-5</v>
      </c>
      <c r="F101" s="14">
        <v>3.0811534428751762E-6</v>
      </c>
      <c r="G101" s="14">
        <v>6.7330041521909714E-7</v>
      </c>
      <c r="H101" s="14">
        <v>0</v>
      </c>
      <c r="I101" s="14">
        <v>8.0810096477155892E-8</v>
      </c>
      <c r="J101" s="14">
        <v>2.3063303433077502E-5</v>
      </c>
      <c r="K101" s="14">
        <v>0</v>
      </c>
    </row>
    <row r="102" spans="1:11">
      <c r="A102" s="2" t="s">
        <v>449</v>
      </c>
      <c r="B102" s="3" t="s">
        <v>450</v>
      </c>
      <c r="D102" s="14">
        <v>2.5588788909438335E-8</v>
      </c>
      <c r="E102" s="14">
        <v>5.0798325453361279E-6</v>
      </c>
      <c r="F102" s="14">
        <v>8.4008638550669547E-6</v>
      </c>
      <c r="G102" s="14">
        <v>1.590081929018509E-6</v>
      </c>
      <c r="H102" s="14">
        <v>0</v>
      </c>
      <c r="I102" s="14">
        <v>1.9025371103319193E-7</v>
      </c>
      <c r="J102" s="14">
        <v>2.4713379170635779E-5</v>
      </c>
      <c r="K102" s="14">
        <v>0</v>
      </c>
    </row>
    <row r="103" spans="1:11">
      <c r="A103" s="2" t="s">
        <v>451</v>
      </c>
      <c r="B103" s="3" t="s">
        <v>452</v>
      </c>
      <c r="D103" s="14">
        <v>1.9374131674180089E-23</v>
      </c>
      <c r="E103" s="14">
        <v>3.9529307010559072E-5</v>
      </c>
      <c r="F103" s="14">
        <v>4.6250214490390143E-7</v>
      </c>
      <c r="G103" s="14">
        <v>4.4883731875389209E-11</v>
      </c>
      <c r="H103" s="14">
        <v>0</v>
      </c>
      <c r="I103" s="14">
        <v>2.9603300445344524E-9</v>
      </c>
      <c r="J103" s="14">
        <v>5.1856307606235772E-9</v>
      </c>
      <c r="K103" s="14">
        <v>0</v>
      </c>
    </row>
    <row r="104" spans="1:11">
      <c r="A104" s="2" t="s">
        <v>453</v>
      </c>
      <c r="B104" s="3" t="s">
        <v>454</v>
      </c>
      <c r="D104" s="14">
        <v>4.0774350371463056E-24</v>
      </c>
      <c r="E104" s="14">
        <v>4.0259858114552518E-6</v>
      </c>
      <c r="F104" s="14">
        <v>3.565223745390115E-5</v>
      </c>
      <c r="G104" s="14">
        <v>3.7753084552261089E-8</v>
      </c>
      <c r="H104" s="14">
        <v>0</v>
      </c>
      <c r="I104" s="14">
        <v>3.3490573721805742E-8</v>
      </c>
      <c r="J104" s="14">
        <v>2.5053307636953337E-7</v>
      </c>
      <c r="K104" s="14">
        <v>0</v>
      </c>
    </row>
    <row r="105" spans="1:11">
      <c r="A105" s="2" t="s">
        <v>455</v>
      </c>
      <c r="B105" s="165">
        <v>354656</v>
      </c>
      <c r="D105" s="14">
        <v>1.4711064483634748E-14</v>
      </c>
      <c r="E105" s="14">
        <v>3.8790355846258052E-5</v>
      </c>
      <c r="F105" s="14">
        <v>3.9220968532219352E-9</v>
      </c>
      <c r="G105" s="14">
        <v>1.5170988159896929E-9</v>
      </c>
      <c r="H105" s="14">
        <v>0</v>
      </c>
      <c r="I105" s="14">
        <v>2.6974049649404292E-9</v>
      </c>
      <c r="J105" s="14">
        <v>1.2015075383967308E-6</v>
      </c>
      <c r="K105" s="14">
        <v>0</v>
      </c>
    </row>
    <row r="106" spans="1:11">
      <c r="A106" s="2" t="s">
        <v>457</v>
      </c>
      <c r="B106" s="3" t="s">
        <v>458</v>
      </c>
      <c r="D106" s="14">
        <v>2.1882786980778385E-14</v>
      </c>
      <c r="E106" s="14">
        <v>3.7546251637399451E-5</v>
      </c>
      <c r="F106" s="14">
        <v>1.6229396575095603E-8</v>
      </c>
      <c r="G106" s="14">
        <v>5.6037386260328375E-9</v>
      </c>
      <c r="H106" s="14">
        <v>0</v>
      </c>
      <c r="I106" s="14">
        <v>3.1222145014151736E-9</v>
      </c>
      <c r="J106" s="14">
        <v>2.428792991015225E-6</v>
      </c>
      <c r="K106" s="14">
        <v>0</v>
      </c>
    </row>
    <row r="107" spans="1:11">
      <c r="A107" s="2" t="s">
        <v>459</v>
      </c>
      <c r="B107" s="3" t="s">
        <v>460</v>
      </c>
      <c r="D107" s="14">
        <v>7.5421882713693537E-24</v>
      </c>
      <c r="E107" s="14">
        <v>3.4446814624471755E-6</v>
      </c>
      <c r="F107" s="14">
        <v>1.1689628583079734E-5</v>
      </c>
      <c r="G107" s="14">
        <v>2.0459212126850562E-6</v>
      </c>
      <c r="H107" s="14">
        <v>0</v>
      </c>
      <c r="I107" s="14">
        <v>2.8767570487073084E-7</v>
      </c>
      <c r="J107" s="14">
        <v>2.2532093036917302E-5</v>
      </c>
      <c r="K107" s="14">
        <v>0</v>
      </c>
    </row>
    <row r="108" spans="1:11">
      <c r="A108" s="2" t="s">
        <v>461</v>
      </c>
      <c r="B108" s="3" t="s">
        <v>462</v>
      </c>
      <c r="D108" s="14">
        <v>4.3872859446726127E-14</v>
      </c>
      <c r="E108" s="14">
        <v>3.9995138921980716E-5</v>
      </c>
      <c r="F108" s="14">
        <v>3.504632881205719E-11</v>
      </c>
      <c r="G108" s="14">
        <v>1.0157904207676243E-12</v>
      </c>
      <c r="H108" s="14">
        <v>0</v>
      </c>
      <c r="I108" s="14">
        <v>2.6092425086368413E-9</v>
      </c>
      <c r="J108" s="14">
        <v>2.2157295185607517E-9</v>
      </c>
      <c r="K108" s="14">
        <v>0</v>
      </c>
    </row>
    <row r="109" spans="1:11">
      <c r="A109" s="2" t="s">
        <v>463</v>
      </c>
      <c r="B109" s="3" t="s">
        <v>464</v>
      </c>
      <c r="D109" s="14">
        <v>1.1843506372843277E-16</v>
      </c>
      <c r="E109" s="14">
        <v>3.8939842275244668E-5</v>
      </c>
      <c r="F109" s="14">
        <v>2.4315169797336687E-7</v>
      </c>
      <c r="G109" s="14">
        <v>1.208602205853878E-8</v>
      </c>
      <c r="H109" s="14">
        <v>0</v>
      </c>
      <c r="I109" s="14">
        <v>3.6858474572818435E-8</v>
      </c>
      <c r="J109" s="14">
        <v>7.6806153003217476E-7</v>
      </c>
      <c r="K109" s="14">
        <v>0</v>
      </c>
    </row>
    <row r="110" spans="1:11">
      <c r="A110" s="2" t="s">
        <v>465</v>
      </c>
      <c r="B110" s="3" t="s">
        <v>466</v>
      </c>
      <c r="D110" s="14">
        <v>8.3314676346487967E-16</v>
      </c>
      <c r="E110" s="14">
        <v>3.9746882147248792E-5</v>
      </c>
      <c r="F110" s="14">
        <v>8.9639126838243768E-10</v>
      </c>
      <c r="G110" s="14">
        <v>1.7150000741354666E-10</v>
      </c>
      <c r="H110" s="14">
        <v>0</v>
      </c>
      <c r="I110" s="14">
        <v>2.6038288139935093E-9</v>
      </c>
      <c r="J110" s="14">
        <v>2.4944613182827042E-7</v>
      </c>
      <c r="K110" s="14">
        <v>0</v>
      </c>
    </row>
    <row r="111" spans="1:11">
      <c r="A111" s="2" t="s">
        <v>467</v>
      </c>
      <c r="B111" s="3" t="s">
        <v>468</v>
      </c>
      <c r="D111" s="14">
        <v>1.4806164658734909E-34</v>
      </c>
      <c r="E111" s="14">
        <v>3.9997112525499447E-5</v>
      </c>
      <c r="F111" s="14">
        <v>6.3688818195482093E-11</v>
      </c>
      <c r="G111" s="14">
        <v>5.261809719261687E-14</v>
      </c>
      <c r="H111" s="14">
        <v>0</v>
      </c>
      <c r="I111" s="14">
        <v>2.599733192676139E-9</v>
      </c>
      <c r="J111" s="14">
        <v>2.2399987158782413E-10</v>
      </c>
      <c r="K111" s="14">
        <v>0</v>
      </c>
    </row>
    <row r="112" spans="1:11">
      <c r="A112" s="2" t="s">
        <v>469</v>
      </c>
      <c r="B112" s="3" t="s">
        <v>470</v>
      </c>
      <c r="D112" s="14">
        <v>9.3599716328966483E-18</v>
      </c>
      <c r="E112" s="14">
        <v>3.9673836300474717E-5</v>
      </c>
      <c r="F112" s="14">
        <v>3.0913540510950531E-10</v>
      </c>
      <c r="G112" s="14">
        <v>1.4442564068724668E-10</v>
      </c>
      <c r="H112" s="14">
        <v>0</v>
      </c>
      <c r="I112" s="14">
        <v>2.5952771786064451E-9</v>
      </c>
      <c r="J112" s="14">
        <v>3.231148612915194E-7</v>
      </c>
      <c r="K112" s="14">
        <v>0</v>
      </c>
    </row>
    <row r="113" spans="1:11">
      <c r="A113" s="2" t="s">
        <v>471</v>
      </c>
      <c r="B113" s="3" t="s">
        <v>472</v>
      </c>
      <c r="D113" s="14">
        <v>1.1550356582232143E-13</v>
      </c>
      <c r="E113" s="14">
        <v>3.8167617957883915E-5</v>
      </c>
      <c r="F113" s="14">
        <v>8.8078438543760907E-9</v>
      </c>
      <c r="G113" s="14">
        <v>3.2060121376827679E-9</v>
      </c>
      <c r="H113" s="14">
        <v>0</v>
      </c>
      <c r="I113" s="14">
        <v>2.8539537159779353E-9</v>
      </c>
      <c r="J113" s="14">
        <v>1.8175141169044882E-6</v>
      </c>
      <c r="K113" s="14">
        <v>0</v>
      </c>
    </row>
    <row r="114" spans="1:11">
      <c r="A114" s="2" t="s">
        <v>473</v>
      </c>
      <c r="B114" s="3" t="s">
        <v>474</v>
      </c>
      <c r="D114" s="14">
        <v>9.1871077252252299E-21</v>
      </c>
      <c r="E114" s="14">
        <v>3.9829751939783274E-5</v>
      </c>
      <c r="F114" s="14">
        <v>9.0008215610914802E-11</v>
      </c>
      <c r="G114" s="14">
        <v>4.5347229167459704E-11</v>
      </c>
      <c r="H114" s="14">
        <v>0</v>
      </c>
      <c r="I114" s="14">
        <v>2.5939692208084153E-9</v>
      </c>
      <c r="J114" s="14">
        <v>1.6751873555113646E-7</v>
      </c>
      <c r="K114" s="14">
        <v>0</v>
      </c>
    </row>
    <row r="115" spans="1:11">
      <c r="A115" s="2" t="s">
        <v>475</v>
      </c>
      <c r="B115" s="3" t="s">
        <v>476</v>
      </c>
      <c r="D115" s="14">
        <v>4.8713171512432942E-17</v>
      </c>
      <c r="E115" s="14">
        <v>3.9882333976429176E-5</v>
      </c>
      <c r="F115" s="14">
        <v>1.1219025014848392E-7</v>
      </c>
      <c r="G115" s="14">
        <v>1.3438134067406399E-11</v>
      </c>
      <c r="H115" s="14">
        <v>0</v>
      </c>
      <c r="I115" s="14">
        <v>2.6963389058339492E-9</v>
      </c>
      <c r="J115" s="14">
        <v>2.7659963337370036E-9</v>
      </c>
      <c r="K115" s="14">
        <v>0</v>
      </c>
    </row>
    <row r="116" spans="1:11">
      <c r="A116" s="2" t="s">
        <v>477</v>
      </c>
      <c r="B116" s="3" t="s">
        <v>478</v>
      </c>
      <c r="D116" s="14">
        <v>5.4499893857412391E-21</v>
      </c>
      <c r="E116" s="14">
        <v>2.1787351963765295E-5</v>
      </c>
      <c r="F116" s="14">
        <v>1.3309505054069539E-5</v>
      </c>
      <c r="G116" s="14">
        <v>3.2236317603961845E-7</v>
      </c>
      <c r="H116" s="14">
        <v>0</v>
      </c>
      <c r="I116" s="14">
        <v>1.4686474668693085E-6</v>
      </c>
      <c r="J116" s="14">
        <v>3.1121323392562469E-6</v>
      </c>
      <c r="K116" s="14">
        <v>0</v>
      </c>
    </row>
    <row r="117" spans="1:11">
      <c r="A117" s="2" t="s">
        <v>291</v>
      </c>
      <c r="B117" s="3" t="s">
        <v>479</v>
      </c>
      <c r="D117" s="14">
        <v>1.4535831849628732E-14</v>
      </c>
      <c r="E117" s="14">
        <v>2.341097789606657E-5</v>
      </c>
      <c r="F117" s="14">
        <v>8.4394492379033086E-7</v>
      </c>
      <c r="G117" s="14">
        <v>2.1174329192620063E-7</v>
      </c>
      <c r="H117" s="14">
        <v>0</v>
      </c>
      <c r="I117" s="14">
        <v>2.6530101456366693E-8</v>
      </c>
      <c r="J117" s="14">
        <v>1.5506803772224698E-5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68B54-1554-4FB2-A19E-8F397D4DB40E}">
  <dimension ref="A1:D117"/>
  <sheetViews>
    <sheetView tabSelected="1" topLeftCell="A100" workbookViewId="0">
      <selection activeCell="D108" sqref="A2:D117"/>
    </sheetView>
  </sheetViews>
  <sheetFormatPr defaultRowHeight="15"/>
  <cols>
    <col min="1" max="2" width="13.5" bestFit="1" customWidth="1"/>
  </cols>
  <sheetData>
    <row r="1" spans="1:4">
      <c r="A1" s="164" t="s">
        <v>309</v>
      </c>
      <c r="B1" s="164" t="s">
        <v>310</v>
      </c>
      <c r="C1" s="164" t="s">
        <v>311</v>
      </c>
      <c r="D1" s="164" t="s">
        <v>312</v>
      </c>
    </row>
    <row r="2" spans="1:4">
      <c r="A2">
        <f>'Mass Balance'!I2</f>
        <v>2.6503264234267372E-9</v>
      </c>
      <c r="B2">
        <f>'Mass Balance'!E2</f>
        <v>3.906169611881166E-5</v>
      </c>
      <c r="C2">
        <f>SUM('Mass Balance'!E2:H2)</f>
        <v>3.9065052600859913E-5</v>
      </c>
      <c r="D2">
        <f>Concentrations!F2/Concentrations!E2</f>
        <v>1.0003040382004162</v>
      </c>
    </row>
    <row r="3" spans="1:4">
      <c r="A3">
        <f>'Mass Balance'!I3</f>
        <v>3.2906624039843858E-8</v>
      </c>
      <c r="B3">
        <f>'Mass Balance'!E3</f>
        <v>2.3619130563432904E-5</v>
      </c>
      <c r="C3">
        <f>SUM('Mass Balance'!E3:H3)</f>
        <v>2.4781337861970686E-5</v>
      </c>
      <c r="D3">
        <f>Concentrations!F3/Concentrations!E3</f>
        <v>0.95347321310179411</v>
      </c>
    </row>
    <row r="4" spans="1:4">
      <c r="A4">
        <f>'Mass Balance'!I4</f>
        <v>2.9784177813958182E-9</v>
      </c>
      <c r="B4">
        <f>'Mass Balance'!E4</f>
        <v>3.9994514349087949E-5</v>
      </c>
      <c r="C4">
        <f>SUM('Mass Balance'!E4:H4)</f>
        <v>3.9996198158731606E-5</v>
      </c>
      <c r="D4">
        <f>Concentrations!F4/Concentrations!E4</f>
        <v>1.0003478763736682</v>
      </c>
    </row>
    <row r="5" spans="1:4">
      <c r="A5">
        <f>'Mass Balance'!I5</f>
        <v>4.665747062108933E-9</v>
      </c>
      <c r="B5">
        <f>'Mass Balance'!E5</f>
        <v>3.6942920854887473E-5</v>
      </c>
      <c r="C5">
        <f>SUM('Mass Balance'!E5:H5)</f>
        <v>3.9982687524328218E-5</v>
      </c>
      <c r="D5">
        <f>Concentrations!F5/Concentrations!E5</f>
        <v>0.92433326992500109</v>
      </c>
    </row>
    <row r="6" spans="1:4">
      <c r="A6">
        <f>'Mass Balance'!I6</f>
        <v>7.1352174679453621E-9</v>
      </c>
      <c r="B6">
        <f>'Mass Balance'!E6</f>
        <v>3.3058363434411053E-5</v>
      </c>
      <c r="C6">
        <f>SUM('Mass Balance'!E6:H6)</f>
        <v>3.9921171070319124E-5</v>
      </c>
      <c r="D6">
        <f>Concentrations!F6/Concentrations!E6</f>
        <v>0.82841397299118713</v>
      </c>
    </row>
    <row r="7" spans="1:4">
      <c r="A7">
        <f>'Mass Balance'!I7</f>
        <v>1.6789172481455566E-8</v>
      </c>
      <c r="B7">
        <f>'Mass Balance'!E7</f>
        <v>2.1527961735899637E-5</v>
      </c>
      <c r="C7">
        <f>SUM('Mass Balance'!E7:H7)</f>
        <v>3.9240492595722381E-5</v>
      </c>
      <c r="D7">
        <f>Concentrations!F7/Concentrations!E7</f>
        <v>0.54882994694728249</v>
      </c>
    </row>
    <row r="8" spans="1:4">
      <c r="A8">
        <f>'Mass Balance'!I8</f>
        <v>8.8434796558028391E-9</v>
      </c>
      <c r="B8">
        <f>'Mass Balance'!E8</f>
        <v>2.9948753917749267E-5</v>
      </c>
      <c r="C8">
        <f>SUM('Mass Balance'!E8:H8)</f>
        <v>3.9945976073345045E-5</v>
      </c>
      <c r="D8">
        <f>Concentrations!F8/Concentrations!E8</f>
        <v>0.75002382313076277</v>
      </c>
    </row>
    <row r="9" spans="1:4">
      <c r="A9">
        <f>'Mass Balance'!I9</f>
        <v>4.3057137180191862E-9</v>
      </c>
      <c r="B9">
        <f>'Mass Balance'!E9</f>
        <v>3.7593390334806731E-5</v>
      </c>
      <c r="C9">
        <f>SUM('Mass Balance'!E9:H9)</f>
        <v>3.9943513499415556E-5</v>
      </c>
      <c r="D9">
        <f>Concentrations!F9/Concentrations!E9</f>
        <v>0.94153088105625038</v>
      </c>
    </row>
    <row r="10" spans="1:4">
      <c r="A10">
        <f>'Mass Balance'!I10</f>
        <v>2.9811801837245551E-7</v>
      </c>
      <c r="B10">
        <f>'Mass Balance'!E10</f>
        <v>1.9766293481118355E-6</v>
      </c>
      <c r="C10">
        <f>SUM('Mass Balance'!E10:H10)</f>
        <v>1.8680313989055622E-5</v>
      </c>
      <c r="D10">
        <f>Concentrations!F10/Concentrations!E10</f>
        <v>0.10585476341410868</v>
      </c>
    </row>
    <row r="11" spans="1:4">
      <c r="A11">
        <f>'Mass Balance'!I11</f>
        <v>2.3697914453140493E-6</v>
      </c>
      <c r="B11">
        <f>'Mass Balance'!E11</f>
        <v>2.0098288054985817E-7</v>
      </c>
      <c r="C11">
        <f>SUM('Mass Balance'!E11:H11)</f>
        <v>3.1824962668198478E-5</v>
      </c>
      <c r="D11">
        <f>Concentrations!F11/Concentrations!E11</f>
        <v>6.317721857793588E-3</v>
      </c>
    </row>
    <row r="12" spans="1:4">
      <c r="A12">
        <f>'Mass Balance'!I12</f>
        <v>2.4010213569618065E-9</v>
      </c>
      <c r="B12">
        <f>'Mass Balance'!E12</f>
        <v>3.684153597938822E-5</v>
      </c>
      <c r="C12">
        <f>SUM('Mass Balance'!E12:H12)</f>
        <v>3.6841690325319669E-5</v>
      </c>
      <c r="D12">
        <f>Concentrations!F12/Concentrations!E12</f>
        <v>1.0003858009638957</v>
      </c>
    </row>
    <row r="13" spans="1:4">
      <c r="A13">
        <f>'Mass Balance'!I13</f>
        <v>2.1819935188071283E-8</v>
      </c>
      <c r="B13">
        <f>'Mass Balance'!E13</f>
        <v>2.4985875392709044E-5</v>
      </c>
      <c r="C13">
        <f>SUM('Mass Balance'!E13:H13)</f>
        <v>2.5824240672688981E-5</v>
      </c>
      <c r="D13">
        <f>Concentrations!F13/Concentrations!E13</f>
        <v>0.96791305509794778</v>
      </c>
    </row>
    <row r="14" spans="1:4">
      <c r="A14">
        <f>'Mass Balance'!I14</f>
        <v>5.0624970988513855E-8</v>
      </c>
      <c r="B14">
        <f>'Mass Balance'!E14</f>
        <v>3.2496211278792853E-6</v>
      </c>
      <c r="C14">
        <f>SUM('Mass Balance'!E14:H14)</f>
        <v>3.9661838376024343E-5</v>
      </c>
      <c r="D14">
        <f>Concentrations!F14/Concentrations!E14</f>
        <v>8.1965148045166039E-2</v>
      </c>
    </row>
    <row r="15" spans="1:4">
      <c r="A15">
        <f>'Mass Balance'!I15</f>
        <v>4.8699261259612161E-9</v>
      </c>
      <c r="B15">
        <f>'Mass Balance'!E15</f>
        <v>3.1220344513237561E-5</v>
      </c>
      <c r="C15">
        <f>SUM('Mass Balance'!E15:H15)</f>
        <v>3.1324045228520656E-5</v>
      </c>
      <c r="D15">
        <f>Concentrations!F15/Concentrations!E15</f>
        <v>0.99707812228781312</v>
      </c>
    </row>
    <row r="16" spans="1:4">
      <c r="A16">
        <f>'Mass Balance'!I16</f>
        <v>2.4842773228951182E-8</v>
      </c>
      <c r="B16">
        <f>'Mass Balance'!E16</f>
        <v>2.3923645687785836E-5</v>
      </c>
      <c r="C16">
        <f>SUM('Mass Balance'!E16:H16)</f>
        <v>2.4901214211719232E-5</v>
      </c>
      <c r="D16">
        <f>Concentrations!F16/Concentrations!E16</f>
        <v>0.96111681605375676</v>
      </c>
    </row>
    <row r="17" spans="1:4">
      <c r="A17">
        <f>'Mass Balance'!I17</f>
        <v>2.2862003106450006E-8</v>
      </c>
      <c r="B17">
        <f>'Mass Balance'!E17</f>
        <v>2.4539342019974621E-5</v>
      </c>
      <c r="C17">
        <f>SUM('Mass Balance'!E17:H17)</f>
        <v>2.5425870648168335E-5</v>
      </c>
      <c r="D17">
        <f>Concentrations!F17/Concentrations!E17</f>
        <v>0.96550920546992725</v>
      </c>
    </row>
    <row r="18" spans="1:4">
      <c r="A18">
        <f>'Mass Balance'!I18</f>
        <v>1.7718073918323532E-6</v>
      </c>
      <c r="B18">
        <f>'Mass Balance'!E18</f>
        <v>1.4539446474250911E-7</v>
      </c>
      <c r="C18">
        <f>SUM('Mass Balance'!E18:H18)</f>
        <v>2.0074255256264474E-5</v>
      </c>
      <c r="D18">
        <f>Concentrations!F18/Concentrations!E18</f>
        <v>7.2456569655418752E-3</v>
      </c>
    </row>
    <row r="19" spans="1:4">
      <c r="A19">
        <f>'Mass Balance'!I19</f>
        <v>3.3564594806319424E-9</v>
      </c>
      <c r="B19">
        <f>'Mass Balance'!E19</f>
        <v>3.6413300171453169E-5</v>
      </c>
      <c r="C19">
        <f>SUM('Mass Balance'!E19:H19)</f>
        <v>3.6447026533491013E-5</v>
      </c>
      <c r="D19">
        <f>Concentrations!F19/Concentrations!E19</f>
        <v>0.999464278244938</v>
      </c>
    </row>
    <row r="20" spans="1:4">
      <c r="A20">
        <f>'Mass Balance'!I20</f>
        <v>3.970541714539189E-9</v>
      </c>
      <c r="B20">
        <f>'Mass Balance'!E20</f>
        <v>3.4956673838804201E-5</v>
      </c>
      <c r="C20">
        <f>SUM('Mass Balance'!E20:H20)</f>
        <v>3.5016487370689607E-5</v>
      </c>
      <c r="D20">
        <f>Concentrations!F20/Concentrations!E20</f>
        <v>0.99868117247035748</v>
      </c>
    </row>
    <row r="21" spans="1:4">
      <c r="A21">
        <f>'Mass Balance'!I21</f>
        <v>6.5879526469925256E-8</v>
      </c>
      <c r="B21">
        <f>'Mass Balance'!E21</f>
        <v>1.6400946884365016E-5</v>
      </c>
      <c r="C21">
        <f>SUM('Mass Balance'!E21:H21)</f>
        <v>2.9077637095323565E-5</v>
      </c>
      <c r="D21">
        <f>Concentrations!F21/Concentrations!E21</f>
        <v>0.56425984921748729</v>
      </c>
    </row>
    <row r="22" spans="1:4">
      <c r="A22">
        <f>'Mass Balance'!I22</f>
        <v>2.5328610394564042E-9</v>
      </c>
      <c r="B22">
        <f>'Mass Balance'!E22</f>
        <v>3.6193846705281426E-5</v>
      </c>
      <c r="C22">
        <f>SUM('Mass Balance'!E22:H22)</f>
        <v>3.619944422312728E-5</v>
      </c>
      <c r="D22">
        <f>Concentrations!F22/Concentrations!E22</f>
        <v>1.0002353017912218</v>
      </c>
    </row>
    <row r="23" spans="1:4">
      <c r="A23">
        <f>'Mass Balance'!I23</f>
        <v>6.7404006713711183E-9</v>
      </c>
      <c r="B23">
        <f>'Mass Balance'!E23</f>
        <v>3.0102369186424417E-5</v>
      </c>
      <c r="C23">
        <f>SUM('Mass Balance'!E23:H23)</f>
        <v>3.0282742725994286E-5</v>
      </c>
      <c r="D23">
        <f>Concentrations!F23/Concentrations!E23</f>
        <v>0.99443135462023424</v>
      </c>
    </row>
    <row r="24" spans="1:4">
      <c r="A24">
        <f>'Mass Balance'!I24</f>
        <v>3.6962035282203497E-8</v>
      </c>
      <c r="B24">
        <f>'Mass Balance'!E24</f>
        <v>2.0475733031238597E-5</v>
      </c>
      <c r="C24">
        <f>SUM('Mass Balance'!E24:H24)</f>
        <v>2.2024897898543984E-5</v>
      </c>
      <c r="D24">
        <f>Concentrations!F24/Concentrations!E24</f>
        <v>0.93002557825139109</v>
      </c>
    </row>
    <row r="25" spans="1:4">
      <c r="A25">
        <f>'Mass Balance'!I25</f>
        <v>1.5604763258357692E-6</v>
      </c>
      <c r="B25">
        <f>'Mass Balance'!E25</f>
        <v>1.945675868511971E-7</v>
      </c>
      <c r="C25">
        <f>SUM('Mass Balance'!E25:H25)</f>
        <v>1.9184503138178525E-5</v>
      </c>
      <c r="D25">
        <f>Concentrations!F25/Concentrations!E25</f>
        <v>1.0145869572868196E-2</v>
      </c>
    </row>
    <row r="26" spans="1:4">
      <c r="A26">
        <f>'Mass Balance'!I26</f>
        <v>6.821475449646127E-8</v>
      </c>
      <c r="B26">
        <f>'Mass Balance'!E26</f>
        <v>9.4140310771727142E-6</v>
      </c>
      <c r="C26">
        <f>SUM('Mass Balance'!E26:H26)</f>
        <v>1.2620482406538184E-5</v>
      </c>
      <c r="D26">
        <f>Concentrations!F26/Concentrations!E26</f>
        <v>0.7462236522295177</v>
      </c>
    </row>
    <row r="27" spans="1:4">
      <c r="A27">
        <f>'Mass Balance'!I27</f>
        <v>3.1796616589161105E-8</v>
      </c>
      <c r="B27">
        <f>'Mass Balance'!E27</f>
        <v>8.8929506569070084E-7</v>
      </c>
      <c r="C27">
        <f>SUM('Mass Balance'!E27:H27)</f>
        <v>2.5540032976922944E-6</v>
      </c>
      <c r="D27">
        <f>Concentrations!F27/Concentrations!E27</f>
        <v>0.3483323159709637</v>
      </c>
    </row>
    <row r="28" spans="1:4">
      <c r="A28">
        <f>'Mass Balance'!I28</f>
        <v>1.3043015280437319E-8</v>
      </c>
      <c r="B28">
        <f>'Mass Balance'!E28</f>
        <v>1.3338181709997508E-6</v>
      </c>
      <c r="C28">
        <f>SUM('Mass Balance'!E28:H28)</f>
        <v>1.9599969122935161E-6</v>
      </c>
      <c r="D28">
        <f>Concentrations!F28/Concentrations!E28</f>
        <v>0.68078594465769393</v>
      </c>
    </row>
    <row r="29" spans="1:4">
      <c r="A29">
        <f>'Mass Balance'!I29</f>
        <v>3.0022997509938663E-10</v>
      </c>
      <c r="B29">
        <f>'Mass Balance'!E29</f>
        <v>2.3772350477337233E-6</v>
      </c>
      <c r="C29">
        <f>SUM('Mass Balance'!E29:H29)</f>
        <v>2.3824351639958253E-6</v>
      </c>
      <c r="D29">
        <f>Concentrations!F29/Concentrations!E29</f>
        <v>0.99820645128398888</v>
      </c>
    </row>
    <row r="30" spans="1:4">
      <c r="A30">
        <f>'Mass Balance'!I30</f>
        <v>4.6057506105048711E-9</v>
      </c>
      <c r="B30">
        <f>'Mass Balance'!E30</f>
        <v>5.0476199718570638E-7</v>
      </c>
      <c r="C30">
        <f>SUM('Mass Balance'!E30:H30)</f>
        <v>7.2481476492915471E-7</v>
      </c>
      <c r="D30">
        <f>Concentrations!F30/Concentrations!E30</f>
        <v>0.69667296359957631</v>
      </c>
    </row>
    <row r="31" spans="1:4">
      <c r="A31">
        <f>'Mass Balance'!I31</f>
        <v>7.6863399162088249E-11</v>
      </c>
      <c r="B31">
        <f>'Mass Balance'!E31</f>
        <v>1.7988146025581506E-8</v>
      </c>
      <c r="C31">
        <f>SUM('Mass Balance'!E31:H31)</f>
        <v>2.1461730041806754E-8</v>
      </c>
      <c r="D31">
        <f>Concentrations!F31/Concentrations!E31</f>
        <v>0.83847673156790337</v>
      </c>
    </row>
    <row r="32" spans="1:4">
      <c r="A32">
        <f>'Mass Balance'!I32</f>
        <v>1.8783610743486176E-8</v>
      </c>
      <c r="B32">
        <f>'Mass Balance'!E32</f>
        <v>2.6060884066664806E-5</v>
      </c>
      <c r="C32">
        <f>SUM('Mass Balance'!E32:H32)</f>
        <v>2.6761479667575746E-5</v>
      </c>
      <c r="D32">
        <f>Concentrations!F32/Concentrations!E32</f>
        <v>0.97420052731428075</v>
      </c>
    </row>
    <row r="33" spans="1:4">
      <c r="A33">
        <f>'Mass Balance'!I33</f>
        <v>1.0046062870355929E-8</v>
      </c>
      <c r="B33">
        <f>'Mass Balance'!E33</f>
        <v>3.0446426197135577E-5</v>
      </c>
      <c r="C33">
        <f>SUM('Mass Balance'!E33:H33)</f>
        <v>3.0759837531376976E-5</v>
      </c>
      <c r="D33">
        <f>Concentrations!F33/Concentrations!E33</f>
        <v>0.99019703955724436</v>
      </c>
    </row>
    <row r="34" spans="1:4">
      <c r="A34">
        <f>'Mass Balance'!I34</f>
        <v>8.1863776939698159E-8</v>
      </c>
      <c r="B34">
        <f>'Mass Balance'!E34</f>
        <v>1.2970543046836866E-5</v>
      </c>
      <c r="C34">
        <f>SUM('Mass Balance'!E34:H34)</f>
        <v>1.6780348468196642E-5</v>
      </c>
      <c r="D34">
        <f>Concentrations!F34/Concentrations!E34</f>
        <v>0.7732617400586479</v>
      </c>
    </row>
    <row r="35" spans="1:4">
      <c r="A35">
        <f>'Mass Balance'!I35</f>
        <v>2.26900227027525E-7</v>
      </c>
      <c r="B35">
        <f>'Mass Balance'!E35</f>
        <v>3.1631936421721688E-6</v>
      </c>
      <c r="C35">
        <f>SUM('Mass Balance'!E35:H35)</f>
        <v>1.5593286614309771E-5</v>
      </c>
      <c r="D35">
        <f>Concentrations!F35/Concentrations!E35</f>
        <v>0.2029352336531943</v>
      </c>
    </row>
    <row r="36" spans="1:4">
      <c r="A36">
        <f>'Mass Balance'!I36</f>
        <v>6.2155810019551189E-7</v>
      </c>
      <c r="B36">
        <f>'Mass Balance'!E36</f>
        <v>8.6886339106741602E-7</v>
      </c>
      <c r="C36">
        <f>SUM('Mass Balance'!E36:H36)</f>
        <v>1.7187504120622711E-5</v>
      </c>
      <c r="D36">
        <f>Concentrations!F36/Concentrations!E36</f>
        <v>5.0571754617127318E-2</v>
      </c>
    </row>
    <row r="37" spans="1:4">
      <c r="A37">
        <f>'Mass Balance'!I37</f>
        <v>1.689740134047891E-6</v>
      </c>
      <c r="B37">
        <f>'Mass Balance'!E37</f>
        <v>1.5574664692657578E-7</v>
      </c>
      <c r="C37">
        <f>SUM('Mass Balance'!E37:H37)</f>
        <v>1.9554434297271874E-5</v>
      </c>
      <c r="D37">
        <f>Concentrations!F37/Concentrations!E37</f>
        <v>7.9678800475457261E-3</v>
      </c>
    </row>
    <row r="38" spans="1:4">
      <c r="A38">
        <f>'Mass Balance'!I38</f>
        <v>9.3584452324420208E-7</v>
      </c>
      <c r="B38">
        <f>'Mass Balance'!E38</f>
        <v>4.9293592558044357E-7</v>
      </c>
      <c r="C38">
        <f>SUM('Mass Balance'!E38:H38)</f>
        <v>1.734047067083775E-5</v>
      </c>
      <c r="D38">
        <f>Concentrations!F38/Concentrations!E38</f>
        <v>2.8437992026032609E-2</v>
      </c>
    </row>
    <row r="39" spans="1:4">
      <c r="A39">
        <f>'Mass Balance'!I39</f>
        <v>6.2102304753164375E-7</v>
      </c>
      <c r="B39">
        <f>'Mass Balance'!E39</f>
        <v>6.5685808712984985E-7</v>
      </c>
      <c r="C39">
        <f>SUM('Mass Balance'!E39:H39)</f>
        <v>1.5166346501100536E-5</v>
      </c>
      <c r="D39">
        <f>Concentrations!F39/Concentrations!E39</f>
        <v>4.3327129345484806E-2</v>
      </c>
    </row>
    <row r="40" spans="1:4">
      <c r="A40">
        <f>'Mass Balance'!I40</f>
        <v>9.3584452324420208E-7</v>
      </c>
      <c r="B40">
        <f>'Mass Balance'!E40</f>
        <v>4.9293592558044357E-7</v>
      </c>
      <c r="C40">
        <f>SUM('Mass Balance'!E40:H40)</f>
        <v>1.734047067083775E-5</v>
      </c>
      <c r="D40">
        <f>Concentrations!F40/Concentrations!E40</f>
        <v>2.8437992026032609E-2</v>
      </c>
    </row>
    <row r="41" spans="1:4">
      <c r="A41">
        <f>'Mass Balance'!I41</f>
        <v>2.7593969540594667E-9</v>
      </c>
      <c r="B41">
        <f>'Mass Balance'!E41</f>
        <v>3.9800410933475641E-5</v>
      </c>
      <c r="C41">
        <f>SUM('Mass Balance'!E41:H41)</f>
        <v>3.9989743552665341E-5</v>
      </c>
      <c r="D41">
        <f>Concentrations!F41/Concentrations!E41</f>
        <v>0.99565361613967029</v>
      </c>
    </row>
    <row r="42" spans="1:4">
      <c r="A42">
        <f>'Mass Balance'!I42</f>
        <v>1.7373322550942499E-6</v>
      </c>
      <c r="B42">
        <f>'Mass Balance'!E42</f>
        <v>1.4256543599137742E-7</v>
      </c>
      <c r="C42">
        <f>SUM('Mass Balance'!E42:H42)</f>
        <v>1.9683658231968512E-5</v>
      </c>
      <c r="D42">
        <f>Concentrations!F42/Concentrations!E42</f>
        <v>7.245656965541877E-3</v>
      </c>
    </row>
    <row r="43" spans="1:4">
      <c r="A43">
        <f>'Mass Balance'!I43</f>
        <v>4.0669468092770392E-8</v>
      </c>
      <c r="B43">
        <f>'Mass Balance'!E43</f>
        <v>1.9689829984868049E-5</v>
      </c>
      <c r="C43">
        <f>SUM('Mass Balance'!E43:H43)</f>
        <v>2.1416983603911752E-5</v>
      </c>
      <c r="D43">
        <f>Concentrations!F43/Concentrations!E43</f>
        <v>0.91971442972599593</v>
      </c>
    </row>
    <row r="44" spans="1:4">
      <c r="A44">
        <f>'Mass Balance'!I44</f>
        <v>4.4306486365382755E-7</v>
      </c>
      <c r="B44">
        <f>'Mass Balance'!E44</f>
        <v>1.3027609240982543E-6</v>
      </c>
      <c r="C44">
        <f>SUM('Mass Balance'!E44:H44)</f>
        <v>1.7674540724745138E-5</v>
      </c>
      <c r="D44">
        <f>Concentrations!F44/Concentrations!E44</f>
        <v>7.3737078138436107E-2</v>
      </c>
    </row>
    <row r="45" spans="1:4">
      <c r="A45">
        <f>'Mass Balance'!I45</f>
        <v>2.2686276186593319E-6</v>
      </c>
      <c r="B45">
        <f>'Mass Balance'!E45</f>
        <v>7.1788677499901364E-8</v>
      </c>
      <c r="C45">
        <f>SUM('Mass Balance'!E45:H45)</f>
        <v>2.2433897127971348E-5</v>
      </c>
      <c r="D45">
        <f>Concentrations!F45/Concentrations!E45</f>
        <v>3.2012571914110167E-3</v>
      </c>
    </row>
    <row r="46" spans="1:4">
      <c r="A46">
        <f>'Mass Balance'!I46</f>
        <v>1.8432637634687183E-6</v>
      </c>
      <c r="B46">
        <f>'Mass Balance'!E46</f>
        <v>1.3157025971720402E-7</v>
      </c>
      <c r="C46">
        <f>SUM('Mass Balance'!E46:H46)</f>
        <v>2.0388887723486427E-5</v>
      </c>
      <c r="D46">
        <f>Concentrations!F46/Concentrations!E46</f>
        <v>6.4555542634555894E-3</v>
      </c>
    </row>
    <row r="47" spans="1:4">
      <c r="A47">
        <f>'Mass Balance'!I47</f>
        <v>1.3404053829564376E-6</v>
      </c>
      <c r="B47">
        <f>'Mass Balance'!E47</f>
        <v>2.6602080594738735E-7</v>
      </c>
      <c r="C47">
        <f>SUM('Mass Balance'!E47:H47)</f>
        <v>1.8384269235610466E-5</v>
      </c>
      <c r="D47">
        <f>Concentrations!F47/Concentrations!E47</f>
        <v>1.4475666589305134E-2</v>
      </c>
    </row>
    <row r="48" spans="1:4">
      <c r="A48">
        <f>'Mass Balance'!I48</f>
        <v>1.577207553090374E-7</v>
      </c>
      <c r="B48">
        <f>'Mass Balance'!E48</f>
        <v>6.6958265284298328E-6</v>
      </c>
      <c r="C48">
        <f>SUM('Mass Balance'!E48:H48)</f>
        <v>1.4730118481727169E-5</v>
      </c>
      <c r="D48">
        <f>Concentrations!F48/Concentrations!E48</f>
        <v>0.45474432916135366</v>
      </c>
    </row>
    <row r="49" spans="1:4">
      <c r="A49">
        <f>'Mass Balance'!I49</f>
        <v>4.7328579410144793E-7</v>
      </c>
      <c r="B49">
        <f>'Mass Balance'!E49</f>
        <v>1.2105283990659014E-6</v>
      </c>
      <c r="C49">
        <f>SUM('Mass Balance'!E49:H49)</f>
        <v>1.7562107185003392E-5</v>
      </c>
      <c r="D49">
        <f>Concentrations!F49/Concentrations!E49</f>
        <v>6.895530717026728E-2</v>
      </c>
    </row>
    <row r="50" spans="1:4">
      <c r="A50">
        <f>'Mass Balance'!I50</f>
        <v>5.266921271710763E-7</v>
      </c>
      <c r="B50">
        <f>'Mass Balance'!E50</f>
        <v>1.0678126680226297E-6</v>
      </c>
      <c r="C50">
        <f>SUM('Mass Balance'!E50:H50)</f>
        <v>1.7386461457379482E-5</v>
      </c>
      <c r="D50">
        <f>Concentrations!F50/Concentrations!E50</f>
        <v>6.1440282663387712E-2</v>
      </c>
    </row>
    <row r="51" spans="1:4">
      <c r="A51">
        <f>'Mass Balance'!I51</f>
        <v>1.9203001660695568E-7</v>
      </c>
      <c r="B51">
        <f>'Mass Balance'!E51</f>
        <v>5.0096847868167381E-6</v>
      </c>
      <c r="C51">
        <f>SUM('Mass Balance'!E51:H51)</f>
        <v>1.5109196644399353E-5</v>
      </c>
      <c r="D51">
        <f>Concentrations!F51/Concentrations!E51</f>
        <v>0.33169457264537167</v>
      </c>
    </row>
    <row r="52" spans="1:4">
      <c r="A52">
        <f>'Mass Balance'!I52</f>
        <v>1.6084302067377278E-7</v>
      </c>
      <c r="B52">
        <f>'Mass Balance'!E52</f>
        <v>6.5190994194671282E-6</v>
      </c>
      <c r="C52">
        <f>SUM('Mass Balance'!E52:H52)</f>
        <v>1.4737528133761611E-5</v>
      </c>
      <c r="D52">
        <f>Concentrations!F52/Concentrations!E52</f>
        <v>0.4425193802597488</v>
      </c>
    </row>
    <row r="53" spans="1:4">
      <c r="A53">
        <f>'Mass Balance'!I53</f>
        <v>7.2387055398271056E-7</v>
      </c>
      <c r="B53">
        <f>'Mass Balance'!E53</f>
        <v>7.1408145640090232E-7</v>
      </c>
      <c r="C53">
        <f>SUM('Mass Balance'!E53:H53)</f>
        <v>1.715797331241413E-5</v>
      </c>
      <c r="D53">
        <f>Concentrations!F53/Concentrations!E53</f>
        <v>4.163428450865031E-2</v>
      </c>
    </row>
    <row r="54" spans="1:4">
      <c r="A54">
        <f>'Mass Balance'!I54</f>
        <v>4.9950974334903276E-7</v>
      </c>
      <c r="B54">
        <f>'Mass Balance'!E54</f>
        <v>1.1374683976574741E-6</v>
      </c>
      <c r="C54">
        <f>SUM('Mass Balance'!E54:H54)</f>
        <v>1.7472118412997708E-5</v>
      </c>
      <c r="D54">
        <f>Concentrations!F54/Concentrations!E54</f>
        <v>6.5127305938216654E-2</v>
      </c>
    </row>
    <row r="55" spans="1:4">
      <c r="A55">
        <f>'Mass Balance'!I55</f>
        <v>1.317508052205676E-6</v>
      </c>
      <c r="B55">
        <f>'Mass Balance'!E55</f>
        <v>2.7391711078632965E-7</v>
      </c>
      <c r="C55">
        <f>SUM('Mass Balance'!E55:H55)</f>
        <v>1.8290095437011649E-5</v>
      </c>
      <c r="D55">
        <f>Concentrations!F55/Concentrations!E55</f>
        <v>1.4982094392090273E-2</v>
      </c>
    </row>
    <row r="56" spans="1:4">
      <c r="A56">
        <f>'Mass Balance'!I56</f>
        <v>4.5306277078520997E-7</v>
      </c>
      <c r="B56">
        <f>'Mass Balance'!E56</f>
        <v>1.27166878780635E-6</v>
      </c>
      <c r="C56">
        <f>SUM('Mass Balance'!E56:H56)</f>
        <v>1.7639505361233663E-5</v>
      </c>
      <c r="D56">
        <f>Concentrations!F56/Concentrations!E56</f>
        <v>7.2120204192343523E-2</v>
      </c>
    </row>
    <row r="57" spans="1:4">
      <c r="A57">
        <f>'Mass Balance'!I57</f>
        <v>1.4279857881610286E-7</v>
      </c>
      <c r="B57">
        <f>'Mass Balance'!E57</f>
        <v>7.4677547345095524E-6</v>
      </c>
      <c r="C57">
        <f>SUM('Mass Balance'!E57:H57)</f>
        <v>1.4642120625104601E-5</v>
      </c>
      <c r="D57">
        <f>Concentrations!F57/Concentrations!E57</f>
        <v>0.51021756278682484</v>
      </c>
    </row>
    <row r="58" spans="1:4">
      <c r="A58">
        <f>'Mass Balance'!I58</f>
        <v>5.0489162718392848E-7</v>
      </c>
      <c r="B58">
        <f>'Mass Balance'!E58</f>
        <v>1.1233166444816601E-6</v>
      </c>
      <c r="C58">
        <f>SUM('Mass Balance'!E58:H58)</f>
        <v>1.7455388924503881E-5</v>
      </c>
      <c r="D58">
        <f>Concentrations!F58/Concentrations!E58</f>
        <v>6.4378670328433418E-2</v>
      </c>
    </row>
    <row r="59" spans="1:4">
      <c r="A59">
        <f>'Mass Balance'!I59</f>
        <v>1.6090447345573331E-7</v>
      </c>
      <c r="B59">
        <f>'Mass Balance'!E59</f>
        <v>6.5215901510731708E-6</v>
      </c>
      <c r="C59">
        <f>SUM('Mass Balance'!E59:H59)</f>
        <v>1.474315885431913E-5</v>
      </c>
      <c r="D59">
        <f>Concentrations!F59/Concentrations!E59</f>
        <v>0.44251938025974874</v>
      </c>
    </row>
    <row r="60" spans="1:4">
      <c r="A60">
        <f>'Mass Balance'!I60</f>
        <v>6.6040333812893768E-7</v>
      </c>
      <c r="B60">
        <f>'Mass Balance'!E60</f>
        <v>8.0302022998401139E-7</v>
      </c>
      <c r="C60">
        <f>SUM('Mass Balance'!E60:H60)</f>
        <v>1.7145450758206998E-5</v>
      </c>
      <c r="D60">
        <f>Concentrations!F60/Concentrations!E60</f>
        <v>4.685402634239362E-2</v>
      </c>
    </row>
    <row r="61" spans="1:4">
      <c r="A61">
        <f>'Mass Balance'!I61</f>
        <v>1.9347038843166136E-7</v>
      </c>
      <c r="B61">
        <f>'Mass Balance'!E61</f>
        <v>2.1047628681241699E-5</v>
      </c>
      <c r="C61">
        <f>SUM('Mass Balance'!E61:H61)</f>
        <v>2.498918839452251E-5</v>
      </c>
      <c r="D61">
        <f>Concentrations!F61/Concentrations!E61</f>
        <v>0.84259787698378008</v>
      </c>
    </row>
    <row r="62" spans="1:4">
      <c r="A62">
        <f>'Mass Balance'!I62</f>
        <v>7.7673697620427716E-8</v>
      </c>
      <c r="B62">
        <f>'Mass Balance'!E62</f>
        <v>1.3491881346002334E-5</v>
      </c>
      <c r="C62">
        <f>SUM('Mass Balance'!E62:H62)</f>
        <v>1.7082356171794112E-5</v>
      </c>
      <c r="D62">
        <f>Concentrations!F62/Concentrations!E62</f>
        <v>0.79012186237772697</v>
      </c>
    </row>
    <row r="63" spans="1:4">
      <c r="A63">
        <f>'Mass Balance'!I63</f>
        <v>1.7174504816728587E-8</v>
      </c>
      <c r="B63">
        <f>'Mass Balance'!E63</f>
        <v>3.8183788800930502E-5</v>
      </c>
      <c r="C63">
        <f>SUM('Mass Balance'!E63:H63)</f>
        <v>3.8332771092569623E-5</v>
      </c>
      <c r="D63">
        <f>Concentrations!F63/Concentrations!E63</f>
        <v>0.99650192474120602</v>
      </c>
    </row>
    <row r="64" spans="1:4">
      <c r="A64">
        <f>'Mass Balance'!I64</f>
        <v>2.7017037067000023E-9</v>
      </c>
      <c r="B64">
        <f>'Mass Balance'!E64</f>
        <v>3.9772656473270632E-5</v>
      </c>
      <c r="C64">
        <f>SUM('Mass Balance'!E64:H64)</f>
        <v>3.9822285767164725E-5</v>
      </c>
      <c r="D64">
        <f>Concentrations!F64/Concentrations!E64</f>
        <v>0.99914323665702398</v>
      </c>
    </row>
    <row r="65" spans="1:4">
      <c r="A65">
        <f>'Mass Balance'!I65</f>
        <v>3.7900751348052227E-9</v>
      </c>
      <c r="B65">
        <f>'Mass Balance'!E65</f>
        <v>3.9912214887588755E-5</v>
      </c>
      <c r="C65">
        <f>SUM('Mass Balance'!E65:H65)</f>
        <v>3.9918863109518054E-5</v>
      </c>
      <c r="D65">
        <f>Concentrations!F65/Concentrations!E65</f>
        <v>1.0002233837153989</v>
      </c>
    </row>
    <row r="66" spans="1:4">
      <c r="A66">
        <f>'Mass Balance'!I66</f>
        <v>1.3829644509362635E-7</v>
      </c>
      <c r="B66">
        <f>'Mass Balance'!E66</f>
        <v>3.8001435915510459E-5</v>
      </c>
      <c r="C66">
        <f>SUM('Mass Balance'!E66:H66)</f>
        <v>3.9012433804653527E-5</v>
      </c>
      <c r="D66">
        <f>Concentrations!F66/Concentrations!E66</f>
        <v>0.97446512471319258</v>
      </c>
    </row>
    <row r="67" spans="1:4">
      <c r="A67">
        <f>'Mass Balance'!I67</f>
        <v>3.5907593176434431E-9</v>
      </c>
      <c r="B67">
        <f>'Mass Balance'!E67</f>
        <v>3.990379649943203E-5</v>
      </c>
      <c r="C67">
        <f>SUM('Mass Balance'!E67:H67)</f>
        <v>3.9909455937880183E-5</v>
      </c>
      <c r="D67">
        <f>Concentrations!F67/Concentrations!E67</f>
        <v>1.0002481297752628</v>
      </c>
    </row>
    <row r="68" spans="1:4">
      <c r="A68">
        <f>'Mass Balance'!I68</f>
        <v>2.7298706860847484E-9</v>
      </c>
      <c r="B68">
        <f>'Mass Balance'!E68</f>
        <v>3.9961459096086795E-5</v>
      </c>
      <c r="C68">
        <f>SUM('Mass Balance'!E68:H68)</f>
        <v>3.9962146355664053E-5</v>
      </c>
      <c r="D68">
        <f>Concentrations!F68/Concentrations!E68</f>
        <v>1.0003727875631208</v>
      </c>
    </row>
    <row r="69" spans="1:4">
      <c r="A69">
        <f>'Mass Balance'!I69</f>
        <v>4.0443774983717431E-7</v>
      </c>
      <c r="B69">
        <f>'Mass Balance'!E69</f>
        <v>1.4421194854304465E-6</v>
      </c>
      <c r="C69">
        <f>SUM('Mass Balance'!E69:H69)</f>
        <v>1.7878254719791491E-5</v>
      </c>
      <c r="D69">
        <f>Concentrations!F69/Concentrations!E69</f>
        <v>8.0694783867548539E-2</v>
      </c>
    </row>
    <row r="70" spans="1:4">
      <c r="A70">
        <f>'Mass Balance'!I70</f>
        <v>2.7054486787528171E-9</v>
      </c>
      <c r="B70">
        <f>'Mass Balance'!E70</f>
        <v>3.9870997082701956E-5</v>
      </c>
      <c r="C70">
        <f>SUM('Mass Balance'!E70:H70)</f>
        <v>3.9994966031689813E-5</v>
      </c>
      <c r="D70">
        <f>Concentrations!F70/Concentrations!E70</f>
        <v>0.99728916940116086</v>
      </c>
    </row>
    <row r="71" spans="1:4">
      <c r="A71">
        <f>'Mass Balance'!I71</f>
        <v>2.7928988257149862E-9</v>
      </c>
      <c r="B71">
        <f>'Mass Balance'!E71</f>
        <v>3.975711220683797E-5</v>
      </c>
      <c r="C71">
        <f>SUM('Mass Balance'!E71:H71)</f>
        <v>3.9993937917171637E-5</v>
      </c>
      <c r="D71">
        <f>Concentrations!F71/Concentrations!E71</f>
        <v>0.99446614250097487</v>
      </c>
    </row>
    <row r="72" spans="1:4">
      <c r="A72">
        <f>'Mass Balance'!I72</f>
        <v>1.8882479478085201E-7</v>
      </c>
      <c r="B72">
        <f>'Mass Balance'!E72</f>
        <v>1.5023817550774188E-6</v>
      </c>
      <c r="C72">
        <f>SUM('Mass Balance'!E72:H72)</f>
        <v>3.9777299161034651E-5</v>
      </c>
      <c r="D72">
        <f>Concentrations!F72/Concentrations!E72</f>
        <v>3.7784558119696519E-2</v>
      </c>
    </row>
    <row r="73" spans="1:4">
      <c r="A73">
        <f>'Mass Balance'!I73</f>
        <v>1.7986277926383201E-8</v>
      </c>
      <c r="B73">
        <f>'Mass Balance'!E73</f>
        <v>1.09189343533634E-5</v>
      </c>
      <c r="C73">
        <f>SUM('Mass Balance'!E73:H73)</f>
        <v>3.9960492191014254E-5</v>
      </c>
      <c r="D73">
        <f>Concentrations!F73/Concentrations!E73</f>
        <v>0.27334980256430963</v>
      </c>
    </row>
    <row r="74" spans="1:4">
      <c r="A74">
        <f>'Mass Balance'!I74</f>
        <v>2.7758130311545107E-9</v>
      </c>
      <c r="B74">
        <f>'Mass Balance'!E74</f>
        <v>3.97797235170222E-5</v>
      </c>
      <c r="C74">
        <f>SUM('Mass Balance'!E74:H74)</f>
        <v>3.9994129031053898E-5</v>
      </c>
      <c r="D74">
        <f>Concentrations!F74/Concentrations!E74</f>
        <v>0.99502697662021289</v>
      </c>
    </row>
    <row r="75" spans="1:4">
      <c r="A75">
        <f>'Mass Balance'!I75</f>
        <v>1.7408274457229759E-8</v>
      </c>
      <c r="B75">
        <f>'Mass Balance'!E75</f>
        <v>1.2361497042843836E-5</v>
      </c>
      <c r="C75">
        <f>SUM('Mass Balance'!E75:H75)</f>
        <v>3.996035104614047E-5</v>
      </c>
      <c r="D75">
        <f>Concentrations!F75/Concentrations!E75</f>
        <v>0.30946469699293006</v>
      </c>
    </row>
    <row r="76" spans="1:4">
      <c r="A76">
        <f>'Mass Balance'!I76</f>
        <v>5.4859541842215817E-9</v>
      </c>
      <c r="B76">
        <f>'Mass Balance'!E76</f>
        <v>3.5608900456662537E-5</v>
      </c>
      <c r="C76">
        <f>SUM('Mass Balance'!E76:H76)</f>
        <v>3.9980342205620042E-5</v>
      </c>
      <c r="D76">
        <f>Concentrations!F76/Concentrations!E76</f>
        <v>0.89100757219607418</v>
      </c>
    </row>
    <row r="77" spans="1:4">
      <c r="A77">
        <f>'Mass Balance'!I77</f>
        <v>1.7829204972414102E-8</v>
      </c>
      <c r="B77">
        <f>'Mass Balance'!E77</f>
        <v>1.1320229796568996E-5</v>
      </c>
      <c r="C77">
        <f>SUM('Mass Balance'!E77:H77)</f>
        <v>3.9960365093057529E-5</v>
      </c>
      <c r="D77">
        <f>Concentrations!F77/Concentrations!E77</f>
        <v>0.28339692516937948</v>
      </c>
    </row>
    <row r="78" spans="1:4">
      <c r="A78">
        <f>'Mass Balance'!I78</f>
        <v>1.5773879671237298E-7</v>
      </c>
      <c r="B78">
        <f>'Mass Balance'!E78</f>
        <v>1.6614909447730411E-6</v>
      </c>
      <c r="C78">
        <f>SUM('Mass Balance'!E78:H78)</f>
        <v>3.9810221158102553E-5</v>
      </c>
      <c r="D78">
        <f>Concentrations!F78/Concentrations!E78</f>
        <v>4.1751561901800516E-2</v>
      </c>
    </row>
    <row r="79" spans="1:4">
      <c r="A79">
        <f>'Mass Balance'!I79</f>
        <v>1.5773855356077406E-7</v>
      </c>
      <c r="B79">
        <f>'Mass Balance'!E79</f>
        <v>1.6614912745549544E-6</v>
      </c>
      <c r="C79">
        <f>SUM('Mass Balance'!E79:H79)</f>
        <v>3.9810226731033545E-5</v>
      </c>
      <c r="D79">
        <f>Concentrations!F79/Concentrations!E79</f>
        <v>4.1751564344186823E-2</v>
      </c>
    </row>
    <row r="80" spans="1:4">
      <c r="A80">
        <f>'Mass Balance'!I80</f>
        <v>1.0540725517151898E-8</v>
      </c>
      <c r="B80">
        <f>'Mass Balance'!E80</f>
        <v>2.6680702706729545E-5</v>
      </c>
      <c r="C80">
        <f>SUM('Mass Balance'!E80:H80)</f>
        <v>3.9967497117426927E-5</v>
      </c>
      <c r="D80">
        <f>Concentrations!F80/Concentrations!E80</f>
        <v>0.66782035136800788</v>
      </c>
    </row>
    <row r="81" spans="1:4">
      <c r="A81">
        <f>'Mass Balance'!I81</f>
        <v>3.2980561090365033E-9</v>
      </c>
      <c r="B81">
        <f>'Mass Balance'!E81</f>
        <v>3.9046538232068593E-5</v>
      </c>
      <c r="C81">
        <f>SUM('Mass Balance'!E81:H81)</f>
        <v>3.9990061422340096E-5</v>
      </c>
      <c r="D81">
        <f>Concentrations!F81/Concentrations!E81</f>
        <v>0.9767868485726352</v>
      </c>
    </row>
    <row r="82" spans="1:4">
      <c r="A82">
        <f>'Mass Balance'!I82</f>
        <v>4.2640706991749018E-9</v>
      </c>
      <c r="B82">
        <f>'Mass Balance'!E82</f>
        <v>3.757724668264539E-5</v>
      </c>
      <c r="C82">
        <f>SUM('Mass Balance'!E82:H82)</f>
        <v>3.9985113893458464E-5</v>
      </c>
      <c r="D82">
        <f>Concentrations!F82/Concentrations!E82</f>
        <v>0.94014741610326824</v>
      </c>
    </row>
    <row r="83" spans="1:4">
      <c r="A83">
        <f>'Mass Balance'!I83</f>
        <v>3.0882885244069331E-7</v>
      </c>
      <c r="B83">
        <f>'Mass Balance'!E83</f>
        <v>1.1358074746614004E-6</v>
      </c>
      <c r="C83">
        <f>SUM('Mass Balance'!E83:H83)</f>
        <v>3.9651798255119818E-5</v>
      </c>
      <c r="D83">
        <f>Concentrations!F83/Concentrations!E83</f>
        <v>2.8655709968526483E-2</v>
      </c>
    </row>
    <row r="84" spans="1:4">
      <c r="A84">
        <f>'Mass Balance'!I84</f>
        <v>5.250850959390579E-8</v>
      </c>
      <c r="B84">
        <f>'Mass Balance'!E84</f>
        <v>1.7303225955293386E-5</v>
      </c>
      <c r="C84">
        <f>SUM('Mass Balance'!E84:H84)</f>
        <v>1.961129097467414E-5</v>
      </c>
      <c r="D84">
        <f>Concentrations!F84/Concentrations!E84</f>
        <v>0.88265347232576219</v>
      </c>
    </row>
    <row r="85" spans="1:4">
      <c r="A85">
        <f>'Mass Balance'!I85</f>
        <v>6.6322890133445661E-6</v>
      </c>
      <c r="B85">
        <f>'Mass Balance'!E85</f>
        <v>1.128749127791871E-5</v>
      </c>
      <c r="C85">
        <f>SUM('Mass Balance'!E85:H85)</f>
        <v>2.9890107222217426E-5</v>
      </c>
      <c r="D85">
        <f>Concentrations!F85/Concentrations!E85</f>
        <v>0.37778028782758005</v>
      </c>
    </row>
    <row r="86" spans="1:4">
      <c r="A86">
        <f>'Mass Balance'!I86</f>
        <v>2.1465541562121992E-6</v>
      </c>
      <c r="B86">
        <f>'Mass Balance'!E86</f>
        <v>8.5698209555364505E-8</v>
      </c>
      <c r="C86">
        <f>SUM('Mass Balance'!E86:H86)</f>
        <v>2.1820168874452648E-5</v>
      </c>
      <c r="D86">
        <f>Concentrations!F86/Concentrations!E86</f>
        <v>3.9290086006088312E-3</v>
      </c>
    </row>
    <row r="87" spans="1:4">
      <c r="A87">
        <f>'Mass Balance'!I87</f>
        <v>2.7531214804455626E-6</v>
      </c>
      <c r="B87">
        <f>'Mass Balance'!E87</f>
        <v>3.3594637252510511E-8</v>
      </c>
      <c r="C87">
        <f>SUM('Mass Balance'!E87:H87)</f>
        <v>2.5033282682152272E-5</v>
      </c>
      <c r="D87">
        <f>Concentrations!F87/Concentrations!E87</f>
        <v>1.3425222460896708E-3</v>
      </c>
    </row>
    <row r="88" spans="1:4">
      <c r="A88">
        <f>'Mass Balance'!I88</f>
        <v>3.3398091759585225E-6</v>
      </c>
      <c r="B88">
        <f>'Mass Balance'!E88</f>
        <v>1.0585396834210624E-8</v>
      </c>
      <c r="C88">
        <f>SUM('Mass Balance'!E88:H88)</f>
        <v>2.8465430512113429E-5</v>
      </c>
      <c r="D88">
        <f>Concentrations!F88/Concentrations!E88</f>
        <v>3.7201352181030859E-4</v>
      </c>
    </row>
    <row r="89" spans="1:4">
      <c r="A89">
        <f>'Mass Balance'!I89</f>
        <v>2.531903674530278E-5</v>
      </c>
      <c r="B89">
        <f>'Mass Balance'!E89</f>
        <v>2.693595245256193E-7</v>
      </c>
      <c r="C89">
        <f>SUM('Mass Balance'!E89:H89)</f>
        <v>1.131558284912255E-5</v>
      </c>
      <c r="D89">
        <f>Concentrations!F89/Concentrations!E89</f>
        <v>2.3813583108137887E-2</v>
      </c>
    </row>
    <row r="90" spans="1:4">
      <c r="A90">
        <f>'Mass Balance'!I90</f>
        <v>2.677333697097038E-9</v>
      </c>
      <c r="B90">
        <f>'Mass Balance'!E90</f>
        <v>3.8989890919868487E-5</v>
      </c>
      <c r="C90">
        <f>SUM('Mass Balance'!E90:H90)</f>
        <v>3.899477625186119E-5</v>
      </c>
      <c r="D90">
        <f>Concentrations!F90/Concentrations!E90</f>
        <v>1.0002646614722239</v>
      </c>
    </row>
    <row r="91" spans="1:4">
      <c r="A91">
        <f>'Mass Balance'!I91</f>
        <v>9.741329282373036E-9</v>
      </c>
      <c r="B91">
        <f>'Mass Balance'!E91</f>
        <v>3.064013445405352E-5</v>
      </c>
      <c r="C91">
        <f>SUM('Mass Balance'!E91:H91)</f>
        <v>3.0940396029773874E-5</v>
      </c>
      <c r="D91">
        <f>Concentrations!F91/Concentrations!E91</f>
        <v>0.99068169111119386</v>
      </c>
    </row>
    <row r="92" spans="1:4">
      <c r="A92">
        <f>'Mass Balance'!I92</f>
        <v>1.0256841875698788E-7</v>
      </c>
      <c r="B92">
        <f>'Mass Balance'!E92</f>
        <v>1.0733872281383731E-5</v>
      </c>
      <c r="C92">
        <f>SUM('Mass Balance'!E92:H92)</f>
        <v>1.5650161223872642E-5</v>
      </c>
      <c r="D92">
        <f>Concentrations!F92/Concentrations!E92</f>
        <v>0.68613084890735798</v>
      </c>
    </row>
    <row r="93" spans="1:4">
      <c r="A93">
        <f>'Mass Balance'!I93</f>
        <v>2.6177098803910144E-9</v>
      </c>
      <c r="B93">
        <f>'Mass Balance'!E93</f>
        <v>3.9973792614669304E-5</v>
      </c>
      <c r="C93">
        <f>SUM('Mass Balance'!E93:H93)</f>
        <v>3.9991259992225113E-5</v>
      </c>
      <c r="D93">
        <f>Concentrations!F93/Concentrations!E93</f>
        <v>0.99995304181843958</v>
      </c>
    </row>
    <row r="94" spans="1:4">
      <c r="A94">
        <f>'Mass Balance'!I94</f>
        <v>2.61838855504078E-9</v>
      </c>
      <c r="B94">
        <f>'Mass Balance'!E94</f>
        <v>3.9997159565276265E-5</v>
      </c>
      <c r="C94">
        <f>SUM('Mass Balance'!E94:H94)</f>
        <v>3.9997227319954794E-5</v>
      </c>
      <c r="D94">
        <f>Concentrations!F94/Concentrations!E94</f>
        <v>1.0003882973894691</v>
      </c>
    </row>
    <row r="95" spans="1:4">
      <c r="A95">
        <f>'Mass Balance'!I95</f>
        <v>3.0857447328017148E-9</v>
      </c>
      <c r="B95">
        <f>'Mass Balance'!E95</f>
        <v>3.7657176193273671E-5</v>
      </c>
      <c r="C95">
        <f>SUM('Mass Balance'!E95:H95)</f>
        <v>3.7677335780234128E-5</v>
      </c>
      <c r="D95">
        <f>Concentrations!F95/Concentrations!E95</f>
        <v>0.99985472464838165</v>
      </c>
    </row>
    <row r="96" spans="1:4">
      <c r="A96">
        <f>'Mass Balance'!I96</f>
        <v>1.9156983368179027E-6</v>
      </c>
      <c r="B96">
        <f>'Mass Balance'!E96</f>
        <v>1.1894221650671757E-7</v>
      </c>
      <c r="C96">
        <f>SUM('Mass Balance'!E96:H96)</f>
        <v>2.0719131636832991E-5</v>
      </c>
      <c r="D96">
        <f>Concentrations!F96/Concentrations!E96</f>
        <v>5.742933879149207E-3</v>
      </c>
    </row>
    <row r="97" spans="1:4">
      <c r="A97">
        <f>'Mass Balance'!I97</f>
        <v>1.6242681955314873E-8</v>
      </c>
      <c r="B97">
        <f>'Mass Balance'!E97</f>
        <v>2.720665792340711E-5</v>
      </c>
      <c r="C97">
        <f>SUM('Mass Balance'!E97:H97)</f>
        <v>2.7792678126675724E-5</v>
      </c>
      <c r="D97">
        <f>Concentrations!F97/Concentrations!E97</f>
        <v>0.97929635205464516</v>
      </c>
    </row>
    <row r="98" spans="1:4">
      <c r="A98">
        <f>'Mass Balance'!I98</f>
        <v>1.0691910643454043E-8</v>
      </c>
      <c r="B98">
        <f>'Mass Balance'!E98</f>
        <v>3.0053203123626096E-5</v>
      </c>
      <c r="C98">
        <f>SUM('Mass Balance'!E98:H98)</f>
        <v>3.0394561630532565E-5</v>
      </c>
      <c r="D98">
        <f>Concentrations!F98/Concentrations!E98</f>
        <v>0.98915470467762656</v>
      </c>
    </row>
    <row r="99" spans="1:4">
      <c r="A99">
        <f>'Mass Balance'!I99</f>
        <v>4.4919796850438945E-9</v>
      </c>
      <c r="B99">
        <f>'Mass Balance'!E99</f>
        <v>3.5166473261713789E-5</v>
      </c>
      <c r="C99">
        <f>SUM('Mass Balance'!E99:H99)</f>
        <v>3.5245311767367957E-5</v>
      </c>
      <c r="D99">
        <f>Concentrations!F99/Concentrations!E99</f>
        <v>0.9981522688285277</v>
      </c>
    </row>
    <row r="100" spans="1:4">
      <c r="A100">
        <f>'Mass Balance'!I100</f>
        <v>7.8295526359725329E-7</v>
      </c>
      <c r="B100">
        <f>'Mass Balance'!E100</f>
        <v>6.4133404605294046E-7</v>
      </c>
      <c r="C100">
        <f>SUM('Mass Balance'!E100:H100)</f>
        <v>1.7179296393756014E-5</v>
      </c>
      <c r="D100">
        <f>Concentrations!F100/Concentrations!E100</f>
        <v>3.7346358460614341E-2</v>
      </c>
    </row>
    <row r="101" spans="1:4">
      <c r="A101">
        <f>'Mass Balance'!I101</f>
        <v>8.0810096477155892E-8</v>
      </c>
      <c r="B101">
        <f>'Mass Balance'!E101</f>
        <v>1.3101432285131621E-5</v>
      </c>
      <c r="C101">
        <f>SUM('Mass Balance'!E101:H101)</f>
        <v>1.6855886143225893E-5</v>
      </c>
      <c r="D101">
        <f>Concentrations!F101/Concentrations!E101</f>
        <v>0.77756468144100499</v>
      </c>
    </row>
    <row r="102" spans="1:4">
      <c r="A102">
        <f>'Mass Balance'!I102</f>
        <v>1.9025371103319193E-7</v>
      </c>
      <c r="B102">
        <f>'Mass Balance'!E102</f>
        <v>5.0798325453361279E-6</v>
      </c>
      <c r="C102">
        <f>SUM('Mass Balance'!E102:H102)</f>
        <v>1.5070778329421592E-5</v>
      </c>
      <c r="D102">
        <f>Concentrations!F102/Concentrations!E102</f>
        <v>0.33719649566104476</v>
      </c>
    </row>
    <row r="103" spans="1:4">
      <c r="A103">
        <f>'Mass Balance'!I103</f>
        <v>2.9603300445344524E-9</v>
      </c>
      <c r="B103">
        <f>'Mass Balance'!E103</f>
        <v>3.9529307010559072E-5</v>
      </c>
      <c r="C103">
        <f>SUM('Mass Balance'!E103:H103)</f>
        <v>3.999185403919485E-5</v>
      </c>
      <c r="D103">
        <f>Concentrations!F103/Concentrations!E103</f>
        <v>0.98881945024768436</v>
      </c>
    </row>
    <row r="104" spans="1:4">
      <c r="A104">
        <f>'Mass Balance'!I104</f>
        <v>3.3490573721805742E-8</v>
      </c>
      <c r="B104">
        <f>'Mass Balance'!E104</f>
        <v>4.0259858114552518E-6</v>
      </c>
      <c r="C104">
        <f>SUM('Mass Balance'!E104:H104)</f>
        <v>3.9715976349908658E-5</v>
      </c>
      <c r="D104">
        <f>Concentrations!F104/Concentrations!E104</f>
        <v>0.10140896143075608</v>
      </c>
    </row>
    <row r="105" spans="1:4">
      <c r="A105">
        <f>'Mass Balance'!I105</f>
        <v>2.6974049649404292E-9</v>
      </c>
      <c r="B105">
        <f>'Mass Balance'!E105</f>
        <v>3.8790355846258052E-5</v>
      </c>
      <c r="C105">
        <f>SUM('Mass Balance'!E105:H105)</f>
        <v>3.8795795041927262E-5</v>
      </c>
      <c r="D105">
        <f>Concentrations!F105/Concentrations!E105</f>
        <v>1.0002497367076915</v>
      </c>
    </row>
    <row r="106" spans="1:4">
      <c r="A106">
        <f>'Mass Balance'!I106</f>
        <v>3.1222145014151736E-9</v>
      </c>
      <c r="B106">
        <f>'Mass Balance'!E106</f>
        <v>3.7546251637399451E-5</v>
      </c>
      <c r="C106">
        <f>SUM('Mass Balance'!E106:H106)</f>
        <v>3.7568084772600577E-5</v>
      </c>
      <c r="D106">
        <f>Concentrations!F106/Concentrations!E106</f>
        <v>0.99980860360114365</v>
      </c>
    </row>
    <row r="107" spans="1:4">
      <c r="A107">
        <f>'Mass Balance'!I107</f>
        <v>2.8767570487073084E-7</v>
      </c>
      <c r="B107">
        <f>'Mass Balance'!E107</f>
        <v>3.4446814624471755E-6</v>
      </c>
      <c r="C107">
        <f>SUM('Mass Balance'!E107:H107)</f>
        <v>1.7180231258211967E-5</v>
      </c>
      <c r="D107">
        <f>Concentrations!F107/Concentrations!E107</f>
        <v>0.20058081925595378</v>
      </c>
    </row>
    <row r="108" spans="1:4">
      <c r="A108">
        <f>'Mass Balance'!I108</f>
        <v>2.6092425086368413E-9</v>
      </c>
      <c r="B108">
        <f>'Mass Balance'!E108</f>
        <v>3.9995138921980716E-5</v>
      </c>
      <c r="C108">
        <f>SUM('Mass Balance'!E108:H108)</f>
        <v>3.9995174984099949E-5</v>
      </c>
      <c r="D108">
        <f>Concentrations!F108/Concentrations!E108</f>
        <v>1.0003890900211097</v>
      </c>
    </row>
    <row r="109" spans="1:4">
      <c r="A109">
        <f>'Mass Balance'!I109</f>
        <v>3.6858474572818435E-8</v>
      </c>
      <c r="B109">
        <f>'Mass Balance'!E109</f>
        <v>3.8939842275244668E-5</v>
      </c>
      <c r="C109">
        <f>SUM('Mass Balance'!E109:H109)</f>
        <v>3.9195079995276577E-5</v>
      </c>
      <c r="D109">
        <f>Concentrations!F109/Concentrations!E109</f>
        <v>0.99387546876421717</v>
      </c>
    </row>
    <row r="110" spans="1:4">
      <c r="A110">
        <f>'Mass Balance'!I110</f>
        <v>2.6038288139935093E-9</v>
      </c>
      <c r="B110">
        <f>'Mass Balance'!E110</f>
        <v>3.9746882147248792E-5</v>
      </c>
      <c r="C110">
        <f>SUM('Mass Balance'!E110:H110)</f>
        <v>3.9747950038524586E-5</v>
      </c>
      <c r="D110">
        <f>Concentrations!F110/Concentrations!E110</f>
        <v>1.0003631149818708</v>
      </c>
    </row>
    <row r="111" spans="1:4">
      <c r="A111">
        <f>'Mass Balance'!I111</f>
        <v>2.599733192676139E-9</v>
      </c>
      <c r="B111">
        <f>'Mass Balance'!E111</f>
        <v>3.9997112525499447E-5</v>
      </c>
      <c r="C111">
        <f>SUM('Mass Balance'!E111:H111)</f>
        <v>3.9997176266935743E-5</v>
      </c>
      <c r="D111">
        <f>Concentrations!F111/Concentrations!E111</f>
        <v>1.0003883977645762</v>
      </c>
    </row>
    <row r="112" spans="1:4">
      <c r="A112">
        <f>'Mass Balance'!I112</f>
        <v>2.5952771786064451E-9</v>
      </c>
      <c r="B112">
        <f>'Mass Balance'!E112</f>
        <v>3.9673836300474717E-5</v>
      </c>
      <c r="C112">
        <f>SUM('Mass Balance'!E112:H112)</f>
        <v>3.9674289861520515E-5</v>
      </c>
      <c r="D112">
        <f>Concentrations!F112/Concentrations!E112</f>
        <v>1.0003785554610218</v>
      </c>
    </row>
    <row r="113" spans="1:4">
      <c r="A113">
        <f>'Mass Balance'!I113</f>
        <v>2.8539537159779353E-9</v>
      </c>
      <c r="B113">
        <f>'Mass Balance'!E113</f>
        <v>3.8167617957883915E-5</v>
      </c>
      <c r="C113">
        <f>SUM('Mass Balance'!E113:H113)</f>
        <v>3.8179631813875972E-5</v>
      </c>
      <c r="D113">
        <f>Concentrations!F113/Concentrations!E113</f>
        <v>1.0000752026892545</v>
      </c>
    </row>
    <row r="114" spans="1:4">
      <c r="A114">
        <f>'Mass Balance'!I114</f>
        <v>2.5939692208084153E-9</v>
      </c>
      <c r="B114">
        <f>'Mass Balance'!E114</f>
        <v>3.9829751939783274E-5</v>
      </c>
      <c r="C114">
        <f>SUM('Mass Balance'!E114:H114)</f>
        <v>3.9829887295228049E-5</v>
      </c>
      <c r="D114">
        <f>Concentrations!F114/Concentrations!E114</f>
        <v>1.000386592370536</v>
      </c>
    </row>
    <row r="115" spans="1:4">
      <c r="A115">
        <f>'Mass Balance'!I115</f>
        <v>2.6963389058339492E-9</v>
      </c>
      <c r="B115">
        <f>'Mass Balance'!E115</f>
        <v>3.9882333976429176E-5</v>
      </c>
      <c r="C115">
        <f>SUM('Mass Balance'!E115:H115)</f>
        <v>3.9994537664711727E-5</v>
      </c>
      <c r="D115">
        <f>Concentrations!F115/Concentrations!E115</f>
        <v>0.99758342260323307</v>
      </c>
    </row>
    <row r="116" spans="1:4">
      <c r="A116">
        <f>'Mass Balance'!I116</f>
        <v>1.4686474668693085E-6</v>
      </c>
      <c r="B116">
        <f>'Mass Balance'!E116</f>
        <v>2.1787351963765295E-5</v>
      </c>
      <c r="C116">
        <f>SUM('Mass Balance'!E116:H116)</f>
        <v>3.5419220193874453E-5</v>
      </c>
      <c r="D116">
        <f>Concentrations!F116/Concentrations!E116</f>
        <v>0.61536783526514116</v>
      </c>
    </row>
    <row r="117" spans="1:4">
      <c r="A117">
        <f>'Mass Balance'!I117</f>
        <v>2.6530101456366693E-8</v>
      </c>
      <c r="B117">
        <f>'Mass Balance'!E117</f>
        <v>2.341097789606657E-5</v>
      </c>
      <c r="C117">
        <f>SUM('Mass Balance'!E117:H117)</f>
        <v>2.4466666111783102E-5</v>
      </c>
      <c r="D117">
        <f>Concentrations!F117/Concentrations!E117</f>
        <v>0.95722514395562408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0.9704783740299987</v>
      </c>
      <c r="M2" s="115">
        <v>0.90147157259412847</v>
      </c>
      <c r="N2" s="115">
        <v>1.137209408618669</v>
      </c>
      <c r="O2" s="115">
        <v>0.81145522078302001</v>
      </c>
      <c r="P2" s="115">
        <v>0.93916514481435254</v>
      </c>
      <c r="Q2" s="111">
        <v>0.81145522078302013</v>
      </c>
      <c r="R2" s="68">
        <v>0.93916514481435265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0.66995957847775689</v>
      </c>
      <c r="M3" s="115">
        <v>11.192729265253014</v>
      </c>
      <c r="N3" s="115">
        <v>305.13687838192396</v>
      </c>
      <c r="O3" s="115">
        <v>3.0229993781954989</v>
      </c>
      <c r="P3" s="115">
        <v>2.8008785614790628</v>
      </c>
      <c r="Q3" s="111">
        <v>3.0229993781954989</v>
      </c>
      <c r="R3" s="68">
        <v>2.8008785614790628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1.1005017793844452</v>
      </c>
      <c r="M4" s="115">
        <v>1.0130672725836118</v>
      </c>
      <c r="N4" s="115">
        <v>3.0506746021319673</v>
      </c>
      <c r="O4" s="115">
        <v>0.82554391013414996</v>
      </c>
      <c r="P4" s="115">
        <v>0.95954765306110246</v>
      </c>
      <c r="Q4" s="111">
        <v>0.82554391013414996</v>
      </c>
      <c r="R4" s="68">
        <v>0.95954765306110246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0.92478787935741313</v>
      </c>
      <c r="M5" s="115">
        <v>1.5869887966356917</v>
      </c>
      <c r="N5" s="115">
        <v>75.653962114770636</v>
      </c>
      <c r="O5" s="115">
        <v>4.4154703751379056</v>
      </c>
      <c r="P5" s="115">
        <v>7.2185587327164376</v>
      </c>
      <c r="Q5" s="111">
        <v>4.4154703751379056</v>
      </c>
      <c r="R5" s="68">
        <v>7.2185587327164384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0.83016453669355128</v>
      </c>
      <c r="M6" s="115">
        <v>2.4269447169882183</v>
      </c>
      <c r="N6" s="115">
        <v>162.61118148164755</v>
      </c>
      <c r="O6" s="115">
        <v>8.9150349459769949</v>
      </c>
      <c r="P6" s="115">
        <v>15.083629409878215</v>
      </c>
      <c r="Q6" s="111">
        <v>8.9150349459769966</v>
      </c>
      <c r="R6" s="68">
        <v>15.083629409878215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0.54120011592897932</v>
      </c>
      <c r="M7" s="115">
        <v>5.7106028848488322</v>
      </c>
      <c r="N7" s="115">
        <v>420.53437457925241</v>
      </c>
      <c r="O7" s="115">
        <v>21.761124106825417</v>
      </c>
      <c r="P7" s="115">
        <v>37.347346075407735</v>
      </c>
      <c r="Q7" s="111">
        <v>21.76112410682542</v>
      </c>
      <c r="R7" s="68">
        <v>37.347346075407735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0.75317091290346794</v>
      </c>
      <c r="M8" s="115">
        <v>3.0079862774839587</v>
      </c>
      <c r="N8" s="115">
        <v>228.26528431101863</v>
      </c>
      <c r="O8" s="115">
        <v>12.586985517028806</v>
      </c>
      <c r="P8" s="115">
        <v>21.532034132981099</v>
      </c>
      <c r="Q8" s="111">
        <v>12.586985517028806</v>
      </c>
      <c r="R8" s="68">
        <v>21.532034132981099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0.94007731573506881</v>
      </c>
      <c r="M9" s="115">
        <v>1.46452847551673</v>
      </c>
      <c r="N9" s="115">
        <v>60.327999609815755</v>
      </c>
      <c r="O9" s="115">
        <v>3.6056232637212098</v>
      </c>
      <c r="P9" s="115">
        <v>5.7970603217842118</v>
      </c>
      <c r="Q9" s="111">
        <v>3.6056232637212098</v>
      </c>
      <c r="R9" s="68">
        <v>5.7970603217842118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4.9356741466918846E-2</v>
      </c>
      <c r="M10" s="115">
        <v>101.40068652124337</v>
      </c>
      <c r="N10" s="115">
        <v>3272.6125109594082</v>
      </c>
      <c r="O10" s="115">
        <v>35.459420055759395</v>
      </c>
      <c r="P10" s="115">
        <v>36.173543893593461</v>
      </c>
      <c r="Q10" s="111">
        <v>35.459420055759402</v>
      </c>
      <c r="R10" s="68">
        <v>36.173543893593468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5.0363234113251915E-3</v>
      </c>
      <c r="M11" s="115">
        <v>806.05151201158151</v>
      </c>
      <c r="N11" s="115">
        <v>43469.725432882318</v>
      </c>
      <c r="O11" s="115">
        <v>176.45883239179113</v>
      </c>
      <c r="P11" s="115">
        <v>80.998328553419839</v>
      </c>
      <c r="Q11" s="111">
        <v>176.45883239179113</v>
      </c>
      <c r="R11" s="68">
        <v>80.998328553419853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0.91534434237681139</v>
      </c>
      <c r="M12" s="115">
        <v>0.81667393093939011</v>
      </c>
      <c r="N12" s="115">
        <v>6.1407693240936014E-2</v>
      </c>
      <c r="O12" s="115">
        <v>0.7565546038257781</v>
      </c>
      <c r="P12" s="115">
        <v>0.87914319991919054</v>
      </c>
      <c r="Q12" s="111">
        <v>0.7565546038257781</v>
      </c>
      <c r="R12" s="68">
        <v>0.87914319991919065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0.62355378333379374</v>
      </c>
      <c r="M13" s="115">
        <v>7.4217466626092801</v>
      </c>
      <c r="N13" s="115">
        <v>214.12329449877544</v>
      </c>
      <c r="O13" s="115">
        <v>2.5728677619872533</v>
      </c>
      <c r="P13" s="115">
        <v>2.4319973811601683</v>
      </c>
      <c r="Q13" s="111">
        <v>2.5728677619872533</v>
      </c>
      <c r="R13" s="68">
        <v>2.4319973811601687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8.1908284749392074E-2</v>
      </c>
      <c r="M14" s="115">
        <v>17.21937788724961</v>
      </c>
      <c r="N14" s="115">
        <v>1543.5817948733525</v>
      </c>
      <c r="O14" s="115">
        <v>45.650400696059585</v>
      </c>
      <c r="P14" s="115">
        <v>76.480713498428884</v>
      </c>
      <c r="Q14" s="111">
        <v>45.650400696059585</v>
      </c>
      <c r="R14" s="68">
        <v>76.480713498428884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0.77775916073399864</v>
      </c>
      <c r="M15" s="115">
        <v>1.6564374578099372</v>
      </c>
      <c r="N15" s="115">
        <v>29.673381363558452</v>
      </c>
      <c r="O15" s="115">
        <v>0.91389300521830119</v>
      </c>
      <c r="P15" s="115">
        <v>0.9731932642881358</v>
      </c>
      <c r="Q15" s="111">
        <v>0.91389300521830119</v>
      </c>
      <c r="R15" s="68">
        <v>0.9731932642881358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0.59708392453002712</v>
      </c>
      <c r="M16" s="115">
        <v>8.4499228669901996</v>
      </c>
      <c r="N16" s="115">
        <v>247.21607610211788</v>
      </c>
      <c r="O16" s="115">
        <v>2.8790671482100394</v>
      </c>
      <c r="P16" s="115">
        <v>2.7104061538823707</v>
      </c>
      <c r="Q16" s="111">
        <v>2.8790671482100394</v>
      </c>
      <c r="R16" s="68">
        <v>2.7104061538823707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0.61242582750402708</v>
      </c>
      <c r="M17" s="115">
        <v>7.7761915328061253</v>
      </c>
      <c r="N17" s="115">
        <v>225.58606085530363</v>
      </c>
      <c r="O17" s="115">
        <v>2.6772608392709527</v>
      </c>
      <c r="P17" s="115">
        <v>2.5264464072066439</v>
      </c>
      <c r="Q17" s="111">
        <v>2.6772608392709527</v>
      </c>
      <c r="R17" s="68">
        <v>2.5264464072066439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3.6310943853218986E-3</v>
      </c>
      <c r="M18" s="115">
        <v>602.65557545318143</v>
      </c>
      <c r="N18" s="115">
        <v>20033.517974242564</v>
      </c>
      <c r="O18" s="115">
        <v>120.82360536661182</v>
      </c>
      <c r="P18" s="115">
        <v>51.754980171136047</v>
      </c>
      <c r="Q18" s="111">
        <v>120.82360536661182</v>
      </c>
      <c r="R18" s="68">
        <v>51.754980171136047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0.90581193869192211</v>
      </c>
      <c r="M19" s="115">
        <v>1.141652884568688</v>
      </c>
      <c r="N19" s="115">
        <v>10.253435133415241</v>
      </c>
      <c r="O19" s="115">
        <v>0.83961369706332223</v>
      </c>
      <c r="P19" s="115">
        <v>0.94311224029947283</v>
      </c>
      <c r="Q19" s="111">
        <v>0.83961369706332223</v>
      </c>
      <c r="R19" s="68">
        <v>0.94311224029947283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0.87015550107768302</v>
      </c>
      <c r="M20" s="115">
        <v>1.3505243927004045</v>
      </c>
      <c r="N20" s="115">
        <v>17.666049762094133</v>
      </c>
      <c r="O20" s="115">
        <v>0.87814567182539627</v>
      </c>
      <c r="P20" s="115">
        <v>0.96583698489028313</v>
      </c>
      <c r="Q20" s="111">
        <v>0.87814567182539638</v>
      </c>
      <c r="R20" s="68">
        <v>0.96583698489028313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0.40989342725616285</v>
      </c>
      <c r="M21" s="115">
        <v>22.408002200654849</v>
      </c>
      <c r="N21" s="115">
        <v>843.8674202229887</v>
      </c>
      <c r="O21" s="115">
        <v>17.950490002967079</v>
      </c>
      <c r="P21" s="115">
        <v>26.378667106534589</v>
      </c>
      <c r="Q21" s="111">
        <v>17.950490002967079</v>
      </c>
      <c r="R21" s="68">
        <v>26.378667106534593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0.8993559255884801</v>
      </c>
      <c r="M22" s="115">
        <v>0.86151736035932136</v>
      </c>
      <c r="N22" s="115">
        <v>1.8474134012633141</v>
      </c>
      <c r="O22" s="115">
        <v>0.75891449306494974</v>
      </c>
      <c r="P22" s="115">
        <v>0.87573071701585814</v>
      </c>
      <c r="Q22" s="111">
        <v>0.75891449306494974</v>
      </c>
      <c r="R22" s="68">
        <v>0.87573071701585825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0.7503913578698409</v>
      </c>
      <c r="M23" s="115">
        <v>2.2926532895820131</v>
      </c>
      <c r="N23" s="115">
        <v>50.161443396237878</v>
      </c>
      <c r="O23" s="115">
        <v>1.0845357617125413</v>
      </c>
      <c r="P23" s="115">
        <v>1.1148529827531448</v>
      </c>
      <c r="Q23" s="111">
        <v>1.0845357617125413</v>
      </c>
      <c r="R23" s="68">
        <v>1.1148529827531448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0.51111012881718643</v>
      </c>
      <c r="M24" s="115">
        <v>12.572120844286905</v>
      </c>
      <c r="N24" s="115">
        <v>379.74215049796283</v>
      </c>
      <c r="O24" s="115">
        <v>4.1361286217077904</v>
      </c>
      <c r="P24" s="115">
        <v>3.8738636070340289</v>
      </c>
      <c r="Q24" s="111">
        <v>4.1361286217077904</v>
      </c>
      <c r="R24" s="68">
        <v>3.8738636070340293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4.8590759109579619E-3</v>
      </c>
      <c r="M25" s="115">
        <v>530.77426048835696</v>
      </c>
      <c r="N25" s="115">
        <v>17595.428173663047</v>
      </c>
      <c r="O25" s="115">
        <v>108.00788109038064</v>
      </c>
      <c r="P25" s="115">
        <v>48.501411523654134</v>
      </c>
      <c r="Q25" s="111">
        <v>108.00788109038064</v>
      </c>
      <c r="R25" s="68">
        <v>48.501411523654134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0.23503451494247618</v>
      </c>
      <c r="M26" s="115">
        <v>23.202297447775948</v>
      </c>
      <c r="N26" s="115">
        <v>727.41955969948583</v>
      </c>
      <c r="O26" s="115">
        <v>7.5530547406811062</v>
      </c>
      <c r="P26" s="115">
        <v>7.2049302186582977</v>
      </c>
      <c r="Q26" s="111">
        <v>7.553054740681107</v>
      </c>
      <c r="R26" s="68">
        <v>7.2049302186582986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2.2204555914557077E-2</v>
      </c>
      <c r="M27" s="115">
        <v>10.815175710599016</v>
      </c>
      <c r="N27" s="115">
        <v>345.21942881453054</v>
      </c>
      <c r="O27" s="115">
        <v>3.6578491126657799</v>
      </c>
      <c r="P27" s="115">
        <v>3.6301717309631556</v>
      </c>
      <c r="Q27" s="111">
        <v>3.6578491126657804</v>
      </c>
      <c r="R27" s="68">
        <v>3.6301717309631556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3.3301390391520372E-2</v>
      </c>
      <c r="M28" s="115">
        <v>4.4363997552507888</v>
      </c>
      <c r="N28" s="115">
        <v>139.69664519478846</v>
      </c>
      <c r="O28" s="115">
        <v>1.4513995818918213</v>
      </c>
      <c r="P28" s="115">
        <v>1.3939037219541142</v>
      </c>
      <c r="Q28" s="111">
        <v>1.4513995818918215</v>
      </c>
      <c r="R28" s="68">
        <v>1.3939037219541142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5.9192222135813634E-2</v>
      </c>
      <c r="M29" s="115">
        <v>0.10211903914945125</v>
      </c>
      <c r="N29" s="115">
        <v>1.5180339048436302</v>
      </c>
      <c r="O29" s="115">
        <v>6.2658962998945397E-2</v>
      </c>
      <c r="P29" s="115">
        <v>6.8174410757331438E-2</v>
      </c>
      <c r="Q29" s="111">
        <v>6.2658962998945397E-2</v>
      </c>
      <c r="R29" s="68">
        <v>6.8174410757331438E-2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1.2602313372934272E-2</v>
      </c>
      <c r="M30" s="115">
        <v>1.5665818403077796</v>
      </c>
      <c r="N30" s="115">
        <v>49.282870675868274</v>
      </c>
      <c r="O30" s="115">
        <v>0.51186210398651277</v>
      </c>
      <c r="P30" s="115">
        <v>0.49079543891158278</v>
      </c>
      <c r="Q30" s="111">
        <v>0.51186210398651277</v>
      </c>
      <c r="R30" s="68">
        <v>0.49079543891158284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4.490767170882356E-4</v>
      </c>
      <c r="M31" s="115">
        <v>2.6144013320438184E-2</v>
      </c>
      <c r="N31" s="115">
        <v>0.81155087718149799</v>
      </c>
      <c r="O31" s="115">
        <v>8.4748338851915374E-3</v>
      </c>
      <c r="P31" s="115">
        <v>8.001816077306793E-3</v>
      </c>
      <c r="Q31" s="111">
        <v>8.4748338851915374E-3</v>
      </c>
      <c r="R31" s="68">
        <v>8.001816077306793E-3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0.65032577720556617</v>
      </c>
      <c r="M32" s="115">
        <v>6.3889832460837344</v>
      </c>
      <c r="N32" s="115">
        <v>180.93329459964673</v>
      </c>
      <c r="O32" s="115">
        <v>2.2678212791547439</v>
      </c>
      <c r="P32" s="115">
        <v>2.1568214926944065</v>
      </c>
      <c r="Q32" s="111">
        <v>2.2678212791547439</v>
      </c>
      <c r="R32" s="68">
        <v>2.1568214926944065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0.75933346239135968</v>
      </c>
      <c r="M33" s="115">
        <v>3.4170281871958945</v>
      </c>
      <c r="N33" s="115">
        <v>84.883967321363841</v>
      </c>
      <c r="O33" s="115">
        <v>1.4227416765145553</v>
      </c>
      <c r="P33" s="115">
        <v>1.4147545514582238</v>
      </c>
      <c r="Q33" s="111">
        <v>1.4227416765145553</v>
      </c>
      <c r="R33" s="68">
        <v>1.4147545514582238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0.32382406897429672</v>
      </c>
      <c r="M34" s="115">
        <v>27.844822088332709</v>
      </c>
      <c r="N34" s="115">
        <v>870.97864396824878</v>
      </c>
      <c r="O34" s="115">
        <v>9.048552800070226</v>
      </c>
      <c r="P34" s="115">
        <v>8.6063329917800822</v>
      </c>
      <c r="Q34" s="111">
        <v>9.048552800070226</v>
      </c>
      <c r="R34" s="68">
        <v>8.6063329917800822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7.8983181817353004E-2</v>
      </c>
      <c r="M35" s="115">
        <v>77.176947968545932</v>
      </c>
      <c r="N35" s="115">
        <v>2477.2801691949962</v>
      </c>
      <c r="O35" s="115">
        <v>26.684242457956984</v>
      </c>
      <c r="P35" s="115">
        <v>26.975787827260369</v>
      </c>
      <c r="Q35" s="111">
        <v>26.684242457956984</v>
      </c>
      <c r="R35" s="68">
        <v>26.975787827260373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2.1696881166600044E-2</v>
      </c>
      <c r="M36" s="115">
        <v>211.41431979439182</v>
      </c>
      <c r="N36" s="115">
        <v>6896.6922340899737</v>
      </c>
      <c r="O36" s="115">
        <v>52.894352240628223</v>
      </c>
      <c r="P36" s="115">
        <v>37.273267067678326</v>
      </c>
      <c r="Q36" s="111">
        <v>52.894352240628223</v>
      </c>
      <c r="R36" s="68">
        <v>37.273267067678326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3.8896145994441089E-3</v>
      </c>
      <c r="M37" s="115">
        <v>574.74154219316029</v>
      </c>
      <c r="N37" s="115">
        <v>19090.972521373784</v>
      </c>
      <c r="O37" s="115">
        <v>115.66199586385345</v>
      </c>
      <c r="P37" s="115">
        <v>50.154123610583412</v>
      </c>
      <c r="Q37" s="111">
        <v>115.66199586385345</v>
      </c>
      <c r="R37" s="68">
        <v>50.154123610583412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1.230981128070288E-2</v>
      </c>
      <c r="M38" s="115">
        <v>318.31446368850413</v>
      </c>
      <c r="N38" s="115">
        <v>10452.010036713342</v>
      </c>
      <c r="O38" s="115">
        <v>70.903068752250746</v>
      </c>
      <c r="P38" s="115">
        <v>40.251176523430502</v>
      </c>
      <c r="Q38" s="111">
        <v>70.903068752250746</v>
      </c>
      <c r="R38" s="68">
        <v>40.251176523430502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1.6402939723519926E-2</v>
      </c>
      <c r="M39" s="115">
        <v>211.23232909239584</v>
      </c>
      <c r="N39" s="115">
        <v>6903.6839036513147</v>
      </c>
      <c r="O39" s="115">
        <v>50.815110887752333</v>
      </c>
      <c r="P39" s="115">
        <v>33.549178110709832</v>
      </c>
      <c r="Q39" s="111">
        <v>50.815110887752333</v>
      </c>
      <c r="R39" s="68">
        <v>33.549178110709839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1.230981128070288E-2</v>
      </c>
      <c r="M40" s="115">
        <v>318.31446368850413</v>
      </c>
      <c r="N40" s="115">
        <v>10452.010036713342</v>
      </c>
      <c r="O40" s="115">
        <v>70.903068752250746</v>
      </c>
      <c r="P40" s="115">
        <v>40.251176523430502</v>
      </c>
      <c r="Q40" s="111">
        <v>70.903068752250746</v>
      </c>
      <c r="R40" s="68">
        <v>40.251176523430502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0.98960117726256236</v>
      </c>
      <c r="M41" s="115">
        <v>0.93857039253723362</v>
      </c>
      <c r="N41" s="115">
        <v>5.6916472402642206</v>
      </c>
      <c r="O41" s="115">
        <v>1.0484678493941375</v>
      </c>
      <c r="P41" s="115">
        <v>1.346416451974711</v>
      </c>
      <c r="Q41" s="111">
        <v>1.0484678493941375</v>
      </c>
      <c r="R41" s="68">
        <v>1.346416451974711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3.5604419678977499E-3</v>
      </c>
      <c r="M42" s="115">
        <v>590.92933846743199</v>
      </c>
      <c r="N42" s="115">
        <v>19643.713600081439</v>
      </c>
      <c r="O42" s="115">
        <v>118.47266680782363</v>
      </c>
      <c r="P42" s="115">
        <v>50.747951965642152</v>
      </c>
      <c r="Q42" s="111">
        <v>118.47266680782364</v>
      </c>
      <c r="R42" s="68">
        <v>50.747951965642159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0.49150627713722544</v>
      </c>
      <c r="M43" s="115">
        <v>13.833152412506935</v>
      </c>
      <c r="N43" s="115">
        <v>420.19541882739486</v>
      </c>
      <c r="O43" s="115">
        <v>4.5288786527126588</v>
      </c>
      <c r="P43" s="115">
        <v>4.2426396714414301</v>
      </c>
      <c r="Q43" s="111">
        <v>4.5288786527126597</v>
      </c>
      <c r="R43" s="68">
        <v>4.2426396714414301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3.2531113159192424E-2</v>
      </c>
      <c r="M44" s="115">
        <v>150.70233457613185</v>
      </c>
      <c r="N44" s="115">
        <v>4891.410039597723</v>
      </c>
      <c r="O44" s="115">
        <v>43.084023162760147</v>
      </c>
      <c r="P44" s="115">
        <v>36.328777803312505</v>
      </c>
      <c r="Q44" s="111">
        <v>43.084023162760147</v>
      </c>
      <c r="R44" s="68">
        <v>36.328777803312505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1.7929178434850765E-3</v>
      </c>
      <c r="M45" s="115">
        <v>771.64204716303811</v>
      </c>
      <c r="N45" s="115">
        <v>25812.21654311668</v>
      </c>
      <c r="O45" s="115">
        <v>151.24908589439286</v>
      </c>
      <c r="P45" s="115">
        <v>59.914267443088171</v>
      </c>
      <c r="Q45" s="111">
        <v>151.24908589439286</v>
      </c>
      <c r="R45" s="68">
        <v>59.914267443088178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3.285863788193739E-3</v>
      </c>
      <c r="M46" s="115">
        <v>626.96046376487027</v>
      </c>
      <c r="N46" s="115">
        <v>20860.613613609359</v>
      </c>
      <c r="O46" s="115">
        <v>125.17173214528823</v>
      </c>
      <c r="P46" s="115">
        <v>52.880330064859677</v>
      </c>
      <c r="Q46" s="111">
        <v>125.17173214528823</v>
      </c>
      <c r="R46" s="68">
        <v>52.880330064859685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6.6434184740163157E-3</v>
      </c>
      <c r="M47" s="115">
        <v>455.92019828450259</v>
      </c>
      <c r="N47" s="115">
        <v>15067.630165730654</v>
      </c>
      <c r="O47" s="115">
        <v>94.792391999898783</v>
      </c>
      <c r="P47" s="115">
        <v>45.342735742312499</v>
      </c>
      <c r="Q47" s="111">
        <v>94.792391999898783</v>
      </c>
      <c r="R47" s="68">
        <v>45.342735742312499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0.1671829381893648</v>
      </c>
      <c r="M48" s="115">
        <v>53.646515411237218</v>
      </c>
      <c r="N48" s="115">
        <v>1705.9784495573087</v>
      </c>
      <c r="O48" s="115">
        <v>17.925017011617097</v>
      </c>
      <c r="P48" s="115">
        <v>17.596070301178354</v>
      </c>
      <c r="Q48" s="111">
        <v>17.925017011617101</v>
      </c>
      <c r="R48" s="68">
        <v>17.596070301178354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3.0228136300763077E-2</v>
      </c>
      <c r="M49" s="115">
        <v>160.98156261954014</v>
      </c>
      <c r="N49" s="115">
        <v>5230.0318001286942</v>
      </c>
      <c r="O49" s="115">
        <v>44.731207608664938</v>
      </c>
      <c r="P49" s="115">
        <v>36.464313764848157</v>
      </c>
      <c r="Q49" s="111">
        <v>44.731207608664945</v>
      </c>
      <c r="R49" s="68">
        <v>36.464313764848157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2.6664601170074957E-2</v>
      </c>
      <c r="M50" s="115">
        <v>179.14698203097836</v>
      </c>
      <c r="N50" s="115">
        <v>5829.4075063704313</v>
      </c>
      <c r="O50" s="115">
        <v>47.646417290927722</v>
      </c>
      <c r="P50" s="115">
        <v>36.710929611792963</v>
      </c>
      <c r="Q50" s="111">
        <v>47.646417290927722</v>
      </c>
      <c r="R50" s="68">
        <v>36.71092961179297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0.12508578016451094</v>
      </c>
      <c r="M51" s="115">
        <v>65.316332179236625</v>
      </c>
      <c r="N51" s="115">
        <v>2086.1222137966101</v>
      </c>
      <c r="O51" s="115">
        <v>22.137700295381556</v>
      </c>
      <c r="P51" s="115">
        <v>22.010589216440724</v>
      </c>
      <c r="Q51" s="111">
        <v>22.137700295381556</v>
      </c>
      <c r="R51" s="68">
        <v>22.010589216440724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0.16277074372310935</v>
      </c>
      <c r="M52" s="115">
        <v>54.708510433256052</v>
      </c>
      <c r="N52" s="115">
        <v>1740.5117172716732</v>
      </c>
      <c r="O52" s="115">
        <v>18.303600287029788</v>
      </c>
      <c r="P52" s="115">
        <v>17.989346071618609</v>
      </c>
      <c r="Q52" s="111">
        <v>18.303600287029788</v>
      </c>
      <c r="R52" s="68">
        <v>17.989346071618613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1.7831955560567127E-2</v>
      </c>
      <c r="M53" s="115">
        <v>246.21447414377911</v>
      </c>
      <c r="N53" s="115">
        <v>8050.7641182154975</v>
      </c>
      <c r="O53" s="115">
        <v>58.700194959583321</v>
      </c>
      <c r="P53" s="115">
        <v>38.142112551033044</v>
      </c>
      <c r="Q53" s="111">
        <v>58.700194959583321</v>
      </c>
      <c r="R53" s="68">
        <v>38.142112551033044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2.840387205781883E-2</v>
      </c>
      <c r="M54" s="115">
        <v>169.90127324797032</v>
      </c>
      <c r="N54" s="115">
        <v>5524.1910067336767</v>
      </c>
      <c r="O54" s="115">
        <v>46.161612834161694</v>
      </c>
      <c r="P54" s="115">
        <v>36.583631665587255</v>
      </c>
      <c r="Q54" s="111">
        <v>46.161612834161694</v>
      </c>
      <c r="R54" s="68">
        <v>36.583631665587255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6.8406039811330852E-3</v>
      </c>
      <c r="M55" s="115">
        <v>448.1319905461483</v>
      </c>
      <c r="N55" s="115">
        <v>14805.685135107402</v>
      </c>
      <c r="O55" s="115">
        <v>93.405346262234858</v>
      </c>
      <c r="P55" s="115">
        <v>44.991652996311572</v>
      </c>
      <c r="Q55" s="111">
        <v>93.405346262234858</v>
      </c>
      <c r="R55" s="68">
        <v>44.991652996311579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3.1754767920332536E-2</v>
      </c>
      <c r="M56" s="115">
        <v>154.10298326027552</v>
      </c>
      <c r="N56" s="115">
        <v>5003.3785114873799</v>
      </c>
      <c r="O56" s="115">
        <v>43.632013803595747</v>
      </c>
      <c r="P56" s="115">
        <v>36.379195351034824</v>
      </c>
      <c r="Q56" s="111">
        <v>43.632013803595747</v>
      </c>
      <c r="R56" s="68">
        <v>36.379195351034831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0.18645464577774229</v>
      </c>
      <c r="M57" s="115">
        <v>48.570945175545198</v>
      </c>
      <c r="N57" s="115">
        <v>1541.4143326511585</v>
      </c>
      <c r="O57" s="115">
        <v>16.137656975886138</v>
      </c>
      <c r="P57" s="115">
        <v>15.756637490602781</v>
      </c>
      <c r="Q57" s="111">
        <v>16.137656975886138</v>
      </c>
      <c r="R57" s="68">
        <v>15.756637490602781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2.8050510245011099E-2</v>
      </c>
      <c r="M58" s="115">
        <v>171.73184598092809</v>
      </c>
      <c r="N58" s="115">
        <v>5584.5931724167867</v>
      </c>
      <c r="O58" s="115">
        <v>46.456232976446266</v>
      </c>
      <c r="P58" s="115">
        <v>36.610017106143069</v>
      </c>
      <c r="Q58" s="111">
        <v>46.456232976446266</v>
      </c>
      <c r="R58" s="68">
        <v>36.610017106143069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0.16283293302409158</v>
      </c>
      <c r="M59" s="115">
        <v>54.729412740045355</v>
      </c>
      <c r="N59" s="115">
        <v>1741.1767090544265</v>
      </c>
      <c r="O59" s="115">
        <v>18.310593485446603</v>
      </c>
      <c r="P59" s="115">
        <v>17.996219203925634</v>
      </c>
      <c r="Q59" s="111">
        <v>18.310593485446603</v>
      </c>
      <c r="R59" s="68">
        <v>17.996219203925634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2.0052774135335929E-2</v>
      </c>
      <c r="M60" s="115">
        <v>224.6269857581421</v>
      </c>
      <c r="N60" s="115">
        <v>7334.5898540594117</v>
      </c>
      <c r="O60" s="115">
        <v>55.071302727426257</v>
      </c>
      <c r="P60" s="115">
        <v>37.553749642306229</v>
      </c>
      <c r="Q60" s="111">
        <v>55.071302727426257</v>
      </c>
      <c r="R60" s="68">
        <v>37.553749642306229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1.1127541273035613</v>
      </c>
      <c r="M61" s="115">
        <v>65.806254568592308</v>
      </c>
      <c r="N61" s="115">
        <v>1506.9808493063852</v>
      </c>
      <c r="O61" s="115">
        <v>8.3358996450353153</v>
      </c>
      <c r="P61" s="115">
        <v>8.3822734388286158</v>
      </c>
      <c r="Q61" s="111">
        <v>8.3358996450353153</v>
      </c>
      <c r="R61" s="68">
        <v>8.3822734388286175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0.33683706879015846</v>
      </c>
      <c r="M62" s="115">
        <v>26.419625040961808</v>
      </c>
      <c r="N62" s="115">
        <v>825.05302355849392</v>
      </c>
      <c r="O62" s="115">
        <v>8.5774101041465727</v>
      </c>
      <c r="P62" s="115">
        <v>8.1430546456050603</v>
      </c>
      <c r="Q62" s="111">
        <v>8.5774101041465727</v>
      </c>
      <c r="R62" s="68">
        <v>8.1430546456050603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2.2488767961924099</v>
      </c>
      <c r="M63" s="115">
        <v>5.8416683050097236</v>
      </c>
      <c r="N63" s="115">
        <v>114.96967223110531</v>
      </c>
      <c r="O63" s="115">
        <v>1.0933783495785909</v>
      </c>
      <c r="P63" s="115">
        <v>1.2239067540696016</v>
      </c>
      <c r="Q63" s="111">
        <v>1.0933783495785909</v>
      </c>
      <c r="R63" s="68">
        <v>1.2239067540696016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0.98833587086617802</v>
      </c>
      <c r="M64" s="115">
        <v>0.9189468390136063</v>
      </c>
      <c r="N64" s="115">
        <v>2.2723750527086484</v>
      </c>
      <c r="O64" s="115">
        <v>0.88111578990868156</v>
      </c>
      <c r="P64" s="115">
        <v>1.0534509039825866</v>
      </c>
      <c r="Q64" s="111">
        <v>0.88111578990868167</v>
      </c>
      <c r="R64" s="68">
        <v>1.0534509039825866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1.2973984600643191</v>
      </c>
      <c r="M65" s="115">
        <v>1.2891412023147018</v>
      </c>
      <c r="N65" s="115">
        <v>9.5607109300336788</v>
      </c>
      <c r="O65" s="115">
        <v>0.83408351593904151</v>
      </c>
      <c r="P65" s="115">
        <v>0.96872658182352211</v>
      </c>
      <c r="Q65" s="111">
        <v>0.83408351593904162</v>
      </c>
      <c r="R65" s="68">
        <v>0.96872658182352223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3.6021457249794011</v>
      </c>
      <c r="M66" s="115">
        <v>47.039607174702844</v>
      </c>
      <c r="N66" s="115">
        <v>1088.0657731094389</v>
      </c>
      <c r="O66" s="115">
        <v>2.5990117871414191</v>
      </c>
      <c r="P66" s="115">
        <v>3.1689943500897009</v>
      </c>
      <c r="Q66" s="111">
        <v>2.5990117871414191</v>
      </c>
      <c r="R66" s="68">
        <v>3.1689943500897009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1.2489685212897623</v>
      </c>
      <c r="M67" s="115">
        <v>1.2213467066814434</v>
      </c>
      <c r="N67" s="115">
        <v>7.9582334587478636</v>
      </c>
      <c r="O67" s="115">
        <v>0.8320123249920689</v>
      </c>
      <c r="P67" s="115">
        <v>0.96617400503032502</v>
      </c>
      <c r="Q67" s="111">
        <v>0.83201232499206901</v>
      </c>
      <c r="R67" s="68">
        <v>0.96617400503032502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1.0294989798329297</v>
      </c>
      <c r="M68" s="115">
        <v>0.92852744424651301</v>
      </c>
      <c r="N68" s="115">
        <v>1.0551358460986482</v>
      </c>
      <c r="O68" s="115">
        <v>0.82289309893536655</v>
      </c>
      <c r="P68" s="115">
        <v>0.9562412446387627</v>
      </c>
      <c r="Q68" s="111">
        <v>0.82289309893536655</v>
      </c>
      <c r="R68" s="68">
        <v>0.95624124463876281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3.6010769834327473E-2</v>
      </c>
      <c r="M69" s="115">
        <v>137.56386048883482</v>
      </c>
      <c r="N69" s="115">
        <v>4459.0525646189362</v>
      </c>
      <c r="O69" s="115">
        <v>41.023228528697466</v>
      </c>
      <c r="P69" s="115">
        <v>36.235890513521078</v>
      </c>
      <c r="Q69" s="111">
        <v>41.023228528697466</v>
      </c>
      <c r="R69" s="68">
        <v>36.235890513521078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0.9910472202813404</v>
      </c>
      <c r="M70" s="115">
        <v>0.92022063903157059</v>
      </c>
      <c r="N70" s="115">
        <v>3.8098009934941151</v>
      </c>
      <c r="O70" s="115">
        <v>0.97057011617448852</v>
      </c>
      <c r="P70" s="115">
        <v>1.211668637301504</v>
      </c>
      <c r="Q70" s="111">
        <v>0.97057011617448852</v>
      </c>
      <c r="R70" s="68">
        <v>1.2116686373015042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0.98873016150242332</v>
      </c>
      <c r="M71" s="115">
        <v>0.94996558697788647</v>
      </c>
      <c r="N71" s="115">
        <v>6.9795078504316113</v>
      </c>
      <c r="O71" s="115">
        <v>1.1049274064022867</v>
      </c>
      <c r="P71" s="115">
        <v>1.4445302775122453</v>
      </c>
      <c r="Q71" s="111">
        <v>1.1049274064022867</v>
      </c>
      <c r="R71" s="68">
        <v>1.4445302775122455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3.7922033841527161E-2</v>
      </c>
      <c r="M72" s="115">
        <v>64.226120673759198</v>
      </c>
      <c r="N72" s="115">
        <v>6311.6910738404986</v>
      </c>
      <c r="O72" s="115">
        <v>60.244181155383572</v>
      </c>
      <c r="P72" s="115">
        <v>84.931087584728402</v>
      </c>
      <c r="Q72" s="111">
        <v>60.244181155383572</v>
      </c>
      <c r="R72" s="68">
        <v>84.931087584728402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0.27543293811847885</v>
      </c>
      <c r="M73" s="115">
        <v>6.1177816076133338</v>
      </c>
      <c r="N73" s="115">
        <v>577.59800989065207</v>
      </c>
      <c r="O73" s="115">
        <v>34.769603817936677</v>
      </c>
      <c r="P73" s="115">
        <v>60.655135392111774</v>
      </c>
      <c r="Q73" s="111">
        <v>34.769603817936677</v>
      </c>
      <c r="R73" s="68">
        <v>60.655135392111781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0.98919445805298278</v>
      </c>
      <c r="M74" s="115">
        <v>0.94415409222942559</v>
      </c>
      <c r="N74" s="115">
        <v>6.3595618229199626</v>
      </c>
      <c r="O74" s="115">
        <v>1.0782615663083861</v>
      </c>
      <c r="P74" s="115">
        <v>1.3982791742022487</v>
      </c>
      <c r="Q74" s="111">
        <v>1.0782615663083861</v>
      </c>
      <c r="R74" s="68">
        <v>1.3982791742022487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0.3117881552383121</v>
      </c>
      <c r="M75" s="115">
        <v>5.9211817881733886</v>
      </c>
      <c r="N75" s="115">
        <v>555.13230686217412</v>
      </c>
      <c r="O75" s="115">
        <v>33.099635985546414</v>
      </c>
      <c r="P75" s="115">
        <v>57.695324140630319</v>
      </c>
      <c r="Q75" s="111">
        <v>33.099635985546414</v>
      </c>
      <c r="R75" s="68">
        <v>57.695324140630326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0.89272455785341631</v>
      </c>
      <c r="M76" s="115">
        <v>1.8659708109597219</v>
      </c>
      <c r="N76" s="115">
        <v>106.00553254567244</v>
      </c>
      <c r="O76" s="115">
        <v>5.9822974797072561</v>
      </c>
      <c r="P76" s="115">
        <v>9.9597272246514965</v>
      </c>
      <c r="Q76" s="111">
        <v>5.9822974797072561</v>
      </c>
      <c r="R76" s="68">
        <v>9.9597272246514965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0.28554724461732334</v>
      </c>
      <c r="M77" s="115">
        <v>6.0643554327939126</v>
      </c>
      <c r="N77" s="115">
        <v>571.45917718258431</v>
      </c>
      <c r="O77" s="115">
        <v>34.305251344628331</v>
      </c>
      <c r="P77" s="115">
        <v>59.831683294541079</v>
      </c>
      <c r="Q77" s="111">
        <v>34.305251344628338</v>
      </c>
      <c r="R77" s="68">
        <v>59.831683294541079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4.193802521707192E-2</v>
      </c>
      <c r="M78" s="115">
        <v>53.652651942984015</v>
      </c>
      <c r="N78" s="115">
        <v>5271.6116848624861</v>
      </c>
      <c r="O78" s="115">
        <v>57.352283105071251</v>
      </c>
      <c r="P78" s="115">
        <v>83.681787794723874</v>
      </c>
      <c r="Q78" s="111">
        <v>57.352283105071251</v>
      </c>
      <c r="R78" s="68">
        <v>83.681787794723874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4.1938034347535423E-2</v>
      </c>
      <c r="M79" s="115">
        <v>53.652569238358524</v>
      </c>
      <c r="N79" s="115">
        <v>5271.6098294205103</v>
      </c>
      <c r="O79" s="115">
        <v>57.35227963981059</v>
      </c>
      <c r="P79" s="115">
        <v>83.681801319675046</v>
      </c>
      <c r="Q79" s="111">
        <v>57.352279639810597</v>
      </c>
      <c r="R79" s="68">
        <v>83.681801319675046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0.67166907139218168</v>
      </c>
      <c r="M80" s="115">
        <v>3.5852807881469047</v>
      </c>
      <c r="N80" s="115">
        <v>294.38975826773265</v>
      </c>
      <c r="O80" s="115">
        <v>16.432958681144218</v>
      </c>
      <c r="P80" s="115">
        <v>28.297170264853701</v>
      </c>
      <c r="Q80" s="111">
        <v>16.432958681144218</v>
      </c>
      <c r="R80" s="68">
        <v>28.297170264853701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0.97347311044563822</v>
      </c>
      <c r="M81" s="115">
        <v>1.1217877921892869</v>
      </c>
      <c r="N81" s="115">
        <v>25.406683047657406</v>
      </c>
      <c r="O81" s="115">
        <v>1.9425275267754336</v>
      </c>
      <c r="P81" s="115">
        <v>2.9013692536030993</v>
      </c>
      <c r="Q81" s="111">
        <v>1.9425275267754338</v>
      </c>
      <c r="R81" s="68">
        <v>2.9013692536030993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0.93979435815328227</v>
      </c>
      <c r="M82" s="115">
        <v>1.450364183392824</v>
      </c>
      <c r="N82" s="115">
        <v>60.88778143886357</v>
      </c>
      <c r="O82" s="115">
        <v>3.671010034694199</v>
      </c>
      <c r="P82" s="115">
        <v>5.9175570424666732</v>
      </c>
      <c r="Q82" s="111">
        <v>3.6710100346941994</v>
      </c>
      <c r="R82" s="68">
        <v>5.9175570424666741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2.8669386331025271E-2</v>
      </c>
      <c r="M83" s="115">
        <v>105.04382736078004</v>
      </c>
      <c r="N83" s="115">
        <v>10326.428817246804</v>
      </c>
      <c r="O83" s="115">
        <v>71.132241886120767</v>
      </c>
      <c r="P83" s="115">
        <v>89.252509254975465</v>
      </c>
      <c r="Q83" s="111">
        <v>71.132241886120767</v>
      </c>
      <c r="R83" s="68">
        <v>89.252509254975465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0.4319587317238478</v>
      </c>
      <c r="M84" s="115">
        <v>17.860037276838707</v>
      </c>
      <c r="N84" s="115">
        <v>549.61227811673416</v>
      </c>
      <c r="O84" s="115">
        <v>5.7996638356870687</v>
      </c>
      <c r="P84" s="115">
        <v>5.4492839840971721</v>
      </c>
      <c r="Q84" s="111">
        <v>5.7996638356870687</v>
      </c>
      <c r="R84" s="68">
        <v>5.4492839840971721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1.1414613072507702</v>
      </c>
      <c r="M85" s="115">
        <v>2255.8806167838661</v>
      </c>
      <c r="N85" s="115">
        <v>53205.763052935436</v>
      </c>
      <c r="O85" s="115">
        <v>52.833402340909238</v>
      </c>
      <c r="P85" s="115">
        <v>47.598390042640965</v>
      </c>
      <c r="Q85" s="111">
        <v>52.833402340909238</v>
      </c>
      <c r="R85" s="68">
        <v>47.598390042640965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2.1402897849387044E-3</v>
      </c>
      <c r="M86" s="115">
        <v>730.12046129666646</v>
      </c>
      <c r="N86" s="115">
        <v>24386.02954232529</v>
      </c>
      <c r="O86" s="115">
        <v>143.73406732582527</v>
      </c>
      <c r="P86" s="115">
        <v>57.842123547740997</v>
      </c>
      <c r="Q86" s="111">
        <v>143.73406732582529</v>
      </c>
      <c r="R86" s="68">
        <v>57.842123547741004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8.390526347835151E-4</v>
      </c>
      <c r="M87" s="115">
        <v>936.43587770257238</v>
      </c>
      <c r="N87" s="115">
        <v>31520.950362740183</v>
      </c>
      <c r="O87" s="115">
        <v>181.28262626019139</v>
      </c>
      <c r="P87" s="115">
        <v>68.485982042408864</v>
      </c>
      <c r="Q87" s="111">
        <v>181.28262626019139</v>
      </c>
      <c r="R87" s="68">
        <v>68.485982042408864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2.6439145972118175E-4</v>
      </c>
      <c r="M88" s="115">
        <v>1135.9895156321506</v>
      </c>
      <c r="N88" s="115">
        <v>38575.937633198599</v>
      </c>
      <c r="O88" s="115">
        <v>218.06739851780094</v>
      </c>
      <c r="P88" s="115">
        <v>79.537406313075309</v>
      </c>
      <c r="Q88" s="111">
        <v>218.06739851780094</v>
      </c>
      <c r="R88" s="68">
        <v>79.537406313075323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2.5832362838089745E-2</v>
      </c>
      <c r="M89" s="115">
        <v>8611.9172603070692</v>
      </c>
      <c r="N89" s="115">
        <v>202484.31037272539</v>
      </c>
      <c r="O89" s="115">
        <v>154.68654425122938</v>
      </c>
      <c r="P89" s="115">
        <v>53.376301312428957</v>
      </c>
      <c r="Q89" s="111">
        <v>154.68654425122938</v>
      </c>
      <c r="R89" s="68">
        <v>53.376301312428957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0.96875103905605864</v>
      </c>
      <c r="M90" s="115">
        <v>0.9106577201010333</v>
      </c>
      <c r="N90" s="115">
        <v>1.4776464515865195</v>
      </c>
      <c r="O90" s="115">
        <v>0.81221452733518607</v>
      </c>
      <c r="P90" s="115">
        <v>0.93933362126277253</v>
      </c>
      <c r="Q90" s="111">
        <v>0.81221452733518607</v>
      </c>
      <c r="R90" s="68">
        <v>0.93933362126277264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0.76413493176110858</v>
      </c>
      <c r="M91" s="115">
        <v>3.3133773069296044</v>
      </c>
      <c r="N91" s="115">
        <v>81.51921966289018</v>
      </c>
      <c r="O91" s="115">
        <v>1.3943728136983635</v>
      </c>
      <c r="P91" s="115">
        <v>1.3905732451911459</v>
      </c>
      <c r="Q91" s="111">
        <v>1.3943728136983635</v>
      </c>
      <c r="R91" s="68">
        <v>1.3905732451911459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0.26799177438086436</v>
      </c>
      <c r="M92" s="115">
        <v>34.887217264281588</v>
      </c>
      <c r="N92" s="115">
        <v>1098.2109521828431</v>
      </c>
      <c r="O92" s="115">
        <v>11.408635126472284</v>
      </c>
      <c r="P92" s="115">
        <v>10.9507919370753</v>
      </c>
      <c r="Q92" s="111">
        <v>11.408635126472285</v>
      </c>
      <c r="R92" s="68">
        <v>10.9507919370753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0.99304868885020137</v>
      </c>
      <c r="M93" s="115">
        <v>0.8903775103370799</v>
      </c>
      <c r="N93" s="115">
        <v>0.62210780467155546</v>
      </c>
      <c r="O93" s="115">
        <v>0.84317385820542889</v>
      </c>
      <c r="P93" s="115">
        <v>0.99158284555379239</v>
      </c>
      <c r="Q93" s="111">
        <v>0.84317385820542901</v>
      </c>
      <c r="R93" s="68">
        <v>0.99158284555379239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0.99898667603947766</v>
      </c>
      <c r="M94" s="115">
        <v>0.89060835205468714</v>
      </c>
      <c r="N94" s="115">
        <v>0.15096094627909828</v>
      </c>
      <c r="O94" s="115">
        <v>0.82225751093316357</v>
      </c>
      <c r="P94" s="115">
        <v>0.95571973635732166</v>
      </c>
      <c r="Q94" s="111">
        <v>0.82225751093316357</v>
      </c>
      <c r="R94" s="68">
        <v>0.95571973635732177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0.94514522910087295</v>
      </c>
      <c r="M95" s="115">
        <v>1.0495730383679303</v>
      </c>
      <c r="N95" s="115">
        <v>6.3863399833877423</v>
      </c>
      <c r="O95" s="115">
        <v>0.82277174822040422</v>
      </c>
      <c r="P95" s="115">
        <v>0.93592635523326873</v>
      </c>
      <c r="Q95" s="111">
        <v>0.82277174822040422</v>
      </c>
      <c r="R95" s="68">
        <v>0.93592635523326884</v>
      </c>
    </row>
    <row r="96" spans="1:18">
      <c r="A96" s="102" t="s">
        <v>437</v>
      </c>
      <c r="B96" s="168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2.970503112666765E-3</v>
      </c>
      <c r="M96" s="115">
        <v>651.59807374758589</v>
      </c>
      <c r="N96" s="115">
        <v>21700.281839487456</v>
      </c>
      <c r="O96" s="115">
        <v>129.59172918090999</v>
      </c>
      <c r="P96" s="115">
        <v>54.04272602017523</v>
      </c>
      <c r="Q96" s="111">
        <v>129.59172918091002</v>
      </c>
      <c r="R96" s="68">
        <v>54.04272602017523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0.67884893875228824</v>
      </c>
      <c r="M97" s="115">
        <v>5.5247217535084605</v>
      </c>
      <c r="N97" s="115">
        <v>153.02575933050065</v>
      </c>
      <c r="O97" s="115">
        <v>2.0175646277227561</v>
      </c>
      <c r="P97" s="115">
        <v>1.9338381789378849</v>
      </c>
      <c r="Q97" s="111">
        <v>2.0175646277227561</v>
      </c>
      <c r="R97" s="68">
        <v>1.9338381789378849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0.74958229583180169</v>
      </c>
      <c r="M98" s="115">
        <v>3.6367043004945727</v>
      </c>
      <c r="N98" s="115">
        <v>92.006839730390809</v>
      </c>
      <c r="O98" s="115">
        <v>1.483251353743356</v>
      </c>
      <c r="P98" s="115">
        <v>1.4665747292187243</v>
      </c>
      <c r="Q98" s="111">
        <v>1.483251353743356</v>
      </c>
      <c r="R98" s="68">
        <v>1.4665747292187243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0.87565702670449574</v>
      </c>
      <c r="M99" s="115">
        <v>1.5278842466135698</v>
      </c>
      <c r="N99" s="115">
        <v>22.987839882486256</v>
      </c>
      <c r="O99" s="115">
        <v>0.93186277468574641</v>
      </c>
      <c r="P99" s="115">
        <v>1.0127141284327756</v>
      </c>
      <c r="Q99" s="111">
        <v>0.93186277468574652</v>
      </c>
      <c r="R99" s="68">
        <v>1.0127141284327756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1.6015422191773949E-2</v>
      </c>
      <c r="M100" s="115">
        <v>266.31131414872561</v>
      </c>
      <c r="N100" s="115">
        <v>8718.7383100702846</v>
      </c>
      <c r="O100" s="115">
        <v>62.079293562045017</v>
      </c>
      <c r="P100" s="115">
        <v>38.69046884473849</v>
      </c>
      <c r="Q100" s="111">
        <v>62.079293562045017</v>
      </c>
      <c r="R100" s="68">
        <v>38.690468844738497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0.32709120080300563</v>
      </c>
      <c r="M101" s="115">
        <v>27.486427373182277</v>
      </c>
      <c r="N101" s="115">
        <v>859.42527855031244</v>
      </c>
      <c r="O101" s="115">
        <v>8.9298436609073146</v>
      </c>
      <c r="P101" s="115">
        <v>8.4894182171422727</v>
      </c>
      <c r="Q101" s="111">
        <v>8.9298436609073146</v>
      </c>
      <c r="R101" s="68">
        <v>8.4894182171422727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0.12683715594398251</v>
      </c>
      <c r="M102" s="115">
        <v>64.712146609929235</v>
      </c>
      <c r="N102" s="115">
        <v>2066.4206979192118</v>
      </c>
      <c r="O102" s="115">
        <v>21.917410383107057</v>
      </c>
      <c r="P102" s="115">
        <v>21.778216820664205</v>
      </c>
      <c r="Q102" s="111">
        <v>21.917410383107057</v>
      </c>
      <c r="R102" s="68">
        <v>21.778216820664205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0.98396114424128489</v>
      </c>
      <c r="M103" s="115">
        <v>1.0069149811341676</v>
      </c>
      <c r="N103" s="115">
        <v>13.056730114273403</v>
      </c>
      <c r="O103" s="115">
        <v>1.3729607117154015</v>
      </c>
      <c r="P103" s="115">
        <v>1.9100040011200003</v>
      </c>
      <c r="Q103" s="111">
        <v>1.3729607117154015</v>
      </c>
      <c r="R103" s="68">
        <v>1.9100040011200003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0.10147062327909556</v>
      </c>
      <c r="M104" s="115">
        <v>11.391351606056377</v>
      </c>
      <c r="N104" s="115">
        <v>1016.8318899324562</v>
      </c>
      <c r="O104" s="115">
        <v>43.41695964953157</v>
      </c>
      <c r="P104" s="115">
        <v>74.542375657189666</v>
      </c>
      <c r="Q104" s="111">
        <v>43.41695964953157</v>
      </c>
      <c r="R104" s="68">
        <v>74.542375657189666</v>
      </c>
    </row>
    <row r="105" spans="1:18">
      <c r="A105" s="102" t="s">
        <v>455</v>
      </c>
      <c r="B105" s="168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0.96384682663984722</v>
      </c>
      <c r="M105" s="115">
        <v>0.91748468195252697</v>
      </c>
      <c r="N105" s="115">
        <v>1.8030721720615817</v>
      </c>
      <c r="O105" s="115">
        <v>0.81178529781302411</v>
      </c>
      <c r="P105" s="115">
        <v>0.93731358163707712</v>
      </c>
      <c r="Q105" s="111">
        <v>0.81178529781302411</v>
      </c>
      <c r="R105" s="68">
        <v>0.93731358163707712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0.94111212077094064</v>
      </c>
      <c r="M106" s="115">
        <v>1.0619777215697872</v>
      </c>
      <c r="N106" s="115">
        <v>6.8680862195065577</v>
      </c>
      <c r="O106" s="115">
        <v>0.82452842201348875</v>
      </c>
      <c r="P106" s="115">
        <v>0.93640536811054853</v>
      </c>
      <c r="Q106" s="111">
        <v>0.82452842201348886</v>
      </c>
      <c r="R106" s="68">
        <v>0.93640536811054853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9.8736845331295398E-2</v>
      </c>
      <c r="M107" s="115">
        <v>97.848879207731571</v>
      </c>
      <c r="N107" s="115">
        <v>2863.2538937974214</v>
      </c>
      <c r="O107" s="115">
        <v>26.887275453395265</v>
      </c>
      <c r="P107" s="115">
        <v>27.054939812816645</v>
      </c>
      <c r="Q107" s="111">
        <v>26.887275453395265</v>
      </c>
      <c r="R107" s="68">
        <v>27.054939812816645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0.99628224860944181</v>
      </c>
      <c r="M108" s="115">
        <v>0.88749745191729312</v>
      </c>
      <c r="N108" s="115">
        <v>7.8134177768562948E-2</v>
      </c>
      <c r="O108" s="115">
        <v>0.82213349894855159</v>
      </c>
      <c r="P108" s="115">
        <v>0.95557604484918457</v>
      </c>
      <c r="Q108" s="111">
        <v>0.82213349894855159</v>
      </c>
      <c r="R108" s="68">
        <v>0.95557604484918457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3.1001139562306861</v>
      </c>
      <c r="M109" s="115">
        <v>12.53689611320355</v>
      </c>
      <c r="N109" s="115">
        <v>273.68640729116873</v>
      </c>
      <c r="O109" s="115">
        <v>1.2859878661409172</v>
      </c>
      <c r="P109" s="115">
        <v>1.4954025342039721</v>
      </c>
      <c r="Q109" s="111">
        <v>1.2859878661409172</v>
      </c>
      <c r="R109" s="68">
        <v>1.4954025342039721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0.98734004843075718</v>
      </c>
      <c r="M110" s="115">
        <v>0.88565605918146573</v>
      </c>
      <c r="N110" s="115">
        <v>0.22204358060981352</v>
      </c>
      <c r="O110" s="115">
        <v>0.81851890325866339</v>
      </c>
      <c r="P110" s="115">
        <v>0.95098080697780096</v>
      </c>
      <c r="Q110" s="111">
        <v>0.81851890325866339</v>
      </c>
      <c r="R110" s="68">
        <v>0.95098080697780107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0.99351620442496602</v>
      </c>
      <c r="M111" s="115">
        <v>0.88426299070616976</v>
      </c>
      <c r="N111" s="115">
        <v>3.2341195582476557E-3</v>
      </c>
      <c r="O111" s="115">
        <v>0.82216452965330122</v>
      </c>
      <c r="P111" s="115">
        <v>0.95566358433608822</v>
      </c>
      <c r="Q111" s="111">
        <v>0.82216452965330122</v>
      </c>
      <c r="R111" s="68">
        <v>0.95566358433608822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0.98551583836718626</v>
      </c>
      <c r="M112" s="115">
        <v>0.88274733966205621</v>
      </c>
      <c r="N112" s="115">
        <v>0.16764613447696947</v>
      </c>
      <c r="O112" s="115">
        <v>0.81554807906047089</v>
      </c>
      <c r="P112" s="115">
        <v>0.94730807932928662</v>
      </c>
      <c r="Q112" s="111">
        <v>0.815548079060471</v>
      </c>
      <c r="R112" s="68">
        <v>0.94730807932928662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0.94867902071707488</v>
      </c>
      <c r="M113" s="115">
        <v>0.97073255645508016</v>
      </c>
      <c r="N113" s="115">
        <v>3.8394092202901016</v>
      </c>
      <c r="O113" s="115">
        <v>0.81723672717983631</v>
      </c>
      <c r="P113" s="115">
        <v>0.93701730649927217</v>
      </c>
      <c r="Q113" s="111">
        <v>0.81723672717983631</v>
      </c>
      <c r="R113" s="68">
        <v>0.93701730649927228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0.98936789241030487</v>
      </c>
      <c r="M114" s="115">
        <v>0.88230245605728408</v>
      </c>
      <c r="N114" s="115">
        <v>5.2110029652466028E-2</v>
      </c>
      <c r="O114" s="115">
        <v>0.81773111486982952</v>
      </c>
      <c r="P114" s="115">
        <v>0.95027785152999977</v>
      </c>
      <c r="Q114" s="111">
        <v>0.81773111486982963</v>
      </c>
      <c r="R114" s="68">
        <v>0.95027785152999977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0.99127236890934289</v>
      </c>
      <c r="M115" s="115">
        <v>0.91712207681426849</v>
      </c>
      <c r="N115" s="115">
        <v>3.4734801957676158</v>
      </c>
      <c r="O115" s="115">
        <v>0.95654191175624104</v>
      </c>
      <c r="P115" s="115">
        <v>1.1873689685576361</v>
      </c>
      <c r="Q115" s="111">
        <v>0.95654191175624115</v>
      </c>
      <c r="R115" s="68">
        <v>1.1873689685576361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2.1454647119621209</v>
      </c>
      <c r="M116" s="115">
        <v>499.53995471745191</v>
      </c>
      <c r="N116" s="115">
        <v>11745.751475365971</v>
      </c>
      <c r="O116" s="115">
        <v>23.443914361849508</v>
      </c>
      <c r="P116" s="115">
        <v>30.485533246246614</v>
      </c>
      <c r="Q116" s="111">
        <v>23.443914361849508</v>
      </c>
      <c r="R116" s="68">
        <v>30.485533246246614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0.58430611288230627</v>
      </c>
      <c r="M117" s="115">
        <v>9.0238440327777862</v>
      </c>
      <c r="N117" s="115">
        <v>265.64943830232676</v>
      </c>
      <c r="O117" s="115">
        <v>3.0518349796448736</v>
      </c>
      <c r="P117" s="115">
        <v>2.8685738839241783</v>
      </c>
      <c r="Q117" s="111">
        <v>3.051834979644874</v>
      </c>
      <c r="R117" s="68">
        <v>2.8685738839241783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8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8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2025-02-02T13:55:20Z</dcterms:modified>
</cp:coreProperties>
</file>