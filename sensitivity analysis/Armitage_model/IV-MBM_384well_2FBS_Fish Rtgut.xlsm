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22E59AA3-CB56-452E-9303-E4D1CCBF474F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<sst xmlns="http://schemas.openxmlformats.org/spreadsheetml/2006/main" count="2915" uniqueCount="495">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</sst>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14" borderId="0" xfId="0" applyFill="1"/>
    <xf numFmtId="0" fontId="0" fillId="0" borderId="0" xfId="0" applyAlignment="1">
      <alignment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35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0.95</v>
      </c>
      <c r="K5" s="136">
        <v>1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0.38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0.19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9.5000000000000001E-2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0.02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1.6E-2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5.5999999999999999E-3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3.0999999999999999E-3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2E-3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1.1999999999999999E-3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0.02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5" ht="13.15">
      <c r="A1" s="74" t="s">
        <v>132</v>
      </c>
      <c r="B1" s="75"/>
      <c r="F1" s="74" t="s">
        <v>131</v>
      </c>
      <c r="I1" s="76"/>
    </row>
    <row r="2" spans="1:15" ht="13.15" thickBot="1">
      <c r="B2" s="75"/>
      <c r="I2" s="76"/>
    </row>
    <row r="3" spans="1:15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5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5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5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5" ht="13.15" thickBot="1">
      <c r="B7" s="87"/>
      <c r="I7" s="76"/>
    </row>
    <row r="8" spans="1:15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5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0.04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5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0.01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5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5" ht="13.15" thickBot="1">
      <c r="A12" s="76" t="s">
        <v>22</v>
      </c>
      <c r="B12" s="138">
        <f>G13/1000000/G12*1000000</f>
        <v>5.5999999999999999E-3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5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5.5999999999999999E-3</v>
      </c>
      <c r="H13" s="75" t="s">
        <v>16</v>
      </c>
      <c r="K13" s="75"/>
      <c r="L13" s="76"/>
      <c r="M13" s="75"/>
    </row>
    <row r="14" spans="1:15" ht="13.15" thickBot="1">
      <c r="C14" s="76"/>
      <c r="D14" s="76"/>
      <c r="E14" s="76"/>
      <c r="F14" s="102" t="s">
        <v>164</v>
      </c>
      <c r="G14" s="88">
        <v>7.4</v>
      </c>
    </row>
    <row r="15" spans="1:15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  <c r="O15" s="163"/>
    </row>
    <row r="16" spans="1:15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O16" s="163"/>
    </row>
    <row r="17" spans="1:15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O17" s="163"/>
    </row>
    <row r="18" spans="1:15">
      <c r="C18" s="76"/>
      <c r="D18" s="76"/>
      <c r="E18" s="76"/>
      <c r="K18" s="75"/>
    </row>
    <row r="19" spans="1:15" ht="13.15">
      <c r="A19" s="93" t="s">
        <v>15</v>
      </c>
      <c r="C19" s="76"/>
      <c r="D19" s="76"/>
      <c r="E19" s="76"/>
    </row>
    <row r="20" spans="1:15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5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1.3999999999999999E-4</v>
      </c>
      <c r="K21" s="76" t="s">
        <v>125</v>
      </c>
      <c r="M21" s="75"/>
    </row>
    <row r="22" spans="1:15" ht="13.15" thickBot="1">
      <c r="A22" s="75"/>
      <c r="C22" s="76"/>
      <c r="F22" s="102" t="s">
        <v>164</v>
      </c>
      <c r="G22" s="88">
        <v>7.4</v>
      </c>
      <c r="J22" s="95">
        <f>B12*(G9+G10)/B6</f>
        <v>7.0000000000000007E-6</v>
      </c>
      <c r="K22" s="78" t="s">
        <v>126</v>
      </c>
      <c r="L22" s="96"/>
    </row>
    <row r="23" spans="1:15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5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5">
      <c r="C25" s="96"/>
      <c r="F25" s="76" t="s">
        <v>137</v>
      </c>
    </row>
    <row r="26" spans="1:15">
      <c r="B26" s="75"/>
      <c r="F26" s="98" t="s">
        <v>152</v>
      </c>
      <c r="G26" s="76" t="b">
        <v>0</v>
      </c>
    </row>
    <row r="27" spans="1:15" ht="13.15">
      <c r="C27" s="96"/>
      <c r="F27" s="74"/>
      <c r="G27" s="75"/>
      <c r="H27" s="75"/>
      <c r="J27" s="99"/>
    </row>
    <row r="28" spans="1:15" ht="13.15">
      <c r="B28" s="100"/>
      <c r="C28" s="96"/>
      <c r="F28" s="6" t="s">
        <v>269</v>
      </c>
      <c r="G28" s="75"/>
      <c r="H28" s="75"/>
      <c r="J28" s="99"/>
    </row>
    <row r="29" spans="1:15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5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5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5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38100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1.4250718927385972E-5</v>
      </c>
      <c r="J2" s="67" t="s">
        <v>231</v>
      </c>
      <c r="K2" s="68">
        <v>2.5035253196889051E-3</v>
      </c>
      <c r="L2" s="67" t="s">
        <v>231</v>
      </c>
      <c r="M2" s="68">
        <v>5.515152947228507E-2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5.2794609335432043E-3</v>
      </c>
      <c r="J3" s="67" t="s">
        <v>231</v>
      </c>
      <c r="K3" s="68">
        <v>0.56858573787030775</v>
      </c>
      <c r="L3" s="67" t="s">
        <v>231</v>
      </c>
      <c r="M3" s="68">
        <v>18.900966096525721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2.4250875066639463E-3</v>
      </c>
      <c r="J4" s="67" t="s">
        <v>231</v>
      </c>
      <c r="K4" s="68">
        <v>1.382043892667459E-2</v>
      </c>
      <c r="L4" s="67" t="s">
        <v>231</v>
      </c>
      <c r="M4" s="68">
        <v>0.41980923436670398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7.1863723626174941E-3</v>
      </c>
      <c r="J5" s="67" t="s">
        <v>231</v>
      </c>
      <c r="K5" s="68">
        <v>0.14920702574300876</v>
      </c>
      <c r="L5" s="67" t="s">
        <v>231</v>
      </c>
      <c r="M5" s="68">
        <v>4.8428761621418142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1.5973316662630001E-2</v>
      </c>
      <c r="J6" s="67" t="s">
        <v>232</v>
      </c>
      <c r="K6" s="68">
        <v>0.73397852896772464</v>
      </c>
      <c r="L6" s="67" t="s">
        <v>231</v>
      </c>
      <c r="M6" s="68">
        <v>24.552333296723763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2.1591092177470992E-3</v>
      </c>
      <c r="J7" s="67" t="s">
        <v>231</v>
      </c>
      <c r="K7" s="68">
        <v>0.60186690464635983</v>
      </c>
      <c r="L7" s="67" t="s">
        <v>231</v>
      </c>
      <c r="M7" s="68">
        <v>20.025685302790343</v>
      </c>
      <c r="N7" s="67" t="s">
        <v>232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3.8322833216630431E-3</v>
      </c>
      <c r="J8" s="67" t="s">
        <v>231</v>
      </c>
      <c r="K8" s="68">
        <v>0.44250405364841078</v>
      </c>
      <c r="L8" s="67" t="s">
        <v>231</v>
      </c>
      <c r="M8" s="68">
        <v>14.624242251821128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6.0984485963857561E-4</v>
      </c>
      <c r="J9" s="67" t="s">
        <v>231</v>
      </c>
      <c r="K9" s="68">
        <v>5.3455812160851886E-2</v>
      </c>
      <c r="L9" s="67" t="s">
        <v>231</v>
      </c>
      <c r="M9" s="68">
        <v>1.6999140177312342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4.3192421728294548E-3</v>
      </c>
      <c r="J10" s="67" t="s">
        <v>231</v>
      </c>
      <c r="K10" s="68">
        <v>0.15927646443962867</v>
      </c>
      <c r="L10" s="67" t="s">
        <v>231</v>
      </c>
      <c r="M10" s="68">
        <v>5.1746359053556112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1.0609888325565115E-3</v>
      </c>
      <c r="J11" s="67" t="s">
        <v>231</v>
      </c>
      <c r="K11" s="68">
        <v>0.17703788118997552</v>
      </c>
      <c r="L11" s="67" t="s">
        <v>231</v>
      </c>
      <c r="M11" s="68">
        <v>5.7607777804612992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1.5257688213729072E-3</v>
      </c>
      <c r="J12" s="67" t="s">
        <v>231</v>
      </c>
      <c r="K12" s="68">
        <v>6.5033855281753747E-2</v>
      </c>
      <c r="L12" s="67" t="s">
        <v>231</v>
      </c>
      <c r="M12" s="68">
        <v>2.0771002538814951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2.8840286534065045E-2</v>
      </c>
      <c r="J13" s="67" t="s">
        <v>232</v>
      </c>
      <c r="K13" s="68">
        <v>5.4510196020015333E-2</v>
      </c>
      <c r="L13" s="67" t="s">
        <v>231</v>
      </c>
      <c r="M13" s="68">
        <v>1.7342024875519129</v>
      </c>
      <c r="N13" s="67" t="s">
        <v>231</v>
      </c>
      <c r="P13" s="109" t="s">
        <v>192</v>
      </c>
      <c r="Q13" s="103">
        <f>COUNTIF(J2:J50000,"Yes")</f>
        <v>12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1.0168452900188614E-2</v>
      </c>
      <c r="J14" s="67" t="s">
        <v>232</v>
      </c>
      <c r="K14" s="68">
        <v>0.24224808268839682</v>
      </c>
      <c r="L14" s="67" t="s">
        <v>231</v>
      </c>
      <c r="M14" s="68">
        <v>7.9210703537898484</v>
      </c>
      <c r="N14" s="67" t="s">
        <v>231</v>
      </c>
      <c r="P14" s="109" t="s">
        <v>229</v>
      </c>
      <c r="Q14" s="103">
        <f>COUNTIF(N2:N50000,"Yes")</f>
        <v>8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5.0929566593887346E-3</v>
      </c>
      <c r="J15" s="67" t="s">
        <v>231</v>
      </c>
      <c r="K15" s="68">
        <v>0.16800310118471115</v>
      </c>
      <c r="L15" s="67" t="s">
        <v>231</v>
      </c>
      <c r="M15" s="68">
        <v>5.462473605559258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4.0138107221066371E-3</v>
      </c>
      <c r="J16" s="67" t="s">
        <v>231</v>
      </c>
      <c r="K16" s="68">
        <v>0.43516377186085947</v>
      </c>
      <c r="L16" s="67" t="s">
        <v>231</v>
      </c>
      <c r="M16" s="68">
        <v>14.377232432180293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3.0265259635832197E-3</v>
      </c>
      <c r="J17" s="67" t="s">
        <v>231</v>
      </c>
      <c r="K17" s="68">
        <v>0.15253977873484353</v>
      </c>
      <c r="L17" s="67" t="s">
        <v>231</v>
      </c>
      <c r="M17" s="68">
        <v>4.9526247637912935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4.2227614866013627E-3</v>
      </c>
      <c r="J18" s="67" t="s">
        <v>231</v>
      </c>
      <c r="K18" s="68">
        <v>4.841456767827066E-2</v>
      </c>
      <c r="L18" s="67" t="s">
        <v>231</v>
      </c>
      <c r="M18" s="68">
        <v>1.5364516432340201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3.0958597254696969E-2</v>
      </c>
      <c r="J19" s="67" t="s">
        <v>232</v>
      </c>
      <c r="K19" s="68">
        <v>0.1697927839046843</v>
      </c>
      <c r="L19" s="67" t="s">
        <v>231</v>
      </c>
      <c r="M19" s="68">
        <v>5.5215363015724241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2.9849759405337324E-3</v>
      </c>
      <c r="J20" s="67" t="s">
        <v>231</v>
      </c>
      <c r="K20" s="68">
        <v>5.4530947034007918E-2</v>
      </c>
      <c r="L20" s="67" t="s">
        <v>231</v>
      </c>
      <c r="M20" s="68">
        <v>1.7348626660636897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1.459993803424503E-2</v>
      </c>
      <c r="J21" s="67" t="s">
        <v>232</v>
      </c>
      <c r="K21" s="68">
        <v>0.22132096084685382</v>
      </c>
      <c r="L21" s="67" t="s">
        <v>231</v>
      </c>
      <c r="M21" s="68">
        <v>7.2266405055438643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9.995884348077071E-5</v>
      </c>
      <c r="J22" s="67" t="s">
        <v>231</v>
      </c>
      <c r="K22" s="68">
        <v>6.3862699282738822E-3</v>
      </c>
      <c r="L22" s="67" t="s">
        <v>231</v>
      </c>
      <c r="M22" s="68">
        <v>0.18085645459056809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3.1306215091004566E-5</v>
      </c>
      <c r="J23" s="67" t="s">
        <v>231</v>
      </c>
      <c r="K23" s="68">
        <v>3.4162519041639971E-3</v>
      </c>
      <c r="L23" s="67" t="s">
        <v>231</v>
      </c>
      <c r="M23" s="68">
        <v>8.4864683317866701E-2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1.5120921254212848E-4</v>
      </c>
      <c r="J24" s="67" t="s">
        <v>231</v>
      </c>
      <c r="K24" s="68">
        <v>2.7793357665220925E-2</v>
      </c>
      <c r="L24" s="67" t="s">
        <v>231</v>
      </c>
      <c r="M24" s="68">
        <v>0.86936885047370549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1.5320078305473507E-3</v>
      </c>
      <c r="J25" s="67" t="s">
        <v>231</v>
      </c>
      <c r="K25" s="68">
        <v>7.6782877735912594E-2</v>
      </c>
      <c r="L25" s="67" t="s">
        <v>231</v>
      </c>
      <c r="M25" s="68">
        <v>2.4646310246217946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3.8598459946652592E-3</v>
      </c>
      <c r="J26" s="67" t="s">
        <v>231</v>
      </c>
      <c r="K26" s="68">
        <v>0.20848324298461771</v>
      </c>
      <c r="L26" s="67" t="s">
        <v>231</v>
      </c>
      <c r="M26" s="68">
        <v>6.8010755573617852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2.8846622811366665E-3</v>
      </c>
      <c r="J27" s="67" t="s">
        <v>231</v>
      </c>
      <c r="K27" s="68">
        <v>0.55358341119168319</v>
      </c>
      <c r="L27" s="67" t="s">
        <v>231</v>
      </c>
      <c r="M27" s="68">
        <v>18.38817088289909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1.4002160691288189E-3</v>
      </c>
      <c r="J28" s="67" t="s">
        <v>231</v>
      </c>
      <c r="K28" s="68">
        <v>0.31171608508185117</v>
      </c>
      <c r="L28" s="67" t="s">
        <v>231</v>
      </c>
      <c r="M28" s="68">
        <v>10.235349069996289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7.6758755122123242E-4</v>
      </c>
      <c r="J29" s="67" t="s">
        <v>231</v>
      </c>
      <c r="K29" s="68">
        <v>0.208306261476774</v>
      </c>
      <c r="L29" s="67" t="s">
        <v>231</v>
      </c>
      <c r="M29" s="68">
        <v>6.8080515447895795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1.4002160691288189E-3</v>
      </c>
      <c r="J30" s="67" t="s">
        <v>231</v>
      </c>
      <c r="K30" s="68">
        <v>0.31171608508185117</v>
      </c>
      <c r="L30" s="67" t="s">
        <v>231</v>
      </c>
      <c r="M30" s="68">
        <v>10.235349069996289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8.1125836510150152E-8</v>
      </c>
      <c r="J31" s="67" t="s">
        <v>231</v>
      </c>
      <c r="K31" s="68">
        <v>9.0141753454234708E-4</v>
      </c>
      <c r="L31" s="67" t="s">
        <v>231</v>
      </c>
      <c r="M31" s="68">
        <v>1.1371412394353278E-3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1.0759717470768528E-5</v>
      </c>
      <c r="J32" s="67" t="s">
        <v>231</v>
      </c>
      <c r="K32" s="68">
        <v>1.0473855621526884E-2</v>
      </c>
      <c r="L32" s="67" t="s">
        <v>231</v>
      </c>
      <c r="M32" s="68">
        <v>0.31027266895963479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8.1352310447886709E-8</v>
      </c>
      <c r="J33" s="67" t="s">
        <v>231</v>
      </c>
      <c r="K33" s="68">
        <v>8.8987173426775454E-4</v>
      </c>
      <c r="L33" s="67" t="s">
        <v>231</v>
      </c>
      <c r="M33" s="68">
        <v>5.9145105421239119E-4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3.2533793077844511E-10</v>
      </c>
      <c r="J34" s="67" t="s">
        <v>231</v>
      </c>
      <c r="K34" s="68">
        <v>1.5871317301028693E-3</v>
      </c>
      <c r="L34" s="67" t="s">
        <v>231</v>
      </c>
      <c r="M34" s="68">
        <v>7.5654832419642673E-2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5.0207341385821965E-7</v>
      </c>
      <c r="J35" s="67" t="s">
        <v>231</v>
      </c>
      <c r="K35" s="68">
        <v>2.4020530159666814E-3</v>
      </c>
      <c r="L35" s="67" t="s">
        <v>231</v>
      </c>
      <c r="M35" s="68">
        <v>0.16191200929651672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9.0781825415682916E-7</v>
      </c>
      <c r="J36" s="67" t="s">
        <v>231</v>
      </c>
      <c r="K36" s="68">
        <v>4.5658819532743743E-3</v>
      </c>
      <c r="L36" s="67" t="s">
        <v>231</v>
      </c>
      <c r="M36" s="68">
        <v>0.39037437447881612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5.4940391552824957E-6</v>
      </c>
      <c r="J37" s="67" t="s">
        <v>231</v>
      </c>
      <c r="K37" s="68">
        <v>1.2969135015718098E-2</v>
      </c>
      <c r="L37" s="67" t="s">
        <v>231</v>
      </c>
      <c r="M37" s="68">
        <v>0.49656298823913625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1.6044769607606211E-6</v>
      </c>
      <c r="J38" s="67" t="s">
        <v>231</v>
      </c>
      <c r="K38" s="68">
        <v>1.5039794860635996E-3</v>
      </c>
      <c r="L38" s="67" t="s">
        <v>231</v>
      </c>
      <c r="M38" s="68">
        <v>6.146314729059775E-2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9.910761443376187E-4</v>
      </c>
      <c r="J39" s="67" t="s">
        <v>231</v>
      </c>
      <c r="K39" s="68">
        <v>0.10072150673090054</v>
      </c>
      <c r="L39" s="67" t="s">
        <v>231</v>
      </c>
      <c r="M39" s="68">
        <v>3.250692617166568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7.3399873563749073E-9</v>
      </c>
      <c r="J40" s="67" t="s">
        <v>231</v>
      </c>
      <c r="K40" s="68">
        <v>0.57458381352346743</v>
      </c>
      <c r="L40" s="67" t="s">
        <v>231</v>
      </c>
      <c r="M40" s="68">
        <v>50.41763182663253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2.6157441960559267E-8</v>
      </c>
      <c r="J41" s="67" t="s">
        <v>231</v>
      </c>
      <c r="K41" s="68">
        <v>8.1023216110269979E-4</v>
      </c>
      <c r="L41" s="67" t="s">
        <v>231</v>
      </c>
      <c r="M41" s="68">
        <v>6.4237783235026452E-5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1.121586273580835E-3</v>
      </c>
      <c r="J42" s="67" t="s">
        <v>231</v>
      </c>
      <c r="K42" s="68">
        <v>7.418085495050103E-3</v>
      </c>
      <c r="L42" s="67" t="s">
        <v>231</v>
      </c>
      <c r="M42" s="68">
        <v>0.21401766690258806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4.3370413073890906E-8</v>
      </c>
      <c r="J43" s="67" t="s">
        <v>231</v>
      </c>
      <c r="K43" s="68">
        <v>1.6221228671329167E-2</v>
      </c>
      <c r="L43" s="67" t="s">
        <v>231</v>
      </c>
      <c r="M43" s="68">
        <v>1.5159877415561611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1.0882312110417067E-6</v>
      </c>
      <c r="J44" s="67" t="s">
        <v>231</v>
      </c>
      <c r="K44" s="68">
        <v>1.6562550162005105E-3</v>
      </c>
      <c r="L44" s="67" t="s">
        <v>231</v>
      </c>
      <c r="M44" s="68">
        <v>2.9670113108890835E-2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1.0082611395657305E-4</v>
      </c>
      <c r="J45" s="67" t="s">
        <v>231</v>
      </c>
      <c r="K45" s="68">
        <v>8.4451773540237685E-3</v>
      </c>
      <c r="L45" s="67" t="s">
        <v>231</v>
      </c>
      <c r="M45" s="68">
        <v>0.24707723849222255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2.2303539546833818E-6</v>
      </c>
      <c r="J46" s="67" t="s">
        <v>231</v>
      </c>
      <c r="K46" s="68">
        <v>7.7721724123693712E-3</v>
      </c>
      <c r="L46" s="67" t="s">
        <v>231</v>
      </c>
      <c r="M46" s="68">
        <v>0.2254694668203438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1.360615122593797E-2</v>
      </c>
      <c r="J47" s="142" t="s">
        <v>232</v>
      </c>
      <c r="K47" s="143">
        <v>0.57943383968599627</v>
      </c>
      <c r="L47" s="142" t="s">
        <v>231</v>
      </c>
      <c r="M47" s="143">
        <v>19.261579441134018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1.8137717095786985E-6</v>
      </c>
      <c r="J48" s="142" t="s">
        <v>231</v>
      </c>
      <c r="K48" s="143">
        <v>1.1415662169564479E-3</v>
      </c>
      <c r="L48" s="142" t="s">
        <v>231</v>
      </c>
      <c r="M48" s="143">
        <v>1.0252656752567363E-2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5.0840050942969316E-6</v>
      </c>
      <c r="J49" s="142" t="s">
        <v>231</v>
      </c>
      <c r="K49" s="143">
        <v>1.3504031131695076E-3</v>
      </c>
      <c r="L49" s="142" t="s">
        <v>231</v>
      </c>
      <c r="M49" s="143">
        <v>1.7664463318902486E-2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1.8049090468758617E-5</v>
      </c>
      <c r="J50" s="142" t="s">
        <v>231</v>
      </c>
      <c r="K50" s="143">
        <v>4.6501885534896106E-2</v>
      </c>
      <c r="L50" s="142" t="s">
        <v>231</v>
      </c>
      <c r="M50" s="143">
        <v>1.4746984983109068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4.0157616980966205E-8</v>
      </c>
      <c r="J51" s="142" t="s">
        <v>231</v>
      </c>
      <c r="K51" s="143">
        <v>8.6146800607808638E-4</v>
      </c>
      <c r="L51" s="142" t="s">
        <v>231</v>
      </c>
      <c r="M51" s="143">
        <v>1.847307567341958E-3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1.1168675786932865E-5</v>
      </c>
      <c r="J52" s="142" t="s">
        <v>231</v>
      </c>
      <c r="K52" s="143">
        <v>2.2923038016348851E-3</v>
      </c>
      <c r="L52" s="142" t="s">
        <v>231</v>
      </c>
      <c r="M52" s="143">
        <v>5.0153796875956252E-2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2.088740681540241E-4</v>
      </c>
      <c r="J53" s="142" t="s">
        <v>231</v>
      </c>
      <c r="K53" s="143">
        <v>1.2561618752721127E-2</v>
      </c>
      <c r="L53" s="142" t="s">
        <v>231</v>
      </c>
      <c r="M53" s="143">
        <v>0.37942493378605635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4.4727850303268842E-3</v>
      </c>
      <c r="J54" s="67" t="s">
        <v>231</v>
      </c>
      <c r="K54" s="68">
        <v>0.51267850946581273</v>
      </c>
      <c r="L54" s="67" t="s">
        <v>231</v>
      </c>
      <c r="M54" s="68">
        <v>16.995545114012209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2.9431375122447497E-4</v>
      </c>
      <c r="J55" s="67" t="s">
        <v>231</v>
      </c>
      <c r="K55" s="68">
        <v>2.3166552551107777E-2</v>
      </c>
      <c r="L55" s="67" t="s">
        <v>231</v>
      </c>
      <c r="M55" s="68">
        <v>0.72629891476962982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6.9839351623620635E-5</v>
      </c>
      <c r="J56" s="67" t="s">
        <v>231</v>
      </c>
      <c r="K56" s="68">
        <v>1.080740292715046E-2</v>
      </c>
      <c r="L56" s="67" t="s">
        <v>231</v>
      </c>
      <c r="M56" s="68">
        <v>0.34497132227107608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2.730300350535385E-5</v>
      </c>
      <c r="J57" s="67" t="s">
        <v>231</v>
      </c>
      <c r="K57" s="68">
        <v>4.4350913120230449E-3</v>
      </c>
      <c r="L57" s="67" t="s">
        <v>231</v>
      </c>
      <c r="M57" s="68">
        <v>0.13965544396418986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2.587114742226439E-7</v>
      </c>
      <c r="J58" s="67" t="s">
        <v>231</v>
      </c>
      <c r="K58" s="68">
        <v>1.0211834567233314E-4</v>
      </c>
      <c r="L58" s="67" t="s">
        <v>231</v>
      </c>
      <c r="M58" s="68">
        <v>1.5180235960727457E-3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6.031029534801046E-6</v>
      </c>
      <c r="J59" s="67" t="s">
        <v>231</v>
      </c>
      <c r="K59" s="68">
        <v>1.5664186544270598E-3</v>
      </c>
      <c r="L59" s="67" t="s">
        <v>231</v>
      </c>
      <c r="M59" s="68">
        <v>4.9277737034938249E-2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8.9781962695605913E-8</v>
      </c>
      <c r="J60" s="67" t="s">
        <v>231</v>
      </c>
      <c r="K60" s="68">
        <v>2.6143967867139946E-5</v>
      </c>
      <c r="L60" s="67" t="s">
        <v>231</v>
      </c>
      <c r="M60" s="68">
        <v>8.1154946624035433E-4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5.1174084139882489E-2</v>
      </c>
      <c r="J61" s="67" t="s">
        <v>232</v>
      </c>
      <c r="K61" s="68">
        <v>1.7838850208613536E-2</v>
      </c>
      <c r="L61" s="67" t="s">
        <v>231</v>
      </c>
      <c r="M61" s="68">
        <v>0.54896028211844183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1.7560407115366656E-4</v>
      </c>
      <c r="J62" s="67" t="s">
        <v>231</v>
      </c>
      <c r="K62" s="68">
        <v>0.23763132736744236</v>
      </c>
      <c r="L62" s="67" t="s">
        <v>231</v>
      </c>
      <c r="M62" s="68">
        <v>7.7676901920893693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1.5121541711398587E-3</v>
      </c>
      <c r="J63" s="67" t="s">
        <v>231</v>
      </c>
      <c r="K63" s="68">
        <v>0.6963123980024627</v>
      </c>
      <c r="L63" s="67" t="s">
        <v>231</v>
      </c>
      <c r="M63" s="68">
        <v>23.256839944218324</v>
      </c>
      <c r="N63" s="67" t="s">
        <v>232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1.2207629423979633E-3</v>
      </c>
      <c r="J64" s="67" t="s">
        <v>231</v>
      </c>
      <c r="K64" s="68">
        <v>0.88153976441195347</v>
      </c>
      <c r="L64" s="67" t="s">
        <v>231</v>
      </c>
      <c r="M64" s="68">
        <v>29.673116780812265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2.0712854417259852E-3</v>
      </c>
      <c r="J65" s="67" t="s">
        <v>231</v>
      </c>
      <c r="K65" s="68">
        <v>1.0562006315188228</v>
      </c>
      <c r="L65" s="67" t="s">
        <v>232</v>
      </c>
      <c r="M65" s="68">
        <v>35.866466308839193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7.7315276703242554E-6</v>
      </c>
      <c r="J66" s="67" t="s">
        <v>231</v>
      </c>
      <c r="K66" s="68">
        <v>0.96270105958391927</v>
      </c>
      <c r="L66" s="67" t="s">
        <v>231</v>
      </c>
      <c r="M66" s="68">
        <v>32.528334618830648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3.8281763895039919E-4</v>
      </c>
      <c r="J67" s="67" t="s">
        <v>231</v>
      </c>
      <c r="K67" s="68">
        <v>1.9879471459727446E-3</v>
      </c>
      <c r="L67" s="67" t="s">
        <v>231</v>
      </c>
      <c r="M67" s="68">
        <v>3.8369283646116477E-2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1.5582352638490897E-4</v>
      </c>
      <c r="J68" s="67" t="s">
        <v>231</v>
      </c>
      <c r="K68" s="68">
        <v>2.8201720164604416E-3</v>
      </c>
      <c r="L68" s="67" t="s">
        <v>231</v>
      </c>
      <c r="M68" s="68">
        <v>6.5758608570489055E-2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1.0267431642923326E-6</v>
      </c>
      <c r="J69" s="67" t="s">
        <v>231</v>
      </c>
      <c r="K69" s="68">
        <v>0.42337674152037885</v>
      </c>
      <c r="L69" s="67" t="s">
        <v>231</v>
      </c>
      <c r="M69" s="68">
        <v>13.981351645175042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8.1426164977549907E-4</v>
      </c>
      <c r="J70" s="67" t="s">
        <v>231</v>
      </c>
      <c r="K70" s="68">
        <v>7.4621853316575421E-2</v>
      </c>
      <c r="L70" s="67" t="s">
        <v>231</v>
      </c>
      <c r="M70" s="68">
        <v>2.3914080468186567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2.9008050678980897E-4</v>
      </c>
      <c r="J71" s="67" t="s">
        <v>231</v>
      </c>
      <c r="K71" s="68">
        <v>2.6196319050678855E-3</v>
      </c>
      <c r="L71" s="67" t="s">
        <v>231</v>
      </c>
      <c r="M71" s="68">
        <v>5.9622153845501256E-2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4.5797963454613411E-6</v>
      </c>
      <c r="J72" s="67" t="s">
        <v>231</v>
      </c>
      <c r="K72" s="68">
        <v>6.8145407735775529E-2</v>
      </c>
      <c r="L72" s="67" t="s">
        <v>231</v>
      </c>
      <c r="M72" s="68">
        <v>2.1810476681936413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7.5674008349836284E-3</v>
      </c>
      <c r="J73" s="67" t="s">
        <v>231</v>
      </c>
      <c r="K73" s="68">
        <v>1.879586702424171E-2</v>
      </c>
      <c r="L73" s="67" t="s">
        <v>231</v>
      </c>
      <c r="M73" s="68">
        <v>0.58022864693703069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0.1675778864401746</v>
      </c>
      <c r="J74" s="67" t="s">
        <v>232</v>
      </c>
      <c r="K74" s="68">
        <v>7.3010134404943028E-2</v>
      </c>
      <c r="L74" s="67" t="s">
        <v>231</v>
      </c>
      <c r="M74" s="68">
        <v>2.3389045069105316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2.1723677459835428E-12</v>
      </c>
      <c r="J75" s="67" t="s">
        <v>231</v>
      </c>
      <c r="K75" s="68">
        <v>5.3461888232992492E-2</v>
      </c>
      <c r="L75" s="67" t="s">
        <v>231</v>
      </c>
      <c r="M75" s="68">
        <v>5.2528695882918042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1.1951237753527833E-12</v>
      </c>
      <c r="J76" s="67" t="s">
        <v>231</v>
      </c>
      <c r="K76" s="68">
        <v>5.3461888506977952E-2</v>
      </c>
      <c r="L76" s="67" t="s">
        <v>231</v>
      </c>
      <c r="M76" s="68">
        <v>5.2528696152121013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5.5325756717066854E-7</v>
      </c>
      <c r="J77" s="67" t="s">
        <v>231</v>
      </c>
      <c r="K77" s="68">
        <v>3.75734575983123E-2</v>
      </c>
      <c r="L77" s="67" t="s">
        <v>231</v>
      </c>
      <c r="M77" s="68">
        <v>1.1866296674666386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1.0607086089933695E-3</v>
      </c>
      <c r="J78" s="67" t="s">
        <v>231</v>
      </c>
      <c r="K78" s="68">
        <v>6.6780262842104591E-3</v>
      </c>
      <c r="L78" s="67" t="s">
        <v>231</v>
      </c>
      <c r="M78" s="68">
        <v>0.19115901137754204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2.2783300421626112E-5</v>
      </c>
      <c r="J79" s="67" t="s">
        <v>231</v>
      </c>
      <c r="K79" s="68">
        <v>1.2855554350318944E-2</v>
      </c>
      <c r="L79" s="67" t="s">
        <v>231</v>
      </c>
      <c r="M79" s="68">
        <v>0.38906168317411449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1.2997194634212021E-13</v>
      </c>
      <c r="J80" s="67" t="s">
        <v>231</v>
      </c>
      <c r="K80" s="68">
        <v>0.10431511204709534</v>
      </c>
      <c r="L80" s="67" t="s">
        <v>231</v>
      </c>
      <c r="M80" s="68">
        <v>10.254794284004612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2.1992506703036472E-5</v>
      </c>
      <c r="J81" s="67" t="s">
        <v>231</v>
      </c>
      <c r="K81" s="68">
        <v>9.1445620304679456E-4</v>
      </c>
      <c r="L81" s="67" t="s">
        <v>231</v>
      </c>
      <c r="M81" s="68">
        <v>1.6827186317231657E-3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3.5512676607595006E-5</v>
      </c>
      <c r="J82" s="67" t="s">
        <v>231</v>
      </c>
      <c r="K82" s="68">
        <v>3.3126473995567537E-3</v>
      </c>
      <c r="L82" s="67" t="s">
        <v>231</v>
      </c>
      <c r="M82" s="68">
        <v>8.1501261708226663E-2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5.8291328274349342E-5</v>
      </c>
      <c r="J83" s="67" t="s">
        <v>231</v>
      </c>
      <c r="K83" s="68">
        <v>3.4806466264355622E-2</v>
      </c>
      <c r="L83" s="67" t="s">
        <v>231</v>
      </c>
      <c r="M83" s="68">
        <v>1.0956690001593663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6.076138319286497E-6</v>
      </c>
      <c r="J84" s="67" t="s">
        <v>231</v>
      </c>
      <c r="K84" s="68">
        <v>1.0541261253186102E-3</v>
      </c>
      <c r="L84" s="67" t="s">
        <v>231</v>
      </c>
      <c r="M84" s="68">
        <v>6.8468221341075504E-3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3.2990506554133893E-8</v>
      </c>
      <c r="J85" s="67" t="s">
        <v>231</v>
      </c>
      <c r="K85" s="68">
        <v>8.8510012089489554E-4</v>
      </c>
      <c r="L85" s="67" t="s">
        <v>231</v>
      </c>
      <c r="M85" s="68">
        <v>3.4480954269011562E-4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2.3838756680645443E-6</v>
      </c>
      <c r="J86" s="67" t="s">
        <v>231</v>
      </c>
      <c r="K86" s="68">
        <v>1.0455913048671866E-3</v>
      </c>
      <c r="L86" s="67" t="s">
        <v>231</v>
      </c>
      <c r="M86" s="68">
        <v>6.5445060107033586E-3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1.6127657820822254E-2</v>
      </c>
      <c r="J87" s="67" t="s">
        <v>232</v>
      </c>
      <c r="K87" s="68">
        <v>0.62453612893087662</v>
      </c>
      <c r="L87" s="67" t="s">
        <v>231</v>
      </c>
      <c r="M87" s="68">
        <v>20.799033273374079</v>
      </c>
      <c r="N87" s="67" t="s">
        <v>232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1.1141064092847089E-4</v>
      </c>
      <c r="J88" s="67" t="s">
        <v>231</v>
      </c>
      <c r="K88" s="68">
        <v>5.5226927493472388E-3</v>
      </c>
      <c r="L88" s="67" t="s">
        <v>231</v>
      </c>
      <c r="M88" s="68">
        <v>0.15296955923277472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2.8853197771861797E-5</v>
      </c>
      <c r="J89" s="67" t="s">
        <v>231</v>
      </c>
      <c r="K89" s="68">
        <v>3.6358250095347789E-3</v>
      </c>
      <c r="L89" s="67" t="s">
        <v>231</v>
      </c>
      <c r="M89" s="68">
        <v>9.19845940992563E-2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1.7871186949863454E-6</v>
      </c>
      <c r="J90" s="67" t="s">
        <v>231</v>
      </c>
      <c r="K90" s="68">
        <v>1.5277290227719551E-3</v>
      </c>
      <c r="L90" s="67" t="s">
        <v>231</v>
      </c>
      <c r="M90" s="68">
        <v>2.2985504456340664E-2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1.0687550729822443E-2</v>
      </c>
      <c r="J91" s="67" t="s">
        <v>232</v>
      </c>
      <c r="K91" s="68">
        <v>0.26167709074904599</v>
      </c>
      <c r="L91" s="67" t="s">
        <v>231</v>
      </c>
      <c r="M91" s="68">
        <v>8.5670189540175166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3.4111001229995434E-2</v>
      </c>
      <c r="J92" s="67" t="s">
        <v>232</v>
      </c>
      <c r="K92" s="68">
        <v>2.743627804313804E-2</v>
      </c>
      <c r="L92" s="67" t="s">
        <v>231</v>
      </c>
      <c r="M92" s="68">
        <v>0.85785724639548855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1.8337988230489554E-2</v>
      </c>
      <c r="J93" s="67" t="s">
        <v>232</v>
      </c>
      <c r="K93" s="68">
        <v>6.4434860354281795E-2</v>
      </c>
      <c r="L93" s="67" t="s">
        <v>231</v>
      </c>
      <c r="M93" s="68">
        <v>2.0575662542338207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7.13418438934827E-9</v>
      </c>
      <c r="J94" s="67" t="s">
        <v>231</v>
      </c>
      <c r="K94" s="68">
        <v>1.0074207061907998E-3</v>
      </c>
      <c r="L94" s="67" t="s">
        <v>231</v>
      </c>
      <c r="M94" s="68">
        <v>1.3073344544325525E-2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2.055974970217796E-4</v>
      </c>
      <c r="J95" s="67" t="s">
        <v>231</v>
      </c>
      <c r="K95" s="68">
        <v>0.13230113449836359</v>
      </c>
      <c r="L95" s="67" t="s">
        <v>231</v>
      </c>
      <c r="M95" s="68">
        <v>4.2866066190269168</v>
      </c>
      <c r="N95" s="67" t="s">
        <v>231</v>
      </c>
      <c r="O95" s="65"/>
      <c r="P95" s="102"/>
    </row>
    <row r="96" spans="1:16">
      <c r="A96" s="65" t="s">
        <v>470</v>
      </c>
      <c r="B96" s="167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9.698509664913636E-8</v>
      </c>
      <c r="J96" s="67" t="s">
        <v>231</v>
      </c>
      <c r="K96" s="68">
        <v>9.1742870712128684E-4</v>
      </c>
      <c r="L96" s="67" t="s">
        <v>231</v>
      </c>
      <c r="M96" s="68">
        <v>1.8029621684151663E-3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3.4512941353384538E-8</v>
      </c>
      <c r="J97" s="67" t="s">
        <v>231</v>
      </c>
      <c r="K97" s="68">
        <v>1.058546912443712E-3</v>
      </c>
      <c r="L97" s="67" t="s">
        <v>231</v>
      </c>
      <c r="M97" s="68">
        <v>7.0030703360362059E-3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3.5349441816734663E-5</v>
      </c>
      <c r="J98" s="67" t="s">
        <v>231</v>
      </c>
      <c r="K98" s="68">
        <v>8.4394946439873372E-2</v>
      </c>
      <c r="L98" s="67" t="s">
        <v>231</v>
      </c>
      <c r="M98" s="68">
        <v>2.7118178691550785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4.1870648974154347E-8</v>
      </c>
      <c r="J99" s="67" t="s">
        <v>231</v>
      </c>
      <c r="K99" s="68">
        <v>8.8279731247162144E-4</v>
      </c>
      <c r="L99" s="67" t="s">
        <v>231</v>
      </c>
      <c r="M99" s="68">
        <v>1.7768529299143687E-4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6.5344059502245961E-5</v>
      </c>
      <c r="J100" s="67" t="s">
        <v>231</v>
      </c>
      <c r="K100" s="68">
        <v>1.1283989257525773E-2</v>
      </c>
      <c r="L100" s="67" t="s">
        <v>231</v>
      </c>
      <c r="M100" s="68">
        <v>0.33830695940073385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1.3057707157109371E-5</v>
      </c>
      <c r="J101" s="67" t="s">
        <v>231</v>
      </c>
      <c r="K101" s="68">
        <v>8.8691572991450628E-4</v>
      </c>
      <c r="L101" s="67" t="s">
        <v>231</v>
      </c>
      <c r="M101" s="68">
        <v>4.5037094075497995E-4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6.4344282082725827E-11</v>
      </c>
      <c r="J102" s="67" t="s">
        <v>231</v>
      </c>
      <c r="K102" s="68">
        <v>8.823464882768172E-4</v>
      </c>
      <c r="L102" s="67" t="s">
        <v>231</v>
      </c>
      <c r="M102" s="68">
        <v>3.8123373087464928E-5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9.159874758446445E-9</v>
      </c>
      <c r="J103" s="67" t="s">
        <v>231</v>
      </c>
      <c r="K103" s="68">
        <v>8.8269552305326321E-4</v>
      </c>
      <c r="L103" s="67" t="s">
        <v>231</v>
      </c>
      <c r="M103" s="68">
        <v>1.6763629377422752E-4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4.2165416831000702E-7</v>
      </c>
      <c r="J104" s="67" t="s">
        <v>231</v>
      </c>
      <c r="K104" s="68">
        <v>9.706698961072436E-4</v>
      </c>
      <c r="L104" s="67" t="s">
        <v>231</v>
      </c>
      <c r="M104" s="68">
        <v>3.8391613881599948E-3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5.78801534593898E-8</v>
      </c>
      <c r="J105" s="67" t="s">
        <v>231</v>
      </c>
      <c r="K105" s="68">
        <v>8.8221953172959368E-4</v>
      </c>
      <c r="L105" s="67" t="s">
        <v>231</v>
      </c>
      <c r="M105" s="68">
        <v>5.285945051376652E-5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5.1955522554347621E-7</v>
      </c>
      <c r="J106" s="67" t="s">
        <v>231</v>
      </c>
      <c r="K106" s="68">
        <v>1.9018640785121207E-3</v>
      </c>
      <c r="L106" s="67" t="s">
        <v>231</v>
      </c>
      <c r="M106" s="68">
        <v>3.5400774062673557E-2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2.7382484941924662E-4</v>
      </c>
      <c r="J107" s="67" t="s">
        <v>231</v>
      </c>
      <c r="K107" s="68">
        <v>9.2088518664158181E-2</v>
      </c>
      <c r="L107" s="67" t="s">
        <v>231</v>
      </c>
      <c r="M107" s="68">
        <v>2.9656263350696319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8.3335254134283564E-5</v>
      </c>
      <c r="J108" s="67" t="s">
        <v>231</v>
      </c>
      <c r="K108" s="68">
        <v>9.018432201225118E-3</v>
      </c>
      <c r="L108" s="67" t="s">
        <v>231</v>
      </c>
      <c r="M108" s="68">
        <v>0.26549012149599333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0.81325575522446769</v>
      </c>
      <c r="F2" s="14">
        <v>0.80860711959890175</v>
      </c>
      <c r="G2" s="14">
        <v>1.0507177006797945E-6</v>
      </c>
      <c r="H2" s="14">
        <v>10.925908543305505</v>
      </c>
      <c r="I2" s="14">
        <v>29.465562189310027</v>
      </c>
      <c r="J2" s="14">
        <v>0</v>
      </c>
      <c r="K2" s="14">
        <v>1.2366945278642067</v>
      </c>
      <c r="L2" s="14">
        <v>0.80860711959890175</v>
      </c>
      <c r="M2" s="14">
        <v>0.66346214163089889</v>
      </c>
      <c r="N2" s="14">
        <v>2.5035253196889049</v>
      </c>
      <c r="O2" s="14">
        <v>460.92404660792431</v>
      </c>
      <c r="P2" s="8">
        <v>2.5035253196889049</v>
      </c>
      <c r="Q2" s="54">
        <v>0.12575195098045738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0.47348500959677731</v>
      </c>
      <c r="F3" s="14">
        <v>3.4307099578645517E-3</v>
      </c>
      <c r="G3" s="14">
        <v>2.08023543908304E-4</v>
      </c>
      <c r="H3" s="14">
        <v>360.1504842848484</v>
      </c>
      <c r="I3" s="14">
        <v>9035.2708072658334</v>
      </c>
      <c r="J3" s="14">
        <v>0</v>
      </c>
      <c r="K3" s="14">
        <v>291.48485656958621</v>
      </c>
      <c r="L3" s="14">
        <v>3.4307099578645517E-3</v>
      </c>
      <c r="M3" s="14">
        <v>2.8148975204278647E-3</v>
      </c>
      <c r="N3" s="14">
        <v>568.58573787030775</v>
      </c>
      <c r="O3" s="14">
        <v>207482.62160625402</v>
      </c>
      <c r="P3" s="8">
        <v>568.58573787030775</v>
      </c>
      <c r="Q3" s="54">
        <v>0.28902883600100171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0.53493250320844932</v>
      </c>
      <c r="F4" s="14">
        <v>0.4919851421302584</v>
      </c>
      <c r="G4" s="14">
        <v>6.794859405314449E-14</v>
      </c>
      <c r="H4" s="14">
        <v>98.981034230525395</v>
      </c>
      <c r="I4" s="14">
        <v>218.78077585081263</v>
      </c>
      <c r="J4" s="14">
        <v>0</v>
      </c>
      <c r="K4" s="14">
        <v>2.0325817069801655</v>
      </c>
      <c r="L4" s="14">
        <v>0.49198514213025846</v>
      </c>
      <c r="M4" s="14">
        <v>0.40367380911787704</v>
      </c>
      <c r="N4" s="14">
        <v>13.820438926674589</v>
      </c>
      <c r="O4" s="14">
        <v>4385.501680212381</v>
      </c>
      <c r="P4" s="8">
        <v>13.820438926674591</v>
      </c>
      <c r="Q4" s="54">
        <v>0.31261452885159813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0.43747923022066076</v>
      </c>
      <c r="F5" s="14">
        <v>3.2258440182723738E-2</v>
      </c>
      <c r="G5" s="14">
        <v>6.1962916546126105E-6</v>
      </c>
      <c r="H5" s="14">
        <v>892.69553750320551</v>
      </c>
      <c r="I5" s="14">
        <v>2398.6149408718416</v>
      </c>
      <c r="J5" s="14">
        <v>0</v>
      </c>
      <c r="K5" s="14">
        <v>30.999638988606705</v>
      </c>
      <c r="L5" s="14">
        <v>3.2258440182723738E-2</v>
      </c>
      <c r="M5" s="14">
        <v>2.6468050169924828E-2</v>
      </c>
      <c r="N5" s="14">
        <v>149.20702574300876</v>
      </c>
      <c r="O5" s="14">
        <v>52310.491155241441</v>
      </c>
      <c r="P5" s="8">
        <v>149.20702574300878</v>
      </c>
      <c r="Q5" s="54">
        <v>0.36522503095032205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0.53347270517266843</v>
      </c>
      <c r="F6" s="14">
        <v>1.7077833338554941E-3</v>
      </c>
      <c r="G6" s="14">
        <v>7.5443401077259395E-7</v>
      </c>
      <c r="H6" s="14">
        <v>255.67765297409622</v>
      </c>
      <c r="I6" s="14">
        <v>11626.525320491099</v>
      </c>
      <c r="J6" s="14">
        <v>0</v>
      </c>
      <c r="K6" s="14">
        <v>585.55437342417349</v>
      </c>
      <c r="L6" s="14">
        <v>1.7077833338554941E-3</v>
      </c>
      <c r="M6" s="14">
        <v>1.401236225428433E-3</v>
      </c>
      <c r="N6" s="14">
        <v>733.97852896772474</v>
      </c>
      <c r="O6" s="14">
        <v>260188.04873376872</v>
      </c>
      <c r="P6" s="8">
        <v>733.97852896772474</v>
      </c>
      <c r="Q6" s="54">
        <v>0.24549912115484451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0.48932099600139606</v>
      </c>
      <c r="F7" s="14">
        <v>3.1588382419351479E-3</v>
      </c>
      <c r="G7" s="14">
        <v>1.0294751663893433E-6</v>
      </c>
      <c r="H7" s="14">
        <v>349.29099319872125</v>
      </c>
      <c r="I7" s="14">
        <v>9559.7064777348187</v>
      </c>
      <c r="J7" s="14">
        <v>0</v>
      </c>
      <c r="K7" s="14">
        <v>316.57208233220143</v>
      </c>
      <c r="L7" s="14">
        <v>3.1588382419351479E-3</v>
      </c>
      <c r="M7" s="14">
        <v>2.5918267775077888E-3</v>
      </c>
      <c r="N7" s="14">
        <v>601.86690464635979</v>
      </c>
      <c r="O7" s="14">
        <v>213355.79902808811</v>
      </c>
      <c r="P7" s="8">
        <v>601.8669046463599</v>
      </c>
      <c r="Q7" s="54">
        <v>0.2877693645936184</v>
      </c>
    </row>
    <row r="8" spans="1:20">
      <c r="A8" s="2" t="s">
        <v>323</v>
      </c>
      <c r="B8" s="16" t="s">
        <v>324</v>
      </c>
      <c r="D8" s="14">
        <v>1</v>
      </c>
      <c r="E8" s="14">
        <v>0.44608210443030977</v>
      </c>
      <c r="F8" s="14">
        <v>6.4573358151887592E-3</v>
      </c>
      <c r="G8" s="14">
        <v>8.9228144158630061E-6</v>
      </c>
      <c r="H8" s="14">
        <v>487.83546815474671</v>
      </c>
      <c r="I8" s="14">
        <v>7052.2961796670825</v>
      </c>
      <c r="J8" s="14">
        <v>0</v>
      </c>
      <c r="K8" s="14">
        <v>154.86262889531451</v>
      </c>
      <c r="L8" s="14">
        <v>6.4573358151887592E-3</v>
      </c>
      <c r="M8" s="14">
        <v>5.2982440363623772E-3</v>
      </c>
      <c r="N8" s="14">
        <v>442.50405364841077</v>
      </c>
      <c r="O8" s="14">
        <v>141618.99732963741</v>
      </c>
      <c r="P8" s="8">
        <v>442.50405364841077</v>
      </c>
      <c r="Q8" s="54">
        <v>0.33153588546400237</v>
      </c>
    </row>
    <row r="9" spans="1:20">
      <c r="A9" s="2" t="s">
        <v>325</v>
      </c>
      <c r="B9" s="16" t="s">
        <v>326</v>
      </c>
      <c r="D9" s="14">
        <v>1</v>
      </c>
      <c r="E9" s="14">
        <v>0.36694389217559659</v>
      </c>
      <c r="F9" s="14">
        <v>0.16686565408724774</v>
      </c>
      <c r="G9" s="14">
        <v>3.1546809471216243E-6</v>
      </c>
      <c r="H9" s="14">
        <v>475.47419865352128</v>
      </c>
      <c r="I9" s="14">
        <v>864.53807738640148</v>
      </c>
      <c r="J9" s="14">
        <v>0</v>
      </c>
      <c r="K9" s="14">
        <v>5.9928449953945444</v>
      </c>
      <c r="L9" s="14">
        <v>0.16686565408724777</v>
      </c>
      <c r="M9" s="14">
        <v>0.13691326917858679</v>
      </c>
      <c r="N9" s="14">
        <v>53.455812160851885</v>
      </c>
      <c r="O9" s="14">
        <v>16269.276431155273</v>
      </c>
      <c r="P9" s="8">
        <v>53.455812160851885</v>
      </c>
      <c r="Q9" s="54">
        <v>0.42206965166473415</v>
      </c>
    </row>
    <row r="10" spans="1:20">
      <c r="A10" s="2" t="s">
        <v>275</v>
      </c>
      <c r="B10" s="16" t="s">
        <v>276</v>
      </c>
      <c r="D10" s="14">
        <v>1</v>
      </c>
      <c r="E10" s="14">
        <v>0.43440228418394172</v>
      </c>
      <c r="F10" s="14">
        <v>2.9954342941369443E-2</v>
      </c>
      <c r="G10" s="14">
        <v>7.948922913267019E-8</v>
      </c>
      <c r="H10" s="14">
        <v>873.13178362120357</v>
      </c>
      <c r="I10" s="14">
        <v>2559.3929445879021</v>
      </c>
      <c r="J10" s="14">
        <v>0</v>
      </c>
      <c r="K10" s="14">
        <v>33.38414072234302</v>
      </c>
      <c r="L10" s="14">
        <v>2.9954342941369446E-2</v>
      </c>
      <c r="M10" s="14">
        <v>2.4577538383393629E-2</v>
      </c>
      <c r="N10" s="14">
        <v>159.27646443962868</v>
      </c>
      <c r="O10" s="14">
        <v>59010.337310238028</v>
      </c>
      <c r="P10" s="8">
        <v>159.27646443962868</v>
      </c>
      <c r="Q10" s="54">
        <v>0.3667220033156246</v>
      </c>
    </row>
    <row r="11" spans="1:20">
      <c r="A11" s="2" t="s">
        <v>327</v>
      </c>
      <c r="B11" s="16" t="s">
        <v>328</v>
      </c>
      <c r="D11" s="14">
        <v>1</v>
      </c>
      <c r="E11" s="14">
        <v>0.42954425786438505</v>
      </c>
      <c r="F11" s="14">
        <v>2.6391320619622918E-2</v>
      </c>
      <c r="G11" s="14">
        <v>4.1296154357104078E-6</v>
      </c>
      <c r="H11" s="14">
        <v>838.84384611016299</v>
      </c>
      <c r="I11" s="14">
        <v>2842.747547941914</v>
      </c>
      <c r="J11" s="14">
        <v>0</v>
      </c>
      <c r="K11" s="14">
        <v>37.891245171583542</v>
      </c>
      <c r="L11" s="14">
        <v>2.6391320619622918E-2</v>
      </c>
      <c r="M11" s="14">
        <v>2.1654078568400605E-2</v>
      </c>
      <c r="N11" s="14">
        <v>177.03788118997551</v>
      </c>
      <c r="O11" s="14">
        <v>67435.499324073578</v>
      </c>
      <c r="P11" s="8">
        <v>177.03788118997551</v>
      </c>
      <c r="Q11" s="54">
        <v>0.36807667203136796</v>
      </c>
    </row>
    <row r="12" spans="1:20">
      <c r="A12" s="2" t="s">
        <v>329</v>
      </c>
      <c r="B12" s="16" t="s">
        <v>330</v>
      </c>
      <c r="D12" s="14">
        <v>1</v>
      </c>
      <c r="E12" s="14">
        <v>0.37609632813544136</v>
      </c>
      <c r="F12" s="14">
        <v>0.1247491108343787</v>
      </c>
      <c r="G12" s="14">
        <v>1.9225867569401763E-6</v>
      </c>
      <c r="H12" s="14">
        <v>600.97645670028794</v>
      </c>
      <c r="I12" s="14">
        <v>1051.2708676052901</v>
      </c>
      <c r="J12" s="14">
        <v>0</v>
      </c>
      <c r="K12" s="14">
        <v>8.0160891994463608</v>
      </c>
      <c r="L12" s="14">
        <v>0.1247491108343787</v>
      </c>
      <c r="M12" s="14">
        <v>0.10235664543960774</v>
      </c>
      <c r="N12" s="14">
        <v>65.033855281753745</v>
      </c>
      <c r="O12" s="14">
        <v>17845.289889313226</v>
      </c>
      <c r="P12" s="8">
        <v>65.033855281753745</v>
      </c>
      <c r="Q12" s="54">
        <v>0.41487248203896732</v>
      </c>
    </row>
    <row r="13" spans="1:20">
      <c r="A13" s="2" t="s">
        <v>277</v>
      </c>
      <c r="B13" s="16" t="s">
        <v>278</v>
      </c>
      <c r="D13" s="14">
        <v>1</v>
      </c>
      <c r="E13" s="14">
        <v>0.36710264137145138</v>
      </c>
      <c r="F13" s="14">
        <v>0.16245003335141145</v>
      </c>
      <c r="G13" s="14">
        <v>4.9822818545107695E-6</v>
      </c>
      <c r="H13" s="14">
        <v>486.63103739766677</v>
      </c>
      <c r="I13" s="14">
        <v>881.57035113280335</v>
      </c>
      <c r="J13" s="14">
        <v>0</v>
      </c>
      <c r="K13" s="14">
        <v>6.1557389639730182</v>
      </c>
      <c r="L13" s="14">
        <v>0.16245003335141148</v>
      </c>
      <c r="M13" s="14">
        <v>0.13329025236483311</v>
      </c>
      <c r="N13" s="14">
        <v>54.510196020015336</v>
      </c>
      <c r="O13" s="14">
        <v>22181.834066424843</v>
      </c>
      <c r="P13" s="8">
        <v>54.510196020015336</v>
      </c>
      <c r="Q13" s="54">
        <v>0.42175182992771726</v>
      </c>
    </row>
    <row r="14" spans="1:20">
      <c r="A14" s="2" t="s">
        <v>331</v>
      </c>
      <c r="B14" s="16" t="s">
        <v>332</v>
      </c>
      <c r="D14" s="14">
        <v>1</v>
      </c>
      <c r="E14" s="14">
        <v>0.4220391746063421</v>
      </c>
      <c r="F14" s="14">
        <v>1.7571299069356394E-2</v>
      </c>
      <c r="G14" s="14">
        <v>2.761292150477975E-6</v>
      </c>
      <c r="H14" s="14">
        <v>730.43886109619893</v>
      </c>
      <c r="I14" s="14">
        <v>3880.9767537928496</v>
      </c>
      <c r="J14" s="14">
        <v>0</v>
      </c>
      <c r="K14" s="14">
        <v>56.910988541761142</v>
      </c>
      <c r="L14" s="14">
        <v>1.7571299069356394E-2</v>
      </c>
      <c r="M14" s="14">
        <v>1.4417250886406921E-2</v>
      </c>
      <c r="N14" s="14">
        <v>242.24808268839683</v>
      </c>
      <c r="O14" s="14">
        <v>92274.717176837235</v>
      </c>
      <c r="P14" s="8">
        <v>242.24808268839683</v>
      </c>
      <c r="Q14" s="54">
        <v>0.36706336482852397</v>
      </c>
    </row>
    <row r="15" spans="1:20">
      <c r="A15" s="2" t="s">
        <v>333</v>
      </c>
      <c r="B15" s="16" t="s">
        <v>334</v>
      </c>
      <c r="D15" s="14">
        <v>1</v>
      </c>
      <c r="E15" s="14">
        <v>0.43192290757084939</v>
      </c>
      <c r="F15" s="14">
        <v>2.8129975343090776E-2</v>
      </c>
      <c r="G15" s="14">
        <v>4.5010914755022135E-9</v>
      </c>
      <c r="H15" s="14">
        <v>856.22785341432279</v>
      </c>
      <c r="I15" s="14">
        <v>2698.6497492645008</v>
      </c>
      <c r="J15" s="14">
        <v>0</v>
      </c>
      <c r="K15" s="14">
        <v>35.549266851583567</v>
      </c>
      <c r="L15" s="14">
        <v>2.8129975343090776E-2</v>
      </c>
      <c r="M15" s="14">
        <v>2.3080644769005981E-2</v>
      </c>
      <c r="N15" s="14">
        <v>168.00310118471114</v>
      </c>
      <c r="O15" s="14">
        <v>64593.832343497743</v>
      </c>
      <c r="P15" s="8">
        <v>168.00310118471114</v>
      </c>
      <c r="Q15" s="54">
        <v>0.36757547088641435</v>
      </c>
    </row>
    <row r="16" spans="1:20">
      <c r="A16" s="2" t="s">
        <v>335</v>
      </c>
      <c r="B16" s="16" t="s">
        <v>336</v>
      </c>
      <c r="D16" s="14">
        <v>1</v>
      </c>
      <c r="E16" s="14">
        <v>0.444020237674008</v>
      </c>
      <c r="F16" s="14">
        <v>6.6523531128303455E-3</v>
      </c>
      <c r="G16" s="14">
        <v>2.308361283490889E-5</v>
      </c>
      <c r="H16" s="14">
        <v>493.94124708793913</v>
      </c>
      <c r="I16" s="14">
        <v>6936.373408923544</v>
      </c>
      <c r="J16" s="14">
        <v>0</v>
      </c>
      <c r="K16" s="14">
        <v>150.3227479117588</v>
      </c>
      <c r="L16" s="14">
        <v>6.6523531128303455E-3</v>
      </c>
      <c r="M16" s="14">
        <v>5.4582557290772989E-3</v>
      </c>
      <c r="N16" s="14">
        <v>435.16377186085947</v>
      </c>
      <c r="O16" s="14">
        <v>162455.33931109606</v>
      </c>
      <c r="P16" s="8">
        <v>435.16377186085953</v>
      </c>
      <c r="Q16" s="54">
        <v>0.33276103364947263</v>
      </c>
    </row>
    <row r="17" spans="1:21">
      <c r="A17" s="2" t="s">
        <v>337</v>
      </c>
      <c r="B17" s="16" t="s">
        <v>338</v>
      </c>
      <c r="D17" s="14">
        <v>1</v>
      </c>
      <c r="E17" s="14">
        <v>0.43651430164887034</v>
      </c>
      <c r="F17" s="14">
        <v>3.1481500567794765E-2</v>
      </c>
      <c r="G17" s="14">
        <v>1.5909770411738706E-6</v>
      </c>
      <c r="H17" s="14">
        <v>886.41158785908431</v>
      </c>
      <c r="I17" s="14">
        <v>2451.8426514978091</v>
      </c>
      <c r="J17" s="14">
        <v>0</v>
      </c>
      <c r="K17" s="14">
        <v>31.764686624340555</v>
      </c>
      <c r="L17" s="14">
        <v>3.1481500567794765E-2</v>
      </c>
      <c r="M17" s="14">
        <v>2.5830571215875602E-2</v>
      </c>
      <c r="N17" s="14">
        <v>152.53977873484351</v>
      </c>
      <c r="O17" s="14">
        <v>59386.786657049277</v>
      </c>
      <c r="P17" s="8">
        <v>152.53977873484354</v>
      </c>
      <c r="Q17" s="54">
        <v>0.36584118544131844</v>
      </c>
    </row>
    <row r="18" spans="1:21">
      <c r="A18" s="2" t="s">
        <v>279</v>
      </c>
      <c r="B18" s="16" t="s">
        <v>280</v>
      </c>
      <c r="D18" s="14">
        <v>1</v>
      </c>
      <c r="E18" s="14">
        <v>0.36487448277743556</v>
      </c>
      <c r="F18" s="14">
        <v>0.18616536932580649</v>
      </c>
      <c r="G18" s="14">
        <v>8.8297291915370469E-5</v>
      </c>
      <c r="H18" s="14">
        <v>423.56385883929084</v>
      </c>
      <c r="I18" s="14">
        <v>783.02579118923506</v>
      </c>
      <c r="J18" s="14">
        <v>0</v>
      </c>
      <c r="K18" s="14">
        <v>5.3715683191856591</v>
      </c>
      <c r="L18" s="14">
        <v>0.18616536932580652</v>
      </c>
      <c r="M18" s="14">
        <v>0.15274868553182425</v>
      </c>
      <c r="N18" s="14">
        <v>48.414567678270657</v>
      </c>
      <c r="O18" s="14">
        <v>14080.408717871454</v>
      </c>
      <c r="P18" s="8">
        <v>48.414567678270657</v>
      </c>
      <c r="Q18" s="54">
        <v>0.41877048699577563</v>
      </c>
    </row>
    <row r="19" spans="1:21">
      <c r="A19" s="2" t="s">
        <v>339</v>
      </c>
      <c r="B19" s="16" t="s">
        <v>340</v>
      </c>
      <c r="D19" s="14">
        <v>1</v>
      </c>
      <c r="E19" s="14">
        <v>0.43145740714271125</v>
      </c>
      <c r="F19" s="14">
        <v>2.7776654175201282E-2</v>
      </c>
      <c r="G19" s="14">
        <v>1.5772059961509552E-8</v>
      </c>
      <c r="H19" s="14">
        <v>852.82501742760871</v>
      </c>
      <c r="I19" s="14">
        <v>2727.2007180695723</v>
      </c>
      <c r="J19" s="14">
        <v>0</v>
      </c>
      <c r="K19" s="14">
        <v>36.001456247843919</v>
      </c>
      <c r="L19" s="14">
        <v>2.7776654175201282E-2</v>
      </c>
      <c r="M19" s="14">
        <v>2.2790744750752653E-2</v>
      </c>
      <c r="N19" s="14">
        <v>169.79278390468428</v>
      </c>
      <c r="O19" s="14">
        <v>58688.875756654124</v>
      </c>
      <c r="P19" s="8">
        <v>169.79278390468431</v>
      </c>
      <c r="Q19" s="54">
        <v>0.36771987394703454</v>
      </c>
    </row>
    <row r="20" spans="1:21">
      <c r="A20" s="2" t="s">
        <v>281</v>
      </c>
      <c r="B20" s="16" t="s">
        <v>282</v>
      </c>
      <c r="D20" s="14">
        <v>1</v>
      </c>
      <c r="E20" s="14">
        <v>0.36724239049370755</v>
      </c>
      <c r="F20" s="14">
        <v>0.16251187504638412</v>
      </c>
      <c r="G20" s="14">
        <v>7.5438594574089916E-7</v>
      </c>
      <c r="H20" s="14">
        <v>486.81628874885536</v>
      </c>
      <c r="I20" s="14">
        <v>881.90594850774369</v>
      </c>
      <c r="J20" s="14">
        <v>0</v>
      </c>
      <c r="K20" s="14">
        <v>6.1533964808084338</v>
      </c>
      <c r="L20" s="14">
        <v>0.16251187504638412</v>
      </c>
      <c r="M20" s="14">
        <v>0.13334099347555817</v>
      </c>
      <c r="N20" s="14">
        <v>54.530947034007916</v>
      </c>
      <c r="O20" s="14">
        <v>15882.683633125145</v>
      </c>
      <c r="P20" s="8">
        <v>54.530947034007923</v>
      </c>
      <c r="Q20" s="54">
        <v>0.42191238297582978</v>
      </c>
    </row>
    <row r="21" spans="1:21">
      <c r="A21" s="2" t="s">
        <v>341</v>
      </c>
      <c r="B21" s="16" t="s">
        <v>342</v>
      </c>
      <c r="D21" s="14">
        <v>1</v>
      </c>
      <c r="E21" s="14">
        <v>0.42232766726039339</v>
      </c>
      <c r="F21" s="14">
        <v>1.9787751646940119E-2</v>
      </c>
      <c r="G21" s="14">
        <v>2.3023160371177509E-5</v>
      </c>
      <c r="H21" s="14">
        <v>760.91553522858317</v>
      </c>
      <c r="I21" s="14">
        <v>3548.0817830455421</v>
      </c>
      <c r="J21" s="14">
        <v>0</v>
      </c>
      <c r="K21" s="14">
        <v>50.536312454408389</v>
      </c>
      <c r="L21" s="14">
        <v>1.9787751646940119E-2</v>
      </c>
      <c r="M21" s="14">
        <v>1.623585022631437E-2</v>
      </c>
      <c r="N21" s="14">
        <v>221.32096084685384</v>
      </c>
      <c r="O21" s="14">
        <v>74204.491752733142</v>
      </c>
      <c r="P21" s="8">
        <v>221.32096084685384</v>
      </c>
      <c r="Q21" s="54">
        <v>0.3676153368066577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0.66875286040980175</v>
      </c>
      <c r="F22" s="14">
        <v>0.65149938925416251</v>
      </c>
      <c r="G22" s="14">
        <v>2.5191991471794401E-5</v>
      </c>
      <c r="H22" s="14">
        <v>39.46699066170445</v>
      </c>
      <c r="I22" s="14">
        <v>95.299623240314943</v>
      </c>
      <c r="J22" s="14">
        <v>0</v>
      </c>
      <c r="K22" s="14">
        <v>1.5349208556354923</v>
      </c>
      <c r="L22" s="14">
        <v>0.65149938925416262</v>
      </c>
      <c r="M22" s="14">
        <v>0.5345552488830404</v>
      </c>
      <c r="N22" s="14">
        <v>6.3862699282738822</v>
      </c>
      <c r="O22" s="14">
        <v>1048.6255222225714</v>
      </c>
      <c r="P22" s="8">
        <v>6.3862699282738831</v>
      </c>
      <c r="Q22" s="54">
        <v>0.22145790323325035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0.76882123720916706</v>
      </c>
      <c r="F23" s="14">
        <v>0.76128451303325495</v>
      </c>
      <c r="G23" s="14">
        <v>9.921000753730699E-7</v>
      </c>
      <c r="H23" s="14">
        <v>17.39109770230225</v>
      </c>
      <c r="I23" s="14">
        <v>45.121566181444955</v>
      </c>
      <c r="J23" s="14">
        <v>0</v>
      </c>
      <c r="K23" s="14">
        <v>1.3135693461247613</v>
      </c>
      <c r="L23" s="14">
        <v>0.76128451303325495</v>
      </c>
      <c r="M23" s="14">
        <v>0.62463394294378571</v>
      </c>
      <c r="N23" s="14">
        <v>3.4162519041639974</v>
      </c>
      <c r="O23" s="14">
        <v>516.40063783342987</v>
      </c>
      <c r="P23" s="8">
        <v>3.4162519041639974</v>
      </c>
      <c r="Q23" s="54">
        <v>0.15566255899928988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0.418733351252988</v>
      </c>
      <c r="F24" s="14">
        <v>0.32379047981047454</v>
      </c>
      <c r="G24" s="14">
        <v>1.490845239976329E-6</v>
      </c>
      <c r="H24" s="14">
        <v>221.82172350582988</v>
      </c>
      <c r="I24" s="14">
        <v>447.98270328609487</v>
      </c>
      <c r="J24" s="14">
        <v>0</v>
      </c>
      <c r="K24" s="14">
        <v>3.088416931175165</v>
      </c>
      <c r="L24" s="14">
        <v>0.32379047981047454</v>
      </c>
      <c r="M24" s="14">
        <v>0.26567008868449438</v>
      </c>
      <c r="N24" s="14">
        <v>27.793357665220924</v>
      </c>
      <c r="O24" s="14">
        <v>4898.5792884951879</v>
      </c>
      <c r="P24" s="8">
        <v>27.793357665220924</v>
      </c>
      <c r="Q24" s="54">
        <v>0.38963794675654118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0.38784165839764656</v>
      </c>
      <c r="F25" s="14">
        <v>7.8706737567368776E-2</v>
      </c>
      <c r="G25" s="14">
        <v>5.5651951597672261E-4</v>
      </c>
      <c r="H25" s="14">
        <v>744.82099675098254</v>
      </c>
      <c r="I25" s="14">
        <v>1239.678535999615</v>
      </c>
      <c r="J25" s="14">
        <v>0</v>
      </c>
      <c r="K25" s="14">
        <v>12.705392586550207</v>
      </c>
      <c r="L25" s="14">
        <v>7.8706737567368776E-2</v>
      </c>
      <c r="M25" s="14">
        <v>6.4578878174026078E-2</v>
      </c>
      <c r="N25" s="14">
        <v>76.782877735912592</v>
      </c>
      <c r="O25" s="14">
        <v>14765.347388615994</v>
      </c>
      <c r="P25" s="8">
        <v>76.782877735912592</v>
      </c>
      <c r="Q25" s="54">
        <v>0.37214233803995883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0.42373035579659407</v>
      </c>
      <c r="F26" s="14">
        <v>2.1428787577173408E-2</v>
      </c>
      <c r="G26" s="14">
        <v>1.8467414091553278E-5</v>
      </c>
      <c r="H26" s="14">
        <v>782.30769069285088</v>
      </c>
      <c r="I26" s="14">
        <v>3343.7574769630819</v>
      </c>
      <c r="J26" s="14">
        <v>0</v>
      </c>
      <c r="K26" s="14">
        <v>46.666195947792687</v>
      </c>
      <c r="L26" s="14">
        <v>2.1428787577173408E-2</v>
      </c>
      <c r="M26" s="14">
        <v>1.7582320207070779E-2</v>
      </c>
      <c r="N26" s="14">
        <v>208.4832429846177</v>
      </c>
      <c r="O26" s="14">
        <v>46360.418742489441</v>
      </c>
      <c r="P26" s="8">
        <v>208.4832429846177</v>
      </c>
      <c r="Q26" s="54">
        <v>0.36815844796919073</v>
      </c>
    </row>
    <row r="27" spans="1:21">
      <c r="A27" s="2" t="s">
        <v>353</v>
      </c>
      <c r="B27" s="16" t="s">
        <v>354</v>
      </c>
      <c r="D27" s="14">
        <v>1</v>
      </c>
      <c r="E27" s="14">
        <v>0.47086427757162685</v>
      </c>
      <c r="F27" s="14">
        <v>3.7517900823649986E-3</v>
      </c>
      <c r="G27" s="14">
        <v>1.4343892399764138E-4</v>
      </c>
      <c r="H27" s="14">
        <v>377.17120652784143</v>
      </c>
      <c r="I27" s="14">
        <v>8800.2640205882071</v>
      </c>
      <c r="J27" s="14">
        <v>0</v>
      </c>
      <c r="K27" s="14">
        <v>266.53943265653993</v>
      </c>
      <c r="L27" s="14">
        <v>3.7517900823649986E-3</v>
      </c>
      <c r="M27" s="14">
        <v>3.0783437625804817E-3</v>
      </c>
      <c r="N27" s="14">
        <v>553.58341119168324</v>
      </c>
      <c r="O27" s="14">
        <v>130861.58257160199</v>
      </c>
      <c r="P27" s="8">
        <v>553.58341119168324</v>
      </c>
      <c r="Q27" s="54">
        <v>0.29613906564868109</v>
      </c>
    </row>
    <row r="28" spans="1:21">
      <c r="A28" s="2" t="s">
        <v>355</v>
      </c>
      <c r="B28" s="16" t="s">
        <v>356</v>
      </c>
      <c r="D28" s="14">
        <v>1</v>
      </c>
      <c r="E28" s="14">
        <v>0.42452544948442256</v>
      </c>
      <c r="F28" s="14">
        <v>1.2072651347285916E-2</v>
      </c>
      <c r="G28" s="14">
        <v>7.0750766009330187E-6</v>
      </c>
      <c r="H28" s="14">
        <v>634.01956317046336</v>
      </c>
      <c r="I28" s="14">
        <v>4983.7910903590009</v>
      </c>
      <c r="J28" s="14">
        <v>0</v>
      </c>
      <c r="K28" s="14">
        <v>82.831846231094275</v>
      </c>
      <c r="L28" s="14">
        <v>1.2072651347285916E-2</v>
      </c>
      <c r="M28" s="14">
        <v>9.9056104304480943E-3</v>
      </c>
      <c r="N28" s="14">
        <v>311.71608508185113</v>
      </c>
      <c r="O28" s="14">
        <v>80547.436385150329</v>
      </c>
      <c r="P28" s="8">
        <v>311.71608508185113</v>
      </c>
      <c r="Q28" s="54">
        <v>0.35855834065427317</v>
      </c>
    </row>
    <row r="29" spans="1:21">
      <c r="A29" s="2" t="s">
        <v>357</v>
      </c>
      <c r="B29" s="16" t="s">
        <v>358</v>
      </c>
      <c r="D29" s="14">
        <v>1</v>
      </c>
      <c r="E29" s="14">
        <v>0.37390641781492023</v>
      </c>
      <c r="F29" s="14">
        <v>1.6200291727773933E-2</v>
      </c>
      <c r="G29" s="14">
        <v>1.2754144200481127E-3</v>
      </c>
      <c r="H29" s="14">
        <v>656.17976731961903</v>
      </c>
      <c r="I29" s="14">
        <v>3337.9513756615443</v>
      </c>
      <c r="J29" s="14">
        <v>0</v>
      </c>
      <c r="K29" s="14">
        <v>61.727283483765326</v>
      </c>
      <c r="L29" s="14">
        <v>1.6200291727773933E-2</v>
      </c>
      <c r="M29" s="14">
        <v>1.3292339362638513E-2</v>
      </c>
      <c r="N29" s="14">
        <v>208.30626147677398</v>
      </c>
      <c r="O29" s="14">
        <v>49241.517150494605</v>
      </c>
      <c r="P29" s="8">
        <v>208.30626147677401</v>
      </c>
      <c r="Q29" s="54">
        <v>0.32544680024745087</v>
      </c>
    </row>
    <row r="30" spans="1:21">
      <c r="A30" s="2" t="s">
        <v>359</v>
      </c>
      <c r="B30" s="16" t="s">
        <v>360</v>
      </c>
      <c r="D30" s="14">
        <v>1</v>
      </c>
      <c r="E30" s="14">
        <v>0.42452544948442256</v>
      </c>
      <c r="F30" s="14">
        <v>1.2072651347285916E-2</v>
      </c>
      <c r="G30" s="14">
        <v>7.0750766009330187E-6</v>
      </c>
      <c r="H30" s="14">
        <v>634.01956317046336</v>
      </c>
      <c r="I30" s="14">
        <v>4983.7910903590009</v>
      </c>
      <c r="J30" s="14">
        <v>0</v>
      </c>
      <c r="K30" s="14">
        <v>82.831846231094275</v>
      </c>
      <c r="L30" s="14">
        <v>1.2072651347285916E-2</v>
      </c>
      <c r="M30" s="14">
        <v>9.9056104304480943E-3</v>
      </c>
      <c r="N30" s="14">
        <v>311.71608508185113</v>
      </c>
      <c r="O30" s="14">
        <v>80547.436385150329</v>
      </c>
      <c r="P30" s="8">
        <v>311.71608508185113</v>
      </c>
      <c r="Q30" s="54">
        <v>0.35855834065427317</v>
      </c>
    </row>
    <row r="31" spans="1:21">
      <c r="A31" s="2" t="s">
        <v>283</v>
      </c>
      <c r="B31" s="16" t="s">
        <v>284</v>
      </c>
      <c r="D31" s="14">
        <v>1</v>
      </c>
      <c r="E31" s="14">
        <v>0.97656777187384181</v>
      </c>
      <c r="F31" s="14">
        <v>0.97686468578178687</v>
      </c>
      <c r="G31" s="14">
        <v>2.9049783333933473E-10</v>
      </c>
      <c r="H31" s="14">
        <v>0.1701823082593644</v>
      </c>
      <c r="I31" s="14">
        <v>0.63237046900136862</v>
      </c>
      <c r="J31" s="14">
        <v>0</v>
      </c>
      <c r="K31" s="14">
        <v>1.0236832332614194</v>
      </c>
      <c r="L31" s="14">
        <v>0.97686468578178687</v>
      </c>
      <c r="M31" s="14">
        <v>0.80151747468395618</v>
      </c>
      <c r="N31" s="14">
        <v>0.90141753454234708</v>
      </c>
      <c r="O31" s="14">
        <v>175.04627103277838</v>
      </c>
      <c r="P31" s="8">
        <v>0.90141753454234708</v>
      </c>
      <c r="Q31" s="54">
        <v>1.5731552380399222E-2</v>
      </c>
    </row>
    <row r="32" spans="1:21">
      <c r="A32" s="2" t="s">
        <v>361</v>
      </c>
      <c r="B32" s="16" t="s">
        <v>362</v>
      </c>
      <c r="D32" s="14">
        <v>1</v>
      </c>
      <c r="E32" s="14">
        <v>0.58760610304545469</v>
      </c>
      <c r="F32" s="14">
        <v>0.55674562513533676</v>
      </c>
      <c r="G32" s="14">
        <v>3.0271861742638414E-10</v>
      </c>
      <c r="H32" s="14">
        <v>70.857974479247886</v>
      </c>
      <c r="I32" s="14">
        <v>161.75920746953028</v>
      </c>
      <c r="J32" s="14">
        <v>0</v>
      </c>
      <c r="K32" s="14">
        <v>1.7961524165671074</v>
      </c>
      <c r="L32" s="14">
        <v>0.55674562513533676</v>
      </c>
      <c r="M32" s="14">
        <v>0.45680978542354378</v>
      </c>
      <c r="N32" s="14">
        <v>10.473855621526885</v>
      </c>
      <c r="O32" s="14">
        <v>2682.2496861168197</v>
      </c>
      <c r="P32" s="8">
        <v>10.473855621526885</v>
      </c>
      <c r="Q32" s="54">
        <v>0.27737608269792774</v>
      </c>
    </row>
    <row r="33" spans="1:17">
      <c r="A33" s="2" t="s">
        <v>364</v>
      </c>
      <c r="B33" s="16" t="s">
        <v>365</v>
      </c>
      <c r="D33" s="14">
        <v>1</v>
      </c>
      <c r="E33" s="14">
        <v>0.99981828406155293</v>
      </c>
      <c r="F33" s="14">
        <v>0.99978761896075408</v>
      </c>
      <c r="G33" s="14">
        <v>1.34150436117918E-12</v>
      </c>
      <c r="H33" s="14">
        <v>1.1945594114990443</v>
      </c>
      <c r="I33" s="14">
        <v>3.3821798072362656E-3</v>
      </c>
      <c r="J33" s="14">
        <v>0</v>
      </c>
      <c r="K33" s="14">
        <v>1.0002124261545333</v>
      </c>
      <c r="L33" s="14">
        <v>0.99978761896075408</v>
      </c>
      <c r="M33" s="14">
        <v>0.82032574135729874</v>
      </c>
      <c r="N33" s="14">
        <v>0.88987173426775457</v>
      </c>
      <c r="O33" s="14">
        <v>263.53551410339549</v>
      </c>
      <c r="P33" s="8">
        <v>0.88987173426775457</v>
      </c>
      <c r="Q33" s="54">
        <v>3.8565298066948288E-5</v>
      </c>
    </row>
    <row r="34" spans="1:17">
      <c r="A34" s="2" t="s">
        <v>285</v>
      </c>
      <c r="B34" s="16" t="s">
        <v>286</v>
      </c>
      <c r="D34" s="14">
        <v>1</v>
      </c>
      <c r="E34" s="14">
        <v>0.99945069969227007</v>
      </c>
      <c r="F34" s="14">
        <v>0.92382533993995164</v>
      </c>
      <c r="G34" s="14">
        <v>6.7013858576005495E-12</v>
      </c>
      <c r="H34" s="14">
        <v>215.94834026363986</v>
      </c>
      <c r="I34" s="14">
        <v>0.16420485477481236</v>
      </c>
      <c r="J34" s="14">
        <v>0</v>
      </c>
      <c r="K34" s="14">
        <v>1.0824556945634329</v>
      </c>
      <c r="L34" s="14">
        <v>0.92382533993995175</v>
      </c>
      <c r="M34" s="14">
        <v>0.7579986914207304</v>
      </c>
      <c r="N34" s="14">
        <v>1.5871317301028693</v>
      </c>
      <c r="O34" s="14">
        <v>350.81959762193821</v>
      </c>
      <c r="P34" s="8">
        <v>1.5871317301028693</v>
      </c>
      <c r="Q34" s="54">
        <v>2.2079335211378434E-4</v>
      </c>
    </row>
    <row r="35" spans="1:17">
      <c r="A35" s="2" t="s">
        <v>287</v>
      </c>
      <c r="B35" s="16" t="s">
        <v>288</v>
      </c>
      <c r="D35" s="14">
        <v>1</v>
      </c>
      <c r="E35" s="14">
        <v>0.99846627417762679</v>
      </c>
      <c r="F35" s="14">
        <v>0.8271571085340057</v>
      </c>
      <c r="G35" s="14">
        <v>2.9522446277958445E-13</v>
      </c>
      <c r="H35" s="14">
        <v>487.71712650741352</v>
      </c>
      <c r="I35" s="14">
        <v>0.87449422219679773</v>
      </c>
      <c r="J35" s="14">
        <v>0</v>
      </c>
      <c r="K35" s="14">
        <v>1.2089601717530163</v>
      </c>
      <c r="L35" s="14">
        <v>0.82715710853400581</v>
      </c>
      <c r="M35" s="14">
        <v>0.6786824075521517</v>
      </c>
      <c r="N35" s="14">
        <v>2.4020530159666817</v>
      </c>
      <c r="O35" s="14">
        <v>553.09672745648811</v>
      </c>
      <c r="P35" s="8">
        <v>2.4020530159666817</v>
      </c>
      <c r="Q35" s="54">
        <v>8.0827090215826567E-4</v>
      </c>
    </row>
    <row r="36" spans="1:17">
      <c r="A36" s="2" t="s">
        <v>366</v>
      </c>
      <c r="B36" s="16" t="s">
        <v>305</v>
      </c>
      <c r="D36" s="14">
        <v>1</v>
      </c>
      <c r="E36" s="14">
        <v>0.99670530434295601</v>
      </c>
      <c r="F36" s="14">
        <v>0.54745311319594525</v>
      </c>
      <c r="G36" s="14">
        <v>1.0326862731144155E-9</v>
      </c>
      <c r="H36" s="14">
        <v>1277.1059545356356</v>
      </c>
      <c r="I36" s="14">
        <v>3.3855585484476616</v>
      </c>
      <c r="J36" s="14">
        <v>0</v>
      </c>
      <c r="K36" s="14">
        <v>1.8266404480963805</v>
      </c>
      <c r="L36" s="14">
        <v>0.54745311319594525</v>
      </c>
      <c r="M36" s="14">
        <v>0.44918527937727304</v>
      </c>
      <c r="N36" s="14">
        <v>4.5658819532743742</v>
      </c>
      <c r="O36" s="14">
        <v>941.85012932143786</v>
      </c>
      <c r="P36" s="8">
        <v>4.5658819532743742</v>
      </c>
      <c r="Q36" s="54">
        <v>1.7923809882291327E-3</v>
      </c>
    </row>
    <row r="37" spans="1:17">
      <c r="A37" s="2" t="s">
        <v>289</v>
      </c>
      <c r="B37" s="16" t="s">
        <v>290</v>
      </c>
      <c r="D37" s="14">
        <v>1</v>
      </c>
      <c r="E37" s="14">
        <v>0.79740339477502908</v>
      </c>
      <c r="F37" s="14">
        <v>0.59302787821315905</v>
      </c>
      <c r="G37" s="14">
        <v>1.3221398377921128E-16</v>
      </c>
      <c r="H37" s="14">
        <v>562.334993474454</v>
      </c>
      <c r="I37" s="14">
        <v>177.75680120686107</v>
      </c>
      <c r="J37" s="14">
        <v>0</v>
      </c>
      <c r="K37" s="14">
        <v>1.6862613660138219</v>
      </c>
      <c r="L37" s="14">
        <v>0.59302787821315905</v>
      </c>
      <c r="M37" s="14">
        <v>0.48657937407389701</v>
      </c>
      <c r="N37" s="14">
        <v>12.969135015718098</v>
      </c>
      <c r="O37" s="14">
        <v>4518.7060221765005</v>
      </c>
      <c r="P37" s="8">
        <v>12.9691350157181</v>
      </c>
      <c r="Q37" s="54">
        <v>0.13552712526786204</v>
      </c>
    </row>
    <row r="38" spans="1:17">
      <c r="A38" s="2" t="s">
        <v>291</v>
      </c>
      <c r="B38" s="16" t="s">
        <v>292</v>
      </c>
      <c r="D38" s="14">
        <v>1</v>
      </c>
      <c r="E38" s="14">
        <v>0.99691894222145283</v>
      </c>
      <c r="F38" s="14">
        <v>0.9386047745501519</v>
      </c>
      <c r="G38" s="14">
        <v>2.0466333840727223E-14</v>
      </c>
      <c r="H38" s="14">
        <v>166.64134378519853</v>
      </c>
      <c r="I38" s="14">
        <v>1.2890252428272024</v>
      </c>
      <c r="J38" s="14">
        <v>0</v>
      </c>
      <c r="K38" s="14">
        <v>1.0654111582580359</v>
      </c>
      <c r="L38" s="14">
        <v>0.9386047745501519</v>
      </c>
      <c r="M38" s="14">
        <v>0.77012521751839969</v>
      </c>
      <c r="N38" s="14">
        <v>1.5039794860635998</v>
      </c>
      <c r="O38" s="14">
        <v>463.72199493798968</v>
      </c>
      <c r="P38" s="8">
        <v>1.5039794860635998</v>
      </c>
      <c r="Q38" s="54">
        <v>1.9375879378429517E-3</v>
      </c>
    </row>
    <row r="39" spans="1:17">
      <c r="A39" s="2" t="s">
        <v>367</v>
      </c>
      <c r="B39" s="16" t="s">
        <v>368</v>
      </c>
      <c r="D39" s="14">
        <v>1</v>
      </c>
      <c r="E39" s="14">
        <v>0.46387984039679714</v>
      </c>
      <c r="F39" s="14">
        <v>4.9103890757777442E-2</v>
      </c>
      <c r="G39" s="14">
        <v>7.6296460799072476E-7</v>
      </c>
      <c r="H39" s="14">
        <v>1003.6352466859506</v>
      </c>
      <c r="I39" s="14">
        <v>1623.0543975212586</v>
      </c>
      <c r="J39" s="14">
        <v>0</v>
      </c>
      <c r="K39" s="14">
        <v>20.364985025990276</v>
      </c>
      <c r="L39" s="14">
        <v>4.9103890757777449E-2</v>
      </c>
      <c r="M39" s="14">
        <v>4.0289742366756393E-2</v>
      </c>
      <c r="N39" s="14">
        <v>100.72150673090054</v>
      </c>
      <c r="O39" s="14">
        <v>28034.824183478853</v>
      </c>
      <c r="P39" s="8">
        <v>100.72150673090054</v>
      </c>
      <c r="Q39" s="54">
        <v>0.35231657524615645</v>
      </c>
    </row>
    <row r="40" spans="1:17">
      <c r="A40" s="2" t="s">
        <v>369</v>
      </c>
      <c r="B40" s="16" t="s">
        <v>370</v>
      </c>
      <c r="D40" s="14">
        <v>1</v>
      </c>
      <c r="E40" s="14">
        <v>0.89360967547408399</v>
      </c>
      <c r="F40" s="14">
        <v>9.0760223148398031E-3</v>
      </c>
      <c r="G40" s="14">
        <v>9.213585418288218E-14</v>
      </c>
      <c r="H40" s="14">
        <v>2344.4207414476082</v>
      </c>
      <c r="I40" s="14">
        <v>1570.4262548646584</v>
      </c>
      <c r="J40" s="14">
        <v>0</v>
      </c>
      <c r="K40" s="14">
        <v>110.18042544529052</v>
      </c>
      <c r="L40" s="14">
        <v>9.0760223148398031E-3</v>
      </c>
      <c r="M40" s="14">
        <v>7.4468763093260585E-3</v>
      </c>
      <c r="N40" s="14">
        <v>574.58381352346748</v>
      </c>
      <c r="O40" s="14">
        <v>233798.15372269892</v>
      </c>
      <c r="P40" s="8">
        <v>574.58381352346748</v>
      </c>
      <c r="Q40" s="54">
        <v>1.7515298671428314E-2</v>
      </c>
    </row>
    <row r="41" spans="1:17">
      <c r="A41" s="2" t="s">
        <v>371</v>
      </c>
      <c r="B41" s="16" t="s">
        <v>372</v>
      </c>
      <c r="D41" s="14">
        <v>1</v>
      </c>
      <c r="E41" s="14">
        <v>0.9137832548909397</v>
      </c>
      <c r="F41" s="14">
        <v>0.91413543831145028</v>
      </c>
      <c r="G41" s="14">
        <v>9.0598088192664242E-4</v>
      </c>
      <c r="H41" s="14">
        <v>7.9230162301895234E-3</v>
      </c>
      <c r="I41" s="14">
        <v>3.6723808693776339E-2</v>
      </c>
      <c r="J41" s="14">
        <v>0</v>
      </c>
      <c r="K41" s="14">
        <v>1.0939298030575806</v>
      </c>
      <c r="L41" s="14">
        <v>0.91413543831145028</v>
      </c>
      <c r="M41" s="14">
        <v>0.75004812713454505</v>
      </c>
      <c r="N41" s="14">
        <v>0.8102321611026998</v>
      </c>
      <c r="O41" s="14">
        <v>113.58644666498748</v>
      </c>
      <c r="P41" s="8">
        <v>0.8102321611026998</v>
      </c>
      <c r="Q41" s="54">
        <v>3.0813974323479114E-3</v>
      </c>
    </row>
    <row r="42" spans="1:17">
      <c r="A42" s="2" t="s">
        <v>293</v>
      </c>
      <c r="B42" s="16" t="s">
        <v>294</v>
      </c>
      <c r="D42" s="14">
        <v>1</v>
      </c>
      <c r="E42" s="14">
        <v>0.64528753763540481</v>
      </c>
      <c r="F42" s="14">
        <v>0.62458223196931673</v>
      </c>
      <c r="G42" s="14">
        <v>2.3092880755659186E-10</v>
      </c>
      <c r="H42" s="14">
        <v>47.385953652586728</v>
      </c>
      <c r="I42" s="14">
        <v>112.53997027033905</v>
      </c>
      <c r="J42" s="14">
        <v>0</v>
      </c>
      <c r="K42" s="14">
        <v>1.6010702015121143</v>
      </c>
      <c r="L42" s="14">
        <v>0.62458223196931673</v>
      </c>
      <c r="M42" s="14">
        <v>0.51246972133082436</v>
      </c>
      <c r="N42" s="14">
        <v>7.4180854950501027</v>
      </c>
      <c r="O42" s="14">
        <v>2450.6387241447519</v>
      </c>
      <c r="P42" s="8">
        <v>7.4180854950501027</v>
      </c>
      <c r="Q42" s="54">
        <v>0.23872988898789457</v>
      </c>
    </row>
    <row r="43" spans="1:17">
      <c r="A43" s="2" t="s">
        <v>373</v>
      </c>
      <c r="B43" s="16" t="s">
        <v>374</v>
      </c>
      <c r="D43" s="14">
        <v>1</v>
      </c>
      <c r="E43" s="14">
        <v>0.99384324174426542</v>
      </c>
      <c r="F43" s="14">
        <v>8.151447612292706E-2</v>
      </c>
      <c r="G43" s="14">
        <v>4.4138499119314517E-9</v>
      </c>
      <c r="H43" s="14">
        <v>2590.9244046608906</v>
      </c>
      <c r="I43" s="14">
        <v>20.255281284802017</v>
      </c>
      <c r="J43" s="14">
        <v>0</v>
      </c>
      <c r="K43" s="14">
        <v>12.267759636852235</v>
      </c>
      <c r="L43" s="14">
        <v>8.1514476122927074E-2</v>
      </c>
      <c r="M43" s="14">
        <v>6.688262765886166E-2</v>
      </c>
      <c r="N43" s="14">
        <v>16.221228671329165</v>
      </c>
      <c r="O43" s="14">
        <v>4320.3620443218097</v>
      </c>
      <c r="P43" s="8">
        <v>16.221228671329165</v>
      </c>
      <c r="Q43" s="54">
        <v>2.6226375717980262E-3</v>
      </c>
    </row>
    <row r="44" spans="1:17">
      <c r="A44" s="2" t="s">
        <v>375</v>
      </c>
      <c r="B44" s="16" t="s">
        <v>376</v>
      </c>
      <c r="D44" s="14">
        <v>1</v>
      </c>
      <c r="E44" s="14">
        <v>0.78301487920381629</v>
      </c>
      <c r="F44" s="14">
        <v>0.78072700547995999</v>
      </c>
      <c r="G44" s="14">
        <v>9.6548979918369051E-4</v>
      </c>
      <c r="H44" s="14">
        <v>5.6457182641969226</v>
      </c>
      <c r="I44" s="14">
        <v>15.94323225256794</v>
      </c>
      <c r="J44" s="14">
        <v>0</v>
      </c>
      <c r="K44" s="14">
        <v>1.2808574482257591</v>
      </c>
      <c r="L44" s="14">
        <v>0.7807270054799601</v>
      </c>
      <c r="M44" s="14">
        <v>0.64058650799630723</v>
      </c>
      <c r="N44" s="14">
        <v>1.6562550162005105</v>
      </c>
      <c r="O44" s="14">
        <v>247.44449942035627</v>
      </c>
      <c r="P44" s="8">
        <v>1.6562550162005105</v>
      </c>
      <c r="Q44" s="54">
        <v>8.7654935137983697E-2</v>
      </c>
    </row>
    <row r="45" spans="1:17">
      <c r="A45" s="2" t="s">
        <v>377</v>
      </c>
      <c r="B45" s="16" t="s">
        <v>378</v>
      </c>
      <c r="D45" s="14">
        <v>1</v>
      </c>
      <c r="E45" s="14">
        <v>0.62218073957227638</v>
      </c>
      <c r="F45" s="14">
        <v>0.5979883714276778</v>
      </c>
      <c r="G45" s="14">
        <v>9.0169824916133801E-6</v>
      </c>
      <c r="H45" s="14">
        <v>55.415689178053434</v>
      </c>
      <c r="I45" s="14">
        <v>129.68504870814633</v>
      </c>
      <c r="J45" s="14">
        <v>0</v>
      </c>
      <c r="K45" s="14">
        <v>1.6722733213231762</v>
      </c>
      <c r="L45" s="14">
        <v>0.59798837142767791</v>
      </c>
      <c r="M45" s="14">
        <v>0.4906494587564097</v>
      </c>
      <c r="N45" s="14">
        <v>8.4451773540237678</v>
      </c>
      <c r="O45" s="14">
        <v>1876.8562151582423</v>
      </c>
      <c r="P45" s="8">
        <v>8.4451773540237696</v>
      </c>
      <c r="Q45" s="54">
        <v>0.25368214984239262</v>
      </c>
    </row>
    <row r="46" spans="1:17">
      <c r="A46" s="2" t="s">
        <v>379</v>
      </c>
      <c r="B46" s="16" t="s">
        <v>380</v>
      </c>
      <c r="D46" s="14">
        <v>1</v>
      </c>
      <c r="E46" s="14">
        <v>0.63531823251289798</v>
      </c>
      <c r="F46" s="14">
        <v>0.61340560189408655</v>
      </c>
      <c r="G46" s="14">
        <v>2.6657304050147621E-5</v>
      </c>
      <c r="H46" s="14">
        <v>50.163489307442894</v>
      </c>
      <c r="I46" s="14">
        <v>118.47996265060719</v>
      </c>
      <c r="J46" s="14">
        <v>0</v>
      </c>
      <c r="K46" s="14">
        <v>1.6302426924569633</v>
      </c>
      <c r="L46" s="14">
        <v>0.61340560189408666</v>
      </c>
      <c r="M46" s="14">
        <v>0.50329929635409809</v>
      </c>
      <c r="N46" s="14">
        <v>7.772172412369371</v>
      </c>
      <c r="O46" s="14">
        <v>999.1904853342063</v>
      </c>
      <c r="P46" s="8">
        <v>7.772172412369371</v>
      </c>
      <c r="Q46" s="54">
        <v>0.24380629153977848</v>
      </c>
    </row>
    <row r="47" spans="1:17">
      <c r="A47" s="2" t="s">
        <v>381</v>
      </c>
      <c r="B47" s="16" t="s">
        <v>382</v>
      </c>
      <c r="D47" s="14">
        <v>1</v>
      </c>
      <c r="E47" s="14">
        <v>0.48251867549832983</v>
      </c>
      <c r="F47" s="14">
        <v>3.4961648021285137E-3</v>
      </c>
      <c r="G47" s="14">
        <v>2.4906940535529432E-9</v>
      </c>
      <c r="H47" s="14">
        <v>367.02182991009289</v>
      </c>
      <c r="I47" s="14">
        <v>9207.6556054084413</v>
      </c>
      <c r="J47" s="14">
        <v>0</v>
      </c>
      <c r="K47" s="14">
        <v>286.02770652893309</v>
      </c>
      <c r="L47" s="14">
        <v>3.4961648021285142E-3</v>
      </c>
      <c r="M47" s="14">
        <v>2.8686032201464457E-3</v>
      </c>
      <c r="N47" s="14">
        <v>579.4338396859963</v>
      </c>
      <c r="O47" s="14">
        <v>226726.66713073349</v>
      </c>
      <c r="P47" s="8">
        <v>579.4338396859963</v>
      </c>
      <c r="Q47" s="54">
        <v>0.29454324487863698</v>
      </c>
    </row>
    <row r="48" spans="1:17">
      <c r="A48" s="2" t="s">
        <v>383</v>
      </c>
      <c r="B48" s="16" t="s">
        <v>384</v>
      </c>
      <c r="D48" s="14">
        <v>1</v>
      </c>
      <c r="E48" s="14">
        <v>0.91110649220816908</v>
      </c>
      <c r="F48" s="14">
        <v>0.91061839263911504</v>
      </c>
      <c r="G48" s="14">
        <v>1.3136053410952765E-4</v>
      </c>
      <c r="H48" s="14">
        <v>1.7940577468085233</v>
      </c>
      <c r="I48" s="14">
        <v>5.5756254106158361</v>
      </c>
      <c r="J48" s="14">
        <v>0</v>
      </c>
      <c r="K48" s="14">
        <v>1.0981548451946406</v>
      </c>
      <c r="L48" s="14">
        <v>0.91061839263911515</v>
      </c>
      <c r="M48" s="14">
        <v>0.74716239116039396</v>
      </c>
      <c r="N48" s="14">
        <v>1.1415662169564478</v>
      </c>
      <c r="O48" s="14">
        <v>106.31406178515398</v>
      </c>
      <c r="P48" s="8">
        <v>1.141566216956448</v>
      </c>
      <c r="Q48" s="54">
        <v>5.1915087304829639E-2</v>
      </c>
    </row>
    <row r="49" spans="1:17">
      <c r="A49" s="2" t="s">
        <v>385</v>
      </c>
      <c r="B49" s="16" t="s">
        <v>386</v>
      </c>
      <c r="D49" s="14">
        <v>1</v>
      </c>
      <c r="E49" s="14">
        <v>0.87533357067120032</v>
      </c>
      <c r="F49" s="14">
        <v>0.87417915666057899</v>
      </c>
      <c r="G49" s="14">
        <v>2.4673396332675063E-4</v>
      </c>
      <c r="H49" s="14">
        <v>3.2181067572115265</v>
      </c>
      <c r="I49" s="14">
        <v>9.5511929367545232</v>
      </c>
      <c r="J49" s="14">
        <v>0</v>
      </c>
      <c r="K49" s="14">
        <v>1.1439302714789779</v>
      </c>
      <c r="L49" s="14">
        <v>0.87417915666057899</v>
      </c>
      <c r="M49" s="14">
        <v>0.71726399804000507</v>
      </c>
      <c r="N49" s="14">
        <v>1.3504031131695076</v>
      </c>
      <c r="O49" s="14">
        <v>150.05679393539569</v>
      </c>
      <c r="P49" s="8">
        <v>1.3504031131695076</v>
      </c>
      <c r="Q49" s="54">
        <v>6.9033138430645027E-2</v>
      </c>
    </row>
    <row r="50" spans="1:17">
      <c r="A50" s="2" t="s">
        <v>387</v>
      </c>
      <c r="B50" s="16" t="s">
        <v>388</v>
      </c>
      <c r="D50" s="14">
        <v>1</v>
      </c>
      <c r="E50" s="14">
        <v>0.36252513597497116</v>
      </c>
      <c r="F50" s="14">
        <v>0.19167401406548781</v>
      </c>
      <c r="G50" s="14">
        <v>1.8553751078045154E-4</v>
      </c>
      <c r="H50" s="14">
        <v>404.57890813944414</v>
      </c>
      <c r="I50" s="14">
        <v>752.07371229854175</v>
      </c>
      <c r="J50" s="14">
        <v>0</v>
      </c>
      <c r="K50" s="14">
        <v>5.2171913072073366</v>
      </c>
      <c r="L50" s="14">
        <v>0.19167401406548784</v>
      </c>
      <c r="M50" s="14">
        <v>0.15726852854073275</v>
      </c>
      <c r="N50" s="14">
        <v>46.501885534896104</v>
      </c>
      <c r="O50" s="14">
        <v>9181.7972988652346</v>
      </c>
      <c r="P50" s="8">
        <v>46.501885534896104</v>
      </c>
      <c r="Q50" s="54">
        <v>0.41462970125393439</v>
      </c>
    </row>
    <row r="51" spans="1:17">
      <c r="A51" s="2" t="s">
        <v>295</v>
      </c>
      <c r="B51" s="16" t="s">
        <v>296</v>
      </c>
      <c r="D51" s="14">
        <v>1</v>
      </c>
      <c r="E51" s="14">
        <v>0.90493426107588437</v>
      </c>
      <c r="F51" s="14">
        <v>0.90514719372845343</v>
      </c>
      <c r="G51" s="14">
        <v>7.2688833091337968E-4</v>
      </c>
      <c r="H51" s="14">
        <v>0.28736853191045097</v>
      </c>
      <c r="I51" s="14">
        <v>1.0216364517567615</v>
      </c>
      <c r="J51" s="14">
        <v>0</v>
      </c>
      <c r="K51" s="14">
        <v>1.104792686679867</v>
      </c>
      <c r="L51" s="14">
        <v>0.90514719372845343</v>
      </c>
      <c r="M51" s="14">
        <v>0.74267327245419612</v>
      </c>
      <c r="N51" s="14">
        <v>0.86146800607808638</v>
      </c>
      <c r="O51" s="14">
        <v>50.034061793015255</v>
      </c>
      <c r="P51" s="8">
        <v>0.86146800607808649</v>
      </c>
      <c r="Q51" s="54">
        <v>1.9929498944215793E-2</v>
      </c>
    </row>
    <row r="52" spans="1:17">
      <c r="A52" s="2" t="s">
        <v>389</v>
      </c>
      <c r="B52" s="16" t="s">
        <v>390</v>
      </c>
      <c r="D52" s="14">
        <v>1</v>
      </c>
      <c r="E52" s="14">
        <v>0.75695316197792539</v>
      </c>
      <c r="F52" s="14">
        <v>0.75273795824977774</v>
      </c>
      <c r="G52" s="14">
        <v>7.9493625483752304E-4</v>
      </c>
      <c r="H52" s="14">
        <v>9.9198205704883087</v>
      </c>
      <c r="I52" s="14">
        <v>26.801616428184317</v>
      </c>
      <c r="J52" s="14">
        <v>0</v>
      </c>
      <c r="K52" s="14">
        <v>1.3284835566485067</v>
      </c>
      <c r="L52" s="14">
        <v>0.75273795824977785</v>
      </c>
      <c r="M52" s="14">
        <v>0.61762149474394268</v>
      </c>
      <c r="N52" s="14">
        <v>2.2923038016348851</v>
      </c>
      <c r="O52" s="14">
        <v>245.62035234517796</v>
      </c>
      <c r="P52" s="8">
        <v>2.2923038016348856</v>
      </c>
      <c r="Q52" s="54">
        <v>0.11554761547426626</v>
      </c>
    </row>
    <row r="53" spans="1:17">
      <c r="A53" s="2" t="s">
        <v>391</v>
      </c>
      <c r="B53" s="16" t="s">
        <v>392</v>
      </c>
      <c r="D53" s="14">
        <v>1</v>
      </c>
      <c r="E53" s="14">
        <v>0.55016248629769471</v>
      </c>
      <c r="F53" s="14">
        <v>0.51166518445123665</v>
      </c>
      <c r="G53" s="14">
        <v>2.943434356047885E-5</v>
      </c>
      <c r="H53" s="14">
        <v>88.598397548769555</v>
      </c>
      <c r="I53" s="14">
        <v>198.00813706330194</v>
      </c>
      <c r="J53" s="14">
        <v>0</v>
      </c>
      <c r="K53" s="14">
        <v>1.9544030557257961</v>
      </c>
      <c r="L53" s="14">
        <v>0.51166518445123665</v>
      </c>
      <c r="M53" s="14">
        <v>0.41982128384223966</v>
      </c>
      <c r="N53" s="14">
        <v>12.561618752721127</v>
      </c>
      <c r="O53" s="14">
        <v>2035.2334703158772</v>
      </c>
      <c r="P53" s="8">
        <v>12.561618752721127</v>
      </c>
      <c r="Q53" s="54">
        <v>0.30066511240562482</v>
      </c>
    </row>
    <row r="54" spans="1:17">
      <c r="A54" s="2" t="s">
        <v>393</v>
      </c>
      <c r="B54" s="16" t="s">
        <v>394</v>
      </c>
      <c r="D54" s="14">
        <v>1</v>
      </c>
      <c r="E54" s="14">
        <v>0.46326108884189771</v>
      </c>
      <c r="F54" s="14">
        <v>4.7001865855747999E-3</v>
      </c>
      <c r="G54" s="14">
        <v>1.1060215434010694E-5</v>
      </c>
      <c r="H54" s="14">
        <v>422.21640022522126</v>
      </c>
      <c r="I54" s="14">
        <v>8158.1609558373584</v>
      </c>
      <c r="J54" s="14">
        <v>0</v>
      </c>
      <c r="K54" s="14">
        <v>212.7575111739329</v>
      </c>
      <c r="L54" s="14">
        <v>4.7001865855747999E-3</v>
      </c>
      <c r="M54" s="14">
        <v>3.8565030934641234E-3</v>
      </c>
      <c r="N54" s="14">
        <v>512.67850946581279</v>
      </c>
      <c r="O54" s="14">
        <v>119654.03732422604</v>
      </c>
      <c r="P54" s="8">
        <v>512.67850946581279</v>
      </c>
      <c r="Q54" s="54">
        <v>0.31317873779958361</v>
      </c>
    </row>
    <row r="55" spans="1:17">
      <c r="A55" s="2" t="s">
        <v>395</v>
      </c>
      <c r="B55" s="16" t="s">
        <v>396</v>
      </c>
      <c r="D55" s="14">
        <v>1</v>
      </c>
      <c r="E55" s="14">
        <v>0.31502598993642261</v>
      </c>
      <c r="F55" s="14">
        <v>0.23507984475757657</v>
      </c>
      <c r="G55" s="14">
        <v>2.5394746560520316E-3</v>
      </c>
      <c r="H55" s="14">
        <v>187.11792604290076</v>
      </c>
      <c r="I55" s="14">
        <v>373.74256859452987</v>
      </c>
      <c r="J55" s="14">
        <v>0</v>
      </c>
      <c r="K55" s="14">
        <v>4.2538738318090976</v>
      </c>
      <c r="L55" s="14">
        <v>0.23507984475757657</v>
      </c>
      <c r="M55" s="14">
        <v>0.19288301262359156</v>
      </c>
      <c r="N55" s="14">
        <v>23.166552551107777</v>
      </c>
      <c r="O55" s="14">
        <v>2969.2570404754838</v>
      </c>
      <c r="P55" s="8">
        <v>23.166552551107781</v>
      </c>
      <c r="Q55" s="54">
        <v>0.30589513222167419</v>
      </c>
    </row>
    <row r="56" spans="1:17">
      <c r="A56" s="2" t="s">
        <v>397</v>
      </c>
      <c r="B56" s="16" t="s">
        <v>398</v>
      </c>
      <c r="D56" s="14">
        <v>1</v>
      </c>
      <c r="E56" s="14">
        <v>6.3804193880042936E-2</v>
      </c>
      <c r="F56" s="14">
        <v>2.2225062622895746E-2</v>
      </c>
      <c r="G56" s="14">
        <v>9.2153425013522423E-3</v>
      </c>
      <c r="H56" s="14">
        <v>99.33058502714178</v>
      </c>
      <c r="I56" s="14">
        <v>174.71901156869825</v>
      </c>
      <c r="J56" s="14">
        <v>0</v>
      </c>
      <c r="K56" s="14">
        <v>44.994248923727355</v>
      </c>
      <c r="L56" s="14">
        <v>2.2225062622895746E-2</v>
      </c>
      <c r="M56" s="14">
        <v>1.8235663882085959E-2</v>
      </c>
      <c r="N56" s="14">
        <v>10.807402927150459</v>
      </c>
      <c r="O56" s="14">
        <v>1961.0032611314507</v>
      </c>
      <c r="P56" s="8">
        <v>10.807402927150459</v>
      </c>
      <c r="Q56" s="54">
        <v>7.1078812597206664E-2</v>
      </c>
    </row>
    <row r="57" spans="1:17">
      <c r="A57" s="2" t="s">
        <v>399</v>
      </c>
      <c r="B57" s="16" t="s">
        <v>400</v>
      </c>
      <c r="D57" s="14">
        <v>1</v>
      </c>
      <c r="E57" s="14">
        <v>4.8985471085064368E-2</v>
      </c>
      <c r="F57" s="14">
        <v>3.3348620207147704E-2</v>
      </c>
      <c r="G57" s="14">
        <v>9.71373737377473E-3</v>
      </c>
      <c r="H57" s="14">
        <v>36.741583503615715</v>
      </c>
      <c r="I57" s="14">
        <v>71.649809581738566</v>
      </c>
      <c r="J57" s="14">
        <v>0</v>
      </c>
      <c r="K57" s="14">
        <v>29.986248120264573</v>
      </c>
      <c r="L57" s="14">
        <v>3.3348620207147704E-2</v>
      </c>
      <c r="M57" s="14">
        <v>2.7362542879964695E-2</v>
      </c>
      <c r="N57" s="14">
        <v>4.4350913120230455</v>
      </c>
      <c r="O57" s="14">
        <v>651.95842286738764</v>
      </c>
      <c r="P57" s="8">
        <v>4.4350913120230455</v>
      </c>
      <c r="Q57" s="54">
        <v>5.1406145431780431E-2</v>
      </c>
    </row>
    <row r="58" spans="1:17">
      <c r="A58" s="2" t="s">
        <v>297</v>
      </c>
      <c r="B58" s="16" t="s">
        <v>298</v>
      </c>
      <c r="D58" s="14">
        <v>1</v>
      </c>
      <c r="E58" s="14">
        <v>5.9560474629709328E-2</v>
      </c>
      <c r="F58" s="14">
        <v>5.9453650016912198E-2</v>
      </c>
      <c r="G58" s="14">
        <v>1.036112730801211E-2</v>
      </c>
      <c r="H58" s="14">
        <v>0.28104672071465925</v>
      </c>
      <c r="I58" s="14">
        <v>0.81890909219667907</v>
      </c>
      <c r="J58" s="14">
        <v>0</v>
      </c>
      <c r="K58" s="14">
        <v>16.819825186772213</v>
      </c>
      <c r="L58" s="14">
        <v>5.9453650016912198E-2</v>
      </c>
      <c r="M58" s="14">
        <v>4.8781719838876463E-2</v>
      </c>
      <c r="N58" s="14">
        <v>0.10211834567233313</v>
      </c>
      <c r="O58" s="14">
        <v>8.6729110979512534</v>
      </c>
      <c r="P58" s="8">
        <v>0.10211834567233315</v>
      </c>
      <c r="Q58" s="54">
        <v>5.3485454795445687E-3</v>
      </c>
    </row>
    <row r="59" spans="1:17">
      <c r="A59" s="2" t="s">
        <v>401</v>
      </c>
      <c r="B59" s="16" t="s">
        <v>402</v>
      </c>
      <c r="D59" s="14">
        <v>1</v>
      </c>
      <c r="E59" s="14">
        <v>1.8118481581628255E-2</v>
      </c>
      <c r="F59" s="14">
        <v>1.2622656259397295E-2</v>
      </c>
      <c r="G59" s="14">
        <v>1.0599350247904376E-2</v>
      </c>
      <c r="H59" s="14">
        <v>12.901813378835877</v>
      </c>
      <c r="I59" s="14">
        <v>25.299266298355494</v>
      </c>
      <c r="J59" s="14">
        <v>0</v>
      </c>
      <c r="K59" s="14">
        <v>79.222627904132423</v>
      </c>
      <c r="L59" s="14">
        <v>1.2622656259397295E-2</v>
      </c>
      <c r="M59" s="14">
        <v>1.035688946083548E-2</v>
      </c>
      <c r="N59" s="14">
        <v>1.56641865442706</v>
      </c>
      <c r="O59" s="14">
        <v>259.75920546363938</v>
      </c>
      <c r="P59" s="8">
        <v>1.56641865442706</v>
      </c>
      <c r="Q59" s="54">
        <v>1.8711470809366831E-2</v>
      </c>
    </row>
    <row r="60" spans="1:17">
      <c r="A60" s="2" t="s">
        <v>299</v>
      </c>
      <c r="B60" s="16" t="s">
        <v>300</v>
      </c>
      <c r="D60" s="14">
        <v>1</v>
      </c>
      <c r="E60" s="14">
        <v>5.3654231822509611E-4</v>
      </c>
      <c r="F60" s="14">
        <v>4.498782493332445E-4</v>
      </c>
      <c r="G60" s="14">
        <v>1.1097968406428911E-2</v>
      </c>
      <c r="H60" s="14">
        <v>0.20147213860500321</v>
      </c>
      <c r="I60" s="14">
        <v>0.41982874162598305</v>
      </c>
      <c r="J60" s="14">
        <v>0</v>
      </c>
      <c r="K60" s="14">
        <v>2222.8236227959005</v>
      </c>
      <c r="L60" s="14">
        <v>4.4987824933324455E-4</v>
      </c>
      <c r="M60" s="14">
        <v>3.6912510357792715E-4</v>
      </c>
      <c r="N60" s="14">
        <v>2.6143967867139947E-2</v>
      </c>
      <c r="O60" s="14">
        <v>2.1474655206068753</v>
      </c>
      <c r="P60" s="8">
        <v>2.6143967867139947E-2</v>
      </c>
      <c r="Q60" s="54">
        <v>4.3378263967826686E-4</v>
      </c>
    </row>
    <row r="61" spans="1:17">
      <c r="A61" s="2" t="s">
        <v>403</v>
      </c>
      <c r="B61" s="16" t="s">
        <v>404</v>
      </c>
      <c r="D61" s="14">
        <v>1</v>
      </c>
      <c r="E61" s="14">
        <v>0.48970066057537087</v>
      </c>
      <c r="F61" s="14">
        <v>0.43223598845707056</v>
      </c>
      <c r="G61" s="14">
        <v>7.5330250494697836E-46</v>
      </c>
      <c r="H61" s="14">
        <v>133.02734515761611</v>
      </c>
      <c r="I61" s="14">
        <v>284.96931252065127</v>
      </c>
      <c r="J61" s="14">
        <v>0</v>
      </c>
      <c r="K61" s="14">
        <v>2.3135509922939219</v>
      </c>
      <c r="L61" s="14">
        <v>0.43223598845707062</v>
      </c>
      <c r="M61" s="14">
        <v>0.35464962852902643</v>
      </c>
      <c r="N61" s="14">
        <v>17.838850208613536</v>
      </c>
      <c r="O61" s="14">
        <v>21453.179649380723</v>
      </c>
      <c r="P61" s="8">
        <v>17.838850208613536</v>
      </c>
      <c r="Q61" s="54">
        <v>0.34276628276691062</v>
      </c>
    </row>
    <row r="62" spans="1:17">
      <c r="A62" s="2" t="s">
        <v>405</v>
      </c>
      <c r="B62" s="16" t="s">
        <v>406</v>
      </c>
      <c r="D62" s="14">
        <v>1</v>
      </c>
      <c r="E62" s="14">
        <v>0.42229704795905526</v>
      </c>
      <c r="F62" s="14">
        <v>1.8056430298785182E-2</v>
      </c>
      <c r="G62" s="14">
        <v>5.5312130068004695E-9</v>
      </c>
      <c r="H62" s="14">
        <v>737.72057446304848</v>
      </c>
      <c r="I62" s="14">
        <v>3807.5802594731258</v>
      </c>
      <c r="J62" s="14">
        <v>0</v>
      </c>
      <c r="K62" s="14">
        <v>55.38193227856776</v>
      </c>
      <c r="L62" s="14">
        <v>1.8056430298785182E-2</v>
      </c>
      <c r="M62" s="14">
        <v>1.4815301060153243E-2</v>
      </c>
      <c r="N62" s="14">
        <v>237.63132736744234</v>
      </c>
      <c r="O62" s="14">
        <v>75771.125044382672</v>
      </c>
      <c r="P62" s="8">
        <v>237.63132736744237</v>
      </c>
      <c r="Q62" s="54">
        <v>0.36749299617022418</v>
      </c>
    </row>
    <row r="63" spans="1:17">
      <c r="A63" s="2" t="s">
        <v>407</v>
      </c>
      <c r="B63" s="16" t="s">
        <v>408</v>
      </c>
      <c r="D63" s="14">
        <v>1</v>
      </c>
      <c r="E63" s="14">
        <v>0.52024477189714224</v>
      </c>
      <c r="F63" s="14">
        <v>2.0440461832056511E-3</v>
      </c>
      <c r="G63" s="14">
        <v>1.6408889549055278E-6</v>
      </c>
      <c r="H63" s="14">
        <v>280.6407317179341</v>
      </c>
      <c r="I63" s="14">
        <v>11038.444408349018</v>
      </c>
      <c r="J63" s="14">
        <v>0</v>
      </c>
      <c r="K63" s="14">
        <v>489.22573678433872</v>
      </c>
      <c r="L63" s="14">
        <v>2.0440461832056511E-3</v>
      </c>
      <c r="M63" s="14">
        <v>1.6771398933202366E-3</v>
      </c>
      <c r="N63" s="14">
        <v>696.31239800246271</v>
      </c>
      <c r="O63" s="14">
        <v>338261.5998256164</v>
      </c>
      <c r="P63" s="8">
        <v>696.31239800246271</v>
      </c>
      <c r="Q63" s="54">
        <v>0.25793357335418582</v>
      </c>
    </row>
    <row r="64" spans="1:17">
      <c r="A64" s="2" t="s">
        <v>409</v>
      </c>
      <c r="B64" s="16" t="s">
        <v>410</v>
      </c>
      <c r="D64" s="14">
        <v>1</v>
      </c>
      <c r="E64" s="14">
        <v>0.58914429283249492</v>
      </c>
      <c r="F64" s="14">
        <v>7.9093931928439173E-4</v>
      </c>
      <c r="G64" s="14">
        <v>2.2687761780410838E-7</v>
      </c>
      <c r="H64" s="14">
        <v>168.87414599427598</v>
      </c>
      <c r="I64" s="14">
        <v>13919.394271746543</v>
      </c>
      <c r="J64" s="14">
        <v>0</v>
      </c>
      <c r="K64" s="14">
        <v>1264.3194940728924</v>
      </c>
      <c r="L64" s="14">
        <v>7.9093931928439173E-4</v>
      </c>
      <c r="M64" s="14">
        <v>6.4896571147284347E-4</v>
      </c>
      <c r="N64" s="14">
        <v>881.53976441195357</v>
      </c>
      <c r="O64" s="14">
        <v>497796.6895657861</v>
      </c>
      <c r="P64" s="8">
        <v>881.53976441195357</v>
      </c>
      <c r="Q64" s="54">
        <v>0.19400831178585468</v>
      </c>
    </row>
    <row r="65" spans="1:17">
      <c r="A65" s="2" t="s">
        <v>301</v>
      </c>
      <c r="B65" s="16" t="s">
        <v>302</v>
      </c>
      <c r="D65" s="14">
        <v>1</v>
      </c>
      <c r="E65" s="14">
        <v>0.66165235835426728</v>
      </c>
      <c r="F65" s="14">
        <v>2.4614362404546736E-4</v>
      </c>
      <c r="G65" s="14">
        <v>3.1068270535770426E-8</v>
      </c>
      <c r="H65" s="14">
        <v>86.833756737484265</v>
      </c>
      <c r="I65" s="14">
        <v>16601.440045166732</v>
      </c>
      <c r="J65" s="14">
        <v>0</v>
      </c>
      <c r="K65" s="14">
        <v>4062.668711724506</v>
      </c>
      <c r="L65" s="14">
        <v>2.4614362404546736E-4</v>
      </c>
      <c r="M65" s="14">
        <v>2.0196084352930597E-4</v>
      </c>
      <c r="N65" s="14">
        <v>1056.200631518823</v>
      </c>
      <c r="O65" s="14">
        <v>679749.60243288404</v>
      </c>
      <c r="P65" s="8">
        <v>1056.200631518823</v>
      </c>
      <c r="Q65" s="54">
        <v>0.12857181103490578</v>
      </c>
    </row>
    <row r="66" spans="1:17">
      <c r="A66" s="2" t="s">
        <v>303</v>
      </c>
      <c r="B66" s="16" t="s">
        <v>304</v>
      </c>
      <c r="D66" s="14">
        <v>1</v>
      </c>
      <c r="E66" s="14">
        <v>0.62204892210706686</v>
      </c>
      <c r="F66" s="14">
        <v>4.8310532989902482E-4</v>
      </c>
      <c r="G66" s="14">
        <v>2.839162934249085E-14</v>
      </c>
      <c r="H66" s="14">
        <v>128.07425223106404</v>
      </c>
      <c r="I66" s="14">
        <v>15171.167373841372</v>
      </c>
      <c r="J66" s="14">
        <v>0</v>
      </c>
      <c r="K66" s="14">
        <v>2069.941973542318</v>
      </c>
      <c r="L66" s="14">
        <v>4.8310532989902482E-4</v>
      </c>
      <c r="M66" s="14">
        <v>3.9638792318214986E-4</v>
      </c>
      <c r="N66" s="14">
        <v>962.70105958391923</v>
      </c>
      <c r="O66" s="14">
        <v>621240.62076009891</v>
      </c>
      <c r="P66" s="8">
        <v>962.70105958391923</v>
      </c>
      <c r="Q66" s="54">
        <v>0.16414172744532465</v>
      </c>
    </row>
    <row r="67" spans="1:17">
      <c r="A67" s="2" t="s">
        <v>411</v>
      </c>
      <c r="B67" s="16" t="s">
        <v>412</v>
      </c>
      <c r="D67" s="14">
        <v>1</v>
      </c>
      <c r="E67" s="14">
        <v>0.84036275867727528</v>
      </c>
      <c r="F67" s="14">
        <v>0.8373050123014748</v>
      </c>
      <c r="G67" s="14">
        <v>5.3163330317570753E-5</v>
      </c>
      <c r="H67" s="14">
        <v>7.3957750129179072</v>
      </c>
      <c r="I67" s="14">
        <v>20.579786348711288</v>
      </c>
      <c r="J67" s="14">
        <v>0</v>
      </c>
      <c r="K67" s="14">
        <v>1.194307910866711</v>
      </c>
      <c r="L67" s="14">
        <v>0.8373050123014748</v>
      </c>
      <c r="M67" s="14">
        <v>0.68700876259336008</v>
      </c>
      <c r="N67" s="14">
        <v>1.9879471459727447</v>
      </c>
      <c r="O67" s="14">
        <v>596.58293850642076</v>
      </c>
      <c r="P67" s="8">
        <v>1.9879471459727449</v>
      </c>
      <c r="Q67" s="54">
        <v>0.10433760457075232</v>
      </c>
    </row>
    <row r="68" spans="1:17">
      <c r="A68" s="2" t="s">
        <v>413</v>
      </c>
      <c r="B68" s="16" t="s">
        <v>414</v>
      </c>
      <c r="D68" s="14">
        <v>1</v>
      </c>
      <c r="E68" s="14">
        <v>0.78675303967491406</v>
      </c>
      <c r="F68" s="14">
        <v>0.78107477989444762</v>
      </c>
      <c r="G68" s="14">
        <v>1.1667588474499828E-4</v>
      </c>
      <c r="H68" s="14">
        <v>13.217600313148996</v>
      </c>
      <c r="I68" s="14">
        <v>35.059828381107458</v>
      </c>
      <c r="J68" s="14">
        <v>0</v>
      </c>
      <c r="K68" s="14">
        <v>1.2802871450223208</v>
      </c>
      <c r="L68" s="14">
        <v>0.78107477989444773</v>
      </c>
      <c r="M68" s="14">
        <v>0.64087185690339432</v>
      </c>
      <c r="N68" s="14">
        <v>2.8201720164604414</v>
      </c>
      <c r="O68" s="14">
        <v>925.43944720149375</v>
      </c>
      <c r="P68" s="8">
        <v>2.8201720164604414</v>
      </c>
      <c r="Q68" s="54">
        <v>0.13658713196561878</v>
      </c>
    </row>
    <row r="69" spans="1:17">
      <c r="A69" s="2" t="s">
        <v>415</v>
      </c>
      <c r="B69" s="16" t="s">
        <v>416</v>
      </c>
      <c r="D69" s="14">
        <v>1</v>
      </c>
      <c r="E69" s="14">
        <v>0.44008048206393202</v>
      </c>
      <c r="F69" s="14">
        <v>6.9395156384019965E-3</v>
      </c>
      <c r="G69" s="14">
        <v>6.7838720241649683E-5</v>
      </c>
      <c r="H69" s="14">
        <v>502.05252864905304</v>
      </c>
      <c r="I69" s="14">
        <v>6750.0397380637814</v>
      </c>
      <c r="J69" s="14">
        <v>0</v>
      </c>
      <c r="K69" s="14">
        <v>144.10227631251163</v>
      </c>
      <c r="L69" s="14">
        <v>6.9395156384019965E-3</v>
      </c>
      <c r="M69" s="14">
        <v>5.6938725813088379E-3</v>
      </c>
      <c r="N69" s="14">
        <v>423.37674152037886</v>
      </c>
      <c r="O69" s="14">
        <v>196480.67820477742</v>
      </c>
      <c r="P69" s="8">
        <v>423.37674152037886</v>
      </c>
      <c r="Q69" s="54">
        <v>0.33381537027848984</v>
      </c>
    </row>
    <row r="70" spans="1:17">
      <c r="A70" s="2" t="s">
        <v>417</v>
      </c>
      <c r="B70" s="16" t="s">
        <v>418</v>
      </c>
      <c r="D70" s="14">
        <v>1</v>
      </c>
      <c r="E70" s="14">
        <v>0.39064229453889893</v>
      </c>
      <c r="F70" s="14">
        <v>9.4265697698229525E-2</v>
      </c>
      <c r="G70" s="14">
        <v>1.2980223605221146E-4</v>
      </c>
      <c r="H70" s="14">
        <v>712.28481569185487</v>
      </c>
      <c r="I70" s="14">
        <v>1205.3435744009962</v>
      </c>
      <c r="J70" s="14">
        <v>0</v>
      </c>
      <c r="K70" s="14">
        <v>10.608312720511289</v>
      </c>
      <c r="L70" s="14">
        <v>9.4265697698229525E-2</v>
      </c>
      <c r="M70" s="14">
        <v>7.7345004961397332E-2</v>
      </c>
      <c r="N70" s="14">
        <v>74.621853316575411</v>
      </c>
      <c r="O70" s="14">
        <v>23434.99303407051</v>
      </c>
      <c r="P70" s="8">
        <v>74.621853316575425</v>
      </c>
      <c r="Q70" s="54">
        <v>0.3963792002076551</v>
      </c>
    </row>
    <row r="71" spans="1:17">
      <c r="A71" s="2" t="s">
        <v>419</v>
      </c>
      <c r="B71" s="16" t="s">
        <v>420</v>
      </c>
      <c r="D71" s="14">
        <v>1</v>
      </c>
      <c r="E71" s="14">
        <v>0.78275154955444037</v>
      </c>
      <c r="F71" s="14">
        <v>0.77765623938701589</v>
      </c>
      <c r="G71" s="14">
        <v>2.8499428325820688E-4</v>
      </c>
      <c r="H71" s="14">
        <v>11.907145507931629</v>
      </c>
      <c r="I71" s="14">
        <v>31.817410533592252</v>
      </c>
      <c r="J71" s="14">
        <v>0</v>
      </c>
      <c r="K71" s="14">
        <v>1.2859152275152395</v>
      </c>
      <c r="L71" s="14">
        <v>0.77765623938701589</v>
      </c>
      <c r="M71" s="14">
        <v>0.63806694441704659</v>
      </c>
      <c r="N71" s="14">
        <v>2.6196319050678851</v>
      </c>
      <c r="O71" s="14">
        <v>560.70601296073016</v>
      </c>
      <c r="P71" s="8">
        <v>2.6196319050678856</v>
      </c>
      <c r="Q71" s="54">
        <v>0.12908174612778775</v>
      </c>
    </row>
    <row r="72" spans="1:17">
      <c r="A72" s="2" t="s">
        <v>421</v>
      </c>
      <c r="B72" s="16" t="s">
        <v>422</v>
      </c>
      <c r="D72" s="14">
        <v>1</v>
      </c>
      <c r="E72" s="14">
        <v>0.36907391156378322</v>
      </c>
      <c r="F72" s="14">
        <v>0.1012710137642492</v>
      </c>
      <c r="G72" s="14">
        <v>5.0581726053948103E-4</v>
      </c>
      <c r="H72" s="14">
        <v>642.34028114636351</v>
      </c>
      <c r="I72" s="14">
        <v>1101.0887571842982</v>
      </c>
      <c r="J72" s="14">
        <v>0</v>
      </c>
      <c r="K72" s="14">
        <v>9.8744938243426663</v>
      </c>
      <c r="L72" s="14">
        <v>0.10127101376424921</v>
      </c>
      <c r="M72" s="14">
        <v>8.3092866793566478E-2</v>
      </c>
      <c r="N72" s="14">
        <v>68.145407735775521</v>
      </c>
      <c r="O72" s="14">
        <v>28216.968981152571</v>
      </c>
      <c r="P72" s="8">
        <v>68.145407735775535</v>
      </c>
      <c r="Q72" s="54">
        <v>0.38870697008564203</v>
      </c>
    </row>
    <row r="73" spans="1:17">
      <c r="A73" s="2" t="s">
        <v>423</v>
      </c>
      <c r="B73" s="16" t="s">
        <v>424</v>
      </c>
      <c r="D73" s="14">
        <v>1</v>
      </c>
      <c r="E73" s="14">
        <v>0.46756843408265925</v>
      </c>
      <c r="F73" s="14">
        <v>0.40642383255177722</v>
      </c>
      <c r="G73" s="14">
        <v>2.2414427696736472E-4</v>
      </c>
      <c r="H73" s="14">
        <v>141.74219924211826</v>
      </c>
      <c r="I73" s="14">
        <v>300.85437937939759</v>
      </c>
      <c r="J73" s="14">
        <v>0</v>
      </c>
      <c r="K73" s="14">
        <v>2.4604856307795457</v>
      </c>
      <c r="L73" s="14">
        <v>0.40642383255177722</v>
      </c>
      <c r="M73" s="14">
        <v>0.33347075460873321</v>
      </c>
      <c r="N73" s="14">
        <v>18.795867024241712</v>
      </c>
      <c r="O73" s="14">
        <v>8047.826383769574</v>
      </c>
      <c r="P73" s="8">
        <v>18.795867024241712</v>
      </c>
      <c r="Q73" s="54">
        <v>0.34399833273464681</v>
      </c>
    </row>
    <row r="74" spans="1:17">
      <c r="A74" s="2" t="s">
        <v>425</v>
      </c>
      <c r="B74" s="16" t="s">
        <v>426</v>
      </c>
      <c r="D74" s="14">
        <v>1</v>
      </c>
      <c r="E74" s="14">
        <v>0.38571199233485587</v>
      </c>
      <c r="F74" s="14">
        <v>9.6612315456395717E-2</v>
      </c>
      <c r="G74" s="14">
        <v>1.9671658589858569E-4</v>
      </c>
      <c r="H74" s="14">
        <v>694.40444271580373</v>
      </c>
      <c r="I74" s="14">
        <v>1179.4231867997173</v>
      </c>
      <c r="J74" s="14">
        <v>0</v>
      </c>
      <c r="K74" s="14">
        <v>10.350647277999794</v>
      </c>
      <c r="L74" s="14">
        <v>9.6612315456395731E-2</v>
      </c>
      <c r="M74" s="14">
        <v>7.9270404831972688E-2</v>
      </c>
      <c r="N74" s="14">
        <v>73.010134404943031</v>
      </c>
      <c r="O74" s="14">
        <v>38562.492790002805</v>
      </c>
      <c r="P74" s="8">
        <v>73.010134404943031</v>
      </c>
      <c r="Q74" s="54">
        <v>0.39579441487936612</v>
      </c>
    </row>
    <row r="75" spans="1:17">
      <c r="A75" s="2" t="s">
        <v>427</v>
      </c>
      <c r="B75" s="16" t="s">
        <v>428</v>
      </c>
      <c r="D75" s="14">
        <v>1</v>
      </c>
      <c r="E75" s="14">
        <v>0.99171720958264076</v>
      </c>
      <c r="F75" s="14">
        <v>4.1405742963638338E-2</v>
      </c>
      <c r="G75" s="14">
        <v>5.8410248271758205E-11</v>
      </c>
      <c r="H75" s="14">
        <v>2699.9802154602185</v>
      </c>
      <c r="I75" s="14">
        <v>9.6465585872667639</v>
      </c>
      <c r="J75" s="14">
        <v>0</v>
      </c>
      <c r="K75" s="14">
        <v>24.151239137966421</v>
      </c>
      <c r="L75" s="14">
        <v>4.1405742963638338E-2</v>
      </c>
      <c r="M75" s="14">
        <v>3.3973412101665261E-2</v>
      </c>
      <c r="N75" s="14">
        <v>53.461888232992493</v>
      </c>
      <c r="O75" s="14">
        <v>30157.316533348734</v>
      </c>
      <c r="P75" s="8">
        <v>53.461888232992493</v>
      </c>
      <c r="Q75" s="54">
        <v>5.3873154527711218E-4</v>
      </c>
    </row>
    <row r="76" spans="1:17">
      <c r="A76" s="2" t="s">
        <v>429</v>
      </c>
      <c r="B76" s="16" t="s">
        <v>430</v>
      </c>
      <c r="D76" s="14">
        <v>1</v>
      </c>
      <c r="E76" s="14">
        <v>0.99171721466506702</v>
      </c>
      <c r="F76" s="14">
        <v>4.1405743175837575E-2</v>
      </c>
      <c r="G76" s="14">
        <v>1.4671991084685648E-12</v>
      </c>
      <c r="H76" s="14">
        <v>2699.9802292972781</v>
      </c>
      <c r="I76" s="14">
        <v>9.6465586367041656</v>
      </c>
      <c r="J76" s="14">
        <v>0</v>
      </c>
      <c r="K76" s="14">
        <v>24.151239014194353</v>
      </c>
      <c r="L76" s="14">
        <v>4.1405743175837575E-2</v>
      </c>
      <c r="M76" s="14">
        <v>3.3973412275774731E-2</v>
      </c>
      <c r="N76" s="14">
        <v>53.461888506977957</v>
      </c>
      <c r="O76" s="14">
        <v>26737.894298994885</v>
      </c>
      <c r="P76" s="8">
        <v>53.461888506977957</v>
      </c>
      <c r="Q76" s="54">
        <v>5.3873154803804363E-4</v>
      </c>
    </row>
    <row r="77" spans="1:17">
      <c r="A77" s="2" t="s">
        <v>431</v>
      </c>
      <c r="B77" s="16" t="s">
        <v>432</v>
      </c>
      <c r="D77" s="14">
        <v>1</v>
      </c>
      <c r="E77" s="14">
        <v>0.35886979782016576</v>
      </c>
      <c r="F77" s="14">
        <v>0.22425142019392069</v>
      </c>
      <c r="G77" s="14">
        <v>5.8296662208067568E-4</v>
      </c>
      <c r="H77" s="14">
        <v>317.25991396993203</v>
      </c>
      <c r="I77" s="14">
        <v>607.39662286085775</v>
      </c>
      <c r="J77" s="14">
        <v>0</v>
      </c>
      <c r="K77" s="14">
        <v>4.4592805661397961</v>
      </c>
      <c r="L77" s="14">
        <v>0.22425142019392069</v>
      </c>
      <c r="M77" s="14">
        <v>0.18399829026911194</v>
      </c>
      <c r="N77" s="14">
        <v>37.573457598312295</v>
      </c>
      <c r="O77" s="14">
        <v>13678.992973241575</v>
      </c>
      <c r="P77" s="8">
        <v>37.573457598312302</v>
      </c>
      <c r="Q77" s="54">
        <v>0.39379697243694656</v>
      </c>
    </row>
    <row r="78" spans="1:17">
      <c r="A78" s="2" t="s">
        <v>433</v>
      </c>
      <c r="B78" s="16" t="s">
        <v>434</v>
      </c>
      <c r="D78" s="14">
        <v>1</v>
      </c>
      <c r="E78" s="14">
        <v>0.63097718586191576</v>
      </c>
      <c r="F78" s="14">
        <v>0.61259687325527434</v>
      </c>
      <c r="G78" s="14">
        <v>4.3134350549617903E-4</v>
      </c>
      <c r="H78" s="14">
        <v>42.052786259003064</v>
      </c>
      <c r="I78" s="14">
        <v>100.61250143009718</v>
      </c>
      <c r="J78" s="14">
        <v>0</v>
      </c>
      <c r="K78" s="14">
        <v>1.6323948809697753</v>
      </c>
      <c r="L78" s="14">
        <v>0.61259687325527434</v>
      </c>
      <c r="M78" s="14">
        <v>0.50263573450595256</v>
      </c>
      <c r="N78" s="14">
        <v>6.6780262842104596</v>
      </c>
      <c r="O78" s="14">
        <v>1763.3328403457717</v>
      </c>
      <c r="P78" s="8">
        <v>6.6780262842104596</v>
      </c>
      <c r="Q78" s="54">
        <v>0.22225520810045601</v>
      </c>
    </row>
    <row r="79" spans="1:17">
      <c r="A79" s="2" t="s">
        <v>435</v>
      </c>
      <c r="B79" s="16" t="s">
        <v>436</v>
      </c>
      <c r="D79" s="14">
        <v>1</v>
      </c>
      <c r="E79" s="14">
        <v>0.54026201708373334</v>
      </c>
      <c r="F79" s="14">
        <v>0.50067794533641929</v>
      </c>
      <c r="G79" s="14">
        <v>1.1736725544328731E-4</v>
      </c>
      <c r="H79" s="14">
        <v>91.141980463539511</v>
      </c>
      <c r="I79" s="14">
        <v>202.94372713769027</v>
      </c>
      <c r="J79" s="14">
        <v>0</v>
      </c>
      <c r="K79" s="14">
        <v>1.9972918905546608</v>
      </c>
      <c r="L79" s="14">
        <v>0.50067794533641929</v>
      </c>
      <c r="M79" s="14">
        <v>0.41080625414853206</v>
      </c>
      <c r="N79" s="14">
        <v>12.855554350318945</v>
      </c>
      <c r="O79" s="14">
        <v>5143.6358511061126</v>
      </c>
      <c r="P79" s="8">
        <v>12.855554350318945</v>
      </c>
      <c r="Q79" s="54">
        <v>0.30197822781419509</v>
      </c>
    </row>
    <row r="80" spans="1:17">
      <c r="A80" s="2" t="s">
        <v>437</v>
      </c>
      <c r="B80" s="16" t="s">
        <v>438</v>
      </c>
      <c r="D80" s="14">
        <v>1</v>
      </c>
      <c r="E80" s="14">
        <v>0.98441842248238198</v>
      </c>
      <c r="F80" s="14">
        <v>2.820920946360151E-2</v>
      </c>
      <c r="G80" s="14">
        <v>2.1014515715190383E-11</v>
      </c>
      <c r="H80" s="14">
        <v>2715.7570500765542</v>
      </c>
      <c r="I80" s="14">
        <v>18.638147317446681</v>
      </c>
      <c r="J80" s="14">
        <v>0</v>
      </c>
      <c r="K80" s="14">
        <v>35.449415953690767</v>
      </c>
      <c r="L80" s="14">
        <v>2.820920946360151E-2</v>
      </c>
      <c r="M80" s="14">
        <v>2.3145656364885039E-2</v>
      </c>
      <c r="N80" s="14">
        <v>104.31511204709535</v>
      </c>
      <c r="O80" s="14">
        <v>53626.312801170781</v>
      </c>
      <c r="P80" s="8">
        <v>104.31511204709535</v>
      </c>
      <c r="Q80" s="54">
        <v>6.5978545930974743E-4</v>
      </c>
    </row>
    <row r="81" spans="1:17">
      <c r="A81" s="2" t="s">
        <v>440</v>
      </c>
      <c r="B81" s="16" t="s">
        <v>441</v>
      </c>
      <c r="D81" s="14">
        <v>1</v>
      </c>
      <c r="E81" s="14">
        <v>0.97095419932811833</v>
      </c>
      <c r="F81" s="14">
        <v>0.97120632800482365</v>
      </c>
      <c r="G81" s="14">
        <v>2.0494625702733741E-15</v>
      </c>
      <c r="H81" s="14">
        <v>0.25882814717093611</v>
      </c>
      <c r="I81" s="14">
        <v>0.93211323430461235</v>
      </c>
      <c r="J81" s="14">
        <v>0</v>
      </c>
      <c r="K81" s="14">
        <v>1.029647327416336</v>
      </c>
      <c r="L81" s="14">
        <v>0.97120632800482365</v>
      </c>
      <c r="M81" s="14">
        <v>0.79687479212795786</v>
      </c>
      <c r="N81" s="14">
        <v>0.91445620304679454</v>
      </c>
      <c r="O81" s="14">
        <v>253.54212685675427</v>
      </c>
      <c r="P81" s="8">
        <v>0.91445620304679465</v>
      </c>
      <c r="Q81" s="54">
        <v>1.9519499342207498E-2</v>
      </c>
    </row>
    <row r="82" spans="1:17">
      <c r="A82" s="2" t="s">
        <v>442</v>
      </c>
      <c r="B82" s="16" t="s">
        <v>443</v>
      </c>
      <c r="D82" s="14">
        <v>1</v>
      </c>
      <c r="E82" s="14">
        <v>0.77333950343452496</v>
      </c>
      <c r="F82" s="14">
        <v>0.76613328706560602</v>
      </c>
      <c r="G82" s="14">
        <v>9.7542261345144462E-7</v>
      </c>
      <c r="H82" s="14">
        <v>16.648086819061863</v>
      </c>
      <c r="I82" s="14">
        <v>43.353234292889731</v>
      </c>
      <c r="J82" s="14">
        <v>0</v>
      </c>
      <c r="K82" s="14">
        <v>1.3052559089687059</v>
      </c>
      <c r="L82" s="14">
        <v>0.76613328706560602</v>
      </c>
      <c r="M82" s="14">
        <v>0.62861236203732973</v>
      </c>
      <c r="N82" s="14">
        <v>3.312647399556754</v>
      </c>
      <c r="O82" s="14">
        <v>547.21622393278017</v>
      </c>
      <c r="P82" s="8">
        <v>3.312647399556754</v>
      </c>
      <c r="Q82" s="54">
        <v>0.15262353307867035</v>
      </c>
    </row>
    <row r="83" spans="1:17">
      <c r="A83" s="2" t="s">
        <v>444</v>
      </c>
      <c r="B83" s="16" t="s">
        <v>445</v>
      </c>
      <c r="D83" s="14">
        <v>1</v>
      </c>
      <c r="E83" s="14">
        <v>0.39034842227740141</v>
      </c>
      <c r="F83" s="14">
        <v>0.26783009434684124</v>
      </c>
      <c r="G83" s="14">
        <v>1.1806138181414658E-5</v>
      </c>
      <c r="H83" s="14">
        <v>287.79243536136011</v>
      </c>
      <c r="I83" s="14">
        <v>562.25916728945663</v>
      </c>
      <c r="J83" s="14">
        <v>0</v>
      </c>
      <c r="K83" s="14">
        <v>3.7337103675324665</v>
      </c>
      <c r="L83" s="14">
        <v>0.2678300943468413</v>
      </c>
      <c r="M83" s="14">
        <v>0.21975459241158327</v>
      </c>
      <c r="N83" s="14">
        <v>34.80646626435562</v>
      </c>
      <c r="O83" s="14">
        <v>6273.5174794874574</v>
      </c>
      <c r="P83" s="8">
        <v>34.80646626435562</v>
      </c>
      <c r="Q83" s="54">
        <v>0.40750838100625142</v>
      </c>
    </row>
    <row r="84" spans="1:17">
      <c r="A84" s="2" t="s">
        <v>446</v>
      </c>
      <c r="B84" s="16" t="s">
        <v>447</v>
      </c>
      <c r="D84" s="14">
        <v>1</v>
      </c>
      <c r="E84" s="14">
        <v>0.93763780362310223</v>
      </c>
      <c r="F84" s="14">
        <v>0.93745201297919079</v>
      </c>
      <c r="G84" s="14">
        <v>6.3091017806288442E-17</v>
      </c>
      <c r="H84" s="14">
        <v>1.1628910979570022</v>
      </c>
      <c r="I84" s="14">
        <v>3.7393508617391671</v>
      </c>
      <c r="J84" s="14">
        <v>0</v>
      </c>
      <c r="K84" s="14">
        <v>1.066721268027399</v>
      </c>
      <c r="L84" s="14">
        <v>0.93745201297919079</v>
      </c>
      <c r="M84" s="14">
        <v>0.76917937664942604</v>
      </c>
      <c r="N84" s="14">
        <v>1.0541261253186103</v>
      </c>
      <c r="O84" s="14">
        <v>409.93910887515432</v>
      </c>
      <c r="P84" s="8">
        <v>1.0541261253186103</v>
      </c>
      <c r="Q84" s="54">
        <v>4.1994867635559464E-2</v>
      </c>
    </row>
    <row r="85" spans="1:17">
      <c r="A85" s="2" t="s">
        <v>448</v>
      </c>
      <c r="B85" s="16" t="s">
        <v>449</v>
      </c>
      <c r="D85" s="14">
        <v>1</v>
      </c>
      <c r="E85" s="14">
        <v>0.98782616755431585</v>
      </c>
      <c r="F85" s="14">
        <v>0.98818731913608449</v>
      </c>
      <c r="G85" s="14">
        <v>4.4162918322749478E-10</v>
      </c>
      <c r="H85" s="14">
        <v>4.7492964230613374E-2</v>
      </c>
      <c r="I85" s="14">
        <v>0.19403784706734209</v>
      </c>
      <c r="J85" s="14">
        <v>0</v>
      </c>
      <c r="K85" s="14">
        <v>1.0119538883318626</v>
      </c>
      <c r="L85" s="14">
        <v>0.9881873191360846</v>
      </c>
      <c r="M85" s="14">
        <v>0.81080769535115738</v>
      </c>
      <c r="N85" s="14">
        <v>0.88510012089489554</v>
      </c>
      <c r="O85" s="14">
        <v>158.64534566920108</v>
      </c>
      <c r="P85" s="8">
        <v>0.88510012089489554</v>
      </c>
      <c r="Q85" s="54">
        <v>8.1336681104392863E-3</v>
      </c>
    </row>
    <row r="86" spans="1:17">
      <c r="A86" s="2" t="s">
        <v>450</v>
      </c>
      <c r="B86" s="16" t="s">
        <v>451</v>
      </c>
      <c r="D86" s="14">
        <v>1</v>
      </c>
      <c r="E86" s="14">
        <v>0.93914080204180128</v>
      </c>
      <c r="F86" s="14">
        <v>0.93898114351481199</v>
      </c>
      <c r="G86" s="14">
        <v>1.5869211875524696E-10</v>
      </c>
      <c r="H86" s="14">
        <v>1.1079671160219253</v>
      </c>
      <c r="I86" s="14">
        <v>3.5758891019980603</v>
      </c>
      <c r="J86" s="14">
        <v>0</v>
      </c>
      <c r="K86" s="14">
        <v>1.0649841127339159</v>
      </c>
      <c r="L86" s="14">
        <v>0.9389811435148121</v>
      </c>
      <c r="M86" s="14">
        <v>0.77043402825390328</v>
      </c>
      <c r="N86" s="14">
        <v>1.0455913048671865</v>
      </c>
      <c r="O86" s="14">
        <v>272.99343378777371</v>
      </c>
      <c r="P86" s="8">
        <v>1.0455913048671868</v>
      </c>
      <c r="Q86" s="54">
        <v>4.0981140602927894E-2</v>
      </c>
    </row>
    <row r="87" spans="1:17">
      <c r="A87" s="2" t="s">
        <v>452</v>
      </c>
      <c r="B87" s="16" t="s">
        <v>453</v>
      </c>
      <c r="D87" s="14">
        <v>1</v>
      </c>
      <c r="E87" s="14">
        <v>0.49646579650147682</v>
      </c>
      <c r="F87" s="14">
        <v>2.8511702425671271E-3</v>
      </c>
      <c r="G87" s="14">
        <v>2.9408416288505577E-9</v>
      </c>
      <c r="H87" s="14">
        <v>332.08032827160088</v>
      </c>
      <c r="I87" s="14">
        <v>9915.1735542115002</v>
      </c>
      <c r="J87" s="14">
        <v>0</v>
      </c>
      <c r="K87" s="14">
        <v>350.73317793174755</v>
      </c>
      <c r="L87" s="14">
        <v>2.8511702425671271E-3</v>
      </c>
      <c r="M87" s="14">
        <v>2.3393851840263278E-3</v>
      </c>
      <c r="N87" s="14">
        <v>624.53612893087654</v>
      </c>
      <c r="O87" s="14">
        <v>259994.39047392394</v>
      </c>
      <c r="P87" s="8">
        <v>624.53612893087666</v>
      </c>
      <c r="Q87" s="54">
        <v>0.28086674452140636</v>
      </c>
    </row>
    <row r="88" spans="1:17">
      <c r="A88" s="2" t="s">
        <v>454</v>
      </c>
      <c r="B88" s="16" t="s">
        <v>455</v>
      </c>
      <c r="D88" s="14">
        <v>1</v>
      </c>
      <c r="E88" s="14">
        <v>0.69456177534035946</v>
      </c>
      <c r="F88" s="14">
        <v>0.68018181286741186</v>
      </c>
      <c r="G88" s="14">
        <v>5.0053390740835721E-7</v>
      </c>
      <c r="H88" s="14">
        <v>32.900690693365583</v>
      </c>
      <c r="I88" s="14">
        <v>80.772250982159093</v>
      </c>
      <c r="J88" s="14">
        <v>0</v>
      </c>
      <c r="K88" s="14">
        <v>1.470195146477594</v>
      </c>
      <c r="L88" s="14">
        <v>0.68018181286741186</v>
      </c>
      <c r="M88" s="14">
        <v>0.55808917745771147</v>
      </c>
      <c r="N88" s="14">
        <v>5.5226927493472386</v>
      </c>
      <c r="O88" s="14">
        <v>1056.3254421676465</v>
      </c>
      <c r="P88" s="8">
        <v>5.5226927493472395</v>
      </c>
      <c r="Q88" s="54">
        <v>0.20561849974556903</v>
      </c>
    </row>
    <row r="89" spans="1:17">
      <c r="A89" s="2" t="s">
        <v>456</v>
      </c>
      <c r="B89" s="16" t="s">
        <v>457</v>
      </c>
      <c r="D89" s="14">
        <v>1</v>
      </c>
      <c r="E89" s="14">
        <v>0.75968031903987765</v>
      </c>
      <c r="F89" s="14">
        <v>0.75144136162929531</v>
      </c>
      <c r="G89" s="14">
        <v>3.2444686639399246E-19</v>
      </c>
      <c r="H89" s="14">
        <v>18.972086508948468</v>
      </c>
      <c r="I89" s="14">
        <v>48.862115623459665</v>
      </c>
      <c r="J89" s="14">
        <v>0</v>
      </c>
      <c r="K89" s="14">
        <v>1.3307758277129877</v>
      </c>
      <c r="L89" s="14">
        <v>0.75144136162929531</v>
      </c>
      <c r="M89" s="14">
        <v>0.61655763721683687</v>
      </c>
      <c r="N89" s="14">
        <v>3.6358250095347788</v>
      </c>
      <c r="O89" s="14">
        <v>1426.9158832420192</v>
      </c>
      <c r="P89" s="8">
        <v>3.6358250095347788</v>
      </c>
      <c r="Q89" s="54">
        <v>0.16187219918468151</v>
      </c>
    </row>
    <row r="90" spans="1:17">
      <c r="A90" s="2" t="s">
        <v>458</v>
      </c>
      <c r="B90" s="16" t="s">
        <v>459</v>
      </c>
      <c r="D90" s="14">
        <v>1</v>
      </c>
      <c r="E90" s="14">
        <v>0.88104327639671642</v>
      </c>
      <c r="F90" s="14">
        <v>0.87941534527150211</v>
      </c>
      <c r="G90" s="14">
        <v>4.7367725053627078E-31</v>
      </c>
      <c r="H90" s="14">
        <v>4.2623983940908108</v>
      </c>
      <c r="I90" s="14">
        <v>12.396846116789828</v>
      </c>
      <c r="J90" s="14">
        <v>0</v>
      </c>
      <c r="K90" s="14">
        <v>1.137119115986394</v>
      </c>
      <c r="L90" s="14">
        <v>0.87941534527150211</v>
      </c>
      <c r="M90" s="14">
        <v>0.72156029079526751</v>
      </c>
      <c r="N90" s="14">
        <v>1.5277290227719551</v>
      </c>
      <c r="O90" s="14">
        <v>1193.0647030435307</v>
      </c>
      <c r="P90" s="8">
        <v>1.5277290227719553</v>
      </c>
      <c r="Q90" s="54">
        <v>8.015141803956452E-2</v>
      </c>
    </row>
    <row r="91" spans="1:17">
      <c r="A91" s="2" t="s">
        <v>460</v>
      </c>
      <c r="B91" s="16" t="s">
        <v>461</v>
      </c>
      <c r="D91" s="14">
        <v>1</v>
      </c>
      <c r="E91" s="14">
        <v>0.42200876029276679</v>
      </c>
      <c r="F91" s="14">
        <v>1.5760490435413142E-2</v>
      </c>
      <c r="G91" s="14">
        <v>2.5963199798017946E-9</v>
      </c>
      <c r="H91" s="14">
        <v>702.14972122109873</v>
      </c>
      <c r="I91" s="14">
        <v>4189.7383161187799</v>
      </c>
      <c r="J91" s="14">
        <v>0</v>
      </c>
      <c r="K91" s="14">
        <v>63.44980215546105</v>
      </c>
      <c r="L91" s="14">
        <v>1.5760490435413142E-2</v>
      </c>
      <c r="M91" s="14">
        <v>1.2931482402256483E-2</v>
      </c>
      <c r="N91" s="14">
        <v>261.67709074904599</v>
      </c>
      <c r="O91" s="14">
        <v>80177.860605507696</v>
      </c>
      <c r="P91" s="8">
        <v>261.67709074904604</v>
      </c>
      <c r="Q91" s="54">
        <v>0.3654154440001588</v>
      </c>
    </row>
    <row r="92" spans="1:17">
      <c r="A92" s="2" t="s">
        <v>462</v>
      </c>
      <c r="B92" s="16" t="s">
        <v>463</v>
      </c>
      <c r="D92" s="14">
        <v>1</v>
      </c>
      <c r="E92" s="14">
        <v>0.42062830921074429</v>
      </c>
      <c r="F92" s="14">
        <v>0.32706571725652095</v>
      </c>
      <c r="G92" s="14">
        <v>9.0728454251550955E-11</v>
      </c>
      <c r="H92" s="14">
        <v>218.5319918098744</v>
      </c>
      <c r="I92" s="14">
        <v>442.15261197506328</v>
      </c>
      <c r="J92" s="14">
        <v>0</v>
      </c>
      <c r="K92" s="14">
        <v>3.0574895112461138</v>
      </c>
      <c r="L92" s="14">
        <v>0.327065717256521</v>
      </c>
      <c r="M92" s="14">
        <v>0.26835742100897547</v>
      </c>
      <c r="N92" s="14">
        <v>27.436278043138039</v>
      </c>
      <c r="O92" s="14">
        <v>9241.0871704897545</v>
      </c>
      <c r="P92" s="8">
        <v>27.436278043138042</v>
      </c>
      <c r="Q92" s="54">
        <v>0.38848315749591744</v>
      </c>
    </row>
    <row r="93" spans="1:17">
      <c r="A93" s="2" t="s">
        <v>464</v>
      </c>
      <c r="B93" s="16" t="s">
        <v>465</v>
      </c>
      <c r="D93" s="14">
        <v>1</v>
      </c>
      <c r="E93" s="14">
        <v>0.37515503192163324</v>
      </c>
      <c r="F93" s="14">
        <v>0.12650096209358214</v>
      </c>
      <c r="G93" s="14">
        <v>7.0775397338270417E-6</v>
      </c>
      <c r="H93" s="14">
        <v>594.36582257025509</v>
      </c>
      <c r="I93" s="14">
        <v>1041.6240513156613</v>
      </c>
      <c r="J93" s="14">
        <v>0</v>
      </c>
      <c r="K93" s="14">
        <v>7.9050782179840331</v>
      </c>
      <c r="L93" s="14">
        <v>0.12650096209358214</v>
      </c>
      <c r="M93" s="14">
        <v>0.10379403939778414</v>
      </c>
      <c r="N93" s="14">
        <v>64.434860354281795</v>
      </c>
      <c r="O93" s="14">
        <v>29968.009202172918</v>
      </c>
      <c r="P93" s="8">
        <v>64.434860354281795</v>
      </c>
      <c r="Q93" s="54">
        <v>0.41525129861058796</v>
      </c>
    </row>
    <row r="94" spans="1:17">
      <c r="A94" s="2" t="s">
        <v>466</v>
      </c>
      <c r="B94" s="16" t="s">
        <v>467</v>
      </c>
      <c r="D94" s="14">
        <v>1</v>
      </c>
      <c r="E94" s="14">
        <v>0.99968342936096632</v>
      </c>
      <c r="F94" s="14">
        <v>0.98850602615272276</v>
      </c>
      <c r="G94" s="14">
        <v>2.2429301038876366E-20</v>
      </c>
      <c r="H94" s="14">
        <v>32.859376703226751</v>
      </c>
      <c r="I94" s="14">
        <v>3.9981531988988787E-2</v>
      </c>
      <c r="J94" s="14">
        <v>0</v>
      </c>
      <c r="K94" s="14">
        <v>1.0116276214238287</v>
      </c>
      <c r="L94" s="14">
        <v>0.98850602615272287</v>
      </c>
      <c r="M94" s="14">
        <v>0.81106919445830905</v>
      </c>
      <c r="N94" s="14">
        <v>1.0074207061907998</v>
      </c>
      <c r="O94" s="14">
        <v>333.19432436554519</v>
      </c>
      <c r="P94" s="8">
        <v>1.0074207061908</v>
      </c>
      <c r="Q94" s="54">
        <v>1.1848392461278828E-4</v>
      </c>
    </row>
    <row r="95" spans="1:17">
      <c r="A95" s="2" t="s">
        <v>468</v>
      </c>
      <c r="B95" s="16" t="s">
        <v>469</v>
      </c>
      <c r="D95" s="14">
        <v>1</v>
      </c>
      <c r="E95" s="14">
        <v>0.44473405152151035</v>
      </c>
      <c r="F95" s="14">
        <v>3.6932918717350015E-2</v>
      </c>
      <c r="G95" s="14">
        <v>1.0477124819349603E-19</v>
      </c>
      <c r="H95" s="14">
        <v>929.20947638119287</v>
      </c>
      <c r="I95" s="14">
        <v>2128.4860148219514</v>
      </c>
      <c r="J95" s="14">
        <v>0</v>
      </c>
      <c r="K95" s="14">
        <v>27.076116232596284</v>
      </c>
      <c r="L95" s="14">
        <v>3.6932918717350022E-2</v>
      </c>
      <c r="M95" s="14">
        <v>3.0303459807585691E-2</v>
      </c>
      <c r="N95" s="14">
        <v>132.30113449836361</v>
      </c>
      <c r="O95" s="14">
        <v>65356.760442191618</v>
      </c>
      <c r="P95" s="8">
        <v>132.30113449836361</v>
      </c>
      <c r="Q95" s="54">
        <v>0.36230205801288512</v>
      </c>
    </row>
    <row r="96" spans="1:17">
      <c r="A96" s="2" t="s">
        <v>470</v>
      </c>
      <c r="B96" s="166">
        <v>354656</v>
      </c>
      <c r="D96" s="14">
        <v>1</v>
      </c>
      <c r="E96" s="14">
        <v>0.96983570372293659</v>
      </c>
      <c r="F96" s="14">
        <v>0.97007790729858612</v>
      </c>
      <c r="G96" s="14">
        <v>4.0861574933802559E-12</v>
      </c>
      <c r="H96" s="14">
        <v>0.27866768772592831</v>
      </c>
      <c r="I96" s="14">
        <v>0.9980304337462752</v>
      </c>
      <c r="J96" s="14">
        <v>0</v>
      </c>
      <c r="K96" s="14">
        <v>1.030845040873819</v>
      </c>
      <c r="L96" s="14">
        <v>0.97007790729858623</v>
      </c>
      <c r="M96" s="14">
        <v>0.79594892293848996</v>
      </c>
      <c r="N96" s="14">
        <v>0.91742870712128677</v>
      </c>
      <c r="O96" s="14">
        <v>180.90776675724655</v>
      </c>
      <c r="P96" s="8">
        <v>0.91742870712128688</v>
      </c>
      <c r="Q96" s="54">
        <v>2.0274202725960581E-2</v>
      </c>
    </row>
    <row r="97" spans="1:17">
      <c r="A97" s="2" t="s">
        <v>472</v>
      </c>
      <c r="B97" s="16" t="s">
        <v>473</v>
      </c>
      <c r="D97" s="14">
        <v>1</v>
      </c>
      <c r="E97" s="14">
        <v>0.93687336469252536</v>
      </c>
      <c r="F97" s="14">
        <v>0.93667404940616683</v>
      </c>
      <c r="G97" s="14">
        <v>6.304737015952378E-12</v>
      </c>
      <c r="H97" s="14">
        <v>1.1913475835151472</v>
      </c>
      <c r="I97" s="14">
        <v>3.8238043156556749</v>
      </c>
      <c r="J97" s="14">
        <v>0</v>
      </c>
      <c r="K97" s="14">
        <v>1.0676072435592514</v>
      </c>
      <c r="L97" s="14">
        <v>0.93667404940616694</v>
      </c>
      <c r="M97" s="14">
        <v>0.76854105753775992</v>
      </c>
      <c r="N97" s="14">
        <v>1.0585469124437121</v>
      </c>
      <c r="O97" s="14">
        <v>169.55804443523382</v>
      </c>
      <c r="P97" s="8">
        <v>1.0585469124437121</v>
      </c>
      <c r="Q97" s="54">
        <v>4.2510445766306824E-2</v>
      </c>
    </row>
    <row r="98" spans="1:17">
      <c r="A98" s="2" t="s">
        <v>474</v>
      </c>
      <c r="B98" s="16" t="s">
        <v>475</v>
      </c>
      <c r="D98" s="14">
        <v>1</v>
      </c>
      <c r="E98" s="14">
        <v>0.41813343945442799</v>
      </c>
      <c r="F98" s="14">
        <v>7.5259359538982051E-2</v>
      </c>
      <c r="G98" s="14">
        <v>2.1202594416075187E-21</v>
      </c>
      <c r="H98" s="14">
        <v>827.48573958722216</v>
      </c>
      <c r="I98" s="14">
        <v>1362.1272738894827</v>
      </c>
      <c r="J98" s="14">
        <v>0</v>
      </c>
      <c r="K98" s="14">
        <v>13.28738386993621</v>
      </c>
      <c r="L98" s="14">
        <v>7.5259359538982051E-2</v>
      </c>
      <c r="M98" s="14">
        <v>6.1750304501734778E-2</v>
      </c>
      <c r="N98" s="14">
        <v>84.39494643987338</v>
      </c>
      <c r="O98" s="14">
        <v>44850.006386541907</v>
      </c>
      <c r="P98" s="8">
        <v>84.39494643987338</v>
      </c>
      <c r="Q98" s="54">
        <v>0.38478460592969305</v>
      </c>
    </row>
    <row r="99" spans="1:17">
      <c r="A99" s="2" t="s">
        <v>476</v>
      </c>
      <c r="B99" s="16" t="s">
        <v>477</v>
      </c>
      <c r="D99" s="14">
        <v>1</v>
      </c>
      <c r="E99" s="14">
        <v>0.99153356844972029</v>
      </c>
      <c r="F99" s="14">
        <v>0.99190820503210086</v>
      </c>
      <c r="G99" s="14">
        <v>1.9274360182104383E-9</v>
      </c>
      <c r="H99" s="14">
        <v>2.3374992637117054E-2</v>
      </c>
      <c r="I99" s="14">
        <v>0.10064881209775456</v>
      </c>
      <c r="J99" s="14">
        <v>0</v>
      </c>
      <c r="K99" s="14">
        <v>1.0081578062635719</v>
      </c>
      <c r="L99" s="14">
        <v>0.99190820503210086</v>
      </c>
      <c r="M99" s="14">
        <v>0.81386068222883878</v>
      </c>
      <c r="N99" s="14">
        <v>0.88279731247162141</v>
      </c>
      <c r="O99" s="14">
        <v>114.02210087883462</v>
      </c>
      <c r="P99" s="8">
        <v>0.88279731247162141</v>
      </c>
      <c r="Q99" s="54">
        <v>5.6312998586721284E-3</v>
      </c>
    </row>
    <row r="100" spans="1:17">
      <c r="A100" s="2" t="s">
        <v>478</v>
      </c>
      <c r="B100" s="16" t="s">
        <v>479</v>
      </c>
      <c r="D100" s="14">
        <v>1</v>
      </c>
      <c r="E100" s="14">
        <v>0.57138439745334069</v>
      </c>
      <c r="F100" s="14">
        <v>0.5373916720131271</v>
      </c>
      <c r="G100" s="14">
        <v>7.4086558215220851E-13</v>
      </c>
      <c r="H100" s="14">
        <v>78.110772311519213</v>
      </c>
      <c r="I100" s="14">
        <v>176.83494946174386</v>
      </c>
      <c r="J100" s="14">
        <v>0</v>
      </c>
      <c r="K100" s="14">
        <v>1.8608401508231274</v>
      </c>
      <c r="L100" s="14">
        <v>0.5373916720131271</v>
      </c>
      <c r="M100" s="14">
        <v>0.44092986688677083</v>
      </c>
      <c r="N100" s="14">
        <v>11.283989257525771</v>
      </c>
      <c r="O100" s="14">
        <v>3382.9399794062265</v>
      </c>
      <c r="P100" s="8">
        <v>11.283989257525773</v>
      </c>
      <c r="Q100" s="54">
        <v>0.28824919468915111</v>
      </c>
    </row>
    <row r="101" spans="1:17">
      <c r="A101" s="2" t="s">
        <v>480</v>
      </c>
      <c r="B101" s="16" t="s">
        <v>481</v>
      </c>
      <c r="D101" s="14">
        <v>1</v>
      </c>
      <c r="E101" s="14">
        <v>0.9859049518683215</v>
      </c>
      <c r="F101" s="14">
        <v>0.98625759532883173</v>
      </c>
      <c r="G101" s="14">
        <v>5.1867921930223658E-13</v>
      </c>
      <c r="H101" s="14">
        <v>6.3193201880126518E-2</v>
      </c>
      <c r="I101" s="14">
        <v>0.25277116587462389</v>
      </c>
      <c r="J101" s="14">
        <v>0</v>
      </c>
      <c r="K101" s="14">
        <v>1.01393388982377</v>
      </c>
      <c r="L101" s="14">
        <v>0.98625759532883184</v>
      </c>
      <c r="M101" s="14">
        <v>0.80922435696730655</v>
      </c>
      <c r="N101" s="14">
        <v>0.88691572991450629</v>
      </c>
      <c r="O101" s="14">
        <v>211.2278502364388</v>
      </c>
      <c r="P101" s="8">
        <v>0.88691572991450629</v>
      </c>
      <c r="Q101" s="54">
        <v>9.4303439208963686E-3</v>
      </c>
    </row>
    <row r="102" spans="1:17">
      <c r="A102" s="2" t="s">
        <v>482</v>
      </c>
      <c r="B102" s="16" t="s">
        <v>483</v>
      </c>
      <c r="D102" s="14">
        <v>1</v>
      </c>
      <c r="E102" s="14">
        <v>0.99632960601439691</v>
      </c>
      <c r="F102" s="14">
        <v>0.99671574602672774</v>
      </c>
      <c r="G102" s="14">
        <v>3.2592660056816712E-29</v>
      </c>
      <c r="H102" s="14">
        <v>4.5091150790286614E-3</v>
      </c>
      <c r="I102" s="14">
        <v>2.1925448707655025E-2</v>
      </c>
      <c r="J102" s="14">
        <v>0</v>
      </c>
      <c r="K102" s="14">
        <v>1.0032950758391892</v>
      </c>
      <c r="L102" s="14">
        <v>0.99671574602672786</v>
      </c>
      <c r="M102" s="14">
        <v>0.81780526961493016</v>
      </c>
      <c r="N102" s="14">
        <v>0.88234648827681728</v>
      </c>
      <c r="O102" s="14">
        <v>406.25879359729498</v>
      </c>
      <c r="P102" s="8">
        <v>0.88234648827681728</v>
      </c>
      <c r="Q102" s="54">
        <v>2.3941341971397434E-3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0.99179902525926944</v>
      </c>
      <c r="F103" s="14">
        <v>0.99217447619651733</v>
      </c>
      <c r="G103" s="14">
        <v>2.5998395026556688E-15</v>
      </c>
      <c r="H103" s="14">
        <v>2.1964334576254203E-2</v>
      </c>
      <c r="I103" s="14">
        <v>9.5011291454031477E-2</v>
      </c>
      <c r="J103" s="14">
        <v>0</v>
      </c>
      <c r="K103" s="14">
        <v>1.0078872456319192</v>
      </c>
      <c r="L103" s="14">
        <v>0.99217447619651733</v>
      </c>
      <c r="M103" s="14">
        <v>0.81407915771924255</v>
      </c>
      <c r="N103" s="14">
        <v>0.88269552305326326</v>
      </c>
      <c r="O103" s="14">
        <v>181.17325610668229</v>
      </c>
      <c r="P103" s="8">
        <v>0.88269552305326326</v>
      </c>
      <c r="Q103" s="54">
        <v>5.4522432229065759E-3</v>
      </c>
    </row>
    <row r="104" spans="1:17">
      <c r="A104" s="2" t="s">
        <v>486</v>
      </c>
      <c r="B104" s="16" t="s">
        <v>487</v>
      </c>
      <c r="D104" s="14">
        <v>1</v>
      </c>
      <c r="E104" s="14">
        <v>0.95442918339740246</v>
      </c>
      <c r="F104" s="14">
        <v>0.95450095903869703</v>
      </c>
      <c r="G104" s="14">
        <v>3.2082252810929087E-11</v>
      </c>
      <c r="H104" s="14">
        <v>0.62580116757870274</v>
      </c>
      <c r="I104" s="14">
        <v>2.1090823625316486</v>
      </c>
      <c r="J104" s="14">
        <v>0</v>
      </c>
      <c r="K104" s="14">
        <v>1.0476678839664302</v>
      </c>
      <c r="L104" s="14">
        <v>0.95450095903869703</v>
      </c>
      <c r="M104" s="14">
        <v>0.78316803689125092</v>
      </c>
      <c r="N104" s="14">
        <v>0.97066989610724363</v>
      </c>
      <c r="O104" s="14">
        <v>146.72646149557093</v>
      </c>
      <c r="P104" s="8">
        <v>0.97066989610724363</v>
      </c>
      <c r="Q104" s="54">
        <v>3.066857095257438E-2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0.99562269930269121</v>
      </c>
      <c r="F105" s="14">
        <v>0.99600758147561996</v>
      </c>
      <c r="G105" s="14">
        <v>2.592096298619718E-18</v>
      </c>
      <c r="H105" s="14">
        <v>6.3947363598200642E-3</v>
      </c>
      <c r="I105" s="14">
        <v>3.0302594550757643E-2</v>
      </c>
      <c r="J105" s="14">
        <v>0</v>
      </c>
      <c r="K105" s="14">
        <v>1.0040084218219154</v>
      </c>
      <c r="L105" s="14">
        <v>0.99600758147561996</v>
      </c>
      <c r="M105" s="14">
        <v>0.81722422060074618</v>
      </c>
      <c r="N105" s="14">
        <v>0.88221953172959366</v>
      </c>
      <c r="O105" s="14">
        <v>299.39002028775491</v>
      </c>
      <c r="P105" s="8">
        <v>0.88221953172959366</v>
      </c>
      <c r="Q105" s="54">
        <v>2.8713082249348376E-3</v>
      </c>
    </row>
    <row r="106" spans="1:17">
      <c r="A106" s="2" t="s">
        <v>490</v>
      </c>
      <c r="B106" s="16" t="s">
        <v>491</v>
      </c>
      <c r="D106" s="14">
        <v>1</v>
      </c>
      <c r="E106" s="14">
        <v>0.85108330064418025</v>
      </c>
      <c r="F106" s="14">
        <v>0.84830642882621232</v>
      </c>
      <c r="G106" s="14">
        <v>1.4489094533498599E-10</v>
      </c>
      <c r="H106" s="14">
        <v>6.7797356148137808</v>
      </c>
      <c r="I106" s="14">
        <v>19.005089933300045</v>
      </c>
      <c r="J106" s="14">
        <v>0</v>
      </c>
      <c r="K106" s="14">
        <v>1.1788193110639082</v>
      </c>
      <c r="L106" s="14">
        <v>0.84830642882621243</v>
      </c>
      <c r="M106" s="14">
        <v>0.69603542485190728</v>
      </c>
      <c r="N106" s="14">
        <v>1.9018640785121206</v>
      </c>
      <c r="O106" s="14">
        <v>365.40514540453376</v>
      </c>
      <c r="P106" s="8">
        <v>1.9018640785121208</v>
      </c>
      <c r="Q106" s="54">
        <v>0.10033903710763398</v>
      </c>
    </row>
    <row r="107" spans="1:17">
      <c r="A107" s="2" t="s">
        <v>492</v>
      </c>
      <c r="B107" s="16" t="s">
        <v>493</v>
      </c>
      <c r="D107" s="14">
        <v>1</v>
      </c>
      <c r="E107" s="14">
        <v>0.44226654943354077</v>
      </c>
      <c r="F107" s="14">
        <v>6.0720652473051001E-2</v>
      </c>
      <c r="G107" s="14">
        <v>1.0812967989248705E-17</v>
      </c>
      <c r="H107" s="14">
        <v>924.09459402485606</v>
      </c>
      <c r="I107" s="14">
        <v>1485.161219419592</v>
      </c>
      <c r="J107" s="14">
        <v>0</v>
      </c>
      <c r="K107" s="14">
        <v>16.468861240313899</v>
      </c>
      <c r="L107" s="14">
        <v>6.0720652473051001E-2</v>
      </c>
      <c r="M107" s="14">
        <v>4.9821295354138345E-2</v>
      </c>
      <c r="N107" s="14">
        <v>92.088518664158173</v>
      </c>
      <c r="O107" s="14">
        <v>41863.440584726311</v>
      </c>
      <c r="P107" s="8">
        <v>92.088518664158173</v>
      </c>
      <c r="Q107" s="54">
        <v>0.36776771411859632</v>
      </c>
    </row>
    <row r="108" spans="1:17">
      <c r="A108" s="2" t="s">
        <v>291</v>
      </c>
      <c r="B108" s="16" t="s">
        <v>494</v>
      </c>
      <c r="D108" s="14">
        <v>1</v>
      </c>
      <c r="E108" s="14">
        <v>0.61129982055775189</v>
      </c>
      <c r="F108" s="14">
        <v>0.58515155873344127</v>
      </c>
      <c r="G108" s="14">
        <v>4.0353095380822546E-12</v>
      </c>
      <c r="H108" s="14">
        <v>59.930564197875839</v>
      </c>
      <c r="I108" s="14">
        <v>139.22125264701819</v>
      </c>
      <c r="J108" s="14">
        <v>0</v>
      </c>
      <c r="K108" s="14">
        <v>1.708958961272353</v>
      </c>
      <c r="L108" s="14">
        <v>0.58515155873344127</v>
      </c>
      <c r="M108" s="14">
        <v>0.48011685394078857</v>
      </c>
      <c r="N108" s="14">
        <v>9.018432201225119</v>
      </c>
      <c r="O108" s="14">
        <v>2780.6532006037405</v>
      </c>
      <c r="P108" s="8">
        <v>9.018432201225119</v>
      </c>
      <c r="Q108" s="54">
        <v>0.26152037903535652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9.4564593061181502E-5</v>
      </c>
      <c r="E2" s="20">
        <v>0.81325575522446769</v>
      </c>
      <c r="F2" s="20">
        <v>3.8441716618766086E-3</v>
      </c>
      <c r="G2" s="20">
        <v>1.119691363193781E-3</v>
      </c>
      <c r="H2" s="20">
        <v>0</v>
      </c>
      <c r="I2" s="20">
        <v>0.80829189219939734</v>
      </c>
      <c r="J2" s="20">
        <v>3.5049354475644661E-4</v>
      </c>
      <c r="K2" s="20">
        <v>0.18629918663771466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1.8722118951747357E-2</v>
      </c>
      <c r="E3" s="20">
        <v>0.47348500959677731</v>
      </c>
      <c r="F3" s="20">
        <v>0.12671534639078108</v>
      </c>
      <c r="G3" s="20">
        <v>0.34334029067610167</v>
      </c>
      <c r="H3" s="20">
        <v>0</v>
      </c>
      <c r="I3" s="20">
        <v>3.4293725298945783E-3</v>
      </c>
      <c r="J3" s="20">
        <v>7.9602003301843069E-2</v>
      </c>
      <c r="K3" s="20">
        <v>0.4281908681496322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6.1153734647830031E-12</v>
      </c>
      <c r="E4" s="20">
        <v>0.53493250320844932</v>
      </c>
      <c r="F4" s="20">
        <v>3.4825487083668054E-2</v>
      </c>
      <c r="G4" s="20">
        <v>8.3136694823308793E-3</v>
      </c>
      <c r="H4" s="20">
        <v>0</v>
      </c>
      <c r="I4" s="20">
        <v>0.49179334664245034</v>
      </c>
      <c r="J4" s="20">
        <v>1.9348614497344421E-3</v>
      </c>
      <c r="K4" s="20">
        <v>0.46313263533570098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5.5766624891513488E-4</v>
      </c>
      <c r="E5" s="20">
        <v>0.43747923022066076</v>
      </c>
      <c r="F5" s="20">
        <v>0.31408599791512787</v>
      </c>
      <c r="G5" s="20">
        <v>9.1147367753129982E-2</v>
      </c>
      <c r="H5" s="20">
        <v>0</v>
      </c>
      <c r="I5" s="20">
        <v>3.2245864552402907E-2</v>
      </c>
      <c r="J5" s="20">
        <v>2.0888983604021222E-2</v>
      </c>
      <c r="K5" s="20">
        <v>0.54107411992640309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6.789906096953344E-5</v>
      </c>
      <c r="E6" s="20">
        <v>0.53347270517266843</v>
      </c>
      <c r="F6" s="20">
        <v>8.9957625422406026E-2</v>
      </c>
      <c r="G6" s="20">
        <v>0.44180796217866175</v>
      </c>
      <c r="H6" s="20">
        <v>0</v>
      </c>
      <c r="I6" s="20">
        <v>1.7071175716006238E-3</v>
      </c>
      <c r="J6" s="20">
        <v>0.10275699405548144</v>
      </c>
      <c r="K6" s="20">
        <v>0.36370240171088075</v>
      </c>
      <c r="L6" s="20">
        <v>0</v>
      </c>
    </row>
    <row r="7" spans="1:14">
      <c r="A7" s="2" t="s">
        <v>321</v>
      </c>
      <c r="B7" s="3" t="s">
        <v>322</v>
      </c>
      <c r="D7" s="20">
        <v>9.2652764975040879E-5</v>
      </c>
      <c r="E7" s="20">
        <v>0.48932099600139611</v>
      </c>
      <c r="F7" s="20">
        <v>0.1228945430470381</v>
      </c>
      <c r="G7" s="20">
        <v>0.36326884615392308</v>
      </c>
      <c r="H7" s="20">
        <v>0</v>
      </c>
      <c r="I7" s="20">
        <v>3.1576068004349122E-3</v>
      </c>
      <c r="J7" s="20">
        <v>8.4261366650490374E-2</v>
      </c>
      <c r="K7" s="20">
        <v>0.42632498458313839</v>
      </c>
      <c r="L7" s="20">
        <v>0</v>
      </c>
    </row>
    <row r="8" spans="1:14">
      <c r="A8" s="2" t="s">
        <v>323</v>
      </c>
      <c r="B8" s="3" t="s">
        <v>324</v>
      </c>
      <c r="D8" s="20">
        <v>8.0305329742767046E-4</v>
      </c>
      <c r="E8" s="20">
        <v>0.44608210443030977</v>
      </c>
      <c r="F8" s="20">
        <v>0.17164003111556608</v>
      </c>
      <c r="G8" s="20">
        <v>0.26798725482734914</v>
      </c>
      <c r="H8" s="20">
        <v>0</v>
      </c>
      <c r="I8" s="20">
        <v>6.4548184873945659E-3</v>
      </c>
      <c r="J8" s="20">
        <v>6.1950567510777502E-2</v>
      </c>
      <c r="K8" s="20">
        <v>0.49116427476148505</v>
      </c>
      <c r="L8" s="20">
        <v>0</v>
      </c>
    </row>
    <row r="9" spans="1:14">
      <c r="A9" s="2" t="s">
        <v>325</v>
      </c>
      <c r="B9" s="3" t="s">
        <v>326</v>
      </c>
      <c r="D9" s="20">
        <v>2.8392128524094617E-4</v>
      </c>
      <c r="E9" s="20">
        <v>0.36694389217559659</v>
      </c>
      <c r="F9" s="20">
        <v>0.16729084205425493</v>
      </c>
      <c r="G9" s="20">
        <v>3.2852446940683254E-2</v>
      </c>
      <c r="H9" s="20">
        <v>0</v>
      </c>
      <c r="I9" s="20">
        <v>0.1668006031806584</v>
      </c>
      <c r="J9" s="20">
        <v>7.483813702519263E-3</v>
      </c>
      <c r="K9" s="20">
        <v>0.62528837283664318</v>
      </c>
      <c r="L9" s="20">
        <v>0</v>
      </c>
    </row>
    <row r="10" spans="1:14">
      <c r="A10" s="2" t="s">
        <v>275</v>
      </c>
      <c r="B10" s="3" t="s">
        <v>276</v>
      </c>
      <c r="D10" s="20">
        <v>7.1540306219403163E-6</v>
      </c>
      <c r="E10" s="20">
        <v>0.43440228418394178</v>
      </c>
      <c r="F10" s="20">
        <v>0.3072026867492843</v>
      </c>
      <c r="G10" s="20">
        <v>9.7256931894340287E-2</v>
      </c>
      <c r="H10" s="20">
        <v>0</v>
      </c>
      <c r="I10" s="20">
        <v>2.994266554031718E-2</v>
      </c>
      <c r="J10" s="20">
        <v>2.2298705021548012E-2</v>
      </c>
      <c r="K10" s="20">
        <v>0.54329185676388825</v>
      </c>
      <c r="L10" s="20">
        <v>0</v>
      </c>
    </row>
    <row r="11" spans="1:14">
      <c r="A11" s="2" t="s">
        <v>327</v>
      </c>
      <c r="B11" s="3" t="s">
        <v>328</v>
      </c>
      <c r="D11" s="20">
        <v>3.7166538921393661E-4</v>
      </c>
      <c r="E11" s="20">
        <v>0.4295442578643851</v>
      </c>
      <c r="F11" s="20">
        <v>0.29513881881539977</v>
      </c>
      <c r="G11" s="20">
        <v>0.10802440682179275</v>
      </c>
      <c r="H11" s="20">
        <v>0</v>
      </c>
      <c r="I11" s="20">
        <v>2.6381032227192566E-2</v>
      </c>
      <c r="J11" s="20">
        <v>2.4785303366596567E-2</v>
      </c>
      <c r="K11" s="20">
        <v>0.54529877337980437</v>
      </c>
      <c r="L11" s="20">
        <v>0</v>
      </c>
    </row>
    <row r="12" spans="1:14">
      <c r="A12" s="2" t="s">
        <v>329</v>
      </c>
      <c r="B12" s="3" t="s">
        <v>330</v>
      </c>
      <c r="D12" s="20">
        <v>1.7303280812461583E-4</v>
      </c>
      <c r="E12" s="20">
        <v>0.37609632813544142</v>
      </c>
      <c r="F12" s="20">
        <v>0.21144755652542935</v>
      </c>
      <c r="G12" s="20">
        <v>3.9948292969001022E-2</v>
      </c>
      <c r="H12" s="20">
        <v>0</v>
      </c>
      <c r="I12" s="20">
        <v>0.12470047864101103</v>
      </c>
      <c r="J12" s="20">
        <v>9.1047397394455228E-3</v>
      </c>
      <c r="K12" s="20">
        <v>0.61462589931698863</v>
      </c>
      <c r="L12" s="20">
        <v>0</v>
      </c>
    </row>
    <row r="13" spans="1:14">
      <c r="A13" s="2" t="s">
        <v>277</v>
      </c>
      <c r="B13" s="3" t="s">
        <v>278</v>
      </c>
      <c r="D13" s="20">
        <v>4.4840536690596918E-4</v>
      </c>
      <c r="E13" s="20">
        <v>0.36710264137145138</v>
      </c>
      <c r="F13" s="20">
        <v>0.1712162641979951</v>
      </c>
      <c r="G13" s="20">
        <v>3.3499673343046522E-2</v>
      </c>
      <c r="H13" s="20">
        <v>0</v>
      </c>
      <c r="I13" s="20">
        <v>0.16238670383040973</v>
      </c>
      <c r="J13" s="20">
        <v>7.6314274428021462E-3</v>
      </c>
      <c r="K13" s="20">
        <v>0.62481752581884042</v>
      </c>
      <c r="L13" s="20">
        <v>0</v>
      </c>
    </row>
    <row r="14" spans="1:14">
      <c r="A14" s="2" t="s">
        <v>331</v>
      </c>
      <c r="B14" s="3" t="s">
        <v>332</v>
      </c>
      <c r="D14" s="20">
        <v>2.4851629354301775E-4</v>
      </c>
      <c r="E14" s="20">
        <v>0.42203917460634216</v>
      </c>
      <c r="F14" s="20">
        <v>0.25699760888808665</v>
      </c>
      <c r="G14" s="20">
        <v>0.1474771166441283</v>
      </c>
      <c r="H14" s="20">
        <v>0</v>
      </c>
      <c r="I14" s="20">
        <v>1.7564449074127197E-2</v>
      </c>
      <c r="J14" s="20">
        <v>3.3914731576375548E-2</v>
      </c>
      <c r="K14" s="20">
        <v>0.54379757752373925</v>
      </c>
      <c r="L14" s="20">
        <v>0</v>
      </c>
    </row>
    <row r="15" spans="1:14">
      <c r="A15" s="2" t="s">
        <v>333</v>
      </c>
      <c r="B15" s="3" t="s">
        <v>334</v>
      </c>
      <c r="D15" s="20">
        <v>4.0509823279519918E-7</v>
      </c>
      <c r="E15" s="20">
        <v>0.43192290757084939</v>
      </c>
      <c r="F15" s="20">
        <v>0.30125520794529537</v>
      </c>
      <c r="G15" s="20">
        <v>0.10254869047205102</v>
      </c>
      <c r="H15" s="20">
        <v>0</v>
      </c>
      <c r="I15" s="20">
        <v>2.8119009153503027E-2</v>
      </c>
      <c r="J15" s="20">
        <v>2.3520434165859555E-2</v>
      </c>
      <c r="K15" s="20">
        <v>0.5445562531650584</v>
      </c>
      <c r="L15" s="20">
        <v>0</v>
      </c>
    </row>
    <row r="16" spans="1:14">
      <c r="A16" s="2" t="s">
        <v>335</v>
      </c>
      <c r="B16" s="3" t="s">
        <v>336</v>
      </c>
      <c r="D16" s="20">
        <v>2.0775251551417998E-3</v>
      </c>
      <c r="E16" s="20">
        <v>0.44402023767400806</v>
      </c>
      <c r="F16" s="20">
        <v>0.17378828837542051</v>
      </c>
      <c r="G16" s="20">
        <v>0.26358218953909468</v>
      </c>
      <c r="H16" s="20">
        <v>0</v>
      </c>
      <c r="I16" s="20">
        <v>6.64975975949284E-3</v>
      </c>
      <c r="J16" s="20">
        <v>6.0922928060520319E-2</v>
      </c>
      <c r="K16" s="20">
        <v>0.49297930911032983</v>
      </c>
      <c r="L16" s="20">
        <v>0</v>
      </c>
    </row>
    <row r="17" spans="1:12">
      <c r="A17" s="2" t="s">
        <v>337</v>
      </c>
      <c r="B17" s="3" t="s">
        <v>338</v>
      </c>
      <c r="D17" s="20">
        <v>1.4318793370564833E-4</v>
      </c>
      <c r="E17" s="20">
        <v>0.43651430164887034</v>
      </c>
      <c r="F17" s="20">
        <v>0.3118750530723402</v>
      </c>
      <c r="G17" s="20">
        <v>9.3170020756916744E-2</v>
      </c>
      <c r="H17" s="20">
        <v>0</v>
      </c>
      <c r="I17" s="20">
        <v>3.1469227819613414E-2</v>
      </c>
      <c r="J17" s="20">
        <v>2.135556902287809E-2</v>
      </c>
      <c r="K17" s="20">
        <v>0.54198694139454584</v>
      </c>
      <c r="L17" s="20">
        <v>0</v>
      </c>
    </row>
    <row r="18" spans="1:12">
      <c r="A18" s="2" t="s">
        <v>279</v>
      </c>
      <c r="B18" s="3" t="s">
        <v>280</v>
      </c>
      <c r="D18" s="20">
        <v>7.9467562723833408E-3</v>
      </c>
      <c r="E18" s="20">
        <v>0.36487448277743556</v>
      </c>
      <c r="F18" s="20">
        <v>0.14902670809401608</v>
      </c>
      <c r="G18" s="20">
        <v>2.9754980065190929E-2</v>
      </c>
      <c r="H18" s="20">
        <v>0</v>
      </c>
      <c r="I18" s="20">
        <v>0.18609279461822853</v>
      </c>
      <c r="J18" s="20">
        <v>6.7780394749578912E-3</v>
      </c>
      <c r="K18" s="20">
        <v>0.62040072147522318</v>
      </c>
      <c r="L18" s="20">
        <v>0</v>
      </c>
    </row>
    <row r="19" spans="1:12">
      <c r="A19" s="2" t="s">
        <v>339</v>
      </c>
      <c r="B19" s="3" t="s">
        <v>340</v>
      </c>
      <c r="D19" s="20">
        <v>1.4194853965358594E-6</v>
      </c>
      <c r="E19" s="20">
        <v>0.43145740714271125</v>
      </c>
      <c r="F19" s="20">
        <v>0.30005795413172986</v>
      </c>
      <c r="G19" s="20">
        <v>0.10363362728664376</v>
      </c>
      <c r="H19" s="20">
        <v>0</v>
      </c>
      <c r="I19" s="20">
        <v>2.7765825724337626E-2</v>
      </c>
      <c r="J19" s="20">
        <v>2.3770989746655796E-2</v>
      </c>
      <c r="K19" s="20">
        <v>0.54477018362523633</v>
      </c>
      <c r="L19" s="20">
        <v>0</v>
      </c>
    </row>
    <row r="20" spans="1:12">
      <c r="A20" s="2" t="s">
        <v>281</v>
      </c>
      <c r="B20" s="3" t="s">
        <v>282</v>
      </c>
      <c r="D20" s="20">
        <v>6.7894735116680918E-5</v>
      </c>
      <c r="E20" s="20">
        <v>0.3672423904937076</v>
      </c>
      <c r="F20" s="20">
        <v>0.17128144303339729</v>
      </c>
      <c r="G20" s="20">
        <v>3.3512426043294262E-2</v>
      </c>
      <c r="H20" s="20">
        <v>0</v>
      </c>
      <c r="I20" s="20">
        <v>0.16244852141701605</v>
      </c>
      <c r="J20" s="20">
        <v>7.6343325847611073E-3</v>
      </c>
      <c r="K20" s="20">
        <v>0.62505538218641443</v>
      </c>
      <c r="L20" s="20">
        <v>0</v>
      </c>
    </row>
    <row r="21" spans="1:12">
      <c r="A21" s="2" t="s">
        <v>341</v>
      </c>
      <c r="B21" s="3" t="s">
        <v>342</v>
      </c>
      <c r="D21" s="20">
        <v>2.0720844334059757E-3</v>
      </c>
      <c r="E21" s="20">
        <v>0.42232766726039339</v>
      </c>
      <c r="F21" s="20">
        <v>0.26772052191482471</v>
      </c>
      <c r="G21" s="20">
        <v>0.13482710775573059</v>
      </c>
      <c r="H21" s="20">
        <v>0</v>
      </c>
      <c r="I21" s="20">
        <v>1.9780037589838078E-2</v>
      </c>
      <c r="J21" s="20">
        <v>3.0984934518559531E-2</v>
      </c>
      <c r="K21" s="20">
        <v>0.54461531378764105</v>
      </c>
      <c r="L21" s="20">
        <v>0</v>
      </c>
    </row>
    <row r="22" spans="1:12">
      <c r="A22" s="2" t="s">
        <v>343</v>
      </c>
      <c r="B22" s="3" t="s">
        <v>344</v>
      </c>
      <c r="D22" s="20">
        <v>2.2672792324614959E-3</v>
      </c>
      <c r="E22" s="20">
        <v>0.66875286040980186</v>
      </c>
      <c r="F22" s="20">
        <v>1.3886065994414094E-2</v>
      </c>
      <c r="G22" s="20">
        <v>3.6213856831319676E-3</v>
      </c>
      <c r="H22" s="20">
        <v>0</v>
      </c>
      <c r="I22" s="20">
        <v>0.65124540873225578</v>
      </c>
      <c r="J22" s="20">
        <v>8.9407778995834349E-4</v>
      </c>
      <c r="K22" s="20">
        <v>0.32808578256777826</v>
      </c>
      <c r="L22" s="20">
        <v>0</v>
      </c>
    </row>
    <row r="23" spans="1:12">
      <c r="A23" s="2" t="s">
        <v>345</v>
      </c>
      <c r="B23" s="3" t="s">
        <v>346</v>
      </c>
      <c r="D23" s="20">
        <v>8.9289006783576296E-5</v>
      </c>
      <c r="E23" s="20">
        <v>0.76882123720916706</v>
      </c>
      <c r="F23" s="20">
        <v>6.1188838155780238E-3</v>
      </c>
      <c r="G23" s="20">
        <v>1.7146195148949081E-3</v>
      </c>
      <c r="H23" s="20">
        <v>0</v>
      </c>
      <c r="I23" s="20">
        <v>0.76098773387869412</v>
      </c>
      <c r="J23" s="20">
        <v>4.782752665829596E-4</v>
      </c>
      <c r="K23" s="20">
        <v>0.2306111985174665</v>
      </c>
      <c r="L23" s="20">
        <v>0</v>
      </c>
    </row>
    <row r="24" spans="1:12">
      <c r="A24" s="2" t="s">
        <v>347</v>
      </c>
      <c r="B24" s="3" t="s">
        <v>348</v>
      </c>
      <c r="D24" s="20">
        <v>1.341760715978696E-4</v>
      </c>
      <c r="E24" s="20">
        <v>0.41873335125298805</v>
      </c>
      <c r="F24" s="20">
        <v>7.8045755198291183E-2</v>
      </c>
      <c r="G24" s="20">
        <v>1.7023342724871604E-2</v>
      </c>
      <c r="H24" s="20">
        <v>0</v>
      </c>
      <c r="I24" s="20">
        <v>0.32366425332982524</v>
      </c>
      <c r="J24" s="20">
        <v>3.8910700731309283E-3</v>
      </c>
      <c r="K24" s="20">
        <v>0.57724140260228329</v>
      </c>
      <c r="L24" s="20">
        <v>0</v>
      </c>
    </row>
    <row r="25" spans="1:12">
      <c r="A25" s="2" t="s">
        <v>349</v>
      </c>
      <c r="B25" s="3" t="s">
        <v>350</v>
      </c>
      <c r="D25" s="20">
        <v>5.0086756437905035E-2</v>
      </c>
      <c r="E25" s="20">
        <v>0.38784165839764656</v>
      </c>
      <c r="F25" s="20">
        <v>0.26205781949686568</v>
      </c>
      <c r="G25" s="20">
        <v>4.7107784367985371E-2</v>
      </c>
      <c r="H25" s="20">
        <v>0</v>
      </c>
      <c r="I25" s="20">
        <v>7.8676054532795511E-2</v>
      </c>
      <c r="J25" s="20">
        <v>1.0749602883027761E-2</v>
      </c>
      <c r="K25" s="20">
        <v>0.55132198228142049</v>
      </c>
      <c r="L25" s="20">
        <v>0</v>
      </c>
    </row>
    <row r="26" spans="1:12">
      <c r="A26" s="2" t="s">
        <v>351</v>
      </c>
      <c r="B26" s="3" t="s">
        <v>352</v>
      </c>
      <c r="D26" s="20">
        <v>1.6620672682397947E-3</v>
      </c>
      <c r="E26" s="20">
        <v>0.42373035579659413</v>
      </c>
      <c r="F26" s="20">
        <v>0.27524713789337268</v>
      </c>
      <c r="G26" s="20">
        <v>0.12706278412459709</v>
      </c>
      <c r="H26" s="20">
        <v>0</v>
      </c>
      <c r="I26" s="20">
        <v>2.142043377862432E-2</v>
      </c>
      <c r="J26" s="20">
        <v>2.9187654017846475E-2</v>
      </c>
      <c r="K26" s="20">
        <v>0.54541992291731967</v>
      </c>
      <c r="L26" s="20">
        <v>0</v>
      </c>
    </row>
    <row r="27" spans="1:12">
      <c r="A27" s="2" t="s">
        <v>353</v>
      </c>
      <c r="B27" s="3" t="s">
        <v>354</v>
      </c>
      <c r="D27" s="20">
        <v>1.2909503159787722E-2</v>
      </c>
      <c r="E27" s="20">
        <v>0.47086427757162691</v>
      </c>
      <c r="F27" s="20">
        <v>0.13270391730475573</v>
      </c>
      <c r="G27" s="20">
        <v>0.33441003278235187</v>
      </c>
      <c r="H27" s="20">
        <v>0</v>
      </c>
      <c r="I27" s="20">
        <v>3.7503274845192901E-3</v>
      </c>
      <c r="J27" s="20">
        <v>7.7501677566835639E-2</v>
      </c>
      <c r="K27" s="20">
        <v>0.43872454170174974</v>
      </c>
      <c r="L27" s="20">
        <v>0</v>
      </c>
    </row>
    <row r="28" spans="1:12">
      <c r="A28" s="2" t="s">
        <v>355</v>
      </c>
      <c r="B28" s="3" t="s">
        <v>356</v>
      </c>
      <c r="D28" s="20">
        <v>6.3675689408397161E-4</v>
      </c>
      <c r="E28" s="20">
        <v>0.42452544948442256</v>
      </c>
      <c r="F28" s="20">
        <v>0.22307344310589586</v>
      </c>
      <c r="G28" s="20">
        <v>0.18938406143364203</v>
      </c>
      <c r="H28" s="20">
        <v>0</v>
      </c>
      <c r="I28" s="20">
        <v>1.2067944944884688E-2</v>
      </c>
      <c r="J28" s="20">
        <v>4.3640251911459156E-2</v>
      </c>
      <c r="K28" s="20">
        <v>0.5311975417100343</v>
      </c>
      <c r="L28" s="20">
        <v>0</v>
      </c>
    </row>
    <row r="29" spans="1:12">
      <c r="A29" s="2" t="s">
        <v>357</v>
      </c>
      <c r="B29" s="3" t="s">
        <v>358</v>
      </c>
      <c r="D29" s="20">
        <v>0.11478729780433013</v>
      </c>
      <c r="E29" s="20">
        <v>0.37390641781492023</v>
      </c>
      <c r="F29" s="20">
        <v>0.23087028933373477</v>
      </c>
      <c r="G29" s="20">
        <v>0.1268421522751387</v>
      </c>
      <c r="H29" s="20">
        <v>0</v>
      </c>
      <c r="I29" s="20">
        <v>1.6193976206046779E-2</v>
      </c>
      <c r="J29" s="20">
        <v>2.9162876606748357E-2</v>
      </c>
      <c r="K29" s="20">
        <v>0.48214340777400128</v>
      </c>
      <c r="L29" s="20">
        <v>0</v>
      </c>
    </row>
    <row r="30" spans="1:12">
      <c r="A30" s="2" t="s">
        <v>359</v>
      </c>
      <c r="B30" s="3" t="s">
        <v>360</v>
      </c>
      <c r="D30" s="20">
        <v>6.3675689408397161E-4</v>
      </c>
      <c r="E30" s="20">
        <v>0.42452544948442256</v>
      </c>
      <c r="F30" s="20">
        <v>0.22307344310589586</v>
      </c>
      <c r="G30" s="20">
        <v>0.18938406143364203</v>
      </c>
      <c r="H30" s="20">
        <v>0</v>
      </c>
      <c r="I30" s="20">
        <v>1.2067944944884688E-2</v>
      </c>
      <c r="J30" s="20">
        <v>4.3640251911459156E-2</v>
      </c>
      <c r="K30" s="20">
        <v>0.5311975417100343</v>
      </c>
      <c r="L30" s="20">
        <v>0</v>
      </c>
    </row>
    <row r="31" spans="1:12">
      <c r="A31" s="2" t="s">
        <v>283</v>
      </c>
      <c r="B31" s="3" t="s">
        <v>284</v>
      </c>
      <c r="D31" s="20">
        <v>2.6144805000540123E-8</v>
      </c>
      <c r="E31" s="20">
        <v>0.97656777187384181</v>
      </c>
      <c r="F31" s="20">
        <v>5.9876943337974772E-5</v>
      </c>
      <c r="G31" s="20">
        <v>2.4030077822052007E-5</v>
      </c>
      <c r="H31" s="20">
        <v>0</v>
      </c>
      <c r="I31" s="20">
        <v>0.97648386485268179</v>
      </c>
      <c r="J31" s="20">
        <v>1.2619845483592858E-4</v>
      </c>
      <c r="K31" s="20">
        <v>2.3306003526517367E-2</v>
      </c>
      <c r="L31" s="20">
        <v>0</v>
      </c>
    </row>
    <row r="32" spans="1:12">
      <c r="A32" s="2" t="s">
        <v>361</v>
      </c>
      <c r="B32" s="3" t="s">
        <v>362</v>
      </c>
      <c r="D32" s="20">
        <v>2.7244675568374572E-8</v>
      </c>
      <c r="E32" s="20">
        <v>0.58760610304545469</v>
      </c>
      <c r="F32" s="20">
        <v>2.4930669740778576E-2</v>
      </c>
      <c r="G32" s="20">
        <v>6.1468498838421499E-3</v>
      </c>
      <c r="H32" s="20">
        <v>0</v>
      </c>
      <c r="I32" s="20">
        <v>0.556528583420834</v>
      </c>
      <c r="J32" s="20">
        <v>1.4663397870137635E-3</v>
      </c>
      <c r="K32" s="20">
        <v>0.41092752992285586</v>
      </c>
      <c r="L32" s="20">
        <v>0</v>
      </c>
    </row>
    <row r="33" spans="1:12">
      <c r="A33" s="2" t="s">
        <v>364</v>
      </c>
      <c r="B33" s="3" t="s">
        <v>365</v>
      </c>
      <c r="D33" s="20">
        <v>1.2073539250612619E-10</v>
      </c>
      <c r="E33" s="20">
        <v>0.99981828406155293</v>
      </c>
      <c r="F33" s="20">
        <v>4.2029378334182378E-4</v>
      </c>
      <c r="G33" s="20">
        <v>1.285228326749781E-7</v>
      </c>
      <c r="H33" s="20">
        <v>0</v>
      </c>
      <c r="I33" s="20">
        <v>0.99939786175537848</v>
      </c>
      <c r="J33" s="20">
        <v>1.2458204279748562E-4</v>
      </c>
      <c r="K33" s="20">
        <v>5.7133774913997469E-5</v>
      </c>
      <c r="L33" s="20">
        <v>0</v>
      </c>
    </row>
    <row r="34" spans="1:12">
      <c r="A34" s="2" t="s">
        <v>285</v>
      </c>
      <c r="B34" s="3" t="s">
        <v>286</v>
      </c>
      <c r="D34" s="20">
        <v>6.0312472718404937E-10</v>
      </c>
      <c r="E34" s="20">
        <v>0.99945069969227018</v>
      </c>
      <c r="F34" s="20">
        <v>7.5979264038359057E-2</v>
      </c>
      <c r="G34" s="20">
        <v>6.2397844814428694E-6</v>
      </c>
      <c r="H34" s="20">
        <v>0</v>
      </c>
      <c r="I34" s="20">
        <v>0.92346519586942966</v>
      </c>
      <c r="J34" s="20">
        <v>2.2219844221440166E-4</v>
      </c>
      <c r="K34" s="20">
        <v>3.271012623907916E-4</v>
      </c>
      <c r="L34" s="20">
        <v>0</v>
      </c>
    </row>
    <row r="35" spans="1:12">
      <c r="A35" s="2" t="s">
        <v>287</v>
      </c>
      <c r="B35" s="3" t="s">
        <v>288</v>
      </c>
      <c r="D35" s="20">
        <v>2.6570201650162599E-11</v>
      </c>
      <c r="E35" s="20">
        <v>0.99846627417762679</v>
      </c>
      <c r="F35" s="20">
        <v>0.1715983937903684</v>
      </c>
      <c r="G35" s="20">
        <v>3.3230780443478315E-5</v>
      </c>
      <c r="H35" s="20">
        <v>0</v>
      </c>
      <c r="I35" s="20">
        <v>0.82683464960681496</v>
      </c>
      <c r="J35" s="20">
        <v>3.362874222353354E-4</v>
      </c>
      <c r="K35" s="20">
        <v>1.1974383735678009E-3</v>
      </c>
      <c r="L35" s="20">
        <v>0</v>
      </c>
    </row>
    <row r="36" spans="1:12">
      <c r="A36" s="2" t="s">
        <v>366</v>
      </c>
      <c r="B36" s="3" t="s">
        <v>305</v>
      </c>
      <c r="D36" s="20">
        <v>9.2941764580297366E-8</v>
      </c>
      <c r="E36" s="20">
        <v>0.99670530434295601</v>
      </c>
      <c r="F36" s="20">
        <v>0.44933695904381804</v>
      </c>
      <c r="G36" s="20">
        <v>1.2865122484101112E-4</v>
      </c>
      <c r="H36" s="20">
        <v>0</v>
      </c>
      <c r="I36" s="20">
        <v>0.54723969407429696</v>
      </c>
      <c r="J36" s="20">
        <v>6.392234734584123E-4</v>
      </c>
      <c r="K36" s="20">
        <v>2.6553792418209377E-3</v>
      </c>
      <c r="L36" s="20">
        <v>0</v>
      </c>
    </row>
    <row r="37" spans="1:12">
      <c r="A37" s="2" t="s">
        <v>289</v>
      </c>
      <c r="B37" s="3" t="s">
        <v>290</v>
      </c>
      <c r="D37" s="20">
        <v>1.1899258540129011E-14</v>
      </c>
      <c r="E37" s="20">
        <v>0.79740339477502908</v>
      </c>
      <c r="F37" s="20">
        <v>0.19785194410405191</v>
      </c>
      <c r="G37" s="20">
        <v>6.7547584458607212E-3</v>
      </c>
      <c r="H37" s="20">
        <v>0</v>
      </c>
      <c r="I37" s="20">
        <v>0.59279669222511644</v>
      </c>
      <c r="J37" s="20">
        <v>1.8156789022005335E-3</v>
      </c>
      <c r="K37" s="20">
        <v>0.2007809263227586</v>
      </c>
      <c r="L37" s="20">
        <v>0</v>
      </c>
    </row>
    <row r="38" spans="1:12">
      <c r="A38" s="2" t="s">
        <v>291</v>
      </c>
      <c r="B38" s="3" t="s">
        <v>292</v>
      </c>
      <c r="D38" s="20">
        <v>1.8419700456654501E-12</v>
      </c>
      <c r="E38" s="20">
        <v>0.99691894222145294</v>
      </c>
      <c r="F38" s="20">
        <v>5.8631090397384254E-2</v>
      </c>
      <c r="G38" s="20">
        <v>4.8982959227433689E-5</v>
      </c>
      <c r="H38" s="20">
        <v>0</v>
      </c>
      <c r="I38" s="20">
        <v>0.9382388688648412</v>
      </c>
      <c r="J38" s="20">
        <v>2.1055712804890394E-4</v>
      </c>
      <c r="K38" s="20">
        <v>2.8705006486562249E-3</v>
      </c>
      <c r="L38" s="20">
        <v>0</v>
      </c>
    </row>
    <row r="39" spans="1:12">
      <c r="A39" s="2" t="s">
        <v>367</v>
      </c>
      <c r="B39" s="3" t="s">
        <v>368</v>
      </c>
      <c r="D39" s="20">
        <v>6.8666814719165229E-5</v>
      </c>
      <c r="E39" s="20">
        <v>0.46387984039679719</v>
      </c>
      <c r="F39" s="20">
        <v>0.35311902519398491</v>
      </c>
      <c r="G39" s="20">
        <v>6.1676067105807829E-2</v>
      </c>
      <c r="H39" s="20">
        <v>0</v>
      </c>
      <c r="I39" s="20">
        <v>4.9084748097004437E-2</v>
      </c>
      <c r="J39" s="20">
        <v>1.4101010942326074E-2</v>
      </c>
      <c r="K39" s="20">
        <v>0.52195048184615767</v>
      </c>
      <c r="L39" s="20">
        <v>0</v>
      </c>
    </row>
    <row r="40" spans="1:12">
      <c r="A40" s="2" t="s">
        <v>369</v>
      </c>
      <c r="B40" s="3" t="s">
        <v>370</v>
      </c>
      <c r="D40" s="20">
        <v>8.2922268764593953E-12</v>
      </c>
      <c r="E40" s="20">
        <v>0.8936096754740841</v>
      </c>
      <c r="F40" s="20">
        <v>0.82486099367092647</v>
      </c>
      <c r="G40" s="20">
        <v>5.9676197684857019E-2</v>
      </c>
      <c r="H40" s="20">
        <v>0</v>
      </c>
      <c r="I40" s="20">
        <v>9.0724841183005868E-3</v>
      </c>
      <c r="J40" s="20">
        <v>8.0441733893285433E-2</v>
      </c>
      <c r="K40" s="20">
        <v>2.5948590624338241E-2</v>
      </c>
      <c r="L40" s="20">
        <v>0</v>
      </c>
    </row>
    <row r="41" spans="1:12">
      <c r="A41" s="2" t="s">
        <v>371</v>
      </c>
      <c r="B41" s="3" t="s">
        <v>372</v>
      </c>
      <c r="D41" s="20">
        <v>8.1538279373397804E-2</v>
      </c>
      <c r="E41" s="20">
        <v>0.9137832548909397</v>
      </c>
      <c r="F41" s="20">
        <v>2.7876340304298821E-6</v>
      </c>
      <c r="G41" s="20">
        <v>1.395504730363501E-6</v>
      </c>
      <c r="H41" s="20">
        <v>0</v>
      </c>
      <c r="I41" s="20">
        <v>0.91377907175217887</v>
      </c>
      <c r="J41" s="20">
        <v>1.1343250255437794E-4</v>
      </c>
      <c r="K41" s="20">
        <v>4.5650332331080169E-3</v>
      </c>
      <c r="L41" s="20">
        <v>0</v>
      </c>
    </row>
    <row r="42" spans="1:12">
      <c r="A42" s="2" t="s">
        <v>293</v>
      </c>
      <c r="B42" s="3" t="s">
        <v>294</v>
      </c>
      <c r="D42" s="20">
        <v>2.0783592680093264E-8</v>
      </c>
      <c r="E42" s="20">
        <v>0.64528753763540481</v>
      </c>
      <c r="F42" s="20">
        <v>1.6672273933126116E-2</v>
      </c>
      <c r="G42" s="20">
        <v>4.2765188702728841E-3</v>
      </c>
      <c r="H42" s="20">
        <v>0</v>
      </c>
      <c r="I42" s="20">
        <v>0.6243387448320058</v>
      </c>
      <c r="J42" s="20">
        <v>1.0385319693070143E-3</v>
      </c>
      <c r="K42" s="20">
        <v>0.35367390961169565</v>
      </c>
      <c r="L42" s="20">
        <v>0</v>
      </c>
    </row>
    <row r="43" spans="1:12">
      <c r="A43" s="2" t="s">
        <v>373</v>
      </c>
      <c r="B43" s="3" t="s">
        <v>374</v>
      </c>
      <c r="D43" s="20">
        <v>3.9724649207383059E-7</v>
      </c>
      <c r="E43" s="20">
        <v>0.99384324174426542</v>
      </c>
      <c r="F43" s="20">
        <v>0.91159084253588762</v>
      </c>
      <c r="G43" s="20">
        <v>7.697006888224766E-4</v>
      </c>
      <c r="H43" s="20">
        <v>0</v>
      </c>
      <c r="I43" s="20">
        <v>8.1482698519555308E-2</v>
      </c>
      <c r="J43" s="20">
        <v>2.2709720139860827E-3</v>
      </c>
      <c r="K43" s="20">
        <v>3.8853889952563348E-3</v>
      </c>
      <c r="L43" s="20">
        <v>0</v>
      </c>
    </row>
    <row r="44" spans="1:12">
      <c r="A44" s="2" t="s">
        <v>375</v>
      </c>
      <c r="B44" s="3" t="s">
        <v>376</v>
      </c>
      <c r="D44" s="20">
        <v>8.6894081926532127E-2</v>
      </c>
      <c r="E44" s="20">
        <v>0.78301487920381629</v>
      </c>
      <c r="F44" s="20">
        <v>1.9863895140750454E-3</v>
      </c>
      <c r="G44" s="20">
        <v>6.0584282559758172E-4</v>
      </c>
      <c r="H44" s="20">
        <v>0</v>
      </c>
      <c r="I44" s="20">
        <v>0.78042264686414364</v>
      </c>
      <c r="J44" s="20">
        <v>2.3187570226807143E-4</v>
      </c>
      <c r="K44" s="20">
        <v>0.12985916316738325</v>
      </c>
      <c r="L44" s="20">
        <v>0</v>
      </c>
    </row>
    <row r="45" spans="1:12">
      <c r="A45" s="2" t="s">
        <v>377</v>
      </c>
      <c r="B45" s="3" t="s">
        <v>378</v>
      </c>
      <c r="D45" s="20">
        <v>8.1152842424520402E-4</v>
      </c>
      <c r="E45" s="20">
        <v>0.62218073957227649</v>
      </c>
      <c r="F45" s="20">
        <v>1.949745608040632E-2</v>
      </c>
      <c r="G45" s="20">
        <v>4.9280318509095609E-3</v>
      </c>
      <c r="H45" s="20">
        <v>0</v>
      </c>
      <c r="I45" s="20">
        <v>0.59775525164096055</v>
      </c>
      <c r="J45" s="20">
        <v>1.1823248295633275E-3</v>
      </c>
      <c r="K45" s="20">
        <v>0.37582540717391499</v>
      </c>
      <c r="L45" s="20">
        <v>0</v>
      </c>
    </row>
    <row r="46" spans="1:12">
      <c r="A46" s="2" t="s">
        <v>379</v>
      </c>
      <c r="B46" s="3" t="s">
        <v>380</v>
      </c>
      <c r="D46" s="20">
        <v>2.3991573645132853E-3</v>
      </c>
      <c r="E46" s="20">
        <v>0.63531823251289798</v>
      </c>
      <c r="F46" s="20">
        <v>1.7649522077930708E-2</v>
      </c>
      <c r="G46" s="20">
        <v>4.5022385807230733E-3</v>
      </c>
      <c r="H46" s="20">
        <v>0</v>
      </c>
      <c r="I46" s="20">
        <v>0.61316647185424422</v>
      </c>
      <c r="J46" s="20">
        <v>1.0881041377317118E-3</v>
      </c>
      <c r="K46" s="20">
        <v>0.36119450598485703</v>
      </c>
      <c r="L46" s="20">
        <v>0</v>
      </c>
    </row>
    <row r="47" spans="1:12">
      <c r="A47" s="2" t="s">
        <v>381</v>
      </c>
      <c r="B47" s="3" t="s">
        <v>382</v>
      </c>
      <c r="D47" s="20">
        <v>2.241624648197649E-7</v>
      </c>
      <c r="E47" s="20">
        <v>0.48251867549832989</v>
      </c>
      <c r="F47" s="20">
        <v>0.12913296063556709</v>
      </c>
      <c r="G47" s="20">
        <v>0.34989091300552072</v>
      </c>
      <c r="H47" s="20">
        <v>0</v>
      </c>
      <c r="I47" s="20">
        <v>3.4948018572420526E-3</v>
      </c>
      <c r="J47" s="20">
        <v>8.1120737556039463E-2</v>
      </c>
      <c r="K47" s="20">
        <v>0.43636036278316587</v>
      </c>
      <c r="L47" s="20">
        <v>0</v>
      </c>
    </row>
    <row r="48" spans="1:12">
      <c r="A48" s="2" t="s">
        <v>383</v>
      </c>
      <c r="B48" s="3" t="s">
        <v>384</v>
      </c>
      <c r="D48" s="20">
        <v>1.1822448069857487E-2</v>
      </c>
      <c r="E48" s="20">
        <v>0.91110649220816919</v>
      </c>
      <c r="F48" s="20">
        <v>6.3122127763711084E-4</v>
      </c>
      <c r="G48" s="20">
        <v>2.1187376560340176E-4</v>
      </c>
      <c r="H48" s="20">
        <v>0</v>
      </c>
      <c r="I48" s="20">
        <v>0.91026339716492866</v>
      </c>
      <c r="J48" s="20">
        <v>1.5981927037390266E-4</v>
      </c>
      <c r="K48" s="20">
        <v>7.6911240451599458E-2</v>
      </c>
      <c r="L48" s="20">
        <v>0</v>
      </c>
    </row>
    <row r="49" spans="1:12">
      <c r="A49" s="2" t="s">
        <v>385</v>
      </c>
      <c r="B49" s="3" t="s">
        <v>386</v>
      </c>
      <c r="D49" s="20">
        <v>2.2206056699407554E-2</v>
      </c>
      <c r="E49" s="20">
        <v>0.87533357067120043</v>
      </c>
      <c r="F49" s="20">
        <v>1.1322586814573035E-3</v>
      </c>
      <c r="G49" s="20">
        <v>3.6294533159667188E-4</v>
      </c>
      <c r="H49" s="20">
        <v>0</v>
      </c>
      <c r="I49" s="20">
        <v>0.8738383666581464</v>
      </c>
      <c r="J49" s="20">
        <v>1.8905643584373103E-4</v>
      </c>
      <c r="K49" s="20">
        <v>0.10227131619354818</v>
      </c>
      <c r="L49" s="20">
        <v>0</v>
      </c>
    </row>
    <row r="50" spans="1:12">
      <c r="A50" s="2" t="s">
        <v>387</v>
      </c>
      <c r="B50" s="3" t="s">
        <v>388</v>
      </c>
      <c r="D50" s="20">
        <v>1.6698375970240636E-2</v>
      </c>
      <c r="E50" s="20">
        <v>0.36252513597497116</v>
      </c>
      <c r="F50" s="20">
        <v>0.14234704303978202</v>
      </c>
      <c r="G50" s="20">
        <v>2.8578801067344589E-2</v>
      </c>
      <c r="H50" s="20">
        <v>0</v>
      </c>
      <c r="I50" s="20">
        <v>0.19159929186784455</v>
      </c>
      <c r="J50" s="20">
        <v>6.5102639748854541E-3</v>
      </c>
      <c r="K50" s="20">
        <v>0.61426622407990272</v>
      </c>
      <c r="L50" s="20">
        <v>0</v>
      </c>
    </row>
    <row r="51" spans="1:12">
      <c r="A51" s="2" t="s">
        <v>295</v>
      </c>
      <c r="B51" s="3" t="s">
        <v>296</v>
      </c>
      <c r="D51" s="20">
        <v>6.5419949782204168E-2</v>
      </c>
      <c r="E51" s="20">
        <v>0.90493426107588448</v>
      </c>
      <c r="F51" s="20">
        <v>1.0110774426737308E-4</v>
      </c>
      <c r="G51" s="20">
        <v>3.8822185166756936E-5</v>
      </c>
      <c r="H51" s="20">
        <v>0</v>
      </c>
      <c r="I51" s="20">
        <v>0.90479433114645036</v>
      </c>
      <c r="J51" s="20">
        <v>1.2060552085093207E-4</v>
      </c>
      <c r="K51" s="20">
        <v>2.9525183621060436E-2</v>
      </c>
      <c r="L51" s="20">
        <v>0</v>
      </c>
    </row>
    <row r="52" spans="1:12">
      <c r="A52" s="2" t="s">
        <v>389</v>
      </c>
      <c r="B52" s="3" t="s">
        <v>390</v>
      </c>
      <c r="D52" s="20">
        <v>7.1544262935377065E-2</v>
      </c>
      <c r="E52" s="20">
        <v>0.75695316197792539</v>
      </c>
      <c r="F52" s="20">
        <v>3.4901896695206068E-3</v>
      </c>
      <c r="G52" s="20">
        <v>1.018461424271004E-3</v>
      </c>
      <c r="H52" s="20">
        <v>0</v>
      </c>
      <c r="I52" s="20">
        <v>0.75244451088413378</v>
      </c>
      <c r="J52" s="20">
        <v>3.2092253222888386E-4</v>
      </c>
      <c r="K52" s="20">
        <v>0.17118165255446854</v>
      </c>
      <c r="L52" s="20">
        <v>0</v>
      </c>
    </row>
    <row r="53" spans="1:12">
      <c r="A53" s="2" t="s">
        <v>391</v>
      </c>
      <c r="B53" s="3" t="s">
        <v>392</v>
      </c>
      <c r="D53" s="20">
        <v>2.6490909204430961E-3</v>
      </c>
      <c r="E53" s="20">
        <v>0.55016248629769471</v>
      </c>
      <c r="F53" s="20">
        <v>3.1172460193559081E-2</v>
      </c>
      <c r="G53" s="20">
        <v>7.5243092084054742E-3</v>
      </c>
      <c r="H53" s="20">
        <v>0</v>
      </c>
      <c r="I53" s="20">
        <v>0.51146571689573017</v>
      </c>
      <c r="J53" s="20">
        <v>1.7586266253809574E-3</v>
      </c>
      <c r="K53" s="20">
        <v>0.44542979615648121</v>
      </c>
      <c r="L53" s="20">
        <v>0</v>
      </c>
    </row>
    <row r="54" spans="1:12">
      <c r="A54" s="2" t="s">
        <v>393</v>
      </c>
      <c r="B54" s="3" t="s">
        <v>394</v>
      </c>
      <c r="D54" s="20">
        <v>9.9541938906096226E-4</v>
      </c>
      <c r="E54" s="20">
        <v>0.46326108884189771</v>
      </c>
      <c r="F54" s="20">
        <v>0.14855261825524185</v>
      </c>
      <c r="G54" s="20">
        <v>0.31001011632181957</v>
      </c>
      <c r="H54" s="20">
        <v>0</v>
      </c>
      <c r="I54" s="20">
        <v>4.6983542648362788E-3</v>
      </c>
      <c r="J54" s="20">
        <v>7.1774991325213769E-2</v>
      </c>
      <c r="K54" s="20">
        <v>0.46396850044382765</v>
      </c>
      <c r="L54" s="20">
        <v>0</v>
      </c>
    </row>
    <row r="55" spans="1:12">
      <c r="A55" s="2" t="s">
        <v>395</v>
      </c>
      <c r="B55" s="3" t="s">
        <v>396</v>
      </c>
      <c r="D55" s="20">
        <v>0.2285527190446828</v>
      </c>
      <c r="E55" s="20">
        <v>0.31502598993642261</v>
      </c>
      <c r="F55" s="20">
        <v>6.5835571098934217E-2</v>
      </c>
      <c r="G55" s="20">
        <v>1.4202217606592134E-2</v>
      </c>
      <c r="H55" s="20">
        <v>0</v>
      </c>
      <c r="I55" s="20">
        <v>0.23498820123089625</v>
      </c>
      <c r="J55" s="20">
        <v>3.2433173571550888E-3</v>
      </c>
      <c r="K55" s="20">
        <v>0.45317797366173962</v>
      </c>
      <c r="L55" s="20">
        <v>0</v>
      </c>
    </row>
    <row r="56" spans="1:12">
      <c r="A56" s="2" t="s">
        <v>397</v>
      </c>
      <c r="B56" s="3" t="s">
        <v>398</v>
      </c>
      <c r="D56" s="20">
        <v>0.82938082512170164</v>
      </c>
      <c r="E56" s="20">
        <v>6.3804193880042936E-2</v>
      </c>
      <c r="F56" s="20">
        <v>3.4948473035949564E-2</v>
      </c>
      <c r="G56" s="20">
        <v>6.6393224396105342E-3</v>
      </c>
      <c r="H56" s="20">
        <v>0</v>
      </c>
      <c r="I56" s="20">
        <v>2.2216398404482838E-2</v>
      </c>
      <c r="J56" s="20">
        <v>1.5130364098010641E-3</v>
      </c>
      <c r="K56" s="20">
        <v>0.10530194458845431</v>
      </c>
      <c r="L56" s="20">
        <v>0</v>
      </c>
    </row>
    <row r="57" spans="1:12">
      <c r="A57" s="2" t="s">
        <v>399</v>
      </c>
      <c r="B57" s="3" t="s">
        <v>400</v>
      </c>
      <c r="D57" s="20">
        <v>0.87423636363972557</v>
      </c>
      <c r="E57" s="20">
        <v>4.8985471085064375E-2</v>
      </c>
      <c r="F57" s="20">
        <v>1.2927158739912157E-2</v>
      </c>
      <c r="G57" s="20">
        <v>2.7226927641060654E-3</v>
      </c>
      <c r="H57" s="20">
        <v>0</v>
      </c>
      <c r="I57" s="20">
        <v>3.3335619581046153E-2</v>
      </c>
      <c r="J57" s="20">
        <v>6.2091278368322622E-4</v>
      </c>
      <c r="K57" s="20">
        <v>7.6157252491526564E-2</v>
      </c>
      <c r="L57" s="20">
        <v>0</v>
      </c>
    </row>
    <row r="58" spans="1:12">
      <c r="A58" s="2" t="s">
        <v>297</v>
      </c>
      <c r="B58" s="3" t="s">
        <v>298</v>
      </c>
      <c r="D58" s="20">
        <v>0.93250145772108983</v>
      </c>
      <c r="E58" s="20">
        <v>5.9560474629709328E-2</v>
      </c>
      <c r="F58" s="20">
        <v>9.8883478216245705E-5</v>
      </c>
      <c r="G58" s="20">
        <v>3.1118545503473809E-5</v>
      </c>
      <c r="H58" s="20">
        <v>0</v>
      </c>
      <c r="I58" s="20">
        <v>5.9430472605989611E-2</v>
      </c>
      <c r="J58" s="20">
        <v>1.4296568394126638E-5</v>
      </c>
      <c r="K58" s="20">
        <v>7.9237710808067689E-3</v>
      </c>
      <c r="L58" s="20">
        <v>0</v>
      </c>
    </row>
    <row r="59" spans="1:12">
      <c r="A59" s="2" t="s">
        <v>401</v>
      </c>
      <c r="B59" s="3" t="s">
        <v>402</v>
      </c>
      <c r="D59" s="20">
        <v>0.95394152231139373</v>
      </c>
      <c r="E59" s="20">
        <v>1.8118481581628255E-2</v>
      </c>
      <c r="F59" s="20">
        <v>4.5393740192096153E-3</v>
      </c>
      <c r="G59" s="20">
        <v>9.6137211933750868E-4</v>
      </c>
      <c r="H59" s="20">
        <v>0</v>
      </c>
      <c r="I59" s="20">
        <v>1.2617735443081132E-2</v>
      </c>
      <c r="J59" s="20">
        <v>2.1929861161978836E-4</v>
      </c>
      <c r="K59" s="20">
        <v>2.7720697495358271E-2</v>
      </c>
      <c r="L59" s="20">
        <v>0</v>
      </c>
    </row>
    <row r="60" spans="1:12">
      <c r="A60" s="2" t="s">
        <v>299</v>
      </c>
      <c r="B60" s="3" t="s">
        <v>300</v>
      </c>
      <c r="D60" s="20">
        <v>0.99881715657860193</v>
      </c>
      <c r="E60" s="20">
        <v>5.3654231822509622E-4</v>
      </c>
      <c r="F60" s="20">
        <v>7.0885957246784331E-5</v>
      </c>
      <c r="G60" s="20">
        <v>1.5953492181787355E-5</v>
      </c>
      <c r="H60" s="20">
        <v>0</v>
      </c>
      <c r="I60" s="20">
        <v>4.4970286879652448E-4</v>
      </c>
      <c r="J60" s="20">
        <v>3.660155501399592E-6</v>
      </c>
      <c r="K60" s="20">
        <v>6.4264094767150647E-4</v>
      </c>
      <c r="L60" s="20">
        <v>0</v>
      </c>
    </row>
    <row r="61" spans="1:12">
      <c r="A61" s="2" t="s">
        <v>403</v>
      </c>
      <c r="B61" s="3" t="s">
        <v>404</v>
      </c>
      <c r="D61" s="20">
        <v>6.7797225445228036E-44</v>
      </c>
      <c r="E61" s="20">
        <v>0.48970066057537093</v>
      </c>
      <c r="F61" s="20">
        <v>4.6804341120255652E-2</v>
      </c>
      <c r="G61" s="20">
        <v>1.0828833875784748E-2</v>
      </c>
      <c r="H61" s="20">
        <v>0</v>
      </c>
      <c r="I61" s="20">
        <v>0.4320674855793305</v>
      </c>
      <c r="J61" s="20">
        <v>2.4974390292058948E-3</v>
      </c>
      <c r="K61" s="20">
        <v>0.50780190039542317</v>
      </c>
      <c r="L61" s="20">
        <v>0</v>
      </c>
    </row>
    <row r="62" spans="1:12">
      <c r="A62" s="2" t="s">
        <v>405</v>
      </c>
      <c r="B62" s="3" t="s">
        <v>406</v>
      </c>
      <c r="D62" s="20">
        <v>4.9780917061204223E-7</v>
      </c>
      <c r="E62" s="20">
        <v>0.42229704795905526</v>
      </c>
      <c r="F62" s="20">
        <v>0.25955960691907898</v>
      </c>
      <c r="G62" s="20">
        <v>0.14468804985997877</v>
      </c>
      <c r="H62" s="20">
        <v>0</v>
      </c>
      <c r="I62" s="20">
        <v>1.8049391179997504E-2</v>
      </c>
      <c r="J62" s="20">
        <v>3.326838583144192E-2</v>
      </c>
      <c r="K62" s="20">
        <v>0.54443406840033215</v>
      </c>
      <c r="L62" s="20">
        <v>0</v>
      </c>
    </row>
    <row r="63" spans="1:12">
      <c r="A63" s="2" t="s">
        <v>407</v>
      </c>
      <c r="B63" s="3" t="s">
        <v>408</v>
      </c>
      <c r="D63" s="20">
        <v>1.4768000594149748E-4</v>
      </c>
      <c r="E63" s="20">
        <v>0.52024477189714224</v>
      </c>
      <c r="F63" s="20">
        <v>9.8740635047637942E-2</v>
      </c>
      <c r="G63" s="20">
        <v>0.41946088751726268</v>
      </c>
      <c r="H63" s="20">
        <v>0</v>
      </c>
      <c r="I63" s="20">
        <v>2.0432493322415902E-3</v>
      </c>
      <c r="J63" s="20">
        <v>9.7483735720344772E-2</v>
      </c>
      <c r="K63" s="20">
        <v>0.38212381237657161</v>
      </c>
      <c r="L63" s="20">
        <v>0</v>
      </c>
    </row>
    <row r="64" spans="1:12">
      <c r="A64" s="2" t="s">
        <v>409</v>
      </c>
      <c r="B64" s="3" t="s">
        <v>410</v>
      </c>
      <c r="D64" s="20">
        <v>2.0418985602369752E-5</v>
      </c>
      <c r="E64" s="20">
        <v>0.58914429283249492</v>
      </c>
      <c r="F64" s="20">
        <v>5.9416679526626062E-2</v>
      </c>
      <c r="G64" s="20">
        <v>0.52893698232636865</v>
      </c>
      <c r="H64" s="20">
        <v>0</v>
      </c>
      <c r="I64" s="20">
        <v>7.9063097950016182E-4</v>
      </c>
      <c r="J64" s="20">
        <v>0.12341556701767348</v>
      </c>
      <c r="K64" s="20">
        <v>0.2874197211642292</v>
      </c>
      <c r="L64" s="20">
        <v>0</v>
      </c>
    </row>
    <row r="65" spans="1:12">
      <c r="A65" s="2" t="s">
        <v>301</v>
      </c>
      <c r="B65" s="3" t="s">
        <v>302</v>
      </c>
      <c r="D65" s="20">
        <v>2.7961443482193376E-6</v>
      </c>
      <c r="E65" s="20">
        <v>0.66165235835426728</v>
      </c>
      <c r="F65" s="20">
        <v>3.0551588970516467E-2</v>
      </c>
      <c r="G65" s="20">
        <v>0.63085472171633572</v>
      </c>
      <c r="H65" s="20">
        <v>0</v>
      </c>
      <c r="I65" s="20">
        <v>2.4604766741506944E-4</v>
      </c>
      <c r="J65" s="20">
        <v>0.14786808841263518</v>
      </c>
      <c r="K65" s="20">
        <v>0.19047675708874928</v>
      </c>
      <c r="L65" s="20">
        <v>0</v>
      </c>
    </row>
    <row r="66" spans="1:12">
      <c r="A66" s="2" t="s">
        <v>303</v>
      </c>
      <c r="B66" s="3" t="s">
        <v>304</v>
      </c>
      <c r="D66" s="20">
        <v>2.5552466408241761E-12</v>
      </c>
      <c r="E66" s="20">
        <v>0.62204892210706686</v>
      </c>
      <c r="F66" s="20">
        <v>4.5061644904977577E-2</v>
      </c>
      <c r="G66" s="20">
        <v>0.57650436020597207</v>
      </c>
      <c r="H66" s="20">
        <v>0</v>
      </c>
      <c r="I66" s="20">
        <v>4.8291699611721699E-4</v>
      </c>
      <c r="J66" s="20">
        <v>0.13477814834174867</v>
      </c>
      <c r="K66" s="20">
        <v>0.24317292954862915</v>
      </c>
      <c r="L66" s="20">
        <v>0</v>
      </c>
    </row>
    <row r="67" spans="1:12">
      <c r="A67" s="2" t="s">
        <v>411</v>
      </c>
      <c r="B67" s="3" t="s">
        <v>412</v>
      </c>
      <c r="D67" s="20">
        <v>4.784699728581367E-3</v>
      </c>
      <c r="E67" s="20">
        <v>0.84036275867727539</v>
      </c>
      <c r="F67" s="20">
        <v>2.6021294805450368E-3</v>
      </c>
      <c r="G67" s="20">
        <v>7.8203188125102894E-4</v>
      </c>
      <c r="H67" s="20">
        <v>0</v>
      </c>
      <c r="I67" s="20">
        <v>0.8369785973154793</v>
      </c>
      <c r="J67" s="20">
        <v>2.7831260043618424E-4</v>
      </c>
      <c r="K67" s="20">
        <v>0.15457422899370712</v>
      </c>
      <c r="L67" s="20">
        <v>0</v>
      </c>
    </row>
    <row r="68" spans="1:12">
      <c r="A68" s="2" t="s">
        <v>413</v>
      </c>
      <c r="B68" s="3" t="s">
        <v>414</v>
      </c>
      <c r="D68" s="20">
        <v>1.0500829627049844E-2</v>
      </c>
      <c r="E68" s="20">
        <v>0.78675303967491417</v>
      </c>
      <c r="F68" s="20">
        <v>4.6504804941783426E-3</v>
      </c>
      <c r="G68" s="20">
        <v>1.3322734784820835E-3</v>
      </c>
      <c r="H68" s="20">
        <v>0</v>
      </c>
      <c r="I68" s="20">
        <v>0.78077028570225371</v>
      </c>
      <c r="J68" s="20">
        <v>3.9482408230446175E-4</v>
      </c>
      <c r="K68" s="20">
        <v>0.20235130661573153</v>
      </c>
      <c r="L68" s="20">
        <v>0</v>
      </c>
    </row>
    <row r="69" spans="1:12">
      <c r="A69" s="2" t="s">
        <v>415</v>
      </c>
      <c r="B69" s="3" t="s">
        <v>416</v>
      </c>
      <c r="D69" s="20">
        <v>6.1054848217484709E-3</v>
      </c>
      <c r="E69" s="20">
        <v>0.44008048206393202</v>
      </c>
      <c r="F69" s="20">
        <v>0.17664216167988284</v>
      </c>
      <c r="G69" s="20">
        <v>0.25650151004642369</v>
      </c>
      <c r="H69" s="20">
        <v>0</v>
      </c>
      <c r="I69" s="20">
        <v>6.936810337625522E-3</v>
      </c>
      <c r="J69" s="20">
        <v>5.9272743812853024E-2</v>
      </c>
      <c r="K69" s="20">
        <v>0.4945412893014664</v>
      </c>
      <c r="L69" s="20">
        <v>0</v>
      </c>
    </row>
    <row r="70" spans="1:12">
      <c r="A70" s="2" t="s">
        <v>417</v>
      </c>
      <c r="B70" s="3" t="s">
        <v>418</v>
      </c>
      <c r="D70" s="20">
        <v>1.168220124469903E-2</v>
      </c>
      <c r="E70" s="20">
        <v>0.39064229453889893</v>
      </c>
      <c r="F70" s="20">
        <v>0.25061028955302223</v>
      </c>
      <c r="G70" s="20">
        <v>4.5803055827237857E-2</v>
      </c>
      <c r="H70" s="20">
        <v>0</v>
      </c>
      <c r="I70" s="20">
        <v>9.4228949158638858E-2</v>
      </c>
      <c r="J70" s="20">
        <v>1.0447059464320558E-2</v>
      </c>
      <c r="K70" s="20">
        <v>0.58722844475208169</v>
      </c>
      <c r="L70" s="20">
        <v>0</v>
      </c>
    </row>
    <row r="71" spans="1:12">
      <c r="A71" s="2" t="s">
        <v>419</v>
      </c>
      <c r="B71" s="3" t="s">
        <v>420</v>
      </c>
      <c r="D71" s="20">
        <v>2.5649485493238616E-2</v>
      </c>
      <c r="E71" s="20">
        <v>0.78275154955444048</v>
      </c>
      <c r="F71" s="20">
        <v>4.1894100755106647E-3</v>
      </c>
      <c r="G71" s="20">
        <v>1.2090616002765056E-3</v>
      </c>
      <c r="H71" s="20">
        <v>0</v>
      </c>
      <c r="I71" s="20">
        <v>0.77735307787865326</v>
      </c>
      <c r="J71" s="20">
        <v>3.6674846670950391E-4</v>
      </c>
      <c r="K71" s="20">
        <v>0.19123221648561148</v>
      </c>
      <c r="L71" s="20">
        <v>0</v>
      </c>
    </row>
    <row r="72" spans="1:12">
      <c r="A72" s="2" t="s">
        <v>421</v>
      </c>
      <c r="B72" s="3" t="s">
        <v>422</v>
      </c>
      <c r="D72" s="20">
        <v>4.5523553448553279E-2</v>
      </c>
      <c r="E72" s="20">
        <v>0.36907391156378322</v>
      </c>
      <c r="F72" s="20">
        <v>0.22600100451853652</v>
      </c>
      <c r="G72" s="20">
        <v>4.184137277300333E-2</v>
      </c>
      <c r="H72" s="20">
        <v>0</v>
      </c>
      <c r="I72" s="20">
        <v>0.10123153427224336</v>
      </c>
      <c r="J72" s="20">
        <v>9.5403570830085715E-3</v>
      </c>
      <c r="K72" s="20">
        <v>0.57586217790465488</v>
      </c>
      <c r="L72" s="20">
        <v>0</v>
      </c>
    </row>
    <row r="73" spans="1:12">
      <c r="A73" s="2" t="s">
        <v>423</v>
      </c>
      <c r="B73" s="3" t="s">
        <v>424</v>
      </c>
      <c r="D73" s="20">
        <v>2.0172984927062824E-2</v>
      </c>
      <c r="E73" s="20">
        <v>0.46756843408265925</v>
      </c>
      <c r="F73" s="20">
        <v>4.9870575381346892E-2</v>
      </c>
      <c r="G73" s="20">
        <v>1.1432466416417108E-2</v>
      </c>
      <c r="H73" s="20">
        <v>0</v>
      </c>
      <c r="I73" s="20">
        <v>0.40626539228489522</v>
      </c>
      <c r="J73" s="20">
        <v>2.6314213833938394E-3</v>
      </c>
      <c r="K73" s="20">
        <v>0.50962715960688421</v>
      </c>
      <c r="L73" s="20">
        <v>0</v>
      </c>
    </row>
    <row r="74" spans="1:12">
      <c r="A74" s="2" t="s">
        <v>425</v>
      </c>
      <c r="B74" s="3" t="s">
        <v>426</v>
      </c>
      <c r="D74" s="20">
        <v>1.7704492730872708E-2</v>
      </c>
      <c r="E74" s="20">
        <v>0.38571199233485587</v>
      </c>
      <c r="F74" s="20">
        <v>0.24431925912512842</v>
      </c>
      <c r="G74" s="20">
        <v>4.4818081098389258E-2</v>
      </c>
      <c r="H74" s="20">
        <v>0</v>
      </c>
      <c r="I74" s="20">
        <v>9.6574652111338199E-2</v>
      </c>
      <c r="J74" s="20">
        <v>1.0221418816692024E-2</v>
      </c>
      <c r="K74" s="20">
        <v>0.5863620961175795</v>
      </c>
      <c r="L74" s="20">
        <v>0</v>
      </c>
    </row>
    <row r="75" spans="1:12">
      <c r="A75" s="2" t="s">
        <v>427</v>
      </c>
      <c r="B75" s="3" t="s">
        <v>428</v>
      </c>
      <c r="D75" s="20">
        <v>5.2569223444582377E-9</v>
      </c>
      <c r="E75" s="20">
        <v>0.99171720958264076</v>
      </c>
      <c r="F75" s="20">
        <v>0.94996103900752327</v>
      </c>
      <c r="G75" s="20">
        <v>3.6656922631613702E-4</v>
      </c>
      <c r="H75" s="20">
        <v>0</v>
      </c>
      <c r="I75" s="20">
        <v>4.1389601348801396E-2</v>
      </c>
      <c r="J75" s="20">
        <v>7.4846643526189473E-3</v>
      </c>
      <c r="K75" s="20">
        <v>7.9812080781794387E-4</v>
      </c>
      <c r="L75" s="20">
        <v>0</v>
      </c>
    </row>
    <row r="76" spans="1:12">
      <c r="A76" s="2" t="s">
        <v>429</v>
      </c>
      <c r="B76" s="3" t="s">
        <v>430</v>
      </c>
      <c r="D76" s="20">
        <v>1.3204791976217083E-10</v>
      </c>
      <c r="E76" s="20">
        <v>0.99171721466506713</v>
      </c>
      <c r="F76" s="20">
        <v>0.94996104387595448</v>
      </c>
      <c r="G76" s="20">
        <v>3.665692281947583E-4</v>
      </c>
      <c r="H76" s="20">
        <v>0</v>
      </c>
      <c r="I76" s="20">
        <v>4.1389601560917907E-2</v>
      </c>
      <c r="J76" s="20">
        <v>7.4846643909769126E-3</v>
      </c>
      <c r="K76" s="20">
        <v>7.9812081190821279E-4</v>
      </c>
      <c r="L76" s="20">
        <v>0</v>
      </c>
    </row>
    <row r="77" spans="1:12">
      <c r="A77" s="2" t="s">
        <v>431</v>
      </c>
      <c r="B77" s="3" t="s">
        <v>432</v>
      </c>
      <c r="D77" s="20">
        <v>5.2466995987260803E-2</v>
      </c>
      <c r="E77" s="20">
        <v>0.35886979782016576</v>
      </c>
      <c r="F77" s="20">
        <v>0.11162472813118089</v>
      </c>
      <c r="G77" s="20">
        <v>2.3081071668712594E-2</v>
      </c>
      <c r="H77" s="20">
        <v>0</v>
      </c>
      <c r="I77" s="20">
        <v>0.22416399802027229</v>
      </c>
      <c r="J77" s="20">
        <v>5.2602840637637205E-3</v>
      </c>
      <c r="K77" s="20">
        <v>0.58340292212880973</v>
      </c>
      <c r="L77" s="20">
        <v>0</v>
      </c>
    </row>
    <row r="78" spans="1:12">
      <c r="A78" s="2" t="s">
        <v>433</v>
      </c>
      <c r="B78" s="3" t="s">
        <v>434</v>
      </c>
      <c r="D78" s="20">
        <v>3.8820915494656112E-2</v>
      </c>
      <c r="E78" s="20">
        <v>0.63097718586191587</v>
      </c>
      <c r="F78" s="20">
        <v>1.4795852317367639E-2</v>
      </c>
      <c r="G78" s="20">
        <v>3.8232750543436929E-3</v>
      </c>
      <c r="H78" s="20">
        <v>0</v>
      </c>
      <c r="I78" s="20">
        <v>0.61235805849020453</v>
      </c>
      <c r="J78" s="20">
        <v>9.3492367978946403E-4</v>
      </c>
      <c r="K78" s="20">
        <v>0.32926697496363855</v>
      </c>
      <c r="L78" s="20">
        <v>0</v>
      </c>
    </row>
    <row r="79" spans="1:12">
      <c r="A79" s="2" t="s">
        <v>435</v>
      </c>
      <c r="B79" s="3" t="s">
        <v>436</v>
      </c>
      <c r="D79" s="20">
        <v>1.0563052989895856E-2</v>
      </c>
      <c r="E79" s="20">
        <v>0.54026201708373334</v>
      </c>
      <c r="F79" s="20">
        <v>3.2067394406291742E-2</v>
      </c>
      <c r="G79" s="20">
        <v>7.711861631232231E-3</v>
      </c>
      <c r="H79" s="20">
        <v>0</v>
      </c>
      <c r="I79" s="20">
        <v>0.50048276104620937</v>
      </c>
      <c r="J79" s="20">
        <v>1.799777609044652E-3</v>
      </c>
      <c r="K79" s="20">
        <v>0.44737515231732611</v>
      </c>
      <c r="L79" s="20">
        <v>0</v>
      </c>
    </row>
    <row r="80" spans="1:12">
      <c r="A80" s="2" t="s">
        <v>437</v>
      </c>
      <c r="B80" s="3" t="s">
        <v>438</v>
      </c>
      <c r="D80" s="20">
        <v>1.8913064143671341E-9</v>
      </c>
      <c r="E80" s="20">
        <v>0.98441842248238198</v>
      </c>
      <c r="F80" s="20">
        <v>0.95551196049893483</v>
      </c>
      <c r="G80" s="20">
        <v>7.0824959806297381E-4</v>
      </c>
      <c r="H80" s="20">
        <v>0</v>
      </c>
      <c r="I80" s="20">
        <v>2.8198212385384221E-2</v>
      </c>
      <c r="J80" s="20">
        <v>1.4604115686593346E-2</v>
      </c>
      <c r="K80" s="20">
        <v>9.7745993971814441E-4</v>
      </c>
      <c r="L80" s="20">
        <v>0</v>
      </c>
    </row>
    <row r="81" spans="1:12">
      <c r="A81" s="2" t="s">
        <v>440</v>
      </c>
      <c r="B81" s="3" t="s">
        <v>441</v>
      </c>
      <c r="D81" s="20">
        <v>1.8445163132460364E-13</v>
      </c>
      <c r="E81" s="20">
        <v>0.97095419932811844</v>
      </c>
      <c r="F81" s="20">
        <v>9.1066095300622169E-5</v>
      </c>
      <c r="G81" s="20">
        <v>3.5420302903575265E-5</v>
      </c>
      <c r="H81" s="20">
        <v>0</v>
      </c>
      <c r="I81" s="20">
        <v>0.97082771292991421</v>
      </c>
      <c r="J81" s="20">
        <v>1.2802386842655124E-4</v>
      </c>
      <c r="K81" s="20">
        <v>2.891777680327037E-2</v>
      </c>
      <c r="L81" s="20">
        <v>0</v>
      </c>
    </row>
    <row r="82" spans="1:12">
      <c r="A82" s="2" t="s">
        <v>442</v>
      </c>
      <c r="B82" s="3" t="s">
        <v>443</v>
      </c>
      <c r="D82" s="20">
        <v>8.7788035210630019E-5</v>
      </c>
      <c r="E82" s="20">
        <v>0.77333950343452496</v>
      </c>
      <c r="F82" s="20">
        <v>5.8574628664187257E-3</v>
      </c>
      <c r="G82" s="20">
        <v>1.64742290312981E-3</v>
      </c>
      <c r="H82" s="20">
        <v>0</v>
      </c>
      <c r="I82" s="20">
        <v>0.7658346176649764</v>
      </c>
      <c r="J82" s="20">
        <v>4.6377063593794549E-4</v>
      </c>
      <c r="K82" s="20">
        <v>0.22610893789432648</v>
      </c>
      <c r="L82" s="20">
        <v>0</v>
      </c>
    </row>
    <row r="83" spans="1:12">
      <c r="A83" s="2" t="s">
        <v>444</v>
      </c>
      <c r="B83" s="3" t="s">
        <v>445</v>
      </c>
      <c r="D83" s="20">
        <v>1.0625524363273189E-3</v>
      </c>
      <c r="E83" s="20">
        <v>0.39034842227740141</v>
      </c>
      <c r="F83" s="20">
        <v>0.10125689045754095</v>
      </c>
      <c r="G83" s="20">
        <v>2.1365848356999353E-2</v>
      </c>
      <c r="H83" s="20">
        <v>0</v>
      </c>
      <c r="I83" s="20">
        <v>0.26772568346286113</v>
      </c>
      <c r="J83" s="20">
        <v>4.8729052770097861E-3</v>
      </c>
      <c r="K83" s="20">
        <v>0.60371612000926134</v>
      </c>
      <c r="L83" s="20">
        <v>0</v>
      </c>
    </row>
    <row r="84" spans="1:12">
      <c r="A84" s="2" t="s">
        <v>446</v>
      </c>
      <c r="B84" s="3" t="s">
        <v>447</v>
      </c>
      <c r="D84" s="20">
        <v>5.6781916025659592E-15</v>
      </c>
      <c r="E84" s="20">
        <v>0.93763780362310234</v>
      </c>
      <c r="F84" s="20">
        <v>4.0915160390519166E-4</v>
      </c>
      <c r="G84" s="20">
        <v>1.4209533274608835E-4</v>
      </c>
      <c r="H84" s="20">
        <v>0</v>
      </c>
      <c r="I84" s="20">
        <v>0.93708655668645102</v>
      </c>
      <c r="J84" s="20">
        <v>1.4757765754460541E-4</v>
      </c>
      <c r="K84" s="20">
        <v>6.2214618719347366E-2</v>
      </c>
      <c r="L84" s="20">
        <v>0</v>
      </c>
    </row>
    <row r="85" spans="1:12">
      <c r="A85" s="2" t="s">
        <v>448</v>
      </c>
      <c r="B85" s="3" t="s">
        <v>449</v>
      </c>
      <c r="D85" s="20">
        <v>3.9746626490474526E-8</v>
      </c>
      <c r="E85" s="20">
        <v>0.98782616755431585</v>
      </c>
      <c r="F85" s="20">
        <v>1.6709924534899012E-5</v>
      </c>
      <c r="G85" s="20">
        <v>7.3734381885589998E-6</v>
      </c>
      <c r="H85" s="20">
        <v>0</v>
      </c>
      <c r="I85" s="20">
        <v>0.98780208419159243</v>
      </c>
      <c r="J85" s="20">
        <v>1.2391401692528534E-4</v>
      </c>
      <c r="K85" s="20">
        <v>1.2049878682132276E-2</v>
      </c>
      <c r="L85" s="20">
        <v>0</v>
      </c>
    </row>
    <row r="86" spans="1:12">
      <c r="A86" s="2" t="s">
        <v>450</v>
      </c>
      <c r="B86" s="3" t="s">
        <v>451</v>
      </c>
      <c r="D86" s="20">
        <v>1.4282290687972225E-8</v>
      </c>
      <c r="E86" s="20">
        <v>0.93914080204180139</v>
      </c>
      <c r="F86" s="20">
        <v>3.8982715010115425E-4</v>
      </c>
      <c r="G86" s="20">
        <v>1.3588378587592629E-4</v>
      </c>
      <c r="H86" s="20">
        <v>0</v>
      </c>
      <c r="I86" s="20">
        <v>0.93861509110582431</v>
      </c>
      <c r="J86" s="20">
        <v>1.4638278268140609E-4</v>
      </c>
      <c r="K86" s="20">
        <v>6.0712800893226504E-2</v>
      </c>
      <c r="L86" s="20">
        <v>0</v>
      </c>
    </row>
    <row r="87" spans="1:12">
      <c r="A87" s="2" t="s">
        <v>452</v>
      </c>
      <c r="B87" s="3" t="s">
        <v>453</v>
      </c>
      <c r="D87" s="20">
        <v>2.6467574659655015E-7</v>
      </c>
      <c r="E87" s="20">
        <v>0.49646579650147687</v>
      </c>
      <c r="F87" s="20">
        <v>0.11683914269908006</v>
      </c>
      <c r="G87" s="20">
        <v>0.37677659506003702</v>
      </c>
      <c r="H87" s="20">
        <v>0</v>
      </c>
      <c r="I87" s="20">
        <v>2.8500587423597647E-3</v>
      </c>
      <c r="J87" s="20">
        <v>8.7435058050322714E-2</v>
      </c>
      <c r="K87" s="20">
        <v>0.41609888077245388</v>
      </c>
      <c r="L87" s="20">
        <v>0</v>
      </c>
    </row>
    <row r="88" spans="1:12">
      <c r="A88" s="2" t="s">
        <v>454</v>
      </c>
      <c r="B88" s="3" t="s">
        <v>455</v>
      </c>
      <c r="D88" s="20">
        <v>4.5048051666752141E-5</v>
      </c>
      <c r="E88" s="20">
        <v>0.69456177534035946</v>
      </c>
      <c r="F88" s="20">
        <v>1.1575779013553746E-2</v>
      </c>
      <c r="G88" s="20">
        <v>3.0693455373220456E-3</v>
      </c>
      <c r="H88" s="20">
        <v>0</v>
      </c>
      <c r="I88" s="20">
        <v>0.67991665078948371</v>
      </c>
      <c r="J88" s="20">
        <v>7.7317698490861331E-4</v>
      </c>
      <c r="K88" s="20">
        <v>0.30461999962306524</v>
      </c>
      <c r="L88" s="20">
        <v>0</v>
      </c>
    </row>
    <row r="89" spans="1:12">
      <c r="A89" s="2" t="s">
        <v>456</v>
      </c>
      <c r="B89" s="3" t="s">
        <v>457</v>
      </c>
      <c r="D89" s="20">
        <v>2.920021797545932E-17</v>
      </c>
      <c r="E89" s="20">
        <v>0.75968031903987765</v>
      </c>
      <c r="F89" s="20">
        <v>6.6751389173084295E-3</v>
      </c>
      <c r="G89" s="20">
        <v>1.8567603936914673E-3</v>
      </c>
      <c r="H89" s="20">
        <v>0</v>
      </c>
      <c r="I89" s="20">
        <v>0.7511484197288778</v>
      </c>
      <c r="J89" s="20">
        <v>5.0901550133486894E-4</v>
      </c>
      <c r="K89" s="20">
        <v>0.23981066545878746</v>
      </c>
      <c r="L89" s="20">
        <v>0</v>
      </c>
    </row>
    <row r="90" spans="1:12">
      <c r="A90" s="2" t="s">
        <v>458</v>
      </c>
      <c r="B90" s="3" t="s">
        <v>459</v>
      </c>
      <c r="D90" s="20">
        <v>4.2630952548264365E-29</v>
      </c>
      <c r="E90" s="20">
        <v>0.88104327639671642</v>
      </c>
      <c r="F90" s="20">
        <v>1.4996822509769107E-3</v>
      </c>
      <c r="G90" s="20">
        <v>4.7108015243801346E-4</v>
      </c>
      <c r="H90" s="20">
        <v>0</v>
      </c>
      <c r="I90" s="20">
        <v>0.87907251399330155</v>
      </c>
      <c r="J90" s="20">
        <v>2.1388206318807371E-4</v>
      </c>
      <c r="K90" s="20">
        <v>0.11874284154009558</v>
      </c>
      <c r="L90" s="20">
        <v>0</v>
      </c>
    </row>
    <row r="91" spans="1:12">
      <c r="A91" s="2" t="s">
        <v>460</v>
      </c>
      <c r="B91" s="3" t="s">
        <v>461</v>
      </c>
      <c r="D91" s="20">
        <v>2.3366879818216148E-7</v>
      </c>
      <c r="E91" s="20">
        <v>0.42200876029276679</v>
      </c>
      <c r="F91" s="20">
        <v>0.24704435791443138</v>
      </c>
      <c r="G91" s="20">
        <v>0.15921005601251362</v>
      </c>
      <c r="H91" s="20">
        <v>0</v>
      </c>
      <c r="I91" s="20">
        <v>1.5754346365821802E-2</v>
      </c>
      <c r="J91" s="20">
        <v>3.6634792704866435E-2</v>
      </c>
      <c r="K91" s="20">
        <v>0.54135621333356865</v>
      </c>
      <c r="L91" s="20">
        <v>0</v>
      </c>
    </row>
    <row r="92" spans="1:12">
      <c r="A92" s="2" t="s">
        <v>462</v>
      </c>
      <c r="B92" s="3" t="s">
        <v>463</v>
      </c>
      <c r="D92" s="20">
        <v>8.1655608826395841E-9</v>
      </c>
      <c r="E92" s="20">
        <v>0.42062830921074429</v>
      </c>
      <c r="F92" s="20">
        <v>7.6888295998386216E-2</v>
      </c>
      <c r="G92" s="20">
        <v>1.6801799255052402E-2</v>
      </c>
      <c r="H92" s="20">
        <v>0</v>
      </c>
      <c r="I92" s="20">
        <v>0.32693821395730566</v>
      </c>
      <c r="J92" s="20">
        <v>3.841078926039325E-3</v>
      </c>
      <c r="K92" s="20">
        <v>0.57553060369765541</v>
      </c>
      <c r="L92" s="20">
        <v>0</v>
      </c>
    </row>
    <row r="93" spans="1:12">
      <c r="A93" s="2" t="s">
        <v>464</v>
      </c>
      <c r="B93" s="3" t="s">
        <v>465</v>
      </c>
      <c r="D93" s="20">
        <v>6.3697857604443368E-4</v>
      </c>
      <c r="E93" s="20">
        <v>0.37515503192163324</v>
      </c>
      <c r="F93" s="20">
        <v>0.20912167101311857</v>
      </c>
      <c r="G93" s="20">
        <v>3.9581713949995129E-2</v>
      </c>
      <c r="H93" s="20">
        <v>0</v>
      </c>
      <c r="I93" s="20">
        <v>0.12645164695851957</v>
      </c>
      <c r="J93" s="20">
        <v>9.0208804495994499E-3</v>
      </c>
      <c r="K93" s="20">
        <v>0.61518710905272289</v>
      </c>
      <c r="L93" s="20">
        <v>0</v>
      </c>
    </row>
    <row r="94" spans="1:12">
      <c r="A94" s="2" t="s">
        <v>466</v>
      </c>
      <c r="B94" s="3" t="s">
        <v>467</v>
      </c>
      <c r="D94" s="20">
        <v>2.0186370934988727E-18</v>
      </c>
      <c r="E94" s="20">
        <v>0.99968342936096644</v>
      </c>
      <c r="F94" s="20">
        <v>1.1561243099263301E-2</v>
      </c>
      <c r="G94" s="20">
        <v>1.5192982155815739E-6</v>
      </c>
      <c r="H94" s="20">
        <v>0</v>
      </c>
      <c r="I94" s="20">
        <v>0.98812066696348755</v>
      </c>
      <c r="J94" s="20">
        <v>1.4103889886671195E-4</v>
      </c>
      <c r="K94" s="20">
        <v>1.7553174016709372E-4</v>
      </c>
      <c r="L94" s="20">
        <v>0</v>
      </c>
    </row>
    <row r="95" spans="1:12">
      <c r="A95" s="2" t="s">
        <v>468</v>
      </c>
      <c r="B95" s="3" t="s">
        <v>469</v>
      </c>
      <c r="D95" s="20">
        <v>9.4294123374146421E-18</v>
      </c>
      <c r="E95" s="20">
        <v>0.44473405152151035</v>
      </c>
      <c r="F95" s="20">
        <v>0.32693306216995893</v>
      </c>
      <c r="G95" s="20">
        <v>8.0882468563234153E-2</v>
      </c>
      <c r="H95" s="20">
        <v>0</v>
      </c>
      <c r="I95" s="20">
        <v>3.6918520788317248E-2</v>
      </c>
      <c r="J95" s="20">
        <v>1.8522158829770902E-2</v>
      </c>
      <c r="K95" s="20">
        <v>0.53674378964871872</v>
      </c>
      <c r="L95" s="20">
        <v>0</v>
      </c>
    </row>
    <row r="96" spans="1:12">
      <c r="A96" s="2" t="s">
        <v>470</v>
      </c>
      <c r="B96" s="165">
        <v>354656</v>
      </c>
      <c r="D96" s="20">
        <v>3.6775417440422299E-10</v>
      </c>
      <c r="E96" s="20">
        <v>0.9698357037229367</v>
      </c>
      <c r="F96" s="20">
        <v>9.8046439249490638E-5</v>
      </c>
      <c r="G96" s="20">
        <v>3.7925156482358457E-5</v>
      </c>
      <c r="H96" s="20">
        <v>0</v>
      </c>
      <c r="I96" s="20">
        <v>0.96969973212720484</v>
      </c>
      <c r="J96" s="20">
        <v>1.2844001899698013E-4</v>
      </c>
      <c r="K96" s="20">
        <v>3.003585589031197E-2</v>
      </c>
      <c r="L96" s="20">
        <v>0</v>
      </c>
    </row>
    <row r="97" spans="1:12">
      <c r="A97" s="2" t="s">
        <v>472</v>
      </c>
      <c r="B97" s="3" t="s">
        <v>473</v>
      </c>
      <c r="D97" s="20">
        <v>5.6742633143571388E-10</v>
      </c>
      <c r="E97" s="20">
        <v>0.93687336469252536</v>
      </c>
      <c r="F97" s="20">
        <v>4.1916373378396947E-4</v>
      </c>
      <c r="G97" s="20">
        <v>1.4530456399491565E-4</v>
      </c>
      <c r="H97" s="20">
        <v>0</v>
      </c>
      <c r="I97" s="20">
        <v>0.93630889639474646</v>
      </c>
      <c r="J97" s="20">
        <v>1.4819656774211966E-4</v>
      </c>
      <c r="K97" s="20">
        <v>6.2978438172306417E-2</v>
      </c>
      <c r="L97" s="20">
        <v>0</v>
      </c>
    </row>
    <row r="98" spans="1:12">
      <c r="A98" s="2" t="s">
        <v>474</v>
      </c>
      <c r="B98" s="3" t="s">
        <v>475</v>
      </c>
      <c r="D98" s="20">
        <v>1.9082334974467669E-19</v>
      </c>
      <c r="E98" s="20">
        <v>0.41813343945442799</v>
      </c>
      <c r="F98" s="20">
        <v>0.29114258261636827</v>
      </c>
      <c r="G98" s="20">
        <v>5.1760836407800347E-2</v>
      </c>
      <c r="H98" s="20">
        <v>0</v>
      </c>
      <c r="I98" s="20">
        <v>7.5230020430259378E-2</v>
      </c>
      <c r="J98" s="20">
        <v>1.181529250158227E-2</v>
      </c>
      <c r="K98" s="20">
        <v>0.57005126804398965</v>
      </c>
      <c r="L98" s="20">
        <v>0</v>
      </c>
    </row>
    <row r="99" spans="1:12">
      <c r="A99" s="2" t="s">
        <v>476</v>
      </c>
      <c r="B99" s="3" t="s">
        <v>477</v>
      </c>
      <c r="D99" s="20">
        <v>1.734692416389394E-7</v>
      </c>
      <c r="E99" s="20">
        <v>0.99153356844972029</v>
      </c>
      <c r="F99" s="20">
        <v>8.2242574094432644E-6</v>
      </c>
      <c r="G99" s="20">
        <v>3.8246548597146729E-6</v>
      </c>
      <c r="H99" s="20">
        <v>0</v>
      </c>
      <c r="I99" s="20">
        <v>0.99152151953745116</v>
      </c>
      <c r="J99" s="20">
        <v>1.2359162374602699E-4</v>
      </c>
      <c r="K99" s="20">
        <v>8.3426664572920414E-3</v>
      </c>
      <c r="L99" s="20">
        <v>0</v>
      </c>
    </row>
    <row r="100" spans="1:12">
      <c r="A100" s="2" t="s">
        <v>478</v>
      </c>
      <c r="B100" s="3" t="s">
        <v>479</v>
      </c>
      <c r="D100" s="20">
        <v>6.6677902393698758E-11</v>
      </c>
      <c r="E100" s="20">
        <v>0.5713843974533408</v>
      </c>
      <c r="F100" s="20">
        <v>2.7482494130084925E-2</v>
      </c>
      <c r="G100" s="20">
        <v>6.7197280795462657E-3</v>
      </c>
      <c r="H100" s="20">
        <v>0</v>
      </c>
      <c r="I100" s="20">
        <v>0.53718217524370959</v>
      </c>
      <c r="J100" s="20">
        <v>1.5797584960536078E-3</v>
      </c>
      <c r="K100" s="20">
        <v>0.42703584398392758</v>
      </c>
      <c r="L100" s="20">
        <v>0</v>
      </c>
    </row>
    <row r="101" spans="1:12">
      <c r="A101" s="2" t="s">
        <v>480</v>
      </c>
      <c r="B101" s="3" t="s">
        <v>481</v>
      </c>
      <c r="D101" s="20">
        <v>4.6681129737201288E-11</v>
      </c>
      <c r="E101" s="20">
        <v>0.9859049518683215</v>
      </c>
      <c r="F101" s="20">
        <v>2.2233896149503717E-5</v>
      </c>
      <c r="G101" s="20">
        <v>9.6053043032357083E-6</v>
      </c>
      <c r="H101" s="20">
        <v>0</v>
      </c>
      <c r="I101" s="20">
        <v>0.98587311266786881</v>
      </c>
      <c r="J101" s="20">
        <v>1.2416820218803085E-4</v>
      </c>
      <c r="K101" s="20">
        <v>1.3970879882809435E-2</v>
      </c>
      <c r="L101" s="20">
        <v>0</v>
      </c>
    </row>
    <row r="102" spans="1:12">
      <c r="A102" s="2" t="s">
        <v>482</v>
      </c>
      <c r="B102" s="3" t="s">
        <v>483</v>
      </c>
      <c r="D102" s="20">
        <v>2.9333394051135036E-27</v>
      </c>
      <c r="E102" s="20">
        <v>0.99632960601439702</v>
      </c>
      <c r="F102" s="20">
        <v>1.5864870494054443E-6</v>
      </c>
      <c r="G102" s="20">
        <v>8.3316705089089108E-7</v>
      </c>
      <c r="H102" s="20">
        <v>0</v>
      </c>
      <c r="I102" s="20">
        <v>0.99632718636029671</v>
      </c>
      <c r="J102" s="20">
        <v>1.235285083587544E-4</v>
      </c>
      <c r="K102" s="20">
        <v>3.5468654772440643E-3</v>
      </c>
      <c r="L102" s="20">
        <v>0</v>
      </c>
    </row>
    <row r="103" spans="1:12">
      <c r="A103" s="2" t="s">
        <v>484</v>
      </c>
      <c r="B103" s="3" t="s">
        <v>485</v>
      </c>
      <c r="D103" s="20">
        <v>2.3398555523901016E-13</v>
      </c>
      <c r="E103" s="20">
        <v>0.99179902525926955</v>
      </c>
      <c r="F103" s="20">
        <v>7.7279314773092804E-6</v>
      </c>
      <c r="G103" s="20">
        <v>3.6104290752531958E-6</v>
      </c>
      <c r="H103" s="20">
        <v>0</v>
      </c>
      <c r="I103" s="20">
        <v>0.99178768689871699</v>
      </c>
      <c r="J103" s="20">
        <v>1.2357737322745685E-4</v>
      </c>
      <c r="K103" s="20">
        <v>8.0773973672690017E-3</v>
      </c>
      <c r="L103" s="20">
        <v>0</v>
      </c>
    </row>
    <row r="104" spans="1:12">
      <c r="A104" s="2" t="s">
        <v>486</v>
      </c>
      <c r="B104" s="3" t="s">
        <v>487</v>
      </c>
      <c r="D104" s="20">
        <v>2.8874027529836171E-9</v>
      </c>
      <c r="E104" s="20">
        <v>0.95442918339740246</v>
      </c>
      <c r="F104" s="20">
        <v>2.201818828008908E-4</v>
      </c>
      <c r="G104" s="20">
        <v>8.0145129776202642E-5</v>
      </c>
      <c r="H104" s="20">
        <v>0</v>
      </c>
      <c r="I104" s="20">
        <v>0.95412885638482536</v>
      </c>
      <c r="J104" s="20">
        <v>1.3589378545501409E-4</v>
      </c>
      <c r="K104" s="20">
        <v>4.5434919929739824E-2</v>
      </c>
      <c r="L104" s="20">
        <v>0</v>
      </c>
    </row>
    <row r="105" spans="1:12">
      <c r="A105" s="2" t="s">
        <v>488</v>
      </c>
      <c r="B105" s="3" t="s">
        <v>489</v>
      </c>
      <c r="D105" s="20">
        <v>2.332886668757746E-16</v>
      </c>
      <c r="E105" s="20">
        <v>0.99562269930269121</v>
      </c>
      <c r="F105" s="20">
        <v>2.2499240408390914E-6</v>
      </c>
      <c r="G105" s="20">
        <v>1.1514985929287906E-6</v>
      </c>
      <c r="H105" s="20">
        <v>0</v>
      </c>
      <c r="I105" s="20">
        <v>0.99561929788005743</v>
      </c>
      <c r="J105" s="20">
        <v>1.2351073444214308E-4</v>
      </c>
      <c r="K105" s="20">
        <v>4.2537899628664264E-3</v>
      </c>
      <c r="L105" s="20">
        <v>0</v>
      </c>
    </row>
    <row r="106" spans="1:12">
      <c r="A106" s="2" t="s">
        <v>490</v>
      </c>
      <c r="B106" s="3" t="s">
        <v>491</v>
      </c>
      <c r="D106" s="20">
        <v>1.3040185080148738E-8</v>
      </c>
      <c r="E106" s="20">
        <v>0.85108330064418025</v>
      </c>
      <c r="F106" s="20">
        <v>2.3853821787160807E-3</v>
      </c>
      <c r="G106" s="20">
        <v>7.2219341746540165E-4</v>
      </c>
      <c r="H106" s="20">
        <v>0</v>
      </c>
      <c r="I106" s="20">
        <v>0.84797572504799879</v>
      </c>
      <c r="J106" s="20">
        <v>2.6626097099169681E-4</v>
      </c>
      <c r="K106" s="20">
        <v>0.14865042534464296</v>
      </c>
      <c r="L106" s="20">
        <v>0</v>
      </c>
    </row>
    <row r="107" spans="1:12">
      <c r="A107" s="2" t="s">
        <v>492</v>
      </c>
      <c r="B107" s="3" t="s">
        <v>493</v>
      </c>
      <c r="D107" s="20">
        <v>9.7316711903238333E-16</v>
      </c>
      <c r="E107" s="20">
        <v>0.44226654943354077</v>
      </c>
      <c r="F107" s="20">
        <v>0.32513344196170535</v>
      </c>
      <c r="G107" s="20">
        <v>5.6436126337944495E-2</v>
      </c>
      <c r="H107" s="20">
        <v>0</v>
      </c>
      <c r="I107" s="20">
        <v>6.0696981133890902E-2</v>
      </c>
      <c r="J107" s="20">
        <v>1.2892392612982143E-2</v>
      </c>
      <c r="K107" s="20">
        <v>0.54484105795347604</v>
      </c>
      <c r="L107" s="20">
        <v>0</v>
      </c>
    </row>
    <row r="108" spans="1:12">
      <c r="A108" s="2" t="s">
        <v>291</v>
      </c>
      <c r="B108" s="3" t="s">
        <v>494</v>
      </c>
      <c r="D108" s="20">
        <v>3.631778584274029E-10</v>
      </c>
      <c r="E108" s="20">
        <v>0.61129982055775201</v>
      </c>
      <c r="F108" s="20">
        <v>2.108596970738064E-2</v>
      </c>
      <c r="G108" s="20">
        <v>5.2904076005866911E-3</v>
      </c>
      <c r="H108" s="20">
        <v>0</v>
      </c>
      <c r="I108" s="20">
        <v>0.58492344324978462</v>
      </c>
      <c r="J108" s="20">
        <v>1.2625805081715163E-3</v>
      </c>
      <c r="K108" s="20">
        <v>0.38743759857089854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N1" s="6" t="s">
        <v>17</v>
      </c>
      <c r="O1" s="102" t="s">
        <v>216</v>
      </c>
    </row>
    <row r="2" spans="1:24">
      <c r="A2" s="2" t="s">
        <v>313</v>
      </c>
      <c r="B2" s="3" t="s">
        <v>314</v>
      </c>
      <c r="D2" s="14">
        <v>3.7825837224472602E-9</v>
      </c>
      <c r="E2" s="14">
        <v>3.23316756879759E-5</v>
      </c>
      <c r="F2" s="14">
        <v>1.5376686647506435E-7</v>
      </c>
      <c r="G2" s="14">
        <v>4.4787654527751242E-8</v>
      </c>
      <c r="H2" s="14">
        <v>0</v>
      </c>
      <c r="I2" s="14">
        <v>1.4019741790257867E-8</v>
      </c>
      <c r="J2" s="14">
        <v>7.4519674655085874E-6</v>
      </c>
      <c r="K2" s="14">
        <v>0</v>
      </c>
      <c r="M2" s="21"/>
      <c r="N2" s="102"/>
    </row>
    <row r="3" spans="1:24">
      <c r="A3" s="2" t="s">
        <v>315</v>
      </c>
      <c r="B3" s="3" t="s">
        <v>316</v>
      </c>
      <c r="D3" s="14">
        <v>7.4888475806989443E-7</v>
      </c>
      <c r="E3" s="14">
        <v>1.3717490119578314E-7</v>
      </c>
      <c r="F3" s="14">
        <v>5.0686138556312429E-6</v>
      </c>
      <c r="G3" s="14">
        <v>1.3733611627044069E-5</v>
      </c>
      <c r="H3" s="14">
        <v>0</v>
      </c>
      <c r="I3" s="14">
        <v>3.1840801320737229E-6</v>
      </c>
      <c r="J3" s="14">
        <v>1.712763472598529E-5</v>
      </c>
      <c r="K3" s="14">
        <v>0</v>
      </c>
      <c r="M3" s="21"/>
      <c r="N3" s="102"/>
    </row>
    <row r="4" spans="1:24">
      <c r="A4" s="2" t="s">
        <v>317</v>
      </c>
      <c r="B4" s="3" t="s">
        <v>318</v>
      </c>
      <c r="D4" s="14">
        <v>2.4461493859132013E-16</v>
      </c>
      <c r="E4" s="14">
        <v>1.9671733865698017E-5</v>
      </c>
      <c r="F4" s="14">
        <v>1.3930194833467222E-6</v>
      </c>
      <c r="G4" s="14">
        <v>3.3254677929323525E-7</v>
      </c>
      <c r="H4" s="14">
        <v>0</v>
      </c>
      <c r="I4" s="14">
        <v>7.7394457989377696E-8</v>
      </c>
      <c r="J4" s="14">
        <v>1.8525305413428041E-5</v>
      </c>
      <c r="K4" s="14">
        <v>0</v>
      </c>
      <c r="M4" s="21"/>
    </row>
    <row r="5" spans="1:24">
      <c r="A5" s="2" t="s">
        <v>307</v>
      </c>
      <c r="B5" s="3" t="s">
        <v>308</v>
      </c>
      <c r="D5" s="14">
        <v>2.2306649956605397E-8</v>
      </c>
      <c r="E5" s="14">
        <v>1.2898345820961164E-6</v>
      </c>
      <c r="F5" s="14">
        <v>1.2563439916605115E-5</v>
      </c>
      <c r="G5" s="14">
        <v>3.6458947101251997E-6</v>
      </c>
      <c r="H5" s="14">
        <v>0</v>
      </c>
      <c r="I5" s="14">
        <v>8.3555934416084902E-7</v>
      </c>
      <c r="J5" s="14">
        <v>2.1642964797056127E-5</v>
      </c>
      <c r="K5" s="14">
        <v>0</v>
      </c>
      <c r="M5" s="21"/>
    </row>
    <row r="6" spans="1:24">
      <c r="A6" s="2" t="s">
        <v>319</v>
      </c>
      <c r="B6" s="3" t="s">
        <v>320</v>
      </c>
      <c r="D6" s="14">
        <v>2.7159624387813383E-9</v>
      </c>
      <c r="E6" s="14">
        <v>6.8284702864024954E-8</v>
      </c>
      <c r="F6" s="14">
        <v>3.5983050168962412E-6</v>
      </c>
      <c r="G6" s="14">
        <v>1.7672318487146472E-5</v>
      </c>
      <c r="H6" s="14">
        <v>0</v>
      </c>
      <c r="I6" s="14">
        <v>4.1102797622192582E-6</v>
      </c>
      <c r="J6" s="14">
        <v>1.4548096068435232E-5</v>
      </c>
      <c r="K6" s="14">
        <v>0</v>
      </c>
      <c r="M6" s="21"/>
      <c r="N6" s="12"/>
    </row>
    <row r="7" spans="1:24">
      <c r="A7" s="2" t="s">
        <v>321</v>
      </c>
      <c r="B7" s="3" t="s">
        <v>322</v>
      </c>
      <c r="D7" s="14">
        <v>3.7061105990016355E-9</v>
      </c>
      <c r="E7" s="14">
        <v>1.2630427201739652E-7</v>
      </c>
      <c r="F7" s="14">
        <v>4.9157817218815246E-6</v>
      </c>
      <c r="G7" s="14">
        <v>1.4530753846156925E-5</v>
      </c>
      <c r="H7" s="14">
        <v>0</v>
      </c>
      <c r="I7" s="14">
        <v>3.370454666019615E-6</v>
      </c>
      <c r="J7" s="14">
        <v>1.7052999383325538E-5</v>
      </c>
      <c r="K7" s="14">
        <v>0</v>
      </c>
      <c r="M7" s="21"/>
      <c r="N7" s="12"/>
    </row>
    <row r="8" spans="1:24">
      <c r="A8" s="2" t="s">
        <v>323</v>
      </c>
      <c r="B8" s="3" t="s">
        <v>324</v>
      </c>
      <c r="D8" s="14">
        <v>3.2122131897106822E-8</v>
      </c>
      <c r="E8" s="14">
        <v>2.5819273949578267E-7</v>
      </c>
      <c r="F8" s="14">
        <v>6.8656012446226444E-6</v>
      </c>
      <c r="G8" s="14">
        <v>1.0719490193093966E-5</v>
      </c>
      <c r="H8" s="14">
        <v>0</v>
      </c>
      <c r="I8" s="14">
        <v>2.4780227004311004E-6</v>
      </c>
      <c r="J8" s="14">
        <v>1.9646570990459404E-5</v>
      </c>
      <c r="K8" s="14">
        <v>0</v>
      </c>
      <c r="M8" s="21"/>
      <c r="N8" s="12"/>
    </row>
    <row r="9" spans="1:24">
      <c r="A9" s="2" t="s">
        <v>325</v>
      </c>
      <c r="B9" s="3" t="s">
        <v>326</v>
      </c>
      <c r="D9" s="14">
        <v>1.1356851409637846E-8</v>
      </c>
      <c r="E9" s="14">
        <v>6.6720241272263363E-6</v>
      </c>
      <c r="F9" s="14">
        <v>6.6916336821701982E-6</v>
      </c>
      <c r="G9" s="14">
        <v>1.3140978776273305E-6</v>
      </c>
      <c r="H9" s="14">
        <v>0</v>
      </c>
      <c r="I9" s="14">
        <v>2.9935254810077053E-7</v>
      </c>
      <c r="J9" s="14">
        <v>2.501153491346573E-5</v>
      </c>
      <c r="K9" s="14">
        <v>0</v>
      </c>
      <c r="M9" s="21"/>
      <c r="N9" s="12"/>
    </row>
    <row r="10" spans="1:24">
      <c r="A10" s="2" t="s">
        <v>275</v>
      </c>
      <c r="B10" s="3" t="s">
        <v>276</v>
      </c>
      <c r="D10" s="14">
        <v>2.8616122487761268E-10</v>
      </c>
      <c r="E10" s="14">
        <v>1.1977066216126873E-6</v>
      </c>
      <c r="F10" s="14">
        <v>1.2288107469971373E-5</v>
      </c>
      <c r="G10" s="14">
        <v>3.8902772757736118E-6</v>
      </c>
      <c r="H10" s="14">
        <v>0</v>
      </c>
      <c r="I10" s="14">
        <v>8.9194820086192063E-7</v>
      </c>
      <c r="J10" s="14">
        <v>2.1731674270555533E-5</v>
      </c>
      <c r="K10" s="14">
        <v>0</v>
      </c>
      <c r="M10" s="21"/>
      <c r="N10" s="12"/>
    </row>
    <row r="11" spans="1:24">
      <c r="A11" s="2" t="s">
        <v>327</v>
      </c>
      <c r="B11" s="3" t="s">
        <v>328</v>
      </c>
      <c r="D11" s="14">
        <v>1.4866615568557467E-8</v>
      </c>
      <c r="E11" s="14">
        <v>1.0552412890877027E-6</v>
      </c>
      <c r="F11" s="14">
        <v>1.1805552752615992E-5</v>
      </c>
      <c r="G11" s="14">
        <v>4.3209762728717105E-6</v>
      </c>
      <c r="H11" s="14">
        <v>0</v>
      </c>
      <c r="I11" s="14">
        <v>9.9141213466386283E-7</v>
      </c>
      <c r="J11" s="14">
        <v>2.1811950935192178E-5</v>
      </c>
      <c r="K11" s="14">
        <v>0</v>
      </c>
      <c r="M11" s="21"/>
      <c r="N11" s="12"/>
    </row>
    <row r="12" spans="1:24">
      <c r="A12" s="2" t="s">
        <v>329</v>
      </c>
      <c r="B12" s="3" t="s">
        <v>330</v>
      </c>
      <c r="D12" s="14">
        <v>6.9213123249846337E-9</v>
      </c>
      <c r="E12" s="14">
        <v>4.9880191456404414E-6</v>
      </c>
      <c r="F12" s="14">
        <v>8.4579022610171749E-6</v>
      </c>
      <c r="G12" s="14">
        <v>1.597931718760041E-6</v>
      </c>
      <c r="H12" s="14">
        <v>0</v>
      </c>
      <c r="I12" s="14">
        <v>3.6418958957782097E-7</v>
      </c>
      <c r="J12" s="14">
        <v>2.458503597267955E-5</v>
      </c>
      <c r="K12" s="14">
        <v>0</v>
      </c>
      <c r="M12" s="21"/>
      <c r="N12" s="12"/>
    </row>
    <row r="13" spans="1:24">
      <c r="A13" s="2" t="s">
        <v>277</v>
      </c>
      <c r="B13" s="3" t="s">
        <v>278</v>
      </c>
      <c r="D13" s="14">
        <v>1.7936214676238767E-8</v>
      </c>
      <c r="E13" s="14">
        <v>6.4954681532163905E-6</v>
      </c>
      <c r="F13" s="14">
        <v>6.848650567919805E-6</v>
      </c>
      <c r="G13" s="14">
        <v>1.3399869337218612E-6</v>
      </c>
      <c r="H13" s="14">
        <v>0</v>
      </c>
      <c r="I13" s="14">
        <v>3.0525709771208585E-7</v>
      </c>
      <c r="J13" s="14">
        <v>2.499270103275362E-5</v>
      </c>
      <c r="K13" s="14">
        <v>0</v>
      </c>
      <c r="M13" s="21"/>
      <c r="N13" s="12"/>
    </row>
    <row r="14" spans="1:24">
      <c r="A14" s="2" t="s">
        <v>331</v>
      </c>
      <c r="B14" s="3" t="s">
        <v>332</v>
      </c>
      <c r="D14" s="14">
        <v>9.9406517417207097E-9</v>
      </c>
      <c r="E14" s="14">
        <v>7.025779629650879E-7</v>
      </c>
      <c r="F14" s="14">
        <v>1.0279904355523466E-5</v>
      </c>
      <c r="G14" s="14">
        <v>5.8990846657651322E-6</v>
      </c>
      <c r="H14" s="14">
        <v>0</v>
      </c>
      <c r="I14" s="14">
        <v>1.3565892630550222E-6</v>
      </c>
      <c r="J14" s="14">
        <v>2.1751903100949572E-5</v>
      </c>
      <c r="K14" s="14">
        <v>0</v>
      </c>
      <c r="M14" s="21"/>
      <c r="N14" s="12"/>
    </row>
    <row r="15" spans="1:24">
      <c r="A15" s="2" t="s">
        <v>333</v>
      </c>
      <c r="B15" s="3" t="s">
        <v>334</v>
      </c>
      <c r="D15" s="14">
        <v>1.6203929311807967E-11</v>
      </c>
      <c r="E15" s="14">
        <v>1.1247603661401211E-6</v>
      </c>
      <c r="F15" s="14">
        <v>1.2050208317811816E-5</v>
      </c>
      <c r="G15" s="14">
        <v>4.101947618882041E-6</v>
      </c>
      <c r="H15" s="14">
        <v>0</v>
      </c>
      <c r="I15" s="14">
        <v>9.4081736663438231E-7</v>
      </c>
      <c r="J15" s="14">
        <v>2.1782250126602338E-5</v>
      </c>
      <c r="K15" s="14">
        <v>0</v>
      </c>
      <c r="M15" s="21"/>
      <c r="N15" s="12"/>
    </row>
    <row r="16" spans="1:24">
      <c r="A16" s="2" t="s">
        <v>335</v>
      </c>
      <c r="B16" s="3" t="s">
        <v>336</v>
      </c>
      <c r="D16" s="14">
        <v>8.3101006205672007E-8</v>
      </c>
      <c r="E16" s="14">
        <v>2.6599039037971359E-7</v>
      </c>
      <c r="F16" s="14">
        <v>6.9515315350168212E-6</v>
      </c>
      <c r="G16" s="14">
        <v>1.0543287581563788E-5</v>
      </c>
      <c r="H16" s="14">
        <v>0</v>
      </c>
      <c r="I16" s="14">
        <v>2.4369171224208127E-6</v>
      </c>
      <c r="J16" s="14">
        <v>1.9719172364413194E-5</v>
      </c>
      <c r="K16" s="14">
        <v>0</v>
      </c>
      <c r="M16" s="21"/>
      <c r="N16" s="12"/>
      <c r="V16" s="22"/>
      <c r="X16" s="22"/>
    </row>
    <row r="17" spans="1:14">
      <c r="A17" s="2" t="s">
        <v>337</v>
      </c>
      <c r="B17" s="3" t="s">
        <v>338</v>
      </c>
      <c r="D17" s="14">
        <v>5.7275173482259342E-9</v>
      </c>
      <c r="E17" s="14">
        <v>1.2587691127845366E-6</v>
      </c>
      <c r="F17" s="14">
        <v>1.247500212289361E-5</v>
      </c>
      <c r="G17" s="14">
        <v>3.7268008302766701E-6</v>
      </c>
      <c r="H17" s="14">
        <v>0</v>
      </c>
      <c r="I17" s="14">
        <v>8.5422276091512369E-7</v>
      </c>
      <c r="J17" s="14">
        <v>2.1679477655781834E-5</v>
      </c>
      <c r="K17" s="14">
        <v>0</v>
      </c>
      <c r="M17" s="21"/>
      <c r="N17" s="12"/>
    </row>
    <row r="18" spans="1:14">
      <c r="A18" s="2" t="s">
        <v>279</v>
      </c>
      <c r="B18" s="3" t="s">
        <v>280</v>
      </c>
      <c r="D18" s="14">
        <v>3.1787025089533361E-7</v>
      </c>
      <c r="E18" s="14">
        <v>7.443711784729142E-6</v>
      </c>
      <c r="F18" s="14">
        <v>5.961068323760644E-6</v>
      </c>
      <c r="G18" s="14">
        <v>1.1901992026076372E-6</v>
      </c>
      <c r="H18" s="14">
        <v>0</v>
      </c>
      <c r="I18" s="14">
        <v>2.7112157899831569E-7</v>
      </c>
      <c r="J18" s="14">
        <v>2.481602885900893E-5</v>
      </c>
      <c r="K18" s="14">
        <v>0</v>
      </c>
      <c r="M18" s="21"/>
      <c r="N18" s="12"/>
    </row>
    <row r="19" spans="1:14">
      <c r="A19" s="2" t="s">
        <v>339</v>
      </c>
      <c r="B19" s="3" t="s">
        <v>340</v>
      </c>
      <c r="D19" s="14">
        <v>5.6779415861434383E-11</v>
      </c>
      <c r="E19" s="14">
        <v>1.1106330289735051E-6</v>
      </c>
      <c r="F19" s="14">
        <v>1.2002318165269196E-5</v>
      </c>
      <c r="G19" s="14">
        <v>4.1453450914657505E-6</v>
      </c>
      <c r="H19" s="14">
        <v>0</v>
      </c>
      <c r="I19" s="14">
        <v>9.508395898662319E-7</v>
      </c>
      <c r="J19" s="14">
        <v>2.1790807345009456E-5</v>
      </c>
      <c r="K19" s="14">
        <v>0</v>
      </c>
      <c r="M19" s="21"/>
      <c r="N19" s="12"/>
    </row>
    <row r="20" spans="1:14">
      <c r="A20" s="2" t="s">
        <v>281</v>
      </c>
      <c r="B20" s="3" t="s">
        <v>282</v>
      </c>
      <c r="D20" s="14">
        <v>2.7157894046672372E-9</v>
      </c>
      <c r="E20" s="14">
        <v>6.4979408566806427E-6</v>
      </c>
      <c r="F20" s="14">
        <v>6.851257721335892E-6</v>
      </c>
      <c r="G20" s="14">
        <v>1.3404970417317705E-6</v>
      </c>
      <c r="H20" s="14">
        <v>0</v>
      </c>
      <c r="I20" s="14">
        <v>3.0537330339044434E-7</v>
      </c>
      <c r="J20" s="14">
        <v>2.5002215287456582E-5</v>
      </c>
      <c r="K20" s="14">
        <v>0</v>
      </c>
      <c r="M20" s="21"/>
      <c r="N20" s="12"/>
    </row>
    <row r="21" spans="1:14">
      <c r="A21" s="2" t="s">
        <v>341</v>
      </c>
      <c r="B21" s="3" t="s">
        <v>342</v>
      </c>
      <c r="D21" s="14">
        <v>8.2883377336239039E-8</v>
      </c>
      <c r="E21" s="14">
        <v>7.9120150359352318E-7</v>
      </c>
      <c r="F21" s="14">
        <v>1.0708820876592989E-5</v>
      </c>
      <c r="G21" s="14">
        <v>5.3930843102292242E-6</v>
      </c>
      <c r="H21" s="14">
        <v>0</v>
      </c>
      <c r="I21" s="14">
        <v>1.2393973807423814E-6</v>
      </c>
      <c r="J21" s="14">
        <v>2.1784612551505647E-5</v>
      </c>
      <c r="K21" s="14">
        <v>0</v>
      </c>
      <c r="M21" s="21"/>
      <c r="N21" s="12"/>
    </row>
    <row r="22" spans="1:14">
      <c r="A22" s="2" t="s">
        <v>343</v>
      </c>
      <c r="B22" s="3" t="s">
        <v>344</v>
      </c>
      <c r="D22" s="14">
        <v>9.0691169298459847E-8</v>
      </c>
      <c r="E22" s="14">
        <v>2.6049816349290234E-5</v>
      </c>
      <c r="F22" s="14">
        <v>5.5544263977656382E-7</v>
      </c>
      <c r="G22" s="14">
        <v>1.4485542732527873E-7</v>
      </c>
      <c r="H22" s="14">
        <v>0</v>
      </c>
      <c r="I22" s="14">
        <v>3.5763111598333744E-8</v>
      </c>
      <c r="J22" s="14">
        <v>1.3123431302711132E-5</v>
      </c>
      <c r="K22" s="14">
        <v>0</v>
      </c>
      <c r="M22" s="21"/>
      <c r="N22" s="12"/>
    </row>
    <row r="23" spans="1:14">
      <c r="A23" s="2" t="s">
        <v>345</v>
      </c>
      <c r="B23" s="3" t="s">
        <v>346</v>
      </c>
      <c r="D23" s="14">
        <v>3.5715602713430524E-9</v>
      </c>
      <c r="E23" s="14">
        <v>3.0439509355147769E-5</v>
      </c>
      <c r="F23" s="14">
        <v>2.4475535262312101E-7</v>
      </c>
      <c r="G23" s="14">
        <v>6.8584780595796329E-8</v>
      </c>
      <c r="H23" s="14">
        <v>0</v>
      </c>
      <c r="I23" s="14">
        <v>1.9131010663318384E-8</v>
      </c>
      <c r="J23" s="14">
        <v>9.2244479406986616E-6</v>
      </c>
      <c r="K23" s="14">
        <v>0</v>
      </c>
      <c r="M23" s="21"/>
    </row>
    <row r="24" spans="1:14">
      <c r="A24" s="2" t="s">
        <v>347</v>
      </c>
      <c r="B24" s="3" t="s">
        <v>348</v>
      </c>
      <c r="D24" s="14">
        <v>5.3670428639147849E-9</v>
      </c>
      <c r="E24" s="14">
        <v>1.2946570133193011E-5</v>
      </c>
      <c r="F24" s="14">
        <v>3.1218302079316481E-6</v>
      </c>
      <c r="G24" s="14">
        <v>6.8093370899486434E-7</v>
      </c>
      <c r="H24" s="14">
        <v>0</v>
      </c>
      <c r="I24" s="14">
        <v>1.5564280292523715E-7</v>
      </c>
      <c r="J24" s="14">
        <v>2.3089656104091333E-5</v>
      </c>
      <c r="K24" s="14">
        <v>0</v>
      </c>
      <c r="M24" s="21"/>
    </row>
    <row r="25" spans="1:14">
      <c r="A25" s="2" t="s">
        <v>349</v>
      </c>
      <c r="B25" s="3" t="s">
        <v>350</v>
      </c>
      <c r="D25" s="14">
        <v>2.0034702575162017E-6</v>
      </c>
      <c r="E25" s="14">
        <v>3.1470421813118205E-6</v>
      </c>
      <c r="F25" s="14">
        <v>1.048231277987463E-5</v>
      </c>
      <c r="G25" s="14">
        <v>1.884311374719415E-6</v>
      </c>
      <c r="H25" s="14">
        <v>0</v>
      </c>
      <c r="I25" s="14">
        <v>4.299841153211105E-7</v>
      </c>
      <c r="J25" s="14">
        <v>2.2052879291256822E-5</v>
      </c>
      <c r="K25" s="14">
        <v>0</v>
      </c>
      <c r="M25" s="21"/>
    </row>
    <row r="26" spans="1:14">
      <c r="A26" s="2" t="s">
        <v>351</v>
      </c>
      <c r="B26" s="3" t="s">
        <v>352</v>
      </c>
      <c r="D26" s="14">
        <v>6.6482690729591804E-8</v>
      </c>
      <c r="E26" s="14">
        <v>8.5681735114497291E-7</v>
      </c>
      <c r="F26" s="14">
        <v>1.1009885515734909E-5</v>
      </c>
      <c r="G26" s="14">
        <v>5.0825113649838849E-6</v>
      </c>
      <c r="H26" s="14">
        <v>0</v>
      </c>
      <c r="I26" s="14">
        <v>1.1675061607138592E-6</v>
      </c>
      <c r="J26" s="14">
        <v>2.1816796916692788E-5</v>
      </c>
      <c r="K26" s="14">
        <v>0</v>
      </c>
    </row>
    <row r="27" spans="1:14">
      <c r="A27" s="2" t="s">
        <v>353</v>
      </c>
      <c r="B27" s="3" t="s">
        <v>354</v>
      </c>
      <c r="D27" s="14">
        <v>5.1638012639150895E-7</v>
      </c>
      <c r="E27" s="14">
        <v>1.5001309938077161E-7</v>
      </c>
      <c r="F27" s="14">
        <v>5.3081566921902295E-6</v>
      </c>
      <c r="G27" s="14">
        <v>1.3376401311294075E-5</v>
      </c>
      <c r="H27" s="14">
        <v>0</v>
      </c>
      <c r="I27" s="14">
        <v>3.1000671026734256E-6</v>
      </c>
      <c r="J27" s="14">
        <v>1.7548981668069992E-5</v>
      </c>
      <c r="K27" s="14">
        <v>0</v>
      </c>
    </row>
    <row r="28" spans="1:14">
      <c r="A28" s="2" t="s">
        <v>355</v>
      </c>
      <c r="B28" s="3" t="s">
        <v>356</v>
      </c>
      <c r="D28" s="14">
        <v>2.5470275763358868E-8</v>
      </c>
      <c r="E28" s="14">
        <v>4.8271779779538757E-7</v>
      </c>
      <c r="F28" s="14">
        <v>8.9229377242358349E-6</v>
      </c>
      <c r="G28" s="14">
        <v>7.5753624573456818E-6</v>
      </c>
      <c r="H28" s="14">
        <v>0</v>
      </c>
      <c r="I28" s="14">
        <v>1.7456100764583664E-6</v>
      </c>
      <c r="J28" s="14">
        <v>2.1247901668401376E-5</v>
      </c>
      <c r="K28" s="14">
        <v>0</v>
      </c>
    </row>
    <row r="29" spans="1:14">
      <c r="A29" s="2" t="s">
        <v>357</v>
      </c>
      <c r="B29" s="3" t="s">
        <v>358</v>
      </c>
      <c r="D29" s="14">
        <v>4.5914919121732058E-6</v>
      </c>
      <c r="E29" s="14">
        <v>6.4775904824187128E-7</v>
      </c>
      <c r="F29" s="14">
        <v>9.2348115733493922E-6</v>
      </c>
      <c r="G29" s="14">
        <v>5.0736860910055488E-6</v>
      </c>
      <c r="H29" s="14">
        <v>0</v>
      </c>
      <c r="I29" s="14">
        <v>1.1665150642699343E-6</v>
      </c>
      <c r="J29" s="14">
        <v>1.9285736310960051E-5</v>
      </c>
      <c r="K29" s="14">
        <v>0</v>
      </c>
    </row>
    <row r="30" spans="1:14">
      <c r="A30" s="2" t="s">
        <v>359</v>
      </c>
      <c r="B30" s="3" t="s">
        <v>360</v>
      </c>
      <c r="D30" s="14">
        <v>2.5470275763358868E-8</v>
      </c>
      <c r="E30" s="14">
        <v>4.8271779779538757E-7</v>
      </c>
      <c r="F30" s="14">
        <v>8.9229377242358349E-6</v>
      </c>
      <c r="G30" s="14">
        <v>7.5753624573456818E-6</v>
      </c>
      <c r="H30" s="14">
        <v>0</v>
      </c>
      <c r="I30" s="14">
        <v>1.7456100764583664E-6</v>
      </c>
      <c r="J30" s="14">
        <v>2.1247901668401376E-5</v>
      </c>
      <c r="K30" s="14">
        <v>0</v>
      </c>
    </row>
    <row r="31" spans="1:14">
      <c r="A31" s="2" t="s">
        <v>283</v>
      </c>
      <c r="B31" s="3" t="s">
        <v>284</v>
      </c>
      <c r="D31" s="14">
        <v>1.045792200021605E-12</v>
      </c>
      <c r="E31" s="14">
        <v>3.9059354594107278E-5</v>
      </c>
      <c r="F31" s="14">
        <v>2.3950777335189913E-9</v>
      </c>
      <c r="G31" s="14">
        <v>9.6120311288208042E-10</v>
      </c>
      <c r="H31" s="14">
        <v>0</v>
      </c>
      <c r="I31" s="14">
        <v>5.0479381934371433E-9</v>
      </c>
      <c r="J31" s="14">
        <v>9.3224014106069486E-7</v>
      </c>
      <c r="K31" s="14">
        <v>0</v>
      </c>
    </row>
    <row r="32" spans="1:14">
      <c r="A32" s="2" t="s">
        <v>361</v>
      </c>
      <c r="B32" s="3" t="s">
        <v>362</v>
      </c>
      <c r="D32" s="14">
        <v>1.089787022734983E-12</v>
      </c>
      <c r="E32" s="14">
        <v>2.2261143336833362E-5</v>
      </c>
      <c r="F32" s="14">
        <v>9.9722678963114314E-7</v>
      </c>
      <c r="G32" s="14">
        <v>2.4587399535368602E-7</v>
      </c>
      <c r="H32" s="14">
        <v>0</v>
      </c>
      <c r="I32" s="14">
        <v>5.8653591480550546E-8</v>
      </c>
      <c r="J32" s="14">
        <v>1.6437101196914237E-5</v>
      </c>
      <c r="K32" s="14">
        <v>0</v>
      </c>
    </row>
    <row r="33" spans="1:11">
      <c r="A33" s="2" t="s">
        <v>364</v>
      </c>
      <c r="B33" s="3" t="s">
        <v>365</v>
      </c>
      <c r="D33" s="14">
        <v>4.8294157002450481E-15</v>
      </c>
      <c r="E33" s="14">
        <v>3.9975914470215144E-5</v>
      </c>
      <c r="F33" s="14">
        <v>1.6811751333672955E-8</v>
      </c>
      <c r="G33" s="14">
        <v>5.1409133069991242E-12</v>
      </c>
      <c r="H33" s="14">
        <v>0</v>
      </c>
      <c r="I33" s="14">
        <v>4.9832817118994252E-9</v>
      </c>
      <c r="J33" s="14">
        <v>2.285350996559899E-9</v>
      </c>
      <c r="K33" s="14">
        <v>0</v>
      </c>
    </row>
    <row r="34" spans="1:11">
      <c r="A34" s="2" t="s">
        <v>285</v>
      </c>
      <c r="B34" s="3" t="s">
        <v>286</v>
      </c>
      <c r="D34" s="14">
        <v>2.4124989087361978E-14</v>
      </c>
      <c r="E34" s="14">
        <v>3.6938607834777185E-5</v>
      </c>
      <c r="F34" s="14">
        <v>3.0391705615343625E-6</v>
      </c>
      <c r="G34" s="14">
        <v>2.495913792577148E-10</v>
      </c>
      <c r="H34" s="14">
        <v>0</v>
      </c>
      <c r="I34" s="14">
        <v>8.8879376885760682E-9</v>
      </c>
      <c r="J34" s="14">
        <v>1.3084050495631667E-8</v>
      </c>
      <c r="K34" s="14">
        <v>0</v>
      </c>
    </row>
    <row r="35" spans="1:11">
      <c r="A35" s="2" t="s">
        <v>287</v>
      </c>
      <c r="B35" s="3" t="s">
        <v>288</v>
      </c>
      <c r="D35" s="14">
        <v>1.062808066006504E-15</v>
      </c>
      <c r="E35" s="14">
        <v>3.30733859842726E-5</v>
      </c>
      <c r="F35" s="14">
        <v>6.8639357516147361E-6</v>
      </c>
      <c r="G35" s="14">
        <v>1.3292312177391326E-9</v>
      </c>
      <c r="H35" s="14">
        <v>0</v>
      </c>
      <c r="I35" s="14">
        <v>1.3451496889413417E-8</v>
      </c>
      <c r="J35" s="14">
        <v>4.7897534942712042E-8</v>
      </c>
      <c r="K35" s="14">
        <v>0</v>
      </c>
    </row>
    <row r="36" spans="1:11">
      <c r="A36" s="2" t="s">
        <v>366</v>
      </c>
      <c r="B36" s="3" t="s">
        <v>305</v>
      </c>
      <c r="D36" s="14">
        <v>3.7176705832118951E-12</v>
      </c>
      <c r="E36" s="14">
        <v>2.1889587762971879E-5</v>
      </c>
      <c r="F36" s="14">
        <v>1.7973478361752725E-5</v>
      </c>
      <c r="G36" s="14">
        <v>5.1460489936404462E-9</v>
      </c>
      <c r="H36" s="14">
        <v>0</v>
      </c>
      <c r="I36" s="14">
        <v>2.5568938938336494E-8</v>
      </c>
      <c r="J36" s="14">
        <v>1.062151696728375E-7</v>
      </c>
      <c r="K36" s="14">
        <v>0</v>
      </c>
    </row>
    <row r="37" spans="1:11">
      <c r="A37" s="2" t="s">
        <v>289</v>
      </c>
      <c r="B37" s="3" t="s">
        <v>290</v>
      </c>
      <c r="D37" s="14">
        <v>4.7597034160516057E-19</v>
      </c>
      <c r="E37" s="14">
        <v>2.3711867689004659E-5</v>
      </c>
      <c r="F37" s="14">
        <v>7.9140777641620776E-6</v>
      </c>
      <c r="G37" s="14">
        <v>2.701903378344289E-7</v>
      </c>
      <c r="H37" s="14">
        <v>0</v>
      </c>
      <c r="I37" s="14">
        <v>7.262715608802135E-8</v>
      </c>
      <c r="J37" s="14">
        <v>8.0312370529103449E-6</v>
      </c>
      <c r="K37" s="14">
        <v>0</v>
      </c>
    </row>
    <row r="38" spans="1:11">
      <c r="A38" s="2" t="s">
        <v>291</v>
      </c>
      <c r="B38" s="3" t="s">
        <v>292</v>
      </c>
      <c r="D38" s="14">
        <v>7.3678801826618004E-17</v>
      </c>
      <c r="E38" s="14">
        <v>3.7529554754593655E-5</v>
      </c>
      <c r="F38" s="14">
        <v>2.3452436158953705E-6</v>
      </c>
      <c r="G38" s="14">
        <v>1.959318369097348E-9</v>
      </c>
      <c r="H38" s="14">
        <v>0</v>
      </c>
      <c r="I38" s="14">
        <v>8.4222851219561585E-9</v>
      </c>
      <c r="J38" s="14">
        <v>1.14820025946249E-7</v>
      </c>
      <c r="K38" s="14">
        <v>0</v>
      </c>
    </row>
    <row r="39" spans="1:11">
      <c r="A39" s="2" t="s">
        <v>367</v>
      </c>
      <c r="B39" s="3" t="s">
        <v>368</v>
      </c>
      <c r="D39" s="14">
        <v>2.7466725887666093E-9</v>
      </c>
      <c r="E39" s="14">
        <v>1.9633899238801779E-6</v>
      </c>
      <c r="F39" s="14">
        <v>1.4124761007759397E-5</v>
      </c>
      <c r="G39" s="14">
        <v>2.4670426842323133E-6</v>
      </c>
      <c r="H39" s="14">
        <v>0</v>
      </c>
      <c r="I39" s="14">
        <v>5.6404043769304306E-7</v>
      </c>
      <c r="J39" s="14">
        <v>2.0878019273846312E-5</v>
      </c>
      <c r="K39" s="14">
        <v>0</v>
      </c>
    </row>
    <row r="40" spans="1:11">
      <c r="A40" s="2" t="s">
        <v>369</v>
      </c>
      <c r="B40" s="3" t="s">
        <v>370</v>
      </c>
      <c r="D40" s="14">
        <v>3.3168907505837585E-16</v>
      </c>
      <c r="E40" s="14">
        <v>3.6289936473202347E-7</v>
      </c>
      <c r="F40" s="14">
        <v>3.2994439746837065E-5</v>
      </c>
      <c r="G40" s="14">
        <v>2.3870479073942811E-6</v>
      </c>
      <c r="H40" s="14">
        <v>0</v>
      </c>
      <c r="I40" s="14">
        <v>3.2176693557314176E-6</v>
      </c>
      <c r="J40" s="14">
        <v>1.0379436249735298E-6</v>
      </c>
      <c r="K40" s="14">
        <v>0</v>
      </c>
    </row>
    <row r="41" spans="1:11">
      <c r="A41" s="2" t="s">
        <v>371</v>
      </c>
      <c r="B41" s="3" t="s">
        <v>372</v>
      </c>
      <c r="D41" s="14">
        <v>3.2615311749359124E-6</v>
      </c>
      <c r="E41" s="14">
        <v>3.6551162870087157E-5</v>
      </c>
      <c r="F41" s="14">
        <v>1.115053612171953E-10</v>
      </c>
      <c r="G41" s="14">
        <v>5.5820189214540052E-11</v>
      </c>
      <c r="H41" s="14">
        <v>0</v>
      </c>
      <c r="I41" s="14">
        <v>4.5373001021751178E-9</v>
      </c>
      <c r="J41" s="14">
        <v>1.8260132932432069E-7</v>
      </c>
      <c r="K41" s="14">
        <v>0</v>
      </c>
    </row>
    <row r="42" spans="1:11">
      <c r="A42" s="2" t="s">
        <v>293</v>
      </c>
      <c r="B42" s="3" t="s">
        <v>294</v>
      </c>
      <c r="D42" s="14">
        <v>8.3134370720373065E-13</v>
      </c>
      <c r="E42" s="14">
        <v>2.4973549793280238E-5</v>
      </c>
      <c r="F42" s="14">
        <v>6.668909573250447E-7</v>
      </c>
      <c r="G42" s="14">
        <v>1.7106075481091536E-7</v>
      </c>
      <c r="H42" s="14">
        <v>0</v>
      </c>
      <c r="I42" s="14">
        <v>4.1541278772280573E-8</v>
      </c>
      <c r="J42" s="14">
        <v>1.4146956384467828E-5</v>
      </c>
      <c r="K42" s="14">
        <v>0</v>
      </c>
    </row>
    <row r="43" spans="1:11">
      <c r="A43" s="2" t="s">
        <v>373</v>
      </c>
      <c r="B43" s="3" t="s">
        <v>374</v>
      </c>
      <c r="D43" s="14">
        <v>1.5889859682953225E-11</v>
      </c>
      <c r="E43" s="14">
        <v>3.2593079407822123E-6</v>
      </c>
      <c r="F43" s="14">
        <v>3.646363370143551E-5</v>
      </c>
      <c r="G43" s="14">
        <v>3.0788027552899065E-8</v>
      </c>
      <c r="H43" s="14">
        <v>0</v>
      </c>
      <c r="I43" s="14">
        <v>9.083888055944333E-8</v>
      </c>
      <c r="J43" s="14">
        <v>1.5541555981025341E-7</v>
      </c>
      <c r="K43" s="14">
        <v>0</v>
      </c>
    </row>
    <row r="44" spans="1:11">
      <c r="A44" s="2" t="s">
        <v>375</v>
      </c>
      <c r="B44" s="3" t="s">
        <v>376</v>
      </c>
      <c r="D44" s="14">
        <v>3.4757632770612857E-6</v>
      </c>
      <c r="E44" s="14">
        <v>3.1216905874565749E-5</v>
      </c>
      <c r="F44" s="14">
        <v>7.9455580563001815E-8</v>
      </c>
      <c r="G44" s="14">
        <v>2.4233713023903268E-8</v>
      </c>
      <c r="H44" s="14">
        <v>0</v>
      </c>
      <c r="I44" s="14">
        <v>9.2750280907228578E-9</v>
      </c>
      <c r="J44" s="14">
        <v>5.1943665266953307E-6</v>
      </c>
      <c r="K44" s="14">
        <v>0</v>
      </c>
    </row>
    <row r="45" spans="1:11">
      <c r="A45" s="2" t="s">
        <v>377</v>
      </c>
      <c r="B45" s="3" t="s">
        <v>378</v>
      </c>
      <c r="D45" s="14">
        <v>3.2461136969808162E-8</v>
      </c>
      <c r="E45" s="14">
        <v>2.3910210065638424E-5</v>
      </c>
      <c r="F45" s="14">
        <v>7.7989824321625293E-7</v>
      </c>
      <c r="G45" s="14">
        <v>1.9712127403638244E-7</v>
      </c>
      <c r="H45" s="14">
        <v>0</v>
      </c>
      <c r="I45" s="14">
        <v>4.7292993182533105E-8</v>
      </c>
      <c r="J45" s="14">
        <v>1.5033016286956601E-5</v>
      </c>
      <c r="K45" s="14">
        <v>0</v>
      </c>
    </row>
    <row r="46" spans="1:11">
      <c r="A46" s="2" t="s">
        <v>379</v>
      </c>
      <c r="B46" s="3" t="s">
        <v>380</v>
      </c>
      <c r="D46" s="14">
        <v>9.5966294580531429E-8</v>
      </c>
      <c r="E46" s="14">
        <v>2.4526658874169771E-5</v>
      </c>
      <c r="F46" s="14">
        <v>7.059808831172283E-7</v>
      </c>
      <c r="G46" s="14">
        <v>1.8008954322892294E-7</v>
      </c>
      <c r="H46" s="14">
        <v>0</v>
      </c>
      <c r="I46" s="14">
        <v>4.3524165509268477E-8</v>
      </c>
      <c r="J46" s="14">
        <v>1.4447780239394282E-5</v>
      </c>
      <c r="K46" s="14">
        <v>0</v>
      </c>
    </row>
    <row r="47" spans="1:11">
      <c r="A47" s="2" t="s">
        <v>381</v>
      </c>
      <c r="B47" s="3" t="s">
        <v>382</v>
      </c>
      <c r="D47" s="14">
        <v>8.9664985927905965E-12</v>
      </c>
      <c r="E47" s="14">
        <v>1.3979207428968211E-7</v>
      </c>
      <c r="F47" s="14">
        <v>5.1653184254226836E-6</v>
      </c>
      <c r="G47" s="14">
        <v>1.3995636520220831E-5</v>
      </c>
      <c r="H47" s="14">
        <v>0</v>
      </c>
      <c r="I47" s="14">
        <v>3.2448295022415788E-6</v>
      </c>
      <c r="J47" s="14">
        <v>1.7454414511326636E-5</v>
      </c>
      <c r="K47" s="14">
        <v>0</v>
      </c>
    </row>
    <row r="48" spans="1:11">
      <c r="A48" s="2" t="s">
        <v>383</v>
      </c>
      <c r="B48" s="3" t="s">
        <v>384</v>
      </c>
      <c r="D48" s="14">
        <v>4.7289792279429952E-7</v>
      </c>
      <c r="E48" s="14">
        <v>3.6410535886597147E-5</v>
      </c>
      <c r="F48" s="14">
        <v>2.5248851105484436E-8</v>
      </c>
      <c r="G48" s="14">
        <v>8.4749506241360704E-9</v>
      </c>
      <c r="H48" s="14">
        <v>0</v>
      </c>
      <c r="I48" s="14">
        <v>6.3927708149561074E-9</v>
      </c>
      <c r="J48" s="14">
        <v>3.0764496180639786E-6</v>
      </c>
      <c r="K48" s="14">
        <v>0</v>
      </c>
    </row>
    <row r="49" spans="1:11">
      <c r="A49" s="2" t="s">
        <v>385</v>
      </c>
      <c r="B49" s="3" t="s">
        <v>386</v>
      </c>
      <c r="D49" s="14">
        <v>8.8824226797630228E-7</v>
      </c>
      <c r="E49" s="14">
        <v>3.4953534666325857E-5</v>
      </c>
      <c r="F49" s="14">
        <v>4.5290347258292148E-8</v>
      </c>
      <c r="G49" s="14">
        <v>1.4517813263866876E-8</v>
      </c>
      <c r="H49" s="14">
        <v>0</v>
      </c>
      <c r="I49" s="14">
        <v>7.5622574337492414E-9</v>
      </c>
      <c r="J49" s="14">
        <v>4.090852647741928E-6</v>
      </c>
      <c r="K49" s="14">
        <v>0</v>
      </c>
    </row>
    <row r="50" spans="1:11">
      <c r="A50" s="2" t="s">
        <v>387</v>
      </c>
      <c r="B50" s="3" t="s">
        <v>388</v>
      </c>
      <c r="D50" s="14">
        <v>6.6793503880962547E-7</v>
      </c>
      <c r="E50" s="14">
        <v>7.663971674713783E-6</v>
      </c>
      <c r="F50" s="14">
        <v>5.6938817215912814E-6</v>
      </c>
      <c r="G50" s="14">
        <v>1.1431520426937837E-6</v>
      </c>
      <c r="H50" s="14">
        <v>0</v>
      </c>
      <c r="I50" s="14">
        <v>2.6041055899541819E-7</v>
      </c>
      <c r="J50" s="14">
        <v>2.4570648963196112E-5</v>
      </c>
      <c r="K50" s="14">
        <v>0</v>
      </c>
    </row>
    <row r="51" spans="1:11">
      <c r="A51" s="2" t="s">
        <v>295</v>
      </c>
      <c r="B51" s="3" t="s">
        <v>296</v>
      </c>
      <c r="D51" s="14">
        <v>2.6167979912881671E-6</v>
      </c>
      <c r="E51" s="14">
        <v>3.6191773245858015E-5</v>
      </c>
      <c r="F51" s="14">
        <v>4.044309770694924E-9</v>
      </c>
      <c r="G51" s="14">
        <v>1.5528874066702775E-9</v>
      </c>
      <c r="H51" s="14">
        <v>0</v>
      </c>
      <c r="I51" s="14">
        <v>4.8242208340372836E-9</v>
      </c>
      <c r="J51" s="14">
        <v>1.1810073448424174E-6</v>
      </c>
      <c r="K51" s="14">
        <v>0</v>
      </c>
    </row>
    <row r="52" spans="1:11">
      <c r="A52" s="2" t="s">
        <v>389</v>
      </c>
      <c r="B52" s="3" t="s">
        <v>390</v>
      </c>
      <c r="D52" s="14">
        <v>2.8617705174150825E-6</v>
      </c>
      <c r="E52" s="14">
        <v>3.0097780435365354E-5</v>
      </c>
      <c r="F52" s="14">
        <v>1.3960758678082429E-7</v>
      </c>
      <c r="G52" s="14">
        <v>4.0738456970840164E-8</v>
      </c>
      <c r="H52" s="14">
        <v>0</v>
      </c>
      <c r="I52" s="14">
        <v>1.2836901289155357E-8</v>
      </c>
      <c r="J52" s="14">
        <v>6.8472661021787423E-6</v>
      </c>
      <c r="K52" s="14">
        <v>0</v>
      </c>
    </row>
    <row r="53" spans="1:11">
      <c r="A53" s="2" t="s">
        <v>391</v>
      </c>
      <c r="B53" s="3" t="s">
        <v>392</v>
      </c>
      <c r="D53" s="14">
        <v>1.0596363681772386E-7</v>
      </c>
      <c r="E53" s="14">
        <v>2.0458628675829205E-5</v>
      </c>
      <c r="F53" s="14">
        <v>1.2468984077423635E-6</v>
      </c>
      <c r="G53" s="14">
        <v>3.0097236833621897E-7</v>
      </c>
      <c r="H53" s="14">
        <v>0</v>
      </c>
      <c r="I53" s="14">
        <v>7.0345065015238304E-8</v>
      </c>
      <c r="J53" s="14">
        <v>1.7817191846259249E-5</v>
      </c>
      <c r="K53" s="14">
        <v>0</v>
      </c>
    </row>
    <row r="54" spans="1:11">
      <c r="A54" s="2" t="s">
        <v>393</v>
      </c>
      <c r="B54" s="3" t="s">
        <v>394</v>
      </c>
      <c r="D54" s="14">
        <v>3.9816775562438496E-8</v>
      </c>
      <c r="E54" s="14">
        <v>1.8793417059345119E-7</v>
      </c>
      <c r="F54" s="14">
        <v>5.9421047302096748E-6</v>
      </c>
      <c r="G54" s="14">
        <v>1.2400404652872786E-5</v>
      </c>
      <c r="H54" s="14">
        <v>0</v>
      </c>
      <c r="I54" s="14">
        <v>2.8709996530085513E-6</v>
      </c>
      <c r="J54" s="14">
        <v>1.8558740017753108E-5</v>
      </c>
      <c r="K54" s="14">
        <v>0</v>
      </c>
    </row>
    <row r="55" spans="1:11">
      <c r="A55" s="2" t="s">
        <v>395</v>
      </c>
      <c r="B55" s="3" t="s">
        <v>396</v>
      </c>
      <c r="D55" s="14">
        <v>9.1421087617873129E-6</v>
      </c>
      <c r="E55" s="14">
        <v>9.399528049235852E-6</v>
      </c>
      <c r="F55" s="14">
        <v>2.6334228439573688E-6</v>
      </c>
      <c r="G55" s="14">
        <v>5.6808870426368539E-7</v>
      </c>
      <c r="H55" s="14">
        <v>0</v>
      </c>
      <c r="I55" s="14">
        <v>1.2973269428620356E-7</v>
      </c>
      <c r="J55" s="14">
        <v>1.8127118946469584E-5</v>
      </c>
      <c r="K55" s="14">
        <v>0</v>
      </c>
    </row>
    <row r="56" spans="1:11">
      <c r="A56" s="2" t="s">
        <v>397</v>
      </c>
      <c r="B56" s="3" t="s">
        <v>398</v>
      </c>
      <c r="D56" s="14">
        <v>3.3175233004868072E-5</v>
      </c>
      <c r="E56" s="14">
        <v>8.8865593617931359E-7</v>
      </c>
      <c r="F56" s="14">
        <v>1.3979389214379828E-6</v>
      </c>
      <c r="G56" s="14">
        <v>2.6557289758442138E-7</v>
      </c>
      <c r="H56" s="14">
        <v>0</v>
      </c>
      <c r="I56" s="14">
        <v>6.0521456392042572E-8</v>
      </c>
      <c r="J56" s="14">
        <v>4.2120777835381728E-6</v>
      </c>
      <c r="K56" s="14">
        <v>0</v>
      </c>
    </row>
    <row r="57" spans="1:11">
      <c r="A57" s="2" t="s">
        <v>399</v>
      </c>
      <c r="B57" s="3" t="s">
        <v>400</v>
      </c>
      <c r="D57" s="14">
        <v>3.4969454545589024E-5</v>
      </c>
      <c r="E57" s="14">
        <v>1.3334247832418461E-6</v>
      </c>
      <c r="F57" s="14">
        <v>5.1708634959648634E-7</v>
      </c>
      <c r="G57" s="14">
        <v>1.0890771056424263E-7</v>
      </c>
      <c r="H57" s="14">
        <v>0</v>
      </c>
      <c r="I57" s="14">
        <v>2.4836511347329052E-8</v>
      </c>
      <c r="J57" s="14">
        <v>3.0462900996610632E-6</v>
      </c>
      <c r="K57" s="14">
        <v>0</v>
      </c>
    </row>
    <row r="58" spans="1:11">
      <c r="A58" s="2" t="s">
        <v>297</v>
      </c>
      <c r="B58" s="3" t="s">
        <v>298</v>
      </c>
      <c r="D58" s="14">
        <v>3.7300058308843599E-5</v>
      </c>
      <c r="E58" s="14">
        <v>2.3772189042395848E-6</v>
      </c>
      <c r="F58" s="14">
        <v>3.9553391286498284E-9</v>
      </c>
      <c r="G58" s="14">
        <v>1.2447418201389523E-9</v>
      </c>
      <c r="H58" s="14">
        <v>0</v>
      </c>
      <c r="I58" s="14">
        <v>5.7186273576506556E-10</v>
      </c>
      <c r="J58" s="14">
        <v>3.1695084323227076E-7</v>
      </c>
      <c r="K58" s="14">
        <v>0</v>
      </c>
    </row>
    <row r="59" spans="1:11">
      <c r="A59" s="2" t="s">
        <v>401</v>
      </c>
      <c r="B59" s="3" t="s">
        <v>402</v>
      </c>
      <c r="D59" s="14">
        <v>3.8157660892455753E-5</v>
      </c>
      <c r="E59" s="14">
        <v>5.047094177232453E-7</v>
      </c>
      <c r="F59" s="14">
        <v>1.8157496076838461E-7</v>
      </c>
      <c r="G59" s="14">
        <v>3.8454884773500355E-8</v>
      </c>
      <c r="H59" s="14">
        <v>0</v>
      </c>
      <c r="I59" s="14">
        <v>8.7719444647915349E-9</v>
      </c>
      <c r="J59" s="14">
        <v>1.1088278998143309E-6</v>
      </c>
      <c r="K59" s="14">
        <v>0</v>
      </c>
    </row>
    <row r="60" spans="1:11">
      <c r="A60" s="2" t="s">
        <v>299</v>
      </c>
      <c r="B60" s="3" t="s">
        <v>300</v>
      </c>
      <c r="D60" s="14">
        <v>3.9952686263144083E-5</v>
      </c>
      <c r="E60" s="14">
        <v>1.7988114751860982E-8</v>
      </c>
      <c r="F60" s="14">
        <v>2.8354382898713737E-9</v>
      </c>
      <c r="G60" s="14">
        <v>6.3813968727149418E-10</v>
      </c>
      <c r="H60" s="14">
        <v>0</v>
      </c>
      <c r="I60" s="14">
        <v>1.4640622005598369E-10</v>
      </c>
      <c r="J60" s="14">
        <v>2.570563790686026E-8</v>
      </c>
      <c r="K60" s="14">
        <v>0</v>
      </c>
    </row>
    <row r="61" spans="1:11">
      <c r="A61" s="2" t="s">
        <v>403</v>
      </c>
      <c r="B61" s="3" t="s">
        <v>404</v>
      </c>
      <c r="D61" s="14">
        <v>2.7118890178091217E-48</v>
      </c>
      <c r="E61" s="14">
        <v>1.7282699423173222E-5</v>
      </c>
      <c r="F61" s="14">
        <v>1.8721736448102261E-6</v>
      </c>
      <c r="G61" s="14">
        <v>4.3315335503138996E-7</v>
      </c>
      <c r="H61" s="14">
        <v>0</v>
      </c>
      <c r="I61" s="14">
        <v>9.9897561168235799E-8</v>
      </c>
      <c r="J61" s="14">
        <v>2.031207601581693E-5</v>
      </c>
      <c r="K61" s="14">
        <v>0</v>
      </c>
    </row>
    <row r="62" spans="1:11">
      <c r="A62" s="2" t="s">
        <v>405</v>
      </c>
      <c r="B62" s="3" t="s">
        <v>406</v>
      </c>
      <c r="D62" s="14">
        <v>1.9912366824481691E-11</v>
      </c>
      <c r="E62" s="14">
        <v>7.219756471999003E-7</v>
      </c>
      <c r="F62" s="14">
        <v>1.0382384276763161E-5</v>
      </c>
      <c r="G62" s="14">
        <v>5.7875219943991516E-6</v>
      </c>
      <c r="H62" s="14">
        <v>0</v>
      </c>
      <c r="I62" s="14">
        <v>1.3307354332576771E-6</v>
      </c>
      <c r="J62" s="14">
        <v>2.1777362736013286E-5</v>
      </c>
      <c r="K62" s="14">
        <v>0</v>
      </c>
    </row>
    <row r="63" spans="1:11">
      <c r="A63" s="2" t="s">
        <v>407</v>
      </c>
      <c r="B63" s="3" t="s">
        <v>408</v>
      </c>
      <c r="D63" s="14">
        <v>5.9072002376598993E-9</v>
      </c>
      <c r="E63" s="14">
        <v>8.1729973289663615E-8</v>
      </c>
      <c r="F63" s="14">
        <v>3.9496254019055184E-6</v>
      </c>
      <c r="G63" s="14">
        <v>1.677843550069051E-5</v>
      </c>
      <c r="H63" s="14">
        <v>0</v>
      </c>
      <c r="I63" s="14">
        <v>3.8993494288137914E-6</v>
      </c>
      <c r="J63" s="14">
        <v>1.5284952495062865E-5</v>
      </c>
      <c r="K63" s="14">
        <v>0</v>
      </c>
    </row>
    <row r="64" spans="1:11">
      <c r="A64" s="2" t="s">
        <v>409</v>
      </c>
      <c r="B64" s="3" t="s">
        <v>410</v>
      </c>
      <c r="D64" s="14">
        <v>8.167594240947901E-10</v>
      </c>
      <c r="E64" s="14">
        <v>3.1625239180006479E-8</v>
      </c>
      <c r="F64" s="14">
        <v>2.3766671810650427E-6</v>
      </c>
      <c r="G64" s="14">
        <v>2.1157479293054749E-5</v>
      </c>
      <c r="H64" s="14">
        <v>0</v>
      </c>
      <c r="I64" s="14">
        <v>4.9366226807069392E-6</v>
      </c>
      <c r="J64" s="14">
        <v>1.1496788846569168E-5</v>
      </c>
      <c r="K64" s="14">
        <v>0</v>
      </c>
    </row>
    <row r="65" spans="1:11">
      <c r="A65" s="2" t="s">
        <v>301</v>
      </c>
      <c r="B65" s="3" t="s">
        <v>302</v>
      </c>
      <c r="D65" s="14">
        <v>1.1184577392877352E-10</v>
      </c>
      <c r="E65" s="14">
        <v>9.8419066966027789E-9</v>
      </c>
      <c r="F65" s="14">
        <v>1.2220635588206587E-6</v>
      </c>
      <c r="G65" s="14">
        <v>2.5234188868653433E-5</v>
      </c>
      <c r="H65" s="14">
        <v>0</v>
      </c>
      <c r="I65" s="14">
        <v>5.9147235365054078E-6</v>
      </c>
      <c r="J65" s="14">
        <v>7.6190702835499721E-6</v>
      </c>
      <c r="K65" s="14">
        <v>0</v>
      </c>
    </row>
    <row r="66" spans="1:11">
      <c r="A66" s="2" t="s">
        <v>303</v>
      </c>
      <c r="B66" s="3" t="s">
        <v>304</v>
      </c>
      <c r="D66" s="14">
        <v>1.0220986563296705E-16</v>
      </c>
      <c r="E66" s="14">
        <v>1.9316679844688681E-8</v>
      </c>
      <c r="F66" s="14">
        <v>1.8024657961991033E-6</v>
      </c>
      <c r="G66" s="14">
        <v>2.3060174408238888E-5</v>
      </c>
      <c r="H66" s="14">
        <v>0</v>
      </c>
      <c r="I66" s="14">
        <v>5.391125933669947E-6</v>
      </c>
      <c r="J66" s="14">
        <v>9.7269171819451672E-6</v>
      </c>
      <c r="K66" s="14">
        <v>0</v>
      </c>
    </row>
    <row r="67" spans="1:11">
      <c r="A67" s="2" t="s">
        <v>411</v>
      </c>
      <c r="B67" s="3" t="s">
        <v>412</v>
      </c>
      <c r="D67" s="14">
        <v>1.9138798914325469E-7</v>
      </c>
      <c r="E67" s="14">
        <v>3.3479143892619177E-5</v>
      </c>
      <c r="F67" s="14">
        <v>1.0408517922180148E-7</v>
      </c>
      <c r="G67" s="14">
        <v>3.128127525004116E-8</v>
      </c>
      <c r="H67" s="14">
        <v>0</v>
      </c>
      <c r="I67" s="14">
        <v>1.113250401744737E-8</v>
      </c>
      <c r="J67" s="14">
        <v>6.1829691597482862E-6</v>
      </c>
      <c r="K67" s="14">
        <v>0</v>
      </c>
    </row>
    <row r="68" spans="1:11">
      <c r="A68" s="2" t="s">
        <v>413</v>
      </c>
      <c r="B68" s="3" t="s">
        <v>414</v>
      </c>
      <c r="D68" s="14">
        <v>4.2003318508199379E-7</v>
      </c>
      <c r="E68" s="14">
        <v>3.1230811428090149E-5</v>
      </c>
      <c r="F68" s="14">
        <v>1.8601921976713373E-7</v>
      </c>
      <c r="G68" s="14">
        <v>5.3290939139283346E-8</v>
      </c>
      <c r="H68" s="14">
        <v>0</v>
      </c>
      <c r="I68" s="14">
        <v>1.5792963292178469E-8</v>
      </c>
      <c r="J68" s="14">
        <v>8.0940522646292622E-6</v>
      </c>
      <c r="K68" s="14">
        <v>0</v>
      </c>
    </row>
    <row r="69" spans="1:11">
      <c r="A69" s="2" t="s">
        <v>415</v>
      </c>
      <c r="B69" s="3" t="s">
        <v>416</v>
      </c>
      <c r="D69" s="14">
        <v>2.4421939286993885E-7</v>
      </c>
      <c r="E69" s="14">
        <v>2.7747241350502092E-7</v>
      </c>
      <c r="F69" s="14">
        <v>7.065686467195314E-6</v>
      </c>
      <c r="G69" s="14">
        <v>1.0260060401856949E-5</v>
      </c>
      <c r="H69" s="14">
        <v>0</v>
      </c>
      <c r="I69" s="14">
        <v>2.3709097525141213E-6</v>
      </c>
      <c r="J69" s="14">
        <v>1.978165157205866E-5</v>
      </c>
      <c r="K69" s="14">
        <v>0</v>
      </c>
    </row>
    <row r="70" spans="1:11">
      <c r="A70" s="2" t="s">
        <v>417</v>
      </c>
      <c r="B70" s="3" t="s">
        <v>418</v>
      </c>
      <c r="D70" s="14">
        <v>4.6728804978796125E-7</v>
      </c>
      <c r="E70" s="14">
        <v>3.7691579663455548E-6</v>
      </c>
      <c r="F70" s="14">
        <v>1.0024411582120891E-5</v>
      </c>
      <c r="G70" s="14">
        <v>1.8321222330895143E-6</v>
      </c>
      <c r="H70" s="14">
        <v>0</v>
      </c>
      <c r="I70" s="14">
        <v>4.1788237857282231E-7</v>
      </c>
      <c r="J70" s="14">
        <v>2.3489137790083269E-5</v>
      </c>
      <c r="K70" s="14">
        <v>0</v>
      </c>
    </row>
    <row r="71" spans="1:11">
      <c r="A71" s="2" t="s">
        <v>419</v>
      </c>
      <c r="B71" s="3" t="s">
        <v>420</v>
      </c>
      <c r="D71" s="14">
        <v>1.0259794197295448E-6</v>
      </c>
      <c r="E71" s="14">
        <v>3.1094123115146134E-5</v>
      </c>
      <c r="F71" s="14">
        <v>1.6757640302042659E-7</v>
      </c>
      <c r="G71" s="14">
        <v>4.8362464011060228E-8</v>
      </c>
      <c r="H71" s="14">
        <v>0</v>
      </c>
      <c r="I71" s="14">
        <v>1.4669938668380158E-8</v>
      </c>
      <c r="J71" s="14">
        <v>7.6492886594244603E-6</v>
      </c>
      <c r="K71" s="14">
        <v>0</v>
      </c>
    </row>
    <row r="72" spans="1:11">
      <c r="A72" s="2" t="s">
        <v>421</v>
      </c>
      <c r="B72" s="3" t="s">
        <v>422</v>
      </c>
      <c r="D72" s="14">
        <v>1.8209421379421313E-6</v>
      </c>
      <c r="E72" s="14">
        <v>4.049261370889735E-6</v>
      </c>
      <c r="F72" s="14">
        <v>9.0400401807414616E-6</v>
      </c>
      <c r="G72" s="14">
        <v>1.6736549109201332E-6</v>
      </c>
      <c r="H72" s="14">
        <v>0</v>
      </c>
      <c r="I72" s="14">
        <v>3.8161428332034295E-7</v>
      </c>
      <c r="J72" s="14">
        <v>2.3034487116186197E-5</v>
      </c>
      <c r="K72" s="14">
        <v>0</v>
      </c>
    </row>
    <row r="73" spans="1:11">
      <c r="A73" s="2" t="s">
        <v>423</v>
      </c>
      <c r="B73" s="3" t="s">
        <v>424</v>
      </c>
      <c r="D73" s="14">
        <v>8.0691939708251298E-7</v>
      </c>
      <c r="E73" s="14">
        <v>1.6250615691395811E-5</v>
      </c>
      <c r="F73" s="14">
        <v>1.9948230152538762E-6</v>
      </c>
      <c r="G73" s="14">
        <v>4.5729865665668441E-7</v>
      </c>
      <c r="H73" s="14">
        <v>0</v>
      </c>
      <c r="I73" s="14">
        <v>1.0525685533575358E-7</v>
      </c>
      <c r="J73" s="14">
        <v>2.0385086384275369E-5</v>
      </c>
      <c r="K73" s="14">
        <v>0</v>
      </c>
    </row>
    <row r="74" spans="1:11">
      <c r="A74" s="2" t="s">
        <v>425</v>
      </c>
      <c r="B74" s="3" t="s">
        <v>426</v>
      </c>
      <c r="D74" s="14">
        <v>7.0817970923490842E-7</v>
      </c>
      <c r="E74" s="14">
        <v>3.8629860844535286E-6</v>
      </c>
      <c r="F74" s="14">
        <v>9.7727703650051371E-6</v>
      </c>
      <c r="G74" s="14">
        <v>1.7927232439355705E-6</v>
      </c>
      <c r="H74" s="14">
        <v>0</v>
      </c>
      <c r="I74" s="14">
        <v>4.0885675266768097E-7</v>
      </c>
      <c r="J74" s="14">
        <v>2.345448384470318E-5</v>
      </c>
      <c r="K74" s="14">
        <v>0</v>
      </c>
    </row>
    <row r="75" spans="1:11">
      <c r="A75" s="2" t="s">
        <v>427</v>
      </c>
      <c r="B75" s="3" t="s">
        <v>428</v>
      </c>
      <c r="D75" s="14">
        <v>2.1027689377832954E-13</v>
      </c>
      <c r="E75" s="14">
        <v>1.6555840539520559E-6</v>
      </c>
      <c r="F75" s="14">
        <v>3.7998441560300935E-5</v>
      </c>
      <c r="G75" s="14">
        <v>1.4662769052645483E-8</v>
      </c>
      <c r="H75" s="14">
        <v>0</v>
      </c>
      <c r="I75" s="14">
        <v>2.9938657410475791E-7</v>
      </c>
      <c r="J75" s="14">
        <v>3.1924832312717757E-8</v>
      </c>
      <c r="K75" s="14">
        <v>0</v>
      </c>
    </row>
    <row r="76" spans="1:11">
      <c r="A76" s="2" t="s">
        <v>429</v>
      </c>
      <c r="B76" s="3" t="s">
        <v>430</v>
      </c>
      <c r="D76" s="14">
        <v>5.2819167904868331E-15</v>
      </c>
      <c r="E76" s="14">
        <v>1.6555840624367165E-6</v>
      </c>
      <c r="F76" s="14">
        <v>3.799844175503818E-5</v>
      </c>
      <c r="G76" s="14">
        <v>1.4662769127790333E-8</v>
      </c>
      <c r="H76" s="14">
        <v>0</v>
      </c>
      <c r="I76" s="14">
        <v>2.9938657563907651E-7</v>
      </c>
      <c r="J76" s="14">
        <v>3.1924832476328517E-8</v>
      </c>
      <c r="K76" s="14">
        <v>0</v>
      </c>
    </row>
    <row r="77" spans="1:11">
      <c r="A77" s="2" t="s">
        <v>431</v>
      </c>
      <c r="B77" s="3" t="s">
        <v>432</v>
      </c>
      <c r="D77" s="14">
        <v>2.0986798394904322E-6</v>
      </c>
      <c r="E77" s="14">
        <v>8.9665599208108919E-6</v>
      </c>
      <c r="F77" s="14">
        <v>4.4649891252472361E-6</v>
      </c>
      <c r="G77" s="14">
        <v>9.2324286674850393E-7</v>
      </c>
      <c r="H77" s="14">
        <v>0</v>
      </c>
      <c r="I77" s="14">
        <v>2.1041136255054884E-7</v>
      </c>
      <c r="J77" s="14">
        <v>2.3336116885152393E-5</v>
      </c>
      <c r="K77" s="14">
        <v>0</v>
      </c>
    </row>
    <row r="78" spans="1:11">
      <c r="A78" s="2" t="s">
        <v>433</v>
      </c>
      <c r="B78" s="3" t="s">
        <v>434</v>
      </c>
      <c r="D78" s="14">
        <v>1.5528366197862445E-6</v>
      </c>
      <c r="E78" s="14">
        <v>2.4494322339608181E-5</v>
      </c>
      <c r="F78" s="14">
        <v>5.9183409269470561E-7</v>
      </c>
      <c r="G78" s="14">
        <v>1.5293100217374773E-7</v>
      </c>
      <c r="H78" s="14">
        <v>0</v>
      </c>
      <c r="I78" s="14">
        <v>3.7396947191578564E-8</v>
      </c>
      <c r="J78" s="14">
        <v>1.3170678998545543E-5</v>
      </c>
      <c r="K78" s="14">
        <v>0</v>
      </c>
    </row>
    <row r="79" spans="1:11">
      <c r="A79" s="2" t="s">
        <v>435</v>
      </c>
      <c r="B79" s="3" t="s">
        <v>436</v>
      </c>
      <c r="D79" s="14">
        <v>4.2252211959583427E-7</v>
      </c>
      <c r="E79" s="14">
        <v>2.0019310441848378E-5</v>
      </c>
      <c r="F79" s="14">
        <v>1.2826957762516697E-6</v>
      </c>
      <c r="G79" s="14">
        <v>3.0847446524928927E-7</v>
      </c>
      <c r="H79" s="14">
        <v>0</v>
      </c>
      <c r="I79" s="14">
        <v>7.1991104361786082E-8</v>
      </c>
      <c r="J79" s="14">
        <v>1.7895006092693045E-5</v>
      </c>
      <c r="K79" s="14">
        <v>0</v>
      </c>
    </row>
    <row r="80" spans="1:11">
      <c r="A80" s="2" t="s">
        <v>437</v>
      </c>
      <c r="B80" s="3" t="s">
        <v>438</v>
      </c>
      <c r="D80" s="14">
        <v>7.5652256574685367E-14</v>
      </c>
      <c r="E80" s="14">
        <v>1.127928495415369E-6</v>
      </c>
      <c r="F80" s="14">
        <v>3.8220478419957395E-5</v>
      </c>
      <c r="G80" s="14">
        <v>2.8329983922518956E-8</v>
      </c>
      <c r="H80" s="14">
        <v>0</v>
      </c>
      <c r="I80" s="14">
        <v>5.8416462746373388E-7</v>
      </c>
      <c r="J80" s="14">
        <v>3.9098397588725778E-8</v>
      </c>
      <c r="K80" s="14">
        <v>0</v>
      </c>
    </row>
    <row r="81" spans="1:11">
      <c r="A81" s="2" t="s">
        <v>440</v>
      </c>
      <c r="B81" s="3" t="s">
        <v>441</v>
      </c>
      <c r="D81" s="14">
        <v>7.3780652529841465E-18</v>
      </c>
      <c r="E81" s="14">
        <v>3.883310851719657E-5</v>
      </c>
      <c r="F81" s="14">
        <v>3.6426438120248872E-9</v>
      </c>
      <c r="G81" s="14">
        <v>1.4168121161430108E-9</v>
      </c>
      <c r="H81" s="14">
        <v>0</v>
      </c>
      <c r="I81" s="14">
        <v>5.1209547370620495E-9</v>
      </c>
      <c r="J81" s="14">
        <v>1.1567110721308149E-6</v>
      </c>
      <c r="K81" s="14">
        <v>0</v>
      </c>
    </row>
    <row r="82" spans="1:11">
      <c r="A82" s="2" t="s">
        <v>442</v>
      </c>
      <c r="B82" s="3" t="s">
        <v>443</v>
      </c>
      <c r="D82" s="14">
        <v>3.5115214084252009E-9</v>
      </c>
      <c r="E82" s="14">
        <v>3.0633384706599059E-5</v>
      </c>
      <c r="F82" s="14">
        <v>2.3429851465674907E-7</v>
      </c>
      <c r="G82" s="14">
        <v>6.5896916125192407E-8</v>
      </c>
      <c r="H82" s="14">
        <v>0</v>
      </c>
      <c r="I82" s="14">
        <v>1.8550825437517821E-8</v>
      </c>
      <c r="J82" s="14">
        <v>9.0443575157730593E-6</v>
      </c>
      <c r="K82" s="14">
        <v>0</v>
      </c>
    </row>
    <row r="83" spans="1:11">
      <c r="A83" s="2" t="s">
        <v>444</v>
      </c>
      <c r="B83" s="3" t="s">
        <v>445</v>
      </c>
      <c r="D83" s="14">
        <v>4.2502097453092767E-8</v>
      </c>
      <c r="E83" s="14">
        <v>1.0709027338514445E-5</v>
      </c>
      <c r="F83" s="14">
        <v>4.050275618301638E-6</v>
      </c>
      <c r="G83" s="14">
        <v>8.5463393427997425E-7</v>
      </c>
      <c r="H83" s="14">
        <v>0</v>
      </c>
      <c r="I83" s="14">
        <v>1.9491621108039147E-7</v>
      </c>
      <c r="J83" s="14">
        <v>2.4148644800370456E-5</v>
      </c>
      <c r="K83" s="14">
        <v>0</v>
      </c>
    </row>
    <row r="84" spans="1:11">
      <c r="A84" s="2" t="s">
        <v>446</v>
      </c>
      <c r="B84" s="3" t="s">
        <v>447</v>
      </c>
      <c r="D84" s="14">
        <v>2.2712766410263837E-19</v>
      </c>
      <c r="E84" s="14">
        <v>3.7483462267458043E-5</v>
      </c>
      <c r="F84" s="14">
        <v>1.6366064156207668E-8</v>
      </c>
      <c r="G84" s="14">
        <v>5.6838133098435343E-9</v>
      </c>
      <c r="H84" s="14">
        <v>0</v>
      </c>
      <c r="I84" s="14">
        <v>5.903106301784217E-9</v>
      </c>
      <c r="J84" s="14">
        <v>2.488584748773895E-6</v>
      </c>
      <c r="K84" s="14">
        <v>0</v>
      </c>
    </row>
    <row r="85" spans="1:11">
      <c r="A85" s="2" t="s">
        <v>448</v>
      </c>
      <c r="B85" s="3" t="s">
        <v>449</v>
      </c>
      <c r="D85" s="14">
        <v>1.5898650596189812E-12</v>
      </c>
      <c r="E85" s="14">
        <v>3.9512083367663701E-5</v>
      </c>
      <c r="F85" s="14">
        <v>6.6839698139596052E-10</v>
      </c>
      <c r="G85" s="14">
        <v>2.9493752754236004E-10</v>
      </c>
      <c r="H85" s="14">
        <v>0</v>
      </c>
      <c r="I85" s="14">
        <v>4.9565606770114149E-9</v>
      </c>
      <c r="J85" s="14">
        <v>4.8199514728529105E-7</v>
      </c>
      <c r="K85" s="14">
        <v>0</v>
      </c>
    </row>
    <row r="86" spans="1:11">
      <c r="A86" s="2" t="s">
        <v>450</v>
      </c>
      <c r="B86" s="3" t="s">
        <v>451</v>
      </c>
      <c r="D86" s="14">
        <v>5.7129162751888907E-13</v>
      </c>
      <c r="E86" s="14">
        <v>3.7544603644232973E-5</v>
      </c>
      <c r="F86" s="14">
        <v>1.5593086004046171E-8</v>
      </c>
      <c r="G86" s="14">
        <v>5.435351435037052E-9</v>
      </c>
      <c r="H86" s="14">
        <v>0</v>
      </c>
      <c r="I86" s="14">
        <v>5.8553113072562443E-9</v>
      </c>
      <c r="J86" s="14">
        <v>2.4285120357290606E-6</v>
      </c>
      <c r="K86" s="14">
        <v>0</v>
      </c>
    </row>
    <row r="87" spans="1:11">
      <c r="A87" s="2" t="s">
        <v>452</v>
      </c>
      <c r="B87" s="3" t="s">
        <v>453</v>
      </c>
      <c r="D87" s="14">
        <v>1.0587029863862008E-11</v>
      </c>
      <c r="E87" s="14">
        <v>1.1400234969439061E-7</v>
      </c>
      <c r="F87" s="14">
        <v>4.6735657079632033E-6</v>
      </c>
      <c r="G87" s="14">
        <v>1.5071063802401483E-5</v>
      </c>
      <c r="H87" s="14">
        <v>0</v>
      </c>
      <c r="I87" s="14">
        <v>3.4974023220129087E-6</v>
      </c>
      <c r="J87" s="14">
        <v>1.6643955230898158E-5</v>
      </c>
      <c r="K87" s="14">
        <v>0</v>
      </c>
    </row>
    <row r="88" spans="1:11">
      <c r="A88" s="2" t="s">
        <v>454</v>
      </c>
      <c r="B88" s="3" t="s">
        <v>455</v>
      </c>
      <c r="D88" s="14">
        <v>1.8019220666700858E-9</v>
      </c>
      <c r="E88" s="14">
        <v>2.719666603157935E-5</v>
      </c>
      <c r="F88" s="14">
        <v>4.6303116054214991E-7</v>
      </c>
      <c r="G88" s="14">
        <v>1.2277382149288183E-7</v>
      </c>
      <c r="H88" s="14">
        <v>0</v>
      </c>
      <c r="I88" s="14">
        <v>3.0927079396344535E-8</v>
      </c>
      <c r="J88" s="14">
        <v>1.2184799984922611E-5</v>
      </c>
      <c r="K88" s="14">
        <v>0</v>
      </c>
    </row>
    <row r="89" spans="1:11">
      <c r="A89" s="2" t="s">
        <v>456</v>
      </c>
      <c r="B89" s="3" t="s">
        <v>457</v>
      </c>
      <c r="D89" s="14">
        <v>1.1680087190183729E-21</v>
      </c>
      <c r="E89" s="14">
        <v>3.0045936789155116E-5</v>
      </c>
      <c r="F89" s="14">
        <v>2.6700555669233718E-7</v>
      </c>
      <c r="G89" s="14">
        <v>7.4270415747658697E-8</v>
      </c>
      <c r="H89" s="14">
        <v>0</v>
      </c>
      <c r="I89" s="14">
        <v>2.0360620053394761E-8</v>
      </c>
      <c r="J89" s="14">
        <v>9.5924266183514997E-6</v>
      </c>
      <c r="K89" s="14">
        <v>0</v>
      </c>
    </row>
    <row r="90" spans="1:11">
      <c r="A90" s="2" t="s">
        <v>458</v>
      </c>
      <c r="B90" s="3" t="s">
        <v>459</v>
      </c>
      <c r="D90" s="14">
        <v>1.7052381019305747E-33</v>
      </c>
      <c r="E90" s="14">
        <v>3.5162900559732065E-5</v>
      </c>
      <c r="F90" s="14">
        <v>5.9987290039076435E-8</v>
      </c>
      <c r="G90" s="14">
        <v>1.8843206097520539E-8</v>
      </c>
      <c r="H90" s="14">
        <v>0</v>
      </c>
      <c r="I90" s="14">
        <v>8.5552825275229495E-9</v>
      </c>
      <c r="J90" s="14">
        <v>4.7497136616038235E-6</v>
      </c>
      <c r="K90" s="14">
        <v>0</v>
      </c>
    </row>
    <row r="91" spans="1:11">
      <c r="A91" s="2" t="s">
        <v>460</v>
      </c>
      <c r="B91" s="3" t="s">
        <v>461</v>
      </c>
      <c r="D91" s="14">
        <v>9.3467519272864599E-12</v>
      </c>
      <c r="E91" s="14">
        <v>6.3017385463287214E-7</v>
      </c>
      <c r="F91" s="14">
        <v>9.8817743165772559E-6</v>
      </c>
      <c r="G91" s="14">
        <v>6.3684022405005452E-6</v>
      </c>
      <c r="H91" s="14">
        <v>0</v>
      </c>
      <c r="I91" s="14">
        <v>1.4653917081946577E-6</v>
      </c>
      <c r="J91" s="14">
        <v>2.1654248533342747E-5</v>
      </c>
      <c r="K91" s="14">
        <v>0</v>
      </c>
    </row>
    <row r="92" spans="1:11">
      <c r="A92" s="2" t="s">
        <v>462</v>
      </c>
      <c r="B92" s="3" t="s">
        <v>463</v>
      </c>
      <c r="D92" s="14">
        <v>3.2662243530558341E-13</v>
      </c>
      <c r="E92" s="14">
        <v>1.3077528558292229E-5</v>
      </c>
      <c r="F92" s="14">
        <v>3.0755318399354488E-6</v>
      </c>
      <c r="G92" s="14">
        <v>6.7207197020209619E-7</v>
      </c>
      <c r="H92" s="14">
        <v>0</v>
      </c>
      <c r="I92" s="14">
        <v>1.5364315704157302E-7</v>
      </c>
      <c r="J92" s="14">
        <v>2.3021224147906221E-5</v>
      </c>
      <c r="K92" s="14">
        <v>0</v>
      </c>
    </row>
    <row r="93" spans="1:11">
      <c r="A93" s="2" t="s">
        <v>464</v>
      </c>
      <c r="B93" s="3" t="s">
        <v>465</v>
      </c>
      <c r="D93" s="14">
        <v>2.5479143041777351E-8</v>
      </c>
      <c r="E93" s="14">
        <v>5.0580658783407834E-6</v>
      </c>
      <c r="F93" s="14">
        <v>8.364866840524743E-6</v>
      </c>
      <c r="G93" s="14">
        <v>1.5832685579998052E-6</v>
      </c>
      <c r="H93" s="14">
        <v>0</v>
      </c>
      <c r="I93" s="14">
        <v>3.6083521798397801E-7</v>
      </c>
      <c r="J93" s="14">
        <v>2.460748436210892E-5</v>
      </c>
      <c r="K93" s="14">
        <v>0</v>
      </c>
    </row>
    <row r="94" spans="1:11">
      <c r="A94" s="2" t="s">
        <v>466</v>
      </c>
      <c r="B94" s="3" t="s">
        <v>467</v>
      </c>
      <c r="D94" s="14">
        <v>8.0745483739954924E-23</v>
      </c>
      <c r="E94" s="14">
        <v>3.9524826678539503E-5</v>
      </c>
      <c r="F94" s="14">
        <v>4.6244972397053206E-7</v>
      </c>
      <c r="G94" s="14">
        <v>6.0771928623262964E-11</v>
      </c>
      <c r="H94" s="14">
        <v>0</v>
      </c>
      <c r="I94" s="14">
        <v>5.6415559546684792E-9</v>
      </c>
      <c r="J94" s="14">
        <v>7.0212696066837504E-9</v>
      </c>
      <c r="K94" s="14">
        <v>0</v>
      </c>
    </row>
    <row r="95" spans="1:11">
      <c r="A95" s="2" t="s">
        <v>468</v>
      </c>
      <c r="B95" s="3" t="s">
        <v>469</v>
      </c>
      <c r="D95" s="14">
        <v>3.7717649349658573E-22</v>
      </c>
      <c r="E95" s="14">
        <v>1.4767408315326901E-6</v>
      </c>
      <c r="F95" s="14">
        <v>1.3077322486798359E-5</v>
      </c>
      <c r="G95" s="14">
        <v>3.235298742529366E-6</v>
      </c>
      <c r="H95" s="14">
        <v>0</v>
      </c>
      <c r="I95" s="14">
        <v>7.4088635319083612E-7</v>
      </c>
      <c r="J95" s="14">
        <v>2.1469751585948751E-5</v>
      </c>
      <c r="K95" s="14">
        <v>0</v>
      </c>
    </row>
    <row r="96" spans="1:11">
      <c r="A96" s="2" t="s">
        <v>470</v>
      </c>
      <c r="B96" s="165">
        <v>354656</v>
      </c>
      <c r="D96" s="14">
        <v>1.4710166976168922E-14</v>
      </c>
      <c r="E96" s="14">
        <v>3.8787989285088195E-5</v>
      </c>
      <c r="F96" s="14">
        <v>3.9218575699796258E-9</v>
      </c>
      <c r="G96" s="14">
        <v>1.5170062592943384E-9</v>
      </c>
      <c r="H96" s="14">
        <v>0</v>
      </c>
      <c r="I96" s="14">
        <v>5.1376007598792062E-9</v>
      </c>
      <c r="J96" s="14">
        <v>1.201434235612479E-6</v>
      </c>
      <c r="K96" s="14">
        <v>0</v>
      </c>
    </row>
    <row r="97" spans="1:11">
      <c r="A97" s="2" t="s">
        <v>472</v>
      </c>
      <c r="B97" s="3" t="s">
        <v>473</v>
      </c>
      <c r="D97" s="14">
        <v>2.269705325742856E-14</v>
      </c>
      <c r="E97" s="14">
        <v>3.7452355855789863E-5</v>
      </c>
      <c r="F97" s="14">
        <v>1.6766549351358781E-8</v>
      </c>
      <c r="G97" s="14">
        <v>5.8121825597966264E-9</v>
      </c>
      <c r="H97" s="14">
        <v>0</v>
      </c>
      <c r="I97" s="14">
        <v>5.9278627096847872E-9</v>
      </c>
      <c r="J97" s="14">
        <v>2.5191375268922566E-6</v>
      </c>
      <c r="K97" s="14">
        <v>0</v>
      </c>
    </row>
    <row r="98" spans="1:11">
      <c r="A98" s="2" t="s">
        <v>474</v>
      </c>
      <c r="B98" s="3" t="s">
        <v>475</v>
      </c>
      <c r="D98" s="14">
        <v>7.6329339897870685E-24</v>
      </c>
      <c r="E98" s="14">
        <v>3.0092008172103753E-6</v>
      </c>
      <c r="F98" s="14">
        <v>1.1645703304654731E-5</v>
      </c>
      <c r="G98" s="14">
        <v>2.0704334563120143E-6</v>
      </c>
      <c r="H98" s="14">
        <v>0</v>
      </c>
      <c r="I98" s="14">
        <v>4.7261170006329085E-7</v>
      </c>
      <c r="J98" s="14">
        <v>2.280205072175959E-5</v>
      </c>
      <c r="K98" s="14">
        <v>0</v>
      </c>
    </row>
    <row r="99" spans="1:11">
      <c r="A99" s="2" t="s">
        <v>476</v>
      </c>
      <c r="B99" s="3" t="s">
        <v>477</v>
      </c>
      <c r="D99" s="14">
        <v>6.9387696655575771E-12</v>
      </c>
      <c r="E99" s="14">
        <v>3.9660860781498051E-5</v>
      </c>
      <c r="F99" s="14">
        <v>3.2897029637773065E-10</v>
      </c>
      <c r="G99" s="14">
        <v>1.5298619438858693E-10</v>
      </c>
      <c r="H99" s="14">
        <v>0</v>
      </c>
      <c r="I99" s="14">
        <v>4.9436649498410798E-9</v>
      </c>
      <c r="J99" s="14">
        <v>3.3370665829168171E-7</v>
      </c>
      <c r="K99" s="14">
        <v>0</v>
      </c>
    </row>
    <row r="100" spans="1:11">
      <c r="A100" s="2" t="s">
        <v>478</v>
      </c>
      <c r="B100" s="3" t="s">
        <v>479</v>
      </c>
      <c r="D100" s="14">
        <v>2.6671160957479503E-15</v>
      </c>
      <c r="E100" s="14">
        <v>2.1487287009748385E-5</v>
      </c>
      <c r="F100" s="14">
        <v>1.0992997652033971E-6</v>
      </c>
      <c r="G100" s="14">
        <v>2.6878912318185068E-7</v>
      </c>
      <c r="H100" s="14">
        <v>0</v>
      </c>
      <c r="I100" s="14">
        <v>6.3190339842144321E-8</v>
      </c>
      <c r="J100" s="14">
        <v>1.7081433759357105E-5</v>
      </c>
      <c r="K100" s="14">
        <v>0</v>
      </c>
    </row>
    <row r="101" spans="1:11">
      <c r="A101" s="2" t="s">
        <v>480</v>
      </c>
      <c r="B101" s="3" t="s">
        <v>481</v>
      </c>
      <c r="D101" s="14">
        <v>1.867245189488052E-15</v>
      </c>
      <c r="E101" s="14">
        <v>3.9434924506714757E-5</v>
      </c>
      <c r="F101" s="14">
        <v>8.8935584598014866E-10</v>
      </c>
      <c r="G101" s="14">
        <v>3.8421217212942833E-10</v>
      </c>
      <c r="H101" s="14">
        <v>0</v>
      </c>
      <c r="I101" s="14">
        <v>4.9667280875212344E-9</v>
      </c>
      <c r="J101" s="14">
        <v>5.5883519531237753E-7</v>
      </c>
      <c r="K101" s="14">
        <v>0</v>
      </c>
    </row>
    <row r="102" spans="1:11">
      <c r="A102" s="2" t="s">
        <v>482</v>
      </c>
      <c r="B102" s="3" t="s">
        <v>483</v>
      </c>
      <c r="D102" s="14">
        <v>1.1733357620454017E-31</v>
      </c>
      <c r="E102" s="14">
        <v>3.9853087454411869E-5</v>
      </c>
      <c r="F102" s="14">
        <v>6.3459481976217773E-11</v>
      </c>
      <c r="G102" s="14">
        <v>3.3326682035635645E-11</v>
      </c>
      <c r="H102" s="14">
        <v>0</v>
      </c>
      <c r="I102" s="14">
        <v>4.9411403343501765E-9</v>
      </c>
      <c r="J102" s="14">
        <v>1.4187461908976258E-7</v>
      </c>
      <c r="K102" s="14">
        <v>0</v>
      </c>
    </row>
    <row r="103" spans="1:11">
      <c r="A103" s="2" t="s">
        <v>484</v>
      </c>
      <c r="B103" s="3" t="s">
        <v>485</v>
      </c>
      <c r="D103" s="14">
        <v>9.3594222095604077E-18</v>
      </c>
      <c r="E103" s="14">
        <v>3.9671507475948681E-5</v>
      </c>
      <c r="F103" s="14">
        <v>3.0911725909237122E-10</v>
      </c>
      <c r="G103" s="14">
        <v>1.4441716301012785E-10</v>
      </c>
      <c r="H103" s="14">
        <v>0</v>
      </c>
      <c r="I103" s="14">
        <v>4.9430949290982738E-9</v>
      </c>
      <c r="J103" s="14">
        <v>3.2309589469076014E-7</v>
      </c>
      <c r="K103" s="14">
        <v>0</v>
      </c>
    </row>
    <row r="104" spans="1:11">
      <c r="A104" s="2" t="s">
        <v>486</v>
      </c>
      <c r="B104" s="3" t="s">
        <v>487</v>
      </c>
      <c r="D104" s="14">
        <v>1.154961101193447E-13</v>
      </c>
      <c r="E104" s="14">
        <v>3.8165154255393016E-5</v>
      </c>
      <c r="F104" s="14">
        <v>8.8072753120356326E-9</v>
      </c>
      <c r="G104" s="14">
        <v>3.2058051910481061E-9</v>
      </c>
      <c r="H104" s="14">
        <v>0</v>
      </c>
      <c r="I104" s="14">
        <v>5.4357514182005642E-9</v>
      </c>
      <c r="J104" s="14">
        <v>1.8173967971895932E-6</v>
      </c>
      <c r="K104" s="14">
        <v>0</v>
      </c>
    </row>
    <row r="105" spans="1:11">
      <c r="A105" s="2" t="s">
        <v>488</v>
      </c>
      <c r="B105" s="3" t="s">
        <v>489</v>
      </c>
      <c r="D105" s="14">
        <v>9.3315466750309851E-21</v>
      </c>
      <c r="E105" s="14">
        <v>3.98247719152023E-5</v>
      </c>
      <c r="F105" s="14">
        <v>8.9996961633563671E-11</v>
      </c>
      <c r="G105" s="14">
        <v>4.6059943717151626E-11</v>
      </c>
      <c r="H105" s="14">
        <v>0</v>
      </c>
      <c r="I105" s="14">
        <v>4.9404293776857238E-9</v>
      </c>
      <c r="J105" s="14">
        <v>1.7015159851465706E-7</v>
      </c>
      <c r="K105" s="14">
        <v>0</v>
      </c>
    </row>
    <row r="106" spans="1:11">
      <c r="A106" s="2" t="s">
        <v>490</v>
      </c>
      <c r="B106" s="3" t="s">
        <v>491</v>
      </c>
      <c r="D106" s="14">
        <v>5.2160740320594955E-13</v>
      </c>
      <c r="E106" s="14">
        <v>3.3919029001919957E-5</v>
      </c>
      <c r="F106" s="14">
        <v>9.5415287148643238E-8</v>
      </c>
      <c r="G106" s="14">
        <v>2.8887736698616071E-8</v>
      </c>
      <c r="H106" s="14">
        <v>0</v>
      </c>
      <c r="I106" s="14">
        <v>1.0650438839667875E-8</v>
      </c>
      <c r="J106" s="14">
        <v>5.9460170137857189E-6</v>
      </c>
      <c r="K106" s="14">
        <v>0</v>
      </c>
    </row>
    <row r="107" spans="1:11">
      <c r="A107" s="2" t="s">
        <v>492</v>
      </c>
      <c r="B107" s="3" t="s">
        <v>493</v>
      </c>
      <c r="D107" s="14">
        <v>3.8926684761295335E-20</v>
      </c>
      <c r="E107" s="14">
        <v>2.4278792453556366E-6</v>
      </c>
      <c r="F107" s="14">
        <v>1.3005337678468216E-5</v>
      </c>
      <c r="G107" s="14">
        <v>2.2574450535177798E-6</v>
      </c>
      <c r="H107" s="14">
        <v>0</v>
      </c>
      <c r="I107" s="14">
        <v>5.156957045192858E-7</v>
      </c>
      <c r="J107" s="14">
        <v>2.1793642318139042E-5</v>
      </c>
      <c r="K107" s="14">
        <v>0</v>
      </c>
    </row>
    <row r="108" spans="1:11">
      <c r="A108" s="2" t="s">
        <v>291</v>
      </c>
      <c r="B108" s="3" t="s">
        <v>494</v>
      </c>
      <c r="D108" s="14">
        <v>1.4527114337096116E-14</v>
      </c>
      <c r="E108" s="14">
        <v>2.3396937729991386E-5</v>
      </c>
      <c r="F108" s="14">
        <v>8.4343878829522564E-7</v>
      </c>
      <c r="G108" s="14">
        <v>2.1161630402346765E-7</v>
      </c>
      <c r="H108" s="14">
        <v>0</v>
      </c>
      <c r="I108" s="14">
        <v>5.050322032686066E-8</v>
      </c>
      <c r="J108" s="14">
        <v>1.5497503942835945E-5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61CE5-E932-4D3E-A393-6391B5DF0572}">
  <dimension ref="A1:D108"/>
  <sheetViews>
    <sheetView tabSelected="1" topLeftCell="A75" workbookViewId="0">
      <selection activeCell="A84" sqref="A84:D108"/>
    </sheetView>
  </sheetViews>
  <sheetFormatPr defaultRowHeight="15"/>
  <cols>
    <col min="1" max="1" width="12.35546875" bestFit="1" customWidth="1"/>
    <col min="2" max="2" width="13.5" bestFit="1" customWidth="1"/>
  </cols>
  <sheetData>
    <row r="1" spans="1:4">
      <c r="A1" s="164" t="s">
        <v>309</v>
      </c>
      <c r="B1" s="164" t="s">
        <v>310</v>
      </c>
      <c r="C1" s="164" t="s">
        <v>311</v>
      </c>
      <c r="D1" s="164" t="s">
        <v>312</v>
      </c>
    </row>
    <row r="2" spans="1:4">
      <c r="A2">
        <f>'Mass Balance'!I2</f>
        <v>1.4019741790257867E-8</v>
      </c>
      <c r="B2">
        <f>'Mass Balance'!E2</f>
        <v>3.23316756879759E-5</v>
      </c>
      <c r="C2">
        <f>SUM('Mass Balance'!E2:H2)</f>
        <v>3.2530230208978713E-5</v>
      </c>
      <c r="D2">
        <f>Concentrations!F2/Concentrations!E2</f>
        <v>0.99428391917831205</v>
      </c>
    </row>
    <row r="3" spans="1:4">
      <c r="A3">
        <f>'Mass Balance'!I3</f>
        <v>3.1840801320737229E-6</v>
      </c>
      <c r="B3">
        <f>'Mass Balance'!E3</f>
        <v>1.3717490119578314E-7</v>
      </c>
      <c r="C3">
        <f>SUM('Mass Balance'!E3:H3)</f>
        <v>1.8939400383871093E-5</v>
      </c>
      <c r="D3">
        <f>Concentrations!F3/Concentrations!E3</f>
        <v>7.2456569655418761E-3</v>
      </c>
    </row>
    <row r="4" spans="1:4">
      <c r="A4">
        <f>'Mass Balance'!I4</f>
        <v>7.7394457989377696E-8</v>
      </c>
      <c r="B4">
        <f>'Mass Balance'!E4</f>
        <v>1.9671733865698017E-5</v>
      </c>
      <c r="C4">
        <f>SUM('Mass Balance'!E4:H4)</f>
        <v>2.1397300128337973E-5</v>
      </c>
      <c r="D4">
        <f>Concentrations!F4/Concentrations!E4</f>
        <v>0.91971442972599582</v>
      </c>
    </row>
    <row r="5" spans="1:4">
      <c r="A5">
        <f>'Mass Balance'!I5</f>
        <v>8.3555934416084902E-7</v>
      </c>
      <c r="B5">
        <f>'Mass Balance'!E5</f>
        <v>1.2898345820961164E-6</v>
      </c>
      <c r="C5">
        <f>SUM('Mass Balance'!E5:H5)</f>
        <v>1.7499169208826431E-5</v>
      </c>
      <c r="D5">
        <f>Concentrations!F5/Concentrations!E5</f>
        <v>7.3737078138436093E-2</v>
      </c>
    </row>
    <row r="6" spans="1:4">
      <c r="A6">
        <f>'Mass Balance'!I6</f>
        <v>4.1102797622192582E-6</v>
      </c>
      <c r="B6">
        <f>'Mass Balance'!E6</f>
        <v>6.8284702864024954E-8</v>
      </c>
      <c r="C6">
        <f>SUM('Mass Balance'!E6:H6)</f>
        <v>2.1338908206906739E-5</v>
      </c>
      <c r="D6">
        <f>Concentrations!F6/Concentrations!E6</f>
        <v>3.2012571914110171E-3</v>
      </c>
    </row>
    <row r="7" spans="1:4">
      <c r="A7">
        <f>'Mass Balance'!I7</f>
        <v>3.370454666019615E-6</v>
      </c>
      <c r="B7">
        <f>'Mass Balance'!E7</f>
        <v>1.2630427201739652E-7</v>
      </c>
      <c r="C7">
        <f>SUM('Mass Balance'!E7:H7)</f>
        <v>1.9572839840055845E-5</v>
      </c>
      <c r="D7">
        <f>Concentrations!F7/Concentrations!E7</f>
        <v>6.4555542634555894E-3</v>
      </c>
    </row>
    <row r="8" spans="1:4">
      <c r="A8">
        <f>'Mass Balance'!I8</f>
        <v>2.4780227004311004E-6</v>
      </c>
      <c r="B8">
        <f>'Mass Balance'!E8</f>
        <v>2.5819273949578267E-7</v>
      </c>
      <c r="C8">
        <f>SUM('Mass Balance'!E8:H8)</f>
        <v>1.7843284177212393E-5</v>
      </c>
      <c r="D8">
        <f>Concentrations!F8/Concentrations!E8</f>
        <v>1.4475666589305134E-2</v>
      </c>
    </row>
    <row r="9" spans="1:4">
      <c r="A9">
        <f>'Mass Balance'!I9</f>
        <v>2.9935254810077053E-7</v>
      </c>
      <c r="B9">
        <f>'Mass Balance'!E9</f>
        <v>6.6720241272263363E-6</v>
      </c>
      <c r="C9">
        <f>SUM('Mass Balance'!E9:H9)</f>
        <v>1.4677755687023864E-5</v>
      </c>
      <c r="D9">
        <f>Concentrations!F9/Concentrations!E9</f>
        <v>0.4547443291613536</v>
      </c>
    </row>
    <row r="10" spans="1:4">
      <c r="A10">
        <f>'Mass Balance'!I10</f>
        <v>8.9194820086192063E-7</v>
      </c>
      <c r="B10">
        <f>'Mass Balance'!E10</f>
        <v>1.1977066216126873E-6</v>
      </c>
      <c r="C10">
        <f>SUM('Mass Balance'!E10:H10)</f>
        <v>1.7376091367357674E-5</v>
      </c>
      <c r="D10">
        <f>Concentrations!F10/Concentrations!E10</f>
        <v>6.895530717026728E-2</v>
      </c>
    </row>
    <row r="11" spans="1:4">
      <c r="A11">
        <f>'Mass Balance'!I11</f>
        <v>9.9141213466386283E-7</v>
      </c>
      <c r="B11">
        <f>'Mass Balance'!E11</f>
        <v>1.0552412890877027E-6</v>
      </c>
      <c r="C11">
        <f>SUM('Mass Balance'!E11:H11)</f>
        <v>1.7181770314575406E-5</v>
      </c>
      <c r="D11">
        <f>Concentrations!F11/Concentrations!E11</f>
        <v>6.1440282663387712E-2</v>
      </c>
    </row>
    <row r="12" spans="1:4">
      <c r="A12">
        <f>'Mass Balance'!I12</f>
        <v>3.6418958957782097E-7</v>
      </c>
      <c r="B12">
        <f>'Mass Balance'!E12</f>
        <v>4.9880191456404414E-6</v>
      </c>
      <c r="C12">
        <f>SUM('Mass Balance'!E12:H12)</f>
        <v>1.5043853125417658E-5</v>
      </c>
      <c r="D12">
        <f>Concentrations!F12/Concentrations!E12</f>
        <v>0.33169457264537167</v>
      </c>
    </row>
    <row r="13" spans="1:4">
      <c r="A13">
        <f>'Mass Balance'!I13</f>
        <v>3.0525709771208585E-7</v>
      </c>
      <c r="B13">
        <f>'Mass Balance'!E13</f>
        <v>6.4954681532163905E-6</v>
      </c>
      <c r="C13">
        <f>SUM('Mass Balance'!E13:H13)</f>
        <v>1.4684105654858057E-5</v>
      </c>
      <c r="D13">
        <f>Concentrations!F13/Concentrations!E13</f>
        <v>0.44251938025974868</v>
      </c>
    </row>
    <row r="14" spans="1:4">
      <c r="A14">
        <f>'Mass Balance'!I14</f>
        <v>1.3565892630550222E-6</v>
      </c>
      <c r="B14">
        <f>'Mass Balance'!E14</f>
        <v>7.025779629650879E-7</v>
      </c>
      <c r="C14">
        <f>SUM('Mass Balance'!E14:H14)</f>
        <v>1.6881566984253685E-5</v>
      </c>
      <c r="D14">
        <f>Concentrations!F14/Concentrations!E14</f>
        <v>4.1634284508650317E-2</v>
      </c>
    </row>
    <row r="15" spans="1:4">
      <c r="A15">
        <f>'Mass Balance'!I15</f>
        <v>9.4081736663438231E-7</v>
      </c>
      <c r="B15">
        <f>'Mass Balance'!E15</f>
        <v>1.1247603661401211E-6</v>
      </c>
      <c r="C15">
        <f>SUM('Mass Balance'!E15:H15)</f>
        <v>1.7276916302833978E-5</v>
      </c>
      <c r="D15">
        <f>Concentrations!F15/Concentrations!E15</f>
        <v>6.512730593821664E-2</v>
      </c>
    </row>
    <row r="16" spans="1:4">
      <c r="A16">
        <f>'Mass Balance'!I16</f>
        <v>2.4369171224208127E-6</v>
      </c>
      <c r="B16">
        <f>'Mass Balance'!E16</f>
        <v>2.6599039037971359E-7</v>
      </c>
      <c r="C16">
        <f>SUM('Mass Balance'!E16:H16)</f>
        <v>1.7760809506960324E-5</v>
      </c>
      <c r="D16">
        <f>Concentrations!F16/Concentrations!E16</f>
        <v>1.4982094392090273E-2</v>
      </c>
    </row>
    <row r="17" spans="1:4">
      <c r="A17">
        <f>'Mass Balance'!I17</f>
        <v>8.5422276091512369E-7</v>
      </c>
      <c r="B17">
        <f>'Mass Balance'!E17</f>
        <v>1.2587691127845366E-6</v>
      </c>
      <c r="C17">
        <f>SUM('Mass Balance'!E17:H17)</f>
        <v>1.7460572065954817E-5</v>
      </c>
      <c r="D17">
        <f>Concentrations!F17/Concentrations!E17</f>
        <v>7.2120204192343523E-2</v>
      </c>
    </row>
    <row r="18" spans="1:4">
      <c r="A18">
        <f>'Mass Balance'!I18</f>
        <v>2.7112157899831569E-7</v>
      </c>
      <c r="B18">
        <f>'Mass Balance'!E18</f>
        <v>7.443711784729142E-6</v>
      </c>
      <c r="C18">
        <f>SUM('Mass Balance'!E18:H18)</f>
        <v>1.4594979311097422E-5</v>
      </c>
      <c r="D18">
        <f>Concentrations!F18/Concentrations!E18</f>
        <v>0.51021756278682495</v>
      </c>
    </row>
    <row r="19" spans="1:4">
      <c r="A19">
        <f>'Mass Balance'!I19</f>
        <v>9.508395898662319E-7</v>
      </c>
      <c r="B19">
        <f>'Mass Balance'!E19</f>
        <v>1.1106330289735051E-6</v>
      </c>
      <c r="C19">
        <f>SUM('Mass Balance'!E19:H19)</f>
        <v>1.7258296285708451E-5</v>
      </c>
      <c r="D19">
        <f>Concentrations!F19/Concentrations!E19</f>
        <v>6.4378670328433418E-2</v>
      </c>
    </row>
    <row r="20" spans="1:4">
      <c r="A20">
        <f>'Mass Balance'!I20</f>
        <v>3.0537330339044434E-7</v>
      </c>
      <c r="B20">
        <f>'Mass Balance'!E20</f>
        <v>6.4979408566806427E-6</v>
      </c>
      <c r="C20">
        <f>SUM('Mass Balance'!E20:H20)</f>
        <v>1.4689695619748306E-5</v>
      </c>
      <c r="D20">
        <f>Concentrations!F20/Concentrations!E20</f>
        <v>0.4425193802597488</v>
      </c>
    </row>
    <row r="21" spans="1:4">
      <c r="A21">
        <f>'Mass Balance'!I21</f>
        <v>1.2393973807423814E-6</v>
      </c>
      <c r="B21">
        <f>'Mass Balance'!E21</f>
        <v>7.9120150359352318E-7</v>
      </c>
      <c r="C21">
        <f>SUM('Mass Balance'!E21:H21)</f>
        <v>1.6893106690415734E-5</v>
      </c>
      <c r="D21">
        <f>Concentrations!F21/Concentrations!E21</f>
        <v>4.685402634239362E-2</v>
      </c>
    </row>
    <row r="22" spans="1:4">
      <c r="A22">
        <f>'Mass Balance'!I22</f>
        <v>3.5763111598333744E-8</v>
      </c>
      <c r="B22">
        <f>'Mass Balance'!E22</f>
        <v>2.6049816349290234E-5</v>
      </c>
      <c r="C22">
        <f>SUM('Mass Balance'!E22:H22)</f>
        <v>2.6750114416392078E-5</v>
      </c>
      <c r="D22">
        <f>Concentrations!F22/Concentrations!E22</f>
        <v>0.97420052731428086</v>
      </c>
    </row>
    <row r="23" spans="1:4">
      <c r="A23">
        <f>'Mass Balance'!I23</f>
        <v>1.9131010663318384E-8</v>
      </c>
      <c r="B23">
        <f>'Mass Balance'!E23</f>
        <v>3.0439509355147769E-5</v>
      </c>
      <c r="C23">
        <f>SUM('Mass Balance'!E23:H23)</f>
        <v>3.075284948836668E-5</v>
      </c>
      <c r="D23">
        <f>Concentrations!F23/Concentrations!E23</f>
        <v>0.99019703955724414</v>
      </c>
    </row>
    <row r="24" spans="1:4">
      <c r="A24">
        <f>'Mass Balance'!I24</f>
        <v>1.5564280292523715E-7</v>
      </c>
      <c r="B24">
        <f>'Mass Balance'!E24</f>
        <v>1.2946570133193011E-5</v>
      </c>
      <c r="C24">
        <f>SUM('Mass Balance'!E24:H24)</f>
        <v>1.6749334050119521E-5</v>
      </c>
      <c r="D24">
        <f>Concentrations!F24/Concentrations!E24</f>
        <v>0.77326174005864801</v>
      </c>
    </row>
    <row r="25" spans="1:4">
      <c r="A25">
        <f>'Mass Balance'!I25</f>
        <v>4.299841153211105E-7</v>
      </c>
      <c r="B25">
        <f>'Mass Balance'!E25</f>
        <v>3.1470421813118205E-6</v>
      </c>
      <c r="C25">
        <f>SUM('Mass Balance'!E25:H25)</f>
        <v>1.5513666335905864E-5</v>
      </c>
      <c r="D25">
        <f>Concentrations!F25/Concentrations!E25</f>
        <v>0.2029352336531943</v>
      </c>
    </row>
    <row r="26" spans="1:4">
      <c r="A26">
        <f>'Mass Balance'!I26</f>
        <v>1.1675061607138592E-6</v>
      </c>
      <c r="B26">
        <f>'Mass Balance'!E26</f>
        <v>8.5681735114497291E-7</v>
      </c>
      <c r="C26">
        <f>SUM('Mass Balance'!E26:H26)</f>
        <v>1.6949214231863765E-5</v>
      </c>
      <c r="D26">
        <f>Concentrations!F26/Concentrations!E26</f>
        <v>5.0571754617127318E-2</v>
      </c>
    </row>
    <row r="27" spans="1:4">
      <c r="A27">
        <f>'Mass Balance'!I27</f>
        <v>3.1000671026734256E-6</v>
      </c>
      <c r="B27">
        <f>'Mass Balance'!E27</f>
        <v>1.5001309938077161E-7</v>
      </c>
      <c r="C27">
        <f>SUM('Mass Balance'!E27:H27)</f>
        <v>1.8834571102865075E-5</v>
      </c>
      <c r="D27">
        <f>Concentrations!F27/Concentrations!E27</f>
        <v>7.9678800475457261E-3</v>
      </c>
    </row>
    <row r="28" spans="1:4">
      <c r="A28">
        <f>'Mass Balance'!I28</f>
        <v>1.7456100764583664E-6</v>
      </c>
      <c r="B28">
        <f>'Mass Balance'!E28</f>
        <v>4.8271779779538757E-7</v>
      </c>
      <c r="C28">
        <f>SUM('Mass Balance'!E28:H28)</f>
        <v>1.6981017979376904E-5</v>
      </c>
      <c r="D28">
        <f>Concentrations!F28/Concentrations!E28</f>
        <v>2.8437992026032602E-2</v>
      </c>
    </row>
    <row r="29" spans="1:4">
      <c r="A29">
        <f>'Mass Balance'!I29</f>
        <v>1.1665150642699343E-6</v>
      </c>
      <c r="B29">
        <f>'Mass Balance'!E29</f>
        <v>6.4775904824187128E-7</v>
      </c>
      <c r="C29">
        <f>SUM('Mass Balance'!E29:H29)</f>
        <v>1.4956256712596812E-5</v>
      </c>
      <c r="D29">
        <f>Concentrations!F29/Concentrations!E29</f>
        <v>4.3327129345484806E-2</v>
      </c>
    </row>
    <row r="30" spans="1:4">
      <c r="A30">
        <f>'Mass Balance'!I30</f>
        <v>1.7456100764583664E-6</v>
      </c>
      <c r="B30">
        <f>'Mass Balance'!E30</f>
        <v>4.8271779779538757E-7</v>
      </c>
      <c r="C30">
        <f>SUM('Mass Balance'!E30:H30)</f>
        <v>1.6981017979376904E-5</v>
      </c>
      <c r="D30">
        <f>Concentrations!F30/Concentrations!E30</f>
        <v>2.8437992026032602E-2</v>
      </c>
    </row>
    <row r="31" spans="1:4">
      <c r="A31">
        <f>'Mass Balance'!I31</f>
        <v>5.0479381934371433E-9</v>
      </c>
      <c r="B31">
        <f>'Mass Balance'!E31</f>
        <v>3.9059354594107278E-5</v>
      </c>
      <c r="C31">
        <f>SUM('Mass Balance'!E31:H31)</f>
        <v>3.9062710874953683E-5</v>
      </c>
      <c r="D31">
        <f>Concentrations!F31/Concentrations!E31</f>
        <v>1.0003040382004162</v>
      </c>
    </row>
    <row r="32" spans="1:4">
      <c r="A32">
        <f>'Mass Balance'!I32</f>
        <v>5.8653591480550546E-8</v>
      </c>
      <c r="B32">
        <f>'Mass Balance'!E32</f>
        <v>2.2261143336833362E-5</v>
      </c>
      <c r="C32">
        <f>SUM('Mass Balance'!E32:H32)</f>
        <v>2.3504244121818189E-5</v>
      </c>
      <c r="D32">
        <f>Concentrations!F32/Concentrations!E32</f>
        <v>0.94748101193950551</v>
      </c>
    </row>
    <row r="33" spans="1:4">
      <c r="A33">
        <f>'Mass Balance'!I33</f>
        <v>4.9832817118994252E-9</v>
      </c>
      <c r="B33">
        <f>'Mass Balance'!E33</f>
        <v>3.9975914470215144E-5</v>
      </c>
      <c r="C33">
        <f>SUM('Mass Balance'!E33:H33)</f>
        <v>3.9992731362462128E-5</v>
      </c>
      <c r="D33">
        <f>Concentrations!F33/Concentrations!E33</f>
        <v>0.99996932932585081</v>
      </c>
    </row>
    <row r="34" spans="1:4">
      <c r="A34">
        <f>'Mass Balance'!I34</f>
        <v>8.8879376885760682E-9</v>
      </c>
      <c r="B34">
        <f>'Mass Balance'!E34</f>
        <v>3.6938607834777185E-5</v>
      </c>
      <c r="C34">
        <f>SUM('Mass Balance'!E34:H34)</f>
        <v>3.9978027987690801E-5</v>
      </c>
      <c r="D34">
        <f>Concentrations!F34/Concentrations!E34</f>
        <v>0.9243330763832539</v>
      </c>
    </row>
    <row r="35" spans="1:4">
      <c r="A35">
        <f>'Mass Balance'!I35</f>
        <v>1.3451496889413417E-8</v>
      </c>
      <c r="B35">
        <f>'Mass Balance'!E35</f>
        <v>3.30733859842726E-5</v>
      </c>
      <c r="C35">
        <f>SUM('Mass Balance'!E35:H35)</f>
        <v>3.9938650967105073E-5</v>
      </c>
      <c r="D35">
        <f>Concentrations!F35/Concentrations!E35</f>
        <v>0.82842768947331991</v>
      </c>
    </row>
    <row r="36" spans="1:4">
      <c r="A36">
        <f>'Mass Balance'!I36</f>
        <v>2.5568938938336494E-8</v>
      </c>
      <c r="B36">
        <f>'Mass Balance'!E36</f>
        <v>2.1889587762971879E-5</v>
      </c>
      <c r="C36">
        <f>SUM('Mass Balance'!E36:H36)</f>
        <v>3.9868212173718243E-5</v>
      </c>
      <c r="D36">
        <f>Concentrations!F36/Concentrations!E36</f>
        <v>0.54926276684845687</v>
      </c>
    </row>
    <row r="37" spans="1:4">
      <c r="A37">
        <f>'Mass Balance'!I37</f>
        <v>7.262715608802135E-8</v>
      </c>
      <c r="B37">
        <f>'Mass Balance'!E37</f>
        <v>2.3711867689004659E-5</v>
      </c>
      <c r="C37">
        <f>SUM('Mass Balance'!E37:H37)</f>
        <v>3.1896135791001166E-5</v>
      </c>
      <c r="D37">
        <f>Concentrations!F37/Concentrations!E37</f>
        <v>0.74369871272051657</v>
      </c>
    </row>
    <row r="38" spans="1:4">
      <c r="A38">
        <f>'Mass Balance'!I38</f>
        <v>8.4222851219561585E-9</v>
      </c>
      <c r="B38">
        <f>'Mass Balance'!E38</f>
        <v>3.7529554754593655E-5</v>
      </c>
      <c r="C38">
        <f>SUM('Mass Balance'!E38:H38)</f>
        <v>3.9876757688858123E-5</v>
      </c>
      <c r="D38">
        <f>Concentrations!F38/Concentrations!E38</f>
        <v>0.94150560772638303</v>
      </c>
    </row>
    <row r="39" spans="1:4">
      <c r="A39">
        <f>'Mass Balance'!I39</f>
        <v>5.6404043769304306E-7</v>
      </c>
      <c r="B39">
        <f>'Mass Balance'!E39</f>
        <v>1.9633899238801779E-6</v>
      </c>
      <c r="C39">
        <f>SUM('Mass Balance'!E39:H39)</f>
        <v>1.8555193615871888E-5</v>
      </c>
      <c r="D39">
        <f>Concentrations!F39/Concentrations!E39</f>
        <v>0.10585476341410865</v>
      </c>
    </row>
    <row r="40" spans="1:4">
      <c r="A40">
        <f>'Mass Balance'!I40</f>
        <v>3.2176693557314176E-6</v>
      </c>
      <c r="B40">
        <f>'Mass Balance'!E40</f>
        <v>3.6289936473202347E-7</v>
      </c>
      <c r="C40">
        <f>SUM('Mass Balance'!E40:H40)</f>
        <v>3.5744387018963367E-5</v>
      </c>
      <c r="D40">
        <f>Concentrations!F40/Concentrations!E40</f>
        <v>1.0156584652045905E-2</v>
      </c>
    </row>
    <row r="41" spans="1:4">
      <c r="A41">
        <f>'Mass Balance'!I41</f>
        <v>4.5373001021751178E-9</v>
      </c>
      <c r="B41">
        <f>'Mass Balance'!E41</f>
        <v>3.6551162870087157E-5</v>
      </c>
      <c r="C41">
        <f>SUM('Mass Balance'!E41:H41)</f>
        <v>3.6551330195637593E-5</v>
      </c>
      <c r="D41">
        <f>Concentrations!F41/Concentrations!E41</f>
        <v>1.0003854124253488</v>
      </c>
    </row>
    <row r="42" spans="1:4">
      <c r="A42">
        <f>'Mass Balance'!I42</f>
        <v>4.1541278772280573E-8</v>
      </c>
      <c r="B42">
        <f>'Mass Balance'!E42</f>
        <v>2.4973549793280238E-5</v>
      </c>
      <c r="C42">
        <f>SUM('Mass Balance'!E42:H42)</f>
        <v>2.5811501505416199E-5</v>
      </c>
      <c r="D42">
        <f>Concentrations!F42/Concentrations!E42</f>
        <v>0.96791305509794789</v>
      </c>
    </row>
    <row r="43" spans="1:4">
      <c r="A43">
        <f>'Mass Balance'!I43</f>
        <v>9.083888055944333E-8</v>
      </c>
      <c r="B43">
        <f>'Mass Balance'!E43</f>
        <v>3.2593079407822123E-6</v>
      </c>
      <c r="C43">
        <f>SUM('Mass Balance'!E43:H43)</f>
        <v>3.975372966977062E-5</v>
      </c>
      <c r="D43">
        <f>Concentrations!F43/Concentrations!E43</f>
        <v>8.2019450049147957E-2</v>
      </c>
    </row>
    <row r="44" spans="1:4">
      <c r="A44">
        <f>'Mass Balance'!I44</f>
        <v>9.2750280907228578E-9</v>
      </c>
      <c r="B44">
        <f>'Mass Balance'!E44</f>
        <v>3.1216905874565749E-5</v>
      </c>
      <c r="C44">
        <f>SUM('Mass Balance'!E44:H44)</f>
        <v>3.1320595168152655E-5</v>
      </c>
      <c r="D44">
        <f>Concentrations!F44/Concentrations!E44</f>
        <v>0.99707812228781312</v>
      </c>
    </row>
    <row r="45" spans="1:4">
      <c r="A45">
        <f>'Mass Balance'!I45</f>
        <v>4.7292993182533105E-8</v>
      </c>
      <c r="B45">
        <f>'Mass Balance'!E45</f>
        <v>2.3910210065638424E-5</v>
      </c>
      <c r="C45">
        <f>SUM('Mass Balance'!E45:H45)</f>
        <v>2.4887229582891056E-5</v>
      </c>
      <c r="D45">
        <f>Concentrations!F45/Concentrations!E45</f>
        <v>0.96111681605375665</v>
      </c>
    </row>
    <row r="46" spans="1:4">
      <c r="A46">
        <f>'Mass Balance'!I46</f>
        <v>4.3524165509268477E-8</v>
      </c>
      <c r="B46">
        <f>'Mass Balance'!E46</f>
        <v>2.4526658874169771E-5</v>
      </c>
      <c r="C46">
        <f>SUM('Mass Balance'!E46:H46)</f>
        <v>2.541272930051592E-5</v>
      </c>
      <c r="D46">
        <f>Concentrations!F46/Concentrations!E46</f>
        <v>0.96550920546992713</v>
      </c>
    </row>
    <row r="47" spans="1:4">
      <c r="A47">
        <f>'Mass Balance'!I47</f>
        <v>3.2448295022415788E-6</v>
      </c>
      <c r="B47">
        <f>'Mass Balance'!E47</f>
        <v>1.3979207428968211E-7</v>
      </c>
      <c r="C47">
        <f>SUM('Mass Balance'!E47:H47)</f>
        <v>1.9300747019933197E-5</v>
      </c>
      <c r="D47">
        <f>Concentrations!F47/Concentrations!E47</f>
        <v>7.2456569655418761E-3</v>
      </c>
    </row>
    <row r="48" spans="1:4">
      <c r="A48">
        <f>'Mass Balance'!I48</f>
        <v>6.3927708149561074E-9</v>
      </c>
      <c r="B48">
        <f>'Mass Balance'!E48</f>
        <v>3.6410535886597147E-5</v>
      </c>
      <c r="C48">
        <f>SUM('Mass Balance'!E48:H48)</f>
        <v>3.644425968832677E-5</v>
      </c>
      <c r="D48">
        <f>Concentrations!F48/Concentrations!E48</f>
        <v>0.99946427824493811</v>
      </c>
    </row>
    <row r="49" spans="1:4">
      <c r="A49">
        <f>'Mass Balance'!I49</f>
        <v>7.5622574337492414E-9</v>
      </c>
      <c r="B49">
        <f>'Mass Balance'!E49</f>
        <v>3.4953534666325857E-5</v>
      </c>
      <c r="C49">
        <f>SUM('Mass Balance'!E49:H49)</f>
        <v>3.5013342826848017E-5</v>
      </c>
      <c r="D49">
        <f>Concentrations!F49/Concentrations!E49</f>
        <v>0.99868117247035759</v>
      </c>
    </row>
    <row r="50" spans="1:4">
      <c r="A50">
        <f>'Mass Balance'!I50</f>
        <v>2.6041055899541819E-7</v>
      </c>
      <c r="B50">
        <f>'Mass Balance'!E50</f>
        <v>7.663971674713783E-6</v>
      </c>
      <c r="C50">
        <f>SUM('Mass Balance'!E50:H50)</f>
        <v>1.4501005438998848E-5</v>
      </c>
      <c r="D50">
        <f>Concentrations!F50/Concentrations!E50</f>
        <v>0.52871923915014007</v>
      </c>
    </row>
    <row r="51" spans="1:4">
      <c r="A51">
        <f>'Mass Balance'!I51</f>
        <v>4.8242208340372836E-9</v>
      </c>
      <c r="B51">
        <f>'Mass Balance'!E51</f>
        <v>3.6191773245858015E-5</v>
      </c>
      <c r="C51">
        <f>SUM('Mass Balance'!E51:H51)</f>
        <v>3.6197370443035377E-5</v>
      </c>
      <c r="D51">
        <f>Concentrations!F51/Concentrations!E51</f>
        <v>1.0002353017912218</v>
      </c>
    </row>
    <row r="52" spans="1:4">
      <c r="A52">
        <f>'Mass Balance'!I52</f>
        <v>1.2836901289155357E-8</v>
      </c>
      <c r="B52">
        <f>'Mass Balance'!E52</f>
        <v>3.0097780435365354E-5</v>
      </c>
      <c r="C52">
        <f>SUM('Mass Balance'!E52:H52)</f>
        <v>3.0278126479117019E-5</v>
      </c>
      <c r="D52">
        <f>Concentrations!F52/Concentrations!E52</f>
        <v>0.99443135462023402</v>
      </c>
    </row>
    <row r="53" spans="1:4">
      <c r="A53">
        <f>'Mass Balance'!I53</f>
        <v>7.0345065015238304E-8</v>
      </c>
      <c r="B53">
        <f>'Mass Balance'!E53</f>
        <v>2.0458628675829205E-5</v>
      </c>
      <c r="C53">
        <f>SUM('Mass Balance'!E53:H53)</f>
        <v>2.2006499451907789E-5</v>
      </c>
      <c r="D53">
        <f>Concentrations!F53/Concentrations!E53</f>
        <v>0.93002557825139132</v>
      </c>
    </row>
    <row r="54" spans="1:4">
      <c r="A54">
        <f>'Mass Balance'!I54</f>
        <v>2.8709996530085513E-6</v>
      </c>
      <c r="B54">
        <f>'Mass Balance'!E54</f>
        <v>1.8793417059345119E-7</v>
      </c>
      <c r="C54">
        <f>SUM('Mass Balance'!E54:H54)</f>
        <v>1.8530443553675912E-5</v>
      </c>
      <c r="D54">
        <f>Concentrations!F54/Concentrations!E54</f>
        <v>1.0145869572868196E-2</v>
      </c>
    </row>
    <row r="55" spans="1:4">
      <c r="A55">
        <f>'Mass Balance'!I55</f>
        <v>1.2973269428620356E-7</v>
      </c>
      <c r="B55">
        <f>'Mass Balance'!E55</f>
        <v>9.399528049235852E-6</v>
      </c>
      <c r="C55">
        <f>SUM('Mass Balance'!E55:H55)</f>
        <v>1.2601039597456905E-5</v>
      </c>
      <c r="D55">
        <f>Concentrations!F55/Concentrations!E55</f>
        <v>0.7462236522295177</v>
      </c>
    </row>
    <row r="56" spans="1:4">
      <c r="A56">
        <f>'Mass Balance'!I56</f>
        <v>6.0521456392042572E-8</v>
      </c>
      <c r="B56">
        <f>'Mass Balance'!E56</f>
        <v>8.8865593617931359E-7</v>
      </c>
      <c r="C56">
        <f>SUM('Mass Balance'!E56:H56)</f>
        <v>2.5521677552017174E-6</v>
      </c>
      <c r="D56">
        <f>Concentrations!F56/Concentrations!E56</f>
        <v>0.3483323159709637</v>
      </c>
    </row>
    <row r="57" spans="1:4">
      <c r="A57">
        <f>'Mass Balance'!I57</f>
        <v>2.4836511347329052E-8</v>
      </c>
      <c r="B57">
        <f>'Mass Balance'!E57</f>
        <v>1.3334247832418461E-6</v>
      </c>
      <c r="C57">
        <f>SUM('Mass Balance'!E57:H57)</f>
        <v>1.959418843402575E-6</v>
      </c>
      <c r="D57">
        <f>Concentrations!F57/Concentrations!E57</f>
        <v>0.68078594465769404</v>
      </c>
    </row>
    <row r="58" spans="1:4">
      <c r="A58">
        <f>'Mass Balance'!I58</f>
        <v>5.7186273576506556E-10</v>
      </c>
      <c r="B58">
        <f>'Mass Balance'!E58</f>
        <v>2.3772189042395848E-6</v>
      </c>
      <c r="C58">
        <f>SUM('Mass Balance'!E58:H58)</f>
        <v>2.3824189851883733E-6</v>
      </c>
      <c r="D58">
        <f>Concentrations!F58/Concentrations!E58</f>
        <v>0.99820645128398888</v>
      </c>
    </row>
    <row r="59" spans="1:4">
      <c r="A59">
        <f>'Mass Balance'!I59</f>
        <v>8.7719444647915349E-9</v>
      </c>
      <c r="B59">
        <f>'Mass Balance'!E59</f>
        <v>5.047094177232453E-7</v>
      </c>
      <c r="C59">
        <f>SUM('Mass Balance'!E59:H59)</f>
        <v>7.2473926326513036E-7</v>
      </c>
      <c r="D59">
        <f>Concentrations!F59/Concentrations!E59</f>
        <v>0.69667296359957631</v>
      </c>
    </row>
    <row r="60" spans="1:4">
      <c r="A60">
        <f>'Mass Balance'!I60</f>
        <v>1.4640622005598369E-10</v>
      </c>
      <c r="B60">
        <f>'Mass Balance'!E60</f>
        <v>1.7988114751860982E-8</v>
      </c>
      <c r="C60">
        <f>SUM('Mass Balance'!E60:H60)</f>
        <v>2.1461692729003851E-8</v>
      </c>
      <c r="D60">
        <f>Concentrations!F60/Concentrations!E60</f>
        <v>0.83847673156790337</v>
      </c>
    </row>
    <row r="61" spans="1:4">
      <c r="A61">
        <f>'Mass Balance'!I61</f>
        <v>9.9897561168235799E-8</v>
      </c>
      <c r="B61">
        <f>'Mass Balance'!E61</f>
        <v>1.7282699423173222E-5</v>
      </c>
      <c r="C61">
        <f>SUM('Mass Balance'!E61:H61)</f>
        <v>1.9588026423014838E-5</v>
      </c>
      <c r="D61">
        <f>Concentrations!F61/Concentrations!E61</f>
        <v>0.88265347232576219</v>
      </c>
    </row>
    <row r="62" spans="1:4">
      <c r="A62">
        <f>'Mass Balance'!I62</f>
        <v>1.3307354332576771E-6</v>
      </c>
      <c r="B62">
        <f>'Mass Balance'!E62</f>
        <v>7.219756471999003E-7</v>
      </c>
      <c r="C62">
        <f>SUM('Mass Balance'!E62:H62)</f>
        <v>1.6891881918362213E-5</v>
      </c>
      <c r="D62">
        <f>Concentrations!F62/Concentrations!E62</f>
        <v>4.275765219305034E-2</v>
      </c>
    </row>
    <row r="63" spans="1:4">
      <c r="A63">
        <f>'Mass Balance'!I63</f>
        <v>3.8993494288137914E-6</v>
      </c>
      <c r="B63">
        <f>'Mass Balance'!E63</f>
        <v>8.1729973289663615E-8</v>
      </c>
      <c r="C63">
        <f>SUM('Mass Balance'!E63:H63)</f>
        <v>2.0809790875885693E-5</v>
      </c>
      <c r="D63">
        <f>Concentrations!F63/Concentrations!E63</f>
        <v>3.9290086006088304E-3</v>
      </c>
    </row>
    <row r="64" spans="1:4">
      <c r="A64">
        <f>'Mass Balance'!I64</f>
        <v>4.9366226807069392E-6</v>
      </c>
      <c r="B64">
        <f>'Mass Balance'!E64</f>
        <v>3.1625239180006479E-8</v>
      </c>
      <c r="C64">
        <f>SUM('Mass Balance'!E64:H64)</f>
        <v>2.3565771713299799E-5</v>
      </c>
      <c r="D64">
        <f>Concentrations!F64/Concentrations!E64</f>
        <v>1.3425222460896706E-3</v>
      </c>
    </row>
    <row r="65" spans="1:4">
      <c r="A65">
        <f>'Mass Balance'!I65</f>
        <v>5.9147235365054078E-6</v>
      </c>
      <c r="B65">
        <f>'Mass Balance'!E65</f>
        <v>9.8419066966027789E-9</v>
      </c>
      <c r="C65">
        <f>SUM('Mass Balance'!E65:H65)</f>
        <v>2.6466094334170694E-5</v>
      </c>
      <c r="D65">
        <f>Concentrations!F65/Concentrations!E65</f>
        <v>3.7201352181030864E-4</v>
      </c>
    </row>
    <row r="66" spans="1:4">
      <c r="A66">
        <f>'Mass Balance'!I66</f>
        <v>5.391125933669947E-6</v>
      </c>
      <c r="B66">
        <f>'Mass Balance'!E66</f>
        <v>1.9316679844688681E-8</v>
      </c>
      <c r="C66">
        <f>SUM('Mass Balance'!E66:H66)</f>
        <v>2.4881956884282681E-5</v>
      </c>
      <c r="D66">
        <f>Concentrations!F66/Concentrations!E66</f>
        <v>7.7663558721812701E-4</v>
      </c>
    </row>
    <row r="67" spans="1:4">
      <c r="A67">
        <f>'Mass Balance'!I67</f>
        <v>1.113250401744737E-8</v>
      </c>
      <c r="B67">
        <f>'Mass Balance'!E67</f>
        <v>3.3479143892619177E-5</v>
      </c>
      <c r="C67">
        <f>SUM('Mass Balance'!E67:H67)</f>
        <v>3.3614510347091017E-5</v>
      </c>
      <c r="D67">
        <f>Concentrations!F67/Concentrations!E67</f>
        <v>0.99636139709402005</v>
      </c>
    </row>
    <row r="68" spans="1:4">
      <c r="A68">
        <f>'Mass Balance'!I68</f>
        <v>1.5792963292178469E-8</v>
      </c>
      <c r="B68">
        <f>'Mass Balance'!E68</f>
        <v>3.1230811428090149E-5</v>
      </c>
      <c r="C68">
        <f>SUM('Mass Balance'!E68:H68)</f>
        <v>3.147012158699657E-5</v>
      </c>
      <c r="D68">
        <f>Concentrations!F68/Concentrations!E68</f>
        <v>0.99278266559629347</v>
      </c>
    </row>
    <row r="69" spans="1:4">
      <c r="A69">
        <f>'Mass Balance'!I69</f>
        <v>2.3709097525141213E-6</v>
      </c>
      <c r="B69">
        <f>'Mass Balance'!E69</f>
        <v>2.7747241350502092E-7</v>
      </c>
      <c r="C69">
        <f>SUM('Mass Balance'!E69:H69)</f>
        <v>1.7603219282557282E-5</v>
      </c>
      <c r="D69">
        <f>Concentrations!F69/Concentrations!E69</f>
        <v>1.5768742130658431E-2</v>
      </c>
    </row>
    <row r="70" spans="1:4">
      <c r="A70">
        <f>'Mass Balance'!I70</f>
        <v>4.1788237857282231E-7</v>
      </c>
      <c r="B70">
        <f>'Mass Balance'!E70</f>
        <v>3.7691579663455548E-6</v>
      </c>
      <c r="C70">
        <f>SUM('Mass Balance'!E70:H70)</f>
        <v>1.5625691781555959E-5</v>
      </c>
      <c r="D70">
        <f>Concentrations!F70/Concentrations!E70</f>
        <v>0.2413095023658347</v>
      </c>
    </row>
    <row r="71" spans="1:4">
      <c r="A71">
        <f>'Mass Balance'!I71</f>
        <v>1.4669938668380158E-8</v>
      </c>
      <c r="B71">
        <f>'Mass Balance'!E71</f>
        <v>3.1094123115146134E-5</v>
      </c>
      <c r="C71">
        <f>SUM('Mass Balance'!E71:H71)</f>
        <v>3.131006198217762E-5</v>
      </c>
      <c r="D71">
        <f>Concentrations!F71/Concentrations!E71</f>
        <v>0.99349051410971356</v>
      </c>
    </row>
    <row r="72" spans="1:4">
      <c r="A72">
        <f>'Mass Balance'!I72</f>
        <v>3.8161428332034295E-7</v>
      </c>
      <c r="B72">
        <f>'Mass Balance'!E72</f>
        <v>4.049261370889735E-6</v>
      </c>
      <c r="C72">
        <f>SUM('Mass Balance'!E72:H72)</f>
        <v>1.4762956462551328E-5</v>
      </c>
      <c r="D72">
        <f>Concentrations!F72/Concentrations!E72</f>
        <v>0.27439223036697241</v>
      </c>
    </row>
    <row r="73" spans="1:4">
      <c r="A73">
        <f>'Mass Balance'!I73</f>
        <v>1.0525685533575358E-7</v>
      </c>
      <c r="B73">
        <f>'Mass Balance'!E73</f>
        <v>1.6250615691395811E-5</v>
      </c>
      <c r="C73">
        <f>SUM('Mass Balance'!E73:H73)</f>
        <v>1.8702737363306374E-5</v>
      </c>
      <c r="D73">
        <f>Concentrations!F73/Concentrations!E73</f>
        <v>0.86922855121551568</v>
      </c>
    </row>
    <row r="74" spans="1:4">
      <c r="A74">
        <f>'Mass Balance'!I74</f>
        <v>4.0885675266768097E-7</v>
      </c>
      <c r="B74">
        <f>'Mass Balance'!E74</f>
        <v>3.8629860844535286E-6</v>
      </c>
      <c r="C74">
        <f>SUM('Mass Balance'!E74:H74)</f>
        <v>1.5428479693394238E-5</v>
      </c>
      <c r="D74">
        <f>Concentrations!F74/Concentrations!E74</f>
        <v>0.25047786269637612</v>
      </c>
    </row>
    <row r="75" spans="1:4">
      <c r="A75">
        <f>'Mass Balance'!I75</f>
        <v>2.9938657410475791E-7</v>
      </c>
      <c r="B75">
        <f>'Mass Balance'!E75</f>
        <v>1.6555840539520559E-6</v>
      </c>
      <c r="C75">
        <f>SUM('Mass Balance'!E75:H75)</f>
        <v>3.9668688383305633E-5</v>
      </c>
      <c r="D75">
        <f>Concentrations!F75/Concentrations!E75</f>
        <v>4.1751562404633208E-2</v>
      </c>
    </row>
    <row r="76" spans="1:4">
      <c r="A76">
        <f>'Mass Balance'!I76</f>
        <v>2.9938657563907651E-7</v>
      </c>
      <c r="B76">
        <f>'Mass Balance'!E76</f>
        <v>1.6555840624367165E-6</v>
      </c>
      <c r="C76">
        <f>SUM('Mass Balance'!E76:H76)</f>
        <v>3.9668688586602689E-5</v>
      </c>
      <c r="D76">
        <f>Concentrations!F76/Concentrations!E76</f>
        <v>4.1751562404633208E-2</v>
      </c>
    </row>
    <row r="77" spans="1:4">
      <c r="A77">
        <f>'Mass Balance'!I77</f>
        <v>2.1041136255054884E-7</v>
      </c>
      <c r="B77">
        <f>'Mass Balance'!E77</f>
        <v>8.9665599208108919E-6</v>
      </c>
      <c r="C77">
        <f>SUM('Mass Balance'!E77:H77)</f>
        <v>1.4354791912806632E-5</v>
      </c>
      <c r="D77">
        <f>Concentrations!F77/Concentrations!E77</f>
        <v>0.6248823990095036</v>
      </c>
    </row>
    <row r="78" spans="1:4">
      <c r="A78">
        <f>'Mass Balance'!I78</f>
        <v>3.7396947191578564E-8</v>
      </c>
      <c r="B78">
        <f>'Mass Balance'!E78</f>
        <v>2.4494322339608181E-5</v>
      </c>
      <c r="C78">
        <f>SUM('Mass Balance'!E78:H78)</f>
        <v>2.5239087434476634E-5</v>
      </c>
      <c r="D78">
        <f>Concentrations!F78/Concentrations!E78</f>
        <v>0.97087008370748951</v>
      </c>
    </row>
    <row r="79" spans="1:4">
      <c r="A79">
        <f>'Mass Balance'!I79</f>
        <v>7.1991104361786082E-8</v>
      </c>
      <c r="B79">
        <f>'Mass Balance'!E79</f>
        <v>2.0019310441848378E-5</v>
      </c>
      <c r="C79">
        <f>SUM('Mass Balance'!E79:H79)</f>
        <v>2.1610480683349337E-5</v>
      </c>
      <c r="D79">
        <f>Concentrations!F79/Concentrations!E79</f>
        <v>0.92673171443555502</v>
      </c>
    </row>
    <row r="80" spans="1:4">
      <c r="A80">
        <f>'Mass Balance'!I80</f>
        <v>5.8416462746373388E-7</v>
      </c>
      <c r="B80">
        <f>'Mass Balance'!E80</f>
        <v>1.127928495415369E-6</v>
      </c>
      <c r="C80">
        <f>SUM('Mass Balance'!E80:H80)</f>
        <v>3.9376736899295284E-5</v>
      </c>
      <c r="D80">
        <f>Concentrations!F80/Concentrations!E80</f>
        <v>2.8655710640265234E-2</v>
      </c>
    </row>
    <row r="81" spans="1:4">
      <c r="A81">
        <f>'Mass Balance'!I81</f>
        <v>5.1209547370620495E-9</v>
      </c>
      <c r="B81">
        <f>'Mass Balance'!E81</f>
        <v>3.883310851719657E-5</v>
      </c>
      <c r="C81">
        <f>SUM('Mass Balance'!E81:H81)</f>
        <v>3.8838167973124738E-5</v>
      </c>
      <c r="D81">
        <f>Concentrations!F81/Concentrations!E81</f>
        <v>1.0002596710296734</v>
      </c>
    </row>
    <row r="82" spans="1:4">
      <c r="A82">
        <f>'Mass Balance'!I82</f>
        <v>1.8550825437517821E-8</v>
      </c>
      <c r="B82">
        <f>'Mass Balance'!E82</f>
        <v>3.0633384706599059E-5</v>
      </c>
      <c r="C82">
        <f>SUM('Mass Balance'!E82:H82)</f>
        <v>3.0933580137381002E-5</v>
      </c>
      <c r="D82">
        <f>Concentrations!F82/Concentrations!E82</f>
        <v>0.99068169111119375</v>
      </c>
    </row>
    <row r="83" spans="1:4">
      <c r="A83">
        <f>'Mass Balance'!I83</f>
        <v>1.9491621108039147E-7</v>
      </c>
      <c r="B83">
        <f>'Mass Balance'!E83</f>
        <v>1.0709027338514445E-5</v>
      </c>
      <c r="C83">
        <f>SUM('Mass Balance'!E83:H83)</f>
        <v>1.5613936891096057E-5</v>
      </c>
      <c r="D83">
        <f>Concentrations!F83/Concentrations!E83</f>
        <v>0.68613084890735787</v>
      </c>
    </row>
    <row r="84" spans="1:4">
      <c r="A84">
        <f>'Mass Balance'!I84</f>
        <v>5.903106301784217E-9</v>
      </c>
      <c r="B84">
        <f>'Mass Balance'!E84</f>
        <v>3.7483462267458043E-5</v>
      </c>
      <c r="C84">
        <f>SUM('Mass Balance'!E84:H84)</f>
        <v>3.7505512144924093E-5</v>
      </c>
      <c r="D84">
        <f>Concentrations!F84/Concentrations!E84</f>
        <v>0.99980185243897635</v>
      </c>
    </row>
    <row r="85" spans="1:4">
      <c r="A85">
        <f>'Mass Balance'!I85</f>
        <v>4.9565606770114149E-9</v>
      </c>
      <c r="B85">
        <f>'Mass Balance'!E85</f>
        <v>3.9512083367663701E-5</v>
      </c>
      <c r="C85">
        <f>SUM('Mass Balance'!E85:H85)</f>
        <v>3.9513046702172639E-5</v>
      </c>
      <c r="D85">
        <f>Concentrations!F85/Concentrations!E85</f>
        <v>1.000365602363686</v>
      </c>
    </row>
    <row r="86" spans="1:4">
      <c r="A86">
        <f>'Mass Balance'!I86</f>
        <v>5.8553113072562443E-9</v>
      </c>
      <c r="B86">
        <f>'Mass Balance'!E86</f>
        <v>3.7544603644232973E-5</v>
      </c>
      <c r="C86">
        <f>SUM('Mass Balance'!E86:H86)</f>
        <v>3.7565632081672054E-5</v>
      </c>
      <c r="D86">
        <f>Concentrations!F86/Concentrations!E86</f>
        <v>0.99982999511187021</v>
      </c>
    </row>
    <row r="87" spans="1:4">
      <c r="A87">
        <f>'Mass Balance'!I87</f>
        <v>3.4974023220129087E-6</v>
      </c>
      <c r="B87">
        <f>'Mass Balance'!E87</f>
        <v>1.1400234969439061E-7</v>
      </c>
      <c r="C87">
        <f>SUM('Mass Balance'!E87:H87)</f>
        <v>1.9858631860059079E-5</v>
      </c>
      <c r="D87">
        <f>Concentrations!F87/Concentrations!E87</f>
        <v>5.742933879149207E-3</v>
      </c>
    </row>
    <row r="88" spans="1:4">
      <c r="A88">
        <f>'Mass Balance'!I88</f>
        <v>3.0927079396344535E-8</v>
      </c>
      <c r="B88">
        <f>'Mass Balance'!E88</f>
        <v>2.719666603157935E-5</v>
      </c>
      <c r="C88">
        <f>SUM('Mass Balance'!E88:H88)</f>
        <v>2.7782471013614382E-5</v>
      </c>
      <c r="D88">
        <f>Concentrations!F88/Concentrations!E88</f>
        <v>0.97929635205464494</v>
      </c>
    </row>
    <row r="89" spans="1:4">
      <c r="A89">
        <f>'Mass Balance'!I89</f>
        <v>2.0360620053394761E-8</v>
      </c>
      <c r="B89">
        <f>'Mass Balance'!E89</f>
        <v>3.0045936789155116E-5</v>
      </c>
      <c r="C89">
        <f>SUM('Mass Balance'!E89:H89)</f>
        <v>3.0387212761595111E-5</v>
      </c>
      <c r="D89">
        <f>Concentrations!F89/Concentrations!E89</f>
        <v>0.98915470467762656</v>
      </c>
    </row>
    <row r="90" spans="1:4">
      <c r="A90">
        <f>'Mass Balance'!I90</f>
        <v>8.5552825275229495E-9</v>
      </c>
      <c r="B90">
        <f>'Mass Balance'!E90</f>
        <v>3.5162900559732065E-5</v>
      </c>
      <c r="C90">
        <f>SUM('Mass Balance'!E90:H90)</f>
        <v>3.5241731055868663E-5</v>
      </c>
      <c r="D90">
        <f>Concentrations!F90/Concentrations!E90</f>
        <v>0.9981522688285277</v>
      </c>
    </row>
    <row r="91" spans="1:4">
      <c r="A91">
        <f>'Mass Balance'!I91</f>
        <v>1.4653917081946577E-6</v>
      </c>
      <c r="B91">
        <f>'Mass Balance'!E91</f>
        <v>6.3017385463287214E-7</v>
      </c>
      <c r="C91">
        <f>SUM('Mass Balance'!E91:H91)</f>
        <v>1.6880350411710672E-5</v>
      </c>
      <c r="D91">
        <f>Concentrations!F91/Concentrations!E91</f>
        <v>3.7346358460614341E-2</v>
      </c>
    </row>
    <row r="92" spans="1:4">
      <c r="A92">
        <f>'Mass Balance'!I92</f>
        <v>1.5364315704157302E-7</v>
      </c>
      <c r="B92">
        <f>'Mass Balance'!E92</f>
        <v>1.3077528558292229E-5</v>
      </c>
      <c r="C92">
        <f>SUM('Mass Balance'!E92:H92)</f>
        <v>1.6825132368429774E-5</v>
      </c>
      <c r="D92">
        <f>Concentrations!F92/Concentrations!E92</f>
        <v>0.77756468144100499</v>
      </c>
    </row>
    <row r="93" spans="1:4">
      <c r="A93">
        <f>'Mass Balance'!I93</f>
        <v>3.6083521798397801E-7</v>
      </c>
      <c r="B93">
        <f>'Mass Balance'!E93</f>
        <v>5.0580658783407834E-6</v>
      </c>
      <c r="C93">
        <f>SUM('Mass Balance'!E93:H93)</f>
        <v>1.5006201276865331E-5</v>
      </c>
      <c r="D93">
        <f>Concentrations!F93/Concentrations!E93</f>
        <v>0.33719649566104481</v>
      </c>
    </row>
    <row r="94" spans="1:4">
      <c r="A94">
        <f>'Mass Balance'!I94</f>
        <v>5.6415559546684792E-9</v>
      </c>
      <c r="B94">
        <f>'Mass Balance'!E94</f>
        <v>3.9524826678539503E-5</v>
      </c>
      <c r="C94">
        <f>SUM('Mass Balance'!E94:H94)</f>
        <v>3.9987337174438653E-5</v>
      </c>
      <c r="D94">
        <f>Concentrations!F94/Concentrations!E94</f>
        <v>0.98881905723355989</v>
      </c>
    </row>
    <row r="95" spans="1:4">
      <c r="A95">
        <f>'Mass Balance'!I95</f>
        <v>7.4088635319083612E-7</v>
      </c>
      <c r="B95">
        <f>'Mass Balance'!E95</f>
        <v>1.4767408315326901E-6</v>
      </c>
      <c r="C95">
        <f>SUM('Mass Balance'!E95:H95)</f>
        <v>1.7789362060860414E-5</v>
      </c>
      <c r="D95">
        <f>Concentrations!F95/Concentrations!E95</f>
        <v>8.3044953699848836E-2</v>
      </c>
    </row>
    <row r="96" spans="1:4">
      <c r="A96">
        <f>'Mass Balance'!I96</f>
        <v>5.1376007598792062E-9</v>
      </c>
      <c r="B96">
        <f>'Mass Balance'!E96</f>
        <v>3.8787989285088195E-5</v>
      </c>
      <c r="C96">
        <f>SUM('Mass Balance'!E96:H96)</f>
        <v>3.8793428148917469E-5</v>
      </c>
      <c r="D96">
        <f>Concentrations!F96/Concentrations!E96</f>
        <v>1.0002497367076917</v>
      </c>
    </row>
    <row r="97" spans="1:4">
      <c r="A97">
        <f>'Mass Balance'!I97</f>
        <v>5.9278627096847872E-9</v>
      </c>
      <c r="B97">
        <f>'Mass Balance'!E97</f>
        <v>3.7452355855789863E-5</v>
      </c>
      <c r="C97">
        <f>SUM('Mass Balance'!E97:H97)</f>
        <v>3.7474934587701019E-5</v>
      </c>
      <c r="D97">
        <f>Concentrations!F97/Concentrations!E97</f>
        <v>0.9997872548266713</v>
      </c>
    </row>
    <row r="98" spans="1:4">
      <c r="A98">
        <f>'Mass Balance'!I98</f>
        <v>4.7261170006329085E-7</v>
      </c>
      <c r="B98">
        <f>'Mass Balance'!E98</f>
        <v>3.0092008172103753E-6</v>
      </c>
      <c r="C98">
        <f>SUM('Mass Balance'!E98:H98)</f>
        <v>1.6725337578177123E-5</v>
      </c>
      <c r="D98">
        <f>Concentrations!F98/Concentrations!E98</f>
        <v>0.17998885627798372</v>
      </c>
    </row>
    <row r="99" spans="1:4">
      <c r="A99">
        <f>'Mass Balance'!I99</f>
        <v>4.9436649498410798E-9</v>
      </c>
      <c r="B99">
        <f>'Mass Balance'!E99</f>
        <v>3.9660860781498051E-5</v>
      </c>
      <c r="C99">
        <f>SUM('Mass Balance'!E99:H99)</f>
        <v>3.966134273798882E-5</v>
      </c>
      <c r="D99">
        <f>Concentrations!F99/Concentrations!E99</f>
        <v>1.0003778355007853</v>
      </c>
    </row>
    <row r="100" spans="1:4">
      <c r="A100">
        <f>'Mass Balance'!I100</f>
        <v>6.3190339842144321E-8</v>
      </c>
      <c r="B100">
        <f>'Mass Balance'!E100</f>
        <v>2.1487287009748385E-5</v>
      </c>
      <c r="C100">
        <f>SUM('Mass Balance'!E100:H100)</f>
        <v>2.2855375898133631E-5</v>
      </c>
      <c r="D100">
        <f>Concentrations!F100/Concentrations!E100</f>
        <v>0.94050813149305601</v>
      </c>
    </row>
    <row r="101" spans="1:4">
      <c r="A101">
        <f>'Mass Balance'!I101</f>
        <v>4.9667280875212344E-9</v>
      </c>
      <c r="B101">
        <f>'Mass Balance'!E101</f>
        <v>3.9434924506714757E-5</v>
      </c>
      <c r="C101">
        <f>SUM('Mass Balance'!E101:H101)</f>
        <v>3.9436198074732865E-5</v>
      </c>
      <c r="D101">
        <f>Concentrations!F101/Concentrations!E101</f>
        <v>1.0003576850484845</v>
      </c>
    </row>
    <row r="102" spans="1:4">
      <c r="A102">
        <f>'Mass Balance'!I102</f>
        <v>4.9411403343501765E-9</v>
      </c>
      <c r="B102">
        <f>'Mass Balance'!E102</f>
        <v>3.9853087454411869E-5</v>
      </c>
      <c r="C102">
        <f>SUM('Mass Balance'!E102:H102)</f>
        <v>3.9853184240575886E-5</v>
      </c>
      <c r="D102">
        <f>Concentrations!F102/Concentrations!E102</f>
        <v>1.0003875625194714</v>
      </c>
    </row>
    <row r="103" spans="1:4">
      <c r="A103">
        <f>'Mass Balance'!I103</f>
        <v>4.9430949290982738E-9</v>
      </c>
      <c r="B103">
        <f>'Mass Balance'!E103</f>
        <v>3.9671507475948681E-5</v>
      </c>
      <c r="C103">
        <f>SUM('Mass Balance'!E103:H103)</f>
        <v>3.9671961010370782E-5</v>
      </c>
      <c r="D103">
        <f>Concentrations!F103/Concentrations!E103</f>
        <v>1.0003785554610216</v>
      </c>
    </row>
    <row r="104" spans="1:4">
      <c r="A104">
        <f>'Mass Balance'!I104</f>
        <v>5.4357514182005642E-9</v>
      </c>
      <c r="B104">
        <f>'Mass Balance'!E104</f>
        <v>3.8165154255393016E-5</v>
      </c>
      <c r="C104">
        <f>SUM('Mass Balance'!E104:H104)</f>
        <v>3.81771673358961E-5</v>
      </c>
      <c r="D104">
        <f>Concentrations!F104/Concentrations!E104</f>
        <v>1.0000752026892545</v>
      </c>
    </row>
    <row r="105" spans="1:4">
      <c r="A105">
        <f>'Mass Balance'!I105</f>
        <v>4.9404293776857238E-9</v>
      </c>
      <c r="B105">
        <f>'Mass Balance'!E105</f>
        <v>3.98247719152023E-5</v>
      </c>
      <c r="C105">
        <f>SUM('Mass Balance'!E105:H105)</f>
        <v>3.9824907972107646E-5</v>
      </c>
      <c r="D105">
        <f>Concentrations!F105/Concentrations!E105</f>
        <v>1.0003865743249911</v>
      </c>
    </row>
    <row r="106" spans="1:4">
      <c r="A106">
        <f>'Mass Balance'!I106</f>
        <v>1.0650438839667875E-8</v>
      </c>
      <c r="B106">
        <f>'Mass Balance'!E106</f>
        <v>3.3919029001919957E-5</v>
      </c>
      <c r="C106">
        <f>SUM('Mass Balance'!E106:H106)</f>
        <v>3.4043332025767217E-5</v>
      </c>
      <c r="D106">
        <f>Concentrations!F106/Concentrations!E106</f>
        <v>0.99673725025991444</v>
      </c>
    </row>
    <row r="107" spans="1:4">
      <c r="A107">
        <f>'Mass Balance'!I107</f>
        <v>5.156957045192858E-7</v>
      </c>
      <c r="B107">
        <f>'Mass Balance'!E107</f>
        <v>2.4278792453556366E-6</v>
      </c>
      <c r="C107">
        <f>SUM('Mass Balance'!E107:H107)</f>
        <v>1.7690661977341634E-5</v>
      </c>
      <c r="D107">
        <f>Concentrations!F107/Concentrations!E107</f>
        <v>0.13729424608490648</v>
      </c>
    </row>
    <row r="108" spans="1:4">
      <c r="A108">
        <f>'Mass Balance'!I108</f>
        <v>5.050322032686066E-8</v>
      </c>
      <c r="B108">
        <f>'Mass Balance'!E108</f>
        <v>2.3396937729991386E-5</v>
      </c>
      <c r="C108">
        <f>SUM('Mass Balance'!E108:H108)</f>
        <v>2.4451992822310082E-5</v>
      </c>
      <c r="D108">
        <f>Concentrations!F108/Concentrations!E108</f>
        <v>0.95722514395562419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0.80598315998102865</v>
      </c>
      <c r="M2" s="115">
        <v>2.5035253196889049</v>
      </c>
      <c r="N2" s="115">
        <v>55.15152947228507</v>
      </c>
      <c r="O2" s="115">
        <v>1.1769532379876613</v>
      </c>
      <c r="P2" s="115">
        <v>1.207998347480753</v>
      </c>
      <c r="Q2" s="111">
        <v>1.1769532379876613</v>
      </c>
      <c r="R2" s="68">
        <v>1.2079983474807532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3.4258182690875562E-3</v>
      </c>
      <c r="M3" s="115">
        <v>568.58573787030775</v>
      </c>
      <c r="N3" s="115">
        <v>18900.966096525721</v>
      </c>
      <c r="O3" s="115">
        <v>113.99310254097674</v>
      </c>
      <c r="P3" s="115">
        <v>48.829123611675016</v>
      </c>
      <c r="Q3" s="111">
        <v>113.99310254097674</v>
      </c>
      <c r="R3" s="68">
        <v>48.829123611675016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0.49105455377695617</v>
      </c>
      <c r="M4" s="115">
        <v>13.820438926674589</v>
      </c>
      <c r="N4" s="115">
        <v>419.80923436670395</v>
      </c>
      <c r="O4" s="115">
        <v>4.5247163451727221</v>
      </c>
      <c r="P4" s="115">
        <v>4.2387404344673723</v>
      </c>
      <c r="Q4" s="111">
        <v>4.5247163451727221</v>
      </c>
      <c r="R4" s="68">
        <v>4.2387404344673723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3.2208330761726037E-2</v>
      </c>
      <c r="M5" s="115">
        <v>149.20702574300876</v>
      </c>
      <c r="N5" s="115">
        <v>4842.8761621418143</v>
      </c>
      <c r="O5" s="115">
        <v>42.656531972375113</v>
      </c>
      <c r="P5" s="115">
        <v>35.968313962465928</v>
      </c>
      <c r="Q5" s="111">
        <v>42.656531972375113</v>
      </c>
      <c r="R5" s="68">
        <v>35.968313962465928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1.7054062905972199E-3</v>
      </c>
      <c r="M6" s="115">
        <v>733.97852896772474</v>
      </c>
      <c r="N6" s="115">
        <v>24552.333296723762</v>
      </c>
      <c r="O6" s="115">
        <v>143.86668271982302</v>
      </c>
      <c r="P6" s="115">
        <v>56.989877681931418</v>
      </c>
      <c r="Q6" s="111">
        <v>143.86668271982302</v>
      </c>
      <c r="R6" s="68">
        <v>56.989877681931418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3.1543498858189714E-3</v>
      </c>
      <c r="M7" s="115">
        <v>601.86690464635979</v>
      </c>
      <c r="N7" s="115">
        <v>20025.685302790342</v>
      </c>
      <c r="O7" s="115">
        <v>120.16184006741693</v>
      </c>
      <c r="P7" s="115">
        <v>50.763839846767475</v>
      </c>
      <c r="Q7" s="111">
        <v>120.16184006741693</v>
      </c>
      <c r="R7" s="68">
        <v>50.763839846767475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6.447925790294789E-3</v>
      </c>
      <c r="M8" s="115">
        <v>442.50405364841077</v>
      </c>
      <c r="N8" s="115">
        <v>14624.242251821128</v>
      </c>
      <c r="O8" s="115">
        <v>92.002981821852316</v>
      </c>
      <c r="P8" s="115">
        <v>44.008456841741946</v>
      </c>
      <c r="Q8" s="111">
        <v>92.002981821852316</v>
      </c>
      <c r="R8" s="68">
        <v>44.008456841741946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0.16658863435663154</v>
      </c>
      <c r="M9" s="115">
        <v>53.455812160851885</v>
      </c>
      <c r="N9" s="115">
        <v>1699.914017731234</v>
      </c>
      <c r="O9" s="115">
        <v>17.861296954850623</v>
      </c>
      <c r="P9" s="115">
        <v>17.533519587963895</v>
      </c>
      <c r="Q9" s="111">
        <v>17.861296954850623</v>
      </c>
      <c r="R9" s="68">
        <v>17.533519587963895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2.9907963360770194E-2</v>
      </c>
      <c r="M10" s="115">
        <v>159.27646443962868</v>
      </c>
      <c r="N10" s="115">
        <v>5174.6359053556116</v>
      </c>
      <c r="O10" s="115">
        <v>44.257419806896408</v>
      </c>
      <c r="P10" s="115">
        <v>36.078087951031783</v>
      </c>
      <c r="Q10" s="111">
        <v>44.257419806896408</v>
      </c>
      <c r="R10" s="68">
        <v>36.07808795103179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2.6350678311228878E-2</v>
      </c>
      <c r="M11" s="115">
        <v>177.03788118997551</v>
      </c>
      <c r="N11" s="115">
        <v>5760.7777804612997</v>
      </c>
      <c r="O11" s="115">
        <v>47.085475110156345</v>
      </c>
      <c r="P11" s="115">
        <v>36.278731136326378</v>
      </c>
      <c r="Q11" s="111">
        <v>47.085475110156345</v>
      </c>
      <c r="R11" s="68">
        <v>36.278731136326385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0.12454481526459681</v>
      </c>
      <c r="M12" s="115">
        <v>65.033855281753745</v>
      </c>
      <c r="N12" s="115">
        <v>2077.1002538814951</v>
      </c>
      <c r="O12" s="115">
        <v>22.04196024556239</v>
      </c>
      <c r="P12" s="115">
        <v>21.915398890435142</v>
      </c>
      <c r="Q12" s="111">
        <v>22.04196024556239</v>
      </c>
      <c r="R12" s="68">
        <v>21.915398890435142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0.16218071149085575</v>
      </c>
      <c r="M13" s="115">
        <v>54.510196020015336</v>
      </c>
      <c r="N13" s="115">
        <v>1734.2024875519128</v>
      </c>
      <c r="O13" s="115">
        <v>18.237251053201838</v>
      </c>
      <c r="P13" s="115">
        <v>17.924135986706325</v>
      </c>
      <c r="Q13" s="111">
        <v>18.237251053201838</v>
      </c>
      <c r="R13" s="68">
        <v>17.924135986706325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1.7544691717065838E-2</v>
      </c>
      <c r="M14" s="115">
        <v>242.24808268839683</v>
      </c>
      <c r="N14" s="115">
        <v>7921.0703537898489</v>
      </c>
      <c r="O14" s="115">
        <v>57.754564315704094</v>
      </c>
      <c r="P14" s="115">
        <v>37.527662284294045</v>
      </c>
      <c r="Q14" s="111">
        <v>57.754564315704101</v>
      </c>
      <c r="R14" s="68">
        <v>37.527662284294045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2.8086538141492895E-2</v>
      </c>
      <c r="M15" s="115">
        <v>168.00310118471114</v>
      </c>
      <c r="N15" s="115">
        <v>5462.4736055592584</v>
      </c>
      <c r="O15" s="115">
        <v>45.645885775725191</v>
      </c>
      <c r="P15" s="115">
        <v>36.174911788021468</v>
      </c>
      <c r="Q15" s="111">
        <v>45.645885775725191</v>
      </c>
      <c r="R15" s="68">
        <v>36.174911788021468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6.642647909622372E-3</v>
      </c>
      <c r="M16" s="115">
        <v>435.16377186085947</v>
      </c>
      <c r="N16" s="115">
        <v>14377.232432180293</v>
      </c>
      <c r="O16" s="115">
        <v>90.702345846603862</v>
      </c>
      <c r="P16" s="115">
        <v>43.689666957872944</v>
      </c>
      <c r="Q16" s="111">
        <v>90.702345846603862</v>
      </c>
      <c r="R16" s="68">
        <v>43.689666957872944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3.1432650879721663E-2</v>
      </c>
      <c r="M17" s="115">
        <v>152.53977873484351</v>
      </c>
      <c r="N17" s="115">
        <v>4952.6247637912938</v>
      </c>
      <c r="O17" s="115">
        <v>43.189415224460561</v>
      </c>
      <c r="P17" s="115">
        <v>36.01016860280982</v>
      </c>
      <c r="Q17" s="111">
        <v>43.189415224460561</v>
      </c>
      <c r="R17" s="68">
        <v>36.01016860280982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0.18585434222679112</v>
      </c>
      <c r="M18" s="115">
        <v>48.414567678270657</v>
      </c>
      <c r="N18" s="115">
        <v>1536.4516432340199</v>
      </c>
      <c r="O18" s="115">
        <v>16.08570067977859</v>
      </c>
      <c r="P18" s="115">
        <v>15.705907912923424</v>
      </c>
      <c r="Q18" s="111">
        <v>16.08570067977859</v>
      </c>
      <c r="R18" s="68">
        <v>15.705907912923424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2.7733785759085354E-2</v>
      </c>
      <c r="M19" s="115">
        <v>169.79278390468428</v>
      </c>
      <c r="N19" s="115">
        <v>5521.5363015724242</v>
      </c>
      <c r="O19" s="115">
        <v>45.931685423514374</v>
      </c>
      <c r="P19" s="115">
        <v>36.196645344046935</v>
      </c>
      <c r="Q19" s="111">
        <v>45.931685423514374</v>
      </c>
      <c r="R19" s="68">
        <v>36.196645344046935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0.16224245066002399</v>
      </c>
      <c r="M20" s="115">
        <v>54.530947034007916</v>
      </c>
      <c r="N20" s="115">
        <v>1734.8626660636899</v>
      </c>
      <c r="O20" s="115">
        <v>18.244193634212778</v>
      </c>
      <c r="P20" s="115">
        <v>17.93095937065689</v>
      </c>
      <c r="Q20" s="111">
        <v>18.244193634212781</v>
      </c>
      <c r="R20" s="68">
        <v>17.93095937065689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1.9757640535923979E-2</v>
      </c>
      <c r="M21" s="115">
        <v>221.32096084685384</v>
      </c>
      <c r="N21" s="115">
        <v>7226.6405055438636</v>
      </c>
      <c r="O21" s="115">
        <v>54.260771890717251</v>
      </c>
      <c r="P21" s="115">
        <v>37.001039417349446</v>
      </c>
      <c r="Q21" s="111">
        <v>54.260771890717258</v>
      </c>
      <c r="R21" s="68">
        <v>37.001039417349446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0.65004959233458848</v>
      </c>
      <c r="M22" s="115">
        <v>6.3862699282738822</v>
      </c>
      <c r="N22" s="115">
        <v>180.85645459056809</v>
      </c>
      <c r="O22" s="115">
        <v>2.2668581650520325</v>
      </c>
      <c r="P22" s="115">
        <v>2.1559055187524829</v>
      </c>
      <c r="Q22" s="111">
        <v>2.2668581650520325</v>
      </c>
      <c r="R22" s="68">
        <v>2.1559055187524834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0.7591609564446381</v>
      </c>
      <c r="M23" s="115">
        <v>3.4162519041639974</v>
      </c>
      <c r="N23" s="115">
        <v>84.864683317866707</v>
      </c>
      <c r="O23" s="115">
        <v>1.4224184569911138</v>
      </c>
      <c r="P23" s="115">
        <v>1.4144331464558559</v>
      </c>
      <c r="Q23" s="111">
        <v>1.4224184569911138</v>
      </c>
      <c r="R23" s="68">
        <v>1.4144331464558562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0.32322555845601769</v>
      </c>
      <c r="M24" s="115">
        <v>27.793357665220924</v>
      </c>
      <c r="N24" s="115">
        <v>869.36885047370549</v>
      </c>
      <c r="O24" s="115">
        <v>9.0318287373926172</v>
      </c>
      <c r="P24" s="115">
        <v>8.5904262655268191</v>
      </c>
      <c r="Q24" s="111">
        <v>9.0318287373926172</v>
      </c>
      <c r="R24" s="68">
        <v>8.5904262655268191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7.8579888843840096E-2</v>
      </c>
      <c r="M25" s="115">
        <v>76.782877735912592</v>
      </c>
      <c r="N25" s="115">
        <v>2464.6310246217945</v>
      </c>
      <c r="O25" s="115">
        <v>26.547991078369687</v>
      </c>
      <c r="P25" s="115">
        <v>26.838047799125437</v>
      </c>
      <c r="Q25" s="111">
        <v>26.547991078369687</v>
      </c>
      <c r="R25" s="68">
        <v>26.838047799125437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2.1396072662740441E-2</v>
      </c>
      <c r="M26" s="115">
        <v>208.4832429846177</v>
      </c>
      <c r="N26" s="115">
        <v>6801.0755573617853</v>
      </c>
      <c r="O26" s="115">
        <v>52.161017765596881</v>
      </c>
      <c r="P26" s="115">
        <v>36.756505436617388</v>
      </c>
      <c r="Q26" s="111">
        <v>52.161017765596881</v>
      </c>
      <c r="R26" s="68">
        <v>36.756505436617388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3.7464250625850559E-3</v>
      </c>
      <c r="M27" s="115">
        <v>553.58341119168324</v>
      </c>
      <c r="N27" s="115">
        <v>18388.170882899089</v>
      </c>
      <c r="O27" s="115">
        <v>111.40409647651934</v>
      </c>
      <c r="P27" s="115">
        <v>48.307784970143949</v>
      </c>
      <c r="Q27" s="111">
        <v>111.40409647651934</v>
      </c>
      <c r="R27" s="68">
        <v>48.307784970143949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1.205463972969849E-2</v>
      </c>
      <c r="M28" s="115">
        <v>311.71608508185113</v>
      </c>
      <c r="N28" s="115">
        <v>10235.349069996288</v>
      </c>
      <c r="O28" s="115">
        <v>69.433310555969982</v>
      </c>
      <c r="P28" s="115">
        <v>39.416805068903322</v>
      </c>
      <c r="Q28" s="111">
        <v>69.433310555969982</v>
      </c>
      <c r="R28" s="68">
        <v>39.416805068903322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1.6175720192626076E-2</v>
      </c>
      <c r="M29" s="115">
        <v>208.30626147677398</v>
      </c>
      <c r="N29" s="115">
        <v>6808.0515447895796</v>
      </c>
      <c r="O29" s="115">
        <v>50.111201353677899</v>
      </c>
      <c r="P29" s="115">
        <v>33.084442603497116</v>
      </c>
      <c r="Q29" s="111">
        <v>50.111201353677899</v>
      </c>
      <c r="R29" s="68">
        <v>33.084442603497124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1.205463972969849E-2</v>
      </c>
      <c r="M30" s="115">
        <v>311.71608508185113</v>
      </c>
      <c r="N30" s="115">
        <v>10235.349069996288</v>
      </c>
      <c r="O30" s="115">
        <v>69.433310555969982</v>
      </c>
      <c r="P30" s="115">
        <v>39.416805068903322</v>
      </c>
      <c r="Q30" s="111">
        <v>69.433310555969982</v>
      </c>
      <c r="R30" s="68">
        <v>39.416805068903322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0.97042019941615321</v>
      </c>
      <c r="M31" s="115">
        <v>0.90141753454234708</v>
      </c>
      <c r="N31" s="115">
        <v>1.1371412394353277</v>
      </c>
      <c r="O31" s="115">
        <v>0.81140657869538024</v>
      </c>
      <c r="P31" s="115">
        <v>0.93910884724904975</v>
      </c>
      <c r="Q31" s="111">
        <v>0.81140657869538024</v>
      </c>
      <c r="R31" s="68">
        <v>0.93910884724904986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0.5602526115049572</v>
      </c>
      <c r="M32" s="115">
        <v>10.473855621526885</v>
      </c>
      <c r="N32" s="115">
        <v>310.27266895963476</v>
      </c>
      <c r="O32" s="115">
        <v>3.1771170425952082</v>
      </c>
      <c r="P32" s="115">
        <v>2.9183877563843619</v>
      </c>
      <c r="Q32" s="111">
        <v>3.1771170425952087</v>
      </c>
      <c r="R32" s="68">
        <v>2.9183877563843619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0.99309592526651491</v>
      </c>
      <c r="M33" s="115">
        <v>0.88987173426775457</v>
      </c>
      <c r="N33" s="115">
        <v>0.59145105421239119</v>
      </c>
      <c r="O33" s="115">
        <v>0.84238083638203565</v>
      </c>
      <c r="P33" s="115">
        <v>0.99028251105363096</v>
      </c>
      <c r="Q33" s="111">
        <v>0.84238083638203565</v>
      </c>
      <c r="R33" s="68">
        <v>0.99028251105363096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0.92467934704769805</v>
      </c>
      <c r="M34" s="115">
        <v>1.5871317301028693</v>
      </c>
      <c r="N34" s="115">
        <v>75.654832419642673</v>
      </c>
      <c r="O34" s="115">
        <v>4.4150066635465022</v>
      </c>
      <c r="P34" s="115">
        <v>7.2177264776096735</v>
      </c>
      <c r="Q34" s="111">
        <v>4.4150066635465022</v>
      </c>
      <c r="R34" s="68">
        <v>7.2177264776096743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0.83059660496468224</v>
      </c>
      <c r="M35" s="115">
        <v>2.4020530159666817</v>
      </c>
      <c r="N35" s="115">
        <v>161.91200929651674</v>
      </c>
      <c r="O35" s="115">
        <v>8.9149802142422381</v>
      </c>
      <c r="P35" s="115">
        <v>15.089648455991496</v>
      </c>
      <c r="Q35" s="111">
        <v>8.9149802142422381</v>
      </c>
      <c r="R35" s="68">
        <v>15.089648455991496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0.55136237140625144</v>
      </c>
      <c r="M36" s="115">
        <v>4.5658819532743742</v>
      </c>
      <c r="N36" s="115">
        <v>390.37437447881609</v>
      </c>
      <c r="O36" s="115">
        <v>21.930419030228606</v>
      </c>
      <c r="P36" s="115">
        <v>37.934601374027686</v>
      </c>
      <c r="Q36" s="111">
        <v>21.930419030228606</v>
      </c>
      <c r="R36" s="68">
        <v>37.934601374027686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0.59266909942934443</v>
      </c>
      <c r="M37" s="115">
        <v>12.969135015718098</v>
      </c>
      <c r="N37" s="115">
        <v>496.56298823913625</v>
      </c>
      <c r="O37" s="115">
        <v>11.638924270680505</v>
      </c>
      <c r="P37" s="115">
        <v>17.388897622736735</v>
      </c>
      <c r="Q37" s="111">
        <v>11.638924270680507</v>
      </c>
      <c r="R37" s="68">
        <v>17.388897622736735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0.93843118804796077</v>
      </c>
      <c r="M38" s="115">
        <v>1.5039794860635998</v>
      </c>
      <c r="N38" s="115">
        <v>61.463147290597753</v>
      </c>
      <c r="O38" s="115">
        <v>3.606115527504004</v>
      </c>
      <c r="P38" s="115">
        <v>5.7885560055061358</v>
      </c>
      <c r="Q38" s="111">
        <v>3.6061155275040044</v>
      </c>
      <c r="R38" s="68">
        <v>5.7885560055061367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4.9026150989955122E-2</v>
      </c>
      <c r="M39" s="115">
        <v>100.72150673090054</v>
      </c>
      <c r="N39" s="115">
        <v>3250.6926171665677</v>
      </c>
      <c r="O39" s="115">
        <v>35.221913562407366</v>
      </c>
      <c r="P39" s="115">
        <v>35.931254212916983</v>
      </c>
      <c r="Q39" s="111">
        <v>35.221913562407366</v>
      </c>
      <c r="R39" s="68">
        <v>35.931254212916983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9.1442074995207439E-3</v>
      </c>
      <c r="M40" s="115">
        <v>574.58381352346748</v>
      </c>
      <c r="N40" s="115">
        <v>50417.631826632532</v>
      </c>
      <c r="O40" s="115">
        <v>177.95195456343379</v>
      </c>
      <c r="P40" s="115">
        <v>116.69087035600184</v>
      </c>
      <c r="Q40" s="111">
        <v>177.95195456343379</v>
      </c>
      <c r="R40" s="68">
        <v>116.69087035600184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0.90793097133230127</v>
      </c>
      <c r="M41" s="115">
        <v>0.8102321611026998</v>
      </c>
      <c r="N41" s="115">
        <v>6.4237783235026449E-2</v>
      </c>
      <c r="O41" s="115">
        <v>0.75058709982130123</v>
      </c>
      <c r="P41" s="115">
        <v>0.87218666826284752</v>
      </c>
      <c r="Q41" s="111">
        <v>0.75058709982130123</v>
      </c>
      <c r="R41" s="68">
        <v>0.87218666826284752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0.62324618257797093</v>
      </c>
      <c r="M42" s="115">
        <v>7.4180854950501027</v>
      </c>
      <c r="N42" s="115">
        <v>214.01766690258805</v>
      </c>
      <c r="O42" s="115">
        <v>2.5715985594110324</v>
      </c>
      <c r="P42" s="115">
        <v>2.4307976703211058</v>
      </c>
      <c r="Q42" s="111">
        <v>2.5715985594110329</v>
      </c>
      <c r="R42" s="68">
        <v>2.4307976703211063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8.2203964277651559E-2</v>
      </c>
      <c r="M43" s="115">
        <v>16.221228671329165</v>
      </c>
      <c r="N43" s="115">
        <v>1515.9877415561612</v>
      </c>
      <c r="O43" s="115">
        <v>45.619895002750681</v>
      </c>
      <c r="P43" s="115">
        <v>76.674298563516118</v>
      </c>
      <c r="Q43" s="111">
        <v>45.619895002750681</v>
      </c>
      <c r="R43" s="68">
        <v>76.674298563516118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0.77767349759449278</v>
      </c>
      <c r="M44" s="115">
        <v>1.6562550162005105</v>
      </c>
      <c r="N44" s="115">
        <v>29.670113108890835</v>
      </c>
      <c r="O44" s="115">
        <v>0.91379234816666921</v>
      </c>
      <c r="P44" s="115">
        <v>0.97308607584912588</v>
      </c>
      <c r="Q44" s="111">
        <v>0.91379234816666921</v>
      </c>
      <c r="R44" s="68">
        <v>0.97308607584912599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0.5967485996341072</v>
      </c>
      <c r="M45" s="115">
        <v>8.4451773540237678</v>
      </c>
      <c r="N45" s="115">
        <v>247.07723849222253</v>
      </c>
      <c r="O45" s="115">
        <v>2.8774502517367675</v>
      </c>
      <c r="P45" s="115">
        <v>2.7088839781477505</v>
      </c>
      <c r="Q45" s="111">
        <v>2.8774502517367679</v>
      </c>
      <c r="R45" s="68">
        <v>2.7088839781477509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0.61210929554247073</v>
      </c>
      <c r="M46" s="115">
        <v>7.772172412369371</v>
      </c>
      <c r="N46" s="115">
        <v>225.4694668203438</v>
      </c>
      <c r="O46" s="115">
        <v>2.675877098437379</v>
      </c>
      <c r="P46" s="115">
        <v>2.5251406147316606</v>
      </c>
      <c r="Q46" s="111">
        <v>2.675877098437379</v>
      </c>
      <c r="R46" s="68">
        <v>2.5251406147316606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3.4911797843522677E-3</v>
      </c>
      <c r="M47" s="115">
        <v>579.4338396859963</v>
      </c>
      <c r="N47" s="115">
        <v>19261.579441134018</v>
      </c>
      <c r="O47" s="115">
        <v>116.16798787539011</v>
      </c>
      <c r="P47" s="115">
        <v>49.760739143387696</v>
      </c>
      <c r="Q47" s="111">
        <v>116.16798787539011</v>
      </c>
      <c r="R47" s="68">
        <v>49.760739143387696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0.90574317474543187</v>
      </c>
      <c r="M48" s="115">
        <v>1.1415662169564478</v>
      </c>
      <c r="N48" s="115">
        <v>10.252656752567363</v>
      </c>
      <c r="O48" s="115">
        <v>0.83954995850030356</v>
      </c>
      <c r="P48" s="115">
        <v>0.94304064473216342</v>
      </c>
      <c r="Q48" s="111">
        <v>0.83954995850030356</v>
      </c>
      <c r="R48" s="68">
        <v>0.94304064473216342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0.87007735954129262</v>
      </c>
      <c r="M49" s="115">
        <v>1.3504031131695076</v>
      </c>
      <c r="N49" s="115">
        <v>17.664463318902488</v>
      </c>
      <c r="O49" s="115">
        <v>0.87806681275723442</v>
      </c>
      <c r="P49" s="115">
        <v>0.96575025098374756</v>
      </c>
      <c r="Q49" s="111">
        <v>0.87806681275723453</v>
      </c>
      <c r="R49" s="68">
        <v>0.96575025098374756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0.19135307813919392</v>
      </c>
      <c r="M50" s="115">
        <v>46.501885534896104</v>
      </c>
      <c r="N50" s="115">
        <v>1474.6984983109069</v>
      </c>
      <c r="O50" s="115">
        <v>15.422296387999069</v>
      </c>
      <c r="P50" s="115">
        <v>15.031511314792136</v>
      </c>
      <c r="Q50" s="111">
        <v>15.42229638799907</v>
      </c>
      <c r="R50" s="68">
        <v>15.031511314792136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0.8993044036258081</v>
      </c>
      <c r="M51" s="115">
        <v>0.86146800607808638</v>
      </c>
      <c r="N51" s="115">
        <v>1.8473075673419581</v>
      </c>
      <c r="O51" s="115">
        <v>0.75887101665803391</v>
      </c>
      <c r="P51" s="115">
        <v>0.87568054848521404</v>
      </c>
      <c r="Q51" s="111">
        <v>0.75887101665803391</v>
      </c>
      <c r="R51" s="68">
        <v>0.87568054848521404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0.75027696955984369</v>
      </c>
      <c r="M52" s="115">
        <v>2.2923038016348851</v>
      </c>
      <c r="N52" s="115">
        <v>50.153796875956253</v>
      </c>
      <c r="O52" s="115">
        <v>1.0843704370301439</v>
      </c>
      <c r="P52" s="115">
        <v>1.1146830365680576</v>
      </c>
      <c r="Q52" s="111">
        <v>1.0843704370301439</v>
      </c>
      <c r="R52" s="68">
        <v>1.1146830365680578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0.51068317417369258</v>
      </c>
      <c r="M53" s="115">
        <v>12.561618752721127</v>
      </c>
      <c r="N53" s="115">
        <v>379.42493378605639</v>
      </c>
      <c r="O53" s="115">
        <v>4.1326735163957267</v>
      </c>
      <c r="P53" s="115">
        <v>3.8706275841848776</v>
      </c>
      <c r="Q53" s="111">
        <v>4.1326735163957267</v>
      </c>
      <c r="R53" s="68">
        <v>3.8706275841848776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4.6934148485631207E-3</v>
      </c>
      <c r="M54" s="115">
        <v>512.67850946581279</v>
      </c>
      <c r="N54" s="115">
        <v>16995.54511401221</v>
      </c>
      <c r="O54" s="115">
        <v>104.32555534443019</v>
      </c>
      <c r="P54" s="115">
        <v>46.84784703775297</v>
      </c>
      <c r="Q54" s="111">
        <v>104.32555534443019</v>
      </c>
      <c r="R54" s="68">
        <v>46.847847037752977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0.23467242646960051</v>
      </c>
      <c r="M55" s="115">
        <v>23.166552551107777</v>
      </c>
      <c r="N55" s="115">
        <v>726.29891476962985</v>
      </c>
      <c r="O55" s="115">
        <v>7.5414186877496094</v>
      </c>
      <c r="P55" s="115">
        <v>7.193830477921547</v>
      </c>
      <c r="Q55" s="111">
        <v>7.5414186877496094</v>
      </c>
      <c r="R55" s="68">
        <v>7.193830477921547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2.2188597671315029E-2</v>
      </c>
      <c r="M56" s="115">
        <v>10.807402927150459</v>
      </c>
      <c r="N56" s="115">
        <v>344.97132227107608</v>
      </c>
      <c r="O56" s="115">
        <v>3.6552202446934938</v>
      </c>
      <c r="P56" s="115">
        <v>3.627562754511835</v>
      </c>
      <c r="Q56" s="111">
        <v>3.6552202446934938</v>
      </c>
      <c r="R56" s="68">
        <v>3.627562754511835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3.329156869349132E-2</v>
      </c>
      <c r="M57" s="115">
        <v>4.4350913120230455</v>
      </c>
      <c r="N57" s="115">
        <v>139.65544396418986</v>
      </c>
      <c r="O57" s="115">
        <v>1.4509715154283722</v>
      </c>
      <c r="P57" s="115">
        <v>1.393492612950026</v>
      </c>
      <c r="Q57" s="111">
        <v>1.4509715154283722</v>
      </c>
      <c r="R57" s="68">
        <v>1.3934926129500262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5.9191820169128849E-2</v>
      </c>
      <c r="M58" s="115">
        <v>0.10211834567233313</v>
      </c>
      <c r="N58" s="115">
        <v>1.5180235960727457</v>
      </c>
      <c r="O58" s="115">
        <v>6.265853749007412E-2</v>
      </c>
      <c r="P58" s="115">
        <v>6.8173947793771519E-2</v>
      </c>
      <c r="Q58" s="111">
        <v>6.265853749007412E-2</v>
      </c>
      <c r="R58" s="68">
        <v>6.8173947793771519E-2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1.2601000629766981E-2</v>
      </c>
      <c r="M59" s="115">
        <v>1.56641865442706</v>
      </c>
      <c r="N59" s="115">
        <v>49.277737034938248</v>
      </c>
      <c r="O59" s="115">
        <v>0.51180878492835902</v>
      </c>
      <c r="P59" s="115">
        <v>0.49074431430137017</v>
      </c>
      <c r="Q59" s="111">
        <v>0.51180878492835902</v>
      </c>
      <c r="R59" s="68">
        <v>0.49074431430137017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4.4907593633519271E-4</v>
      </c>
      <c r="M60" s="115">
        <v>2.6143967867139947E-2</v>
      </c>
      <c r="N60" s="115">
        <v>0.81154946624035429</v>
      </c>
      <c r="O60" s="115">
        <v>8.4748191510668498E-3</v>
      </c>
      <c r="P60" s="115">
        <v>8.0018021655585032E-3</v>
      </c>
      <c r="Q60" s="111">
        <v>8.4748191510668515E-3</v>
      </c>
      <c r="R60" s="68">
        <v>8.001802165558505E-3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0.43144630619093133</v>
      </c>
      <c r="M61" s="115">
        <v>17.838850208613536</v>
      </c>
      <c r="N61" s="115">
        <v>548.9602821184418</v>
      </c>
      <c r="O61" s="115">
        <v>5.792783789947797</v>
      </c>
      <c r="P61" s="115">
        <v>5.4428195882081942</v>
      </c>
      <c r="Q61" s="111">
        <v>5.792783789947797</v>
      </c>
      <c r="R61" s="68">
        <v>5.4428195882081942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1.8029058444245811E-2</v>
      </c>
      <c r="M62" s="115">
        <v>237.63132736744234</v>
      </c>
      <c r="N62" s="115">
        <v>7767.6901920893697</v>
      </c>
      <c r="O62" s="115">
        <v>56.992647908878489</v>
      </c>
      <c r="P62" s="115">
        <v>37.427636029318592</v>
      </c>
      <c r="Q62" s="111">
        <v>56.992647908878489</v>
      </c>
      <c r="R62" s="68">
        <v>37.427636029318599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2.0411841491527437E-3</v>
      </c>
      <c r="M63" s="115">
        <v>696.31239800246271</v>
      </c>
      <c r="N63" s="115">
        <v>23256.839944218325</v>
      </c>
      <c r="O63" s="115">
        <v>137.07849375505481</v>
      </c>
      <c r="P63" s="115">
        <v>55.163757062161025</v>
      </c>
      <c r="Q63" s="111">
        <v>137.07849375505481</v>
      </c>
      <c r="R63" s="68">
        <v>55.163757062161032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7.8986536036076212E-4</v>
      </c>
      <c r="M64" s="115">
        <v>881.53976441195357</v>
      </c>
      <c r="N64" s="115">
        <v>29673.116780812266</v>
      </c>
      <c r="O64" s="115">
        <v>170.65540465777303</v>
      </c>
      <c r="P64" s="115">
        <v>64.471169796808979</v>
      </c>
      <c r="Q64" s="111">
        <v>170.65540465777303</v>
      </c>
      <c r="R64" s="68">
        <v>64.471169796808979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2.4582130634392301E-4</v>
      </c>
      <c r="M65" s="115">
        <v>1056.200631518823</v>
      </c>
      <c r="N65" s="115">
        <v>35866.46630883919</v>
      </c>
      <c r="O65" s="115">
        <v>202.75092406992772</v>
      </c>
      <c r="P65" s="115">
        <v>73.950910304388884</v>
      </c>
      <c r="Q65" s="111">
        <v>202.75092406992775</v>
      </c>
      <c r="R65" s="68">
        <v>73.950910304388898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4.8245941382300741E-4</v>
      </c>
      <c r="M66" s="115">
        <v>962.70105958391923</v>
      </c>
      <c r="N66" s="115">
        <v>32528.334618830646</v>
      </c>
      <c r="O66" s="115">
        <v>185.51713267869079</v>
      </c>
      <c r="P66" s="115">
        <v>68.794461695660004</v>
      </c>
      <c r="Q66" s="111">
        <v>185.51713267869079</v>
      </c>
      <c r="R66" s="68">
        <v>68.794461695660004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0.83421808968549205</v>
      </c>
      <c r="M67" s="115">
        <v>1.9879471459727447</v>
      </c>
      <c r="N67" s="115">
        <v>38.369283646116472</v>
      </c>
      <c r="O67" s="115">
        <v>1.0415537284615772</v>
      </c>
      <c r="P67" s="115">
        <v>1.0966920089187617</v>
      </c>
      <c r="Q67" s="111">
        <v>1.0415537284615775</v>
      </c>
      <c r="R67" s="68">
        <v>1.0966920089187617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0.77870308383343301</v>
      </c>
      <c r="M68" s="115">
        <v>2.8201720164604414</v>
      </c>
      <c r="N68" s="115">
        <v>65.758608570489059</v>
      </c>
      <c r="O68" s="115">
        <v>1.2556298918258297</v>
      </c>
      <c r="P68" s="115">
        <v>1.2710875527955594</v>
      </c>
      <c r="Q68" s="111">
        <v>1.2556298918258297</v>
      </c>
      <c r="R68" s="68">
        <v>1.2710875527955594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6.9293742992493895E-3</v>
      </c>
      <c r="M69" s="115">
        <v>423.37674152037886</v>
      </c>
      <c r="N69" s="115">
        <v>13981.351645175042</v>
      </c>
      <c r="O69" s="115">
        <v>88.586994145788765</v>
      </c>
      <c r="P69" s="115">
        <v>43.128759489680014</v>
      </c>
      <c r="Q69" s="111">
        <v>88.586994145788765</v>
      </c>
      <c r="R69" s="68">
        <v>43.128759489680014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9.4112981542442076E-2</v>
      </c>
      <c r="M70" s="115">
        <v>74.621853316575411</v>
      </c>
      <c r="N70" s="115">
        <v>2391.4080468186567</v>
      </c>
      <c r="O70" s="115">
        <v>25.625827011496902</v>
      </c>
      <c r="P70" s="115">
        <v>25.762365629380813</v>
      </c>
      <c r="Q70" s="111">
        <v>25.625827011496902</v>
      </c>
      <c r="R70" s="68">
        <v>25.762365629380813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0.7752246896089634</v>
      </c>
      <c r="M71" s="115">
        <v>2.6196319050678851</v>
      </c>
      <c r="N71" s="115">
        <v>59.622153845501252</v>
      </c>
      <c r="O71" s="115">
        <v>1.1944408549117791</v>
      </c>
      <c r="P71" s="115">
        <v>1.216567544516421</v>
      </c>
      <c r="Q71" s="111">
        <v>1.1944408549117793</v>
      </c>
      <c r="R71" s="68">
        <v>1.216567544516421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0.10110627017127072</v>
      </c>
      <c r="M72" s="115">
        <v>68.145407735775521</v>
      </c>
      <c r="N72" s="115">
        <v>2181.0476681936411</v>
      </c>
      <c r="O72" s="115">
        <v>23.280667528519547</v>
      </c>
      <c r="P72" s="115">
        <v>23.303969573985967</v>
      </c>
      <c r="Q72" s="111">
        <v>23.280667528519551</v>
      </c>
      <c r="R72" s="68">
        <v>23.303969573985967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0.40568769222044526</v>
      </c>
      <c r="M73" s="115">
        <v>18.795867024241712</v>
      </c>
      <c r="N73" s="115">
        <v>580.2286469370307</v>
      </c>
      <c r="O73" s="115">
        <v>6.0970040448583678</v>
      </c>
      <c r="P73" s="115">
        <v>5.7368430629917695</v>
      </c>
      <c r="Q73" s="111">
        <v>6.0970040448583687</v>
      </c>
      <c r="R73" s="68">
        <v>5.7368430629917704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9.6455614293171593E-2</v>
      </c>
      <c r="M74" s="115">
        <v>73.010134404943031</v>
      </c>
      <c r="N74" s="115">
        <v>2338.9045069105314</v>
      </c>
      <c r="O74" s="115">
        <v>25.034965295508293</v>
      </c>
      <c r="P74" s="115">
        <v>25.137339604847973</v>
      </c>
      <c r="Q74" s="111">
        <v>25.034965295508293</v>
      </c>
      <c r="R74" s="68">
        <v>25.137339604847973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4.178892836996928E-2</v>
      </c>
      <c r="M75" s="115">
        <v>53.461888232992493</v>
      </c>
      <c r="N75" s="115">
        <v>5252.8695882918037</v>
      </c>
      <c r="O75" s="115">
        <v>57.148382664385416</v>
      </c>
      <c r="P75" s="115">
        <v>83.384283774514273</v>
      </c>
      <c r="Q75" s="111">
        <v>57.148382664385416</v>
      </c>
      <c r="R75" s="68">
        <v>83.384283774514273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4.1788928584132301E-2</v>
      </c>
      <c r="M76" s="115">
        <v>53.461888506977957</v>
      </c>
      <c r="N76" s="115">
        <v>5252.8696152121011</v>
      </c>
      <c r="O76" s="115">
        <v>57.148382957263699</v>
      </c>
      <c r="P76" s="115">
        <v>83.38428420184826</v>
      </c>
      <c r="Q76" s="111">
        <v>57.148382957263706</v>
      </c>
      <c r="R76" s="68">
        <v>83.38428420184826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0.22387116224422671</v>
      </c>
      <c r="M77" s="115">
        <v>37.573457598312295</v>
      </c>
      <c r="N77" s="115">
        <v>1186.6296674666387</v>
      </c>
      <c r="O77" s="115">
        <v>12.351007031405105</v>
      </c>
      <c r="P77" s="115">
        <v>11.927412769968777</v>
      </c>
      <c r="Q77" s="111">
        <v>12.351007031405105</v>
      </c>
      <c r="R77" s="68">
        <v>11.927412769968777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0.61126401932373542</v>
      </c>
      <c r="M78" s="115">
        <v>6.6780262842104596</v>
      </c>
      <c r="N78" s="115">
        <v>191.15901137754204</v>
      </c>
      <c r="O78" s="115">
        <v>2.3381657337562518</v>
      </c>
      <c r="P78" s="115">
        <v>2.21571196504184</v>
      </c>
      <c r="Q78" s="111">
        <v>2.3381657337562518</v>
      </c>
      <c r="R78" s="68">
        <v>2.21571196504184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0.49972181851880854</v>
      </c>
      <c r="M79" s="115">
        <v>12.855554350318945</v>
      </c>
      <c r="N79" s="115">
        <v>389.06168317411448</v>
      </c>
      <c r="O79" s="115">
        <v>4.2219624467594281</v>
      </c>
      <c r="P79" s="115">
        <v>3.95432871270443</v>
      </c>
      <c r="Q79" s="111">
        <v>4.221962446759429</v>
      </c>
      <c r="R79" s="68">
        <v>3.9543287127044304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2.847050986816526E-2</v>
      </c>
      <c r="M80" s="115">
        <v>104.31511204709535</v>
      </c>
      <c r="N80" s="115">
        <v>10254.794284004613</v>
      </c>
      <c r="O80" s="115">
        <v>70.638798952990555</v>
      </c>
      <c r="P80" s="115">
        <v>88.633372576315736</v>
      </c>
      <c r="Q80" s="111">
        <v>70.638798952990555</v>
      </c>
      <c r="R80" s="68">
        <v>88.633372576315736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0.96488957832485811</v>
      </c>
      <c r="M81" s="115">
        <v>0.91445620304679454</v>
      </c>
      <c r="N81" s="115">
        <v>1.6827186317231657</v>
      </c>
      <c r="O81" s="115">
        <v>0.81159345544220818</v>
      </c>
      <c r="P81" s="115">
        <v>0.93749133085987513</v>
      </c>
      <c r="Q81" s="111">
        <v>0.81159345544220818</v>
      </c>
      <c r="R81" s="68">
        <v>0.93749133085987513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0.7639665996730669</v>
      </c>
      <c r="M82" s="115">
        <v>3.312647399556754</v>
      </c>
      <c r="N82" s="115">
        <v>81.501261708226664</v>
      </c>
      <c r="O82" s="115">
        <v>1.3940656458442553</v>
      </c>
      <c r="P82" s="115">
        <v>1.3902669143479816</v>
      </c>
      <c r="Q82" s="111">
        <v>1.3940656458442553</v>
      </c>
      <c r="R82" s="68">
        <v>1.3902669143479816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0.26737147257836591</v>
      </c>
      <c r="M83" s="115">
        <v>34.80646626435562</v>
      </c>
      <c r="N83" s="115">
        <v>1095.6690001593663</v>
      </c>
      <c r="O83" s="115">
        <v>11.382228357274434</v>
      </c>
      <c r="P83" s="115">
        <v>10.925444905461934</v>
      </c>
      <c r="Q83" s="111">
        <v>11.382228357274434</v>
      </c>
      <c r="R83" s="68">
        <v>10.925444905461935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0.93205746170886938</v>
      </c>
      <c r="M84" s="115">
        <v>1.0541261253186103</v>
      </c>
      <c r="N84" s="115">
        <v>6.8468221341075504</v>
      </c>
      <c r="O84" s="115">
        <v>0.83043075580817427</v>
      </c>
      <c r="P84" s="115">
        <v>0.94287599899485297</v>
      </c>
      <c r="Q84" s="111">
        <v>0.83043075580817438</v>
      </c>
      <c r="R84" s="68">
        <v>0.94287599899485297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0.98152955117762708</v>
      </c>
      <c r="M85" s="115">
        <v>0.88510012089489554</v>
      </c>
      <c r="N85" s="115">
        <v>0.34480954269011566</v>
      </c>
      <c r="O85" s="115">
        <v>0.81375742122943973</v>
      </c>
      <c r="P85" s="115">
        <v>0.94458692762636165</v>
      </c>
      <c r="Q85" s="111">
        <v>0.81375742122943973</v>
      </c>
      <c r="R85" s="68">
        <v>0.94458692762636165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0.93354206919352856</v>
      </c>
      <c r="M86" s="115">
        <v>1.0455913048671865</v>
      </c>
      <c r="N86" s="115">
        <v>6.5445060107033584</v>
      </c>
      <c r="O86" s="115">
        <v>0.82893580539805001</v>
      </c>
      <c r="P86" s="115">
        <v>0.94207886078304603</v>
      </c>
      <c r="Q86" s="111">
        <v>0.82893580539805001</v>
      </c>
      <c r="R86" s="68">
        <v>0.94207886078304615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2.8471332094217902E-3</v>
      </c>
      <c r="M87" s="115">
        <v>624.53612893087654</v>
      </c>
      <c r="N87" s="115">
        <v>20799.03327337408</v>
      </c>
      <c r="O87" s="115">
        <v>124.20957050811708</v>
      </c>
      <c r="P87" s="115">
        <v>51.798242298958669</v>
      </c>
      <c r="Q87" s="111">
        <v>124.2095705081171</v>
      </c>
      <c r="R87" s="68">
        <v>51.798242298958669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0.67859962532384366</v>
      </c>
      <c r="M88" s="115">
        <v>5.5226927493472386</v>
      </c>
      <c r="N88" s="115">
        <v>152.96955923277471</v>
      </c>
      <c r="O88" s="115">
        <v>2.0168236588182888</v>
      </c>
      <c r="P88" s="115">
        <v>1.9331279593309514</v>
      </c>
      <c r="Q88" s="111">
        <v>2.0168236588182888</v>
      </c>
      <c r="R88" s="68">
        <v>1.9331279593309514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0.74940106005295193</v>
      </c>
      <c r="M89" s="115">
        <v>3.6358250095347788</v>
      </c>
      <c r="N89" s="115">
        <v>91.984594099256299</v>
      </c>
      <c r="O89" s="115">
        <v>1.482892729725926</v>
      </c>
      <c r="P89" s="115">
        <v>1.466220137314981</v>
      </c>
      <c r="Q89" s="111">
        <v>1.482892729725926</v>
      </c>
      <c r="R89" s="68">
        <v>1.466220137314981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0.87556806522202535</v>
      </c>
      <c r="M90" s="115">
        <v>1.5277290227719551</v>
      </c>
      <c r="N90" s="115">
        <v>22.985504456340664</v>
      </c>
      <c r="O90" s="115">
        <v>0.93176810303763902</v>
      </c>
      <c r="P90" s="115">
        <v>1.0126112427738514</v>
      </c>
      <c r="Q90" s="111">
        <v>0.93176810303763902</v>
      </c>
      <c r="R90" s="68">
        <v>1.0126112427738514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1.5736729397537581E-2</v>
      </c>
      <c r="M91" s="115">
        <v>261.67709074904599</v>
      </c>
      <c r="N91" s="115">
        <v>8567.0189540175179</v>
      </c>
      <c r="O91" s="115">
        <v>60.999019087862727</v>
      </c>
      <c r="P91" s="115">
        <v>38.017195624492473</v>
      </c>
      <c r="Q91" s="111">
        <v>60.999019087862727</v>
      </c>
      <c r="R91" s="68">
        <v>38.017195624492473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0.32649441882181435</v>
      </c>
      <c r="M92" s="115">
        <v>27.436278043138039</v>
      </c>
      <c r="N92" s="115">
        <v>857.85724639548846</v>
      </c>
      <c r="O92" s="115">
        <v>8.9135510496154158</v>
      </c>
      <c r="P92" s="115">
        <v>8.4739291675733774</v>
      </c>
      <c r="Q92" s="111">
        <v>8.9135510496154158</v>
      </c>
      <c r="R92" s="68">
        <v>8.4739291675733792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0.12629366910432199</v>
      </c>
      <c r="M93" s="115">
        <v>64.434860354281795</v>
      </c>
      <c r="N93" s="115">
        <v>2057.5662542338205</v>
      </c>
      <c r="O93" s="115">
        <v>21.823496072162417</v>
      </c>
      <c r="P93" s="115">
        <v>21.684898942750486</v>
      </c>
      <c r="Q93" s="111">
        <v>21.823496072162417</v>
      </c>
      <c r="R93" s="68">
        <v>21.68489894275049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0.98385121349001847</v>
      </c>
      <c r="M94" s="115">
        <v>1.0074207061907998</v>
      </c>
      <c r="N94" s="115">
        <v>13.073344544325524</v>
      </c>
      <c r="O94" s="115">
        <v>1.3729025697365516</v>
      </c>
      <c r="P94" s="115">
        <v>1.9098070264686173</v>
      </c>
      <c r="Q94" s="111">
        <v>1.3729025697365516</v>
      </c>
      <c r="R94" s="68">
        <v>1.9098070264686173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3.6875205693038177E-2</v>
      </c>
      <c r="M95" s="115">
        <v>132.30113449836361</v>
      </c>
      <c r="N95" s="115">
        <v>4286.6066190269166</v>
      </c>
      <c r="O95" s="115">
        <v>40.028278704657573</v>
      </c>
      <c r="P95" s="115">
        <v>35.891231320971571</v>
      </c>
      <c r="Q95" s="111">
        <v>40.028278704657581</v>
      </c>
      <c r="R95" s="68">
        <v>35.891231320971571</v>
      </c>
    </row>
    <row r="96" spans="1:18">
      <c r="A96" s="102" t="s">
        <v>470</v>
      </c>
      <c r="B96" s="168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0.96378802330010338</v>
      </c>
      <c r="M96" s="115">
        <v>0.91742870712128677</v>
      </c>
      <c r="N96" s="115">
        <v>1.8029621684151662</v>
      </c>
      <c r="O96" s="115">
        <v>0.81173577159646471</v>
      </c>
      <c r="P96" s="115">
        <v>0.93725639706431707</v>
      </c>
      <c r="Q96" s="111">
        <v>0.81173577159646471</v>
      </c>
      <c r="R96" s="68">
        <v>0.93725639706431718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0.93130215955464424</v>
      </c>
      <c r="M97" s="115">
        <v>1.0585469124437121</v>
      </c>
      <c r="N97" s="115">
        <v>7.0030703360362052</v>
      </c>
      <c r="O97" s="115">
        <v>0.83121443011314256</v>
      </c>
      <c r="P97" s="115">
        <v>0.94330171168152055</v>
      </c>
      <c r="Q97" s="111">
        <v>0.83121443011314256</v>
      </c>
      <c r="R97" s="68">
        <v>0.94330171168152055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7.5138479670837394E-2</v>
      </c>
      <c r="M98" s="115">
        <v>84.39494643987338</v>
      </c>
      <c r="N98" s="115">
        <v>2711.8178691550788</v>
      </c>
      <c r="O98" s="115">
        <v>29.314812981866261</v>
      </c>
      <c r="P98" s="115">
        <v>29.745023334160916</v>
      </c>
      <c r="Q98" s="111">
        <v>29.314812981866261</v>
      </c>
      <c r="R98" s="68">
        <v>29.745023334160919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0.98519533285686034</v>
      </c>
      <c r="M99" s="115">
        <v>0.88279731247162141</v>
      </c>
      <c r="N99" s="115">
        <v>0.17768529299143687</v>
      </c>
      <c r="O99" s="115">
        <v>0.8153679931835921</v>
      </c>
      <c r="P99" s="115">
        <v>0.94706199195583263</v>
      </c>
      <c r="Q99" s="111">
        <v>0.8153679931835921</v>
      </c>
      <c r="R99" s="68">
        <v>0.94706199195583274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0.53634074464693915</v>
      </c>
      <c r="M100" s="115">
        <v>11.283989257525771</v>
      </c>
      <c r="N100" s="115">
        <v>338.30695940073383</v>
      </c>
      <c r="O100" s="115">
        <v>3.7393433778302199</v>
      </c>
      <c r="P100" s="115">
        <v>3.5036184348037813</v>
      </c>
      <c r="Q100" s="111">
        <v>3.7393433778302199</v>
      </c>
      <c r="R100" s="68">
        <v>3.5036184348037813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0.97963158003122919</v>
      </c>
      <c r="M101" s="115">
        <v>0.88691572991450629</v>
      </c>
      <c r="N101" s="115">
        <v>0.45037094075497991</v>
      </c>
      <c r="O101" s="115">
        <v>0.81309074906451662</v>
      </c>
      <c r="P101" s="115">
        <v>0.94343751113651397</v>
      </c>
      <c r="Q101" s="111">
        <v>0.81309074906451673</v>
      </c>
      <c r="R101" s="68">
        <v>0.94343751113651397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0.98994500370841765</v>
      </c>
      <c r="M102" s="115">
        <v>0.88234648827681728</v>
      </c>
      <c r="N102" s="115">
        <v>3.8123373087464926E-2</v>
      </c>
      <c r="O102" s="115">
        <v>0.81812301286203615</v>
      </c>
      <c r="P102" s="115">
        <v>0.9507855156577385</v>
      </c>
      <c r="Q102" s="111">
        <v>0.81812301286203615</v>
      </c>
      <c r="R102" s="68">
        <v>0.9507855156577385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0.98545798932436079</v>
      </c>
      <c r="M103" s="115">
        <v>0.88269552305326326</v>
      </c>
      <c r="N103" s="115">
        <v>0.16763629377422753</v>
      </c>
      <c r="O103" s="115">
        <v>0.81550020699802916</v>
      </c>
      <c r="P103" s="115">
        <v>0.94725247305334837</v>
      </c>
      <c r="Q103" s="111">
        <v>0.81550020699802928</v>
      </c>
      <c r="R103" s="68">
        <v>0.94725247305334837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0.94861778391500384</v>
      </c>
      <c r="M104" s="115">
        <v>0.97066989610724363</v>
      </c>
      <c r="N104" s="115">
        <v>3.8391613881599951</v>
      </c>
      <c r="O104" s="115">
        <v>0.81718397491841333</v>
      </c>
      <c r="P104" s="115">
        <v>0.93695682245558409</v>
      </c>
      <c r="Q104" s="111">
        <v>0.81718397491841344</v>
      </c>
      <c r="R104" s="68">
        <v>0.9369568224555842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0.98924432593198119</v>
      </c>
      <c r="M105" s="115">
        <v>0.88221953172959366</v>
      </c>
      <c r="N105" s="115">
        <v>5.2859450513766525E-2</v>
      </c>
      <c r="O105" s="115">
        <v>0.81766634446710418</v>
      </c>
      <c r="P105" s="115">
        <v>0.95019817741949864</v>
      </c>
      <c r="Q105" s="111">
        <v>0.81766634446710418</v>
      </c>
      <c r="R105" s="68">
        <v>0.95019817741949875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0.84508462670726003</v>
      </c>
      <c r="M106" s="115">
        <v>1.9018640785121206</v>
      </c>
      <c r="N106" s="115">
        <v>35.400774062673555</v>
      </c>
      <c r="O106" s="115">
        <v>1.0225778001750307</v>
      </c>
      <c r="P106" s="115">
        <v>1.0828901565298268</v>
      </c>
      <c r="Q106" s="111">
        <v>1.0225778001750307</v>
      </c>
      <c r="R106" s="68">
        <v>1.0828901565298268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6.062383092183838E-2</v>
      </c>
      <c r="M107" s="115">
        <v>92.088518664158173</v>
      </c>
      <c r="N107" s="115">
        <v>2965.6263350696318</v>
      </c>
      <c r="O107" s="115">
        <v>32.314524397540055</v>
      </c>
      <c r="P107" s="115">
        <v>33.052604181103035</v>
      </c>
      <c r="Q107" s="111">
        <v>32.314524397540055</v>
      </c>
      <c r="R107" s="68">
        <v>33.052604181103042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0.5839556894655642</v>
      </c>
      <c r="M108" s="115">
        <v>9.018432201225119</v>
      </c>
      <c r="N108" s="115">
        <v>265.49012149599332</v>
      </c>
      <c r="O108" s="115">
        <v>3.0500047156491323</v>
      </c>
      <c r="P108" s="115">
        <v>2.8668535263249346</v>
      </c>
      <c r="Q108" s="111">
        <v>3.0500047156491328</v>
      </c>
      <c r="R108" s="68">
        <v>2.8668535263249346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8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2024-10-28T23:25:43Z</dcterms:modified>
</cp:coreProperties>
</file>