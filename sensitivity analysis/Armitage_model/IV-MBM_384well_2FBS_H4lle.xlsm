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A9AAE9A6-88DE-4494-B499-89238AD300D4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D3" i="23" l="1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<sst xmlns="http://schemas.openxmlformats.org/spreadsheetml/2006/main" count="2915" uniqueCount="495">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</sst>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85" zoomScaleNormal="85" workbookViewId="0">
      <pane ySplit="1" topLeftCell="A36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3.3250000000000002</v>
      </c>
      <c r="K5" s="136">
        <v>3.5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1.33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0.66500000000000004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0.33250000000000002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7.0000000000000007E-2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5.6000000000000001E-2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1.9599999999999999E-2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1.085E-2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7.0000000000000001E-3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8.0499999999999999E-3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4.1999999999999997E-3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7.0000000000000007E-2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1.8E-3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4.1999999999999997E-3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5.5E-2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1.9599999999999999E-2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1.9599999999999999E-2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4.8999999999999998E-4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2.9399999999999998E-6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1.4248018268915721E-5</v>
      </c>
      <c r="J2" s="67" t="s">
        <v>231</v>
      </c>
      <c r="K2" s="68">
        <v>1.1019131719661945E-3</v>
      </c>
      <c r="L2" s="67" t="s">
        <v>231</v>
      </c>
      <c r="M2" s="68">
        <v>5.5141077687643501E-2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5.4042330949353647E-3</v>
      </c>
      <c r="J3" s="67" t="s">
        <v>231</v>
      </c>
      <c r="K3" s="68">
        <v>0.11806076227089038</v>
      </c>
      <c r="L3" s="67" t="s">
        <v>231</v>
      </c>
      <c r="M3" s="68">
        <v>19.347662155450948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2.4261113824800202E-3</v>
      </c>
      <c r="J4" s="67" t="s">
        <v>231</v>
      </c>
      <c r="K4" s="68">
        <v>3.0887280718250761E-3</v>
      </c>
      <c r="L4" s="67" t="s">
        <v>231</v>
      </c>
      <c r="M4" s="68">
        <v>0.41998647849552473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7.2315179328278781E-3</v>
      </c>
      <c r="J5" s="67" t="s">
        <v>231</v>
      </c>
      <c r="K5" s="68">
        <v>3.0077759305901675E-2</v>
      </c>
      <c r="L5" s="67" t="s">
        <v>231</v>
      </c>
      <c r="M5" s="68">
        <v>4.8732996351774558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1.645963909831331E-2</v>
      </c>
      <c r="J6" s="67" t="s">
        <v>232</v>
      </c>
      <c r="K6" s="68">
        <v>0.15395836499547833</v>
      </c>
      <c r="L6" s="67" t="s">
        <v>231</v>
      </c>
      <c r="M6" s="68">
        <v>25.299851847990318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2.2131282963049536E-3</v>
      </c>
      <c r="J7" s="67" t="s">
        <v>231</v>
      </c>
      <c r="K7" s="68">
        <v>0.12520482433585201</v>
      </c>
      <c r="L7" s="67" t="s">
        <v>231</v>
      </c>
      <c r="M7" s="68">
        <v>20.526710938110018</v>
      </c>
      <c r="N7" s="67" t="s">
        <v>232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3.9029690987783397E-3</v>
      </c>
      <c r="J8" s="67" t="s">
        <v>231</v>
      </c>
      <c r="K8" s="68">
        <v>9.1119212894663709E-2</v>
      </c>
      <c r="L8" s="67" t="s">
        <v>231</v>
      </c>
      <c r="M8" s="68">
        <v>14.8939837718306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6.1120834541731305E-4</v>
      </c>
      <c r="J9" s="67" t="s">
        <v>231</v>
      </c>
      <c r="K9" s="68">
        <v>1.0744397416336544E-2</v>
      </c>
      <c r="L9" s="67" t="s">
        <v>231</v>
      </c>
      <c r="M9" s="68">
        <v>1.7037146705556696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4.3481913982703971E-3</v>
      </c>
      <c r="J10" s="67" t="s">
        <v>231</v>
      </c>
      <c r="K10" s="68">
        <v>3.2134233041300107E-2</v>
      </c>
      <c r="L10" s="67" t="s">
        <v>231</v>
      </c>
      <c r="M10" s="68">
        <v>5.2093183092136934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1.0688854774214037E-3</v>
      </c>
      <c r="J11" s="67" t="s">
        <v>231</v>
      </c>
      <c r="K11" s="68">
        <v>3.576949294947817E-2</v>
      </c>
      <c r="L11" s="67" t="s">
        <v>231</v>
      </c>
      <c r="M11" s="68">
        <v>5.8036536476542206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1.5299479764822835E-3</v>
      </c>
      <c r="J12" s="67" t="s">
        <v>231</v>
      </c>
      <c r="K12" s="68">
        <v>1.3042100741311667E-2</v>
      </c>
      <c r="L12" s="67" t="s">
        <v>231</v>
      </c>
      <c r="M12" s="68">
        <v>2.082789532635327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2.8906098566617498E-2</v>
      </c>
      <c r="J13" s="67" t="s">
        <v>232</v>
      </c>
      <c r="K13" s="68">
        <v>1.0952844937248509E-2</v>
      </c>
      <c r="L13" s="67" t="s">
        <v>231</v>
      </c>
      <c r="M13" s="68">
        <v>1.738159847352361</v>
      </c>
      <c r="N13" s="67" t="s">
        <v>231</v>
      </c>
      <c r="P13" s="109" t="s">
        <v>192</v>
      </c>
      <c r="Q13" s="103">
        <f>COUNTIF(J2:J50000,"Yes")</f>
        <v>12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1.0271704361582422E-2</v>
      </c>
      <c r="J14" s="67" t="s">
        <v>232</v>
      </c>
      <c r="K14" s="68">
        <v>4.9193893145891905E-2</v>
      </c>
      <c r="L14" s="67" t="s">
        <v>231</v>
      </c>
      <c r="M14" s="68">
        <v>8.001501673859865</v>
      </c>
      <c r="N14" s="67" t="s">
        <v>231</v>
      </c>
      <c r="P14" s="109" t="s">
        <v>229</v>
      </c>
      <c r="Q14" s="103">
        <f>COUNTIF(N2:N50000,"Yes")</f>
        <v>8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5.1289449231673237E-3</v>
      </c>
      <c r="J15" s="67" t="s">
        <v>231</v>
      </c>
      <c r="K15" s="68">
        <v>3.3919091816070897E-2</v>
      </c>
      <c r="L15" s="67" t="s">
        <v>231</v>
      </c>
      <c r="M15" s="68">
        <v>5.5010729799792326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4.0866248792182265E-3</v>
      </c>
      <c r="J16" s="67" t="s">
        <v>231</v>
      </c>
      <c r="K16" s="68">
        <v>8.9565756228712795E-2</v>
      </c>
      <c r="L16" s="67" t="s">
        <v>231</v>
      </c>
      <c r="M16" s="68">
        <v>14.638048433139396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3.0459601151414922E-3</v>
      </c>
      <c r="J17" s="67" t="s">
        <v>231</v>
      </c>
      <c r="K17" s="68">
        <v>3.0758010777830559E-2</v>
      </c>
      <c r="L17" s="67" t="s">
        <v>231</v>
      </c>
      <c r="M17" s="68">
        <v>4.9844269229100018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4.2312708423638814E-3</v>
      </c>
      <c r="J18" s="67" t="s">
        <v>231</v>
      </c>
      <c r="K18" s="68">
        <v>9.7481258197267082E-3</v>
      </c>
      <c r="L18" s="67" t="s">
        <v>231</v>
      </c>
      <c r="M18" s="68">
        <v>1.5395477720790114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3.1179668840488679E-2</v>
      </c>
      <c r="J19" s="67" t="s">
        <v>232</v>
      </c>
      <c r="K19" s="68">
        <v>3.4285422166849537E-2</v>
      </c>
      <c r="L19" s="67" t="s">
        <v>231</v>
      </c>
      <c r="M19" s="68">
        <v>5.5609649221960513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2.9917900991963046E-3</v>
      </c>
      <c r="J20" s="67" t="s">
        <v>231</v>
      </c>
      <c r="K20" s="68">
        <v>1.0957023999152953E-2</v>
      </c>
      <c r="L20" s="67" t="s">
        <v>231</v>
      </c>
      <c r="M20" s="68">
        <v>1.7388230428639855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1.4735492936474602E-2</v>
      </c>
      <c r="J21" s="67" t="s">
        <v>232</v>
      </c>
      <c r="K21" s="68">
        <v>4.4873461561164903E-2</v>
      </c>
      <c r="L21" s="67" t="s">
        <v>231</v>
      </c>
      <c r="M21" s="68">
        <v>7.2937371291651116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9.996279931210136E-5</v>
      </c>
      <c r="J22" s="67" t="s">
        <v>231</v>
      </c>
      <c r="K22" s="68">
        <v>1.7439562691741065E-3</v>
      </c>
      <c r="L22" s="67" t="s">
        <v>231</v>
      </c>
      <c r="M22" s="68">
        <v>0.18086361191256692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3.1302095366306377E-5</v>
      </c>
      <c r="J23" s="67" t="s">
        <v>231</v>
      </c>
      <c r="K23" s="68">
        <v>1.2445036643006159E-3</v>
      </c>
      <c r="L23" s="67" t="s">
        <v>231</v>
      </c>
      <c r="M23" s="68">
        <v>8.4853515595072621E-2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1.5137345605632208E-4</v>
      </c>
      <c r="J24" s="67" t="s">
        <v>231</v>
      </c>
      <c r="K24" s="68">
        <v>5.7328492011835055E-3</v>
      </c>
      <c r="L24" s="67" t="s">
        <v>231</v>
      </c>
      <c r="M24" s="68">
        <v>0.87031315930735187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1.5369769692276463E-3</v>
      </c>
      <c r="J25" s="67" t="s">
        <v>231</v>
      </c>
      <c r="K25" s="68">
        <v>1.538963916676209E-2</v>
      </c>
      <c r="L25" s="67" t="s">
        <v>231</v>
      </c>
      <c r="M25" s="68">
        <v>2.4726251700255615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3.8936239779577752E-3</v>
      </c>
      <c r="J26" s="67" t="s">
        <v>231</v>
      </c>
      <c r="K26" s="68">
        <v>4.2228483093701398E-2</v>
      </c>
      <c r="L26" s="67" t="s">
        <v>231</v>
      </c>
      <c r="M26" s="68">
        <v>6.8605925994575614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2.9510679506582018E-3</v>
      </c>
      <c r="J27" s="67" t="s">
        <v>231</v>
      </c>
      <c r="K27" s="68">
        <v>0.11482760881297889</v>
      </c>
      <c r="L27" s="67" t="s">
        <v>231</v>
      </c>
      <c r="M27" s="68">
        <v>18.811471318010739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1.4184672703269135E-3</v>
      </c>
      <c r="J28" s="67" t="s">
        <v>231</v>
      </c>
      <c r="K28" s="68">
        <v>6.3621475153270185E-2</v>
      </c>
      <c r="L28" s="67" t="s">
        <v>231</v>
      </c>
      <c r="M28" s="68">
        <v>10.368762347652401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7.7428396883306701E-4</v>
      </c>
      <c r="J29" s="67" t="s">
        <v>231</v>
      </c>
      <c r="K29" s="68">
        <v>4.2231253087587017E-2</v>
      </c>
      <c r="L29" s="67" t="s">
        <v>231</v>
      </c>
      <c r="M29" s="68">
        <v>6.8674448429146899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1.4184672703269135E-3</v>
      </c>
      <c r="J30" s="67" t="s">
        <v>231</v>
      </c>
      <c r="K30" s="68">
        <v>6.3621475153270185E-2</v>
      </c>
      <c r="L30" s="67" t="s">
        <v>231</v>
      </c>
      <c r="M30" s="68">
        <v>10.368762347652401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8.1099578793271947E-8</v>
      </c>
      <c r="J31" s="67" t="s">
        <v>231</v>
      </c>
      <c r="K31" s="68">
        <v>9.1800841803183766E-4</v>
      </c>
      <c r="L31" s="67" t="s">
        <v>231</v>
      </c>
      <c r="M31" s="68">
        <v>1.1367731848919164E-3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1.0762060037226858E-5</v>
      </c>
      <c r="J32" s="67" t="s">
        <v>231</v>
      </c>
      <c r="K32" s="68">
        <v>2.5488626104437366E-3</v>
      </c>
      <c r="L32" s="67" t="s">
        <v>231</v>
      </c>
      <c r="M32" s="68">
        <v>0.31034022039388159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8.1325183283434387E-8</v>
      </c>
      <c r="J33" s="67" t="s">
        <v>231</v>
      </c>
      <c r="K33" s="68">
        <v>9.3468042463929033E-4</v>
      </c>
      <c r="L33" s="67" t="s">
        <v>231</v>
      </c>
      <c r="M33" s="68">
        <v>5.9125383313870811E-4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3.2522055520306688E-10</v>
      </c>
      <c r="J34" s="67" t="s">
        <v>231</v>
      </c>
      <c r="K34" s="68">
        <v>1.1895893041701925E-3</v>
      </c>
      <c r="L34" s="67" t="s">
        <v>231</v>
      </c>
      <c r="M34" s="68">
        <v>7.5627537632760145E-2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5.0187914311054336E-7</v>
      </c>
      <c r="J35" s="67" t="s">
        <v>231</v>
      </c>
      <c r="K35" s="68">
        <v>1.4757025199162734E-3</v>
      </c>
      <c r="L35" s="67" t="s">
        <v>231</v>
      </c>
      <c r="M35" s="68">
        <v>0.16184935955997304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9.0741356077761653E-7</v>
      </c>
      <c r="J36" s="67" t="s">
        <v>231</v>
      </c>
      <c r="K36" s="68">
        <v>2.2137251004905483E-3</v>
      </c>
      <c r="L36" s="67" t="s">
        <v>231</v>
      </c>
      <c r="M36" s="68">
        <v>0.39020035074218995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5.4949626501951095E-6</v>
      </c>
      <c r="J37" s="67" t="s">
        <v>231</v>
      </c>
      <c r="K37" s="68">
        <v>3.3630484892533488E-3</v>
      </c>
      <c r="L37" s="67" t="s">
        <v>231</v>
      </c>
      <c r="M37" s="68">
        <v>0.49664645568093452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1.6039136481027451E-6</v>
      </c>
      <c r="J38" s="67" t="s">
        <v>231</v>
      </c>
      <c r="K38" s="68">
        <v>1.1460637460116679E-3</v>
      </c>
      <c r="L38" s="67" t="s">
        <v>231</v>
      </c>
      <c r="M38" s="68">
        <v>6.144156831520052E-2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9.9529012806814855E-4</v>
      </c>
      <c r="J39" s="67" t="s">
        <v>231</v>
      </c>
      <c r="K39" s="68">
        <v>2.0222530815818499E-2</v>
      </c>
      <c r="L39" s="67" t="s">
        <v>231</v>
      </c>
      <c r="M39" s="68">
        <v>3.2645143259020242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7.1299193057069861E-9</v>
      </c>
      <c r="J40" s="67" t="s">
        <v>231</v>
      </c>
      <c r="K40" s="68">
        <v>0.21787590278635519</v>
      </c>
      <c r="L40" s="67" t="s">
        <v>231</v>
      </c>
      <c r="M40" s="68">
        <v>48.97469560305511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2.6149479098288425E-8</v>
      </c>
      <c r="J41" s="67" t="s">
        <v>231</v>
      </c>
      <c r="K41" s="68">
        <v>8.5269081333517202E-4</v>
      </c>
      <c r="L41" s="67" t="s">
        <v>231</v>
      </c>
      <c r="M41" s="68">
        <v>6.4218227935190322E-5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1.1216924546796031E-3</v>
      </c>
      <c r="J42" s="67" t="s">
        <v>231</v>
      </c>
      <c r="K42" s="68">
        <v>1.926448609011866E-3</v>
      </c>
      <c r="L42" s="67" t="s">
        <v>231</v>
      </c>
      <c r="M42" s="68">
        <v>0.21403792805553076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4.3326135980946315E-8</v>
      </c>
      <c r="J43" s="67" t="s">
        <v>231</v>
      </c>
      <c r="K43" s="68">
        <v>6.713385835243839E-3</v>
      </c>
      <c r="L43" s="67" t="s">
        <v>231</v>
      </c>
      <c r="M43" s="68">
        <v>1.514440061343354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1.0879953292908983E-6</v>
      </c>
      <c r="J44" s="67" t="s">
        <v>231</v>
      </c>
      <c r="K44" s="68">
        <v>9.154744047018031E-4</v>
      </c>
      <c r="L44" s="67" t="s">
        <v>231</v>
      </c>
      <c r="M44" s="68">
        <v>2.966368190368757E-2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1.0084117251285965E-4</v>
      </c>
      <c r="J45" s="67" t="s">
        <v>231</v>
      </c>
      <c r="K45" s="68">
        <v>2.1084687032753499E-3</v>
      </c>
      <c r="L45" s="67" t="s">
        <v>231</v>
      </c>
      <c r="M45" s="68">
        <v>0.24711413990949399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2.230608817191454E-6</v>
      </c>
      <c r="J46" s="67" t="s">
        <v>231</v>
      </c>
      <c r="K46" s="68">
        <v>1.9876703929760046E-3</v>
      </c>
      <c r="L46" s="67" t="s">
        <v>231</v>
      </c>
      <c r="M46" s="68">
        <v>0.22549523121244258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1.3933995176636359E-2</v>
      </c>
      <c r="J47" s="142" t="s">
        <v>232</v>
      </c>
      <c r="K47" s="143">
        <v>0.12036752930329521</v>
      </c>
      <c r="L47" s="142" t="s">
        <v>231</v>
      </c>
      <c r="M47" s="143">
        <v>19.725692487932594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1.8132491424166081E-6</v>
      </c>
      <c r="J48" s="142" t="s">
        <v>231</v>
      </c>
      <c r="K48" s="143">
        <v>9.1404896683744505E-4</v>
      </c>
      <c r="L48" s="142" t="s">
        <v>231</v>
      </c>
      <c r="M48" s="143">
        <v>1.0249702851745788E-2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5.0826569225919429E-6</v>
      </c>
      <c r="J49" s="142" t="s">
        <v>231</v>
      </c>
      <c r="K49" s="143">
        <v>9.2690890735083167E-4</v>
      </c>
      <c r="L49" s="142" t="s">
        <v>231</v>
      </c>
      <c r="M49" s="143">
        <v>1.7659779073078842E-2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1.8083956422626057E-5</v>
      </c>
      <c r="J50" s="142" t="s">
        <v>231</v>
      </c>
      <c r="K50" s="143">
        <v>9.369614100626044E-3</v>
      </c>
      <c r="L50" s="142" t="s">
        <v>231</v>
      </c>
      <c r="M50" s="143">
        <v>1.4775472163612424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4.0145621296996647E-8</v>
      </c>
      <c r="J51" s="142" t="s">
        <v>231</v>
      </c>
      <c r="K51" s="143">
        <v>8.5568271297394819E-4</v>
      </c>
      <c r="L51" s="142" t="s">
        <v>231</v>
      </c>
      <c r="M51" s="143">
        <v>1.8467557487969752E-3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1.1166686498241125E-5</v>
      </c>
      <c r="J52" s="142" t="s">
        <v>231</v>
      </c>
      <c r="K52" s="143">
        <v>1.018323635342529E-3</v>
      </c>
      <c r="L52" s="142" t="s">
        <v>231</v>
      </c>
      <c r="M52" s="143">
        <v>5.0144863822219492E-2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2.0894933212954546E-4</v>
      </c>
      <c r="J53" s="142" t="s">
        <v>231</v>
      </c>
      <c r="K53" s="143">
        <v>2.8549560879163071E-3</v>
      </c>
      <c r="L53" s="142" t="s">
        <v>231</v>
      </c>
      <c r="M53" s="143">
        <v>0.37956165266734715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4.5682438367834009E-3</v>
      </c>
      <c r="J54" s="67" t="s">
        <v>231</v>
      </c>
      <c r="K54" s="68">
        <v>0.10605037304596157</v>
      </c>
      <c r="L54" s="67" t="s">
        <v>231</v>
      </c>
      <c r="M54" s="68">
        <v>17.358266425378901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2.9458364260643205E-4</v>
      </c>
      <c r="J55" s="67" t="s">
        <v>231</v>
      </c>
      <c r="K55" s="68">
        <v>4.7536168764096484E-3</v>
      </c>
      <c r="L55" s="67" t="s">
        <v>231</v>
      </c>
      <c r="M55" s="68">
        <v>0.72696494487187813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6.9871048819194275E-5</v>
      </c>
      <c r="J56" s="67" t="s">
        <v>231</v>
      </c>
      <c r="K56" s="68">
        <v>2.162988652542728E-3</v>
      </c>
      <c r="L56" s="67" t="s">
        <v>231</v>
      </c>
      <c r="M56" s="68">
        <v>0.34512789049823045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2.7307898396983937E-5</v>
      </c>
      <c r="J57" s="67" t="s">
        <v>231</v>
      </c>
      <c r="K57" s="68">
        <v>9.0151788894047538E-4</v>
      </c>
      <c r="L57" s="67" t="s">
        <v>231</v>
      </c>
      <c r="M57" s="68">
        <v>0.13968048143904579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2.587069260363243E-7</v>
      </c>
      <c r="J58" s="67" t="s">
        <v>231</v>
      </c>
      <c r="K58" s="68">
        <v>6.5054012795586738E-5</v>
      </c>
      <c r="L58" s="67" t="s">
        <v>231</v>
      </c>
      <c r="M58" s="68">
        <v>1.5179969089914203E-3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6.0314097165338803E-6</v>
      </c>
      <c r="J59" s="67" t="s">
        <v>231</v>
      </c>
      <c r="K59" s="68">
        <v>3.1892820040852772E-4</v>
      </c>
      <c r="L59" s="67" t="s">
        <v>231</v>
      </c>
      <c r="M59" s="68">
        <v>4.9280843386075808E-2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8.9782049810779734E-8</v>
      </c>
      <c r="J60" s="67" t="s">
        <v>231</v>
      </c>
      <c r="K60" s="68">
        <v>5.4895142853636276E-6</v>
      </c>
      <c r="L60" s="67" t="s">
        <v>231</v>
      </c>
      <c r="M60" s="68">
        <v>8.1155025368440982E-4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5.1205713146585508E-2</v>
      </c>
      <c r="J61" s="67" t="s">
        <v>232</v>
      </c>
      <c r="K61" s="68">
        <v>3.8386035306336068E-3</v>
      </c>
      <c r="L61" s="67" t="s">
        <v>231</v>
      </c>
      <c r="M61" s="68">
        <v>0.54929957628920512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1.7735352073082136E-4</v>
      </c>
      <c r="J62" s="67" t="s">
        <v>231</v>
      </c>
      <c r="K62" s="68">
        <v>4.8239500113640782E-2</v>
      </c>
      <c r="L62" s="67" t="s">
        <v>231</v>
      </c>
      <c r="M62" s="68">
        <v>7.8450755410322692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1.5558579270641656E-3</v>
      </c>
      <c r="J63" s="67" t="s">
        <v>231</v>
      </c>
      <c r="K63" s="68">
        <v>0.14571331296582318</v>
      </c>
      <c r="L63" s="67" t="s">
        <v>231</v>
      </c>
      <c r="M63" s="68">
        <v>23.929001074274677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1.2652695719485012E-3</v>
      </c>
      <c r="J64" s="67" t="s">
        <v>231</v>
      </c>
      <c r="K64" s="68">
        <v>0.18664696498662828</v>
      </c>
      <c r="L64" s="67" t="s">
        <v>231</v>
      </c>
      <c r="M64" s="68">
        <v>30.754940589765116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2.1612264047853307E-3</v>
      </c>
      <c r="J65" s="67" t="s">
        <v>231</v>
      </c>
      <c r="K65" s="68">
        <v>0.226257460377388</v>
      </c>
      <c r="L65" s="67" t="s">
        <v>231</v>
      </c>
      <c r="M65" s="68">
        <v>37.423887829006148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8.0386564754172802E-6</v>
      </c>
      <c r="J66" s="67" t="s">
        <v>231</v>
      </c>
      <c r="K66" s="68">
        <v>0.20491407441333154</v>
      </c>
      <c r="L66" s="67" t="s">
        <v>231</v>
      </c>
      <c r="M66" s="68">
        <v>33.820496914452178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3.8273225185127719E-4</v>
      </c>
      <c r="J67" s="67" t="s">
        <v>231</v>
      </c>
      <c r="K67" s="68">
        <v>1.0230602915561493E-3</v>
      </c>
      <c r="L67" s="67" t="s">
        <v>231</v>
      </c>
      <c r="M67" s="68">
        <v>3.8360725415009587E-2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1.5579777334945351E-4</v>
      </c>
      <c r="J68" s="67" t="s">
        <v>231</v>
      </c>
      <c r="K68" s="68">
        <v>1.1429170427440553E-3</v>
      </c>
      <c r="L68" s="67" t="s">
        <v>231</v>
      </c>
      <c r="M68" s="68">
        <v>6.5747740610962627E-2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1.0448671592784728E-6</v>
      </c>
      <c r="J69" s="67" t="s">
        <v>231</v>
      </c>
      <c r="K69" s="68">
        <v>8.7075704743075383E-2</v>
      </c>
      <c r="L69" s="67" t="s">
        <v>231</v>
      </c>
      <c r="M69" s="68">
        <v>14.228149438361489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8.1682740845350887E-4</v>
      </c>
      <c r="J70" s="67" t="s">
        <v>231</v>
      </c>
      <c r="K70" s="68">
        <v>1.4957048114959818E-2</v>
      </c>
      <c r="L70" s="67" t="s">
        <v>231</v>
      </c>
      <c r="M70" s="68">
        <v>2.398943432957104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2.9003035952114597E-4</v>
      </c>
      <c r="J71" s="67" t="s">
        <v>231</v>
      </c>
      <c r="K71" s="68">
        <v>1.1011401842262512E-3</v>
      </c>
      <c r="L71" s="67" t="s">
        <v>231</v>
      </c>
      <c r="M71" s="68">
        <v>5.9611846747653678E-2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4.5929638500545784E-6</v>
      </c>
      <c r="J72" s="67" t="s">
        <v>231</v>
      </c>
      <c r="K72" s="68">
        <v>1.3658485694594652E-2</v>
      </c>
      <c r="L72" s="67" t="s">
        <v>231</v>
      </c>
      <c r="M72" s="68">
        <v>2.1873184612644878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7.5724613052798552E-3</v>
      </c>
      <c r="J73" s="67" t="s">
        <v>231</v>
      </c>
      <c r="K73" s="68">
        <v>4.009104754690262E-3</v>
      </c>
      <c r="L73" s="67" t="s">
        <v>231</v>
      </c>
      <c r="M73" s="68">
        <v>0.58061665728521661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0.1680944214613336</v>
      </c>
      <c r="J74" s="67" t="s">
        <v>232</v>
      </c>
      <c r="K74" s="68">
        <v>1.4633810190797273E-2</v>
      </c>
      <c r="L74" s="67" t="s">
        <v>231</v>
      </c>
      <c r="M74" s="68">
        <v>2.3461138476811421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2.164348079377808E-12</v>
      </c>
      <c r="J75" s="67" t="s">
        <v>231</v>
      </c>
      <c r="K75" s="68">
        <v>2.2752457652970258E-2</v>
      </c>
      <c r="L75" s="67" t="s">
        <v>231</v>
      </c>
      <c r="M75" s="68">
        <v>5.2334777229414779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1.1907117717693317E-12</v>
      </c>
      <c r="J76" s="67" t="s">
        <v>231</v>
      </c>
      <c r="K76" s="68">
        <v>2.2752457769143284E-2</v>
      </c>
      <c r="L76" s="67" t="s">
        <v>231</v>
      </c>
      <c r="M76" s="68">
        <v>5.2334777496633809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5.5410927775629751E-7</v>
      </c>
      <c r="J77" s="67" t="s">
        <v>231</v>
      </c>
      <c r="K77" s="68">
        <v>7.6100718398593292E-3</v>
      </c>
      <c r="L77" s="67" t="s">
        <v>231</v>
      </c>
      <c r="M77" s="68">
        <v>1.1884564206987203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1.0607793518069507E-3</v>
      </c>
      <c r="J78" s="67" t="s">
        <v>231</v>
      </c>
      <c r="K78" s="68">
        <v>1.7720247244000593E-3</v>
      </c>
      <c r="L78" s="67" t="s">
        <v>231</v>
      </c>
      <c r="M78" s="68">
        <v>0.19117176052107834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2.2791892155987737E-5</v>
      </c>
      <c r="J79" s="67" t="s">
        <v>231</v>
      </c>
      <c r="K79" s="68">
        <v>2.9047952155039918E-3</v>
      </c>
      <c r="L79" s="67" t="s">
        <v>231</v>
      </c>
      <c r="M79" s="68">
        <v>0.38920840092660247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1.2904066851868085E-13</v>
      </c>
      <c r="J80" s="67" t="s">
        <v>231</v>
      </c>
      <c r="K80" s="68">
        <v>4.4213664815140538E-2</v>
      </c>
      <c r="L80" s="67" t="s">
        <v>231</v>
      </c>
      <c r="M80" s="68">
        <v>10.181316408436849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2.198544801195839E-5</v>
      </c>
      <c r="J81" s="67" t="s">
        <v>231</v>
      </c>
      <c r="K81" s="68">
        <v>9.1620753572225155E-4</v>
      </c>
      <c r="L81" s="67" t="s">
        <v>231</v>
      </c>
      <c r="M81" s="68">
        <v>1.6821785481777539E-3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3.5507777072526562E-5</v>
      </c>
      <c r="J82" s="67" t="s">
        <v>231</v>
      </c>
      <c r="K82" s="68">
        <v>1.2279029753647635E-3</v>
      </c>
      <c r="L82" s="67" t="s">
        <v>231</v>
      </c>
      <c r="M82" s="68">
        <v>8.1490017320925909E-2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5.8373328443307258E-5</v>
      </c>
      <c r="J83" s="67" t="s">
        <v>231</v>
      </c>
      <c r="K83" s="68">
        <v>7.0878163059949172E-3</v>
      </c>
      <c r="L83" s="67" t="s">
        <v>231</v>
      </c>
      <c r="M83" s="68">
        <v>1.0972103107761386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6.0743030459080587E-6</v>
      </c>
      <c r="J84" s="67" t="s">
        <v>231</v>
      </c>
      <c r="K84" s="68">
        <v>9.1750836604033372E-4</v>
      </c>
      <c r="L84" s="67" t="s">
        <v>231</v>
      </c>
      <c r="M84" s="68">
        <v>6.844754078752434E-3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3.2979664391614851E-8</v>
      </c>
      <c r="J85" s="67" t="s">
        <v>231</v>
      </c>
      <c r="K85" s="68">
        <v>9.2350656573005389E-4</v>
      </c>
      <c r="L85" s="67" t="s">
        <v>231</v>
      </c>
      <c r="M85" s="68">
        <v>3.4469622278416543E-4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2.3831533517117476E-6</v>
      </c>
      <c r="J86" s="67" t="s">
        <v>231</v>
      </c>
      <c r="K86" s="68">
        <v>9.1701893507634548E-4</v>
      </c>
      <c r="L86" s="67" t="s">
        <v>231</v>
      </c>
      <c r="M86" s="68">
        <v>6.5425230198218141E-3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1.65462077424222E-2</v>
      </c>
      <c r="J87" s="67" t="s">
        <v>232</v>
      </c>
      <c r="K87" s="68">
        <v>0.13010590371944133</v>
      </c>
      <c r="L87" s="67" t="s">
        <v>231</v>
      </c>
      <c r="M87" s="68">
        <v>21.338816163279265</v>
      </c>
      <c r="N87" s="67" t="s">
        <v>232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1.1140965093265339E-4</v>
      </c>
      <c r="J88" s="67" t="s">
        <v>231</v>
      </c>
      <c r="K88" s="68">
        <v>1.5960329024304329E-3</v>
      </c>
      <c r="L88" s="67" t="s">
        <v>231</v>
      </c>
      <c r="M88" s="68">
        <v>0.15296819994408756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2.884978563884022E-5</v>
      </c>
      <c r="J89" s="67" t="s">
        <v>231</v>
      </c>
      <c r="K89" s="68">
        <v>1.2800279726660037E-3</v>
      </c>
      <c r="L89" s="67" t="s">
        <v>231</v>
      </c>
      <c r="M89" s="68">
        <v>9.1973716148275458E-2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1.7866554622519277E-6</v>
      </c>
      <c r="J90" s="67" t="s">
        <v>231</v>
      </c>
      <c r="K90" s="68">
        <v>9.6537366722646012E-4</v>
      </c>
      <c r="L90" s="67" t="s">
        <v>231</v>
      </c>
      <c r="M90" s="68">
        <v>2.2979546464791945E-2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1.0804691045070272E-2</v>
      </c>
      <c r="J91" s="67" t="s">
        <v>232</v>
      </c>
      <c r="K91" s="68">
        <v>5.3216083752931305E-2</v>
      </c>
      <c r="L91" s="67" t="s">
        <v>231</v>
      </c>
      <c r="M91" s="68">
        <v>8.660917296713329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3.4147489394470633E-2</v>
      </c>
      <c r="J92" s="67" t="s">
        <v>232</v>
      </c>
      <c r="K92" s="68">
        <v>5.6642829323237786E-3</v>
      </c>
      <c r="L92" s="67" t="s">
        <v>231</v>
      </c>
      <c r="M92" s="68">
        <v>0.85877488689779069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1.8387743115399185E-2</v>
      </c>
      <c r="J93" s="67" t="s">
        <v>232</v>
      </c>
      <c r="K93" s="68">
        <v>1.2922738998371121E-2</v>
      </c>
      <c r="L93" s="67" t="s">
        <v>231</v>
      </c>
      <c r="M93" s="68">
        <v>2.0631488716336475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7.1317701325384407E-9</v>
      </c>
      <c r="J94" s="67" t="s">
        <v>231</v>
      </c>
      <c r="K94" s="68">
        <v>9.7836329059595192E-4</v>
      </c>
      <c r="L94" s="67" t="s">
        <v>231</v>
      </c>
      <c r="M94" s="68">
        <v>1.3068920435083198E-2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2.0674384532006846E-4</v>
      </c>
      <c r="J95" s="67" t="s">
        <v>231</v>
      </c>
      <c r="K95" s="68">
        <v>2.6632124047327805E-2</v>
      </c>
      <c r="L95" s="67" t="s">
        <v>231</v>
      </c>
      <c r="M95" s="68">
        <v>4.310507416820359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9.6954022404150967E-8</v>
      </c>
      <c r="J96" s="67" t="s">
        <v>231</v>
      </c>
      <c r="K96" s="68">
        <v>9.1592068389665976E-4</v>
      </c>
      <c r="L96" s="67" t="s">
        <v>231</v>
      </c>
      <c r="M96" s="68">
        <v>1.8023844952462316E-3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3.4502533742771842E-8</v>
      </c>
      <c r="J97" s="67" t="s">
        <v>231</v>
      </c>
      <c r="K97" s="68">
        <v>9.1777272129108965E-4</v>
      </c>
      <c r="L97" s="67" t="s">
        <v>231</v>
      </c>
      <c r="M97" s="68">
        <v>7.0009585128680647E-3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3.5475503471090151E-5</v>
      </c>
      <c r="J98" s="67" t="s">
        <v>231</v>
      </c>
      <c r="K98" s="68">
        <v>1.6920960877808994E-2</v>
      </c>
      <c r="L98" s="67" t="s">
        <v>231</v>
      </c>
      <c r="M98" s="68">
        <v>2.7214886370463729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4.1856825691537619E-8</v>
      </c>
      <c r="J99" s="67" t="s">
        <v>231</v>
      </c>
      <c r="K99" s="68">
        <v>9.2590482852805895E-4</v>
      </c>
      <c r="L99" s="67" t="s">
        <v>231</v>
      </c>
      <c r="M99" s="68">
        <v>1.7762663151658434E-4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6.5363359224326193E-5</v>
      </c>
      <c r="J100" s="67" t="s">
        <v>231</v>
      </c>
      <c r="K100" s="68">
        <v>2.6221829942505354E-3</v>
      </c>
      <c r="L100" s="67" t="s">
        <v>231</v>
      </c>
      <c r="M100" s="68">
        <v>0.33840688019451337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1.3053426317924014E-5</v>
      </c>
      <c r="J101" s="67" t="s">
        <v>231</v>
      </c>
      <c r="K101" s="68">
        <v>9.2238271622135514E-4</v>
      </c>
      <c r="L101" s="67" t="s">
        <v>231</v>
      </c>
      <c r="M101" s="68">
        <v>4.5022329112951863E-4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6.4322922202893288E-11</v>
      </c>
      <c r="J102" s="67" t="s">
        <v>231</v>
      </c>
      <c r="K102" s="68">
        <v>9.294895165213819E-4</v>
      </c>
      <c r="L102" s="67" t="s">
        <v>231</v>
      </c>
      <c r="M102" s="68">
        <v>3.8110717562504484E-5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9.1568497386582567E-9</v>
      </c>
      <c r="J103" s="67" t="s">
        <v>231</v>
      </c>
      <c r="K103" s="68">
        <v>9.2608859693232295E-4</v>
      </c>
      <c r="L103" s="67" t="s">
        <v>231</v>
      </c>
      <c r="M103" s="68">
        <v>1.6758093241621137E-4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4.2152253925126436E-7</v>
      </c>
      <c r="J104" s="67" t="s">
        <v>231</v>
      </c>
      <c r="K104" s="68">
        <v>9.1433549322303799E-4</v>
      </c>
      <c r="L104" s="67" t="s">
        <v>231</v>
      </c>
      <c r="M104" s="68">
        <v>3.8379629055221732E-3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5.786095442925619E-8</v>
      </c>
      <c r="J105" s="67" t="s">
        <v>231</v>
      </c>
      <c r="K105" s="68">
        <v>9.2892434946758565E-4</v>
      </c>
      <c r="L105" s="67" t="s">
        <v>231</v>
      </c>
      <c r="M105" s="68">
        <v>5.2841916866694015E-5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5.1943522559670066E-7</v>
      </c>
      <c r="J106" s="67" t="s">
        <v>231</v>
      </c>
      <c r="K106" s="68">
        <v>1.0146248081516331E-3</v>
      </c>
      <c r="L106" s="67" t="s">
        <v>231</v>
      </c>
      <c r="M106" s="68">
        <v>3.5392597663333344E-2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2.7489012215154096E-4</v>
      </c>
      <c r="J107" s="67" t="s">
        <v>231</v>
      </c>
      <c r="K107" s="68">
        <v>1.8473887582765029E-2</v>
      </c>
      <c r="L107" s="67" t="s">
        <v>231</v>
      </c>
      <c r="M107" s="68">
        <v>2.9771636403055295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8.3350179399270348E-5</v>
      </c>
      <c r="J108" s="67" t="s">
        <v>231</v>
      </c>
      <c r="K108" s="68">
        <v>2.2116481295211244E-3</v>
      </c>
      <c r="L108" s="67" t="s">
        <v>231</v>
      </c>
      <c r="M108" s="68">
        <v>0.26553767052498306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0.81310163485657483</v>
      </c>
      <c r="F2" s="14">
        <v>0.80845388019548792</v>
      </c>
      <c r="G2" s="14">
        <v>1.0505185788198629E-6</v>
      </c>
      <c r="H2" s="14">
        <v>10.92383797075383</v>
      </c>
      <c r="I2" s="14">
        <v>29.459978160847133</v>
      </c>
      <c r="J2" s="14">
        <v>0</v>
      </c>
      <c r="K2" s="14">
        <v>1.2369289386776092</v>
      </c>
      <c r="L2" s="14">
        <v>0.80845388019548803</v>
      </c>
      <c r="M2" s="14">
        <v>0.66333640870039789</v>
      </c>
      <c r="N2" s="14">
        <v>1.1019131719661943</v>
      </c>
      <c r="O2" s="14">
        <v>202.87323409069606</v>
      </c>
      <c r="P2" s="8">
        <v>1.1019131719661945</v>
      </c>
      <c r="Q2" s="54">
        <v>0.12572811968652081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0.48467511949205566</v>
      </c>
      <c r="F3" s="14">
        <v>3.5117896555724548E-3</v>
      </c>
      <c r="G3" s="14">
        <v>2.1293986917723186E-4</v>
      </c>
      <c r="H3" s="14">
        <v>368.66210221635856</v>
      </c>
      <c r="I3" s="14">
        <v>9248.8059165462892</v>
      </c>
      <c r="J3" s="14">
        <v>0</v>
      </c>
      <c r="K3" s="14">
        <v>284.75509585638622</v>
      </c>
      <c r="L3" s="14">
        <v>3.5117896555724548E-3</v>
      </c>
      <c r="M3" s="14">
        <v>2.881423412397199E-3</v>
      </c>
      <c r="N3" s="14">
        <v>118.06076227089038</v>
      </c>
      <c r="O3" s="14">
        <v>43081.552760270606</v>
      </c>
      <c r="P3" s="8">
        <v>118.06076227089038</v>
      </c>
      <c r="Q3" s="54">
        <v>0.29585960016924845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0.53515835256512689</v>
      </c>
      <c r="F4" s="14">
        <v>0.49219285904253923</v>
      </c>
      <c r="G4" s="14">
        <v>6.797728205800868E-14</v>
      </c>
      <c r="H4" s="14">
        <v>99.022824181164339</v>
      </c>
      <c r="I4" s="14">
        <v>218.87314544357989</v>
      </c>
      <c r="J4" s="14">
        <v>0</v>
      </c>
      <c r="K4" s="14">
        <v>2.0317239099025044</v>
      </c>
      <c r="L4" s="14">
        <v>0.49219285904253923</v>
      </c>
      <c r="M4" s="14">
        <v>0.40384424084440346</v>
      </c>
      <c r="N4" s="14">
        <v>3.0887280718250762</v>
      </c>
      <c r="O4" s="14">
        <v>980.11519175153319</v>
      </c>
      <c r="P4" s="8">
        <v>3.0887280718250762</v>
      </c>
      <c r="Q4" s="54">
        <v>0.31274651520465341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0.4402275221692174</v>
      </c>
      <c r="F5" s="14">
        <v>3.2461091200881691E-2</v>
      </c>
      <c r="G5" s="14">
        <v>6.2352174304870236E-6</v>
      </c>
      <c r="H5" s="14">
        <v>898.30354764118408</v>
      </c>
      <c r="I5" s="14">
        <v>2413.6832999488215</v>
      </c>
      <c r="J5" s="14">
        <v>0</v>
      </c>
      <c r="K5" s="14">
        <v>30.806111655693151</v>
      </c>
      <c r="L5" s="14">
        <v>3.2461091200881698E-2</v>
      </c>
      <c r="M5" s="14">
        <v>2.6634325330323432E-2</v>
      </c>
      <c r="N5" s="14">
        <v>30.077759305901676</v>
      </c>
      <c r="O5" s="14">
        <v>10544.961635056068</v>
      </c>
      <c r="P5" s="8">
        <v>30.077759305901676</v>
      </c>
      <c r="Q5" s="54">
        <v>0.36751941418644923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0.54971477629851684</v>
      </c>
      <c r="F6" s="14">
        <v>1.7597783808505256E-3</v>
      </c>
      <c r="G6" s="14">
        <v>7.7740345371487441E-7</v>
      </c>
      <c r="H6" s="14">
        <v>263.461996174094</v>
      </c>
      <c r="I6" s="14">
        <v>11980.505663573083</v>
      </c>
      <c r="J6" s="14">
        <v>0</v>
      </c>
      <c r="K6" s="14">
        <v>568.2533726301865</v>
      </c>
      <c r="L6" s="14">
        <v>1.7597783808505256E-3</v>
      </c>
      <c r="M6" s="14">
        <v>1.4438981614878564E-3</v>
      </c>
      <c r="N6" s="14">
        <v>153.95836499547832</v>
      </c>
      <c r="O6" s="14">
        <v>54576.700807247114</v>
      </c>
      <c r="P6" s="8">
        <v>153.95836499547835</v>
      </c>
      <c r="Q6" s="54">
        <v>0.25297356951643346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0.50156339166426478</v>
      </c>
      <c r="F7" s="14">
        <v>3.2378696914514902E-3</v>
      </c>
      <c r="G7" s="14">
        <v>1.0552317605576425E-6</v>
      </c>
      <c r="H7" s="14">
        <v>358.02995714091628</v>
      </c>
      <c r="I7" s="14">
        <v>9798.8822132493133</v>
      </c>
      <c r="J7" s="14">
        <v>0</v>
      </c>
      <c r="K7" s="14">
        <v>308.84504173845067</v>
      </c>
      <c r="L7" s="14">
        <v>3.2378696914514907E-3</v>
      </c>
      <c r="M7" s="14">
        <v>2.6566720818359479E-3</v>
      </c>
      <c r="N7" s="14">
        <v>125.20482433585201</v>
      </c>
      <c r="O7" s="14">
        <v>44383.858178816183</v>
      </c>
      <c r="P7" s="8">
        <v>125.20482433585201</v>
      </c>
      <c r="Q7" s="54">
        <v>0.29496910964808432</v>
      </c>
    </row>
    <row r="8" spans="1:20">
      <c r="A8" s="2" t="s">
        <v>323</v>
      </c>
      <c r="B8" s="16" t="s">
        <v>324</v>
      </c>
      <c r="D8" s="14">
        <v>1</v>
      </c>
      <c r="E8" s="14">
        <v>0.45431000867492605</v>
      </c>
      <c r="F8" s="14">
        <v>6.576440213762553E-3</v>
      </c>
      <c r="G8" s="14">
        <v>9.0873941241208884E-6</v>
      </c>
      <c r="H8" s="14">
        <v>496.83350568918422</v>
      </c>
      <c r="I8" s="14">
        <v>7182.3745152351021</v>
      </c>
      <c r="J8" s="14">
        <v>0</v>
      </c>
      <c r="K8" s="14">
        <v>152.05794738425425</v>
      </c>
      <c r="L8" s="14">
        <v>6.576440213762553E-3</v>
      </c>
      <c r="M8" s="14">
        <v>5.3959691953921751E-3</v>
      </c>
      <c r="N8" s="14">
        <v>91.119212894663704</v>
      </c>
      <c r="O8" s="14">
        <v>29161.792894808175</v>
      </c>
      <c r="P8" s="8">
        <v>91.119212894663718</v>
      </c>
      <c r="Q8" s="54">
        <v>0.33765100528647451</v>
      </c>
    </row>
    <row r="9" spans="1:20">
      <c r="A9" s="2" t="s">
        <v>325</v>
      </c>
      <c r="B9" s="16" t="s">
        <v>326</v>
      </c>
      <c r="D9" s="14">
        <v>1</v>
      </c>
      <c r="E9" s="14">
        <v>0.36776430210554578</v>
      </c>
      <c r="F9" s="14">
        <v>0.16723873085047983</v>
      </c>
      <c r="G9" s="14">
        <v>3.1617341550643843E-6</v>
      </c>
      <c r="H9" s="14">
        <v>476.53725968908509</v>
      </c>
      <c r="I9" s="14">
        <v>866.47100402350054</v>
      </c>
      <c r="J9" s="14">
        <v>0</v>
      </c>
      <c r="K9" s="14">
        <v>5.9794761351905521</v>
      </c>
      <c r="L9" s="14">
        <v>0.16723873085047983</v>
      </c>
      <c r="M9" s="14">
        <v>0.13721937866281869</v>
      </c>
      <c r="N9" s="14">
        <v>10.744397416336545</v>
      </c>
      <c r="O9" s="14">
        <v>3270.0573536620277</v>
      </c>
      <c r="P9" s="8">
        <v>10.744397416336545</v>
      </c>
      <c r="Q9" s="54">
        <v>0.42301331128338304</v>
      </c>
    </row>
    <row r="10" spans="1:20">
      <c r="A10" s="2" t="s">
        <v>275</v>
      </c>
      <c r="B10" s="16" t="s">
        <v>276</v>
      </c>
      <c r="D10" s="14">
        <v>1</v>
      </c>
      <c r="E10" s="14">
        <v>0.43731381568731725</v>
      </c>
      <c r="F10" s="14">
        <v>3.0155108490520614E-2</v>
      </c>
      <c r="G10" s="14">
        <v>8.0021996577099203E-8</v>
      </c>
      <c r="H10" s="14">
        <v>878.98384929205349</v>
      </c>
      <c r="I10" s="14">
        <v>2576.5469823519611</v>
      </c>
      <c r="J10" s="14">
        <v>0</v>
      </c>
      <c r="K10" s="14">
        <v>33.161877043631073</v>
      </c>
      <c r="L10" s="14">
        <v>3.0155108490520614E-2</v>
      </c>
      <c r="M10" s="14">
        <v>2.4742266516472166E-2</v>
      </c>
      <c r="N10" s="14">
        <v>32.134233041300106</v>
      </c>
      <c r="O10" s="14">
        <v>11905.411999471276</v>
      </c>
      <c r="P10" s="8">
        <v>32.134233041300106</v>
      </c>
      <c r="Q10" s="54">
        <v>0.3691799154963587</v>
      </c>
    </row>
    <row r="11" spans="1:20">
      <c r="A11" s="2" t="s">
        <v>327</v>
      </c>
      <c r="B11" s="16" t="s">
        <v>328</v>
      </c>
      <c r="D11" s="14">
        <v>1</v>
      </c>
      <c r="E11" s="14">
        <v>0.43274123633769818</v>
      </c>
      <c r="F11" s="14">
        <v>2.6587743880692041E-2</v>
      </c>
      <c r="G11" s="14">
        <v>4.1603510151281543E-6</v>
      </c>
      <c r="H11" s="14">
        <v>845.08712760999879</v>
      </c>
      <c r="I11" s="14">
        <v>2863.9053274941743</v>
      </c>
      <c r="J11" s="14">
        <v>0</v>
      </c>
      <c r="K11" s="14">
        <v>37.61131461500942</v>
      </c>
      <c r="L11" s="14">
        <v>2.6587743880692044E-2</v>
      </c>
      <c r="M11" s="14">
        <v>2.1815243854107821E-2</v>
      </c>
      <c r="N11" s="14">
        <v>35.76949294947817</v>
      </c>
      <c r="O11" s="14">
        <v>13624.95755938573</v>
      </c>
      <c r="P11" s="8">
        <v>35.76949294947817</v>
      </c>
      <c r="Q11" s="54">
        <v>0.37081616435484477</v>
      </c>
    </row>
    <row r="12" spans="1:20">
      <c r="A12" s="2" t="s">
        <v>329</v>
      </c>
      <c r="B12" s="16" t="s">
        <v>330</v>
      </c>
      <c r="D12" s="14">
        <v>1</v>
      </c>
      <c r="E12" s="14">
        <v>0.37712647429475971</v>
      </c>
      <c r="F12" s="14">
        <v>0.12509080472445605</v>
      </c>
      <c r="G12" s="14">
        <v>1.9278528157008048E-6</v>
      </c>
      <c r="H12" s="14">
        <v>602.62256048380482</v>
      </c>
      <c r="I12" s="14">
        <v>1054.1503497104086</v>
      </c>
      <c r="J12" s="14">
        <v>0</v>
      </c>
      <c r="K12" s="14">
        <v>7.994192716265208</v>
      </c>
      <c r="L12" s="14">
        <v>0.12509080472445605</v>
      </c>
      <c r="M12" s="14">
        <v>0.1026370052764162</v>
      </c>
      <c r="N12" s="14">
        <v>13.042100741311666</v>
      </c>
      <c r="O12" s="14">
        <v>3578.7524434159209</v>
      </c>
      <c r="P12" s="8">
        <v>13.042100741311668</v>
      </c>
      <c r="Q12" s="54">
        <v>0.41600883797229454</v>
      </c>
    </row>
    <row r="13" spans="1:20">
      <c r="A13" s="2" t="s">
        <v>277</v>
      </c>
      <c r="B13" s="16" t="s">
        <v>278</v>
      </c>
      <c r="D13" s="14">
        <v>1</v>
      </c>
      <c r="E13" s="14">
        <v>0.36794035048905988</v>
      </c>
      <c r="F13" s="14">
        <v>0.16282073587097354</v>
      </c>
      <c r="G13" s="14">
        <v>4.9936511623436597E-6</v>
      </c>
      <c r="H13" s="14">
        <v>487.74150409280242</v>
      </c>
      <c r="I13" s="14">
        <v>883.58204878280765</v>
      </c>
      <c r="J13" s="14">
        <v>0</v>
      </c>
      <c r="K13" s="14">
        <v>6.1417238698174472</v>
      </c>
      <c r="L13" s="14">
        <v>0.16282073587097354</v>
      </c>
      <c r="M13" s="14">
        <v>0.1335944137821338</v>
      </c>
      <c r="N13" s="14">
        <v>10.952844937248509</v>
      </c>
      <c r="O13" s="14">
        <v>4457.0411903145359</v>
      </c>
      <c r="P13" s="8">
        <v>10.952844937248509</v>
      </c>
      <c r="Q13" s="54">
        <v>0.42271424564877724</v>
      </c>
    </row>
    <row r="14" spans="1:20">
      <c r="A14" s="2" t="s">
        <v>331</v>
      </c>
      <c r="B14" s="16" t="s">
        <v>332</v>
      </c>
      <c r="D14" s="14">
        <v>1</v>
      </c>
      <c r="E14" s="14">
        <v>0.42632460150178769</v>
      </c>
      <c r="F14" s="14">
        <v>1.7749719751962399E-2</v>
      </c>
      <c r="G14" s="14">
        <v>2.789330579988408E-6</v>
      </c>
      <c r="H14" s="14">
        <v>737.85580845360971</v>
      </c>
      <c r="I14" s="14">
        <v>3920.3845698488267</v>
      </c>
      <c r="J14" s="14">
        <v>0</v>
      </c>
      <c r="K14" s="14">
        <v>56.338917682880066</v>
      </c>
      <c r="L14" s="14">
        <v>1.7749719751962399E-2</v>
      </c>
      <c r="M14" s="14">
        <v>1.456364505648515E-2</v>
      </c>
      <c r="N14" s="14">
        <v>49.193893145891899</v>
      </c>
      <c r="O14" s="14">
        <v>18738.445838201686</v>
      </c>
      <c r="P14" s="8">
        <v>49.193893145891906</v>
      </c>
      <c r="Q14" s="54">
        <v>0.37079056199555516</v>
      </c>
    </row>
    <row r="15" spans="1:20">
      <c r="A15" s="2" t="s">
        <v>333</v>
      </c>
      <c r="B15" s="16" t="s">
        <v>334</v>
      </c>
      <c r="D15" s="14">
        <v>1</v>
      </c>
      <c r="E15" s="14">
        <v>0.43497499628262343</v>
      </c>
      <c r="F15" s="14">
        <v>2.8328749658373061E-2</v>
      </c>
      <c r="G15" s="14">
        <v>4.5328974534724599E-9</v>
      </c>
      <c r="H15" s="14">
        <v>862.278200178308</v>
      </c>
      <c r="I15" s="14">
        <v>2717.7191671916135</v>
      </c>
      <c r="J15" s="14">
        <v>0</v>
      </c>
      <c r="K15" s="14">
        <v>35.299828339032686</v>
      </c>
      <c r="L15" s="14">
        <v>2.8328749658373065E-2</v>
      </c>
      <c r="M15" s="14">
        <v>2.3243739094695098E-2</v>
      </c>
      <c r="N15" s="14">
        <v>33.919091816070896</v>
      </c>
      <c r="O15" s="14">
        <v>13041.21242144294</v>
      </c>
      <c r="P15" s="8">
        <v>33.919091816070903</v>
      </c>
      <c r="Q15" s="54">
        <v>0.37017286251754344</v>
      </c>
    </row>
    <row r="16" spans="1:20">
      <c r="A16" s="2" t="s">
        <v>335</v>
      </c>
      <c r="B16" s="16" t="s">
        <v>336</v>
      </c>
      <c r="D16" s="14">
        <v>1</v>
      </c>
      <c r="E16" s="14">
        <v>0.45207516641508022</v>
      </c>
      <c r="F16" s="14">
        <v>6.7730328155506505E-3</v>
      </c>
      <c r="G16" s="14">
        <v>2.3502370451556542E-5</v>
      </c>
      <c r="H16" s="14">
        <v>502.90178809483518</v>
      </c>
      <c r="I16" s="14">
        <v>7062.2054967198837</v>
      </c>
      <c r="J16" s="14">
        <v>0</v>
      </c>
      <c r="K16" s="14">
        <v>147.64434592787359</v>
      </c>
      <c r="L16" s="14">
        <v>6.7730328155506513E-3</v>
      </c>
      <c r="M16" s="14">
        <v>5.5572734251593094E-3</v>
      </c>
      <c r="N16" s="14">
        <v>89.565756228712786</v>
      </c>
      <c r="O16" s="14">
        <v>33436.688115303055</v>
      </c>
      <c r="P16" s="8">
        <v>89.565756228712786</v>
      </c>
      <c r="Q16" s="54">
        <v>0.33879761979224199</v>
      </c>
    </row>
    <row r="17" spans="1:21">
      <c r="A17" s="2" t="s">
        <v>337</v>
      </c>
      <c r="B17" s="16" t="s">
        <v>338</v>
      </c>
      <c r="D17" s="14">
        <v>1</v>
      </c>
      <c r="E17" s="14">
        <v>0.43931727945169552</v>
      </c>
      <c r="F17" s="14">
        <v>3.1683651899281115E-2</v>
      </c>
      <c r="G17" s="14">
        <v>1.6011931401982776E-6</v>
      </c>
      <c r="H17" s="14">
        <v>892.1034792714637</v>
      </c>
      <c r="I17" s="14">
        <v>2467.5866042210268</v>
      </c>
      <c r="J17" s="14">
        <v>0</v>
      </c>
      <c r="K17" s="14">
        <v>31.562018266672393</v>
      </c>
      <c r="L17" s="14">
        <v>3.1683651899281115E-2</v>
      </c>
      <c r="M17" s="14">
        <v>2.5996436383360157E-2</v>
      </c>
      <c r="N17" s="14">
        <v>30.75801077783056</v>
      </c>
      <c r="O17" s="14">
        <v>11974.708756024993</v>
      </c>
      <c r="P17" s="8">
        <v>30.75801077783056</v>
      </c>
      <c r="Q17" s="54">
        <v>0.36819035182207105</v>
      </c>
    </row>
    <row r="18" spans="1:21">
      <c r="A18" s="2" t="s">
        <v>279</v>
      </c>
      <c r="B18" s="16" t="s">
        <v>280</v>
      </c>
      <c r="D18" s="14">
        <v>1</v>
      </c>
      <c r="E18" s="14">
        <v>0.36560974731758772</v>
      </c>
      <c r="F18" s="14">
        <v>0.18654051420748649</v>
      </c>
      <c r="G18" s="14">
        <v>8.8475221232988522E-5</v>
      </c>
      <c r="H18" s="14">
        <v>424.41738930139365</v>
      </c>
      <c r="I18" s="14">
        <v>784.60367927256584</v>
      </c>
      <c r="J18" s="14">
        <v>0</v>
      </c>
      <c r="K18" s="14">
        <v>5.360765752407616</v>
      </c>
      <c r="L18" s="14">
        <v>0.18654051420748652</v>
      </c>
      <c r="M18" s="14">
        <v>0.15305649190724269</v>
      </c>
      <c r="N18" s="14">
        <v>9.7481258197267078</v>
      </c>
      <c r="O18" s="14">
        <v>2835.0474321511183</v>
      </c>
      <c r="P18" s="8">
        <v>9.7481258197267078</v>
      </c>
      <c r="Q18" s="54">
        <v>0.41961435825584964</v>
      </c>
    </row>
    <row r="19" spans="1:21">
      <c r="A19" s="2" t="s">
        <v>339</v>
      </c>
      <c r="B19" s="16" t="s">
        <v>340</v>
      </c>
      <c r="D19" s="14">
        <v>1</v>
      </c>
      <c r="E19" s="14">
        <v>0.43453839212448869</v>
      </c>
      <c r="F19" s="14">
        <v>2.7975003891629987E-2</v>
      </c>
      <c r="G19" s="14">
        <v>1.5884686327562486E-8</v>
      </c>
      <c r="H19" s="14">
        <v>858.91493737632209</v>
      </c>
      <c r="I19" s="14">
        <v>2746.6753274181747</v>
      </c>
      <c r="J19" s="14">
        <v>0</v>
      </c>
      <c r="K19" s="14">
        <v>35.7461969933522</v>
      </c>
      <c r="L19" s="14">
        <v>2.797500389162999E-2</v>
      </c>
      <c r="M19" s="14">
        <v>2.2953490693082407E-2</v>
      </c>
      <c r="N19" s="14">
        <v>34.285422166849536</v>
      </c>
      <c r="O19" s="14">
        <v>11850.756171971541</v>
      </c>
      <c r="P19" s="8">
        <v>34.285422166849536</v>
      </c>
      <c r="Q19" s="54">
        <v>0.37034571693959017</v>
      </c>
    </row>
    <row r="20" spans="1:21">
      <c r="A20" s="2" t="s">
        <v>281</v>
      </c>
      <c r="B20" s="16" t="s">
        <v>282</v>
      </c>
      <c r="D20" s="14">
        <v>1</v>
      </c>
      <c r="E20" s="14">
        <v>0.36808073826142829</v>
      </c>
      <c r="F20" s="14">
        <v>0.16288286018099804</v>
      </c>
      <c r="G20" s="14">
        <v>7.5610807202583462E-7</v>
      </c>
      <c r="H20" s="14">
        <v>487.92760203819</v>
      </c>
      <c r="I20" s="14">
        <v>883.91917982964287</v>
      </c>
      <c r="J20" s="14">
        <v>0</v>
      </c>
      <c r="K20" s="14">
        <v>6.1393813866528619</v>
      </c>
      <c r="L20" s="14">
        <v>0.16288286018099804</v>
      </c>
      <c r="M20" s="14">
        <v>0.1336453867785089</v>
      </c>
      <c r="N20" s="14">
        <v>10.957023999152952</v>
      </c>
      <c r="O20" s="14">
        <v>3191.3428099932889</v>
      </c>
      <c r="P20" s="8">
        <v>10.957023999152954</v>
      </c>
      <c r="Q20" s="54">
        <v>0.42287553242044046</v>
      </c>
    </row>
    <row r="21" spans="1:21">
      <c r="A21" s="2" t="s">
        <v>341</v>
      </c>
      <c r="B21" s="16" t="s">
        <v>342</v>
      </c>
      <c r="D21" s="14">
        <v>1</v>
      </c>
      <c r="E21" s="14">
        <v>0.42624881990570229</v>
      </c>
      <c r="F21" s="14">
        <v>1.997147343627597E-2</v>
      </c>
      <c r="G21" s="14">
        <v>2.3236921706726363E-5</v>
      </c>
      <c r="H21" s="14">
        <v>767.98034815730512</v>
      </c>
      <c r="I21" s="14">
        <v>3581.0243803411709</v>
      </c>
      <c r="J21" s="14">
        <v>0</v>
      </c>
      <c r="K21" s="14">
        <v>50.071418275209012</v>
      </c>
      <c r="L21" s="14">
        <v>1.997147343627597E-2</v>
      </c>
      <c r="M21" s="14">
        <v>1.6386593954464432E-2</v>
      </c>
      <c r="N21" s="14">
        <v>44.873461561164902</v>
      </c>
      <c r="O21" s="14">
        <v>15045.174192227367</v>
      </c>
      <c r="P21" s="8">
        <v>44.873461561164902</v>
      </c>
      <c r="Q21" s="54">
        <v>0.3710285061586121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0.66877932603730961</v>
      </c>
      <c r="F22" s="14">
        <v>0.65152517208243643</v>
      </c>
      <c r="G22" s="14">
        <v>2.5192988434801136E-5</v>
      </c>
      <c r="H22" s="14">
        <v>39.46855255210604</v>
      </c>
      <c r="I22" s="14">
        <v>95.303394684864386</v>
      </c>
      <c r="J22" s="14">
        <v>0</v>
      </c>
      <c r="K22" s="14">
        <v>1.5348601141591374</v>
      </c>
      <c r="L22" s="14">
        <v>0.65152517208243643</v>
      </c>
      <c r="M22" s="14">
        <v>0.53457640369363912</v>
      </c>
      <c r="N22" s="14">
        <v>1.7439562691741064</v>
      </c>
      <c r="O22" s="14">
        <v>286.35761939838824</v>
      </c>
      <c r="P22" s="8">
        <v>1.7439562691741064</v>
      </c>
      <c r="Q22" s="54">
        <v>0.22146666734137252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0.76872006458800501</v>
      </c>
      <c r="F23" s="14">
        <v>0.76118433220329595</v>
      </c>
      <c r="G23" s="14">
        <v>9.9196952049213966E-7</v>
      </c>
      <c r="H23" s="14">
        <v>17.388809130064296</v>
      </c>
      <c r="I23" s="14">
        <v>45.115628432979413</v>
      </c>
      <c r="J23" s="14">
        <v>0</v>
      </c>
      <c r="K23" s="14">
        <v>1.313742227333341</v>
      </c>
      <c r="L23" s="14">
        <v>0.76118433220329607</v>
      </c>
      <c r="M23" s="14">
        <v>0.62455174457280438</v>
      </c>
      <c r="N23" s="14">
        <v>1.2445036643006158</v>
      </c>
      <c r="O23" s="14">
        <v>188.11917389568109</v>
      </c>
      <c r="P23" s="8">
        <v>1.244503664300616</v>
      </c>
      <c r="Q23" s="54">
        <v>0.15564207466775931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0.41918817960612614</v>
      </c>
      <c r="F24" s="14">
        <v>0.32414218117425014</v>
      </c>
      <c r="G24" s="14">
        <v>1.4924645967418058E-6</v>
      </c>
      <c r="H24" s="14">
        <v>222.06266636096794</v>
      </c>
      <c r="I24" s="14">
        <v>448.46930229847419</v>
      </c>
      <c r="J24" s="14">
        <v>0</v>
      </c>
      <c r="K24" s="14">
        <v>3.0850659311829176</v>
      </c>
      <c r="L24" s="14">
        <v>0.32414218117425014</v>
      </c>
      <c r="M24" s="14">
        <v>0.26595865965347226</v>
      </c>
      <c r="N24" s="14">
        <v>5.7328492011835062</v>
      </c>
      <c r="O24" s="14">
        <v>1010.4146717085929</v>
      </c>
      <c r="P24" s="8">
        <v>5.7328492011835062</v>
      </c>
      <c r="Q24" s="54">
        <v>0.39006117166832122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0.38909964086232185</v>
      </c>
      <c r="F25" s="14">
        <v>7.8962026532769264E-2</v>
      </c>
      <c r="G25" s="14">
        <v>5.5832461292077112E-4</v>
      </c>
      <c r="H25" s="14">
        <v>747.23685830929412</v>
      </c>
      <c r="I25" s="14">
        <v>1243.6994910114227</v>
      </c>
      <c r="J25" s="14">
        <v>0</v>
      </c>
      <c r="K25" s="14">
        <v>12.664315290654296</v>
      </c>
      <c r="L25" s="14">
        <v>7.8962026532769264E-2</v>
      </c>
      <c r="M25" s="14">
        <v>6.4788342770137189E-2</v>
      </c>
      <c r="N25" s="14">
        <v>15.389639166762091</v>
      </c>
      <c r="O25" s="14">
        <v>2959.4276117683503</v>
      </c>
      <c r="P25" s="8">
        <v>15.389639166762091</v>
      </c>
      <c r="Q25" s="54">
        <v>0.37334939902858921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0.42743847184537193</v>
      </c>
      <c r="F26" s="14">
        <v>2.1616313512084033E-2</v>
      </c>
      <c r="G26" s="14">
        <v>1.8629024685733096E-5</v>
      </c>
      <c r="H26" s="14">
        <v>789.1537607542864</v>
      </c>
      <c r="I26" s="14">
        <v>3373.0191066620878</v>
      </c>
      <c r="J26" s="14">
        <v>0</v>
      </c>
      <c r="K26" s="14">
        <v>46.26135716624281</v>
      </c>
      <c r="L26" s="14">
        <v>2.1616313512084033E-2</v>
      </c>
      <c r="M26" s="14">
        <v>1.773618523666495E-2</v>
      </c>
      <c r="N26" s="14">
        <v>42.228483093701399</v>
      </c>
      <c r="O26" s="14">
        <v>9390.3477855463807</v>
      </c>
      <c r="P26" s="8">
        <v>42.228483093701399</v>
      </c>
      <c r="Q26" s="54">
        <v>0.3713802474714738</v>
      </c>
    </row>
    <row r="27" spans="1:21">
      <c r="A27" s="2" t="s">
        <v>353</v>
      </c>
      <c r="B27" s="16" t="s">
        <v>354</v>
      </c>
      <c r="D27" s="14">
        <v>1</v>
      </c>
      <c r="E27" s="14">
        <v>0.4817036946536144</v>
      </c>
      <c r="F27" s="14">
        <v>3.8381572574595932E-3</v>
      </c>
      <c r="G27" s="14">
        <v>1.4674092501377377E-4</v>
      </c>
      <c r="H27" s="14">
        <v>385.85378495565561</v>
      </c>
      <c r="I27" s="14">
        <v>9002.8483674890049</v>
      </c>
      <c r="J27" s="14">
        <v>0</v>
      </c>
      <c r="K27" s="14">
        <v>260.54169564221604</v>
      </c>
      <c r="L27" s="14">
        <v>3.8381572574595932E-3</v>
      </c>
      <c r="M27" s="14">
        <v>3.1492080297455963E-3</v>
      </c>
      <c r="N27" s="14">
        <v>114.82760881297889</v>
      </c>
      <c r="O27" s="14">
        <v>27144.098447300079</v>
      </c>
      <c r="P27" s="8">
        <v>114.82760881297889</v>
      </c>
      <c r="Q27" s="54">
        <v>0.30295626329933073</v>
      </c>
    </row>
    <row r="28" spans="1:21">
      <c r="A28" s="2" t="s">
        <v>355</v>
      </c>
      <c r="B28" s="16" t="s">
        <v>356</v>
      </c>
      <c r="D28" s="14">
        <v>1</v>
      </c>
      <c r="E28" s="14">
        <v>0.43005895217952617</v>
      </c>
      <c r="F28" s="14">
        <v>1.2230013052805303E-2</v>
      </c>
      <c r="G28" s="14">
        <v>7.1672971155968031E-6</v>
      </c>
      <c r="H28" s="14">
        <v>642.2837295845452</v>
      </c>
      <c r="I28" s="14">
        <v>5048.7526173153419</v>
      </c>
      <c r="J28" s="14">
        <v>0</v>
      </c>
      <c r="K28" s="14">
        <v>81.76606154730321</v>
      </c>
      <c r="L28" s="14">
        <v>1.2230013052805303E-2</v>
      </c>
      <c r="M28" s="14">
        <v>1.0034725709826752E-2</v>
      </c>
      <c r="N28" s="14">
        <v>63.621475153270183</v>
      </c>
      <c r="O28" s="14">
        <v>16439.789179605013</v>
      </c>
      <c r="P28" s="8">
        <v>63.62147515327019</v>
      </c>
      <c r="Q28" s="54">
        <v>0.36323199107210313</v>
      </c>
    </row>
    <row r="29" spans="1:21">
      <c r="A29" s="2" t="s">
        <v>357</v>
      </c>
      <c r="B29" s="16" t="s">
        <v>358</v>
      </c>
      <c r="D29" s="14">
        <v>1</v>
      </c>
      <c r="E29" s="14">
        <v>0.3771683695199084</v>
      </c>
      <c r="F29" s="14">
        <v>1.6341622731214683E-2</v>
      </c>
      <c r="G29" s="14">
        <v>1.286541108555775E-3</v>
      </c>
      <c r="H29" s="14">
        <v>661.9042657737923</v>
      </c>
      <c r="I29" s="14">
        <v>3367.0715930802153</v>
      </c>
      <c r="J29" s="14">
        <v>0</v>
      </c>
      <c r="K29" s="14">
        <v>61.193433262283456</v>
      </c>
      <c r="L29" s="14">
        <v>1.6341622731214683E-2</v>
      </c>
      <c r="M29" s="14">
        <v>1.3408301450961647E-2</v>
      </c>
      <c r="N29" s="14">
        <v>42.231253087587014</v>
      </c>
      <c r="O29" s="14">
        <v>9983.0459173746949</v>
      </c>
      <c r="P29" s="8">
        <v>42.231253087587021</v>
      </c>
      <c r="Q29" s="54">
        <v>0.32828599127057895</v>
      </c>
    </row>
    <row r="30" spans="1:21">
      <c r="A30" s="2" t="s">
        <v>359</v>
      </c>
      <c r="B30" s="16" t="s">
        <v>360</v>
      </c>
      <c r="D30" s="14">
        <v>1</v>
      </c>
      <c r="E30" s="14">
        <v>0.43005895217952617</v>
      </c>
      <c r="F30" s="14">
        <v>1.2230013052805303E-2</v>
      </c>
      <c r="G30" s="14">
        <v>7.1672971155968031E-6</v>
      </c>
      <c r="H30" s="14">
        <v>642.2837295845452</v>
      </c>
      <c r="I30" s="14">
        <v>5048.7526173153419</v>
      </c>
      <c r="J30" s="14">
        <v>0</v>
      </c>
      <c r="K30" s="14">
        <v>81.76606154730321</v>
      </c>
      <c r="L30" s="14">
        <v>1.2230013052805303E-2</v>
      </c>
      <c r="M30" s="14">
        <v>1.0034725709826752E-2</v>
      </c>
      <c r="N30" s="14">
        <v>63.621475153270183</v>
      </c>
      <c r="O30" s="14">
        <v>16439.789179605013</v>
      </c>
      <c r="P30" s="8">
        <v>63.62147515327019</v>
      </c>
      <c r="Q30" s="54">
        <v>0.36323199107210313</v>
      </c>
    </row>
    <row r="31" spans="1:21">
      <c r="A31" s="2" t="s">
        <v>283</v>
      </c>
      <c r="B31" s="16" t="s">
        <v>284</v>
      </c>
      <c r="D31" s="14">
        <v>1</v>
      </c>
      <c r="E31" s="14">
        <v>0.97625168958527242</v>
      </c>
      <c r="F31" s="14">
        <v>0.97654850739212729</v>
      </c>
      <c r="G31" s="14">
        <v>2.9040380891765006E-10</v>
      </c>
      <c r="H31" s="14">
        <v>0.17012722594452881</v>
      </c>
      <c r="I31" s="14">
        <v>0.63216579185471022</v>
      </c>
      <c r="J31" s="14">
        <v>0</v>
      </c>
      <c r="K31" s="14">
        <v>1.0240146725230268</v>
      </c>
      <c r="L31" s="14">
        <v>0.9765485073921274</v>
      </c>
      <c r="M31" s="14">
        <v>0.80125805031524056</v>
      </c>
      <c r="N31" s="14">
        <v>0.91800841803183764</v>
      </c>
      <c r="O31" s="14">
        <v>178.26805469760254</v>
      </c>
      <c r="P31" s="8">
        <v>0.91800841803183764</v>
      </c>
      <c r="Q31" s="54">
        <v>1.5726460603645621E-2</v>
      </c>
    </row>
    <row r="32" spans="1:21">
      <c r="A32" s="2" t="s">
        <v>361</v>
      </c>
      <c r="B32" s="16" t="s">
        <v>362</v>
      </c>
      <c r="D32" s="14">
        <v>1</v>
      </c>
      <c r="E32" s="14">
        <v>0.58773403450382644</v>
      </c>
      <c r="F32" s="14">
        <v>0.55686683776297374</v>
      </c>
      <c r="G32" s="14">
        <v>3.0278452422007286E-10</v>
      </c>
      <c r="H32" s="14">
        <v>70.873401419106784</v>
      </c>
      <c r="I32" s="14">
        <v>161.79442509441435</v>
      </c>
      <c r="J32" s="14">
        <v>0</v>
      </c>
      <c r="K32" s="14">
        <v>1.7957614499314873</v>
      </c>
      <c r="L32" s="14">
        <v>0.55686683776297374</v>
      </c>
      <c r="M32" s="14">
        <v>0.45690924038451997</v>
      </c>
      <c r="N32" s="14">
        <v>2.5488626104437366</v>
      </c>
      <c r="O32" s="14">
        <v>652.73822590853649</v>
      </c>
      <c r="P32" s="8">
        <v>2.5488626104437371</v>
      </c>
      <c r="Q32" s="54">
        <v>0.277436472007353</v>
      </c>
    </row>
    <row r="33" spans="1:17">
      <c r="A33" s="2" t="s">
        <v>364</v>
      </c>
      <c r="B33" s="16" t="s">
        <v>365</v>
      </c>
      <c r="D33" s="14">
        <v>1</v>
      </c>
      <c r="E33" s="14">
        <v>0.9994848917477408</v>
      </c>
      <c r="F33" s="14">
        <v>0.99945423687230894</v>
      </c>
      <c r="G33" s="14">
        <v>1.3410570326494939E-12</v>
      </c>
      <c r="H33" s="14">
        <v>1.1941610821900743</v>
      </c>
      <c r="I33" s="14">
        <v>3.3810520095457867E-3</v>
      </c>
      <c r="J33" s="14">
        <v>0</v>
      </c>
      <c r="K33" s="14">
        <v>1.0005460611477308</v>
      </c>
      <c r="L33" s="14">
        <v>0.99945423687230905</v>
      </c>
      <c r="M33" s="14">
        <v>0.82005220135372958</v>
      </c>
      <c r="N33" s="14">
        <v>0.93468042463929035</v>
      </c>
      <c r="O33" s="14">
        <v>276.80560775692584</v>
      </c>
      <c r="P33" s="8">
        <v>0.93468042463929035</v>
      </c>
      <c r="Q33" s="54">
        <v>3.8552438356178484E-5</v>
      </c>
    </row>
    <row r="34" spans="1:17">
      <c r="A34" s="2" t="s">
        <v>285</v>
      </c>
      <c r="B34" s="16" t="s">
        <v>286</v>
      </c>
      <c r="D34" s="14">
        <v>1</v>
      </c>
      <c r="E34" s="14">
        <v>0.99909011738740949</v>
      </c>
      <c r="F34" s="14">
        <v>0.92349204178881072</v>
      </c>
      <c r="G34" s="14">
        <v>6.6989681283828543E-12</v>
      </c>
      <c r="H34" s="14">
        <v>215.87043031741939</v>
      </c>
      <c r="I34" s="14">
        <v>0.16414561286821086</v>
      </c>
      <c r="J34" s="14">
        <v>0</v>
      </c>
      <c r="K34" s="14">
        <v>1.0828463643963762</v>
      </c>
      <c r="L34" s="14">
        <v>0.92349204178881072</v>
      </c>
      <c r="M34" s="14">
        <v>0.75772522028771927</v>
      </c>
      <c r="N34" s="14">
        <v>1.1895893041701926</v>
      </c>
      <c r="O34" s="14">
        <v>262.94681979377935</v>
      </c>
      <c r="P34" s="8">
        <v>1.1895893041701926</v>
      </c>
      <c r="Q34" s="54">
        <v>2.2071369418185478E-4</v>
      </c>
    </row>
    <row r="35" spans="1:17">
      <c r="A35" s="2" t="s">
        <v>287</v>
      </c>
      <c r="B35" s="16" t="s">
        <v>288</v>
      </c>
      <c r="D35" s="14">
        <v>1</v>
      </c>
      <c r="E35" s="14">
        <v>0.99807993069824685</v>
      </c>
      <c r="F35" s="14">
        <v>0.82683705089804005</v>
      </c>
      <c r="G35" s="14">
        <v>2.9511022953095291E-13</v>
      </c>
      <c r="H35" s="14">
        <v>487.52841073755621</v>
      </c>
      <c r="I35" s="14">
        <v>0.87415584808318103</v>
      </c>
      <c r="J35" s="14">
        <v>0</v>
      </c>
      <c r="K35" s="14">
        <v>1.2094281441716781</v>
      </c>
      <c r="L35" s="14">
        <v>0.82683705089804005</v>
      </c>
      <c r="M35" s="14">
        <v>0.6784198002618419</v>
      </c>
      <c r="N35" s="14">
        <v>1.4757025199162734</v>
      </c>
      <c r="O35" s="14">
        <v>339.79526223592114</v>
      </c>
      <c r="P35" s="8">
        <v>1.4757025199162737</v>
      </c>
      <c r="Q35" s="54">
        <v>8.0795815229310012E-4</v>
      </c>
    </row>
    <row r="36" spans="1:17">
      <c r="A36" s="2" t="s">
        <v>366</v>
      </c>
      <c r="B36" s="16" t="s">
        <v>305</v>
      </c>
      <c r="D36" s="14">
        <v>1</v>
      </c>
      <c r="E36" s="14">
        <v>0.99626098629157656</v>
      </c>
      <c r="F36" s="14">
        <v>0.54720906583368378</v>
      </c>
      <c r="G36" s="14">
        <v>1.0322259152227126E-9</v>
      </c>
      <c r="H36" s="14">
        <v>1276.5366375804115</v>
      </c>
      <c r="I36" s="14">
        <v>3.3840493111931562</v>
      </c>
      <c r="J36" s="14">
        <v>0</v>
      </c>
      <c r="K36" s="14">
        <v>1.8274551034283035</v>
      </c>
      <c r="L36" s="14">
        <v>0.54720906583368378</v>
      </c>
      <c r="M36" s="14">
        <v>0.44898503851653759</v>
      </c>
      <c r="N36" s="14">
        <v>2.213725100490548</v>
      </c>
      <c r="O36" s="14">
        <v>456.6472137291903</v>
      </c>
      <c r="P36" s="8">
        <v>2.2137251004905485</v>
      </c>
      <c r="Q36" s="54">
        <v>1.7915819684741967E-3</v>
      </c>
    </row>
    <row r="37" spans="1:17">
      <c r="A37" s="2" t="s">
        <v>289</v>
      </c>
      <c r="B37" s="16" t="s">
        <v>290</v>
      </c>
      <c r="D37" s="14">
        <v>1</v>
      </c>
      <c r="E37" s="14">
        <v>0.79753743058321358</v>
      </c>
      <c r="F37" s="14">
        <v>0.59312756047116433</v>
      </c>
      <c r="G37" s="14">
        <v>1.3223620767277037E-16</v>
      </c>
      <c r="H37" s="14">
        <v>562.42951655501111</v>
      </c>
      <c r="I37" s="14">
        <v>177.78668040811127</v>
      </c>
      <c r="J37" s="14">
        <v>0</v>
      </c>
      <c r="K37" s="14">
        <v>1.685977969402783</v>
      </c>
      <c r="L37" s="14">
        <v>0.59312756047116433</v>
      </c>
      <c r="M37" s="14">
        <v>0.48666116336659032</v>
      </c>
      <c r="N37" s="14">
        <v>3.3630484892533485</v>
      </c>
      <c r="O37" s="14">
        <v>1171.7533546256518</v>
      </c>
      <c r="P37" s="8">
        <v>3.363048489253349</v>
      </c>
      <c r="Q37" s="54">
        <v>0.13554990606850228</v>
      </c>
    </row>
    <row r="38" spans="1:17">
      <c r="A38" s="2" t="s">
        <v>291</v>
      </c>
      <c r="B38" s="16" t="s">
        <v>292</v>
      </c>
      <c r="D38" s="14">
        <v>1</v>
      </c>
      <c r="E38" s="14">
        <v>0.99656893591237905</v>
      </c>
      <c r="F38" s="14">
        <v>0.93827524164741927</v>
      </c>
      <c r="G38" s="14">
        <v>2.0459148355865335E-14</v>
      </c>
      <c r="H38" s="14">
        <v>166.58283800382841</v>
      </c>
      <c r="I38" s="14">
        <v>1.2885726814920355</v>
      </c>
      <c r="J38" s="14">
        <v>0</v>
      </c>
      <c r="K38" s="14">
        <v>1.0657853427361086</v>
      </c>
      <c r="L38" s="14">
        <v>0.93827524164741938</v>
      </c>
      <c r="M38" s="14">
        <v>0.76985483577170755</v>
      </c>
      <c r="N38" s="14">
        <v>1.146063746011668</v>
      </c>
      <c r="O38" s="14">
        <v>353.36583480777756</v>
      </c>
      <c r="P38" s="8">
        <v>1.146063746011668</v>
      </c>
      <c r="Q38" s="54">
        <v>1.9369076739078326E-3</v>
      </c>
    </row>
    <row r="39" spans="1:17">
      <c r="A39" s="2" t="s">
        <v>367</v>
      </c>
      <c r="B39" s="16" t="s">
        <v>368</v>
      </c>
      <c r="D39" s="14">
        <v>1</v>
      </c>
      <c r="E39" s="14">
        <v>0.46585222376160851</v>
      </c>
      <c r="F39" s="14">
        <v>4.9312676932221473E-2</v>
      </c>
      <c r="G39" s="14">
        <v>7.6620867804872409E-7</v>
      </c>
      <c r="H39" s="14">
        <v>1007.9026308068221</v>
      </c>
      <c r="I39" s="14">
        <v>1629.9555068497357</v>
      </c>
      <c r="J39" s="14">
        <v>0</v>
      </c>
      <c r="K39" s="14">
        <v>20.278761207274641</v>
      </c>
      <c r="L39" s="14">
        <v>4.931267693222148E-2</v>
      </c>
      <c r="M39" s="14">
        <v>4.0461051422887723E-2</v>
      </c>
      <c r="N39" s="14">
        <v>20.222530815818498</v>
      </c>
      <c r="O39" s="14">
        <v>5628.7392272749203</v>
      </c>
      <c r="P39" s="8">
        <v>20.222530815818502</v>
      </c>
      <c r="Q39" s="54">
        <v>0.35381459971639084</v>
      </c>
    </row>
    <row r="40" spans="1:17">
      <c r="A40" s="2" t="s">
        <v>369</v>
      </c>
      <c r="B40" s="16" t="s">
        <v>370</v>
      </c>
      <c r="D40" s="14">
        <v>1</v>
      </c>
      <c r="E40" s="14">
        <v>0.86803485722568507</v>
      </c>
      <c r="F40" s="14">
        <v>8.8162695083392507E-3</v>
      </c>
      <c r="G40" s="14">
        <v>8.9498956005120082E-14</v>
      </c>
      <c r="H40" s="14">
        <v>2277.3241823951448</v>
      </c>
      <c r="I40" s="14">
        <v>1525.4811662616621</v>
      </c>
      <c r="J40" s="14">
        <v>0</v>
      </c>
      <c r="K40" s="14">
        <v>113.42665954734105</v>
      </c>
      <c r="L40" s="14">
        <v>8.8162695083392507E-3</v>
      </c>
      <c r="M40" s="14">
        <v>7.2337491315923553E-3</v>
      </c>
      <c r="N40" s="14">
        <v>217.8759027863552</v>
      </c>
      <c r="O40" s="14">
        <v>88653.704843767919</v>
      </c>
      <c r="P40" s="8">
        <v>217.8759027863552</v>
      </c>
      <c r="Q40" s="54">
        <v>1.7014016520638539E-2</v>
      </c>
    </row>
    <row r="41" spans="1:17">
      <c r="A41" s="2" t="s">
        <v>371</v>
      </c>
      <c r="B41" s="16" t="s">
        <v>372</v>
      </c>
      <c r="D41" s="14">
        <v>1</v>
      </c>
      <c r="E41" s="14">
        <v>0.91350508051077395</v>
      </c>
      <c r="F41" s="14">
        <v>0.91385715671942203</v>
      </c>
      <c r="G41" s="14">
        <v>9.0570508274896754E-4</v>
      </c>
      <c r="H41" s="14">
        <v>7.9206043014120164E-3</v>
      </c>
      <c r="I41" s="14">
        <v>3.6712629212574385E-2</v>
      </c>
      <c r="J41" s="14">
        <v>0</v>
      </c>
      <c r="K41" s="14">
        <v>1.0942629191522828</v>
      </c>
      <c r="L41" s="14">
        <v>0.91385715671942203</v>
      </c>
      <c r="M41" s="14">
        <v>0.74981979708828583</v>
      </c>
      <c r="N41" s="14">
        <v>0.85269081333517205</v>
      </c>
      <c r="O41" s="14">
        <v>119.53872512145776</v>
      </c>
      <c r="P41" s="8">
        <v>0.85269081333517205</v>
      </c>
      <c r="Q41" s="54">
        <v>3.0804593917171602E-3</v>
      </c>
    </row>
    <row r="42" spans="1:17">
      <c r="A42" s="2" t="s">
        <v>293</v>
      </c>
      <c r="B42" s="16" t="s">
        <v>294</v>
      </c>
      <c r="D42" s="14">
        <v>1</v>
      </c>
      <c r="E42" s="14">
        <v>0.64534862730936149</v>
      </c>
      <c r="F42" s="14">
        <v>0.62464136146227112</v>
      </c>
      <c r="G42" s="14">
        <v>2.3095066969515502E-10</v>
      </c>
      <c r="H42" s="14">
        <v>47.390439703052508</v>
      </c>
      <c r="I42" s="14">
        <v>112.55062448212828</v>
      </c>
      <c r="J42" s="14">
        <v>0</v>
      </c>
      <c r="K42" s="14">
        <v>1.6009186417931449</v>
      </c>
      <c r="L42" s="14">
        <v>0.62464136146227112</v>
      </c>
      <c r="M42" s="14">
        <v>0.51251823707979349</v>
      </c>
      <c r="N42" s="14">
        <v>1.926448609011866</v>
      </c>
      <c r="O42" s="14">
        <v>636.42156247316007</v>
      </c>
      <c r="P42" s="8">
        <v>1.926448609011866</v>
      </c>
      <c r="Q42" s="54">
        <v>0.23875248965849705</v>
      </c>
    </row>
    <row r="43" spans="1:17">
      <c r="A43" s="2" t="s">
        <v>373</v>
      </c>
      <c r="B43" s="16" t="s">
        <v>374</v>
      </c>
      <c r="D43" s="14">
        <v>1</v>
      </c>
      <c r="E43" s="14">
        <v>0.99282862171950126</v>
      </c>
      <c r="F43" s="14">
        <v>8.1431257546487057E-2</v>
      </c>
      <c r="G43" s="14">
        <v>4.4093437883106984E-9</v>
      </c>
      <c r="H43" s="14">
        <v>2588.2793157039987</v>
      </c>
      <c r="I43" s="14">
        <v>20.234602556874339</v>
      </c>
      <c r="J43" s="14">
        <v>0</v>
      </c>
      <c r="K43" s="14">
        <v>12.28029665916832</v>
      </c>
      <c r="L43" s="14">
        <v>8.1431257546487057E-2</v>
      </c>
      <c r="M43" s="14">
        <v>6.6814346816892634E-2</v>
      </c>
      <c r="N43" s="14">
        <v>6.7133858352438391</v>
      </c>
      <c r="O43" s="14">
        <v>1788.0431833588439</v>
      </c>
      <c r="P43" s="8">
        <v>6.7133858352438391</v>
      </c>
      <c r="Q43" s="54">
        <v>2.6199601066946012E-3</v>
      </c>
    </row>
    <row r="44" spans="1:17">
      <c r="A44" s="2" t="s">
        <v>375</v>
      </c>
      <c r="B44" s="16" t="s">
        <v>376</v>
      </c>
      <c r="D44" s="14">
        <v>1</v>
      </c>
      <c r="E44" s="14">
        <v>0.78284515523455178</v>
      </c>
      <c r="F44" s="14">
        <v>0.7805577774233784</v>
      </c>
      <c r="G44" s="14">
        <v>9.652805224951447E-4</v>
      </c>
      <c r="H44" s="14">
        <v>5.6444945151487271</v>
      </c>
      <c r="I44" s="14">
        <v>15.939776445107981</v>
      </c>
      <c r="J44" s="14">
        <v>0</v>
      </c>
      <c r="K44" s="14">
        <v>1.2811351432574285</v>
      </c>
      <c r="L44" s="14">
        <v>0.78055777742337851</v>
      </c>
      <c r="M44" s="14">
        <v>0.64044765637588208</v>
      </c>
      <c r="N44" s="14">
        <v>0.91547440470180308</v>
      </c>
      <c r="O44" s="14">
        <v>136.77187606244939</v>
      </c>
      <c r="P44" s="8">
        <v>0.91547440470180308</v>
      </c>
      <c r="Q44" s="54">
        <v>8.7635935315742292E-2</v>
      </c>
    </row>
    <row r="45" spans="1:17">
      <c r="A45" s="2" t="s">
        <v>377</v>
      </c>
      <c r="B45" s="16" t="s">
        <v>378</v>
      </c>
      <c r="D45" s="14">
        <v>1</v>
      </c>
      <c r="E45" s="14">
        <v>0.62227366335282908</v>
      </c>
      <c r="F45" s="14">
        <v>0.59807768203577838</v>
      </c>
      <c r="G45" s="14">
        <v>9.0183291937033135E-6</v>
      </c>
      <c r="H45" s="14">
        <v>55.423965608056555</v>
      </c>
      <c r="I45" s="14">
        <v>129.7044173967615</v>
      </c>
      <c r="J45" s="14">
        <v>0</v>
      </c>
      <c r="K45" s="14">
        <v>1.6720236016768433</v>
      </c>
      <c r="L45" s="14">
        <v>0.59807768203577838</v>
      </c>
      <c r="M45" s="14">
        <v>0.49072273811035616</v>
      </c>
      <c r="N45" s="14">
        <v>2.1084687032753497</v>
      </c>
      <c r="O45" s="14">
        <v>468.58608461591382</v>
      </c>
      <c r="P45" s="8">
        <v>2.1084687032753502</v>
      </c>
      <c r="Q45" s="54">
        <v>0.25372003771471457</v>
      </c>
    </row>
    <row r="46" spans="1:17">
      <c r="A46" s="2" t="s">
        <v>379</v>
      </c>
      <c r="B46" s="16" t="s">
        <v>380</v>
      </c>
      <c r="D46" s="14">
        <v>1</v>
      </c>
      <c r="E46" s="14">
        <v>0.63539083031640908</v>
      </c>
      <c r="F46" s="14">
        <v>0.61347569574167349</v>
      </c>
      <c r="G46" s="14">
        <v>2.6660350179823316E-5</v>
      </c>
      <c r="H46" s="14">
        <v>50.169221488503979</v>
      </c>
      <c r="I46" s="14">
        <v>118.49350135390316</v>
      </c>
      <c r="J46" s="14">
        <v>0</v>
      </c>
      <c r="K46" s="14">
        <v>1.6300564259371846</v>
      </c>
      <c r="L46" s="14">
        <v>0.61347569574167349</v>
      </c>
      <c r="M46" s="14">
        <v>0.50335680835604313</v>
      </c>
      <c r="N46" s="14">
        <v>1.9876703929760045</v>
      </c>
      <c r="O46" s="14">
        <v>255.53490572099514</v>
      </c>
      <c r="P46" s="8">
        <v>1.9876703929760047</v>
      </c>
      <c r="Q46" s="54">
        <v>0.2438341512805228</v>
      </c>
    </row>
    <row r="47" spans="1:17">
      <c r="A47" s="2" t="s">
        <v>381</v>
      </c>
      <c r="B47" s="16" t="s">
        <v>382</v>
      </c>
      <c r="D47" s="14">
        <v>1</v>
      </c>
      <c r="E47" s="14">
        <v>0.49414509550750635</v>
      </c>
      <c r="F47" s="14">
        <v>3.5804058532523191E-3</v>
      </c>
      <c r="G47" s="14">
        <v>2.5507080108387585E-9</v>
      </c>
      <c r="H47" s="14">
        <v>375.86532170378212</v>
      </c>
      <c r="I47" s="14">
        <v>9429.5165960898212</v>
      </c>
      <c r="J47" s="14">
        <v>0</v>
      </c>
      <c r="K47" s="14">
        <v>279.29794581573316</v>
      </c>
      <c r="L47" s="14">
        <v>3.5804058532523191E-3</v>
      </c>
      <c r="M47" s="14">
        <v>2.937723002593528E-3</v>
      </c>
      <c r="N47" s="14">
        <v>120.36752930329521</v>
      </c>
      <c r="O47" s="14">
        <v>47098.610541086389</v>
      </c>
      <c r="P47" s="8">
        <v>120.36752930329521</v>
      </c>
      <c r="Q47" s="54">
        <v>0.30164034525985656</v>
      </c>
    </row>
    <row r="48" spans="1:17">
      <c r="A48" s="2" t="s">
        <v>383</v>
      </c>
      <c r="B48" s="16" t="s">
        <v>384</v>
      </c>
      <c r="D48" s="14">
        <v>1</v>
      </c>
      <c r="E48" s="14">
        <v>0.91084399261603133</v>
      </c>
      <c r="F48" s="14">
        <v>0.91035603367371953</v>
      </c>
      <c r="G48" s="14">
        <v>1.3132268772502522E-4</v>
      </c>
      <c r="H48" s="14">
        <v>1.7935408594514071</v>
      </c>
      <c r="I48" s="14">
        <v>5.5740190128909637</v>
      </c>
      <c r="J48" s="14">
        <v>0</v>
      </c>
      <c r="K48" s="14">
        <v>1.0984713266133079</v>
      </c>
      <c r="L48" s="14">
        <v>0.91035603367371953</v>
      </c>
      <c r="M48" s="14">
        <v>0.74694712562928689</v>
      </c>
      <c r="N48" s="14">
        <v>0.91404896683744508</v>
      </c>
      <c r="O48" s="14">
        <v>85.125380281571253</v>
      </c>
      <c r="P48" s="8">
        <v>0.91404896683744508</v>
      </c>
      <c r="Q48" s="54">
        <v>5.1900130009102013E-2</v>
      </c>
    </row>
    <row r="49" spans="1:17">
      <c r="A49" s="2" t="s">
        <v>385</v>
      </c>
      <c r="B49" s="16" t="s">
        <v>386</v>
      </c>
      <c r="D49" s="14">
        <v>1</v>
      </c>
      <c r="E49" s="14">
        <v>0.87510145053549682</v>
      </c>
      <c r="F49" s="14">
        <v>0.87394734265130058</v>
      </c>
      <c r="G49" s="14">
        <v>2.4666853464565237E-4</v>
      </c>
      <c r="H49" s="14">
        <v>3.2172533826784107</v>
      </c>
      <c r="I49" s="14">
        <v>9.5486601603651629</v>
      </c>
      <c r="J49" s="14">
        <v>0</v>
      </c>
      <c r="K49" s="14">
        <v>1.1442336982984496</v>
      </c>
      <c r="L49" s="14">
        <v>0.87394734265130058</v>
      </c>
      <c r="M49" s="14">
        <v>0.71707379464539212</v>
      </c>
      <c r="N49" s="14">
        <v>0.92690890735083176</v>
      </c>
      <c r="O49" s="14">
        <v>102.99811778482443</v>
      </c>
      <c r="P49" s="8">
        <v>0.92690890735083176</v>
      </c>
      <c r="Q49" s="54">
        <v>6.9014832287709965E-2</v>
      </c>
    </row>
    <row r="50" spans="1:17">
      <c r="A50" s="2" t="s">
        <v>387</v>
      </c>
      <c r="B50" s="16" t="s">
        <v>388</v>
      </c>
      <c r="D50" s="14">
        <v>1</v>
      </c>
      <c r="E50" s="14">
        <v>0.36322543634127319</v>
      </c>
      <c r="F50" s="14">
        <v>0.19204427634233562</v>
      </c>
      <c r="G50" s="14">
        <v>1.8589591899513403E-4</v>
      </c>
      <c r="H50" s="14">
        <v>405.36044500255338</v>
      </c>
      <c r="I50" s="14">
        <v>753.52651499811839</v>
      </c>
      <c r="J50" s="14">
        <v>0</v>
      </c>
      <c r="K50" s="14">
        <v>5.207132537589473</v>
      </c>
      <c r="L50" s="14">
        <v>0.19204427634233562</v>
      </c>
      <c r="M50" s="14">
        <v>0.15757232873888638</v>
      </c>
      <c r="N50" s="14">
        <v>9.3696141006260447</v>
      </c>
      <c r="O50" s="14">
        <v>1850.0303041686125</v>
      </c>
      <c r="P50" s="8">
        <v>9.3696141006260447</v>
      </c>
      <c r="Q50" s="54">
        <v>0.41543065352690423</v>
      </c>
    </row>
    <row r="51" spans="1:17">
      <c r="A51" s="2" t="s">
        <v>295</v>
      </c>
      <c r="B51" s="16" t="s">
        <v>296</v>
      </c>
      <c r="D51" s="14">
        <v>1</v>
      </c>
      <c r="E51" s="14">
        <v>0.9046639436062438</v>
      </c>
      <c r="F51" s="14">
        <v>0.90487681265262798</v>
      </c>
      <c r="G51" s="14">
        <v>7.2667119844003266E-4</v>
      </c>
      <c r="H51" s="14">
        <v>0.28728269060932921</v>
      </c>
      <c r="I51" s="14">
        <v>1.021331273588125</v>
      </c>
      <c r="J51" s="14">
        <v>0</v>
      </c>
      <c r="K51" s="14">
        <v>1.1051228034769951</v>
      </c>
      <c r="L51" s="14">
        <v>0.90487681265262798</v>
      </c>
      <c r="M51" s="14">
        <v>0.7424514247814813</v>
      </c>
      <c r="N51" s="14">
        <v>0.85568271297394827</v>
      </c>
      <c r="O51" s="14">
        <v>49.698051969526908</v>
      </c>
      <c r="P51" s="8">
        <v>0.85568271297394827</v>
      </c>
      <c r="Q51" s="54">
        <v>1.9923545703237379E-2</v>
      </c>
    </row>
    <row r="52" spans="1:17">
      <c r="A52" s="2" t="s">
        <v>389</v>
      </c>
      <c r="B52" s="16" t="s">
        <v>390</v>
      </c>
      <c r="D52" s="14">
        <v>1</v>
      </c>
      <c r="E52" s="14">
        <v>0.75681833862070502</v>
      </c>
      <c r="F52" s="14">
        <v>0.75260388567602277</v>
      </c>
      <c r="G52" s="14">
        <v>7.947946661897218E-4</v>
      </c>
      <c r="H52" s="14">
        <v>9.9180537194075349</v>
      </c>
      <c r="I52" s="14">
        <v>26.796842706258992</v>
      </c>
      <c r="J52" s="14">
        <v>0</v>
      </c>
      <c r="K52" s="14">
        <v>1.3287202192714629</v>
      </c>
      <c r="L52" s="14">
        <v>0.75260388567602277</v>
      </c>
      <c r="M52" s="14">
        <v>0.61751148819717672</v>
      </c>
      <c r="N52" s="14">
        <v>1.0183236353425291</v>
      </c>
      <c r="O52" s="14">
        <v>109.11337752695199</v>
      </c>
      <c r="P52" s="8">
        <v>1.0183236353425291</v>
      </c>
      <c r="Q52" s="54">
        <v>0.11552703491760892</v>
      </c>
    </row>
    <row r="53" spans="1:17">
      <c r="A53" s="2" t="s">
        <v>391</v>
      </c>
      <c r="B53" s="16" t="s">
        <v>392</v>
      </c>
      <c r="D53" s="14">
        <v>1</v>
      </c>
      <c r="E53" s="14">
        <v>0.55036072735398012</v>
      </c>
      <c r="F53" s="14">
        <v>0.51184955370424157</v>
      </c>
      <c r="G53" s="14">
        <v>2.9444949691401665E-5</v>
      </c>
      <c r="H53" s="14">
        <v>88.63032237162227</v>
      </c>
      <c r="I53" s="14">
        <v>198.07948569797293</v>
      </c>
      <c r="J53" s="14">
        <v>0</v>
      </c>
      <c r="K53" s="14">
        <v>1.9536990757597159</v>
      </c>
      <c r="L53" s="14">
        <v>0.51184955370424168</v>
      </c>
      <c r="M53" s="14">
        <v>0.41997255881433027</v>
      </c>
      <c r="N53" s="14">
        <v>2.8549560879163067</v>
      </c>
      <c r="O53" s="14">
        <v>462.55998536420009</v>
      </c>
      <c r="P53" s="8">
        <v>2.8549560879163072</v>
      </c>
      <c r="Q53" s="54">
        <v>0.30077345161623248</v>
      </c>
    </row>
    <row r="54" spans="1:17">
      <c r="A54" s="2" t="s">
        <v>393</v>
      </c>
      <c r="B54" s="16" t="s">
        <v>394</v>
      </c>
      <c r="D54" s="14">
        <v>1</v>
      </c>
      <c r="E54" s="14">
        <v>0.4731480720791319</v>
      </c>
      <c r="F54" s="14">
        <v>4.8004986279689115E-3</v>
      </c>
      <c r="G54" s="14">
        <v>1.1296264105548446E-5</v>
      </c>
      <c r="H54" s="14">
        <v>431.22740195201806</v>
      </c>
      <c r="I54" s="14">
        <v>8332.2735730197383</v>
      </c>
      <c r="J54" s="14">
        <v>0</v>
      </c>
      <c r="K54" s="14">
        <v>208.31169374234349</v>
      </c>
      <c r="L54" s="14">
        <v>4.8004986279689115E-3</v>
      </c>
      <c r="M54" s="14">
        <v>3.9388091242484923E-3</v>
      </c>
      <c r="N54" s="14">
        <v>106.05037304596156</v>
      </c>
      <c r="O54" s="14">
        <v>24751.096565196971</v>
      </c>
      <c r="P54" s="8">
        <v>106.05037304596158</v>
      </c>
      <c r="Q54" s="54">
        <v>0.31986264241722218</v>
      </c>
    </row>
    <row r="55" spans="1:17">
      <c r="A55" s="2" t="s">
        <v>395</v>
      </c>
      <c r="B55" s="16" t="s">
        <v>396</v>
      </c>
      <c r="D55" s="14">
        <v>1</v>
      </c>
      <c r="E55" s="14">
        <v>0.31531487484044973</v>
      </c>
      <c r="F55" s="14">
        <v>0.23529541750573363</v>
      </c>
      <c r="G55" s="14">
        <v>2.5418034032529883E-3</v>
      </c>
      <c r="H55" s="14">
        <v>187.28951678726307</v>
      </c>
      <c r="I55" s="14">
        <v>374.08529773278622</v>
      </c>
      <c r="J55" s="14">
        <v>0</v>
      </c>
      <c r="K55" s="14">
        <v>4.2499765214323908</v>
      </c>
      <c r="L55" s="14">
        <v>0.23529541750573366</v>
      </c>
      <c r="M55" s="14">
        <v>0.19305989006345448</v>
      </c>
      <c r="N55" s="14">
        <v>4.753616876409648</v>
      </c>
      <c r="O55" s="14">
        <v>609.27107504942455</v>
      </c>
      <c r="P55" s="8">
        <v>4.7536168764096489</v>
      </c>
      <c r="Q55" s="54">
        <v>0.30617564395320485</v>
      </c>
    </row>
    <row r="56" spans="1:17">
      <c r="A56" s="2" t="s">
        <v>397</v>
      </c>
      <c r="B56" s="16" t="s">
        <v>398</v>
      </c>
      <c r="D56" s="14">
        <v>1</v>
      </c>
      <c r="E56" s="14">
        <v>6.3833151966921131E-2</v>
      </c>
      <c r="F56" s="14">
        <v>2.223514966036412E-2</v>
      </c>
      <c r="G56" s="14">
        <v>9.2195249644873179E-3</v>
      </c>
      <c r="H56" s="14">
        <v>99.375667074824818</v>
      </c>
      <c r="I56" s="14">
        <v>174.7983093077433</v>
      </c>
      <c r="J56" s="14">
        <v>0</v>
      </c>
      <c r="K56" s="14">
        <v>44.973837157596364</v>
      </c>
      <c r="L56" s="14">
        <v>2.223514966036412E-2</v>
      </c>
      <c r="M56" s="14">
        <v>1.824394029632876E-2</v>
      </c>
      <c r="N56" s="14">
        <v>2.1629886525427282</v>
      </c>
      <c r="O56" s="14">
        <v>392.47429100387797</v>
      </c>
      <c r="P56" s="8">
        <v>2.1629886525427282</v>
      </c>
      <c r="Q56" s="54">
        <v>7.1111072332895195E-2</v>
      </c>
    </row>
    <row r="57" spans="1:17">
      <c r="A57" s="2" t="s">
        <v>399</v>
      </c>
      <c r="B57" s="16" t="s">
        <v>400</v>
      </c>
      <c r="D57" s="14">
        <v>1</v>
      </c>
      <c r="E57" s="14">
        <v>4.8994253216757801E-2</v>
      </c>
      <c r="F57" s="14">
        <v>3.3354598958968723E-2</v>
      </c>
      <c r="G57" s="14">
        <v>9.715478855870591E-3</v>
      </c>
      <c r="H57" s="14">
        <v>36.748170547035052</v>
      </c>
      <c r="I57" s="14">
        <v>71.662654983642796</v>
      </c>
      <c r="J57" s="14">
        <v>0</v>
      </c>
      <c r="K57" s="14">
        <v>29.980873139267946</v>
      </c>
      <c r="L57" s="14">
        <v>3.3354598958968723E-2</v>
      </c>
      <c r="M57" s="14">
        <v>2.7367448445833838E-2</v>
      </c>
      <c r="N57" s="14">
        <v>0.90151788894047535</v>
      </c>
      <c r="O57" s="14">
        <v>132.52312967424987</v>
      </c>
      <c r="P57" s="8">
        <v>0.90151788894047535</v>
      </c>
      <c r="Q57" s="54">
        <v>5.1415361542783006E-2</v>
      </c>
    </row>
    <row r="58" spans="1:17">
      <c r="A58" s="2" t="s">
        <v>297</v>
      </c>
      <c r="B58" s="16" t="s">
        <v>298</v>
      </c>
      <c r="D58" s="14">
        <v>1</v>
      </c>
      <c r="E58" s="14">
        <v>5.9559427547678227E-2</v>
      </c>
      <c r="F58" s="14">
        <v>5.9452604812873733E-2</v>
      </c>
      <c r="G58" s="14">
        <v>1.0360945157848035E-2</v>
      </c>
      <c r="H58" s="14">
        <v>0.28104177987137369</v>
      </c>
      <c r="I58" s="14">
        <v>0.81889469565264772</v>
      </c>
      <c r="J58" s="14">
        <v>0</v>
      </c>
      <c r="K58" s="14">
        <v>16.82012088700716</v>
      </c>
      <c r="L58" s="14">
        <v>5.9452604812873733E-2</v>
      </c>
      <c r="M58" s="14">
        <v>4.87808622489629E-2</v>
      </c>
      <c r="N58" s="14">
        <v>6.505401279558673E-2</v>
      </c>
      <c r="O58" s="14">
        <v>5.5250373067291818</v>
      </c>
      <c r="P58" s="8">
        <v>6.505401279558673E-2</v>
      </c>
      <c r="Q58" s="54">
        <v>5.3484514513169731E-3</v>
      </c>
    </row>
    <row r="59" spans="1:17">
      <c r="A59" s="2" t="s">
        <v>401</v>
      </c>
      <c r="B59" s="16" t="s">
        <v>402</v>
      </c>
      <c r="D59" s="14">
        <v>1</v>
      </c>
      <c r="E59" s="14">
        <v>1.8119623727539544E-2</v>
      </c>
      <c r="F59" s="14">
        <v>1.2623451961574175E-2</v>
      </c>
      <c r="G59" s="14">
        <v>1.0600018405690857E-2</v>
      </c>
      <c r="H59" s="14">
        <v>12.902626678412469</v>
      </c>
      <c r="I59" s="14">
        <v>25.300861103826971</v>
      </c>
      <c r="J59" s="14">
        <v>0</v>
      </c>
      <c r="K59" s="14">
        <v>79.217634213209109</v>
      </c>
      <c r="L59" s="14">
        <v>1.2623451961574175E-2</v>
      </c>
      <c r="M59" s="14">
        <v>1.0357542334471611E-2</v>
      </c>
      <c r="N59" s="14">
        <v>0.31892820040852776</v>
      </c>
      <c r="O59" s="14">
        <v>52.887863473746158</v>
      </c>
      <c r="P59" s="8">
        <v>0.31892820040852776</v>
      </c>
      <c r="Q59" s="54">
        <v>1.8712650335906227E-2</v>
      </c>
    </row>
    <row r="60" spans="1:17">
      <c r="A60" s="2" t="s">
        <v>299</v>
      </c>
      <c r="B60" s="16" t="s">
        <v>300</v>
      </c>
      <c r="D60" s="14">
        <v>1</v>
      </c>
      <c r="E60" s="14">
        <v>5.365428388305264E-4</v>
      </c>
      <c r="F60" s="14">
        <v>4.4987868584878409E-4</v>
      </c>
      <c r="G60" s="14">
        <v>1.1097979174754951E-2</v>
      </c>
      <c r="H60" s="14">
        <v>0.20147233409282556</v>
      </c>
      <c r="I60" s="14">
        <v>0.41982914898457385</v>
      </c>
      <c r="J60" s="14">
        <v>0</v>
      </c>
      <c r="K60" s="14">
        <v>2222.8214659987825</v>
      </c>
      <c r="L60" s="14">
        <v>4.4987868584878409E-4</v>
      </c>
      <c r="M60" s="14">
        <v>3.6912546173892735E-4</v>
      </c>
      <c r="N60" s="14">
        <v>5.4895142853636277E-3</v>
      </c>
      <c r="O60" s="14">
        <v>0.45090870339976841</v>
      </c>
      <c r="P60" s="8">
        <v>5.4895142853636277E-3</v>
      </c>
      <c r="Q60" s="54">
        <v>4.3378306057628382E-4</v>
      </c>
    </row>
    <row r="61" spans="1:17">
      <c r="A61" s="2" t="s">
        <v>403</v>
      </c>
      <c r="B61" s="16" t="s">
        <v>404</v>
      </c>
      <c r="D61" s="14">
        <v>1</v>
      </c>
      <c r="E61" s="14">
        <v>0.49000332833652654</v>
      </c>
      <c r="F61" s="14">
        <v>0.43250313920741568</v>
      </c>
      <c r="G61" s="14">
        <v>7.5376809627858365E-46</v>
      </c>
      <c r="H61" s="14">
        <v>133.10956495426501</v>
      </c>
      <c r="I61" s="14">
        <v>285.14544261554914</v>
      </c>
      <c r="J61" s="14">
        <v>0</v>
      </c>
      <c r="K61" s="14">
        <v>2.3121219462881855</v>
      </c>
      <c r="L61" s="14">
        <v>0.43250313920741573</v>
      </c>
      <c r="M61" s="14">
        <v>0.35486882571968459</v>
      </c>
      <c r="N61" s="14">
        <v>3.8386035306336068</v>
      </c>
      <c r="O61" s="14">
        <v>4616.3429919752816</v>
      </c>
      <c r="P61" s="8">
        <v>3.8386035306336068</v>
      </c>
      <c r="Q61" s="54">
        <v>0.34297813525508747</v>
      </c>
    </row>
    <row r="62" spans="1:17">
      <c r="A62" s="2" t="s">
        <v>405</v>
      </c>
      <c r="B62" s="16" t="s">
        <v>406</v>
      </c>
      <c r="D62" s="14">
        <v>1</v>
      </c>
      <c r="E62" s="14">
        <v>0.42650416791437334</v>
      </c>
      <c r="F62" s="14">
        <v>1.8236316870569116E-2</v>
      </c>
      <c r="G62" s="14">
        <v>5.5863175279674793E-9</v>
      </c>
      <c r="H62" s="14">
        <v>745.07009055668959</v>
      </c>
      <c r="I62" s="14">
        <v>3845.5131481080894</v>
      </c>
      <c r="J62" s="14">
        <v>0</v>
      </c>
      <c r="K62" s="14">
        <v>54.835634141335916</v>
      </c>
      <c r="L62" s="14">
        <v>1.8236316870569116E-2</v>
      </c>
      <c r="M62" s="14">
        <v>1.4962897992301959E-2</v>
      </c>
      <c r="N62" s="14">
        <v>48.239500113640787</v>
      </c>
      <c r="O62" s="14">
        <v>15381.6470062355</v>
      </c>
      <c r="P62" s="8">
        <v>48.239500113640787</v>
      </c>
      <c r="Q62" s="54">
        <v>0.37115413262642138</v>
      </c>
    </row>
    <row r="63" spans="1:17">
      <c r="A63" s="2" t="s">
        <v>407</v>
      </c>
      <c r="B63" s="16" t="s">
        <v>408</v>
      </c>
      <c r="D63" s="14">
        <v>1</v>
      </c>
      <c r="E63" s="14">
        <v>0.5352807060405177</v>
      </c>
      <c r="F63" s="14">
        <v>2.103122497773161E-3</v>
      </c>
      <c r="G63" s="14">
        <v>1.6883133589463043E-6</v>
      </c>
      <c r="H63" s="14">
        <v>288.75171290986782</v>
      </c>
      <c r="I63" s="14">
        <v>11357.473704047661</v>
      </c>
      <c r="J63" s="14">
        <v>0</v>
      </c>
      <c r="K63" s="14">
        <v>475.48347804696346</v>
      </c>
      <c r="L63" s="14">
        <v>2.1031224977731615E-3</v>
      </c>
      <c r="M63" s="14">
        <v>1.7256120094228788E-3</v>
      </c>
      <c r="N63" s="14">
        <v>145.71331296582318</v>
      </c>
      <c r="O63" s="14">
        <v>70786.07030566725</v>
      </c>
      <c r="P63" s="8">
        <v>145.71331296582318</v>
      </c>
      <c r="Q63" s="54">
        <v>0.2653882801226487</v>
      </c>
    </row>
    <row r="64" spans="1:17">
      <c r="A64" s="2" t="s">
        <v>409</v>
      </c>
      <c r="B64" s="16" t="s">
        <v>410</v>
      </c>
      <c r="D64" s="14">
        <v>1</v>
      </c>
      <c r="E64" s="14">
        <v>0.61062334161603959</v>
      </c>
      <c r="F64" s="14">
        <v>8.1977542010114573E-4</v>
      </c>
      <c r="G64" s="14">
        <v>2.3514913206639517E-7</v>
      </c>
      <c r="H64" s="14">
        <v>175.03096710621671</v>
      </c>
      <c r="I64" s="14">
        <v>14426.868166066761</v>
      </c>
      <c r="J64" s="14">
        <v>0</v>
      </c>
      <c r="K64" s="14">
        <v>1219.8462840915843</v>
      </c>
      <c r="L64" s="14">
        <v>8.1977542010114573E-4</v>
      </c>
      <c r="M64" s="14">
        <v>6.7262573219299009E-4</v>
      </c>
      <c r="N64" s="14">
        <v>186.64696498662829</v>
      </c>
      <c r="O64" s="14">
        <v>105397.67465829913</v>
      </c>
      <c r="P64" s="8">
        <v>186.64696498662829</v>
      </c>
      <c r="Q64" s="54">
        <v>0.20108147543007301</v>
      </c>
    </row>
    <row r="65" spans="1:17">
      <c r="A65" s="2" t="s">
        <v>301</v>
      </c>
      <c r="B65" s="16" t="s">
        <v>302</v>
      </c>
      <c r="D65" s="14">
        <v>1</v>
      </c>
      <c r="E65" s="14">
        <v>0.6903831402745424</v>
      </c>
      <c r="F65" s="14">
        <v>2.5683186341199284E-4</v>
      </c>
      <c r="G65" s="14">
        <v>3.2417341077321182E-8</v>
      </c>
      <c r="H65" s="14">
        <v>90.604319475820475</v>
      </c>
      <c r="I65" s="14">
        <v>17322.320651844511</v>
      </c>
      <c r="J65" s="14">
        <v>0</v>
      </c>
      <c r="K65" s="14">
        <v>3893.5978842931399</v>
      </c>
      <c r="L65" s="14">
        <v>2.5683186341199284E-4</v>
      </c>
      <c r="M65" s="14">
        <v>2.1073054392954015E-4</v>
      </c>
      <c r="N65" s="14">
        <v>226.25746037738801</v>
      </c>
      <c r="O65" s="14">
        <v>145614.77634967939</v>
      </c>
      <c r="P65" s="8">
        <v>226.25746037738801</v>
      </c>
      <c r="Q65" s="54">
        <v>0.13415475594139223</v>
      </c>
    </row>
    <row r="66" spans="1:17">
      <c r="A66" s="2" t="s">
        <v>303</v>
      </c>
      <c r="B66" s="16" t="s">
        <v>304</v>
      </c>
      <c r="D66" s="14">
        <v>1</v>
      </c>
      <c r="E66" s="14">
        <v>0.6467593222120096</v>
      </c>
      <c r="F66" s="14">
        <v>5.0229630599492184E-4</v>
      </c>
      <c r="G66" s="14">
        <v>2.9519464301689489E-14</v>
      </c>
      <c r="H66" s="14">
        <v>133.16190032962669</v>
      </c>
      <c r="I66" s="14">
        <v>15773.829966032388</v>
      </c>
      <c r="J66" s="14">
        <v>0</v>
      </c>
      <c r="K66" s="14">
        <v>1990.8567673402513</v>
      </c>
      <c r="L66" s="14">
        <v>5.0229630599492195E-4</v>
      </c>
      <c r="M66" s="14">
        <v>4.1213411906883344E-4</v>
      </c>
      <c r="N66" s="14">
        <v>204.91407441333152</v>
      </c>
      <c r="O66" s="14">
        <v>132233.10135966697</v>
      </c>
      <c r="P66" s="8">
        <v>204.91407441333155</v>
      </c>
      <c r="Q66" s="54">
        <v>0.17066212739289072</v>
      </c>
    </row>
    <row r="67" spans="1:17">
      <c r="A67" s="2" t="s">
        <v>411</v>
      </c>
      <c r="B67" s="16" t="s">
        <v>412</v>
      </c>
      <c r="D67" s="14">
        <v>1</v>
      </c>
      <c r="E67" s="14">
        <v>0.84017531658769351</v>
      </c>
      <c r="F67" s="14">
        <v>0.83711825223922487</v>
      </c>
      <c r="G67" s="14">
        <v>5.3151472288855234E-5</v>
      </c>
      <c r="H67" s="14">
        <v>7.3941253925507704</v>
      </c>
      <c r="I67" s="14">
        <v>20.575196047538945</v>
      </c>
      <c r="J67" s="14">
        <v>0</v>
      </c>
      <c r="K67" s="14">
        <v>1.1945743595066518</v>
      </c>
      <c r="L67" s="14">
        <v>0.83711825223922498</v>
      </c>
      <c r="M67" s="14">
        <v>0.68685552596228405</v>
      </c>
      <c r="N67" s="14">
        <v>1.0230602915561493</v>
      </c>
      <c r="O67" s="14">
        <v>307.02039349600045</v>
      </c>
      <c r="P67" s="8">
        <v>1.0230602915561495</v>
      </c>
      <c r="Q67" s="54">
        <v>0.10431433217032672</v>
      </c>
    </row>
    <row r="68" spans="1:17">
      <c r="A68" s="2" t="s">
        <v>413</v>
      </c>
      <c r="B68" s="16" t="s">
        <v>414</v>
      </c>
      <c r="D68" s="14">
        <v>1</v>
      </c>
      <c r="E68" s="14">
        <v>0.78662301258981659</v>
      </c>
      <c r="F68" s="14">
        <v>0.78094569125830482</v>
      </c>
      <c r="G68" s="14">
        <v>1.166566016606891E-4</v>
      </c>
      <c r="H68" s="14">
        <v>13.215415833453292</v>
      </c>
      <c r="I68" s="14">
        <v>35.054034024989953</v>
      </c>
      <c r="J68" s="14">
        <v>0</v>
      </c>
      <c r="K68" s="14">
        <v>1.2804987737223341</v>
      </c>
      <c r="L68" s="14">
        <v>0.78094569125830493</v>
      </c>
      <c r="M68" s="14">
        <v>0.64076593967743922</v>
      </c>
      <c r="N68" s="14">
        <v>1.1429170427440551</v>
      </c>
      <c r="O68" s="14">
        <v>375.04822757646167</v>
      </c>
      <c r="P68" s="8">
        <v>1.1429170427440554</v>
      </c>
      <c r="Q68" s="54">
        <v>0.13656455813909926</v>
      </c>
    </row>
    <row r="69" spans="1:17">
      <c r="A69" s="2" t="s">
        <v>415</v>
      </c>
      <c r="B69" s="16" t="s">
        <v>416</v>
      </c>
      <c r="D69" s="14">
        <v>1</v>
      </c>
      <c r="E69" s="14">
        <v>0.44784875043698935</v>
      </c>
      <c r="F69" s="14">
        <v>7.062011459178486E-3</v>
      </c>
      <c r="G69" s="14">
        <v>6.9036204352852166E-5</v>
      </c>
      <c r="H69" s="14">
        <v>510.91472304046732</v>
      </c>
      <c r="I69" s="14">
        <v>6869.1909441526332</v>
      </c>
      <c r="J69" s="14">
        <v>0</v>
      </c>
      <c r="K69" s="14">
        <v>141.6027155691317</v>
      </c>
      <c r="L69" s="14">
        <v>7.0620114591784869E-3</v>
      </c>
      <c r="M69" s="14">
        <v>5.7943804022559482E-3</v>
      </c>
      <c r="N69" s="14">
        <v>87.075704743075377</v>
      </c>
      <c r="O69" s="14">
        <v>40410.093057166421</v>
      </c>
      <c r="P69" s="8">
        <v>87.075704743075391</v>
      </c>
      <c r="Q69" s="54">
        <v>0.33970785469682424</v>
      </c>
    </row>
    <row r="70" spans="1:17">
      <c r="A70" s="2" t="s">
        <v>417</v>
      </c>
      <c r="B70" s="16" t="s">
        <v>418</v>
      </c>
      <c r="D70" s="14">
        <v>1</v>
      </c>
      <c r="E70" s="14">
        <v>0.39187321810933501</v>
      </c>
      <c r="F70" s="14">
        <v>9.456273125246184E-2</v>
      </c>
      <c r="G70" s="14">
        <v>1.3021124612123272E-4</v>
      </c>
      <c r="H70" s="14">
        <v>714.52924283340064</v>
      </c>
      <c r="I70" s="14">
        <v>1209.1416419347618</v>
      </c>
      <c r="J70" s="14">
        <v>0</v>
      </c>
      <c r="K70" s="14">
        <v>10.574990662338404</v>
      </c>
      <c r="L70" s="14">
        <v>9.456273125246184E-2</v>
      </c>
      <c r="M70" s="14">
        <v>7.7588720992644938E-2</v>
      </c>
      <c r="N70" s="14">
        <v>14.957048114959818</v>
      </c>
      <c r="O70" s="14">
        <v>4697.2609605031312</v>
      </c>
      <c r="P70" s="8">
        <v>14.95704811495982</v>
      </c>
      <c r="Q70" s="54">
        <v>0.39762820091031104</v>
      </c>
    </row>
    <row r="71" spans="1:17">
      <c r="A71" s="2" t="s">
        <v>419</v>
      </c>
      <c r="B71" s="16" t="s">
        <v>420</v>
      </c>
      <c r="D71" s="14">
        <v>1</v>
      </c>
      <c r="E71" s="14">
        <v>0.78261623245683087</v>
      </c>
      <c r="F71" s="14">
        <v>0.77752180313414399</v>
      </c>
      <c r="G71" s="14">
        <v>2.8494501526344181E-4</v>
      </c>
      <c r="H71" s="14">
        <v>11.905087076527867</v>
      </c>
      <c r="I71" s="14">
        <v>31.811910142504804</v>
      </c>
      <c r="J71" s="14">
        <v>0</v>
      </c>
      <c r="K71" s="14">
        <v>1.2861375667782686</v>
      </c>
      <c r="L71" s="14">
        <v>0.77752180313414399</v>
      </c>
      <c r="M71" s="14">
        <v>0.63795663947156511</v>
      </c>
      <c r="N71" s="14">
        <v>1.1011401842262512</v>
      </c>
      <c r="O71" s="14">
        <v>235.6880450317868</v>
      </c>
      <c r="P71" s="8">
        <v>1.1011401842262512</v>
      </c>
      <c r="Q71" s="54">
        <v>0.12905943129845229</v>
      </c>
    </row>
    <row r="72" spans="1:17">
      <c r="A72" s="2" t="s">
        <v>421</v>
      </c>
      <c r="B72" s="16" t="s">
        <v>422</v>
      </c>
      <c r="D72" s="14">
        <v>1</v>
      </c>
      <c r="E72" s="14">
        <v>0.3701350466141608</v>
      </c>
      <c r="F72" s="14">
        <v>0.10156218097744288</v>
      </c>
      <c r="G72" s="14">
        <v>5.0727155033734352E-4</v>
      </c>
      <c r="H72" s="14">
        <v>644.18709221926156</v>
      </c>
      <c r="I72" s="14">
        <v>1104.254529234873</v>
      </c>
      <c r="J72" s="14">
        <v>0</v>
      </c>
      <c r="K72" s="14">
        <v>9.8461847744496698</v>
      </c>
      <c r="L72" s="14">
        <v>0.10156218097744288</v>
      </c>
      <c r="M72" s="14">
        <v>8.3331769491991892E-2</v>
      </c>
      <c r="N72" s="14">
        <v>13.658485694594653</v>
      </c>
      <c r="O72" s="14">
        <v>5655.5691715608073</v>
      </c>
      <c r="P72" s="8">
        <v>13.658485694594653</v>
      </c>
      <c r="Q72" s="54">
        <v>0.38982455270896071</v>
      </c>
    </row>
    <row r="73" spans="1:17">
      <c r="A73" s="2" t="s">
        <v>423</v>
      </c>
      <c r="B73" s="16" t="s">
        <v>424</v>
      </c>
      <c r="D73" s="14">
        <v>1</v>
      </c>
      <c r="E73" s="14">
        <v>0.46788110632293362</v>
      </c>
      <c r="F73" s="14">
        <v>0.40669561619019623</v>
      </c>
      <c r="G73" s="14">
        <v>2.2429416666931083E-4</v>
      </c>
      <c r="H73" s="14">
        <v>141.83698504831878</v>
      </c>
      <c r="I73" s="14">
        <v>301.05556664085481</v>
      </c>
      <c r="J73" s="14">
        <v>0</v>
      </c>
      <c r="K73" s="14">
        <v>2.4588413550352546</v>
      </c>
      <c r="L73" s="14">
        <v>0.40669561619019623</v>
      </c>
      <c r="M73" s="14">
        <v>0.33369375308405602</v>
      </c>
      <c r="N73" s="14">
        <v>4.0091047546902621</v>
      </c>
      <c r="O73" s="14">
        <v>1716.5783828157296</v>
      </c>
      <c r="P73" s="8">
        <v>4.0091047546902621</v>
      </c>
      <c r="Q73" s="54">
        <v>0.34422837120924532</v>
      </c>
    </row>
    <row r="74" spans="1:17">
      <c r="A74" s="2" t="s">
        <v>425</v>
      </c>
      <c r="B74" s="16" t="s">
        <v>426</v>
      </c>
      <c r="D74" s="14">
        <v>1</v>
      </c>
      <c r="E74" s="14">
        <v>0.38690089473930939</v>
      </c>
      <c r="F74" s="14">
        <v>9.691010918961783E-2</v>
      </c>
      <c r="G74" s="14">
        <v>1.9732293682004647E-4</v>
      </c>
      <c r="H74" s="14">
        <v>696.54484573156287</v>
      </c>
      <c r="I74" s="14">
        <v>1183.0585911701294</v>
      </c>
      <c r="J74" s="14">
        <v>0</v>
      </c>
      <c r="K74" s="14">
        <v>10.318840917239747</v>
      </c>
      <c r="L74" s="14">
        <v>9.691010918961783E-2</v>
      </c>
      <c r="M74" s="14">
        <v>7.9514744590081426E-2</v>
      </c>
      <c r="N74" s="14">
        <v>14.633810190797272</v>
      </c>
      <c r="O74" s="14">
        <v>7729.2858665753029</v>
      </c>
      <c r="P74" s="8">
        <v>14.633810190797274</v>
      </c>
      <c r="Q74" s="54">
        <v>0.39701439491854218</v>
      </c>
    </row>
    <row r="75" spans="1:17">
      <c r="A75" s="2" t="s">
        <v>427</v>
      </c>
      <c r="B75" s="16" t="s">
        <v>428</v>
      </c>
      <c r="D75" s="14">
        <v>1</v>
      </c>
      <c r="E75" s="14">
        <v>0.98805611610400346</v>
      </c>
      <c r="F75" s="14">
        <v>4.1252886590795824E-2</v>
      </c>
      <c r="G75" s="14">
        <v>5.8194616862958407E-11</v>
      </c>
      <c r="H75" s="14">
        <v>2690.0127772996657</v>
      </c>
      <c r="I75" s="14">
        <v>9.6109466684718914</v>
      </c>
      <c r="J75" s="14">
        <v>0</v>
      </c>
      <c r="K75" s="14">
        <v>24.240727925766919</v>
      </c>
      <c r="L75" s="14">
        <v>4.1252886590795824E-2</v>
      </c>
      <c r="M75" s="14">
        <v>3.384799344774797E-2</v>
      </c>
      <c r="N75" s="14">
        <v>22.752457652970257</v>
      </c>
      <c r="O75" s="14">
        <v>12834.433837463994</v>
      </c>
      <c r="P75" s="8">
        <v>22.752457652970257</v>
      </c>
      <c r="Q75" s="54">
        <v>5.3674272575467965E-4</v>
      </c>
    </row>
    <row r="76" spans="1:17">
      <c r="A76" s="2" t="s">
        <v>429</v>
      </c>
      <c r="B76" s="16" t="s">
        <v>430</v>
      </c>
      <c r="D76" s="14">
        <v>1</v>
      </c>
      <c r="E76" s="14">
        <v>0.9880561211489739</v>
      </c>
      <c r="F76" s="14">
        <v>4.1252886801431209E-2</v>
      </c>
      <c r="G76" s="14">
        <v>1.4617826923134353E-12</v>
      </c>
      <c r="H76" s="14">
        <v>2690.0127910347501</v>
      </c>
      <c r="I76" s="14">
        <v>9.6109467175449552</v>
      </c>
      <c r="J76" s="14">
        <v>0</v>
      </c>
      <c r="K76" s="14">
        <v>24.240727801994847</v>
      </c>
      <c r="L76" s="14">
        <v>4.1252886801431216E-2</v>
      </c>
      <c r="M76" s="14">
        <v>3.3847993620574307E-2</v>
      </c>
      <c r="N76" s="14">
        <v>22.752457769143284</v>
      </c>
      <c r="O76" s="14">
        <v>11379.186704081631</v>
      </c>
      <c r="P76" s="8">
        <v>22.752457769143287</v>
      </c>
      <c r="Q76" s="54">
        <v>5.36742728495264E-4</v>
      </c>
    </row>
    <row r="77" spans="1:17">
      <c r="A77" s="2" t="s">
        <v>431</v>
      </c>
      <c r="B77" s="16" t="s">
        <v>432</v>
      </c>
      <c r="D77" s="14">
        <v>1</v>
      </c>
      <c r="E77" s="14">
        <v>0.35942225877832135</v>
      </c>
      <c r="F77" s="14">
        <v>0.22459664332281201</v>
      </c>
      <c r="G77" s="14">
        <v>5.838640681755092E-4</v>
      </c>
      <c r="H77" s="14">
        <v>317.74831872597679</v>
      </c>
      <c r="I77" s="14">
        <v>608.33167764196344</v>
      </c>
      <c r="J77" s="14">
        <v>0</v>
      </c>
      <c r="K77" s="14">
        <v>4.4524262927772398</v>
      </c>
      <c r="L77" s="14">
        <v>0.22459664332281204</v>
      </c>
      <c r="M77" s="14">
        <v>0.18428154584636727</v>
      </c>
      <c r="N77" s="14">
        <v>7.6100718398593292</v>
      </c>
      <c r="O77" s="14">
        <v>2770.5227540191877</v>
      </c>
      <c r="P77" s="8">
        <v>7.6100718398593301</v>
      </c>
      <c r="Q77" s="54">
        <v>0.3944032019219374</v>
      </c>
    </row>
    <row r="78" spans="1:17">
      <c r="A78" s="2" t="s">
        <v>433</v>
      </c>
      <c r="B78" s="16" t="s">
        <v>434</v>
      </c>
      <c r="D78" s="14">
        <v>1</v>
      </c>
      <c r="E78" s="14">
        <v>0.63101926820296128</v>
      </c>
      <c r="F78" s="14">
        <v>0.61263772974124764</v>
      </c>
      <c r="G78" s="14">
        <v>4.3137227348480486E-4</v>
      </c>
      <c r="H78" s="14">
        <v>42.055590924104926</v>
      </c>
      <c r="I78" s="14">
        <v>100.61921167207342</v>
      </c>
      <c r="J78" s="14">
        <v>0</v>
      </c>
      <c r="K78" s="14">
        <v>1.632286017419067</v>
      </c>
      <c r="L78" s="14">
        <v>0.61263772974124775</v>
      </c>
      <c r="M78" s="14">
        <v>0.50266925725269374</v>
      </c>
      <c r="N78" s="14">
        <v>1.7720247244000593</v>
      </c>
      <c r="O78" s="14">
        <v>467.90312847783571</v>
      </c>
      <c r="P78" s="8">
        <v>1.7720247244000595</v>
      </c>
      <c r="Q78" s="54">
        <v>0.222270031171204</v>
      </c>
    </row>
    <row r="79" spans="1:17">
      <c r="A79" s="2" t="s">
        <v>435</v>
      </c>
      <c r="B79" s="16" t="s">
        <v>436</v>
      </c>
      <c r="D79" s="14">
        <v>1</v>
      </c>
      <c r="E79" s="14">
        <v>0.54046575348937076</v>
      </c>
      <c r="F79" s="14">
        <v>0.50086675432490868</v>
      </c>
      <c r="G79" s="14">
        <v>1.1741151541716558E-4</v>
      </c>
      <c r="H79" s="14">
        <v>91.176350711521323</v>
      </c>
      <c r="I79" s="14">
        <v>203.02025856911845</v>
      </c>
      <c r="J79" s="14">
        <v>0</v>
      </c>
      <c r="K79" s="14">
        <v>1.9965389824043045</v>
      </c>
      <c r="L79" s="14">
        <v>0.50086675432490868</v>
      </c>
      <c r="M79" s="14">
        <v>0.41096117192358755</v>
      </c>
      <c r="N79" s="14">
        <v>2.9047952155039916</v>
      </c>
      <c r="O79" s="14">
        <v>1162.2376136753021</v>
      </c>
      <c r="P79" s="8">
        <v>2.9047952155039916</v>
      </c>
      <c r="Q79" s="54">
        <v>0.30209210581555401</v>
      </c>
    </row>
    <row r="80" spans="1:17">
      <c r="A80" s="2" t="s">
        <v>437</v>
      </c>
      <c r="B80" s="16" t="s">
        <v>438</v>
      </c>
      <c r="D80" s="14">
        <v>1</v>
      </c>
      <c r="E80" s="14">
        <v>0.97736484614037789</v>
      </c>
      <c r="F80" s="14">
        <v>2.8007084220966018E-2</v>
      </c>
      <c r="G80" s="14">
        <v>2.0863942049051995E-11</v>
      </c>
      <c r="H80" s="14">
        <v>2696.2980484553268</v>
      </c>
      <c r="I80" s="14">
        <v>18.504600857958835</v>
      </c>
      <c r="J80" s="14">
        <v>0</v>
      </c>
      <c r="K80" s="14">
        <v>35.705252003755639</v>
      </c>
      <c r="L80" s="14">
        <v>2.8007084220966021E-2</v>
      </c>
      <c r="M80" s="14">
        <v>2.2979812603302618E-2</v>
      </c>
      <c r="N80" s="14">
        <v>44.21366481514054</v>
      </c>
      <c r="O80" s="14">
        <v>22729.36080816745</v>
      </c>
      <c r="P80" s="8">
        <v>44.21366481514054</v>
      </c>
      <c r="Q80" s="54">
        <v>6.5505795015276713E-4</v>
      </c>
    </row>
    <row r="81" spans="1:17">
      <c r="A81" s="2" t="s">
        <v>440</v>
      </c>
      <c r="B81" s="16" t="s">
        <v>441</v>
      </c>
      <c r="D81" s="14">
        <v>1</v>
      </c>
      <c r="E81" s="14">
        <v>0.97064256292229312</v>
      </c>
      <c r="F81" s="14">
        <v>0.97089461067605198</v>
      </c>
      <c r="G81" s="14">
        <v>2.0488047769915539E-15</v>
      </c>
      <c r="H81" s="14">
        <v>0.25874507396978347</v>
      </c>
      <c r="I81" s="14">
        <v>0.93181406425275837</v>
      </c>
      <c r="J81" s="14">
        <v>0</v>
      </c>
      <c r="K81" s="14">
        <v>1.0299779080076275</v>
      </c>
      <c r="L81" s="14">
        <v>0.97089461067605198</v>
      </c>
      <c r="M81" s="14">
        <v>0.79661902805970064</v>
      </c>
      <c r="N81" s="14">
        <v>0.91620753572225155</v>
      </c>
      <c r="O81" s="14">
        <v>254.02770135435145</v>
      </c>
      <c r="P81" s="8">
        <v>0.91620753572225166</v>
      </c>
      <c r="Q81" s="54">
        <v>1.9513234384887449E-2</v>
      </c>
    </row>
    <row r="82" spans="1:17">
      <c r="A82" s="2" t="s">
        <v>442</v>
      </c>
      <c r="B82" s="16" t="s">
        <v>443</v>
      </c>
      <c r="D82" s="14">
        <v>1</v>
      </c>
      <c r="E82" s="14">
        <v>0.77323280902625036</v>
      </c>
      <c r="F82" s="14">
        <v>0.76602758686878436</v>
      </c>
      <c r="G82" s="14">
        <v>9.7528803848392053E-7</v>
      </c>
      <c r="H82" s="14">
        <v>16.645789952337509</v>
      </c>
      <c r="I82" s="14">
        <v>43.347253028956978</v>
      </c>
      <c r="J82" s="14">
        <v>0</v>
      </c>
      <c r="K82" s="14">
        <v>1.3054360145012551</v>
      </c>
      <c r="L82" s="14">
        <v>0.76602758686878447</v>
      </c>
      <c r="M82" s="14">
        <v>0.62852563502583758</v>
      </c>
      <c r="N82" s="14">
        <v>1.2279029753647634</v>
      </c>
      <c r="O82" s="14">
        <v>202.8372925005053</v>
      </c>
      <c r="P82" s="8">
        <v>1.2279029753647637</v>
      </c>
      <c r="Q82" s="54">
        <v>0.15260247624984125</v>
      </c>
    </row>
    <row r="83" spans="1:17">
      <c r="A83" s="2" t="s">
        <v>444</v>
      </c>
      <c r="B83" s="16" t="s">
        <v>445</v>
      </c>
      <c r="D83" s="14">
        <v>1</v>
      </c>
      <c r="E83" s="14">
        <v>0.39089753717196257</v>
      </c>
      <c r="F83" s="14">
        <v>0.26820685901559421</v>
      </c>
      <c r="G83" s="14">
        <v>1.1822746231947666E-5</v>
      </c>
      <c r="H83" s="14">
        <v>288.1972816570796</v>
      </c>
      <c r="I83" s="14">
        <v>563.05011421210838</v>
      </c>
      <c r="J83" s="14">
        <v>0</v>
      </c>
      <c r="K83" s="14">
        <v>3.7284654228095544</v>
      </c>
      <c r="L83" s="14">
        <v>0.26820685901559421</v>
      </c>
      <c r="M83" s="14">
        <v>0.22006372782229508</v>
      </c>
      <c r="N83" s="14">
        <v>7.0878163059949175</v>
      </c>
      <c r="O83" s="14">
        <v>1277.5080109925241</v>
      </c>
      <c r="P83" s="8">
        <v>7.0878163059949175</v>
      </c>
      <c r="Q83" s="54">
        <v>0.40808163533212655</v>
      </c>
    </row>
    <row r="84" spans="1:17">
      <c r="A84" s="2" t="s">
        <v>446</v>
      </c>
      <c r="B84" s="16" t="s">
        <v>447</v>
      </c>
      <c r="D84" s="14">
        <v>1</v>
      </c>
      <c r="E84" s="14">
        <v>0.93735459385907416</v>
      </c>
      <c r="F84" s="14">
        <v>0.93716885933248673</v>
      </c>
      <c r="G84" s="14">
        <v>6.3071961415647859E-17</v>
      </c>
      <c r="H84" s="14">
        <v>1.1625398513325913</v>
      </c>
      <c r="I84" s="14">
        <v>3.7382214057049938</v>
      </c>
      <c r="J84" s="14">
        <v>0</v>
      </c>
      <c r="K84" s="14">
        <v>1.0670435642860197</v>
      </c>
      <c r="L84" s="14">
        <v>0.93716885933248673</v>
      </c>
      <c r="M84" s="14">
        <v>0.76894704908230538</v>
      </c>
      <c r="N84" s="14">
        <v>0.91750836604033381</v>
      </c>
      <c r="O84" s="14">
        <v>356.80982846942538</v>
      </c>
      <c r="P84" s="8">
        <v>0.91750836604033381</v>
      </c>
      <c r="Q84" s="54">
        <v>4.1982183253053237E-2</v>
      </c>
    </row>
    <row r="85" spans="1:17">
      <c r="A85" s="2" t="s">
        <v>448</v>
      </c>
      <c r="B85" s="16" t="s">
        <v>449</v>
      </c>
      <c r="D85" s="14">
        <v>1</v>
      </c>
      <c r="E85" s="14">
        <v>0.98750152349855969</v>
      </c>
      <c r="F85" s="14">
        <v>0.987862556389694</v>
      </c>
      <c r="G85" s="14">
        <v>4.4148404403813891E-10</v>
      </c>
      <c r="H85" s="14">
        <v>4.747735590899349E-2</v>
      </c>
      <c r="I85" s="14">
        <v>0.19397407751384046</v>
      </c>
      <c r="J85" s="14">
        <v>0</v>
      </c>
      <c r="K85" s="14">
        <v>1.0122865711751077</v>
      </c>
      <c r="L85" s="14">
        <v>0.98786255638969411</v>
      </c>
      <c r="M85" s="14">
        <v>0.81054122751774405</v>
      </c>
      <c r="N85" s="14">
        <v>0.92350656573005396</v>
      </c>
      <c r="O85" s="14">
        <v>165.52931684145486</v>
      </c>
      <c r="P85" s="8">
        <v>0.92350656573005396</v>
      </c>
      <c r="Q85" s="54">
        <v>8.1309950217013302E-3</v>
      </c>
    </row>
    <row r="86" spans="1:17">
      <c r="A86" s="2" t="s">
        <v>450</v>
      </c>
      <c r="B86" s="16" t="s">
        <v>451</v>
      </c>
      <c r="D86" s="14">
        <v>1</v>
      </c>
      <c r="E86" s="14">
        <v>0.93885624158087599</v>
      </c>
      <c r="F86" s="14">
        <v>0.93869663143055604</v>
      </c>
      <c r="G86" s="14">
        <v>1.5864403490843717E-10</v>
      </c>
      <c r="H86" s="14">
        <v>1.107631401044427</v>
      </c>
      <c r="I86" s="14">
        <v>3.5748056045620316</v>
      </c>
      <c r="J86" s="14">
        <v>0</v>
      </c>
      <c r="K86" s="14">
        <v>1.065306901630209</v>
      </c>
      <c r="L86" s="14">
        <v>0.93869663143055604</v>
      </c>
      <c r="M86" s="14">
        <v>0.77020058608877129</v>
      </c>
      <c r="N86" s="14">
        <v>0.91701893507634546</v>
      </c>
      <c r="O86" s="14">
        <v>239.42447375908301</v>
      </c>
      <c r="P86" s="8">
        <v>0.91701893507634546</v>
      </c>
      <c r="Q86" s="54">
        <v>4.0968723282507072E-2</v>
      </c>
    </row>
    <row r="87" spans="1:17">
      <c r="A87" s="2" t="s">
        <v>452</v>
      </c>
      <c r="B87" s="16" t="s">
        <v>453</v>
      </c>
      <c r="D87" s="14">
        <v>1</v>
      </c>
      <c r="E87" s="14">
        <v>0.50935022910237593</v>
      </c>
      <c r="F87" s="14">
        <v>2.9251646870644449E-3</v>
      </c>
      <c r="G87" s="14">
        <v>3.0171632526640333E-9</v>
      </c>
      <c r="H87" s="14">
        <v>340.698578789262</v>
      </c>
      <c r="I87" s="14">
        <v>10172.495178955241</v>
      </c>
      <c r="J87" s="14">
        <v>0</v>
      </c>
      <c r="K87" s="14">
        <v>341.86109398290046</v>
      </c>
      <c r="L87" s="14">
        <v>2.9251646870644453E-3</v>
      </c>
      <c r="M87" s="14">
        <v>2.4000976257363771E-3</v>
      </c>
      <c r="N87" s="14">
        <v>130.10590371944133</v>
      </c>
      <c r="O87" s="14">
        <v>54163.087718403433</v>
      </c>
      <c r="P87" s="8">
        <v>130.10590371944133</v>
      </c>
      <c r="Q87" s="54">
        <v>0.28815588440802342</v>
      </c>
    </row>
    <row r="88" spans="1:17">
      <c r="A88" s="2" t="s">
        <v>454</v>
      </c>
      <c r="B88" s="16" t="s">
        <v>455</v>
      </c>
      <c r="D88" s="14">
        <v>1</v>
      </c>
      <c r="E88" s="14">
        <v>0.69455560345904854</v>
      </c>
      <c r="F88" s="14">
        <v>0.68017576876655883</v>
      </c>
      <c r="G88" s="14">
        <v>5.0052945966018229E-7</v>
      </c>
      <c r="H88" s="14">
        <v>32.900398337573463</v>
      </c>
      <c r="I88" s="14">
        <v>80.771533239311779</v>
      </c>
      <c r="J88" s="14">
        <v>0</v>
      </c>
      <c r="K88" s="14">
        <v>1.4702082107591325</v>
      </c>
      <c r="L88" s="14">
        <v>0.68017576876655883</v>
      </c>
      <c r="M88" s="14">
        <v>0.55808421827296151</v>
      </c>
      <c r="N88" s="14">
        <v>1.5960329024304329</v>
      </c>
      <c r="O88" s="14">
        <v>305.27321324786891</v>
      </c>
      <c r="P88" s="8">
        <v>1.5960329024304329</v>
      </c>
      <c r="Q88" s="54">
        <v>0.20561667261798902</v>
      </c>
    </row>
    <row r="89" spans="1:17">
      <c r="A89" s="2" t="s">
        <v>456</v>
      </c>
      <c r="B89" s="16" t="s">
        <v>457</v>
      </c>
      <c r="D89" s="14">
        <v>1</v>
      </c>
      <c r="E89" s="14">
        <v>0.75959048046035738</v>
      </c>
      <c r="F89" s="14">
        <v>0.75135249737570131</v>
      </c>
      <c r="G89" s="14">
        <v>3.2440849782648312E-19</v>
      </c>
      <c r="H89" s="14">
        <v>18.969842900341291</v>
      </c>
      <c r="I89" s="14">
        <v>48.85633726781461</v>
      </c>
      <c r="J89" s="14">
        <v>0</v>
      </c>
      <c r="K89" s="14">
        <v>1.3309332217471377</v>
      </c>
      <c r="L89" s="14">
        <v>0.75135249737570131</v>
      </c>
      <c r="M89" s="14">
        <v>0.61648472409676291</v>
      </c>
      <c r="N89" s="14">
        <v>1.2800279726660035</v>
      </c>
      <c r="O89" s="14">
        <v>502.35977815249976</v>
      </c>
      <c r="P89" s="8">
        <v>1.2800279726660038</v>
      </c>
      <c r="Q89" s="54">
        <v>0.16185305643729936</v>
      </c>
    </row>
    <row r="90" spans="1:17">
      <c r="A90" s="2" t="s">
        <v>458</v>
      </c>
      <c r="B90" s="16" t="s">
        <v>459</v>
      </c>
      <c r="D90" s="14">
        <v>1</v>
      </c>
      <c r="E90" s="14">
        <v>0.88081490427615672</v>
      </c>
      <c r="F90" s="14">
        <v>0.87918739512122845</v>
      </c>
      <c r="G90" s="14">
        <v>4.7355447032664446E-31</v>
      </c>
      <c r="H90" s="14">
        <v>4.2612935528349878</v>
      </c>
      <c r="I90" s="14">
        <v>12.393632774027006</v>
      </c>
      <c r="J90" s="14">
        <v>0</v>
      </c>
      <c r="K90" s="14">
        <v>1.1374139410428115</v>
      </c>
      <c r="L90" s="14">
        <v>0.87918739512122845</v>
      </c>
      <c r="M90" s="14">
        <v>0.72137325769696792</v>
      </c>
      <c r="N90" s="14">
        <v>0.96537366722646012</v>
      </c>
      <c r="O90" s="14">
        <v>753.8989116838319</v>
      </c>
      <c r="P90" s="8">
        <v>0.96537366722646023</v>
      </c>
      <c r="Q90" s="54">
        <v>8.0130642273159025E-2</v>
      </c>
    </row>
    <row r="91" spans="1:17">
      <c r="A91" s="2" t="s">
        <v>460</v>
      </c>
      <c r="B91" s="16" t="s">
        <v>461</v>
      </c>
      <c r="D91" s="14">
        <v>1</v>
      </c>
      <c r="E91" s="14">
        <v>0.42663416422933936</v>
      </c>
      <c r="F91" s="14">
        <v>1.5933232428853517E-2</v>
      </c>
      <c r="G91" s="14">
        <v>2.6247768029417838E-9</v>
      </c>
      <c r="H91" s="14">
        <v>709.84559483838166</v>
      </c>
      <c r="I91" s="14">
        <v>4235.6597137863082</v>
      </c>
      <c r="J91" s="14">
        <v>0</v>
      </c>
      <c r="K91" s="14">
        <v>62.76190374208678</v>
      </c>
      <c r="L91" s="14">
        <v>1.5933232428853517E-2</v>
      </c>
      <c r="M91" s="14">
        <v>1.3073217207874313E-2</v>
      </c>
      <c r="N91" s="14">
        <v>53.216083752931304</v>
      </c>
      <c r="O91" s="14">
        <v>16305.408061898152</v>
      </c>
      <c r="P91" s="8">
        <v>53.216083752931311</v>
      </c>
      <c r="Q91" s="54">
        <v>0.36942055998872309</v>
      </c>
    </row>
    <row r="92" spans="1:17">
      <c r="A92" s="2" t="s">
        <v>462</v>
      </c>
      <c r="B92" s="16" t="s">
        <v>463</v>
      </c>
      <c r="D92" s="14">
        <v>1</v>
      </c>
      <c r="E92" s="14">
        <v>0.42107825070691796</v>
      </c>
      <c r="F92" s="14">
        <v>0.32741557587266035</v>
      </c>
      <c r="G92" s="14">
        <v>9.0825505485520583E-11</v>
      </c>
      <c r="H92" s="14">
        <v>218.76575308842752</v>
      </c>
      <c r="I92" s="14">
        <v>442.62557778219696</v>
      </c>
      <c r="J92" s="14">
        <v>0</v>
      </c>
      <c r="K92" s="14">
        <v>3.0542224429448757</v>
      </c>
      <c r="L92" s="14">
        <v>0.32741557587266035</v>
      </c>
      <c r="M92" s="14">
        <v>0.26864448000351782</v>
      </c>
      <c r="N92" s="14">
        <v>5.6642829323237791</v>
      </c>
      <c r="O92" s="14">
        <v>1907.8437772652951</v>
      </c>
      <c r="P92" s="8">
        <v>5.6642829323237791</v>
      </c>
      <c r="Q92" s="54">
        <v>0.38889871367531481</v>
      </c>
    </row>
    <row r="93" spans="1:17">
      <c r="A93" s="2" t="s">
        <v>464</v>
      </c>
      <c r="B93" s="16" t="s">
        <v>465</v>
      </c>
      <c r="D93" s="14">
        <v>1</v>
      </c>
      <c r="E93" s="14">
        <v>0.37617290777594836</v>
      </c>
      <c r="F93" s="14">
        <v>0.12684418626467517</v>
      </c>
      <c r="G93" s="14">
        <v>7.0967426131436734E-6</v>
      </c>
      <c r="H93" s="14">
        <v>595.97846419290772</v>
      </c>
      <c r="I93" s="14">
        <v>1044.4502001898409</v>
      </c>
      <c r="J93" s="14">
        <v>0</v>
      </c>
      <c r="K93" s="14">
        <v>7.8836880857383838</v>
      </c>
      <c r="L93" s="14">
        <v>0.12684418626467517</v>
      </c>
      <c r="M93" s="14">
        <v>0.10407565483016598</v>
      </c>
      <c r="N93" s="14">
        <v>12.922738998371122</v>
      </c>
      <c r="O93" s="14">
        <v>6010.236680752424</v>
      </c>
      <c r="P93" s="8">
        <v>12.922738998371122</v>
      </c>
      <c r="Q93" s="54">
        <v>0.41637796421377515</v>
      </c>
    </row>
    <row r="94" spans="1:17">
      <c r="A94" s="2" t="s">
        <v>466</v>
      </c>
      <c r="B94" s="16" t="s">
        <v>467</v>
      </c>
      <c r="D94" s="14">
        <v>1</v>
      </c>
      <c r="E94" s="14">
        <v>0.9993451296485828</v>
      </c>
      <c r="F94" s="14">
        <v>0.98817150895006123</v>
      </c>
      <c r="G94" s="14">
        <v>2.2421710809942325E-20</v>
      </c>
      <c r="H94" s="14">
        <v>32.848256865324757</v>
      </c>
      <c r="I94" s="14">
        <v>3.9968001965007924E-2</v>
      </c>
      <c r="J94" s="14">
        <v>0</v>
      </c>
      <c r="K94" s="14">
        <v>1.0119700790225237</v>
      </c>
      <c r="L94" s="14">
        <v>0.98817150895006134</v>
      </c>
      <c r="M94" s="14">
        <v>0.81079472309352529</v>
      </c>
      <c r="N94" s="14">
        <v>0.97836329059595195</v>
      </c>
      <c r="O94" s="14">
        <v>323.58387473170512</v>
      </c>
      <c r="P94" s="8">
        <v>0.97836329059595195</v>
      </c>
      <c r="Q94" s="54">
        <v>1.1844382884202591E-4</v>
      </c>
    </row>
    <row r="95" spans="1:17">
      <c r="A95" s="2" t="s">
        <v>468</v>
      </c>
      <c r="B95" s="16" t="s">
        <v>469</v>
      </c>
      <c r="D95" s="14">
        <v>1</v>
      </c>
      <c r="E95" s="14">
        <v>0.4472137515691173</v>
      </c>
      <c r="F95" s="14">
        <v>3.7138845292993057E-2</v>
      </c>
      <c r="G95" s="14">
        <v>1.0535542039313858E-19</v>
      </c>
      <c r="H95" s="14">
        <v>934.3904621297238</v>
      </c>
      <c r="I95" s="14">
        <v>2140.3537970487178</v>
      </c>
      <c r="J95" s="14">
        <v>0</v>
      </c>
      <c r="K95" s="14">
        <v>26.925985234890135</v>
      </c>
      <c r="L95" s="14">
        <v>3.7138845292993057E-2</v>
      </c>
      <c r="M95" s="14">
        <v>3.0472422562900805E-2</v>
      </c>
      <c r="N95" s="14">
        <v>26.632124047327803</v>
      </c>
      <c r="O95" s="14">
        <v>13156.269279379936</v>
      </c>
      <c r="P95" s="8">
        <v>26.632124047327807</v>
      </c>
      <c r="Q95" s="54">
        <v>0.36432214266219204</v>
      </c>
    </row>
    <row r="96" spans="1:17">
      <c r="A96" s="2" t="s">
        <v>470</v>
      </c>
      <c r="B96" s="164">
        <v>354656</v>
      </c>
      <c r="D96" s="14">
        <v>1</v>
      </c>
      <c r="E96" s="14">
        <v>0.96952496616330841</v>
      </c>
      <c r="F96" s="14">
        <v>0.96976709213638279</v>
      </c>
      <c r="G96" s="14">
        <v>4.0848482792495783E-12</v>
      </c>
      <c r="H96" s="14">
        <v>0.27857840196659939</v>
      </c>
      <c r="I96" s="14">
        <v>0.99771066253118534</v>
      </c>
      <c r="J96" s="14">
        <v>0</v>
      </c>
      <c r="K96" s="14">
        <v>1.0311754318214845</v>
      </c>
      <c r="L96" s="14">
        <v>0.96976709213638279</v>
      </c>
      <c r="M96" s="14">
        <v>0.79569389909790211</v>
      </c>
      <c r="N96" s="14">
        <v>0.9159206838966597</v>
      </c>
      <c r="O96" s="14">
        <v>180.61039965758232</v>
      </c>
      <c r="P96" s="8">
        <v>0.9159206838966597</v>
      </c>
      <c r="Q96" s="54">
        <v>2.0267706825413411E-2</v>
      </c>
    </row>
    <row r="97" spans="1:17">
      <c r="A97" s="2" t="s">
        <v>472</v>
      </c>
      <c r="B97" s="16" t="s">
        <v>473</v>
      </c>
      <c r="D97" s="14">
        <v>1</v>
      </c>
      <c r="E97" s="14">
        <v>0.936590844200479</v>
      </c>
      <c r="F97" s="14">
        <v>0.93639158901899167</v>
      </c>
      <c r="G97" s="14">
        <v>6.3028357799144067E-12</v>
      </c>
      <c r="H97" s="14">
        <v>1.1909883246033484</v>
      </c>
      <c r="I97" s="14">
        <v>3.8226512216330883</v>
      </c>
      <c r="J97" s="14">
        <v>0</v>
      </c>
      <c r="K97" s="14">
        <v>1.0679292848493518</v>
      </c>
      <c r="L97" s="14">
        <v>0.93639158901899167</v>
      </c>
      <c r="M97" s="14">
        <v>0.7683092987900827</v>
      </c>
      <c r="N97" s="14">
        <v>0.91777272129108967</v>
      </c>
      <c r="O97" s="14">
        <v>147.00883449640673</v>
      </c>
      <c r="P97" s="8">
        <v>0.91777272129108967</v>
      </c>
      <c r="Q97" s="54">
        <v>4.2497626454212345E-2</v>
      </c>
    </row>
    <row r="98" spans="1:17">
      <c r="A98" s="2" t="s">
        <v>474</v>
      </c>
      <c r="B98" s="16" t="s">
        <v>475</v>
      </c>
      <c r="D98" s="14">
        <v>1</v>
      </c>
      <c r="E98" s="14">
        <v>0.4196245688870297</v>
      </c>
      <c r="F98" s="14">
        <v>7.5527746220118472E-2</v>
      </c>
      <c r="G98" s="14">
        <v>2.127820619355603E-21</v>
      </c>
      <c r="H98" s="14">
        <v>830.43668353221415</v>
      </c>
      <c r="I98" s="14">
        <v>1366.9848334085116</v>
      </c>
      <c r="J98" s="14">
        <v>0</v>
      </c>
      <c r="K98" s="14">
        <v>13.240167356319551</v>
      </c>
      <c r="L98" s="14">
        <v>7.5527746220118472E-2</v>
      </c>
      <c r="M98" s="14">
        <v>6.197051577360721E-2</v>
      </c>
      <c r="N98" s="14">
        <v>16.920960877808994</v>
      </c>
      <c r="O98" s="14">
        <v>8992.3062392940337</v>
      </c>
      <c r="P98" s="8">
        <v>16.920960877808994</v>
      </c>
      <c r="Q98" s="54">
        <v>0.38615680819091969</v>
      </c>
    </row>
    <row r="99" spans="1:17">
      <c r="A99" s="2" t="s">
        <v>476</v>
      </c>
      <c r="B99" s="16" t="s">
        <v>477</v>
      </c>
      <c r="D99" s="14">
        <v>1</v>
      </c>
      <c r="E99" s="14">
        <v>0.99120622103389411</v>
      </c>
      <c r="F99" s="14">
        <v>0.9915807339328</v>
      </c>
      <c r="G99" s="14">
        <v>1.926799689577896E-9</v>
      </c>
      <c r="H99" s="14">
        <v>2.336727555755647E-2</v>
      </c>
      <c r="I99" s="14">
        <v>0.10061558364276874</v>
      </c>
      <c r="J99" s="14">
        <v>0</v>
      </c>
      <c r="K99" s="14">
        <v>1.0084907519671218</v>
      </c>
      <c r="L99" s="14">
        <v>0.9915807339328</v>
      </c>
      <c r="M99" s="14">
        <v>0.8135919921918624</v>
      </c>
      <c r="N99" s="14">
        <v>0.92590482852805889</v>
      </c>
      <c r="O99" s="14">
        <v>119.58986765268409</v>
      </c>
      <c r="P99" s="8">
        <v>0.925904828528059</v>
      </c>
      <c r="Q99" s="54">
        <v>5.6294407270046443E-3</v>
      </c>
    </row>
    <row r="100" spans="1:17">
      <c r="A100" s="2" t="s">
        <v>478</v>
      </c>
      <c r="B100" s="16" t="s">
        <v>479</v>
      </c>
      <c r="D100" s="14">
        <v>1</v>
      </c>
      <c r="E100" s="14">
        <v>0.57155315893151981</v>
      </c>
      <c r="F100" s="14">
        <v>0.53755039355563738</v>
      </c>
      <c r="G100" s="14">
        <v>7.4108440081672456E-13</v>
      </c>
      <c r="H100" s="14">
        <v>78.133842751411805</v>
      </c>
      <c r="I100" s="14">
        <v>176.8871786223543</v>
      </c>
      <c r="J100" s="14">
        <v>0</v>
      </c>
      <c r="K100" s="14">
        <v>1.8602907038826273</v>
      </c>
      <c r="L100" s="14">
        <v>0.53755039355563738</v>
      </c>
      <c r="M100" s="14">
        <v>0.44106009791240053</v>
      </c>
      <c r="N100" s="14">
        <v>2.6221829942505352</v>
      </c>
      <c r="O100" s="14">
        <v>786.13046167631057</v>
      </c>
      <c r="P100" s="8">
        <v>2.6221829942505357</v>
      </c>
      <c r="Q100" s="54">
        <v>0.28833433065085484</v>
      </c>
    </row>
    <row r="101" spans="1:17">
      <c r="A101" s="2" t="s">
        <v>480</v>
      </c>
      <c r="B101" s="16" t="s">
        <v>481</v>
      </c>
      <c r="D101" s="14">
        <v>1</v>
      </c>
      <c r="E101" s="14">
        <v>0.98558173275334093</v>
      </c>
      <c r="F101" s="14">
        <v>0.98593426060320644</v>
      </c>
      <c r="G101" s="14">
        <v>5.1850917548827265E-13</v>
      </c>
      <c r="H101" s="14">
        <v>6.3172484618542843E-2</v>
      </c>
      <c r="I101" s="14">
        <v>0.25268829736648646</v>
      </c>
      <c r="J101" s="14">
        <v>0</v>
      </c>
      <c r="K101" s="14">
        <v>1.0142664069592104</v>
      </c>
      <c r="L101" s="14">
        <v>0.98593426060320644</v>
      </c>
      <c r="M101" s="14">
        <v>0.80895906082493085</v>
      </c>
      <c r="N101" s="14">
        <v>0.92238271622135515</v>
      </c>
      <c r="O101" s="14">
        <v>219.67466769527795</v>
      </c>
      <c r="P101" s="8">
        <v>0.92238271622135515</v>
      </c>
      <c r="Q101" s="54">
        <v>9.4272522766052028E-3</v>
      </c>
    </row>
    <row r="102" spans="1:17">
      <c r="A102" s="2" t="s">
        <v>482</v>
      </c>
      <c r="B102" s="16" t="s">
        <v>483</v>
      </c>
      <c r="D102" s="14">
        <v>1</v>
      </c>
      <c r="E102" s="14">
        <v>0.99599886208550037</v>
      </c>
      <c r="F102" s="14">
        <v>0.99638487391388075</v>
      </c>
      <c r="G102" s="14">
        <v>3.2581840520414992E-29</v>
      </c>
      <c r="H102" s="14">
        <v>4.5076182225385177E-3</v>
      </c>
      <c r="I102" s="14">
        <v>2.1918170283923948E-2</v>
      </c>
      <c r="J102" s="14">
        <v>0</v>
      </c>
      <c r="K102" s="14">
        <v>1.0036282426407366</v>
      </c>
      <c r="L102" s="14">
        <v>0.99638487391388075</v>
      </c>
      <c r="M102" s="14">
        <v>0.81753378904633922</v>
      </c>
      <c r="N102" s="14">
        <v>0.9294895165213819</v>
      </c>
      <c r="O102" s="14">
        <v>427.96485809193985</v>
      </c>
      <c r="P102" s="8">
        <v>0.9294895165213819</v>
      </c>
      <c r="Q102" s="54">
        <v>2.3933394346977886E-3</v>
      </c>
    </row>
    <row r="103" spans="1:17">
      <c r="A103" s="2" t="s">
        <v>484</v>
      </c>
      <c r="B103" s="16" t="s">
        <v>485</v>
      </c>
      <c r="D103" s="14">
        <v>1</v>
      </c>
      <c r="E103" s="14">
        <v>0.99147148675503949</v>
      </c>
      <c r="F103" s="14">
        <v>0.99184681370079786</v>
      </c>
      <c r="G103" s="14">
        <v>2.5989809138486115E-15</v>
      </c>
      <c r="H103" s="14">
        <v>2.1957080923941295E-2</v>
      </c>
      <c r="I103" s="14">
        <v>9.4979914274285121E-2</v>
      </c>
      <c r="J103" s="14">
        <v>0</v>
      </c>
      <c r="K103" s="14">
        <v>1.0082202071797568</v>
      </c>
      <c r="L103" s="14">
        <v>0.99184681370079786</v>
      </c>
      <c r="M103" s="14">
        <v>0.81381031064150466</v>
      </c>
      <c r="N103" s="14">
        <v>0.92608859693232293</v>
      </c>
      <c r="O103" s="14">
        <v>190.07968452035928</v>
      </c>
      <c r="P103" s="8">
        <v>0.92608859693232304</v>
      </c>
      <c r="Q103" s="54">
        <v>5.4504426367550998E-3</v>
      </c>
    </row>
    <row r="104" spans="1:17">
      <c r="A104" s="2" t="s">
        <v>486</v>
      </c>
      <c r="B104" s="16" t="s">
        <v>487</v>
      </c>
      <c r="D104" s="14">
        <v>1</v>
      </c>
      <c r="E104" s="14">
        <v>0.95413123634863828</v>
      </c>
      <c r="F104" s="14">
        <v>0.95420298958351346</v>
      </c>
      <c r="G104" s="14">
        <v>3.2072237596904824E-11</v>
      </c>
      <c r="H104" s="14">
        <v>0.62560580933291898</v>
      </c>
      <c r="I104" s="14">
        <v>2.1084239639029727</v>
      </c>
      <c r="J104" s="14">
        <v>0</v>
      </c>
      <c r="K104" s="14">
        <v>1.0479950397519462</v>
      </c>
      <c r="L104" s="14">
        <v>0.95420298958351346</v>
      </c>
      <c r="M104" s="14">
        <v>0.78292355295327276</v>
      </c>
      <c r="N104" s="14">
        <v>0.91433549322303809</v>
      </c>
      <c r="O104" s="14">
        <v>138.21095315559444</v>
      </c>
      <c r="P104" s="8">
        <v>0.91433549322303809</v>
      </c>
      <c r="Q104" s="54">
        <v>3.0658997051897317E-2</v>
      </c>
    </row>
    <row r="105" spans="1:17">
      <c r="A105" s="2" t="s">
        <v>488</v>
      </c>
      <c r="B105" s="16" t="s">
        <v>489</v>
      </c>
      <c r="D105" s="14">
        <v>1</v>
      </c>
      <c r="E105" s="14">
        <v>0.99529244810149109</v>
      </c>
      <c r="F105" s="14">
        <v>0.99567720260778458</v>
      </c>
      <c r="G105" s="14">
        <v>2.5912364920716702E-18</v>
      </c>
      <c r="H105" s="14">
        <v>6.3926152055257032E-3</v>
      </c>
      <c r="I105" s="14">
        <v>3.0292543084216271E-2</v>
      </c>
      <c r="J105" s="14">
        <v>0</v>
      </c>
      <c r="K105" s="14">
        <v>1.0043415650985013</v>
      </c>
      <c r="L105" s="14">
        <v>0.99567720260778469</v>
      </c>
      <c r="M105" s="14">
        <v>0.81695314473968728</v>
      </c>
      <c r="N105" s="14">
        <v>0.92892434946758562</v>
      </c>
      <c r="O105" s="14">
        <v>315.23976723531985</v>
      </c>
      <c r="P105" s="8">
        <v>0.92892434946758562</v>
      </c>
      <c r="Q105" s="54">
        <v>2.87035580290693E-3</v>
      </c>
    </row>
    <row r="106" spans="1:17">
      <c r="A106" s="2" t="s">
        <v>490</v>
      </c>
      <c r="B106" s="16" t="s">
        <v>491</v>
      </c>
      <c r="D106" s="14">
        <v>1</v>
      </c>
      <c r="E106" s="14">
        <v>0.85088672875777094</v>
      </c>
      <c r="F106" s="14">
        <v>0.84811049830467444</v>
      </c>
      <c r="G106" s="14">
        <v>1.4485748035402989E-10</v>
      </c>
      <c r="H106" s="14">
        <v>6.7781697217711709</v>
      </c>
      <c r="I106" s="14">
        <v>19.00070039072914</v>
      </c>
      <c r="J106" s="14">
        <v>0</v>
      </c>
      <c r="K106" s="14">
        <v>1.1790916419487132</v>
      </c>
      <c r="L106" s="14">
        <v>0.84811049830467444</v>
      </c>
      <c r="M106" s="14">
        <v>0.69587466385898544</v>
      </c>
      <c r="N106" s="14">
        <v>1.0146248081516331</v>
      </c>
      <c r="O106" s="14">
        <v>194.93986439017326</v>
      </c>
      <c r="P106" s="8">
        <v>1.0146248081516331</v>
      </c>
      <c r="Q106" s="54">
        <v>0.10031586213311644</v>
      </c>
    </row>
    <row r="107" spans="1:17">
      <c r="A107" s="2" t="s">
        <v>492</v>
      </c>
      <c r="B107" s="16" t="s">
        <v>493</v>
      </c>
      <c r="D107" s="14">
        <v>1</v>
      </c>
      <c r="E107" s="14">
        <v>0.44398711824428483</v>
      </c>
      <c r="F107" s="14">
        <v>6.0956876670759309E-2</v>
      </c>
      <c r="G107" s="14">
        <v>1.0855034149345379E-17</v>
      </c>
      <c r="H107" s="14">
        <v>927.6896394532132</v>
      </c>
      <c r="I107" s="14">
        <v>1490.9390067660077</v>
      </c>
      <c r="J107" s="14">
        <v>0</v>
      </c>
      <c r="K107" s="14">
        <v>16.40503999903418</v>
      </c>
      <c r="L107" s="14">
        <v>6.0956876670759316E-2</v>
      </c>
      <c r="M107" s="14">
        <v>5.0015117308358018E-2</v>
      </c>
      <c r="N107" s="14">
        <v>18.473887582765027</v>
      </c>
      <c r="O107" s="14">
        <v>8398.2292951249819</v>
      </c>
      <c r="P107" s="8">
        <v>18.473887582765027</v>
      </c>
      <c r="Q107" s="54">
        <v>0.36919845686710745</v>
      </c>
    </row>
    <row r="108" spans="1:17">
      <c r="A108" s="2" t="s">
        <v>291</v>
      </c>
      <c r="B108" s="16" t="s">
        <v>494</v>
      </c>
      <c r="D108" s="14">
        <v>1</v>
      </c>
      <c r="E108" s="14">
        <v>0.61140930377590474</v>
      </c>
      <c r="F108" s="14">
        <v>0.58525635882269822</v>
      </c>
      <c r="G108" s="14">
        <v>4.0360322581937517E-12</v>
      </c>
      <c r="H108" s="14">
        <v>59.9412977050902</v>
      </c>
      <c r="I108" s="14">
        <v>139.24618704134065</v>
      </c>
      <c r="J108" s="14">
        <v>0</v>
      </c>
      <c r="K108" s="14">
        <v>1.7086529431505881</v>
      </c>
      <c r="L108" s="14">
        <v>0.58525635882269822</v>
      </c>
      <c r="M108" s="14">
        <v>0.48020284241402394</v>
      </c>
      <c r="N108" s="14">
        <v>2.2116481295211243</v>
      </c>
      <c r="O108" s="14">
        <v>681.91746777524827</v>
      </c>
      <c r="P108" s="8">
        <v>2.2116481295211243</v>
      </c>
      <c r="Q108" s="54">
        <v>0.26156721708723618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9.4546672093787659E-5</v>
      </c>
      <c r="E2" s="20">
        <v>0.81310163485657483</v>
      </c>
      <c r="F2" s="20">
        <v>3.8434431516300282E-3</v>
      </c>
      <c r="G2" s="20">
        <v>1.1194791701121911E-3</v>
      </c>
      <c r="H2" s="20">
        <v>0</v>
      </c>
      <c r="I2" s="20">
        <v>0.8081387125348326</v>
      </c>
      <c r="J2" s="20">
        <v>5.3993745426343524E-4</v>
      </c>
      <c r="K2" s="20">
        <v>0.18626388101706789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1.9164588225950865E-2</v>
      </c>
      <c r="E3" s="20">
        <v>0.48467511949205566</v>
      </c>
      <c r="F3" s="20">
        <v>0.12971007404380361</v>
      </c>
      <c r="G3" s="20">
        <v>0.35145462482875894</v>
      </c>
      <c r="H3" s="20">
        <v>0</v>
      </c>
      <c r="I3" s="20">
        <v>3.5104206194931267E-3</v>
      </c>
      <c r="J3" s="20">
        <v>5.7849773512736284E-2</v>
      </c>
      <c r="K3" s="20">
        <v>0.43831051876925692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6.1179553852207806E-12</v>
      </c>
      <c r="E4" s="20">
        <v>0.535158352565127</v>
      </c>
      <c r="F4" s="20">
        <v>3.4840190459900867E-2</v>
      </c>
      <c r="G4" s="20">
        <v>8.3171795268560354E-3</v>
      </c>
      <c r="H4" s="20">
        <v>0</v>
      </c>
      <c r="I4" s="20">
        <v>0.49200098257837005</v>
      </c>
      <c r="J4" s="20">
        <v>1.513476755194287E-3</v>
      </c>
      <c r="K4" s="20">
        <v>0.46332817067356064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5.6116956874383201E-4</v>
      </c>
      <c r="E5" s="20">
        <v>0.44022752216921734</v>
      </c>
      <c r="F5" s="20">
        <v>0.31605912020207422</v>
      </c>
      <c r="G5" s="20">
        <v>9.1719965398055214E-2</v>
      </c>
      <c r="H5" s="20">
        <v>0</v>
      </c>
      <c r="I5" s="20">
        <v>3.2448436569087941E-2</v>
      </c>
      <c r="J5" s="20">
        <v>1.473810205989182E-2</v>
      </c>
      <c r="K5" s="20">
        <v>0.54447320620214701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6.9966310834338697E-5</v>
      </c>
      <c r="E6" s="20">
        <v>0.54971477629851684</v>
      </c>
      <c r="F6" s="20">
        <v>9.2696468733893228E-2</v>
      </c>
      <c r="G6" s="20">
        <v>0.45525921521577711</v>
      </c>
      <c r="H6" s="20">
        <v>0</v>
      </c>
      <c r="I6" s="20">
        <v>1.7590923488465349E-3</v>
      </c>
      <c r="J6" s="20">
        <v>7.5439598847784367E-2</v>
      </c>
      <c r="K6" s="20">
        <v>0.37477565854286432</v>
      </c>
      <c r="L6" s="20">
        <v>0</v>
      </c>
    </row>
    <row r="7" spans="1:14">
      <c r="A7" s="2" t="s">
        <v>321</v>
      </c>
      <c r="B7" s="3" t="s">
        <v>322</v>
      </c>
      <c r="D7" s="20">
        <v>9.4970858450187814E-5</v>
      </c>
      <c r="E7" s="20">
        <v>0.50156339166426478</v>
      </c>
      <c r="F7" s="20">
        <v>0.12596926012046</v>
      </c>
      <c r="G7" s="20">
        <v>0.37235752410347384</v>
      </c>
      <c r="H7" s="20">
        <v>0</v>
      </c>
      <c r="I7" s="20">
        <v>3.2366074403309751E-3</v>
      </c>
      <c r="J7" s="20">
        <v>6.1350363924567476E-2</v>
      </c>
      <c r="K7" s="20">
        <v>0.43699127355271755</v>
      </c>
      <c r="L7" s="20">
        <v>0</v>
      </c>
    </row>
    <row r="8" spans="1:14">
      <c r="A8" s="2" t="s">
        <v>323</v>
      </c>
      <c r="B8" s="3" t="s">
        <v>324</v>
      </c>
      <c r="D8" s="20">
        <v>8.1786547117087985E-4</v>
      </c>
      <c r="E8" s="20">
        <v>0.45431000867492605</v>
      </c>
      <c r="F8" s="20">
        <v>0.17480590064168258</v>
      </c>
      <c r="G8" s="20">
        <v>0.27293023157893387</v>
      </c>
      <c r="H8" s="20">
        <v>0</v>
      </c>
      <c r="I8" s="20">
        <v>6.5738764543096196E-3</v>
      </c>
      <c r="J8" s="20">
        <v>4.4648414318385211E-2</v>
      </c>
      <c r="K8" s="20">
        <v>0.50022371153551792</v>
      </c>
      <c r="L8" s="20">
        <v>0</v>
      </c>
    </row>
    <row r="9" spans="1:14">
      <c r="A9" s="2" t="s">
        <v>325</v>
      </c>
      <c r="B9" s="3" t="s">
        <v>326</v>
      </c>
      <c r="D9" s="20">
        <v>2.8455607395579455E-4</v>
      </c>
      <c r="E9" s="20">
        <v>0.36776430210554584</v>
      </c>
      <c r="F9" s="20">
        <v>0.16766486944900771</v>
      </c>
      <c r="G9" s="20">
        <v>3.292589815289302E-2</v>
      </c>
      <c r="H9" s="20">
        <v>0</v>
      </c>
      <c r="I9" s="20">
        <v>0.16717353450364508</v>
      </c>
      <c r="J9" s="20">
        <v>5.2647547340049063E-3</v>
      </c>
      <c r="K9" s="20">
        <v>0.62668638708649349</v>
      </c>
      <c r="L9" s="20">
        <v>0</v>
      </c>
    </row>
    <row r="10" spans="1:14">
      <c r="A10" s="2" t="s">
        <v>275</v>
      </c>
      <c r="B10" s="3" t="s">
        <v>276</v>
      </c>
      <c r="D10" s="20">
        <v>7.2019796919389267E-6</v>
      </c>
      <c r="E10" s="20">
        <v>0.43731381568731731</v>
      </c>
      <c r="F10" s="20">
        <v>0.30926167753491612</v>
      </c>
      <c r="G10" s="20">
        <v>9.7908785329374498E-2</v>
      </c>
      <c r="H10" s="20">
        <v>0</v>
      </c>
      <c r="I10" s="20">
        <v>3.0143352823026669E-2</v>
      </c>
      <c r="J10" s="20">
        <v>1.5745774190237049E-2</v>
      </c>
      <c r="K10" s="20">
        <v>0.5469332081427537</v>
      </c>
      <c r="L10" s="20">
        <v>0</v>
      </c>
    </row>
    <row r="11" spans="1:14">
      <c r="A11" s="2" t="s">
        <v>327</v>
      </c>
      <c r="B11" s="3" t="s">
        <v>328</v>
      </c>
      <c r="D11" s="20">
        <v>3.7443159136153379E-4</v>
      </c>
      <c r="E11" s="20">
        <v>0.43274123633769823</v>
      </c>
      <c r="F11" s="20">
        <v>0.29733545497830199</v>
      </c>
      <c r="G11" s="20">
        <v>0.10882840244477864</v>
      </c>
      <c r="H11" s="20">
        <v>0</v>
      </c>
      <c r="I11" s="20">
        <v>2.6577378914617592E-2</v>
      </c>
      <c r="J11" s="20">
        <v>1.7527051545244303E-2</v>
      </c>
      <c r="K11" s="20">
        <v>0.54935728052569599</v>
      </c>
      <c r="L11" s="20">
        <v>0</v>
      </c>
    </row>
    <row r="12" spans="1:14">
      <c r="A12" s="2" t="s">
        <v>329</v>
      </c>
      <c r="B12" s="3" t="s">
        <v>330</v>
      </c>
      <c r="D12" s="20">
        <v>1.7350675341307244E-4</v>
      </c>
      <c r="E12" s="20">
        <v>0.37712647429475971</v>
      </c>
      <c r="F12" s="20">
        <v>0.21202672168062189</v>
      </c>
      <c r="G12" s="20">
        <v>4.0057713288995531E-2</v>
      </c>
      <c r="H12" s="20">
        <v>0</v>
      </c>
      <c r="I12" s="20">
        <v>0.12504203932514227</v>
      </c>
      <c r="J12" s="20">
        <v>6.3906293632427164E-3</v>
      </c>
      <c r="K12" s="20">
        <v>0.61630938958858461</v>
      </c>
      <c r="L12" s="20">
        <v>0</v>
      </c>
    </row>
    <row r="13" spans="1:14">
      <c r="A13" s="2" t="s">
        <v>277</v>
      </c>
      <c r="B13" s="3" t="s">
        <v>278</v>
      </c>
      <c r="D13" s="20">
        <v>4.4942860461092934E-4</v>
      </c>
      <c r="E13" s="20">
        <v>0.36794035048905988</v>
      </c>
      <c r="F13" s="20">
        <v>0.17160697080001161</v>
      </c>
      <c r="G13" s="20">
        <v>3.3576117853746687E-2</v>
      </c>
      <c r="H13" s="20">
        <v>0</v>
      </c>
      <c r="I13" s="20">
        <v>0.16275726183530159</v>
      </c>
      <c r="J13" s="20">
        <v>5.3668940192517691E-3</v>
      </c>
      <c r="K13" s="20">
        <v>0.62624332688707751</v>
      </c>
      <c r="L13" s="20">
        <v>0</v>
      </c>
    </row>
    <row r="14" spans="1:14">
      <c r="A14" s="2" t="s">
        <v>331</v>
      </c>
      <c r="B14" s="3" t="s">
        <v>332</v>
      </c>
      <c r="D14" s="20">
        <v>2.5103975219895671E-4</v>
      </c>
      <c r="E14" s="20">
        <v>0.42632460150178775</v>
      </c>
      <c r="F14" s="20">
        <v>0.25960718764631802</v>
      </c>
      <c r="G14" s="20">
        <v>0.14897461365425543</v>
      </c>
      <c r="H14" s="20">
        <v>0</v>
      </c>
      <c r="I14" s="20">
        <v>1.7742800201214295E-2</v>
      </c>
      <c r="J14" s="20">
        <v>2.4105007641487031E-2</v>
      </c>
      <c r="K14" s="20">
        <v>0.54931935110452612</v>
      </c>
      <c r="L14" s="20">
        <v>0</v>
      </c>
    </row>
    <row r="15" spans="1:14">
      <c r="A15" s="2" t="s">
        <v>333</v>
      </c>
      <c r="B15" s="3" t="s">
        <v>334</v>
      </c>
      <c r="D15" s="20">
        <v>4.0796077081252133E-7</v>
      </c>
      <c r="E15" s="20">
        <v>0.43497499628262348</v>
      </c>
      <c r="F15" s="20">
        <v>0.30338396195073591</v>
      </c>
      <c r="G15" s="20">
        <v>0.1032733283532813</v>
      </c>
      <c r="H15" s="20">
        <v>0</v>
      </c>
      <c r="I15" s="20">
        <v>2.8317705978606243E-2</v>
      </c>
      <c r="J15" s="20">
        <v>1.6620354989874738E-2</v>
      </c>
      <c r="K15" s="20">
        <v>0.548404240766731</v>
      </c>
      <c r="L15" s="20">
        <v>0</v>
      </c>
    </row>
    <row r="16" spans="1:14">
      <c r="A16" s="2" t="s">
        <v>335</v>
      </c>
      <c r="B16" s="3" t="s">
        <v>336</v>
      </c>
      <c r="D16" s="20">
        <v>2.1152133406400885E-3</v>
      </c>
      <c r="E16" s="20">
        <v>0.45207516641508028</v>
      </c>
      <c r="F16" s="20">
        <v>0.17694096512328683</v>
      </c>
      <c r="G16" s="20">
        <v>0.2683638088753556</v>
      </c>
      <c r="H16" s="20">
        <v>0</v>
      </c>
      <c r="I16" s="20">
        <v>6.7703924164378365E-3</v>
      </c>
      <c r="J16" s="20">
        <v>4.3887220552069263E-2</v>
      </c>
      <c r="K16" s="20">
        <v>0.50192239969221031</v>
      </c>
      <c r="L16" s="20">
        <v>0</v>
      </c>
    </row>
    <row r="17" spans="1:12">
      <c r="A17" s="2" t="s">
        <v>337</v>
      </c>
      <c r="B17" s="3" t="s">
        <v>338</v>
      </c>
      <c r="D17" s="20">
        <v>1.4410738261784497E-4</v>
      </c>
      <c r="E17" s="20">
        <v>0.43931727945169552</v>
      </c>
      <c r="F17" s="20">
        <v>0.31387768814687178</v>
      </c>
      <c r="G17" s="20">
        <v>9.3768290960399028E-2</v>
      </c>
      <c r="H17" s="20">
        <v>0</v>
      </c>
      <c r="I17" s="20">
        <v>3.1671300344424697E-2</v>
      </c>
      <c r="J17" s="20">
        <v>1.5071425281136972E-2</v>
      </c>
      <c r="K17" s="20">
        <v>0.54546718788454973</v>
      </c>
      <c r="L17" s="20">
        <v>0</v>
      </c>
    </row>
    <row r="18" spans="1:12">
      <c r="A18" s="2" t="s">
        <v>279</v>
      </c>
      <c r="B18" s="3" t="s">
        <v>280</v>
      </c>
      <c r="D18" s="20">
        <v>7.9627699109689667E-3</v>
      </c>
      <c r="E18" s="20">
        <v>0.36560974731758777</v>
      </c>
      <c r="F18" s="20">
        <v>0.14932701425180236</v>
      </c>
      <c r="G18" s="20">
        <v>2.9814939812357503E-2</v>
      </c>
      <c r="H18" s="20">
        <v>0</v>
      </c>
      <c r="I18" s="20">
        <v>0.18646779325342788</v>
      </c>
      <c r="J18" s="20">
        <v>4.7765816516660868E-3</v>
      </c>
      <c r="K18" s="20">
        <v>0.62165090111977728</v>
      </c>
      <c r="L18" s="20">
        <v>0</v>
      </c>
    </row>
    <row r="19" spans="1:12">
      <c r="A19" s="2" t="s">
        <v>339</v>
      </c>
      <c r="B19" s="3" t="s">
        <v>340</v>
      </c>
      <c r="D19" s="20">
        <v>1.4296217694806238E-6</v>
      </c>
      <c r="E19" s="20">
        <v>0.43453839212448869</v>
      </c>
      <c r="F19" s="20">
        <v>0.30220063156648519</v>
      </c>
      <c r="G19" s="20">
        <v>0.10437366244189064</v>
      </c>
      <c r="H19" s="20">
        <v>0</v>
      </c>
      <c r="I19" s="20">
        <v>2.7964098116112876E-2</v>
      </c>
      <c r="J19" s="20">
        <v>1.6799856861756269E-2</v>
      </c>
      <c r="K19" s="20">
        <v>0.54866032139198551</v>
      </c>
      <c r="L19" s="20">
        <v>0</v>
      </c>
    </row>
    <row r="20" spans="1:12">
      <c r="A20" s="2" t="s">
        <v>281</v>
      </c>
      <c r="B20" s="3" t="s">
        <v>282</v>
      </c>
      <c r="D20" s="20">
        <v>6.8049726482325115E-5</v>
      </c>
      <c r="E20" s="20">
        <v>0.36808073826142829</v>
      </c>
      <c r="F20" s="20">
        <v>0.17167244750111679</v>
      </c>
      <c r="G20" s="20">
        <v>3.3588928833526432E-2</v>
      </c>
      <c r="H20" s="20">
        <v>0</v>
      </c>
      <c r="I20" s="20">
        <v>0.16281936192678509</v>
      </c>
      <c r="J20" s="20">
        <v>5.3689417595849465E-3</v>
      </c>
      <c r="K20" s="20">
        <v>0.62648227025250436</v>
      </c>
      <c r="L20" s="20">
        <v>0</v>
      </c>
    </row>
    <row r="21" spans="1:12">
      <c r="A21" s="2" t="s">
        <v>341</v>
      </c>
      <c r="B21" s="3" t="s">
        <v>342</v>
      </c>
      <c r="D21" s="20">
        <v>2.0913229536053722E-3</v>
      </c>
      <c r="E21" s="20">
        <v>0.42624881990570229</v>
      </c>
      <c r="F21" s="20">
        <v>0.27020620569566622</v>
      </c>
      <c r="G21" s="20">
        <v>0.13607892645296449</v>
      </c>
      <c r="H21" s="20">
        <v>0</v>
      </c>
      <c r="I21" s="20">
        <v>1.9963687757071573E-2</v>
      </c>
      <c r="J21" s="20">
        <v>2.1987996164970797E-2</v>
      </c>
      <c r="K21" s="20">
        <v>0.54967186097572163</v>
      </c>
      <c r="L21" s="20">
        <v>0</v>
      </c>
    </row>
    <row r="22" spans="1:12">
      <c r="A22" s="2" t="s">
        <v>343</v>
      </c>
      <c r="B22" s="3" t="s">
        <v>344</v>
      </c>
      <c r="D22" s="20">
        <v>2.2673689591321019E-3</v>
      </c>
      <c r="E22" s="20">
        <v>0.66877932603730961</v>
      </c>
      <c r="F22" s="20">
        <v>1.388661552993299E-2</v>
      </c>
      <c r="G22" s="20">
        <v>3.6215289980248465E-3</v>
      </c>
      <c r="H22" s="20">
        <v>0</v>
      </c>
      <c r="I22" s="20">
        <v>0.65127118150935182</v>
      </c>
      <c r="J22" s="20">
        <v>8.545385718953121E-4</v>
      </c>
      <c r="K22" s="20">
        <v>0.32809876643166297</v>
      </c>
      <c r="L22" s="20">
        <v>0</v>
      </c>
    </row>
    <row r="23" spans="1:12">
      <c r="A23" s="2" t="s">
        <v>345</v>
      </c>
      <c r="B23" s="3" t="s">
        <v>346</v>
      </c>
      <c r="D23" s="20">
        <v>8.9277256844292558E-5</v>
      </c>
      <c r="E23" s="20">
        <v>0.76872006458800501</v>
      </c>
      <c r="F23" s="20">
        <v>6.1180786043218216E-3</v>
      </c>
      <c r="G23" s="20">
        <v>1.7143938804532175E-3</v>
      </c>
      <c r="H23" s="20">
        <v>0</v>
      </c>
      <c r="I23" s="20">
        <v>0.76088759210322998</v>
      </c>
      <c r="J23" s="20">
        <v>6.098067955073017E-4</v>
      </c>
      <c r="K23" s="20">
        <v>0.23058085135964343</v>
      </c>
      <c r="L23" s="20">
        <v>0</v>
      </c>
    </row>
    <row r="24" spans="1:12">
      <c r="A24" s="2" t="s">
        <v>347</v>
      </c>
      <c r="B24" s="3" t="s">
        <v>348</v>
      </c>
      <c r="D24" s="20">
        <v>1.3432181370676252E-4</v>
      </c>
      <c r="E24" s="20">
        <v>0.41918817960612614</v>
      </c>
      <c r="F24" s="20">
        <v>7.8130528532442955E-2</v>
      </c>
      <c r="G24" s="20">
        <v>1.704183348734202E-2</v>
      </c>
      <c r="H24" s="20">
        <v>0</v>
      </c>
      <c r="I24" s="20">
        <v>0.32401581758634118</v>
      </c>
      <c r="J24" s="20">
        <v>2.8090961085799177E-3</v>
      </c>
      <c r="K24" s="20">
        <v>0.57786840247158699</v>
      </c>
      <c r="L24" s="20">
        <v>0</v>
      </c>
    </row>
    <row r="25" spans="1:12">
      <c r="A25" s="2" t="s">
        <v>349</v>
      </c>
      <c r="B25" s="3" t="s">
        <v>350</v>
      </c>
      <c r="D25" s="20">
        <v>5.0249215162869384E-2</v>
      </c>
      <c r="E25" s="20">
        <v>0.38909964086232185</v>
      </c>
      <c r="F25" s="20">
        <v>0.26290781622754206</v>
      </c>
      <c r="G25" s="20">
        <v>4.7260580658434061E-2</v>
      </c>
      <c r="H25" s="20">
        <v>0</v>
      </c>
      <c r="I25" s="20">
        <v>7.8931243976345725E-2</v>
      </c>
      <c r="J25" s="20">
        <v>7.5409231917134235E-3</v>
      </c>
      <c r="K25" s="20">
        <v>0.55311022078309513</v>
      </c>
      <c r="L25" s="20">
        <v>0</v>
      </c>
    </row>
    <row r="26" spans="1:12">
      <c r="A26" s="2" t="s">
        <v>351</v>
      </c>
      <c r="B26" s="3" t="s">
        <v>352</v>
      </c>
      <c r="D26" s="20">
        <v>1.6766122217159785E-3</v>
      </c>
      <c r="E26" s="20">
        <v>0.42743847184537198</v>
      </c>
      <c r="F26" s="20">
        <v>0.27765585918378816</v>
      </c>
      <c r="G26" s="20">
        <v>0.12817472605315933</v>
      </c>
      <c r="H26" s="20">
        <v>0</v>
      </c>
      <c r="I26" s="20">
        <v>2.1607886608424484E-2</v>
      </c>
      <c r="J26" s="20">
        <v>2.0691956715913683E-2</v>
      </c>
      <c r="K26" s="20">
        <v>0.55019295921699829</v>
      </c>
      <c r="L26" s="20">
        <v>0</v>
      </c>
    </row>
    <row r="27" spans="1:12">
      <c r="A27" s="2" t="s">
        <v>353</v>
      </c>
      <c r="B27" s="3" t="s">
        <v>354</v>
      </c>
      <c r="D27" s="20">
        <v>1.3206683251239637E-2</v>
      </c>
      <c r="E27" s="20">
        <v>0.4817036946536144</v>
      </c>
      <c r="F27" s="20">
        <v>0.13575879569879787</v>
      </c>
      <c r="G27" s="20">
        <v>0.34210823796458217</v>
      </c>
      <c r="H27" s="20">
        <v>0</v>
      </c>
      <c r="I27" s="20">
        <v>3.8366609902343455E-3</v>
      </c>
      <c r="J27" s="20">
        <v>5.6265528318359646E-2</v>
      </c>
      <c r="K27" s="20">
        <v>0.44882409377678628</v>
      </c>
      <c r="L27" s="20">
        <v>0</v>
      </c>
    </row>
    <row r="28" spans="1:12">
      <c r="A28" s="2" t="s">
        <v>355</v>
      </c>
      <c r="B28" s="3" t="s">
        <v>356</v>
      </c>
      <c r="D28" s="20">
        <v>6.4505674040371216E-4</v>
      </c>
      <c r="E28" s="20">
        <v>0.43005895217952622</v>
      </c>
      <c r="F28" s="20">
        <v>0.22598110741702643</v>
      </c>
      <c r="G28" s="20">
        <v>0.19185259945798297</v>
      </c>
      <c r="H28" s="20">
        <v>0</v>
      </c>
      <c r="I28" s="20">
        <v>1.2225245304516798E-2</v>
      </c>
      <c r="J28" s="20">
        <v>3.1174522825102389E-2</v>
      </c>
      <c r="K28" s="20">
        <v>0.53812146825496765</v>
      </c>
      <c r="L28" s="20">
        <v>0</v>
      </c>
    </row>
    <row r="29" spans="1:12">
      <c r="A29" s="2" t="s">
        <v>357</v>
      </c>
      <c r="B29" s="3" t="s">
        <v>358</v>
      </c>
      <c r="D29" s="20">
        <v>0.11578869977001974</v>
      </c>
      <c r="E29" s="20">
        <v>0.3771683695199084</v>
      </c>
      <c r="F29" s="20">
        <v>0.2328843968698511</v>
      </c>
      <c r="G29" s="20">
        <v>0.12794872053704817</v>
      </c>
      <c r="H29" s="20">
        <v>0</v>
      </c>
      <c r="I29" s="20">
        <v>1.6335252113009145E-2</v>
      </c>
      <c r="J29" s="20">
        <v>2.0693314012917637E-2</v>
      </c>
      <c r="K29" s="20">
        <v>0.48634961669715399</v>
      </c>
      <c r="L29" s="20">
        <v>0</v>
      </c>
    </row>
    <row r="30" spans="1:12">
      <c r="A30" s="2" t="s">
        <v>359</v>
      </c>
      <c r="B30" s="3" t="s">
        <v>360</v>
      </c>
      <c r="D30" s="20">
        <v>6.4505674040371216E-4</v>
      </c>
      <c r="E30" s="20">
        <v>0.43005895217952622</v>
      </c>
      <c r="F30" s="20">
        <v>0.22598110741702643</v>
      </c>
      <c r="G30" s="20">
        <v>0.19185259945798297</v>
      </c>
      <c r="H30" s="20">
        <v>0</v>
      </c>
      <c r="I30" s="20">
        <v>1.2225245304516798E-2</v>
      </c>
      <c r="J30" s="20">
        <v>3.1174522825102389E-2</v>
      </c>
      <c r="K30" s="20">
        <v>0.53812146825496765</v>
      </c>
      <c r="L30" s="20">
        <v>0</v>
      </c>
    </row>
    <row r="31" spans="1:12">
      <c r="A31" s="2" t="s">
        <v>283</v>
      </c>
      <c r="B31" s="3" t="s">
        <v>284</v>
      </c>
      <c r="D31" s="20">
        <v>2.6136342802588503E-8</v>
      </c>
      <c r="E31" s="20">
        <v>0.97625168958527253</v>
      </c>
      <c r="F31" s="20">
        <v>5.9857563176323027E-5</v>
      </c>
      <c r="G31" s="20">
        <v>2.4022300090478984E-5</v>
      </c>
      <c r="H31" s="20">
        <v>0</v>
      </c>
      <c r="I31" s="20">
        <v>0.97616780972200567</v>
      </c>
      <c r="J31" s="20">
        <v>4.4982412483560039E-4</v>
      </c>
      <c r="K31" s="20">
        <v>2.3298460153549066E-2</v>
      </c>
      <c r="L31" s="20">
        <v>0</v>
      </c>
    </row>
    <row r="32" spans="1:12">
      <c r="A32" s="2" t="s">
        <v>361</v>
      </c>
      <c r="B32" s="3" t="s">
        <v>362</v>
      </c>
      <c r="D32" s="20">
        <v>2.7250607179806553E-8</v>
      </c>
      <c r="E32" s="20">
        <v>0.58773403450382655</v>
      </c>
      <c r="F32" s="20">
        <v>2.4936097555298534E-2</v>
      </c>
      <c r="G32" s="20">
        <v>6.1481881535877447E-3</v>
      </c>
      <c r="H32" s="20">
        <v>0</v>
      </c>
      <c r="I32" s="20">
        <v>0.55664974879494022</v>
      </c>
      <c r="J32" s="20">
        <v>1.248942679117431E-3</v>
      </c>
      <c r="K32" s="20">
        <v>0.41101699556644883</v>
      </c>
      <c r="L32" s="20">
        <v>0</v>
      </c>
    </row>
    <row r="33" spans="1:12">
      <c r="A33" s="2" t="s">
        <v>364</v>
      </c>
      <c r="B33" s="3" t="s">
        <v>365</v>
      </c>
      <c r="D33" s="20">
        <v>1.2069513293845444E-10</v>
      </c>
      <c r="E33" s="20">
        <v>0.9994848917477408</v>
      </c>
      <c r="F33" s="20">
        <v>4.201536351577558E-4</v>
      </c>
      <c r="G33" s="20">
        <v>1.2847997636273992E-7</v>
      </c>
      <c r="H33" s="20">
        <v>0</v>
      </c>
      <c r="I33" s="20">
        <v>0.99906460963260668</v>
      </c>
      <c r="J33" s="20">
        <v>4.5799340807325218E-4</v>
      </c>
      <c r="K33" s="20">
        <v>5.7114723490634788E-5</v>
      </c>
      <c r="L33" s="20">
        <v>0</v>
      </c>
    </row>
    <row r="34" spans="1:12">
      <c r="A34" s="2" t="s">
        <v>285</v>
      </c>
      <c r="B34" s="3" t="s">
        <v>286</v>
      </c>
      <c r="D34" s="20">
        <v>6.0290713155445681E-10</v>
      </c>
      <c r="E34" s="20">
        <v>0.99909011738740949</v>
      </c>
      <c r="F34" s="20">
        <v>7.5951852202880851E-2</v>
      </c>
      <c r="G34" s="20">
        <v>6.2375332889920124E-6</v>
      </c>
      <c r="H34" s="20">
        <v>0</v>
      </c>
      <c r="I34" s="20">
        <v>0.92313202765123969</v>
      </c>
      <c r="J34" s="20">
        <v>5.8289875904339432E-4</v>
      </c>
      <c r="K34" s="20">
        <v>3.2698325063978484E-4</v>
      </c>
      <c r="L34" s="20">
        <v>0</v>
      </c>
    </row>
    <row r="35" spans="1:12">
      <c r="A35" s="2" t="s">
        <v>287</v>
      </c>
      <c r="B35" s="3" t="s">
        <v>288</v>
      </c>
      <c r="D35" s="20">
        <v>2.6559920657785758E-11</v>
      </c>
      <c r="E35" s="20">
        <v>0.99807993069824696</v>
      </c>
      <c r="F35" s="20">
        <v>0.17153199603390179</v>
      </c>
      <c r="G35" s="20">
        <v>3.321792222716088E-5</v>
      </c>
      <c r="H35" s="20">
        <v>0</v>
      </c>
      <c r="I35" s="20">
        <v>0.82651471674211796</v>
      </c>
      <c r="J35" s="20">
        <v>7.2309423475897395E-4</v>
      </c>
      <c r="K35" s="20">
        <v>1.1969750404342225E-3</v>
      </c>
      <c r="L35" s="20">
        <v>0</v>
      </c>
    </row>
    <row r="36" spans="1:12">
      <c r="A36" s="2" t="s">
        <v>366</v>
      </c>
      <c r="B36" s="3" t="s">
        <v>305</v>
      </c>
      <c r="D36" s="20">
        <v>9.2900332370044122E-8</v>
      </c>
      <c r="E36" s="20">
        <v>0.99626098629157644</v>
      </c>
      <c r="F36" s="20">
        <v>0.44913665056629198</v>
      </c>
      <c r="G36" s="20">
        <v>1.2859387382533992E-4</v>
      </c>
      <c r="H36" s="20">
        <v>0</v>
      </c>
      <c r="I36" s="20">
        <v>0.54699574185145916</v>
      </c>
      <c r="J36" s="20">
        <v>1.0847252992403685E-3</v>
      </c>
      <c r="K36" s="20">
        <v>2.6541955088506619E-3</v>
      </c>
      <c r="L36" s="20">
        <v>0</v>
      </c>
    </row>
    <row r="37" spans="1:12">
      <c r="A37" s="2" t="s">
        <v>289</v>
      </c>
      <c r="B37" s="3" t="s">
        <v>290</v>
      </c>
      <c r="D37" s="20">
        <v>1.1901258690549332E-14</v>
      </c>
      <c r="E37" s="20">
        <v>0.79753743058321358</v>
      </c>
      <c r="F37" s="20">
        <v>0.19788520110471514</v>
      </c>
      <c r="G37" s="20">
        <v>6.7558938555082274E-3</v>
      </c>
      <c r="H37" s="20">
        <v>0</v>
      </c>
      <c r="I37" s="20">
        <v>0.59289633562299027</v>
      </c>
      <c r="J37" s="20">
        <v>1.6478937597341407E-3</v>
      </c>
      <c r="K37" s="20">
        <v>0.20081467565704042</v>
      </c>
      <c r="L37" s="20">
        <v>0</v>
      </c>
    </row>
    <row r="38" spans="1:12">
      <c r="A38" s="2" t="s">
        <v>291</v>
      </c>
      <c r="B38" s="3" t="s">
        <v>292</v>
      </c>
      <c r="D38" s="20">
        <v>1.8413233520278797E-12</v>
      </c>
      <c r="E38" s="20">
        <v>0.99656893591237916</v>
      </c>
      <c r="F38" s="20">
        <v>5.8610505723266988E-2</v>
      </c>
      <c r="G38" s="20">
        <v>4.8965761896697346E-5</v>
      </c>
      <c r="H38" s="20">
        <v>0</v>
      </c>
      <c r="I38" s="20">
        <v>0.93790946442721546</v>
      </c>
      <c r="J38" s="20">
        <v>5.6157123554571734E-4</v>
      </c>
      <c r="K38" s="20">
        <v>2.8694928502338264E-3</v>
      </c>
      <c r="L38" s="20">
        <v>0</v>
      </c>
    </row>
    <row r="39" spans="1:12">
      <c r="A39" s="2" t="s">
        <v>367</v>
      </c>
      <c r="B39" s="3" t="s">
        <v>368</v>
      </c>
      <c r="D39" s="20">
        <v>6.8958781024385153E-5</v>
      </c>
      <c r="E39" s="20">
        <v>0.46585222376160851</v>
      </c>
      <c r="F39" s="20">
        <v>0.35462046162307231</v>
      </c>
      <c r="G39" s="20">
        <v>6.1938309260289953E-2</v>
      </c>
      <c r="H39" s="20">
        <v>0</v>
      </c>
      <c r="I39" s="20">
        <v>4.929345287824622E-2</v>
      </c>
      <c r="J39" s="20">
        <v>9.9090400997510642E-3</v>
      </c>
      <c r="K39" s="20">
        <v>0.52416977735761605</v>
      </c>
      <c r="L39" s="20">
        <v>0</v>
      </c>
    </row>
    <row r="40" spans="1:12">
      <c r="A40" s="2" t="s">
        <v>369</v>
      </c>
      <c r="B40" s="3" t="s">
        <v>370</v>
      </c>
      <c r="D40" s="20">
        <v>8.0549060404608068E-12</v>
      </c>
      <c r="E40" s="20">
        <v>0.86803485722568507</v>
      </c>
      <c r="F40" s="20">
        <v>0.80125374033390784</v>
      </c>
      <c r="G40" s="20">
        <v>5.7968284317943167E-2</v>
      </c>
      <c r="H40" s="20">
        <v>0</v>
      </c>
      <c r="I40" s="20">
        <v>8.8128325738341205E-3</v>
      </c>
      <c r="J40" s="20">
        <v>0.10675919236531405</v>
      </c>
      <c r="K40" s="20">
        <v>2.5205950400945986E-2</v>
      </c>
      <c r="L40" s="20">
        <v>0</v>
      </c>
    </row>
    <row r="41" spans="1:12">
      <c r="A41" s="2" t="s">
        <v>371</v>
      </c>
      <c r="B41" s="3" t="s">
        <v>372</v>
      </c>
      <c r="D41" s="20">
        <v>8.1513457447407067E-2</v>
      </c>
      <c r="E41" s="20">
        <v>0.91350508051077406</v>
      </c>
      <c r="F41" s="20">
        <v>2.786785417408804E-6</v>
      </c>
      <c r="G41" s="20">
        <v>1.3950799100778264E-6</v>
      </c>
      <c r="H41" s="20">
        <v>0</v>
      </c>
      <c r="I41" s="20">
        <v>0.91350089864544659</v>
      </c>
      <c r="J41" s="20">
        <v>4.1781849853423427E-4</v>
      </c>
      <c r="K41" s="20">
        <v>4.563643543284682E-3</v>
      </c>
      <c r="L41" s="20">
        <v>0</v>
      </c>
    </row>
    <row r="42" spans="1:12">
      <c r="A42" s="2" t="s">
        <v>293</v>
      </c>
      <c r="B42" s="3" t="s">
        <v>294</v>
      </c>
      <c r="D42" s="20">
        <v>2.078556027256395E-8</v>
      </c>
      <c r="E42" s="20">
        <v>0.64534862730936149</v>
      </c>
      <c r="F42" s="20">
        <v>1.6673852305121997E-2</v>
      </c>
      <c r="G42" s="20">
        <v>4.2769237303208743E-3</v>
      </c>
      <c r="H42" s="20">
        <v>0</v>
      </c>
      <c r="I42" s="20">
        <v>0.62439785127391867</v>
      </c>
      <c r="J42" s="20">
        <v>9.4395981841581414E-4</v>
      </c>
      <c r="K42" s="20">
        <v>0.3537073920866623</v>
      </c>
      <c r="L42" s="20">
        <v>0</v>
      </c>
    </row>
    <row r="43" spans="1:12">
      <c r="A43" s="2" t="s">
        <v>373</v>
      </c>
      <c r="B43" s="3" t="s">
        <v>374</v>
      </c>
      <c r="D43" s="20">
        <v>3.9684094094796287E-7</v>
      </c>
      <c r="E43" s="20">
        <v>0.99282862171950115</v>
      </c>
      <c r="F43" s="20">
        <v>0.91066019443729485</v>
      </c>
      <c r="G43" s="20">
        <v>7.6891489716122497E-4</v>
      </c>
      <c r="H43" s="20">
        <v>0</v>
      </c>
      <c r="I43" s="20">
        <v>8.1399512385045128E-2</v>
      </c>
      <c r="J43" s="20">
        <v>3.2895590592694804E-3</v>
      </c>
      <c r="K43" s="20">
        <v>3.8814223802882985E-3</v>
      </c>
      <c r="L43" s="20">
        <v>0</v>
      </c>
    </row>
    <row r="44" spans="1:12">
      <c r="A44" s="2" t="s">
        <v>375</v>
      </c>
      <c r="B44" s="3" t="s">
        <v>376</v>
      </c>
      <c r="D44" s="20">
        <v>8.6875247024563007E-2</v>
      </c>
      <c r="E44" s="20">
        <v>0.78284515523455178</v>
      </c>
      <c r="F44" s="20">
        <v>1.985958950209928E-3</v>
      </c>
      <c r="G44" s="20">
        <v>6.0571150491410325E-4</v>
      </c>
      <c r="H44" s="20">
        <v>0</v>
      </c>
      <c r="I44" s="20">
        <v>0.7802534847794278</v>
      </c>
      <c r="J44" s="20">
        <v>4.4858245830388345E-4</v>
      </c>
      <c r="K44" s="20">
        <v>0.12983101528258117</v>
      </c>
      <c r="L44" s="20">
        <v>0</v>
      </c>
    </row>
    <row r="45" spans="1:12">
      <c r="A45" s="2" t="s">
        <v>377</v>
      </c>
      <c r="B45" s="3" t="s">
        <v>378</v>
      </c>
      <c r="D45" s="20">
        <v>8.1164962743329814E-4</v>
      </c>
      <c r="E45" s="20">
        <v>0.62227366335282908</v>
      </c>
      <c r="F45" s="20">
        <v>1.9500368059538618E-2</v>
      </c>
      <c r="G45" s="20">
        <v>4.9287678610769369E-3</v>
      </c>
      <c r="H45" s="20">
        <v>0</v>
      </c>
      <c r="I45" s="20">
        <v>0.5978445274322135</v>
      </c>
      <c r="J45" s="20">
        <v>1.0331496646049214E-3</v>
      </c>
      <c r="K45" s="20">
        <v>0.37588153735513274</v>
      </c>
      <c r="L45" s="20">
        <v>0</v>
      </c>
    </row>
    <row r="46" spans="1:12">
      <c r="A46" s="2" t="s">
        <v>379</v>
      </c>
      <c r="B46" s="3" t="s">
        <v>380</v>
      </c>
      <c r="D46" s="20">
        <v>2.3994315161840981E-3</v>
      </c>
      <c r="E46" s="20">
        <v>0.63539083031640908</v>
      </c>
      <c r="F46" s="20">
        <v>1.7651538888515242E-2</v>
      </c>
      <c r="G46" s="20">
        <v>4.5027530514483195E-3</v>
      </c>
      <c r="H46" s="20">
        <v>0</v>
      </c>
      <c r="I46" s="20">
        <v>0.61323653837644554</v>
      </c>
      <c r="J46" s="20">
        <v>9.7395849255824205E-4</v>
      </c>
      <c r="K46" s="20">
        <v>0.3612357796748486</v>
      </c>
      <c r="L46" s="20">
        <v>0</v>
      </c>
    </row>
    <row r="47" spans="1:12">
      <c r="A47" s="2" t="s">
        <v>381</v>
      </c>
      <c r="B47" s="3" t="s">
        <v>382</v>
      </c>
      <c r="D47" s="20">
        <v>2.2956372097548819E-7</v>
      </c>
      <c r="E47" s="20">
        <v>0.4941450955075064</v>
      </c>
      <c r="F47" s="20">
        <v>0.13224445478825872</v>
      </c>
      <c r="G47" s="20">
        <v>0.3583216306514132</v>
      </c>
      <c r="H47" s="20">
        <v>0</v>
      </c>
      <c r="I47" s="20">
        <v>3.5790100678344872E-3</v>
      </c>
      <c r="J47" s="20">
        <v>5.8980089358614644E-2</v>
      </c>
      <c r="K47" s="20">
        <v>0.44687458557015786</v>
      </c>
      <c r="L47" s="20">
        <v>0</v>
      </c>
    </row>
    <row r="48" spans="1:12">
      <c r="A48" s="2" t="s">
        <v>383</v>
      </c>
      <c r="B48" s="3" t="s">
        <v>384</v>
      </c>
      <c r="D48" s="20">
        <v>1.1819041895252269E-2</v>
      </c>
      <c r="E48" s="20">
        <v>0.91084399261603133</v>
      </c>
      <c r="F48" s="20">
        <v>6.3103941598938315E-4</v>
      </c>
      <c r="G48" s="20">
        <v>2.1181272248985662E-4</v>
      </c>
      <c r="H48" s="20">
        <v>0</v>
      </c>
      <c r="I48" s="20">
        <v>0.9100011404775521</v>
      </c>
      <c r="J48" s="20">
        <v>4.4788399375034806E-4</v>
      </c>
      <c r="K48" s="20">
        <v>7.6889081494965955E-2</v>
      </c>
      <c r="L48" s="20">
        <v>0</v>
      </c>
    </row>
    <row r="49" spans="1:12">
      <c r="A49" s="2" t="s">
        <v>385</v>
      </c>
      <c r="B49" s="3" t="s">
        <v>386</v>
      </c>
      <c r="D49" s="20">
        <v>2.220016811810871E-2</v>
      </c>
      <c r="E49" s="20">
        <v>0.87510145053549682</v>
      </c>
      <c r="F49" s="20">
        <v>1.1319584301615719E-3</v>
      </c>
      <c r="G49" s="20">
        <v>3.6284908609387622E-4</v>
      </c>
      <c r="H49" s="20">
        <v>0</v>
      </c>
      <c r="I49" s="20">
        <v>0.8736066430192414</v>
      </c>
      <c r="J49" s="20">
        <v>4.5418536460190749E-4</v>
      </c>
      <c r="K49" s="20">
        <v>0.10224419598179253</v>
      </c>
      <c r="L49" s="20">
        <v>0</v>
      </c>
    </row>
    <row r="50" spans="1:12">
      <c r="A50" s="2" t="s">
        <v>387</v>
      </c>
      <c r="B50" s="3" t="s">
        <v>388</v>
      </c>
      <c r="D50" s="20">
        <v>1.6730632709562061E-2</v>
      </c>
      <c r="E50" s="20">
        <v>0.36322543634127324</v>
      </c>
      <c r="F50" s="20">
        <v>0.14262201896969839</v>
      </c>
      <c r="G50" s="20">
        <v>2.8634007569928496E-2</v>
      </c>
      <c r="H50" s="20">
        <v>0</v>
      </c>
      <c r="I50" s="20">
        <v>0.19196940980164634</v>
      </c>
      <c r="J50" s="20">
        <v>4.5911109093067616E-3</v>
      </c>
      <c r="K50" s="20">
        <v>0.61545282003985813</v>
      </c>
      <c r="L50" s="20">
        <v>0</v>
      </c>
    </row>
    <row r="51" spans="1:12">
      <c r="A51" s="2" t="s">
        <v>295</v>
      </c>
      <c r="B51" s="3" t="s">
        <v>296</v>
      </c>
      <c r="D51" s="20">
        <v>6.5400407859602938E-2</v>
      </c>
      <c r="E51" s="20">
        <v>0.9046639436062438</v>
      </c>
      <c r="F51" s="20">
        <v>1.0107754186398639E-4</v>
      </c>
      <c r="G51" s="20">
        <v>3.881058839634875E-5</v>
      </c>
      <c r="H51" s="20">
        <v>0</v>
      </c>
      <c r="I51" s="20">
        <v>0.90452405547598347</v>
      </c>
      <c r="J51" s="20">
        <v>4.1928452935723461E-4</v>
      </c>
      <c r="K51" s="20">
        <v>2.9516364004796118E-2</v>
      </c>
      <c r="L51" s="20">
        <v>0</v>
      </c>
    </row>
    <row r="52" spans="1:12">
      <c r="A52" s="2" t="s">
        <v>389</v>
      </c>
      <c r="B52" s="3" t="s">
        <v>390</v>
      </c>
      <c r="D52" s="20">
        <v>7.1531519957074949E-2</v>
      </c>
      <c r="E52" s="20">
        <v>0.75681833862070502</v>
      </c>
      <c r="F52" s="20">
        <v>3.489568020636347E-3</v>
      </c>
      <c r="G52" s="20">
        <v>1.0182800228378415E-3</v>
      </c>
      <c r="H52" s="20">
        <v>0</v>
      </c>
      <c r="I52" s="20">
        <v>0.75231049057723087</v>
      </c>
      <c r="J52" s="20">
        <v>4.9897858131783921E-4</v>
      </c>
      <c r="K52" s="20">
        <v>0.17115116284090209</v>
      </c>
      <c r="L52" s="20">
        <v>0</v>
      </c>
    </row>
    <row r="53" spans="1:12">
      <c r="A53" s="2" t="s">
        <v>391</v>
      </c>
      <c r="B53" s="3" t="s">
        <v>392</v>
      </c>
      <c r="D53" s="20">
        <v>2.6500454722261494E-3</v>
      </c>
      <c r="E53" s="20">
        <v>0.55036072735398012</v>
      </c>
      <c r="F53" s="20">
        <v>3.1183692623231583E-2</v>
      </c>
      <c r="G53" s="20">
        <v>7.5270204565229719E-3</v>
      </c>
      <c r="H53" s="20">
        <v>0</v>
      </c>
      <c r="I53" s="20">
        <v>0.51165001427422552</v>
      </c>
      <c r="J53" s="20">
        <v>1.3989284830789902E-3</v>
      </c>
      <c r="K53" s="20">
        <v>0.44559029869071481</v>
      </c>
      <c r="L53" s="20">
        <v>0</v>
      </c>
    </row>
    <row r="54" spans="1:12">
      <c r="A54" s="2" t="s">
        <v>393</v>
      </c>
      <c r="B54" s="3" t="s">
        <v>394</v>
      </c>
      <c r="D54" s="20">
        <v>1.01666376949936E-3</v>
      </c>
      <c r="E54" s="20">
        <v>0.4731480720791319</v>
      </c>
      <c r="F54" s="20">
        <v>0.15172304910279805</v>
      </c>
      <c r="G54" s="20">
        <v>0.31662639577475005</v>
      </c>
      <c r="H54" s="20">
        <v>0</v>
      </c>
      <c r="I54" s="20">
        <v>4.7986272015837841E-3</v>
      </c>
      <c r="J54" s="20">
        <v>5.1964682792521158E-2</v>
      </c>
      <c r="K54" s="20">
        <v>0.47387058135884774</v>
      </c>
      <c r="L54" s="20">
        <v>0</v>
      </c>
    </row>
    <row r="55" spans="1:12">
      <c r="A55" s="2" t="s">
        <v>395</v>
      </c>
      <c r="B55" s="3" t="s">
        <v>396</v>
      </c>
      <c r="D55" s="20">
        <v>0.22876230629276889</v>
      </c>
      <c r="E55" s="20">
        <v>0.31531487484044973</v>
      </c>
      <c r="F55" s="20">
        <v>6.5895943586430639E-2</v>
      </c>
      <c r="G55" s="20">
        <v>1.4215241313845875E-2</v>
      </c>
      <c r="H55" s="20">
        <v>0</v>
      </c>
      <c r="I55" s="20">
        <v>0.23520368994017321</v>
      </c>
      <c r="J55" s="20">
        <v>2.3292722694407274E-3</v>
      </c>
      <c r="K55" s="20">
        <v>0.45359354659734058</v>
      </c>
      <c r="L55" s="20">
        <v>0</v>
      </c>
    </row>
    <row r="56" spans="1:12">
      <c r="A56" s="2" t="s">
        <v>397</v>
      </c>
      <c r="B56" s="3" t="s">
        <v>398</v>
      </c>
      <c r="D56" s="20">
        <v>0.82975724680385865</v>
      </c>
      <c r="E56" s="20">
        <v>6.3833151966921131E-2</v>
      </c>
      <c r="F56" s="20">
        <v>3.4964334703606367E-2</v>
      </c>
      <c r="G56" s="20">
        <v>6.6423357536942451E-3</v>
      </c>
      <c r="H56" s="20">
        <v>0</v>
      </c>
      <c r="I56" s="20">
        <v>2.2226481509620526E-2</v>
      </c>
      <c r="J56" s="20">
        <v>1.0598644397459367E-3</v>
      </c>
      <c r="K56" s="20">
        <v>0.10534973678947436</v>
      </c>
      <c r="L56" s="20">
        <v>0</v>
      </c>
    </row>
    <row r="57" spans="1:12">
      <c r="A57" s="2" t="s">
        <v>399</v>
      </c>
      <c r="B57" s="3" t="s">
        <v>400</v>
      </c>
      <c r="D57" s="20">
        <v>0.87439309702835299</v>
      </c>
      <c r="E57" s="20">
        <v>4.8994253216757801E-2</v>
      </c>
      <c r="F57" s="20">
        <v>1.2929476325268814E-2</v>
      </c>
      <c r="G57" s="20">
        <v>2.7231808893784263E-3</v>
      </c>
      <c r="H57" s="20">
        <v>0</v>
      </c>
      <c r="I57" s="20">
        <v>3.3341596002110563E-2</v>
      </c>
      <c r="J57" s="20">
        <v>4.4174376558083286E-4</v>
      </c>
      <c r="K57" s="20">
        <v>7.617090598930816E-2</v>
      </c>
      <c r="L57" s="20">
        <v>0</v>
      </c>
    </row>
    <row r="58" spans="1:12">
      <c r="A58" s="2" t="s">
        <v>297</v>
      </c>
      <c r="B58" s="3" t="s">
        <v>298</v>
      </c>
      <c r="D58" s="20">
        <v>0.93248506420632304</v>
      </c>
      <c r="E58" s="20">
        <v>5.9559427547678234E-2</v>
      </c>
      <c r="F58" s="20">
        <v>9.8881739829944124E-5</v>
      </c>
      <c r="G58" s="20">
        <v>3.1117998434800616E-5</v>
      </c>
      <c r="H58" s="20">
        <v>0</v>
      </c>
      <c r="I58" s="20">
        <v>5.9429427809413488E-2</v>
      </c>
      <c r="J58" s="20">
        <v>3.1876466269837496E-5</v>
      </c>
      <c r="K58" s="20">
        <v>7.9236317797288496E-3</v>
      </c>
      <c r="L58" s="20">
        <v>0</v>
      </c>
    </row>
    <row r="59" spans="1:12">
      <c r="A59" s="2" t="s">
        <v>401</v>
      </c>
      <c r="B59" s="3" t="s">
        <v>402</v>
      </c>
      <c r="D59" s="20">
        <v>0.95400165651217705</v>
      </c>
      <c r="E59" s="20">
        <v>1.8119623727539544E-2</v>
      </c>
      <c r="F59" s="20">
        <v>4.5396601705326436E-3</v>
      </c>
      <c r="G59" s="20">
        <v>9.614327219454249E-4</v>
      </c>
      <c r="H59" s="20">
        <v>0</v>
      </c>
      <c r="I59" s="20">
        <v>1.2618530835061476E-2</v>
      </c>
      <c r="J59" s="20">
        <v>1.5627481820017859E-4</v>
      </c>
      <c r="K59" s="20">
        <v>2.7722444942083299E-2</v>
      </c>
      <c r="L59" s="20">
        <v>0</v>
      </c>
    </row>
    <row r="60" spans="1:12">
      <c r="A60" s="2" t="s">
        <v>299</v>
      </c>
      <c r="B60" s="3" t="s">
        <v>300</v>
      </c>
      <c r="D60" s="20">
        <v>0.99881812572794559</v>
      </c>
      <c r="E60" s="20">
        <v>5.365428388305264E-4</v>
      </c>
      <c r="F60" s="20">
        <v>7.0886026027219752E-5</v>
      </c>
      <c r="G60" s="20">
        <v>1.5953507661413806E-5</v>
      </c>
      <c r="H60" s="20">
        <v>0</v>
      </c>
      <c r="I60" s="20">
        <v>4.4970330514189285E-4</v>
      </c>
      <c r="J60" s="20">
        <v>2.6898619998281773E-6</v>
      </c>
      <c r="K60" s="20">
        <v>6.426415712241241E-4</v>
      </c>
      <c r="L60" s="20">
        <v>0</v>
      </c>
    </row>
    <row r="61" spans="1:12">
      <c r="A61" s="2" t="s">
        <v>403</v>
      </c>
      <c r="B61" s="3" t="s">
        <v>404</v>
      </c>
      <c r="D61" s="20">
        <v>6.7839128665072514E-44</v>
      </c>
      <c r="E61" s="20">
        <v>0.4900033283365266</v>
      </c>
      <c r="F61" s="20">
        <v>4.6833269333508599E-2</v>
      </c>
      <c r="G61" s="20">
        <v>1.0835526819390867E-2</v>
      </c>
      <c r="H61" s="20">
        <v>0</v>
      </c>
      <c r="I61" s="20">
        <v>0.43233453218362711</v>
      </c>
      <c r="J61" s="20">
        <v>1.8809157300104672E-3</v>
      </c>
      <c r="K61" s="20">
        <v>0.50811575593346292</v>
      </c>
      <c r="L61" s="20">
        <v>0</v>
      </c>
    </row>
    <row r="62" spans="1:12">
      <c r="A62" s="2" t="s">
        <v>405</v>
      </c>
      <c r="B62" s="3" t="s">
        <v>406</v>
      </c>
      <c r="D62" s="20">
        <v>5.0276857751707308E-7</v>
      </c>
      <c r="E62" s="20">
        <v>0.42650416791437334</v>
      </c>
      <c r="F62" s="20">
        <v>0.26214546066146566</v>
      </c>
      <c r="G62" s="20">
        <v>0.1461294996281074</v>
      </c>
      <c r="H62" s="20">
        <v>0</v>
      </c>
      <c r="I62" s="20">
        <v>1.8229207624800292E-2</v>
      </c>
      <c r="J62" s="20">
        <v>2.3637355055683981E-2</v>
      </c>
      <c r="K62" s="20">
        <v>0.54985797426136507</v>
      </c>
      <c r="L62" s="20">
        <v>0</v>
      </c>
    </row>
    <row r="63" spans="1:12">
      <c r="A63" s="2" t="s">
        <v>407</v>
      </c>
      <c r="B63" s="3" t="s">
        <v>408</v>
      </c>
      <c r="D63" s="20">
        <v>1.5194820230516736E-4</v>
      </c>
      <c r="E63" s="20">
        <v>0.5352807060405177</v>
      </c>
      <c r="F63" s="20">
        <v>0.1015944026702079</v>
      </c>
      <c r="G63" s="20">
        <v>0.43158400075381115</v>
      </c>
      <c r="H63" s="20">
        <v>0</v>
      </c>
      <c r="I63" s="20">
        <v>2.1023026164986294E-3</v>
      </c>
      <c r="J63" s="20">
        <v>7.139952335325335E-2</v>
      </c>
      <c r="K63" s="20">
        <v>0.39316782240392406</v>
      </c>
      <c r="L63" s="20">
        <v>0</v>
      </c>
    </row>
    <row r="64" spans="1:12">
      <c r="A64" s="2" t="s">
        <v>409</v>
      </c>
      <c r="B64" s="3" t="s">
        <v>410</v>
      </c>
      <c r="D64" s="20">
        <v>2.1163421885975564E-5</v>
      </c>
      <c r="E64" s="20">
        <v>0.61062334161603959</v>
      </c>
      <c r="F64" s="20">
        <v>6.1582895466651293E-2</v>
      </c>
      <c r="G64" s="20">
        <v>0.54822099031053695</v>
      </c>
      <c r="H64" s="20">
        <v>0</v>
      </c>
      <c r="I64" s="20">
        <v>8.1945583885137353E-4</v>
      </c>
      <c r="J64" s="20">
        <v>9.1457012843447857E-2</v>
      </c>
      <c r="K64" s="20">
        <v>0.29789848211862668</v>
      </c>
      <c r="L64" s="20">
        <v>0</v>
      </c>
    </row>
    <row r="65" spans="1:12">
      <c r="A65" s="2" t="s">
        <v>301</v>
      </c>
      <c r="B65" s="3" t="s">
        <v>302</v>
      </c>
      <c r="D65" s="20">
        <v>2.9175606969589056E-6</v>
      </c>
      <c r="E65" s="20">
        <v>0.6903831402745424</v>
      </c>
      <c r="F65" s="20">
        <v>3.187822376437268E-2</v>
      </c>
      <c r="G65" s="20">
        <v>0.65824818477009139</v>
      </c>
      <c r="H65" s="20">
        <v>0</v>
      </c>
      <c r="I65" s="20">
        <v>2.5673174007836031E-4</v>
      </c>
      <c r="J65" s="20">
        <v>0.11086615558492011</v>
      </c>
      <c r="K65" s="20">
        <v>0.19874778657984035</v>
      </c>
      <c r="L65" s="20">
        <v>0</v>
      </c>
    </row>
    <row r="66" spans="1:12">
      <c r="A66" s="2" t="s">
        <v>303</v>
      </c>
      <c r="B66" s="3" t="s">
        <v>304</v>
      </c>
      <c r="D66" s="20">
        <v>2.6567517871520536E-12</v>
      </c>
      <c r="E66" s="20">
        <v>0.6467593222120096</v>
      </c>
      <c r="F66" s="20">
        <v>4.6851683011975849E-2</v>
      </c>
      <c r="G66" s="20">
        <v>0.59940553870923075</v>
      </c>
      <c r="H66" s="20">
        <v>0</v>
      </c>
      <c r="I66" s="20">
        <v>5.0210049080299287E-4</v>
      </c>
      <c r="J66" s="20">
        <v>0.10040789646253245</v>
      </c>
      <c r="K66" s="20">
        <v>0.25283278132280107</v>
      </c>
      <c r="L66" s="20">
        <v>0</v>
      </c>
    </row>
    <row r="67" spans="1:12">
      <c r="A67" s="2" t="s">
        <v>411</v>
      </c>
      <c r="B67" s="3" t="s">
        <v>412</v>
      </c>
      <c r="D67" s="20">
        <v>4.7836325059969704E-3</v>
      </c>
      <c r="E67" s="20">
        <v>0.84017531658769351</v>
      </c>
      <c r="F67" s="20">
        <v>2.6015490781150633E-3</v>
      </c>
      <c r="G67" s="20">
        <v>7.8185744980647999E-4</v>
      </c>
      <c r="H67" s="20">
        <v>0</v>
      </c>
      <c r="I67" s="20">
        <v>0.83679191005977194</v>
      </c>
      <c r="J67" s="20">
        <v>5.0129954286251316E-4</v>
      </c>
      <c r="K67" s="20">
        <v>0.154539751363447</v>
      </c>
      <c r="L67" s="20">
        <v>0</v>
      </c>
    </row>
    <row r="68" spans="1:12">
      <c r="A68" s="2" t="s">
        <v>413</v>
      </c>
      <c r="B68" s="3" t="s">
        <v>414</v>
      </c>
      <c r="D68" s="20">
        <v>1.0499094149462018E-2</v>
      </c>
      <c r="E68" s="20">
        <v>0.78662301258981659</v>
      </c>
      <c r="F68" s="20">
        <v>4.6497119068422072E-3</v>
      </c>
      <c r="G68" s="20">
        <v>1.3320532929496183E-3</v>
      </c>
      <c r="H68" s="20">
        <v>0</v>
      </c>
      <c r="I68" s="20">
        <v>0.78064124739002472</v>
      </c>
      <c r="J68" s="20">
        <v>5.6002935094458695E-4</v>
      </c>
      <c r="K68" s="20">
        <v>0.20231786390977669</v>
      </c>
      <c r="L68" s="20">
        <v>0</v>
      </c>
    </row>
    <row r="69" spans="1:12">
      <c r="A69" s="2" t="s">
        <v>415</v>
      </c>
      <c r="B69" s="3" t="s">
        <v>416</v>
      </c>
      <c r="D69" s="20">
        <v>6.2132583917566932E-3</v>
      </c>
      <c r="E69" s="20">
        <v>0.44784875043698935</v>
      </c>
      <c r="F69" s="20">
        <v>0.17976023615455805</v>
      </c>
      <c r="G69" s="20">
        <v>0.26102925587780007</v>
      </c>
      <c r="H69" s="20">
        <v>0</v>
      </c>
      <c r="I69" s="20">
        <v>7.0592584046312405E-3</v>
      </c>
      <c r="J69" s="20">
        <v>4.2667095324106931E-2</v>
      </c>
      <c r="K69" s="20">
        <v>0.50327089584714702</v>
      </c>
      <c r="L69" s="20">
        <v>0</v>
      </c>
    </row>
    <row r="70" spans="1:12">
      <c r="A70" s="2" t="s">
        <v>417</v>
      </c>
      <c r="B70" s="3" t="s">
        <v>418</v>
      </c>
      <c r="D70" s="20">
        <v>1.1719012150910944E-2</v>
      </c>
      <c r="E70" s="20">
        <v>0.39187321810933501</v>
      </c>
      <c r="F70" s="20">
        <v>0.25139996879850368</v>
      </c>
      <c r="G70" s="20">
        <v>4.5947382393520947E-2</v>
      </c>
      <c r="H70" s="20">
        <v>0</v>
      </c>
      <c r="I70" s="20">
        <v>9.452586691731038E-2</v>
      </c>
      <c r="J70" s="20">
        <v>7.3289535763303099E-3</v>
      </c>
      <c r="K70" s="20">
        <v>0.58907881616342372</v>
      </c>
      <c r="L70" s="20">
        <v>0</v>
      </c>
    </row>
    <row r="71" spans="1:12">
      <c r="A71" s="2" t="s">
        <v>419</v>
      </c>
      <c r="B71" s="3" t="s">
        <v>420</v>
      </c>
      <c r="D71" s="20">
        <v>2.5645051373709763E-2</v>
      </c>
      <c r="E71" s="20">
        <v>0.78261623245683098</v>
      </c>
      <c r="F71" s="20">
        <v>4.1886858370055648E-3</v>
      </c>
      <c r="G71" s="20">
        <v>1.2088525854151825E-3</v>
      </c>
      <c r="H71" s="20">
        <v>0</v>
      </c>
      <c r="I71" s="20">
        <v>0.77721869403441024</v>
      </c>
      <c r="J71" s="20">
        <v>5.3955869027086302E-4</v>
      </c>
      <c r="K71" s="20">
        <v>0.19119915747918859</v>
      </c>
      <c r="L71" s="20">
        <v>0</v>
      </c>
    </row>
    <row r="72" spans="1:12">
      <c r="A72" s="2" t="s">
        <v>421</v>
      </c>
      <c r="B72" s="3" t="s">
        <v>422</v>
      </c>
      <c r="D72" s="20">
        <v>4.5654439530360913E-2</v>
      </c>
      <c r="E72" s="20">
        <v>0.3701350466141608</v>
      </c>
      <c r="F72" s="20">
        <v>0.22665078652642501</v>
      </c>
      <c r="G72" s="20">
        <v>4.196167211092517E-2</v>
      </c>
      <c r="H72" s="20">
        <v>0</v>
      </c>
      <c r="I72" s="20">
        <v>0.10152258797681064</v>
      </c>
      <c r="J72" s="20">
        <v>6.6926579903513793E-3</v>
      </c>
      <c r="K72" s="20">
        <v>0.57751785586512705</v>
      </c>
      <c r="L72" s="20">
        <v>0</v>
      </c>
    </row>
    <row r="73" spans="1:12">
      <c r="A73" s="2" t="s">
        <v>423</v>
      </c>
      <c r="B73" s="3" t="s">
        <v>424</v>
      </c>
      <c r="D73" s="20">
        <v>2.0186475000237972E-2</v>
      </c>
      <c r="E73" s="20">
        <v>0.46788110632293362</v>
      </c>
      <c r="F73" s="20">
        <v>4.9903924819400487E-2</v>
      </c>
      <c r="G73" s="20">
        <v>1.1440111532352483E-2</v>
      </c>
      <c r="H73" s="20">
        <v>0</v>
      </c>
      <c r="I73" s="20">
        <v>0.40653706997118066</v>
      </c>
      <c r="J73" s="20">
        <v>1.964461329798228E-3</v>
      </c>
      <c r="K73" s="20">
        <v>0.50996795734703015</v>
      </c>
      <c r="L73" s="20">
        <v>0</v>
      </c>
    </row>
    <row r="74" spans="1:12">
      <c r="A74" s="2" t="s">
        <v>425</v>
      </c>
      <c r="B74" s="3" t="s">
        <v>426</v>
      </c>
      <c r="D74" s="20">
        <v>1.7759064313804179E-2</v>
      </c>
      <c r="E74" s="20">
        <v>0.38690089473930939</v>
      </c>
      <c r="F74" s="20">
        <v>0.24507233852219312</v>
      </c>
      <c r="G74" s="20">
        <v>4.4956226464464913E-2</v>
      </c>
      <c r="H74" s="20">
        <v>0</v>
      </c>
      <c r="I74" s="20">
        <v>9.6872329752651337E-2</v>
      </c>
      <c r="J74" s="20">
        <v>7.1705669934906627E-3</v>
      </c>
      <c r="K74" s="20">
        <v>0.5881694739533958</v>
      </c>
      <c r="L74" s="20">
        <v>0</v>
      </c>
    </row>
    <row r="75" spans="1:12">
      <c r="A75" s="2" t="s">
        <v>427</v>
      </c>
      <c r="B75" s="3" t="s">
        <v>428</v>
      </c>
      <c r="D75" s="20">
        <v>5.2375155176662557E-9</v>
      </c>
      <c r="E75" s="20">
        <v>0.98805611610400346</v>
      </c>
      <c r="F75" s="20">
        <v>0.94645409556511428</v>
      </c>
      <c r="G75" s="20">
        <v>3.6521597340193182E-4</v>
      </c>
      <c r="H75" s="20">
        <v>0</v>
      </c>
      <c r="I75" s="20">
        <v>4.123680456548727E-2</v>
      </c>
      <c r="J75" s="20">
        <v>1.1148704249955425E-2</v>
      </c>
      <c r="K75" s="20">
        <v>7.9517440852545137E-4</v>
      </c>
      <c r="L75" s="20">
        <v>0</v>
      </c>
    </row>
    <row r="76" spans="1:12">
      <c r="A76" s="2" t="s">
        <v>429</v>
      </c>
      <c r="B76" s="3" t="s">
        <v>430</v>
      </c>
      <c r="D76" s="20">
        <v>1.3156044230820914E-10</v>
      </c>
      <c r="E76" s="20">
        <v>0.9880561211489739</v>
      </c>
      <c r="F76" s="20">
        <v>0.94645410039766664</v>
      </c>
      <c r="G76" s="20">
        <v>3.6521597526670827E-4</v>
      </c>
      <c r="H76" s="20">
        <v>0</v>
      </c>
      <c r="I76" s="20">
        <v>4.1236804776040546E-2</v>
      </c>
      <c r="J76" s="20">
        <v>1.1148704306880209E-2</v>
      </c>
      <c r="K76" s="20">
        <v>7.9517441258557633E-4</v>
      </c>
      <c r="L76" s="20">
        <v>0</v>
      </c>
    </row>
    <row r="77" spans="1:12">
      <c r="A77" s="2" t="s">
        <v>431</v>
      </c>
      <c r="B77" s="3" t="s">
        <v>432</v>
      </c>
      <c r="D77" s="20">
        <v>5.2547766135795822E-2</v>
      </c>
      <c r="E77" s="20">
        <v>0.35942225877832135</v>
      </c>
      <c r="F77" s="20">
        <v>0.11179656846054768</v>
      </c>
      <c r="G77" s="20">
        <v>2.311660375039461E-2</v>
      </c>
      <c r="H77" s="20">
        <v>0</v>
      </c>
      <c r="I77" s="20">
        <v>0.22450908656737906</v>
      </c>
      <c r="J77" s="20">
        <v>3.728935201531071E-3</v>
      </c>
      <c r="K77" s="20">
        <v>0.58430103988435178</v>
      </c>
      <c r="L77" s="20">
        <v>0</v>
      </c>
    </row>
    <row r="78" spans="1:12">
      <c r="A78" s="2" t="s">
        <v>433</v>
      </c>
      <c r="B78" s="3" t="s">
        <v>434</v>
      </c>
      <c r="D78" s="20">
        <v>3.8823504613632431E-2</v>
      </c>
      <c r="E78" s="20">
        <v>0.63101926820296128</v>
      </c>
      <c r="F78" s="20">
        <v>1.4796839110737078E-2</v>
      </c>
      <c r="G78" s="20">
        <v>3.8235300435387897E-3</v>
      </c>
      <c r="H78" s="20">
        <v>0</v>
      </c>
      <c r="I78" s="20">
        <v>0.61239889904868539</v>
      </c>
      <c r="J78" s="20">
        <v>8.6829211495602896E-4</v>
      </c>
      <c r="K78" s="20">
        <v>0.32928893506845036</v>
      </c>
      <c r="L78" s="20">
        <v>0</v>
      </c>
    </row>
    <row r="79" spans="1:12">
      <c r="A79" s="2" t="s">
        <v>435</v>
      </c>
      <c r="B79" s="3" t="s">
        <v>436</v>
      </c>
      <c r="D79" s="20">
        <v>1.0567036387544901E-2</v>
      </c>
      <c r="E79" s="20">
        <v>0.54046575348937087</v>
      </c>
      <c r="F79" s="20">
        <v>3.2079487234341661E-2</v>
      </c>
      <c r="G79" s="20">
        <v>7.714769825626501E-3</v>
      </c>
      <c r="H79" s="20">
        <v>0</v>
      </c>
      <c r="I79" s="20">
        <v>0.50067149642940267</v>
      </c>
      <c r="J79" s="20">
        <v>1.4233496555969558E-3</v>
      </c>
      <c r="K79" s="20">
        <v>0.44754386046748745</v>
      </c>
      <c r="L79" s="20">
        <v>0</v>
      </c>
    </row>
    <row r="80" spans="1:12">
      <c r="A80" s="2" t="s">
        <v>437</v>
      </c>
      <c r="B80" s="3" t="s">
        <v>438</v>
      </c>
      <c r="D80" s="20">
        <v>1.8777547844146793E-9</v>
      </c>
      <c r="E80" s="20">
        <v>0.977364846140378</v>
      </c>
      <c r="F80" s="20">
        <v>0.94866550536852223</v>
      </c>
      <c r="G80" s="20">
        <v>7.0317483260243566E-4</v>
      </c>
      <c r="H80" s="20">
        <v>0</v>
      </c>
      <c r="I80" s="20">
        <v>2.7996165939253317E-2</v>
      </c>
      <c r="J80" s="20">
        <v>2.1664695759418862E-2</v>
      </c>
      <c r="K80" s="20">
        <v>9.7045622244854382E-4</v>
      </c>
      <c r="L80" s="20">
        <v>0</v>
      </c>
    </row>
    <row r="81" spans="1:12">
      <c r="A81" s="2" t="s">
        <v>440</v>
      </c>
      <c r="B81" s="3" t="s">
        <v>441</v>
      </c>
      <c r="D81" s="20">
        <v>1.8439242992923982E-13</v>
      </c>
      <c r="E81" s="20">
        <v>0.97064256292229312</v>
      </c>
      <c r="F81" s="20">
        <v>9.103686682552862E-5</v>
      </c>
      <c r="G81" s="20">
        <v>3.5408934441604814E-5</v>
      </c>
      <c r="H81" s="20">
        <v>0</v>
      </c>
      <c r="I81" s="20">
        <v>0.97051611712102603</v>
      </c>
      <c r="J81" s="20">
        <v>4.4894169250390324E-4</v>
      </c>
      <c r="K81" s="20">
        <v>2.8908495385018444E-2</v>
      </c>
      <c r="L81" s="20">
        <v>0</v>
      </c>
    </row>
    <row r="82" spans="1:12">
      <c r="A82" s="2" t="s">
        <v>442</v>
      </c>
      <c r="B82" s="3" t="s">
        <v>443</v>
      </c>
      <c r="D82" s="20">
        <v>8.7775923463552838E-5</v>
      </c>
      <c r="E82" s="20">
        <v>0.77323280902625036</v>
      </c>
      <c r="F82" s="20">
        <v>5.8566547368304285E-3</v>
      </c>
      <c r="G82" s="20">
        <v>1.6471956151003651E-3</v>
      </c>
      <c r="H82" s="20">
        <v>0</v>
      </c>
      <c r="I82" s="20">
        <v>0.76572895867431956</v>
      </c>
      <c r="J82" s="20">
        <v>6.0167245792873403E-4</v>
      </c>
      <c r="K82" s="20">
        <v>0.22607774259235741</v>
      </c>
      <c r="L82" s="20">
        <v>0</v>
      </c>
    </row>
    <row r="83" spans="1:12">
      <c r="A83" s="2" t="s">
        <v>444</v>
      </c>
      <c r="B83" s="3" t="s">
        <v>445</v>
      </c>
      <c r="D83" s="20">
        <v>1.0640471608752897E-3</v>
      </c>
      <c r="E83" s="20">
        <v>0.39089753717196257</v>
      </c>
      <c r="F83" s="20">
        <v>0.10139933157822691</v>
      </c>
      <c r="G83" s="20">
        <v>2.1395904340060116E-2</v>
      </c>
      <c r="H83" s="20">
        <v>0</v>
      </c>
      <c r="I83" s="20">
        <v>0.26810230125367557</v>
      </c>
      <c r="J83" s="20">
        <v>3.4730299899375094E-3</v>
      </c>
      <c r="K83" s="20">
        <v>0.60456538567722451</v>
      </c>
      <c r="L83" s="20">
        <v>0</v>
      </c>
    </row>
    <row r="84" spans="1:12">
      <c r="A84" s="2" t="s">
        <v>446</v>
      </c>
      <c r="B84" s="3" t="s">
        <v>447</v>
      </c>
      <c r="D84" s="20">
        <v>5.6764765274083073E-15</v>
      </c>
      <c r="E84" s="20">
        <v>0.93735459385907416</v>
      </c>
      <c r="F84" s="20">
        <v>4.0902802129285894E-4</v>
      </c>
      <c r="G84" s="20">
        <v>1.4205241341678978E-4</v>
      </c>
      <c r="H84" s="20">
        <v>0</v>
      </c>
      <c r="I84" s="20">
        <v>0.93680351342436452</v>
      </c>
      <c r="J84" s="20">
        <v>4.4957909935976344E-4</v>
      </c>
      <c r="K84" s="20">
        <v>6.2195827041560355E-2</v>
      </c>
      <c r="L84" s="20">
        <v>0</v>
      </c>
    </row>
    <row r="85" spans="1:12">
      <c r="A85" s="2" t="s">
        <v>448</v>
      </c>
      <c r="B85" s="3" t="s">
        <v>449</v>
      </c>
      <c r="D85" s="20">
        <v>3.9733563963432499E-8</v>
      </c>
      <c r="E85" s="20">
        <v>0.9875015234985598</v>
      </c>
      <c r="F85" s="20">
        <v>1.6704432903020273E-5</v>
      </c>
      <c r="G85" s="20">
        <v>7.3710149455259386E-6</v>
      </c>
      <c r="H85" s="20">
        <v>0</v>
      </c>
      <c r="I85" s="20">
        <v>0.98747744805071125</v>
      </c>
      <c r="J85" s="20">
        <v>4.5251821720772637E-4</v>
      </c>
      <c r="K85" s="20">
        <v>1.2045918550668637E-2</v>
      </c>
      <c r="L85" s="20">
        <v>0</v>
      </c>
    </row>
    <row r="86" spans="1:12">
      <c r="A86" s="2" t="s">
        <v>450</v>
      </c>
      <c r="B86" s="3" t="s">
        <v>451</v>
      </c>
      <c r="D86" s="20">
        <v>1.4277963141759345E-8</v>
      </c>
      <c r="E86" s="20">
        <v>0.93885624158087599</v>
      </c>
      <c r="F86" s="20">
        <v>3.8970903214347123E-4</v>
      </c>
      <c r="G86" s="20">
        <v>1.3584261297335719E-4</v>
      </c>
      <c r="H86" s="20">
        <v>0</v>
      </c>
      <c r="I86" s="20">
        <v>0.93833068993575919</v>
      </c>
      <c r="J86" s="20">
        <v>4.4933927818740924E-4</v>
      </c>
      <c r="K86" s="20">
        <v>6.0694404862973443E-2</v>
      </c>
      <c r="L86" s="20">
        <v>0</v>
      </c>
    </row>
    <row r="87" spans="1:12">
      <c r="A87" s="2" t="s">
        <v>452</v>
      </c>
      <c r="B87" s="3" t="s">
        <v>453</v>
      </c>
      <c r="D87" s="20">
        <v>2.7154469273976298E-7</v>
      </c>
      <c r="E87" s="20">
        <v>0.50935022910237593</v>
      </c>
      <c r="F87" s="20">
        <v>0.11987138796121395</v>
      </c>
      <c r="G87" s="20">
        <v>0.38655481680029918</v>
      </c>
      <c r="H87" s="20">
        <v>0</v>
      </c>
      <c r="I87" s="20">
        <v>2.9240243408628396E-3</v>
      </c>
      <c r="J87" s="20">
        <v>6.3751892822526246E-2</v>
      </c>
      <c r="K87" s="20">
        <v>0.42689760653040504</v>
      </c>
      <c r="L87" s="20">
        <v>0</v>
      </c>
    </row>
    <row r="88" spans="1:12">
      <c r="A88" s="2" t="s">
        <v>454</v>
      </c>
      <c r="B88" s="3" t="s">
        <v>455</v>
      </c>
      <c r="D88" s="20">
        <v>4.5047651369416403E-5</v>
      </c>
      <c r="E88" s="20">
        <v>0.69455560345904854</v>
      </c>
      <c r="F88" s="20">
        <v>1.1575676151091849E-2</v>
      </c>
      <c r="G88" s="20">
        <v>3.0693182630938472E-3</v>
      </c>
      <c r="H88" s="20">
        <v>0</v>
      </c>
      <c r="I88" s="20">
        <v>0.67991060904486289</v>
      </c>
      <c r="J88" s="20">
        <v>7.8205612219091195E-4</v>
      </c>
      <c r="K88" s="20">
        <v>0.30461729276739119</v>
      </c>
      <c r="L88" s="20">
        <v>0</v>
      </c>
    </row>
    <row r="89" spans="1:12">
      <c r="A89" s="2" t="s">
        <v>456</v>
      </c>
      <c r="B89" s="3" t="s">
        <v>457</v>
      </c>
      <c r="D89" s="20">
        <v>2.9196764804383476E-17</v>
      </c>
      <c r="E89" s="20">
        <v>0.75959048046035749</v>
      </c>
      <c r="F89" s="20">
        <v>6.6743495260560811E-3</v>
      </c>
      <c r="G89" s="20">
        <v>1.8565408161769553E-3</v>
      </c>
      <c r="H89" s="20">
        <v>0</v>
      </c>
      <c r="I89" s="20">
        <v>0.7510595901181244</v>
      </c>
      <c r="J89" s="20">
        <v>6.2721370660634174E-4</v>
      </c>
      <c r="K89" s="20">
        <v>0.23978230583303609</v>
      </c>
      <c r="L89" s="20">
        <v>0</v>
      </c>
    </row>
    <row r="90" spans="1:12">
      <c r="A90" s="2" t="s">
        <v>458</v>
      </c>
      <c r="B90" s="3" t="s">
        <v>459</v>
      </c>
      <c r="D90" s="20">
        <v>4.2619902329397997E-29</v>
      </c>
      <c r="E90" s="20">
        <v>0.88081490427615683</v>
      </c>
      <c r="F90" s="20">
        <v>1.4992935236294621E-3</v>
      </c>
      <c r="G90" s="20">
        <v>4.7095804541302626E-4</v>
      </c>
      <c r="H90" s="20">
        <v>0</v>
      </c>
      <c r="I90" s="20">
        <v>0.87884465270711432</v>
      </c>
      <c r="J90" s="20">
        <v>4.7303309694096544E-4</v>
      </c>
      <c r="K90" s="20">
        <v>0.11871206262690226</v>
      </c>
      <c r="L90" s="20">
        <v>0</v>
      </c>
    </row>
    <row r="91" spans="1:12">
      <c r="A91" s="2" t="s">
        <v>460</v>
      </c>
      <c r="B91" s="3" t="s">
        <v>461</v>
      </c>
      <c r="D91" s="20">
        <v>2.3622991226476055E-7</v>
      </c>
      <c r="E91" s="20">
        <v>0.42663416422933936</v>
      </c>
      <c r="F91" s="20">
        <v>0.24975207408793623</v>
      </c>
      <c r="G91" s="20">
        <v>0.16095506912387969</v>
      </c>
      <c r="H91" s="20">
        <v>0</v>
      </c>
      <c r="I91" s="20">
        <v>1.5927021017523454E-2</v>
      </c>
      <c r="J91" s="20">
        <v>2.6075881038936339E-2</v>
      </c>
      <c r="K91" s="20">
        <v>0.54728971850181196</v>
      </c>
      <c r="L91" s="20">
        <v>0</v>
      </c>
    </row>
    <row r="92" spans="1:12">
      <c r="A92" s="2" t="s">
        <v>462</v>
      </c>
      <c r="B92" s="3" t="s">
        <v>463</v>
      </c>
      <c r="D92" s="20">
        <v>8.1742954936968531E-9</v>
      </c>
      <c r="E92" s="20">
        <v>0.42107825070691796</v>
      </c>
      <c r="F92" s="20">
        <v>7.6970542566632341E-2</v>
      </c>
      <c r="G92" s="20">
        <v>1.6819771955723484E-2</v>
      </c>
      <c r="H92" s="20">
        <v>0</v>
      </c>
      <c r="I92" s="20">
        <v>0.32728793618456214</v>
      </c>
      <c r="J92" s="20">
        <v>2.7754986368386512E-3</v>
      </c>
      <c r="K92" s="20">
        <v>0.57614624248194779</v>
      </c>
      <c r="L92" s="20">
        <v>0</v>
      </c>
    </row>
    <row r="93" spans="1:12">
      <c r="A93" s="2" t="s">
        <v>464</v>
      </c>
      <c r="B93" s="3" t="s">
        <v>465</v>
      </c>
      <c r="D93" s="20">
        <v>6.3870683518293047E-4</v>
      </c>
      <c r="E93" s="20">
        <v>0.37617290777594836</v>
      </c>
      <c r="F93" s="20">
        <v>0.20968906284163266</v>
      </c>
      <c r="G93" s="20">
        <v>3.9689107607213947E-2</v>
      </c>
      <c r="H93" s="20">
        <v>0</v>
      </c>
      <c r="I93" s="20">
        <v>0.12679473732710175</v>
      </c>
      <c r="J93" s="20">
        <v>6.3321421092018488E-3</v>
      </c>
      <c r="K93" s="20">
        <v>0.61685624327966693</v>
      </c>
      <c r="L93" s="20">
        <v>0</v>
      </c>
    </row>
    <row r="94" spans="1:12">
      <c r="A94" s="2" t="s">
        <v>466</v>
      </c>
      <c r="B94" s="3" t="s">
        <v>467</v>
      </c>
      <c r="D94" s="20">
        <v>2.0179539728948091E-18</v>
      </c>
      <c r="E94" s="20">
        <v>0.9993451296485828</v>
      </c>
      <c r="F94" s="20">
        <v>1.1557330695495863E-2</v>
      </c>
      <c r="G94" s="20">
        <v>1.518784074670301E-6</v>
      </c>
      <c r="H94" s="20">
        <v>0</v>
      </c>
      <c r="I94" s="20">
        <v>0.98778628016901227</v>
      </c>
      <c r="J94" s="20">
        <v>4.7939801239201642E-4</v>
      </c>
      <c r="K94" s="20">
        <v>1.7547233902522359E-4</v>
      </c>
      <c r="L94" s="20">
        <v>0</v>
      </c>
    </row>
    <row r="95" spans="1:12">
      <c r="A95" s="2" t="s">
        <v>468</v>
      </c>
      <c r="B95" s="3" t="s">
        <v>469</v>
      </c>
      <c r="D95" s="20">
        <v>9.4819878353824698E-18</v>
      </c>
      <c r="E95" s="20">
        <v>0.44721375156911736</v>
      </c>
      <c r="F95" s="20">
        <v>0.32875594019572202</v>
      </c>
      <c r="G95" s="20">
        <v>8.1333444287851275E-2</v>
      </c>
      <c r="H95" s="20">
        <v>0</v>
      </c>
      <c r="I95" s="20">
        <v>3.7124367085544036E-2</v>
      </c>
      <c r="J95" s="20">
        <v>1.3049740783190624E-2</v>
      </c>
      <c r="K95" s="20">
        <v>0.53973650764769199</v>
      </c>
      <c r="L95" s="20">
        <v>0</v>
      </c>
    </row>
    <row r="96" spans="1:12">
      <c r="A96" s="2" t="s">
        <v>470</v>
      </c>
      <c r="B96" s="163">
        <v>354656</v>
      </c>
      <c r="D96" s="20">
        <v>3.67636345132462E-10</v>
      </c>
      <c r="E96" s="20">
        <v>0.96952496616330841</v>
      </c>
      <c r="F96" s="20">
        <v>9.8015024947928342E-5</v>
      </c>
      <c r="G96" s="20">
        <v>3.7913005176185036E-5</v>
      </c>
      <c r="H96" s="20">
        <v>0</v>
      </c>
      <c r="I96" s="20">
        <v>0.96938903813318433</v>
      </c>
      <c r="J96" s="20">
        <v>4.4880113510936318E-4</v>
      </c>
      <c r="K96" s="20">
        <v>3.0026232333945798E-2</v>
      </c>
      <c r="L96" s="20">
        <v>0</v>
      </c>
    </row>
    <row r="97" spans="1:12">
      <c r="A97" s="2" t="s">
        <v>472</v>
      </c>
      <c r="B97" s="3" t="s">
        <v>473</v>
      </c>
      <c r="D97" s="20">
        <v>5.6725522019229651E-10</v>
      </c>
      <c r="E97" s="20">
        <v>0.93659084420047911</v>
      </c>
      <c r="F97" s="20">
        <v>4.1903733212844219E-4</v>
      </c>
      <c r="G97" s="20">
        <v>1.4526074642205736E-4</v>
      </c>
      <c r="H97" s="20">
        <v>0</v>
      </c>
      <c r="I97" s="20">
        <v>0.93602654612192859</v>
      </c>
      <c r="J97" s="20">
        <v>4.4970863343263387E-4</v>
      </c>
      <c r="K97" s="20">
        <v>6.295944659883311E-2</v>
      </c>
      <c r="L97" s="20">
        <v>0</v>
      </c>
    </row>
    <row r="98" spans="1:12">
      <c r="A98" s="2" t="s">
        <v>474</v>
      </c>
      <c r="B98" s="3" t="s">
        <v>475</v>
      </c>
      <c r="D98" s="20">
        <v>1.9150385574200423E-19</v>
      </c>
      <c r="E98" s="20">
        <v>0.4196245688870297</v>
      </c>
      <c r="F98" s="20">
        <v>0.29218084273397427</v>
      </c>
      <c r="G98" s="20">
        <v>5.1945423669523441E-2</v>
      </c>
      <c r="H98" s="20">
        <v>0</v>
      </c>
      <c r="I98" s="20">
        <v>7.5498302483532023E-2</v>
      </c>
      <c r="J98" s="20">
        <v>8.2912708301264067E-3</v>
      </c>
      <c r="K98" s="20">
        <v>0.57208416028284392</v>
      </c>
      <c r="L98" s="20">
        <v>0</v>
      </c>
    </row>
    <row r="99" spans="1:12">
      <c r="A99" s="2" t="s">
        <v>476</v>
      </c>
      <c r="B99" s="3" t="s">
        <v>477</v>
      </c>
      <c r="D99" s="20">
        <v>1.7341197206201062E-7</v>
      </c>
      <c r="E99" s="20">
        <v>0.99120622103389422</v>
      </c>
      <c r="F99" s="20">
        <v>8.2215422321706694E-6</v>
      </c>
      <c r="G99" s="20">
        <v>3.8233921784252113E-6</v>
      </c>
      <c r="H99" s="20">
        <v>0</v>
      </c>
      <c r="I99" s="20">
        <v>0.99119417609948357</v>
      </c>
      <c r="J99" s="20">
        <v>4.5369336597874885E-4</v>
      </c>
      <c r="K99" s="20">
        <v>8.3399121881550294E-3</v>
      </c>
      <c r="L99" s="20">
        <v>0</v>
      </c>
    </row>
    <row r="100" spans="1:12">
      <c r="A100" s="2" t="s">
        <v>478</v>
      </c>
      <c r="B100" s="3" t="s">
        <v>479</v>
      </c>
      <c r="D100" s="20">
        <v>6.6697596073505203E-11</v>
      </c>
      <c r="E100" s="20">
        <v>0.57155315893151981</v>
      </c>
      <c r="F100" s="20">
        <v>2.7490611233656731E-2</v>
      </c>
      <c r="G100" s="20">
        <v>6.7217127876494634E-3</v>
      </c>
      <c r="H100" s="20">
        <v>0</v>
      </c>
      <c r="I100" s="20">
        <v>0.53734083491021367</v>
      </c>
      <c r="J100" s="20">
        <v>1.2848696671827623E-3</v>
      </c>
      <c r="K100" s="20">
        <v>0.42716197133459977</v>
      </c>
      <c r="L100" s="20">
        <v>0</v>
      </c>
    </row>
    <row r="101" spans="1:12">
      <c r="A101" s="2" t="s">
        <v>480</v>
      </c>
      <c r="B101" s="3" t="s">
        <v>481</v>
      </c>
      <c r="D101" s="20">
        <v>4.6665825793944534E-11</v>
      </c>
      <c r="E101" s="20">
        <v>0.98558173275334093</v>
      </c>
      <c r="F101" s="20">
        <v>2.2226606988188116E-5</v>
      </c>
      <c r="G101" s="20">
        <v>9.6021552999264854E-6</v>
      </c>
      <c r="H101" s="20">
        <v>0</v>
      </c>
      <c r="I101" s="20">
        <v>0.9855499039910528</v>
      </c>
      <c r="J101" s="20">
        <v>4.5196753094846402E-4</v>
      </c>
      <c r="K101" s="20">
        <v>1.3966299669044745E-2</v>
      </c>
      <c r="L101" s="20">
        <v>0</v>
      </c>
    </row>
    <row r="102" spans="1:12">
      <c r="A102" s="2" t="s">
        <v>482</v>
      </c>
      <c r="B102" s="3" t="s">
        <v>483</v>
      </c>
      <c r="D102" s="20">
        <v>2.9323656468373488E-27</v>
      </c>
      <c r="E102" s="20">
        <v>0.99599886208550037</v>
      </c>
      <c r="F102" s="20">
        <v>1.585960395417952E-6</v>
      </c>
      <c r="G102" s="20">
        <v>8.3289047078910992E-7</v>
      </c>
      <c r="H102" s="20">
        <v>0</v>
      </c>
      <c r="I102" s="20">
        <v>0.99599644323463421</v>
      </c>
      <c r="J102" s="20">
        <v>4.5544986309547711E-4</v>
      </c>
      <c r="K102" s="20">
        <v>3.5456880514041314E-3</v>
      </c>
      <c r="L102" s="20">
        <v>0</v>
      </c>
    </row>
    <row r="103" spans="1:12">
      <c r="A103" s="2" t="s">
        <v>484</v>
      </c>
      <c r="B103" s="3" t="s">
        <v>485</v>
      </c>
      <c r="D103" s="20">
        <v>2.3390828224637502E-13</v>
      </c>
      <c r="E103" s="20">
        <v>0.99147148675503949</v>
      </c>
      <c r="F103" s="20">
        <v>7.725379352279505E-6</v>
      </c>
      <c r="G103" s="20">
        <v>3.6092367424228344E-6</v>
      </c>
      <c r="H103" s="20">
        <v>0</v>
      </c>
      <c r="I103" s="20">
        <v>0.99146015213894478</v>
      </c>
      <c r="J103" s="20">
        <v>4.537834124968382E-4</v>
      </c>
      <c r="K103" s="20">
        <v>8.0747298322297774E-3</v>
      </c>
      <c r="L103" s="20">
        <v>0</v>
      </c>
    </row>
    <row r="104" spans="1:12">
      <c r="A104" s="2" t="s">
        <v>486</v>
      </c>
      <c r="B104" s="3" t="s">
        <v>487</v>
      </c>
      <c r="D104" s="20">
        <v>2.8865013837214341E-9</v>
      </c>
      <c r="E104" s="20">
        <v>0.95413123634863828</v>
      </c>
      <c r="F104" s="20">
        <v>2.2011314795569424E-4</v>
      </c>
      <c r="G104" s="20">
        <v>8.0120110628312973E-5</v>
      </c>
      <c r="H104" s="20">
        <v>0</v>
      </c>
      <c r="I104" s="20">
        <v>0.95383100309005431</v>
      </c>
      <c r="J104" s="20">
        <v>4.480243916792886E-4</v>
      </c>
      <c r="K104" s="20">
        <v>4.5420736373181211E-2</v>
      </c>
      <c r="L104" s="20">
        <v>0</v>
      </c>
    </row>
    <row r="105" spans="1:12">
      <c r="A105" s="2" t="s">
        <v>488</v>
      </c>
      <c r="B105" s="3" t="s">
        <v>489</v>
      </c>
      <c r="D105" s="20">
        <v>2.3321128428645028E-16</v>
      </c>
      <c r="E105" s="20">
        <v>0.99529244810149109</v>
      </c>
      <c r="F105" s="20">
        <v>2.2491777339121639E-6</v>
      </c>
      <c r="G105" s="20">
        <v>1.1511166372002182E-6</v>
      </c>
      <c r="H105" s="20">
        <v>0</v>
      </c>
      <c r="I105" s="20">
        <v>0.99528904780712002</v>
      </c>
      <c r="J105" s="20">
        <v>4.551729312391169E-4</v>
      </c>
      <c r="K105" s="20">
        <v>4.252378967269526E-3</v>
      </c>
      <c r="L105" s="20">
        <v>0</v>
      </c>
    </row>
    <row r="106" spans="1:12">
      <c r="A106" s="2" t="s">
        <v>490</v>
      </c>
      <c r="B106" s="3" t="s">
        <v>491</v>
      </c>
      <c r="D106" s="20">
        <v>1.3037173231862688E-8</v>
      </c>
      <c r="E106" s="20">
        <v>0.85088672875777105</v>
      </c>
      <c r="F106" s="20">
        <v>2.384831234907969E-3</v>
      </c>
      <c r="G106" s="20">
        <v>7.2202661484770721E-4</v>
      </c>
      <c r="H106" s="20">
        <v>0</v>
      </c>
      <c r="I106" s="20">
        <v>0.84777987090801532</v>
      </c>
      <c r="J106" s="20">
        <v>4.9716615599430022E-4</v>
      </c>
      <c r="K106" s="20">
        <v>0.1486160920490614</v>
      </c>
      <c r="L106" s="20">
        <v>0</v>
      </c>
    </row>
    <row r="107" spans="1:12">
      <c r="A107" s="2" t="s">
        <v>492</v>
      </c>
      <c r="B107" s="3" t="s">
        <v>493</v>
      </c>
      <c r="D107" s="20">
        <v>9.7695307344108411E-16</v>
      </c>
      <c r="E107" s="20">
        <v>0.44398711824428483</v>
      </c>
      <c r="F107" s="20">
        <v>0.32639832274521857</v>
      </c>
      <c r="G107" s="20">
        <v>5.6655682257108285E-2</v>
      </c>
      <c r="H107" s="20">
        <v>0</v>
      </c>
      <c r="I107" s="20">
        <v>6.0933113241957985E-2</v>
      </c>
      <c r="J107" s="20">
        <v>9.0522049155548623E-3</v>
      </c>
      <c r="K107" s="20">
        <v>0.54696067684015925</v>
      </c>
      <c r="L107" s="20">
        <v>0</v>
      </c>
    </row>
    <row r="108" spans="1:12">
      <c r="A108" s="2" t="s">
        <v>291</v>
      </c>
      <c r="B108" s="3" t="s">
        <v>494</v>
      </c>
      <c r="D108" s="20">
        <v>3.6324290323743765E-10</v>
      </c>
      <c r="E108" s="20">
        <v>0.61140930377590474</v>
      </c>
      <c r="F108" s="20">
        <v>2.1089746184558937E-2</v>
      </c>
      <c r="G108" s="20">
        <v>5.2913551075709445E-3</v>
      </c>
      <c r="H108" s="20">
        <v>0</v>
      </c>
      <c r="I108" s="20">
        <v>0.58502820248377485</v>
      </c>
      <c r="J108" s="20">
        <v>1.0837075834653508E-3</v>
      </c>
      <c r="K108" s="20">
        <v>0.38750698827738689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1" width="9.140625" style="14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3.7818668837515069E-9</v>
      </c>
      <c r="E2" s="14">
        <v>3.2325548501393305E-5</v>
      </c>
      <c r="F2" s="14">
        <v>1.5373772606520114E-7</v>
      </c>
      <c r="G2" s="14">
        <v>4.4779166804487647E-8</v>
      </c>
      <c r="H2" s="14">
        <v>0</v>
      </c>
      <c r="I2" s="14">
        <v>2.1597498170537413E-8</v>
      </c>
      <c r="J2" s="14">
        <v>7.4505552406827167E-6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7.6658352903803471E-7</v>
      </c>
      <c r="E3" s="14">
        <v>1.4041682477972507E-7</v>
      </c>
      <c r="F3" s="14">
        <v>5.1884029617521443E-6</v>
      </c>
      <c r="G3" s="14">
        <v>1.4058184993150361E-5</v>
      </c>
      <c r="H3" s="14">
        <v>0</v>
      </c>
      <c r="I3" s="14">
        <v>2.3139909405094517E-6</v>
      </c>
      <c r="J3" s="14">
        <v>1.7532420750770278E-5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2.4471821540883124E-16</v>
      </c>
      <c r="E4" s="14">
        <v>1.9680039303134804E-5</v>
      </c>
      <c r="F4" s="14">
        <v>1.3936076183960347E-6</v>
      </c>
      <c r="G4" s="14">
        <v>3.3268718107424142E-7</v>
      </c>
      <c r="H4" s="14">
        <v>0</v>
      </c>
      <c r="I4" s="14">
        <v>6.053907020777149E-8</v>
      </c>
      <c r="J4" s="14">
        <v>1.8533126826942429E-5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2.2446782749753284E-8</v>
      </c>
      <c r="E5" s="14">
        <v>1.2979374627635179E-6</v>
      </c>
      <c r="F5" s="14">
        <v>1.2642364808082972E-5</v>
      </c>
      <c r="G5" s="14">
        <v>3.6687986159222089E-6</v>
      </c>
      <c r="H5" s="14">
        <v>0</v>
      </c>
      <c r="I5" s="14">
        <v>5.8952408239567284E-7</v>
      </c>
      <c r="J5" s="14">
        <v>2.1778928248085883E-5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2.7986524333735481E-9</v>
      </c>
      <c r="E6" s="14">
        <v>7.0363693953861396E-8</v>
      </c>
      <c r="F6" s="14">
        <v>3.7078587493557296E-6</v>
      </c>
      <c r="G6" s="14">
        <v>1.8210368608631086E-5</v>
      </c>
      <c r="H6" s="14">
        <v>0</v>
      </c>
      <c r="I6" s="14">
        <v>3.0175839539113751E-6</v>
      </c>
      <c r="J6" s="14">
        <v>1.4991026341714575E-5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3.7988343380075131E-9</v>
      </c>
      <c r="E7" s="14">
        <v>1.2946429761323903E-7</v>
      </c>
      <c r="F7" s="14">
        <v>5.0387704048184004E-6</v>
      </c>
      <c r="G7" s="14">
        <v>1.4894300964138956E-5</v>
      </c>
      <c r="H7" s="14">
        <v>0</v>
      </c>
      <c r="I7" s="14">
        <v>2.4540145569826992E-6</v>
      </c>
      <c r="J7" s="14">
        <v>1.7479650942108704E-5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3.2714618846835194E-8</v>
      </c>
      <c r="E8" s="14">
        <v>2.629550581723848E-7</v>
      </c>
      <c r="F8" s="14">
        <v>6.9922360256673047E-6</v>
      </c>
      <c r="G8" s="14">
        <v>1.0917209263157356E-5</v>
      </c>
      <c r="H8" s="14">
        <v>0</v>
      </c>
      <c r="I8" s="14">
        <v>1.7859365727354086E-6</v>
      </c>
      <c r="J8" s="14">
        <v>2.0008948461420716E-5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1.1382242958231783E-8</v>
      </c>
      <c r="E9" s="14">
        <v>6.6869413801458032E-6</v>
      </c>
      <c r="F9" s="14">
        <v>6.7065947779603087E-6</v>
      </c>
      <c r="G9" s="14">
        <v>1.3170359261157209E-6</v>
      </c>
      <c r="H9" s="14">
        <v>0</v>
      </c>
      <c r="I9" s="14">
        <v>2.1059018936019629E-7</v>
      </c>
      <c r="J9" s="14">
        <v>2.5067455483459739E-5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2.8807918767755711E-10</v>
      </c>
      <c r="E10" s="14">
        <v>1.205734112921067E-6</v>
      </c>
      <c r="F10" s="14">
        <v>1.2370467101396646E-5</v>
      </c>
      <c r="G10" s="14">
        <v>3.9163514131749802E-6</v>
      </c>
      <c r="H10" s="14">
        <v>0</v>
      </c>
      <c r="I10" s="14">
        <v>6.2983096760948201E-7</v>
      </c>
      <c r="J10" s="14">
        <v>2.187732832571015E-5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1.4977263654461354E-8</v>
      </c>
      <c r="E11" s="14">
        <v>1.0630951565847039E-6</v>
      </c>
      <c r="F11" s="14">
        <v>1.189341819913208E-5</v>
      </c>
      <c r="G11" s="14">
        <v>4.3531360977911456E-6</v>
      </c>
      <c r="H11" s="14">
        <v>0</v>
      </c>
      <c r="I11" s="14">
        <v>7.0108206180977217E-7</v>
      </c>
      <c r="J11" s="14">
        <v>2.1974291221027839E-5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6.9402701365228982E-9</v>
      </c>
      <c r="E12" s="14">
        <v>5.0016815730056911E-6</v>
      </c>
      <c r="F12" s="14">
        <v>8.4810688672248778E-6</v>
      </c>
      <c r="G12" s="14">
        <v>1.6023085315598215E-6</v>
      </c>
      <c r="H12" s="14">
        <v>0</v>
      </c>
      <c r="I12" s="14">
        <v>2.5562517452970866E-7</v>
      </c>
      <c r="J12" s="14">
        <v>2.4652375583543386E-5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1.7977144184437175E-8</v>
      </c>
      <c r="E13" s="14">
        <v>6.5102904734120644E-6</v>
      </c>
      <c r="F13" s="14">
        <v>6.864278832000465E-6</v>
      </c>
      <c r="G13" s="14">
        <v>1.3430447141498678E-6</v>
      </c>
      <c r="H13" s="14">
        <v>0</v>
      </c>
      <c r="I13" s="14">
        <v>2.1467576077007078E-7</v>
      </c>
      <c r="J13" s="14">
        <v>2.5049733075483103E-5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1.0041590087958268E-8</v>
      </c>
      <c r="E14" s="14">
        <v>7.0971200804857183E-7</v>
      </c>
      <c r="F14" s="14">
        <v>1.0384287505852722E-5</v>
      </c>
      <c r="G14" s="14">
        <v>5.9589845461702177E-6</v>
      </c>
      <c r="H14" s="14">
        <v>0</v>
      </c>
      <c r="I14" s="14">
        <v>9.6420030565948139E-7</v>
      </c>
      <c r="J14" s="14">
        <v>2.1972774044181048E-5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1.6318430832500854E-11</v>
      </c>
      <c r="E15" s="14">
        <v>1.1327082391442498E-6</v>
      </c>
      <c r="F15" s="14">
        <v>1.2135358478029436E-5</v>
      </c>
      <c r="G15" s="14">
        <v>4.1309331341312527E-6</v>
      </c>
      <c r="H15" s="14">
        <v>0</v>
      </c>
      <c r="I15" s="14">
        <v>6.6481419959498963E-7</v>
      </c>
      <c r="J15" s="14">
        <v>2.1936169630669244E-5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8.4608533625603553E-8</v>
      </c>
      <c r="E16" s="14">
        <v>2.708156966575135E-7</v>
      </c>
      <c r="F16" s="14">
        <v>7.0776386049314742E-6</v>
      </c>
      <c r="G16" s="14">
        <v>1.0734552355014225E-5</v>
      </c>
      <c r="H16" s="14">
        <v>0</v>
      </c>
      <c r="I16" s="14">
        <v>1.7554888220827707E-6</v>
      </c>
      <c r="J16" s="14">
        <v>2.0076895987688417E-5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5.7642953047137989E-9</v>
      </c>
      <c r="E17" s="14">
        <v>1.2668520137769882E-6</v>
      </c>
      <c r="F17" s="14">
        <v>1.2555107525874873E-5</v>
      </c>
      <c r="G17" s="14">
        <v>3.7507316384159615E-6</v>
      </c>
      <c r="H17" s="14">
        <v>0</v>
      </c>
      <c r="I17" s="14">
        <v>6.0285701124547893E-7</v>
      </c>
      <c r="J17" s="14">
        <v>2.1818687515381994E-5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3.1851079643875866E-7</v>
      </c>
      <c r="E18" s="14">
        <v>7.4587117301371163E-6</v>
      </c>
      <c r="F18" s="14">
        <v>5.9730805700720953E-6</v>
      </c>
      <c r="G18" s="14">
        <v>1.1925975924943002E-6</v>
      </c>
      <c r="H18" s="14">
        <v>0</v>
      </c>
      <c r="I18" s="14">
        <v>1.9106326606664347E-7</v>
      </c>
      <c r="J18" s="14">
        <v>2.4866036044791093E-5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5.7184870779224956E-11</v>
      </c>
      <c r="E19" s="14">
        <v>1.1185639246445152E-6</v>
      </c>
      <c r="F19" s="14">
        <v>1.208802526265941E-5</v>
      </c>
      <c r="G19" s="14">
        <v>4.1749464976756257E-6</v>
      </c>
      <c r="H19" s="14">
        <v>0</v>
      </c>
      <c r="I19" s="14">
        <v>6.7199427447025084E-7</v>
      </c>
      <c r="J19" s="14">
        <v>2.1946412855679422E-5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2.7219890592930046E-9</v>
      </c>
      <c r="E20" s="14">
        <v>6.5127744770714042E-6</v>
      </c>
      <c r="F20" s="14">
        <v>6.8668979000446724E-6</v>
      </c>
      <c r="G20" s="14">
        <v>1.3435571533410574E-6</v>
      </c>
      <c r="H20" s="14">
        <v>0</v>
      </c>
      <c r="I20" s="14">
        <v>2.1475767038339789E-7</v>
      </c>
      <c r="J20" s="14">
        <v>2.5059290810100178E-5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8.3652918144214898E-8</v>
      </c>
      <c r="E21" s="14">
        <v>7.9854751028286298E-7</v>
      </c>
      <c r="F21" s="14">
        <v>1.0808248227826651E-5</v>
      </c>
      <c r="G21" s="14">
        <v>5.4431570581185801E-6</v>
      </c>
      <c r="H21" s="14">
        <v>0</v>
      </c>
      <c r="I21" s="14">
        <v>8.7951984659883207E-7</v>
      </c>
      <c r="J21" s="14">
        <v>2.1986874439028869E-5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9.0694758365284085E-8</v>
      </c>
      <c r="E22" s="14">
        <v>2.6050847260374076E-5</v>
      </c>
      <c r="F22" s="14">
        <v>5.5546462119731961E-7</v>
      </c>
      <c r="G22" s="14">
        <v>1.4486115992099386E-7</v>
      </c>
      <c r="H22" s="14">
        <v>0</v>
      </c>
      <c r="I22" s="14">
        <v>3.4181542875812487E-8</v>
      </c>
      <c r="J22" s="14">
        <v>1.312395065726652E-5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3.5710902737717026E-9</v>
      </c>
      <c r="E23" s="14">
        <v>3.0435503684129201E-5</v>
      </c>
      <c r="F23" s="14">
        <v>2.4472314417287292E-7</v>
      </c>
      <c r="G23" s="14">
        <v>6.8575755218128708E-8</v>
      </c>
      <c r="H23" s="14">
        <v>0</v>
      </c>
      <c r="I23" s="14">
        <v>2.4392271820292069E-8</v>
      </c>
      <c r="J23" s="14">
        <v>9.2232340543857389E-6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5.3728725482705013E-9</v>
      </c>
      <c r="E24" s="14">
        <v>1.2960632703453648E-5</v>
      </c>
      <c r="F24" s="14">
        <v>3.1252211412977186E-6</v>
      </c>
      <c r="G24" s="14">
        <v>6.816733394936808E-7</v>
      </c>
      <c r="H24" s="14">
        <v>0</v>
      </c>
      <c r="I24" s="14">
        <v>1.1236384434319671E-7</v>
      </c>
      <c r="J24" s="14">
        <v>2.3114736098863483E-5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2.0099686065147759E-6</v>
      </c>
      <c r="E25" s="14">
        <v>3.1572497590538296E-6</v>
      </c>
      <c r="F25" s="14">
        <v>1.0516312649101684E-5</v>
      </c>
      <c r="G25" s="14">
        <v>1.8904232263373625E-6</v>
      </c>
      <c r="H25" s="14">
        <v>0</v>
      </c>
      <c r="I25" s="14">
        <v>3.0163692766853697E-7</v>
      </c>
      <c r="J25" s="14">
        <v>2.2124408831323806E-5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6.7064488868639151E-8</v>
      </c>
      <c r="E26" s="14">
        <v>8.6431546433697947E-7</v>
      </c>
      <c r="F26" s="14">
        <v>1.1106234367351527E-5</v>
      </c>
      <c r="G26" s="14">
        <v>5.1269890421263731E-6</v>
      </c>
      <c r="H26" s="14">
        <v>0</v>
      </c>
      <c r="I26" s="14">
        <v>8.2767826863654735E-7</v>
      </c>
      <c r="J26" s="14">
        <v>2.2007718368679932E-5</v>
      </c>
      <c r="K26" s="14">
        <v>0</v>
      </c>
    </row>
    <row r="27" spans="1:13">
      <c r="A27" s="2" t="s">
        <v>353</v>
      </c>
      <c r="B27" s="3" t="s">
        <v>354</v>
      </c>
      <c r="D27" s="14">
        <v>5.2826733004958558E-7</v>
      </c>
      <c r="E27" s="14">
        <v>1.5346643960937383E-7</v>
      </c>
      <c r="F27" s="14">
        <v>5.4303518279519155E-6</v>
      </c>
      <c r="G27" s="14">
        <v>1.3684329518583289E-5</v>
      </c>
      <c r="H27" s="14">
        <v>0</v>
      </c>
      <c r="I27" s="14">
        <v>2.2506211327343861E-6</v>
      </c>
      <c r="J27" s="14">
        <v>1.7952963751071454E-5</v>
      </c>
      <c r="K27" s="14">
        <v>0</v>
      </c>
    </row>
    <row r="28" spans="1:13">
      <c r="A28" s="2" t="s">
        <v>355</v>
      </c>
      <c r="B28" s="3" t="s">
        <v>356</v>
      </c>
      <c r="D28" s="14">
        <v>2.580226961614849E-8</v>
      </c>
      <c r="E28" s="14">
        <v>4.8900981218067193E-7</v>
      </c>
      <c r="F28" s="14">
        <v>9.0392442966810572E-6</v>
      </c>
      <c r="G28" s="14">
        <v>7.6741039783193202E-6</v>
      </c>
      <c r="H28" s="14">
        <v>0</v>
      </c>
      <c r="I28" s="14">
        <v>1.2469809130040956E-6</v>
      </c>
      <c r="J28" s="14">
        <v>2.1524858730198708E-5</v>
      </c>
      <c r="K28" s="14">
        <v>0</v>
      </c>
    </row>
    <row r="29" spans="1:13">
      <c r="A29" s="2" t="s">
        <v>357</v>
      </c>
      <c r="B29" s="3" t="s">
        <v>358</v>
      </c>
      <c r="D29" s="14">
        <v>4.6315479908007903E-6</v>
      </c>
      <c r="E29" s="14">
        <v>6.5341008452036592E-7</v>
      </c>
      <c r="F29" s="14">
        <v>9.3153758747940444E-6</v>
      </c>
      <c r="G29" s="14">
        <v>5.1179488214819276E-6</v>
      </c>
      <c r="H29" s="14">
        <v>0</v>
      </c>
      <c r="I29" s="14">
        <v>8.2773256051670554E-7</v>
      </c>
      <c r="J29" s="14">
        <v>1.945398466788616E-5</v>
      </c>
      <c r="K29" s="14">
        <v>0</v>
      </c>
    </row>
    <row r="30" spans="1:13">
      <c r="A30" s="2" t="s">
        <v>359</v>
      </c>
      <c r="B30" s="3" t="s">
        <v>360</v>
      </c>
      <c r="D30" s="14">
        <v>2.580226961614849E-8</v>
      </c>
      <c r="E30" s="14">
        <v>4.8900981218067193E-7</v>
      </c>
      <c r="F30" s="14">
        <v>9.0392442966810572E-6</v>
      </c>
      <c r="G30" s="14">
        <v>7.6741039783193202E-6</v>
      </c>
      <c r="H30" s="14">
        <v>0</v>
      </c>
      <c r="I30" s="14">
        <v>1.2469809130040956E-6</v>
      </c>
      <c r="J30" s="14">
        <v>2.1524858730198708E-5</v>
      </c>
      <c r="K30" s="14">
        <v>0</v>
      </c>
    </row>
    <row r="31" spans="1:13">
      <c r="A31" s="2" t="s">
        <v>283</v>
      </c>
      <c r="B31" s="3" t="s">
        <v>284</v>
      </c>
      <c r="D31" s="14">
        <v>1.0454537121035402E-12</v>
      </c>
      <c r="E31" s="14">
        <v>3.9046712388880232E-5</v>
      </c>
      <c r="F31" s="14">
        <v>2.3943025270529211E-9</v>
      </c>
      <c r="G31" s="14">
        <v>9.608920036191594E-10</v>
      </c>
      <c r="H31" s="14">
        <v>0</v>
      </c>
      <c r="I31" s="14">
        <v>1.7992964993424017E-8</v>
      </c>
      <c r="J31" s="14">
        <v>9.3193840614196273E-7</v>
      </c>
      <c r="K31" s="14">
        <v>0</v>
      </c>
    </row>
    <row r="32" spans="1:13">
      <c r="A32" s="2" t="s">
        <v>361</v>
      </c>
      <c r="B32" s="3" t="s">
        <v>362</v>
      </c>
      <c r="D32" s="14">
        <v>1.0900242871922622E-12</v>
      </c>
      <c r="E32" s="14">
        <v>2.2265989951797611E-5</v>
      </c>
      <c r="F32" s="14">
        <v>9.9744390221194139E-7</v>
      </c>
      <c r="G32" s="14">
        <v>2.4592752614350983E-7</v>
      </c>
      <c r="H32" s="14">
        <v>0</v>
      </c>
      <c r="I32" s="14">
        <v>4.9957707164697244E-8</v>
      </c>
      <c r="J32" s="14">
        <v>1.6440679822657954E-5</v>
      </c>
      <c r="K32" s="14">
        <v>0</v>
      </c>
    </row>
    <row r="33" spans="1:11">
      <c r="A33" s="2" t="s">
        <v>364</v>
      </c>
      <c r="B33" s="3" t="s">
        <v>365</v>
      </c>
      <c r="D33" s="14">
        <v>4.827805317538178E-15</v>
      </c>
      <c r="E33" s="14">
        <v>3.9962584385304275E-5</v>
      </c>
      <c r="F33" s="14">
        <v>1.6806145406310235E-8</v>
      </c>
      <c r="G33" s="14">
        <v>5.1391990545095965E-12</v>
      </c>
      <c r="H33" s="14">
        <v>0</v>
      </c>
      <c r="I33" s="14">
        <v>1.831973632293009E-8</v>
      </c>
      <c r="J33" s="14">
        <v>2.2845889396253919E-9</v>
      </c>
      <c r="K33" s="14">
        <v>0</v>
      </c>
    </row>
    <row r="34" spans="1:11">
      <c r="A34" s="2" t="s">
        <v>285</v>
      </c>
      <c r="B34" s="3" t="s">
        <v>286</v>
      </c>
      <c r="D34" s="14">
        <v>2.4116285262178274E-14</v>
      </c>
      <c r="E34" s="14">
        <v>3.6925281106049594E-5</v>
      </c>
      <c r="F34" s="14">
        <v>3.0380740881152344E-6</v>
      </c>
      <c r="G34" s="14">
        <v>2.4950133155968053E-10</v>
      </c>
      <c r="H34" s="14">
        <v>0</v>
      </c>
      <c r="I34" s="14">
        <v>2.3315950361735772E-8</v>
      </c>
      <c r="J34" s="14">
        <v>1.3079330025591397E-8</v>
      </c>
      <c r="K34" s="14">
        <v>0</v>
      </c>
    </row>
    <row r="35" spans="1:11">
      <c r="A35" s="2" t="s">
        <v>287</v>
      </c>
      <c r="B35" s="3" t="s">
        <v>288</v>
      </c>
      <c r="D35" s="14">
        <v>1.0623968263114304E-15</v>
      </c>
      <c r="E35" s="14">
        <v>3.3060588669684726E-5</v>
      </c>
      <c r="F35" s="14">
        <v>6.8612798413560722E-6</v>
      </c>
      <c r="G35" s="14">
        <v>1.3287168890864354E-9</v>
      </c>
      <c r="H35" s="14">
        <v>0</v>
      </c>
      <c r="I35" s="14">
        <v>2.8923769390358959E-8</v>
      </c>
      <c r="J35" s="14">
        <v>4.7879001617368902E-8</v>
      </c>
      <c r="K35" s="14">
        <v>0</v>
      </c>
    </row>
    <row r="36" spans="1:11">
      <c r="A36" s="2" t="s">
        <v>366</v>
      </c>
      <c r="B36" s="3" t="s">
        <v>305</v>
      </c>
      <c r="D36" s="14">
        <v>3.7160132948017655E-12</v>
      </c>
      <c r="E36" s="14">
        <v>2.187982967405837E-5</v>
      </c>
      <c r="F36" s="14">
        <v>1.7965466022651683E-5</v>
      </c>
      <c r="G36" s="14">
        <v>5.1437549530135977E-9</v>
      </c>
      <c r="H36" s="14">
        <v>0</v>
      </c>
      <c r="I36" s="14">
        <v>4.3389011969614741E-8</v>
      </c>
      <c r="J36" s="14">
        <v>1.061678203540265E-7</v>
      </c>
      <c r="K36" s="14">
        <v>0</v>
      </c>
    </row>
    <row r="37" spans="1:11">
      <c r="A37" s="2" t="s">
        <v>289</v>
      </c>
      <c r="B37" s="3" t="s">
        <v>290</v>
      </c>
      <c r="D37" s="14">
        <v>4.7605034762197328E-19</v>
      </c>
      <c r="E37" s="14">
        <v>2.371585342491961E-5</v>
      </c>
      <c r="F37" s="14">
        <v>7.9154080441886067E-6</v>
      </c>
      <c r="G37" s="14">
        <v>2.7023575422032912E-7</v>
      </c>
      <c r="H37" s="14">
        <v>0</v>
      </c>
      <c r="I37" s="14">
        <v>6.5915750389365626E-8</v>
      </c>
      <c r="J37" s="14">
        <v>8.0325870262816174E-6</v>
      </c>
      <c r="K37" s="14">
        <v>0</v>
      </c>
    </row>
    <row r="38" spans="1:11">
      <c r="A38" s="2" t="s">
        <v>291</v>
      </c>
      <c r="B38" s="3" t="s">
        <v>292</v>
      </c>
      <c r="D38" s="14">
        <v>7.3652934081115195E-17</v>
      </c>
      <c r="E38" s="14">
        <v>3.7516378577088621E-5</v>
      </c>
      <c r="F38" s="14">
        <v>2.3444202289306796E-6</v>
      </c>
      <c r="G38" s="14">
        <v>1.9586304758678941E-9</v>
      </c>
      <c r="H38" s="14">
        <v>0</v>
      </c>
      <c r="I38" s="14">
        <v>2.2462849421828693E-8</v>
      </c>
      <c r="J38" s="14">
        <v>1.1477971400935306E-7</v>
      </c>
      <c r="K38" s="14">
        <v>0</v>
      </c>
    </row>
    <row r="39" spans="1:11">
      <c r="A39" s="2" t="s">
        <v>367</v>
      </c>
      <c r="B39" s="3" t="s">
        <v>368</v>
      </c>
      <c r="D39" s="14">
        <v>2.7583512409754067E-9</v>
      </c>
      <c r="E39" s="14">
        <v>1.9717381151298489E-6</v>
      </c>
      <c r="F39" s="14">
        <v>1.4184818464922894E-5</v>
      </c>
      <c r="G39" s="14">
        <v>2.4775323704115986E-6</v>
      </c>
      <c r="H39" s="14">
        <v>0</v>
      </c>
      <c r="I39" s="14">
        <v>3.9636160399004263E-7</v>
      </c>
      <c r="J39" s="14">
        <v>2.0966791094304643E-5</v>
      </c>
      <c r="K39" s="14">
        <v>0</v>
      </c>
    </row>
    <row r="40" spans="1:11">
      <c r="A40" s="2" t="s">
        <v>369</v>
      </c>
      <c r="B40" s="3" t="s">
        <v>370</v>
      </c>
      <c r="D40" s="14">
        <v>3.2219624161843228E-16</v>
      </c>
      <c r="E40" s="14">
        <v>3.5251330295336484E-7</v>
      </c>
      <c r="F40" s="14">
        <v>3.2050149613356317E-5</v>
      </c>
      <c r="G40" s="14">
        <v>2.3187313727177268E-6</v>
      </c>
      <c r="H40" s="14">
        <v>0</v>
      </c>
      <c r="I40" s="14">
        <v>4.2703676946125621E-6</v>
      </c>
      <c r="J40" s="14">
        <v>1.0082380160378395E-6</v>
      </c>
      <c r="K40" s="14">
        <v>0</v>
      </c>
    </row>
    <row r="41" spans="1:11">
      <c r="A41" s="2" t="s">
        <v>371</v>
      </c>
      <c r="B41" s="3" t="s">
        <v>372</v>
      </c>
      <c r="D41" s="14">
        <v>3.2605382978962831E-6</v>
      </c>
      <c r="E41" s="14">
        <v>3.6540035945817868E-5</v>
      </c>
      <c r="F41" s="14">
        <v>1.1147141669635217E-10</v>
      </c>
      <c r="G41" s="14">
        <v>5.5803196403113063E-11</v>
      </c>
      <c r="H41" s="14">
        <v>0</v>
      </c>
      <c r="I41" s="14">
        <v>1.6712739941369371E-8</v>
      </c>
      <c r="J41" s="14">
        <v>1.8254574173138729E-7</v>
      </c>
      <c r="K41" s="14">
        <v>0</v>
      </c>
    </row>
    <row r="42" spans="1:11">
      <c r="A42" s="2" t="s">
        <v>293</v>
      </c>
      <c r="B42" s="3" t="s">
        <v>294</v>
      </c>
      <c r="D42" s="14">
        <v>8.3142241090255812E-13</v>
      </c>
      <c r="E42" s="14">
        <v>2.4975914050956751E-5</v>
      </c>
      <c r="F42" s="14">
        <v>6.6695409220487985E-7</v>
      </c>
      <c r="G42" s="14">
        <v>1.7107694921283499E-7</v>
      </c>
      <c r="H42" s="14">
        <v>0</v>
      </c>
      <c r="I42" s="14">
        <v>3.7758392736632571E-8</v>
      </c>
      <c r="J42" s="14">
        <v>1.4148295683466492E-5</v>
      </c>
      <c r="K42" s="14">
        <v>0</v>
      </c>
    </row>
    <row r="43" spans="1:11">
      <c r="A43" s="2" t="s">
        <v>373</v>
      </c>
      <c r="B43" s="3" t="s">
        <v>374</v>
      </c>
      <c r="D43" s="14">
        <v>1.5873637637918517E-11</v>
      </c>
      <c r="E43" s="14">
        <v>3.2559804954018057E-6</v>
      </c>
      <c r="F43" s="14">
        <v>3.64264077774918E-5</v>
      </c>
      <c r="G43" s="14">
        <v>3.0756595886448999E-8</v>
      </c>
      <c r="H43" s="14">
        <v>0</v>
      </c>
      <c r="I43" s="14">
        <v>1.3158236237077923E-7</v>
      </c>
      <c r="J43" s="14">
        <v>1.5525689521153196E-7</v>
      </c>
      <c r="K43" s="14">
        <v>0</v>
      </c>
    </row>
    <row r="44" spans="1:11">
      <c r="A44" s="2" t="s">
        <v>375</v>
      </c>
      <c r="B44" s="3" t="s">
        <v>376</v>
      </c>
      <c r="D44" s="14">
        <v>3.475009880982521E-6</v>
      </c>
      <c r="E44" s="14">
        <v>3.1210139391177116E-5</v>
      </c>
      <c r="F44" s="14">
        <v>7.9438358008397129E-8</v>
      </c>
      <c r="G44" s="14">
        <v>2.4228460196564131E-8</v>
      </c>
      <c r="H44" s="14">
        <v>0</v>
      </c>
      <c r="I44" s="14">
        <v>1.7943298332155341E-8</v>
      </c>
      <c r="J44" s="14">
        <v>5.1932406113032468E-6</v>
      </c>
      <c r="K44" s="14">
        <v>0</v>
      </c>
    </row>
    <row r="45" spans="1:11">
      <c r="A45" s="2" t="s">
        <v>377</v>
      </c>
      <c r="B45" s="3" t="s">
        <v>378</v>
      </c>
      <c r="D45" s="14">
        <v>3.2465985097331927E-8</v>
      </c>
      <c r="E45" s="14">
        <v>2.3913781097288543E-5</v>
      </c>
      <c r="F45" s="14">
        <v>7.8001472238154481E-7</v>
      </c>
      <c r="G45" s="14">
        <v>1.9715071444307749E-7</v>
      </c>
      <c r="H45" s="14">
        <v>0</v>
      </c>
      <c r="I45" s="14">
        <v>4.1325986584196861E-8</v>
      </c>
      <c r="J45" s="14">
        <v>1.5035261494205312E-5</v>
      </c>
      <c r="K45" s="14">
        <v>0</v>
      </c>
    </row>
    <row r="46" spans="1:11">
      <c r="A46" s="2" t="s">
        <v>379</v>
      </c>
      <c r="B46" s="3" t="s">
        <v>380</v>
      </c>
      <c r="D46" s="14">
        <v>9.5977260647363938E-8</v>
      </c>
      <c r="E46" s="14">
        <v>2.4529461535057824E-5</v>
      </c>
      <c r="F46" s="14">
        <v>7.0606155554060977E-7</v>
      </c>
      <c r="G46" s="14">
        <v>1.801101220579328E-7</v>
      </c>
      <c r="H46" s="14">
        <v>0</v>
      </c>
      <c r="I46" s="14">
        <v>3.8958339702329686E-8</v>
      </c>
      <c r="J46" s="14">
        <v>1.4449431186993945E-5</v>
      </c>
      <c r="K46" s="14">
        <v>0</v>
      </c>
    </row>
    <row r="47" spans="1:11">
      <c r="A47" s="2" t="s">
        <v>381</v>
      </c>
      <c r="B47" s="3" t="s">
        <v>382</v>
      </c>
      <c r="D47" s="14">
        <v>9.1825488390195284E-12</v>
      </c>
      <c r="E47" s="14">
        <v>1.4316040271337951E-7</v>
      </c>
      <c r="F47" s="14">
        <v>5.2897781915303493E-6</v>
      </c>
      <c r="G47" s="14">
        <v>1.4332865226056528E-5</v>
      </c>
      <c r="H47" s="14">
        <v>0</v>
      </c>
      <c r="I47" s="14">
        <v>2.359203574344586E-6</v>
      </c>
      <c r="J47" s="14">
        <v>1.7874983422806315E-5</v>
      </c>
      <c r="K47" s="14">
        <v>0</v>
      </c>
    </row>
    <row r="48" spans="1:11">
      <c r="A48" s="2" t="s">
        <v>383</v>
      </c>
      <c r="B48" s="3" t="s">
        <v>384</v>
      </c>
      <c r="D48" s="14">
        <v>4.7276167581009076E-7</v>
      </c>
      <c r="E48" s="14">
        <v>3.6400045619102087E-5</v>
      </c>
      <c r="F48" s="14">
        <v>2.5241576639575327E-8</v>
      </c>
      <c r="G48" s="14">
        <v>8.472508899594266E-9</v>
      </c>
      <c r="H48" s="14">
        <v>0</v>
      </c>
      <c r="I48" s="14">
        <v>1.7915359750013923E-8</v>
      </c>
      <c r="J48" s="14">
        <v>3.0755632597986382E-6</v>
      </c>
      <c r="K48" s="14">
        <v>0</v>
      </c>
    </row>
    <row r="49" spans="1:11">
      <c r="A49" s="2" t="s">
        <v>385</v>
      </c>
      <c r="B49" s="3" t="s">
        <v>386</v>
      </c>
      <c r="D49" s="14">
        <v>8.8800672472434843E-7</v>
      </c>
      <c r="E49" s="14">
        <v>3.4944265720769657E-5</v>
      </c>
      <c r="F49" s="14">
        <v>4.5278337206462886E-8</v>
      </c>
      <c r="G49" s="14">
        <v>1.451396344375505E-8</v>
      </c>
      <c r="H49" s="14">
        <v>0</v>
      </c>
      <c r="I49" s="14">
        <v>1.81674145840763E-8</v>
      </c>
      <c r="J49" s="14">
        <v>4.0897678392717012E-6</v>
      </c>
      <c r="K49" s="14">
        <v>0</v>
      </c>
    </row>
    <row r="50" spans="1:11">
      <c r="A50" s="2" t="s">
        <v>387</v>
      </c>
      <c r="B50" s="3" t="s">
        <v>388</v>
      </c>
      <c r="D50" s="14">
        <v>6.6922530838248248E-7</v>
      </c>
      <c r="E50" s="14">
        <v>7.6787763920658534E-6</v>
      </c>
      <c r="F50" s="14">
        <v>5.7048807587879364E-6</v>
      </c>
      <c r="G50" s="14">
        <v>1.14536030279714E-6</v>
      </c>
      <c r="H50" s="14">
        <v>0</v>
      </c>
      <c r="I50" s="14">
        <v>1.8364443637227047E-7</v>
      </c>
      <c r="J50" s="14">
        <v>2.4618112801594326E-5</v>
      </c>
      <c r="K50" s="14">
        <v>0</v>
      </c>
    </row>
    <row r="51" spans="1:11">
      <c r="A51" s="2" t="s">
        <v>295</v>
      </c>
      <c r="B51" s="3" t="s">
        <v>296</v>
      </c>
      <c r="D51" s="14">
        <v>2.6160163143841177E-6</v>
      </c>
      <c r="E51" s="14">
        <v>3.6180962219039346E-5</v>
      </c>
      <c r="F51" s="14">
        <v>4.043101674559456E-9</v>
      </c>
      <c r="G51" s="14">
        <v>1.5524235358539501E-9</v>
      </c>
      <c r="H51" s="14">
        <v>0</v>
      </c>
      <c r="I51" s="14">
        <v>1.6771381174289388E-8</v>
      </c>
      <c r="J51" s="14">
        <v>1.1806545601918448E-6</v>
      </c>
      <c r="K51" s="14">
        <v>0</v>
      </c>
    </row>
    <row r="52" spans="1:11">
      <c r="A52" s="2" t="s">
        <v>389</v>
      </c>
      <c r="B52" s="3" t="s">
        <v>390</v>
      </c>
      <c r="D52" s="14">
        <v>2.8612607982829983E-6</v>
      </c>
      <c r="E52" s="14">
        <v>3.0092419623089239E-5</v>
      </c>
      <c r="F52" s="14">
        <v>1.3958272082545389E-7</v>
      </c>
      <c r="G52" s="14">
        <v>4.0731200913513672E-8</v>
      </c>
      <c r="H52" s="14">
        <v>0</v>
      </c>
      <c r="I52" s="14">
        <v>1.995914325271357E-8</v>
      </c>
      <c r="J52" s="14">
        <v>6.8460465136360843E-6</v>
      </c>
      <c r="K52" s="14">
        <v>0</v>
      </c>
    </row>
    <row r="53" spans="1:11">
      <c r="A53" s="2" t="s">
        <v>391</v>
      </c>
      <c r="B53" s="3" t="s">
        <v>392</v>
      </c>
      <c r="D53" s="14">
        <v>1.0600181888904599E-7</v>
      </c>
      <c r="E53" s="14">
        <v>2.0466000570969023E-5</v>
      </c>
      <c r="F53" s="14">
        <v>1.2473477049292635E-6</v>
      </c>
      <c r="G53" s="14">
        <v>3.0108081826091891E-7</v>
      </c>
      <c r="H53" s="14">
        <v>0</v>
      </c>
      <c r="I53" s="14">
        <v>5.5957139323159617E-8</v>
      </c>
      <c r="J53" s="14">
        <v>1.7823611947628596E-5</v>
      </c>
      <c r="K53" s="14">
        <v>0</v>
      </c>
    </row>
    <row r="54" spans="1:11">
      <c r="A54" s="2" t="s">
        <v>393</v>
      </c>
      <c r="B54" s="3" t="s">
        <v>394</v>
      </c>
      <c r="D54" s="14">
        <v>4.0666550779974399E-8</v>
      </c>
      <c r="E54" s="14">
        <v>1.9194508806335138E-7</v>
      </c>
      <c r="F54" s="14">
        <v>6.0689219641119228E-6</v>
      </c>
      <c r="G54" s="14">
        <v>1.2665055830990005E-5</v>
      </c>
      <c r="H54" s="14">
        <v>0</v>
      </c>
      <c r="I54" s="14">
        <v>2.0785873117008466E-6</v>
      </c>
      <c r="J54" s="14">
        <v>1.8954823254353911E-5</v>
      </c>
      <c r="K54" s="14">
        <v>0</v>
      </c>
    </row>
    <row r="55" spans="1:11">
      <c r="A55" s="2" t="s">
        <v>395</v>
      </c>
      <c r="B55" s="3" t="s">
        <v>396</v>
      </c>
      <c r="D55" s="14">
        <v>9.1504922517107562E-6</v>
      </c>
      <c r="E55" s="14">
        <v>9.4081475976069291E-6</v>
      </c>
      <c r="F55" s="14">
        <v>2.6358377434572259E-6</v>
      </c>
      <c r="G55" s="14">
        <v>5.6860965255383505E-7</v>
      </c>
      <c r="H55" s="14">
        <v>0</v>
      </c>
      <c r="I55" s="14">
        <v>9.3170890777629098E-8</v>
      </c>
      <c r="J55" s="14">
        <v>1.8143741863893625E-5</v>
      </c>
      <c r="K55" s="14">
        <v>0</v>
      </c>
    </row>
    <row r="56" spans="1:11">
      <c r="A56" s="2" t="s">
        <v>397</v>
      </c>
      <c r="B56" s="3" t="s">
        <v>398</v>
      </c>
      <c r="D56" s="14">
        <v>3.3190289872154348E-5</v>
      </c>
      <c r="E56" s="14">
        <v>8.8905926038482105E-7</v>
      </c>
      <c r="F56" s="14">
        <v>1.3985733881442549E-6</v>
      </c>
      <c r="G56" s="14">
        <v>2.6569343014776981E-7</v>
      </c>
      <c r="H56" s="14">
        <v>0</v>
      </c>
      <c r="I56" s="14">
        <v>4.2394577589837472E-8</v>
      </c>
      <c r="J56" s="14">
        <v>4.2139894715789752E-6</v>
      </c>
      <c r="K56" s="14">
        <v>0</v>
      </c>
    </row>
    <row r="57" spans="1:11">
      <c r="A57" s="2" t="s">
        <v>399</v>
      </c>
      <c r="B57" s="3" t="s">
        <v>400</v>
      </c>
      <c r="D57" s="14">
        <v>3.4975723881134122E-5</v>
      </c>
      <c r="E57" s="14">
        <v>1.3336638400844227E-6</v>
      </c>
      <c r="F57" s="14">
        <v>5.1717905301075259E-7</v>
      </c>
      <c r="G57" s="14">
        <v>1.0892723557513706E-7</v>
      </c>
      <c r="H57" s="14">
        <v>0</v>
      </c>
      <c r="I57" s="14">
        <v>1.7669750623233315E-8</v>
      </c>
      <c r="J57" s="14">
        <v>3.0468362395723267E-6</v>
      </c>
      <c r="K57" s="14">
        <v>0</v>
      </c>
    </row>
    <row r="58" spans="1:11">
      <c r="A58" s="2" t="s">
        <v>297</v>
      </c>
      <c r="B58" s="3" t="s">
        <v>298</v>
      </c>
      <c r="D58" s="14">
        <v>3.7299402568252926E-5</v>
      </c>
      <c r="E58" s="14">
        <v>2.3771771123765399E-6</v>
      </c>
      <c r="F58" s="14">
        <v>3.955269593197765E-9</v>
      </c>
      <c r="G58" s="14">
        <v>1.2447199373920248E-9</v>
      </c>
      <c r="H58" s="14">
        <v>0</v>
      </c>
      <c r="I58" s="14">
        <v>1.2750586507934998E-9</v>
      </c>
      <c r="J58" s="14">
        <v>3.1694527118915399E-7</v>
      </c>
      <c r="K58" s="14">
        <v>0</v>
      </c>
    </row>
    <row r="59" spans="1:11">
      <c r="A59" s="2" t="s">
        <v>401</v>
      </c>
      <c r="B59" s="3" t="s">
        <v>402</v>
      </c>
      <c r="D59" s="14">
        <v>3.8160066260487088E-5</v>
      </c>
      <c r="E59" s="14">
        <v>5.0474123340245911E-7</v>
      </c>
      <c r="F59" s="14">
        <v>1.8158640682130574E-7</v>
      </c>
      <c r="G59" s="14">
        <v>3.8457308877817E-8</v>
      </c>
      <c r="H59" s="14">
        <v>0</v>
      </c>
      <c r="I59" s="14">
        <v>6.2509927280071438E-9</v>
      </c>
      <c r="J59" s="14">
        <v>1.108897797683332E-6</v>
      </c>
      <c r="K59" s="14">
        <v>0</v>
      </c>
    </row>
    <row r="60" spans="1:11">
      <c r="A60" s="2" t="s">
        <v>299</v>
      </c>
      <c r="B60" s="3" t="s">
        <v>300</v>
      </c>
      <c r="D60" s="14">
        <v>3.9952725029117831E-5</v>
      </c>
      <c r="E60" s="14">
        <v>1.7988132205675714E-8</v>
      </c>
      <c r="F60" s="14">
        <v>2.8354410410887901E-9</v>
      </c>
      <c r="G60" s="14">
        <v>6.381403064565523E-10</v>
      </c>
      <c r="H60" s="14">
        <v>0</v>
      </c>
      <c r="I60" s="14">
        <v>1.0759447999312711E-10</v>
      </c>
      <c r="J60" s="14">
        <v>2.570566284896497E-8</v>
      </c>
      <c r="K60" s="14">
        <v>0</v>
      </c>
    </row>
    <row r="61" spans="1:11">
      <c r="A61" s="2" t="s">
        <v>403</v>
      </c>
      <c r="B61" s="3" t="s">
        <v>404</v>
      </c>
      <c r="D61" s="14">
        <v>2.7135651466029009E-48</v>
      </c>
      <c r="E61" s="14">
        <v>1.7293381287345086E-5</v>
      </c>
      <c r="F61" s="14">
        <v>1.8733307733403442E-6</v>
      </c>
      <c r="G61" s="14">
        <v>4.3342107277563474E-7</v>
      </c>
      <c r="H61" s="14">
        <v>0</v>
      </c>
      <c r="I61" s="14">
        <v>7.5236629200418694E-8</v>
      </c>
      <c r="J61" s="14">
        <v>2.0324630237338517E-5</v>
      </c>
      <c r="K61" s="14">
        <v>0</v>
      </c>
    </row>
    <row r="62" spans="1:11">
      <c r="A62" s="2" t="s">
        <v>405</v>
      </c>
      <c r="B62" s="3" t="s">
        <v>406</v>
      </c>
      <c r="D62" s="14">
        <v>2.0110743100682926E-11</v>
      </c>
      <c r="E62" s="14">
        <v>7.2916830499201179E-7</v>
      </c>
      <c r="F62" s="14">
        <v>1.0485818426458627E-5</v>
      </c>
      <c r="G62" s="14">
        <v>5.8451799851242962E-6</v>
      </c>
      <c r="H62" s="14">
        <v>0</v>
      </c>
      <c r="I62" s="14">
        <v>9.4549420222735934E-7</v>
      </c>
      <c r="J62" s="14">
        <v>2.1994318970454602E-5</v>
      </c>
      <c r="K62" s="14">
        <v>0</v>
      </c>
    </row>
    <row r="63" spans="1:11">
      <c r="A63" s="2" t="s">
        <v>407</v>
      </c>
      <c r="B63" s="3" t="s">
        <v>408</v>
      </c>
      <c r="D63" s="14">
        <v>6.0779280922066948E-9</v>
      </c>
      <c r="E63" s="14">
        <v>8.4092104659945183E-8</v>
      </c>
      <c r="F63" s="14">
        <v>4.0637761068083162E-6</v>
      </c>
      <c r="G63" s="14">
        <v>1.7263360030152447E-5</v>
      </c>
      <c r="H63" s="14">
        <v>0</v>
      </c>
      <c r="I63" s="14">
        <v>2.8559809341301343E-6</v>
      </c>
      <c r="J63" s="14">
        <v>1.5726712896156964E-5</v>
      </c>
      <c r="K63" s="14">
        <v>0</v>
      </c>
    </row>
    <row r="64" spans="1:11">
      <c r="A64" s="2" t="s">
        <v>409</v>
      </c>
      <c r="B64" s="3" t="s">
        <v>410</v>
      </c>
      <c r="D64" s="14">
        <v>8.4653687543902259E-10</v>
      </c>
      <c r="E64" s="14">
        <v>3.2778233554054947E-8</v>
      </c>
      <c r="F64" s="14">
        <v>2.4633158186660518E-6</v>
      </c>
      <c r="G64" s="14">
        <v>2.1928839612421479E-5</v>
      </c>
      <c r="H64" s="14">
        <v>0</v>
      </c>
      <c r="I64" s="14">
        <v>3.6582805137379145E-6</v>
      </c>
      <c r="J64" s="14">
        <v>1.1915939284745069E-5</v>
      </c>
      <c r="K64" s="14">
        <v>0</v>
      </c>
    </row>
    <row r="65" spans="1:11">
      <c r="A65" s="2" t="s">
        <v>301</v>
      </c>
      <c r="B65" s="3" t="s">
        <v>302</v>
      </c>
      <c r="D65" s="14">
        <v>1.1670242787835624E-10</v>
      </c>
      <c r="E65" s="14">
        <v>1.0269269603134413E-8</v>
      </c>
      <c r="F65" s="14">
        <v>1.2751289505749074E-6</v>
      </c>
      <c r="G65" s="14">
        <v>2.6329927390803659E-5</v>
      </c>
      <c r="H65" s="14">
        <v>0</v>
      </c>
      <c r="I65" s="14">
        <v>4.4346462233968048E-6</v>
      </c>
      <c r="J65" s="14">
        <v>7.9499114631936144E-6</v>
      </c>
      <c r="K65" s="14">
        <v>0</v>
      </c>
    </row>
    <row r="66" spans="1:11">
      <c r="A66" s="2" t="s">
        <v>303</v>
      </c>
      <c r="B66" s="3" t="s">
        <v>304</v>
      </c>
      <c r="D66" s="14">
        <v>1.0627007148608216E-16</v>
      </c>
      <c r="E66" s="14">
        <v>2.0084019632119714E-8</v>
      </c>
      <c r="F66" s="14">
        <v>1.8740673204790342E-6</v>
      </c>
      <c r="G66" s="14">
        <v>2.3976221548369232E-5</v>
      </c>
      <c r="H66" s="14">
        <v>0</v>
      </c>
      <c r="I66" s="14">
        <v>4.0163158585012984E-6</v>
      </c>
      <c r="J66" s="14">
        <v>1.0113311252912044E-5</v>
      </c>
      <c r="K66" s="14">
        <v>0</v>
      </c>
    </row>
    <row r="67" spans="1:11">
      <c r="A67" s="2" t="s">
        <v>411</v>
      </c>
      <c r="B67" s="3" t="s">
        <v>412</v>
      </c>
      <c r="D67" s="14">
        <v>1.9134530023987886E-7</v>
      </c>
      <c r="E67" s="14">
        <v>3.3471676402390883E-5</v>
      </c>
      <c r="F67" s="14">
        <v>1.0406196312460254E-7</v>
      </c>
      <c r="G67" s="14">
        <v>3.1274297992259206E-8</v>
      </c>
      <c r="H67" s="14">
        <v>0</v>
      </c>
      <c r="I67" s="14">
        <v>2.0051981714500528E-8</v>
      </c>
      <c r="J67" s="14">
        <v>6.1815900545378803E-6</v>
      </c>
      <c r="K67" s="14">
        <v>0</v>
      </c>
    </row>
    <row r="68" spans="1:11">
      <c r="A68" s="2" t="s">
        <v>413</v>
      </c>
      <c r="B68" s="3" t="s">
        <v>414</v>
      </c>
      <c r="D68" s="14">
        <v>4.1996376597848072E-7</v>
      </c>
      <c r="E68" s="14">
        <v>3.1225649895600992E-5</v>
      </c>
      <c r="F68" s="14">
        <v>1.859884762736883E-7</v>
      </c>
      <c r="G68" s="14">
        <v>5.3282131717984737E-8</v>
      </c>
      <c r="H68" s="14">
        <v>0</v>
      </c>
      <c r="I68" s="14">
        <v>2.2401174037783482E-8</v>
      </c>
      <c r="J68" s="14">
        <v>8.0927145563910687E-6</v>
      </c>
      <c r="K68" s="14">
        <v>0</v>
      </c>
    </row>
    <row r="69" spans="1:11">
      <c r="A69" s="2" t="s">
        <v>415</v>
      </c>
      <c r="B69" s="3" t="s">
        <v>416</v>
      </c>
      <c r="D69" s="14">
        <v>2.4853033567026772E-7</v>
      </c>
      <c r="E69" s="14">
        <v>2.8237033618524966E-7</v>
      </c>
      <c r="F69" s="14">
        <v>7.1904094461823225E-6</v>
      </c>
      <c r="G69" s="14">
        <v>1.0441170235112005E-5</v>
      </c>
      <c r="H69" s="14">
        <v>0</v>
      </c>
      <c r="I69" s="14">
        <v>1.7066838129642774E-6</v>
      </c>
      <c r="J69" s="14">
        <v>2.0130835833885881E-5</v>
      </c>
      <c r="K69" s="14">
        <v>0</v>
      </c>
    </row>
    <row r="70" spans="1:11">
      <c r="A70" s="2" t="s">
        <v>417</v>
      </c>
      <c r="B70" s="3" t="s">
        <v>418</v>
      </c>
      <c r="D70" s="14">
        <v>4.6876048603643781E-7</v>
      </c>
      <c r="E70" s="14">
        <v>3.7810346766924154E-6</v>
      </c>
      <c r="F70" s="14">
        <v>1.0055998751940147E-5</v>
      </c>
      <c r="G70" s="14">
        <v>1.8378952957408379E-6</v>
      </c>
      <c r="H70" s="14">
        <v>0</v>
      </c>
      <c r="I70" s="14">
        <v>2.9315814305321246E-7</v>
      </c>
      <c r="J70" s="14">
        <v>2.3563152646536952E-5</v>
      </c>
      <c r="K70" s="14">
        <v>0</v>
      </c>
    </row>
    <row r="71" spans="1:11">
      <c r="A71" s="2" t="s">
        <v>419</v>
      </c>
      <c r="B71" s="3" t="s">
        <v>420</v>
      </c>
      <c r="D71" s="14">
        <v>1.0258020549483906E-6</v>
      </c>
      <c r="E71" s="14">
        <v>3.108874776137641E-5</v>
      </c>
      <c r="F71" s="14">
        <v>1.675474334802226E-7</v>
      </c>
      <c r="G71" s="14">
        <v>4.8354103416607306E-8</v>
      </c>
      <c r="H71" s="14">
        <v>0</v>
      </c>
      <c r="I71" s="14">
        <v>2.1582347610834523E-8</v>
      </c>
      <c r="J71" s="14">
        <v>7.6479662991675449E-6</v>
      </c>
      <c r="K71" s="14">
        <v>0</v>
      </c>
    </row>
    <row r="72" spans="1:11">
      <c r="A72" s="2" t="s">
        <v>421</v>
      </c>
      <c r="B72" s="3" t="s">
        <v>422</v>
      </c>
      <c r="D72" s="14">
        <v>1.8261775812144366E-6</v>
      </c>
      <c r="E72" s="14">
        <v>4.0609035190724257E-6</v>
      </c>
      <c r="F72" s="14">
        <v>9.0660314610570017E-6</v>
      </c>
      <c r="G72" s="14">
        <v>1.678466884437007E-6</v>
      </c>
      <c r="H72" s="14">
        <v>0</v>
      </c>
      <c r="I72" s="14">
        <v>2.6770631961405521E-7</v>
      </c>
      <c r="J72" s="14">
        <v>2.3100714234605083E-5</v>
      </c>
      <c r="K72" s="14">
        <v>0</v>
      </c>
    </row>
    <row r="73" spans="1:11">
      <c r="A73" s="2" t="s">
        <v>423</v>
      </c>
      <c r="B73" s="3" t="s">
        <v>424</v>
      </c>
      <c r="D73" s="14">
        <v>8.0745900000951899E-7</v>
      </c>
      <c r="E73" s="14">
        <v>1.6261482798847226E-5</v>
      </c>
      <c r="F73" s="14">
        <v>1.9961569927760197E-6</v>
      </c>
      <c r="G73" s="14">
        <v>4.5760446129409937E-7</v>
      </c>
      <c r="H73" s="14">
        <v>0</v>
      </c>
      <c r="I73" s="14">
        <v>7.8578453191929135E-8</v>
      </c>
      <c r="J73" s="14">
        <v>2.0398718293881209E-5</v>
      </c>
      <c r="K73" s="14">
        <v>0</v>
      </c>
    </row>
    <row r="74" spans="1:11">
      <c r="A74" s="2" t="s">
        <v>425</v>
      </c>
      <c r="B74" s="3" t="s">
        <v>426</v>
      </c>
      <c r="D74" s="14">
        <v>7.1036257255216731E-7</v>
      </c>
      <c r="E74" s="14">
        <v>3.8748931901060536E-6</v>
      </c>
      <c r="F74" s="14">
        <v>9.8028935408877266E-6</v>
      </c>
      <c r="G74" s="14">
        <v>1.7982490585785968E-6</v>
      </c>
      <c r="H74" s="14">
        <v>0</v>
      </c>
      <c r="I74" s="14">
        <v>2.8682267973962652E-7</v>
      </c>
      <c r="J74" s="14">
        <v>2.3526778958135833E-5</v>
      </c>
      <c r="K74" s="14">
        <v>0</v>
      </c>
    </row>
    <row r="75" spans="1:11">
      <c r="A75" s="2" t="s">
        <v>427</v>
      </c>
      <c r="B75" s="3" t="s">
        <v>428</v>
      </c>
      <c r="D75" s="14">
        <v>2.0950062070665027E-13</v>
      </c>
      <c r="E75" s="14">
        <v>1.6494721826194908E-6</v>
      </c>
      <c r="F75" s="14">
        <v>3.785816382260458E-5</v>
      </c>
      <c r="G75" s="14">
        <v>1.4608638936077275E-8</v>
      </c>
      <c r="H75" s="14">
        <v>0</v>
      </c>
      <c r="I75" s="14">
        <v>4.4594816999821702E-7</v>
      </c>
      <c r="J75" s="14">
        <v>3.1806976341018059E-8</v>
      </c>
      <c r="K75" s="14">
        <v>0</v>
      </c>
    </row>
    <row r="76" spans="1:11">
      <c r="A76" s="2" t="s">
        <v>429</v>
      </c>
      <c r="B76" s="3" t="s">
        <v>430</v>
      </c>
      <c r="D76" s="14">
        <v>5.2624176923283668E-15</v>
      </c>
      <c r="E76" s="14">
        <v>1.649472191041622E-6</v>
      </c>
      <c r="F76" s="14">
        <v>3.7858164015906667E-5</v>
      </c>
      <c r="G76" s="14">
        <v>1.4608639010668333E-8</v>
      </c>
      <c r="H76" s="14">
        <v>0</v>
      </c>
      <c r="I76" s="14">
        <v>4.459481722752084E-7</v>
      </c>
      <c r="J76" s="14">
        <v>3.1806976503423054E-8</v>
      </c>
      <c r="K76" s="14">
        <v>0</v>
      </c>
    </row>
    <row r="77" spans="1:11">
      <c r="A77" s="2" t="s">
        <v>431</v>
      </c>
      <c r="B77" s="3" t="s">
        <v>432</v>
      </c>
      <c r="D77" s="14">
        <v>2.1019106454318332E-6</v>
      </c>
      <c r="E77" s="14">
        <v>8.9803634626951627E-6</v>
      </c>
      <c r="F77" s="14">
        <v>4.4718627384219076E-6</v>
      </c>
      <c r="G77" s="14">
        <v>9.2466415001578445E-7</v>
      </c>
      <c r="H77" s="14">
        <v>0</v>
      </c>
      <c r="I77" s="14">
        <v>1.4915740806124285E-7</v>
      </c>
      <c r="J77" s="14">
        <v>2.3372041595374073E-5</v>
      </c>
      <c r="K77" s="14">
        <v>0</v>
      </c>
    </row>
    <row r="78" spans="1:11">
      <c r="A78" s="2" t="s">
        <v>433</v>
      </c>
      <c r="B78" s="3" t="s">
        <v>434</v>
      </c>
      <c r="D78" s="14">
        <v>1.5529401845452974E-6</v>
      </c>
      <c r="E78" s="14">
        <v>2.4495955961947418E-5</v>
      </c>
      <c r="F78" s="14">
        <v>5.9187356442948322E-7</v>
      </c>
      <c r="G78" s="14">
        <v>1.529412017415516E-7</v>
      </c>
      <c r="H78" s="14">
        <v>0</v>
      </c>
      <c r="I78" s="14">
        <v>3.4731684598241161E-8</v>
      </c>
      <c r="J78" s="14">
        <v>1.3171557402738015E-5</v>
      </c>
      <c r="K78" s="14">
        <v>0</v>
      </c>
    </row>
    <row r="79" spans="1:11">
      <c r="A79" s="2" t="s">
        <v>435</v>
      </c>
      <c r="B79" s="3" t="s">
        <v>436</v>
      </c>
      <c r="D79" s="14">
        <v>4.2268145550179604E-7</v>
      </c>
      <c r="E79" s="14">
        <v>2.0026859857176107E-5</v>
      </c>
      <c r="F79" s="14">
        <v>1.2831794893736666E-6</v>
      </c>
      <c r="G79" s="14">
        <v>3.0859079302506006E-7</v>
      </c>
      <c r="H79" s="14">
        <v>0</v>
      </c>
      <c r="I79" s="14">
        <v>5.693398622387824E-8</v>
      </c>
      <c r="J79" s="14">
        <v>1.7901754418699498E-5</v>
      </c>
      <c r="K79" s="14">
        <v>0</v>
      </c>
    </row>
    <row r="80" spans="1:11">
      <c r="A80" s="2" t="s">
        <v>437</v>
      </c>
      <c r="B80" s="3" t="s">
        <v>438</v>
      </c>
      <c r="D80" s="14">
        <v>7.5110191376587181E-14</v>
      </c>
      <c r="E80" s="14">
        <v>1.1198466375701327E-6</v>
      </c>
      <c r="F80" s="14">
        <v>3.7946620214740892E-5</v>
      </c>
      <c r="G80" s="14">
        <v>2.812699330409743E-8</v>
      </c>
      <c r="H80" s="14">
        <v>0</v>
      </c>
      <c r="I80" s="14">
        <v>8.6658783037675453E-7</v>
      </c>
      <c r="J80" s="14">
        <v>3.8818248897941755E-8</v>
      </c>
      <c r="K80" s="14">
        <v>0</v>
      </c>
    </row>
    <row r="81" spans="1:11">
      <c r="A81" s="2" t="s">
        <v>440</v>
      </c>
      <c r="B81" s="3" t="s">
        <v>441</v>
      </c>
      <c r="D81" s="14">
        <v>7.375697197169594E-18</v>
      </c>
      <c r="E81" s="14">
        <v>3.8820644684841045E-5</v>
      </c>
      <c r="F81" s="14">
        <v>3.641474673021145E-9</v>
      </c>
      <c r="G81" s="14">
        <v>1.4163573776641929E-9</v>
      </c>
      <c r="H81" s="14">
        <v>0</v>
      </c>
      <c r="I81" s="14">
        <v>1.7957667700156131E-8</v>
      </c>
      <c r="J81" s="14">
        <v>1.1563398154007378E-6</v>
      </c>
      <c r="K81" s="14">
        <v>0</v>
      </c>
    </row>
    <row r="82" spans="1:11">
      <c r="A82" s="2" t="s">
        <v>442</v>
      </c>
      <c r="B82" s="3" t="s">
        <v>443</v>
      </c>
      <c r="D82" s="14">
        <v>3.5110369385421139E-9</v>
      </c>
      <c r="E82" s="14">
        <v>3.0629158346972789E-5</v>
      </c>
      <c r="F82" s="14">
        <v>2.3426618947321718E-7</v>
      </c>
      <c r="G82" s="14">
        <v>6.5887824604014613E-8</v>
      </c>
      <c r="H82" s="14">
        <v>0</v>
      </c>
      <c r="I82" s="14">
        <v>2.4066898317149365E-8</v>
      </c>
      <c r="J82" s="14">
        <v>9.0431097036942977E-6</v>
      </c>
      <c r="K82" s="14">
        <v>0</v>
      </c>
    </row>
    <row r="83" spans="1:11">
      <c r="A83" s="2" t="s">
        <v>444</v>
      </c>
      <c r="B83" s="3" t="s">
        <v>445</v>
      </c>
      <c r="D83" s="14">
        <v>4.2561886435011595E-8</v>
      </c>
      <c r="E83" s="14">
        <v>1.0724092050147025E-5</v>
      </c>
      <c r="F83" s="14">
        <v>4.0559732631290767E-6</v>
      </c>
      <c r="G83" s="14">
        <v>8.5583617360240481E-7</v>
      </c>
      <c r="H83" s="14">
        <v>0</v>
      </c>
      <c r="I83" s="14">
        <v>1.3892119959750039E-7</v>
      </c>
      <c r="J83" s="14">
        <v>2.4182615427088983E-5</v>
      </c>
      <c r="K83" s="14">
        <v>0</v>
      </c>
    </row>
    <row r="84" spans="1:11">
      <c r="A84" s="2" t="s">
        <v>446</v>
      </c>
      <c r="B84" s="3" t="s">
        <v>447</v>
      </c>
      <c r="D84" s="14">
        <v>2.2705906109633231E-19</v>
      </c>
      <c r="E84" s="14">
        <v>3.7472140536974585E-5</v>
      </c>
      <c r="F84" s="14">
        <v>1.6361120851714361E-8</v>
      </c>
      <c r="G84" s="14">
        <v>5.682096536671591E-9</v>
      </c>
      <c r="H84" s="14">
        <v>0</v>
      </c>
      <c r="I84" s="14">
        <v>1.798316397439054E-8</v>
      </c>
      <c r="J84" s="14">
        <v>2.4878330816624142E-6</v>
      </c>
      <c r="K84" s="14">
        <v>0</v>
      </c>
    </row>
    <row r="85" spans="1:11">
      <c r="A85" s="2" t="s">
        <v>448</v>
      </c>
      <c r="B85" s="3" t="s">
        <v>449</v>
      </c>
      <c r="D85" s="14">
        <v>1.5893425585373002E-12</v>
      </c>
      <c r="E85" s="14">
        <v>3.9499097922028453E-5</v>
      </c>
      <c r="F85" s="14">
        <v>6.6817731612081091E-10</v>
      </c>
      <c r="G85" s="14">
        <v>2.9484059782103754E-10</v>
      </c>
      <c r="H85" s="14">
        <v>0</v>
      </c>
      <c r="I85" s="14">
        <v>1.8100728688309058E-8</v>
      </c>
      <c r="J85" s="14">
        <v>4.8183674202674556E-7</v>
      </c>
      <c r="K85" s="14">
        <v>0</v>
      </c>
    </row>
    <row r="86" spans="1:11">
      <c r="A86" s="2" t="s">
        <v>450</v>
      </c>
      <c r="B86" s="3" t="s">
        <v>451</v>
      </c>
      <c r="D86" s="14">
        <v>5.711185256703739E-13</v>
      </c>
      <c r="E86" s="14">
        <v>3.7533227597430372E-5</v>
      </c>
      <c r="F86" s="14">
        <v>1.5588361285738852E-8</v>
      </c>
      <c r="G86" s="14">
        <v>5.4337045189342885E-9</v>
      </c>
      <c r="H86" s="14">
        <v>0</v>
      </c>
      <c r="I86" s="14">
        <v>1.797357112749637E-8</v>
      </c>
      <c r="J86" s="14">
        <v>2.4277761945189378E-6</v>
      </c>
      <c r="K86" s="14">
        <v>0</v>
      </c>
    </row>
    <row r="87" spans="1:11">
      <c r="A87" s="2" t="s">
        <v>452</v>
      </c>
      <c r="B87" s="3" t="s">
        <v>453</v>
      </c>
      <c r="D87" s="14">
        <v>1.0861787709590519E-11</v>
      </c>
      <c r="E87" s="14">
        <v>1.169609736345136E-7</v>
      </c>
      <c r="F87" s="14">
        <v>4.7948555184485584E-6</v>
      </c>
      <c r="G87" s="14">
        <v>1.546219267201197E-5</v>
      </c>
      <c r="H87" s="14">
        <v>0</v>
      </c>
      <c r="I87" s="14">
        <v>2.5500757129010499E-6</v>
      </c>
      <c r="J87" s="14">
        <v>1.7075904261216204E-5</v>
      </c>
      <c r="K87" s="14">
        <v>0</v>
      </c>
    </row>
    <row r="88" spans="1:11">
      <c r="A88" s="2" t="s">
        <v>454</v>
      </c>
      <c r="B88" s="3" t="s">
        <v>455</v>
      </c>
      <c r="D88" s="14">
        <v>1.8019060547766562E-9</v>
      </c>
      <c r="E88" s="14">
        <v>2.7196424361794519E-5</v>
      </c>
      <c r="F88" s="14">
        <v>4.6302704604367399E-7</v>
      </c>
      <c r="G88" s="14">
        <v>1.2277273052375391E-7</v>
      </c>
      <c r="H88" s="14">
        <v>0</v>
      </c>
      <c r="I88" s="14">
        <v>3.1282244887636484E-8</v>
      </c>
      <c r="J88" s="14">
        <v>1.2184691710695648E-5</v>
      </c>
      <c r="K88" s="14">
        <v>0</v>
      </c>
    </row>
    <row r="89" spans="1:11">
      <c r="A89" s="2" t="s">
        <v>456</v>
      </c>
      <c r="B89" s="3" t="s">
        <v>457</v>
      </c>
      <c r="D89" s="14">
        <v>1.1678705921753392E-21</v>
      </c>
      <c r="E89" s="14">
        <v>3.0042383604724979E-5</v>
      </c>
      <c r="F89" s="14">
        <v>2.6697398104224328E-7</v>
      </c>
      <c r="G89" s="14">
        <v>7.4261632647078216E-8</v>
      </c>
      <c r="H89" s="14">
        <v>0</v>
      </c>
      <c r="I89" s="14">
        <v>2.5088548264253672E-8</v>
      </c>
      <c r="J89" s="14">
        <v>9.5912922333214448E-6</v>
      </c>
      <c r="K89" s="14">
        <v>0</v>
      </c>
    </row>
    <row r="90" spans="1:11">
      <c r="A90" s="2" t="s">
        <v>458</v>
      </c>
      <c r="B90" s="3" t="s">
        <v>459</v>
      </c>
      <c r="D90" s="14">
        <v>1.7047960931759203E-33</v>
      </c>
      <c r="E90" s="14">
        <v>3.5153786108284574E-5</v>
      </c>
      <c r="F90" s="14">
        <v>5.9971740945178482E-8</v>
      </c>
      <c r="G90" s="14">
        <v>1.8838321816521053E-8</v>
      </c>
      <c r="H90" s="14">
        <v>0</v>
      </c>
      <c r="I90" s="14">
        <v>1.8921323877638618E-8</v>
      </c>
      <c r="J90" s="14">
        <v>4.7484825050760906E-6</v>
      </c>
      <c r="K90" s="14">
        <v>0</v>
      </c>
    </row>
    <row r="91" spans="1:11">
      <c r="A91" s="2" t="s">
        <v>460</v>
      </c>
      <c r="B91" s="3" t="s">
        <v>461</v>
      </c>
      <c r="D91" s="14">
        <v>9.4491964905904216E-12</v>
      </c>
      <c r="E91" s="14">
        <v>6.3708084070093825E-7</v>
      </c>
      <c r="F91" s="14">
        <v>9.9900829635174503E-6</v>
      </c>
      <c r="G91" s="14">
        <v>6.4382027649551888E-6</v>
      </c>
      <c r="H91" s="14">
        <v>0</v>
      </c>
      <c r="I91" s="14">
        <v>1.0430352415574536E-6</v>
      </c>
      <c r="J91" s="14">
        <v>2.1891588740072482E-5</v>
      </c>
      <c r="K91" s="14">
        <v>0</v>
      </c>
    </row>
    <row r="92" spans="1:11">
      <c r="A92" s="2" t="s">
        <v>462</v>
      </c>
      <c r="B92" s="3" t="s">
        <v>463</v>
      </c>
      <c r="D92" s="14">
        <v>3.2697181974787412E-13</v>
      </c>
      <c r="E92" s="14">
        <v>1.3091517447382487E-5</v>
      </c>
      <c r="F92" s="14">
        <v>3.0788217026652942E-6</v>
      </c>
      <c r="G92" s="14">
        <v>6.7279087822893944E-7</v>
      </c>
      <c r="H92" s="14">
        <v>0</v>
      </c>
      <c r="I92" s="14">
        <v>1.1101994547354606E-7</v>
      </c>
      <c r="J92" s="14">
        <v>2.3045849699277915E-5</v>
      </c>
      <c r="K92" s="14">
        <v>0</v>
      </c>
    </row>
    <row r="93" spans="1:11">
      <c r="A93" s="2" t="s">
        <v>464</v>
      </c>
      <c r="B93" s="3" t="s">
        <v>465</v>
      </c>
      <c r="D93" s="14">
        <v>2.5548273407317222E-8</v>
      </c>
      <c r="E93" s="14">
        <v>5.0717894930840708E-6</v>
      </c>
      <c r="F93" s="14">
        <v>8.3875625136653078E-6</v>
      </c>
      <c r="G93" s="14">
        <v>1.587564304288558E-6</v>
      </c>
      <c r="H93" s="14">
        <v>0</v>
      </c>
      <c r="I93" s="14">
        <v>2.5328568436807396E-7</v>
      </c>
      <c r="J93" s="14">
        <v>2.4674249731186683E-5</v>
      </c>
      <c r="K93" s="14">
        <v>0</v>
      </c>
    </row>
    <row r="94" spans="1:11">
      <c r="A94" s="2" t="s">
        <v>466</v>
      </c>
      <c r="B94" s="3" t="s">
        <v>467</v>
      </c>
      <c r="D94" s="14">
        <v>8.0718158915792371E-23</v>
      </c>
      <c r="E94" s="14">
        <v>3.9511451206760494E-5</v>
      </c>
      <c r="F94" s="14">
        <v>4.6229322781983456E-7</v>
      </c>
      <c r="G94" s="14">
        <v>6.0751362986812042E-11</v>
      </c>
      <c r="H94" s="14">
        <v>0</v>
      </c>
      <c r="I94" s="14">
        <v>1.9175920495680657E-8</v>
      </c>
      <c r="J94" s="14">
        <v>7.0188935610089441E-9</v>
      </c>
      <c r="K94" s="14">
        <v>0</v>
      </c>
    </row>
    <row r="95" spans="1:11">
      <c r="A95" s="2" t="s">
        <v>468</v>
      </c>
      <c r="B95" s="3" t="s">
        <v>469</v>
      </c>
      <c r="D95" s="14">
        <v>3.7927951341529886E-22</v>
      </c>
      <c r="E95" s="14">
        <v>1.4849746834217616E-6</v>
      </c>
      <c r="F95" s="14">
        <v>1.3150237607828882E-5</v>
      </c>
      <c r="G95" s="14">
        <v>3.2533377715140513E-6</v>
      </c>
      <c r="H95" s="14">
        <v>0</v>
      </c>
      <c r="I95" s="14">
        <v>5.2198963132762495E-7</v>
      </c>
      <c r="J95" s="14">
        <v>2.1589460305907681E-5</v>
      </c>
      <c r="K95" s="14">
        <v>0</v>
      </c>
    </row>
    <row r="96" spans="1:11">
      <c r="A96" s="2" t="s">
        <v>470</v>
      </c>
      <c r="B96" s="163">
        <v>354656</v>
      </c>
      <c r="D96" s="14">
        <v>1.4705453805298481E-14</v>
      </c>
      <c r="E96" s="14">
        <v>3.8775561525327383E-5</v>
      </c>
      <c r="F96" s="14">
        <v>3.9206009979171338E-9</v>
      </c>
      <c r="G96" s="14">
        <v>1.5165202070474017E-9</v>
      </c>
      <c r="H96" s="14">
        <v>0</v>
      </c>
      <c r="I96" s="14">
        <v>1.795204540437453E-8</v>
      </c>
      <c r="J96" s="14">
        <v>1.201049293357832E-6</v>
      </c>
      <c r="K96" s="14">
        <v>0</v>
      </c>
    </row>
    <row r="97" spans="1:11">
      <c r="A97" s="2" t="s">
        <v>472</v>
      </c>
      <c r="B97" s="3" t="s">
        <v>473</v>
      </c>
      <c r="D97" s="14">
        <v>2.2690208807691863E-14</v>
      </c>
      <c r="E97" s="14">
        <v>3.744106184487715E-5</v>
      </c>
      <c r="F97" s="14">
        <v>1.6761493285137689E-8</v>
      </c>
      <c r="G97" s="14">
        <v>5.810429856882295E-9</v>
      </c>
      <c r="H97" s="14">
        <v>0</v>
      </c>
      <c r="I97" s="14">
        <v>1.7988345337305357E-8</v>
      </c>
      <c r="J97" s="14">
        <v>2.5183778639533243E-6</v>
      </c>
      <c r="K97" s="14">
        <v>0</v>
      </c>
    </row>
    <row r="98" spans="1:11">
      <c r="A98" s="2" t="s">
        <v>474</v>
      </c>
      <c r="B98" s="3" t="s">
        <v>475</v>
      </c>
      <c r="D98" s="14">
        <v>7.6601542296801705E-24</v>
      </c>
      <c r="E98" s="14">
        <v>3.0199320993412812E-6</v>
      </c>
      <c r="F98" s="14">
        <v>1.1687233709358972E-5</v>
      </c>
      <c r="G98" s="14">
        <v>2.0778169467809378E-6</v>
      </c>
      <c r="H98" s="14">
        <v>0</v>
      </c>
      <c r="I98" s="14">
        <v>3.3165083320505629E-7</v>
      </c>
      <c r="J98" s="14">
        <v>2.288336641131376E-5</v>
      </c>
      <c r="K98" s="14">
        <v>0</v>
      </c>
    </row>
    <row r="99" spans="1:11">
      <c r="A99" s="2" t="s">
        <v>476</v>
      </c>
      <c r="B99" s="3" t="s">
        <v>477</v>
      </c>
      <c r="D99" s="14">
        <v>6.936478882480425E-12</v>
      </c>
      <c r="E99" s="14">
        <v>3.9647767043979346E-5</v>
      </c>
      <c r="F99" s="14">
        <v>3.2886168928682682E-10</v>
      </c>
      <c r="G99" s="14">
        <v>1.5293568713700847E-10</v>
      </c>
      <c r="H99" s="14">
        <v>0</v>
      </c>
      <c r="I99" s="14">
        <v>1.8147734639149955E-8</v>
      </c>
      <c r="J99" s="14">
        <v>3.335964875262012E-7</v>
      </c>
      <c r="K99" s="14">
        <v>0</v>
      </c>
    </row>
    <row r="100" spans="1:11">
      <c r="A100" s="2" t="s">
        <v>478</v>
      </c>
      <c r="B100" s="3" t="s">
        <v>479</v>
      </c>
      <c r="D100" s="14">
        <v>2.6679038429402084E-15</v>
      </c>
      <c r="E100" s="14">
        <v>2.149363339640855E-5</v>
      </c>
      <c r="F100" s="14">
        <v>1.0996244493462693E-6</v>
      </c>
      <c r="G100" s="14">
        <v>2.6886851150597857E-7</v>
      </c>
      <c r="H100" s="14">
        <v>0</v>
      </c>
      <c r="I100" s="14">
        <v>5.1394786687310495E-8</v>
      </c>
      <c r="J100" s="14">
        <v>1.7086478853383993E-5</v>
      </c>
      <c r="K100" s="14">
        <v>0</v>
      </c>
    </row>
    <row r="101" spans="1:11">
      <c r="A101" s="2" t="s">
        <v>480</v>
      </c>
      <c r="B101" s="3" t="s">
        <v>481</v>
      </c>
      <c r="D101" s="14">
        <v>1.8666330317577813E-15</v>
      </c>
      <c r="E101" s="14">
        <v>3.9421996159642114E-5</v>
      </c>
      <c r="F101" s="14">
        <v>8.8906427952752474E-10</v>
      </c>
      <c r="G101" s="14">
        <v>3.8408621199705945E-10</v>
      </c>
      <c r="H101" s="14">
        <v>0</v>
      </c>
      <c r="I101" s="14">
        <v>1.8078701237938563E-8</v>
      </c>
      <c r="J101" s="14">
        <v>5.5865198676178982E-7</v>
      </c>
      <c r="K101" s="14">
        <v>0</v>
      </c>
    </row>
    <row r="102" spans="1:11">
      <c r="A102" s="2" t="s">
        <v>482</v>
      </c>
      <c r="B102" s="3" t="s">
        <v>483</v>
      </c>
      <c r="D102" s="14">
        <v>1.1729462587349395E-31</v>
      </c>
      <c r="E102" s="14">
        <v>3.983985772938537E-5</v>
      </c>
      <c r="F102" s="14">
        <v>6.3438415816718095E-11</v>
      </c>
      <c r="G102" s="14">
        <v>3.3315618831564403E-11</v>
      </c>
      <c r="H102" s="14">
        <v>0</v>
      </c>
      <c r="I102" s="14">
        <v>1.8217994523819084E-8</v>
      </c>
      <c r="J102" s="14">
        <v>1.4182752205616528E-7</v>
      </c>
      <c r="K102" s="14">
        <v>0</v>
      </c>
    </row>
    <row r="103" spans="1:11">
      <c r="A103" s="2" t="s">
        <v>484</v>
      </c>
      <c r="B103" s="3" t="s">
        <v>485</v>
      </c>
      <c r="D103" s="14">
        <v>9.3563312898550007E-18</v>
      </c>
      <c r="E103" s="14">
        <v>3.9658406085557798E-5</v>
      </c>
      <c r="F103" s="14">
        <v>3.0901517409118022E-10</v>
      </c>
      <c r="G103" s="14">
        <v>1.443694696969134E-10</v>
      </c>
      <c r="H103" s="14">
        <v>0</v>
      </c>
      <c r="I103" s="14">
        <v>1.8151336499873529E-8</v>
      </c>
      <c r="J103" s="14">
        <v>3.2298919328919112E-7</v>
      </c>
      <c r="K103" s="14">
        <v>0</v>
      </c>
    </row>
    <row r="104" spans="1:11">
      <c r="A104" s="2" t="s">
        <v>486</v>
      </c>
      <c r="B104" s="3" t="s">
        <v>487</v>
      </c>
      <c r="D104" s="14">
        <v>1.1546005534885738E-13</v>
      </c>
      <c r="E104" s="14">
        <v>3.8153240123602174E-5</v>
      </c>
      <c r="F104" s="14">
        <v>8.8045259182277713E-9</v>
      </c>
      <c r="G104" s="14">
        <v>3.204804425132519E-9</v>
      </c>
      <c r="H104" s="14">
        <v>0</v>
      </c>
      <c r="I104" s="14">
        <v>1.7920975667171547E-8</v>
      </c>
      <c r="J104" s="14">
        <v>1.8168294549272487E-6</v>
      </c>
      <c r="K104" s="14">
        <v>0</v>
      </c>
    </row>
    <row r="105" spans="1:11">
      <c r="A105" s="2" t="s">
        <v>488</v>
      </c>
      <c r="B105" s="3" t="s">
        <v>489</v>
      </c>
      <c r="D105" s="14">
        <v>9.3284513714580127E-21</v>
      </c>
      <c r="E105" s="14">
        <v>3.9811561912284805E-5</v>
      </c>
      <c r="F105" s="14">
        <v>8.9967109356486557E-11</v>
      </c>
      <c r="G105" s="14">
        <v>4.6044665488008736E-11</v>
      </c>
      <c r="H105" s="14">
        <v>0</v>
      </c>
      <c r="I105" s="14">
        <v>1.8206917249564678E-8</v>
      </c>
      <c r="J105" s="14">
        <v>1.7009515869078105E-7</v>
      </c>
      <c r="K105" s="14">
        <v>0</v>
      </c>
    </row>
    <row r="106" spans="1:11">
      <c r="A106" s="2" t="s">
        <v>490</v>
      </c>
      <c r="B106" s="3" t="s">
        <v>491</v>
      </c>
      <c r="D106" s="14">
        <v>5.2148692927450759E-13</v>
      </c>
      <c r="E106" s="14">
        <v>3.3911194836320615E-5</v>
      </c>
      <c r="F106" s="14">
        <v>9.5393249396318764E-8</v>
      </c>
      <c r="G106" s="14">
        <v>2.8881064593908294E-8</v>
      </c>
      <c r="H106" s="14">
        <v>0</v>
      </c>
      <c r="I106" s="14">
        <v>1.988664623977201E-8</v>
      </c>
      <c r="J106" s="14">
        <v>5.9446436819624566E-6</v>
      </c>
      <c r="K106" s="14">
        <v>0</v>
      </c>
    </row>
    <row r="107" spans="1:11">
      <c r="A107" s="2" t="s">
        <v>492</v>
      </c>
      <c r="B107" s="3" t="s">
        <v>493</v>
      </c>
      <c r="D107" s="14">
        <v>3.9078122937643366E-20</v>
      </c>
      <c r="E107" s="14">
        <v>2.4373245296783195E-6</v>
      </c>
      <c r="F107" s="14">
        <v>1.3055932909808745E-5</v>
      </c>
      <c r="G107" s="14">
        <v>2.2662272902843317E-6</v>
      </c>
      <c r="H107" s="14">
        <v>0</v>
      </c>
      <c r="I107" s="14">
        <v>3.6208819662219451E-7</v>
      </c>
      <c r="J107" s="14">
        <v>2.1878427073606371E-5</v>
      </c>
      <c r="K107" s="14">
        <v>0</v>
      </c>
    </row>
    <row r="108" spans="1:11">
      <c r="A108" s="2" t="s">
        <v>291</v>
      </c>
      <c r="B108" s="3" t="s">
        <v>494</v>
      </c>
      <c r="D108" s="14">
        <v>1.4529716129497506E-14</v>
      </c>
      <c r="E108" s="14">
        <v>2.3401128099350997E-5</v>
      </c>
      <c r="F108" s="14">
        <v>8.4358984738235763E-7</v>
      </c>
      <c r="G108" s="14">
        <v>2.1165420430283781E-7</v>
      </c>
      <c r="H108" s="14">
        <v>0</v>
      </c>
      <c r="I108" s="14">
        <v>4.334830333861404E-8</v>
      </c>
      <c r="J108" s="14">
        <v>1.5500279531095479E-5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F6538-D02F-4E67-B154-D995B548B0BD}">
  <dimension ref="A1:D108"/>
  <sheetViews>
    <sheetView tabSelected="1" topLeftCell="A77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2.1597498170537413E-8</v>
      </c>
      <c r="B2">
        <f>'Mass Balance'!E2</f>
        <v>3.2325548501393305E-5</v>
      </c>
      <c r="C2">
        <f>SUM('Mass Balance'!E2:H2)</f>
        <v>3.2524065394262998E-5</v>
      </c>
      <c r="D2">
        <f>Concentrations!F2/Concentrations!E2</f>
        <v>0.99428391917831194</v>
      </c>
    </row>
    <row r="3" spans="1:4">
      <c r="A3">
        <f>'Mass Balance'!I3</f>
        <v>2.3139909405094517E-6</v>
      </c>
      <c r="B3">
        <f>'Mass Balance'!E3</f>
        <v>1.4041682477972507E-7</v>
      </c>
      <c r="C3">
        <f>SUM('Mass Balance'!E3:H3)</f>
        <v>1.9387004779682231E-5</v>
      </c>
      <c r="D3">
        <f>Concentrations!F3/Concentrations!E3</f>
        <v>7.245656965541877E-3</v>
      </c>
    </row>
    <row r="4" spans="1:4">
      <c r="A4">
        <f>'Mass Balance'!I4</f>
        <v>6.053907020777149E-8</v>
      </c>
      <c r="B4">
        <f>'Mass Balance'!E4</f>
        <v>1.9680039303134804E-5</v>
      </c>
      <c r="C4">
        <f>SUM('Mass Balance'!E4:H4)</f>
        <v>2.140633410260508E-5</v>
      </c>
      <c r="D4">
        <f>Concentrations!F4/Concentrations!E4</f>
        <v>0.91971442972599604</v>
      </c>
    </row>
    <row r="5" spans="1:4">
      <c r="A5">
        <f>'Mass Balance'!I5</f>
        <v>5.8952408239567284E-7</v>
      </c>
      <c r="B5">
        <f>'Mass Balance'!E5</f>
        <v>1.2979374627635179E-6</v>
      </c>
      <c r="C5">
        <f>SUM('Mass Balance'!E5:H5)</f>
        <v>1.76091008867687E-5</v>
      </c>
      <c r="D5">
        <f>Concentrations!F5/Concentrations!E5</f>
        <v>7.3737078138436093E-2</v>
      </c>
    </row>
    <row r="6" spans="1:4">
      <c r="A6">
        <f>'Mass Balance'!I6</f>
        <v>3.0175839539113751E-6</v>
      </c>
      <c r="B6">
        <f>'Mass Balance'!E6</f>
        <v>7.0363693953861396E-8</v>
      </c>
      <c r="C6">
        <f>SUM('Mass Balance'!E6:H6)</f>
        <v>2.1988591051940677E-5</v>
      </c>
      <c r="D6">
        <f>Concentrations!F6/Concentrations!E6</f>
        <v>3.2012571914110171E-3</v>
      </c>
    </row>
    <row r="7" spans="1:4">
      <c r="A7">
        <f>'Mass Balance'!I7</f>
        <v>2.4540145569826992E-6</v>
      </c>
      <c r="B7">
        <f>'Mass Balance'!E7</f>
        <v>1.2946429761323903E-7</v>
      </c>
      <c r="C7">
        <f>SUM('Mass Balance'!E7:H7)</f>
        <v>2.0062535666570595E-5</v>
      </c>
      <c r="D7">
        <f>Concentrations!F7/Concentrations!E7</f>
        <v>6.4555542634555894E-3</v>
      </c>
    </row>
    <row r="8" spans="1:4">
      <c r="A8">
        <f>'Mass Balance'!I8</f>
        <v>1.7859365727354086E-6</v>
      </c>
      <c r="B8">
        <f>'Mass Balance'!E8</f>
        <v>2.629550581723848E-7</v>
      </c>
      <c r="C8">
        <f>SUM('Mass Balance'!E8:H8)</f>
        <v>1.8172400346997044E-5</v>
      </c>
      <c r="D8">
        <f>Concentrations!F8/Concentrations!E8</f>
        <v>1.4475666589305136E-2</v>
      </c>
    </row>
    <row r="9" spans="1:4">
      <c r="A9">
        <f>'Mass Balance'!I9</f>
        <v>2.1059018936019629E-7</v>
      </c>
      <c r="B9">
        <f>'Mass Balance'!E9</f>
        <v>6.6869413801458032E-6</v>
      </c>
      <c r="C9">
        <f>SUM('Mass Balance'!E9:H9)</f>
        <v>1.4710572084221832E-5</v>
      </c>
      <c r="D9">
        <f>Concentrations!F9/Concentrations!E9</f>
        <v>0.45474432916135366</v>
      </c>
    </row>
    <row r="10" spans="1:4">
      <c r="A10">
        <f>'Mass Balance'!I10</f>
        <v>6.2983096760948201E-7</v>
      </c>
      <c r="B10">
        <f>'Mass Balance'!E10</f>
        <v>1.205734112921067E-6</v>
      </c>
      <c r="C10">
        <f>SUM('Mass Balance'!E10:H10)</f>
        <v>1.7492552627492691E-5</v>
      </c>
      <c r="D10">
        <f>Concentrations!F10/Concentrations!E10</f>
        <v>6.895530717026728E-2</v>
      </c>
    </row>
    <row r="11" spans="1:4">
      <c r="A11">
        <f>'Mass Balance'!I11</f>
        <v>7.0108206180977217E-7</v>
      </c>
      <c r="B11">
        <f>'Mass Balance'!E11</f>
        <v>1.0630951565847039E-6</v>
      </c>
      <c r="C11">
        <f>SUM('Mass Balance'!E11:H11)</f>
        <v>1.730964945350793E-5</v>
      </c>
      <c r="D11">
        <f>Concentrations!F11/Concentrations!E11</f>
        <v>6.1440282663387712E-2</v>
      </c>
    </row>
    <row r="12" spans="1:4">
      <c r="A12">
        <f>'Mass Balance'!I12</f>
        <v>2.5562517452970866E-7</v>
      </c>
      <c r="B12">
        <f>'Mass Balance'!E12</f>
        <v>5.0016815730056911E-6</v>
      </c>
      <c r="C12">
        <f>SUM('Mass Balance'!E12:H12)</f>
        <v>1.5085058971790391E-5</v>
      </c>
      <c r="D12">
        <f>Concentrations!F12/Concentrations!E12</f>
        <v>0.33169457264537161</v>
      </c>
    </row>
    <row r="13" spans="1:4">
      <c r="A13">
        <f>'Mass Balance'!I13</f>
        <v>2.1467576077007078E-7</v>
      </c>
      <c r="B13">
        <f>'Mass Balance'!E13</f>
        <v>6.5102904734120644E-6</v>
      </c>
      <c r="C13">
        <f>SUM('Mass Balance'!E13:H13)</f>
        <v>1.4717614019562396E-5</v>
      </c>
      <c r="D13">
        <f>Concentrations!F13/Concentrations!E13</f>
        <v>0.4425193802597488</v>
      </c>
    </row>
    <row r="14" spans="1:4">
      <c r="A14">
        <f>'Mass Balance'!I14</f>
        <v>9.6420030565948139E-7</v>
      </c>
      <c r="B14">
        <f>'Mass Balance'!E14</f>
        <v>7.0971200804857183E-7</v>
      </c>
      <c r="C14">
        <f>SUM('Mass Balance'!E14:H14)</f>
        <v>1.7052984060071513E-5</v>
      </c>
      <c r="D14">
        <f>Concentrations!F14/Concentrations!E14</f>
        <v>4.1634284508650317E-2</v>
      </c>
    </row>
    <row r="15" spans="1:4">
      <c r="A15">
        <f>'Mass Balance'!I15</f>
        <v>6.6481419959498963E-7</v>
      </c>
      <c r="B15">
        <f>'Mass Balance'!E15</f>
        <v>1.1327082391442498E-6</v>
      </c>
      <c r="C15">
        <f>SUM('Mass Balance'!E15:H15)</f>
        <v>1.7398999851304939E-5</v>
      </c>
      <c r="D15">
        <f>Concentrations!F15/Concentrations!E15</f>
        <v>6.512730593821664E-2</v>
      </c>
    </row>
    <row r="16" spans="1:4">
      <c r="A16">
        <f>'Mass Balance'!I16</f>
        <v>1.7554888220827707E-6</v>
      </c>
      <c r="B16">
        <f>'Mass Balance'!E16</f>
        <v>2.708156966575135E-7</v>
      </c>
      <c r="C16">
        <f>SUM('Mass Balance'!E16:H16)</f>
        <v>1.8083006656603213E-5</v>
      </c>
      <c r="D16">
        <f>Concentrations!F16/Concentrations!E16</f>
        <v>1.4982094392090273E-2</v>
      </c>
    </row>
    <row r="17" spans="1:4">
      <c r="A17">
        <f>'Mass Balance'!I17</f>
        <v>6.0285701124547893E-7</v>
      </c>
      <c r="B17">
        <f>'Mass Balance'!E17</f>
        <v>1.2668520137769882E-6</v>
      </c>
      <c r="C17">
        <f>SUM('Mass Balance'!E17:H17)</f>
        <v>1.7572691178067821E-5</v>
      </c>
      <c r="D17">
        <f>Concentrations!F17/Concentrations!E17</f>
        <v>7.2120204192343509E-2</v>
      </c>
    </row>
    <row r="18" spans="1:4">
      <c r="A18">
        <f>'Mass Balance'!I18</f>
        <v>1.9106326606664347E-7</v>
      </c>
      <c r="B18">
        <f>'Mass Balance'!E18</f>
        <v>7.4587117301371163E-6</v>
      </c>
      <c r="C18">
        <f>SUM('Mass Balance'!E18:H18)</f>
        <v>1.4624389892703512E-5</v>
      </c>
      <c r="D18">
        <f>Concentrations!F18/Concentrations!E18</f>
        <v>0.51021756278682484</v>
      </c>
    </row>
    <row r="19" spans="1:4">
      <c r="A19">
        <f>'Mass Balance'!I19</f>
        <v>6.7199427447025084E-7</v>
      </c>
      <c r="B19">
        <f>'Mass Balance'!E19</f>
        <v>1.1185639246445152E-6</v>
      </c>
      <c r="C19">
        <f>SUM('Mass Balance'!E19:H19)</f>
        <v>1.7381535684979551E-5</v>
      </c>
      <c r="D19">
        <f>Concentrations!F19/Concentrations!E19</f>
        <v>6.4378670328433418E-2</v>
      </c>
    </row>
    <row r="20" spans="1:4">
      <c r="A20">
        <f>'Mass Balance'!I20</f>
        <v>2.1475767038339789E-7</v>
      </c>
      <c r="B20">
        <f>'Mass Balance'!E20</f>
        <v>6.5127744770714042E-6</v>
      </c>
      <c r="C20">
        <f>SUM('Mass Balance'!E20:H20)</f>
        <v>1.4723229530457134E-5</v>
      </c>
      <c r="D20">
        <f>Concentrations!F20/Concentrations!E20</f>
        <v>0.44251938025974874</v>
      </c>
    </row>
    <row r="21" spans="1:4">
      <c r="A21">
        <f>'Mass Balance'!I21</f>
        <v>8.7951984659883207E-7</v>
      </c>
      <c r="B21">
        <f>'Mass Balance'!E21</f>
        <v>7.9854751028286298E-7</v>
      </c>
      <c r="C21">
        <f>SUM('Mass Balance'!E21:H21)</f>
        <v>1.7049952796228094E-5</v>
      </c>
      <c r="D21">
        <f>Concentrations!F21/Concentrations!E21</f>
        <v>4.685402634239362E-2</v>
      </c>
    </row>
    <row r="22" spans="1:4">
      <c r="A22">
        <f>'Mass Balance'!I22</f>
        <v>3.4181542875812487E-8</v>
      </c>
      <c r="B22">
        <f>'Mass Balance'!E22</f>
        <v>2.6050847260374076E-5</v>
      </c>
      <c r="C22">
        <f>SUM('Mass Balance'!E22:H22)</f>
        <v>2.6751173041492392E-5</v>
      </c>
      <c r="D22">
        <f>Concentrations!F22/Concentrations!E22</f>
        <v>0.97420052731428097</v>
      </c>
    </row>
    <row r="23" spans="1:4">
      <c r="A23">
        <f>'Mass Balance'!I23</f>
        <v>2.4392271820292069E-8</v>
      </c>
      <c r="B23">
        <f>'Mass Balance'!E23</f>
        <v>3.0435503684129201E-5</v>
      </c>
      <c r="C23">
        <f>SUM('Mass Balance'!E23:H23)</f>
        <v>3.0748802583520203E-5</v>
      </c>
      <c r="D23">
        <f>Concentrations!F23/Concentrations!E23</f>
        <v>0.99019703955724403</v>
      </c>
    </row>
    <row r="24" spans="1:4">
      <c r="A24">
        <f>'Mass Balance'!I24</f>
        <v>1.1236384434319671E-7</v>
      </c>
      <c r="B24">
        <f>'Mass Balance'!E24</f>
        <v>1.2960632703453648E-5</v>
      </c>
      <c r="C24">
        <f>SUM('Mass Balance'!E24:H24)</f>
        <v>1.6767527184245047E-5</v>
      </c>
      <c r="D24">
        <f>Concentrations!F24/Concentrations!E24</f>
        <v>0.7732617400586479</v>
      </c>
    </row>
    <row r="25" spans="1:4">
      <c r="A25">
        <f>'Mass Balance'!I25</f>
        <v>3.0163692766853697E-7</v>
      </c>
      <c r="B25">
        <f>'Mass Balance'!E25</f>
        <v>3.1572497590538296E-6</v>
      </c>
      <c r="C25">
        <f>SUM('Mass Balance'!E25:H25)</f>
        <v>1.5563985634492876E-5</v>
      </c>
      <c r="D25">
        <f>Concentrations!F25/Concentrations!E25</f>
        <v>0.20293523365319427</v>
      </c>
    </row>
    <row r="26" spans="1:4">
      <c r="A26">
        <f>'Mass Balance'!I26</f>
        <v>8.2767826863654735E-7</v>
      </c>
      <c r="B26">
        <f>'Mass Balance'!E26</f>
        <v>8.6431546433697947E-7</v>
      </c>
      <c r="C26">
        <f>SUM('Mass Balance'!E26:H26)</f>
        <v>1.709753887381488E-5</v>
      </c>
      <c r="D26">
        <f>Concentrations!F26/Concentrations!E26</f>
        <v>5.0571754617127318E-2</v>
      </c>
    </row>
    <row r="27" spans="1:4">
      <c r="A27">
        <f>'Mass Balance'!I27</f>
        <v>2.2506211327343861E-6</v>
      </c>
      <c r="B27">
        <f>'Mass Balance'!E27</f>
        <v>1.5346643960937383E-7</v>
      </c>
      <c r="C27">
        <f>SUM('Mass Balance'!E27:H27)</f>
        <v>1.9268147786144578E-5</v>
      </c>
      <c r="D27">
        <f>Concentrations!F27/Concentrations!E27</f>
        <v>7.9678800475457261E-3</v>
      </c>
    </row>
    <row r="28" spans="1:4">
      <c r="A28">
        <f>'Mass Balance'!I28</f>
        <v>1.2469809130040956E-6</v>
      </c>
      <c r="B28">
        <f>'Mass Balance'!E28</f>
        <v>4.8900981218067193E-7</v>
      </c>
      <c r="C28">
        <f>SUM('Mass Balance'!E28:H28)</f>
        <v>1.7202358087181051E-5</v>
      </c>
      <c r="D28">
        <f>Concentrations!F28/Concentrations!E28</f>
        <v>2.8437992026032605E-2</v>
      </c>
    </row>
    <row r="29" spans="1:4">
      <c r="A29">
        <f>'Mass Balance'!I29</f>
        <v>8.2773256051670554E-7</v>
      </c>
      <c r="B29">
        <f>'Mass Balance'!E29</f>
        <v>6.5341008452036592E-7</v>
      </c>
      <c r="C29">
        <f>SUM('Mass Balance'!E29:H29)</f>
        <v>1.5086734780796338E-5</v>
      </c>
      <c r="D29">
        <f>Concentrations!F29/Concentrations!E29</f>
        <v>4.3327129345484813E-2</v>
      </c>
    </row>
    <row r="30" spans="1:4">
      <c r="A30">
        <f>'Mass Balance'!I30</f>
        <v>1.2469809130040956E-6</v>
      </c>
      <c r="B30">
        <f>'Mass Balance'!E30</f>
        <v>4.8900981218067193E-7</v>
      </c>
      <c r="C30">
        <f>SUM('Mass Balance'!E30:H30)</f>
        <v>1.7202358087181051E-5</v>
      </c>
      <c r="D30">
        <f>Concentrations!F30/Concentrations!E30</f>
        <v>2.8437992026032605E-2</v>
      </c>
    </row>
    <row r="31" spans="1:4">
      <c r="A31">
        <f>'Mass Balance'!I31</f>
        <v>1.7992964993424017E-8</v>
      </c>
      <c r="B31">
        <f>'Mass Balance'!E31</f>
        <v>3.9046712388880232E-5</v>
      </c>
      <c r="C31">
        <f>SUM('Mass Balance'!E31:H31)</f>
        <v>3.9050067583410907E-5</v>
      </c>
      <c r="D31">
        <f>Concentrations!F31/Concentrations!E31</f>
        <v>1.0003040382004162</v>
      </c>
    </row>
    <row r="32" spans="1:4">
      <c r="A32">
        <f>'Mass Balance'!I32</f>
        <v>4.9957707164697244E-8</v>
      </c>
      <c r="B32">
        <f>'Mass Balance'!E32</f>
        <v>2.2265989951797611E-5</v>
      </c>
      <c r="C32">
        <f>SUM('Mass Balance'!E32:H32)</f>
        <v>2.3509361380153061E-5</v>
      </c>
      <c r="D32">
        <f>Concentrations!F32/Concentrations!E32</f>
        <v>0.94748101193950551</v>
      </c>
    </row>
    <row r="33" spans="1:4">
      <c r="A33">
        <f>'Mass Balance'!I33</f>
        <v>1.831973632293009E-8</v>
      </c>
      <c r="B33">
        <f>'Mass Balance'!E33</f>
        <v>3.9962584385304275E-5</v>
      </c>
      <c r="C33">
        <f>SUM('Mass Balance'!E33:H33)</f>
        <v>3.9979395669909642E-5</v>
      </c>
      <c r="D33">
        <f>Concentrations!F33/Concentrations!E33</f>
        <v>0.99996932932585081</v>
      </c>
    </row>
    <row r="34" spans="1:4">
      <c r="A34">
        <f>'Mass Balance'!I34</f>
        <v>2.3315950361735772E-8</v>
      </c>
      <c r="B34">
        <f>'Mass Balance'!E34</f>
        <v>3.6925281106049594E-5</v>
      </c>
      <c r="C34">
        <f>SUM('Mass Balance'!E34:H34)</f>
        <v>3.996360469549639E-5</v>
      </c>
      <c r="D34">
        <f>Concentrations!F34/Concentrations!E34</f>
        <v>0.92433307638325413</v>
      </c>
    </row>
    <row r="35" spans="1:4">
      <c r="A35">
        <f>'Mass Balance'!I35</f>
        <v>2.8923769390358959E-8</v>
      </c>
      <c r="B35">
        <f>'Mass Balance'!E35</f>
        <v>3.3060588669684726E-5</v>
      </c>
      <c r="C35">
        <f>SUM('Mass Balance'!E35:H35)</f>
        <v>3.9923197227929881E-5</v>
      </c>
      <c r="D35">
        <f>Concentrations!F35/Concentrations!E35</f>
        <v>0.82842768947332002</v>
      </c>
    </row>
    <row r="36" spans="1:4">
      <c r="A36">
        <f>'Mass Balance'!I36</f>
        <v>4.3389011969614741E-8</v>
      </c>
      <c r="B36">
        <f>'Mass Balance'!E36</f>
        <v>2.187982967405837E-5</v>
      </c>
      <c r="C36">
        <f>SUM('Mass Balance'!E36:H36)</f>
        <v>3.9850439451663067E-5</v>
      </c>
      <c r="D36">
        <f>Concentrations!F36/Concentrations!E36</f>
        <v>0.54926276684845676</v>
      </c>
    </row>
    <row r="37" spans="1:4">
      <c r="A37">
        <f>'Mass Balance'!I37</f>
        <v>6.5915750389365626E-8</v>
      </c>
      <c r="B37">
        <f>'Mass Balance'!E37</f>
        <v>2.371585342491961E-5</v>
      </c>
      <c r="C37">
        <f>SUM('Mass Balance'!E37:H37)</f>
        <v>3.1901497223328542E-5</v>
      </c>
      <c r="D37">
        <f>Concentrations!F37/Concentrations!E37</f>
        <v>0.74369871272051657</v>
      </c>
    </row>
    <row r="38" spans="1:4">
      <c r="A38">
        <f>'Mass Balance'!I38</f>
        <v>2.2462849421828693E-8</v>
      </c>
      <c r="B38">
        <f>'Mass Balance'!E38</f>
        <v>3.7516378577088621E-5</v>
      </c>
      <c r="C38">
        <f>SUM('Mass Balance'!E38:H38)</f>
        <v>3.9862757436495163E-5</v>
      </c>
      <c r="D38">
        <f>Concentrations!F38/Concentrations!E38</f>
        <v>0.94150560772638303</v>
      </c>
    </row>
    <row r="39" spans="1:4">
      <c r="A39">
        <f>'Mass Balance'!I39</f>
        <v>3.9636160399004263E-7</v>
      </c>
      <c r="B39">
        <f>'Mass Balance'!E39</f>
        <v>1.9717381151298489E-6</v>
      </c>
      <c r="C39">
        <f>SUM('Mass Balance'!E39:H39)</f>
        <v>1.8634088950464343E-5</v>
      </c>
      <c r="D39">
        <f>Concentrations!F39/Concentrations!E39</f>
        <v>0.10585476341410865</v>
      </c>
    </row>
    <row r="40" spans="1:4">
      <c r="A40">
        <f>'Mass Balance'!I40</f>
        <v>4.2703676946125621E-6</v>
      </c>
      <c r="B40">
        <f>'Mass Balance'!E40</f>
        <v>3.5251330295336484E-7</v>
      </c>
      <c r="C40">
        <f>SUM('Mass Balance'!E40:H40)</f>
        <v>3.4721394289027408E-5</v>
      </c>
      <c r="D40">
        <f>Concentrations!F40/Concentrations!E40</f>
        <v>1.0156584652045905E-2</v>
      </c>
    </row>
    <row r="41" spans="1:4">
      <c r="A41">
        <f>'Mass Balance'!I41</f>
        <v>1.6712739941369371E-8</v>
      </c>
      <c r="B41">
        <f>'Mass Balance'!E41</f>
        <v>3.6540035945817868E-5</v>
      </c>
      <c r="C41">
        <f>SUM('Mass Balance'!E41:H41)</f>
        <v>3.6540203220430968E-5</v>
      </c>
      <c r="D41">
        <f>Concentrations!F41/Concentrations!E41</f>
        <v>1.0003854124253488</v>
      </c>
    </row>
    <row r="42" spans="1:4">
      <c r="A42">
        <f>'Mass Balance'!I42</f>
        <v>3.7758392736632571E-8</v>
      </c>
      <c r="B42">
        <f>'Mass Balance'!E42</f>
        <v>2.4975914050956751E-5</v>
      </c>
      <c r="C42">
        <f>SUM('Mass Balance'!E42:H42)</f>
        <v>2.5813945092374466E-5</v>
      </c>
      <c r="D42">
        <f>Concentrations!F42/Concentrations!E42</f>
        <v>0.96791305509794801</v>
      </c>
    </row>
    <row r="43" spans="1:4">
      <c r="A43">
        <f>'Mass Balance'!I43</f>
        <v>1.3158236237077923E-7</v>
      </c>
      <c r="B43">
        <f>'Mass Balance'!E43</f>
        <v>3.2559804954018057E-6</v>
      </c>
      <c r="C43">
        <f>SUM('Mass Balance'!E43:H43)</f>
        <v>3.9713144868780055E-5</v>
      </c>
      <c r="D43">
        <f>Concentrations!F43/Concentrations!E43</f>
        <v>8.2019450049147971E-2</v>
      </c>
    </row>
    <row r="44" spans="1:4">
      <c r="A44">
        <f>'Mass Balance'!I44</f>
        <v>1.7943298332155341E-8</v>
      </c>
      <c r="B44">
        <f>'Mass Balance'!E44</f>
        <v>3.1210139391177116E-5</v>
      </c>
      <c r="C44">
        <f>SUM('Mass Balance'!E44:H44)</f>
        <v>3.131380620938208E-5</v>
      </c>
      <c r="D44">
        <f>Concentrations!F44/Concentrations!E44</f>
        <v>0.99707812228781301</v>
      </c>
    </row>
    <row r="45" spans="1:4">
      <c r="A45">
        <f>'Mass Balance'!I45</f>
        <v>4.1325986584196861E-8</v>
      </c>
      <c r="B45">
        <f>'Mass Balance'!E45</f>
        <v>2.3913781097288543E-5</v>
      </c>
      <c r="C45">
        <f>SUM('Mass Balance'!E45:H45)</f>
        <v>2.4890946534113164E-5</v>
      </c>
      <c r="D45">
        <f>Concentrations!F45/Concentrations!E45</f>
        <v>0.96111681605375676</v>
      </c>
    </row>
    <row r="46" spans="1:4">
      <c r="A46">
        <f>'Mass Balance'!I46</f>
        <v>3.8958339702329686E-8</v>
      </c>
      <c r="B46">
        <f>'Mass Balance'!E46</f>
        <v>2.4529461535057824E-5</v>
      </c>
      <c r="C46">
        <f>SUM('Mass Balance'!E46:H46)</f>
        <v>2.5415633212656364E-5</v>
      </c>
      <c r="D46">
        <f>Concentrations!F46/Concentrations!E46</f>
        <v>0.96550920546992725</v>
      </c>
    </row>
    <row r="47" spans="1:4">
      <c r="A47">
        <f>'Mass Balance'!I47</f>
        <v>2.359203574344586E-6</v>
      </c>
      <c r="B47">
        <f>'Mass Balance'!E47</f>
        <v>1.4316040271337951E-7</v>
      </c>
      <c r="C47">
        <f>SUM('Mass Balance'!E47:H47)</f>
        <v>1.9765803820300257E-5</v>
      </c>
      <c r="D47">
        <f>Concentrations!F47/Concentrations!E47</f>
        <v>7.2456569655418761E-3</v>
      </c>
    </row>
    <row r="48" spans="1:4">
      <c r="A48">
        <f>'Mass Balance'!I48</f>
        <v>1.7915359750013923E-8</v>
      </c>
      <c r="B48">
        <f>'Mass Balance'!E48</f>
        <v>3.6400045619102087E-5</v>
      </c>
      <c r="C48">
        <f>SUM('Mass Balance'!E48:H48)</f>
        <v>3.6433759704641252E-5</v>
      </c>
      <c r="D48">
        <f>Concentrations!F48/Concentrations!E48</f>
        <v>0.99946427824493811</v>
      </c>
    </row>
    <row r="49" spans="1:4">
      <c r="A49">
        <f>'Mass Balance'!I49</f>
        <v>1.81674145840763E-8</v>
      </c>
      <c r="B49">
        <f>'Mass Balance'!E49</f>
        <v>3.4944265720769657E-5</v>
      </c>
      <c r="C49">
        <f>SUM('Mass Balance'!E49:H49)</f>
        <v>3.5004058021419875E-5</v>
      </c>
      <c r="D49">
        <f>Concentrations!F49/Concentrations!E49</f>
        <v>0.99868117247035759</v>
      </c>
    </row>
    <row r="50" spans="1:4">
      <c r="A50">
        <f>'Mass Balance'!I50</f>
        <v>1.8364443637227047E-7</v>
      </c>
      <c r="B50">
        <f>'Mass Balance'!E50</f>
        <v>7.6787763920658534E-6</v>
      </c>
      <c r="C50">
        <f>SUM('Mass Balance'!E50:H50)</f>
        <v>1.452901745365093E-5</v>
      </c>
      <c r="D50">
        <f>Concentrations!F50/Concentrations!E50</f>
        <v>0.52871923915014007</v>
      </c>
    </row>
    <row r="51" spans="1:4">
      <c r="A51">
        <f>'Mass Balance'!I51</f>
        <v>1.6771381174289388E-8</v>
      </c>
      <c r="B51">
        <f>'Mass Balance'!E51</f>
        <v>3.6180962219039346E-5</v>
      </c>
      <c r="C51">
        <f>SUM('Mass Balance'!E51:H51)</f>
        <v>3.6186557744249761E-5</v>
      </c>
      <c r="D51">
        <f>Concentrations!F51/Concentrations!E51</f>
        <v>1.0002353017912216</v>
      </c>
    </row>
    <row r="52" spans="1:4">
      <c r="A52">
        <f>'Mass Balance'!I52</f>
        <v>1.995914325271357E-8</v>
      </c>
      <c r="B52">
        <f>'Mass Balance'!E52</f>
        <v>3.0092419623089239E-5</v>
      </c>
      <c r="C52">
        <f>SUM('Mass Balance'!E52:H52)</f>
        <v>3.0272733544828206E-5</v>
      </c>
      <c r="D52">
        <f>Concentrations!F52/Concentrations!E52</f>
        <v>0.99443135462023413</v>
      </c>
    </row>
    <row r="53" spans="1:4">
      <c r="A53">
        <f>'Mass Balance'!I53</f>
        <v>5.5957139323159617E-8</v>
      </c>
      <c r="B53">
        <f>'Mass Balance'!E53</f>
        <v>2.0466000570969023E-5</v>
      </c>
      <c r="C53">
        <f>SUM('Mass Balance'!E53:H53)</f>
        <v>2.2014429094159208E-5</v>
      </c>
      <c r="D53">
        <f>Concentrations!F53/Concentrations!E53</f>
        <v>0.93002557825139109</v>
      </c>
    </row>
    <row r="54" spans="1:4">
      <c r="A54">
        <f>'Mass Balance'!I54</f>
        <v>2.0785873117008466E-6</v>
      </c>
      <c r="B54">
        <f>'Mass Balance'!E54</f>
        <v>1.9194508806335138E-7</v>
      </c>
      <c r="C54">
        <f>SUM('Mass Balance'!E54:H54)</f>
        <v>1.892592288316528E-5</v>
      </c>
      <c r="D54">
        <f>Concentrations!F54/Concentrations!E54</f>
        <v>1.0145869572868194E-2</v>
      </c>
    </row>
    <row r="55" spans="1:4">
      <c r="A55">
        <f>'Mass Balance'!I55</f>
        <v>9.3170890777629098E-8</v>
      </c>
      <c r="B55">
        <f>'Mass Balance'!E55</f>
        <v>9.4081475976069291E-6</v>
      </c>
      <c r="C55">
        <f>SUM('Mass Balance'!E55:H55)</f>
        <v>1.2612594993617989E-5</v>
      </c>
      <c r="D55">
        <f>Concentrations!F55/Concentrations!E55</f>
        <v>0.74622365222951759</v>
      </c>
    </row>
    <row r="56" spans="1:4">
      <c r="A56">
        <f>'Mass Balance'!I56</f>
        <v>4.2394577589837472E-8</v>
      </c>
      <c r="B56">
        <f>'Mass Balance'!E56</f>
        <v>8.8905926038482105E-7</v>
      </c>
      <c r="C56">
        <f>SUM('Mass Balance'!E56:H56)</f>
        <v>2.5533260786768459E-6</v>
      </c>
      <c r="D56">
        <f>Concentrations!F56/Concentrations!E56</f>
        <v>0.34833231597096381</v>
      </c>
    </row>
    <row r="57" spans="1:4">
      <c r="A57">
        <f>'Mass Balance'!I57</f>
        <v>1.7669750623233315E-8</v>
      </c>
      <c r="B57">
        <f>'Mass Balance'!E57</f>
        <v>1.3336638400844227E-6</v>
      </c>
      <c r="C57">
        <f>SUM('Mass Balance'!E57:H57)</f>
        <v>1.9597701286703126E-6</v>
      </c>
      <c r="D57">
        <f>Concentrations!F57/Concentrations!E57</f>
        <v>0.68078594465769404</v>
      </c>
    </row>
    <row r="58" spans="1:4">
      <c r="A58">
        <f>'Mass Balance'!I58</f>
        <v>1.2750586507934998E-9</v>
      </c>
      <c r="B58">
        <f>'Mass Balance'!E58</f>
        <v>2.3771771123765399E-6</v>
      </c>
      <c r="C58">
        <f>SUM('Mass Balance'!E58:H58)</f>
        <v>2.3823771019071296E-6</v>
      </c>
      <c r="D58">
        <f>Concentrations!F58/Concentrations!E58</f>
        <v>0.99820645128398888</v>
      </c>
    </row>
    <row r="59" spans="1:4">
      <c r="A59">
        <f>'Mass Balance'!I59</f>
        <v>6.2509927280071438E-9</v>
      </c>
      <c r="B59">
        <f>'Mass Balance'!E59</f>
        <v>5.0474123340245911E-7</v>
      </c>
      <c r="C59">
        <f>SUM('Mass Balance'!E59:H59)</f>
        <v>7.2478494910158187E-7</v>
      </c>
      <c r="D59">
        <f>Concentrations!F59/Concentrations!E59</f>
        <v>0.69667296359957631</v>
      </c>
    </row>
    <row r="60" spans="1:4">
      <c r="A60">
        <f>'Mass Balance'!I60</f>
        <v>1.0759447999312711E-10</v>
      </c>
      <c r="B60">
        <f>'Mass Balance'!E60</f>
        <v>1.7988132205675714E-8</v>
      </c>
      <c r="C60">
        <f>SUM('Mass Balance'!E60:H60)</f>
        <v>2.1461713553221059E-8</v>
      </c>
      <c r="D60">
        <f>Concentrations!F60/Concentrations!E60</f>
        <v>0.83847673156790326</v>
      </c>
    </row>
    <row r="61" spans="1:4">
      <c r="A61">
        <f>'Mass Balance'!I61</f>
        <v>7.5236629200418694E-8</v>
      </c>
      <c r="B61">
        <f>'Mass Balance'!E61</f>
        <v>1.7293381287345086E-5</v>
      </c>
      <c r="C61">
        <f>SUM('Mass Balance'!E61:H61)</f>
        <v>1.9600133133461065E-5</v>
      </c>
      <c r="D61">
        <f>Concentrations!F61/Concentrations!E61</f>
        <v>0.88265347232576219</v>
      </c>
    </row>
    <row r="62" spans="1:4">
      <c r="A62">
        <f>'Mass Balance'!I62</f>
        <v>9.4549420222735934E-7</v>
      </c>
      <c r="B62">
        <f>'Mass Balance'!E62</f>
        <v>7.2916830499201179E-7</v>
      </c>
      <c r="C62">
        <f>SUM('Mass Balance'!E62:H62)</f>
        <v>1.7060166716574935E-5</v>
      </c>
      <c r="D62">
        <f>Concentrations!F62/Concentrations!E62</f>
        <v>4.275765219305034E-2</v>
      </c>
    </row>
    <row r="63" spans="1:4">
      <c r="A63">
        <f>'Mass Balance'!I63</f>
        <v>2.8559809341301343E-6</v>
      </c>
      <c r="B63">
        <f>'Mass Balance'!E63</f>
        <v>8.4092104659945183E-8</v>
      </c>
      <c r="C63">
        <f>SUM('Mass Balance'!E63:H63)</f>
        <v>2.1411228241620708E-5</v>
      </c>
      <c r="D63">
        <f>Concentrations!F63/Concentrations!E63</f>
        <v>3.9290086006088304E-3</v>
      </c>
    </row>
    <row r="64" spans="1:4">
      <c r="A64">
        <f>'Mass Balance'!I64</f>
        <v>3.6582805137379145E-6</v>
      </c>
      <c r="B64">
        <f>'Mass Balance'!E64</f>
        <v>3.2778233554054947E-8</v>
      </c>
      <c r="C64">
        <f>SUM('Mass Balance'!E64:H64)</f>
        <v>2.4424933664641587E-5</v>
      </c>
      <c r="D64">
        <f>Concentrations!F64/Concentrations!E64</f>
        <v>1.3425222460896706E-3</v>
      </c>
    </row>
    <row r="65" spans="1:4">
      <c r="A65">
        <f>'Mass Balance'!I65</f>
        <v>4.4346462233968048E-6</v>
      </c>
      <c r="B65">
        <f>'Mass Balance'!E65</f>
        <v>1.0269269603134413E-8</v>
      </c>
      <c r="C65">
        <f>SUM('Mass Balance'!E65:H65)</f>
        <v>2.7615325610981702E-5</v>
      </c>
      <c r="D65">
        <f>Concentrations!F65/Concentrations!E65</f>
        <v>3.7201352181030864E-4</v>
      </c>
    </row>
    <row r="66" spans="1:4">
      <c r="A66">
        <f>'Mass Balance'!I66</f>
        <v>4.0163158585012984E-6</v>
      </c>
      <c r="B66">
        <f>'Mass Balance'!E66</f>
        <v>2.0084019632119714E-8</v>
      </c>
      <c r="C66">
        <f>SUM('Mass Balance'!E66:H66)</f>
        <v>2.5870372888480386E-5</v>
      </c>
      <c r="D66">
        <f>Concentrations!F66/Concentrations!E66</f>
        <v>7.766355872181269E-4</v>
      </c>
    </row>
    <row r="67" spans="1:4">
      <c r="A67">
        <f>'Mass Balance'!I67</f>
        <v>2.0051981714500528E-8</v>
      </c>
      <c r="B67">
        <f>'Mass Balance'!E67</f>
        <v>3.3471676402390883E-5</v>
      </c>
      <c r="C67">
        <f>SUM('Mass Balance'!E67:H67)</f>
        <v>3.3607012663507746E-5</v>
      </c>
      <c r="D67">
        <f>Concentrations!F67/Concentrations!E67</f>
        <v>0.99636139709402005</v>
      </c>
    </row>
    <row r="68" spans="1:4">
      <c r="A68">
        <f>'Mass Balance'!I68</f>
        <v>2.2401174037783482E-8</v>
      </c>
      <c r="B68">
        <f>'Mass Balance'!E68</f>
        <v>3.1225649895600992E-5</v>
      </c>
      <c r="C68">
        <f>SUM('Mass Balance'!E68:H68)</f>
        <v>3.1464920503592663E-5</v>
      </c>
      <c r="D68">
        <f>Concentrations!F68/Concentrations!E68</f>
        <v>0.99278266559629347</v>
      </c>
    </row>
    <row r="69" spans="1:4">
      <c r="A69">
        <f>'Mass Balance'!I69</f>
        <v>1.7066838129642774E-6</v>
      </c>
      <c r="B69">
        <f>'Mass Balance'!E69</f>
        <v>2.8237033618524966E-7</v>
      </c>
      <c r="C69">
        <f>SUM('Mass Balance'!E69:H69)</f>
        <v>1.7913950017479577E-5</v>
      </c>
      <c r="D69">
        <f>Concentrations!F69/Concentrations!E69</f>
        <v>1.5768742130658427E-2</v>
      </c>
    </row>
    <row r="70" spans="1:4">
      <c r="A70">
        <f>'Mass Balance'!I70</f>
        <v>2.9315814305321246E-7</v>
      </c>
      <c r="B70">
        <f>'Mass Balance'!E70</f>
        <v>3.7810346766924154E-6</v>
      </c>
      <c r="C70">
        <f>SUM('Mass Balance'!E70:H70)</f>
        <v>1.5674928724373399E-5</v>
      </c>
      <c r="D70">
        <f>Concentrations!F70/Concentrations!E70</f>
        <v>0.2413095023658347</v>
      </c>
    </row>
    <row r="71" spans="1:4">
      <c r="A71">
        <f>'Mass Balance'!I71</f>
        <v>2.1582347610834523E-8</v>
      </c>
      <c r="B71">
        <f>'Mass Balance'!E71</f>
        <v>3.108874776137641E-5</v>
      </c>
      <c r="C71">
        <f>SUM('Mass Balance'!E71:H71)</f>
        <v>3.1304649298273239E-5</v>
      </c>
      <c r="D71">
        <f>Concentrations!F71/Concentrations!E71</f>
        <v>0.99349051410971356</v>
      </c>
    </row>
    <row r="72" spans="1:4">
      <c r="A72">
        <f>'Mass Balance'!I72</f>
        <v>2.6770631961405521E-7</v>
      </c>
      <c r="B72">
        <f>'Mass Balance'!E72</f>
        <v>4.0609035190724257E-6</v>
      </c>
      <c r="C72">
        <f>SUM('Mass Balance'!E72:H72)</f>
        <v>1.4805401864566434E-5</v>
      </c>
      <c r="D72">
        <f>Concentrations!F72/Concentrations!E72</f>
        <v>0.27439223036697241</v>
      </c>
    </row>
    <row r="73" spans="1:4">
      <c r="A73">
        <f>'Mass Balance'!I73</f>
        <v>7.8578453191929135E-8</v>
      </c>
      <c r="B73">
        <f>'Mass Balance'!E73</f>
        <v>1.6261482798847226E-5</v>
      </c>
      <c r="C73">
        <f>SUM('Mass Balance'!E73:H73)</f>
        <v>1.8715244252917347E-5</v>
      </c>
      <c r="D73">
        <f>Concentrations!F73/Concentrations!E73</f>
        <v>0.86922855121551568</v>
      </c>
    </row>
    <row r="74" spans="1:4">
      <c r="A74">
        <f>'Mass Balance'!I74</f>
        <v>2.8682267973962652E-7</v>
      </c>
      <c r="B74">
        <f>'Mass Balance'!E74</f>
        <v>3.8748931901060536E-6</v>
      </c>
      <c r="C74">
        <f>SUM('Mass Balance'!E74:H74)</f>
        <v>1.5476035789572378E-5</v>
      </c>
      <c r="D74">
        <f>Concentrations!F74/Concentrations!E74</f>
        <v>0.25047786269637617</v>
      </c>
    </row>
    <row r="75" spans="1:4">
      <c r="A75">
        <f>'Mass Balance'!I75</f>
        <v>4.4594816999821702E-7</v>
      </c>
      <c r="B75">
        <f>'Mass Balance'!E75</f>
        <v>1.6494721826194908E-6</v>
      </c>
      <c r="C75">
        <f>SUM('Mass Balance'!E75:H75)</f>
        <v>3.9522244644160147E-5</v>
      </c>
      <c r="D75">
        <f>Concentrations!F75/Concentrations!E75</f>
        <v>4.1751562404633215E-2</v>
      </c>
    </row>
    <row r="76" spans="1:4">
      <c r="A76">
        <f>'Mass Balance'!I76</f>
        <v>4.459481722752084E-7</v>
      </c>
      <c r="B76">
        <f>'Mass Balance'!E76</f>
        <v>1.649472191041622E-6</v>
      </c>
      <c r="C76">
        <f>SUM('Mass Balance'!E76:H76)</f>
        <v>3.9522244845958956E-5</v>
      </c>
      <c r="D76">
        <f>Concentrations!F76/Concentrations!E76</f>
        <v>4.1751562404633201E-2</v>
      </c>
    </row>
    <row r="77" spans="1:4">
      <c r="A77">
        <f>'Mass Balance'!I77</f>
        <v>1.4915740806124285E-7</v>
      </c>
      <c r="B77">
        <f>'Mass Balance'!E77</f>
        <v>8.9803634626951627E-6</v>
      </c>
      <c r="C77">
        <f>SUM('Mass Balance'!E77:H77)</f>
        <v>1.4376890351132855E-5</v>
      </c>
      <c r="D77">
        <f>Concentrations!F77/Concentrations!E77</f>
        <v>0.62488239900950349</v>
      </c>
    </row>
    <row r="78" spans="1:4">
      <c r="A78">
        <f>'Mass Balance'!I78</f>
        <v>3.4731684598241161E-8</v>
      </c>
      <c r="B78">
        <f>'Mass Balance'!E78</f>
        <v>2.4495955961947418E-5</v>
      </c>
      <c r="C78">
        <f>SUM('Mass Balance'!E78:H78)</f>
        <v>2.5240770728118455E-5</v>
      </c>
      <c r="D78">
        <f>Concentrations!F78/Concentrations!E78</f>
        <v>0.97087008370748928</v>
      </c>
    </row>
    <row r="79" spans="1:4">
      <c r="A79">
        <f>'Mass Balance'!I79</f>
        <v>5.693398622387824E-8</v>
      </c>
      <c r="B79">
        <f>'Mass Balance'!E79</f>
        <v>2.0026859857176107E-5</v>
      </c>
      <c r="C79">
        <f>SUM('Mass Balance'!E79:H79)</f>
        <v>2.1618630139574833E-5</v>
      </c>
      <c r="D79">
        <f>Concentrations!F79/Concentrations!E79</f>
        <v>0.92673171443555513</v>
      </c>
    </row>
    <row r="80" spans="1:4">
      <c r="A80">
        <f>'Mass Balance'!I80</f>
        <v>8.6658783037675453E-7</v>
      </c>
      <c r="B80">
        <f>'Mass Balance'!E80</f>
        <v>1.1198466375701327E-6</v>
      </c>
      <c r="C80">
        <f>SUM('Mass Balance'!E80:H80)</f>
        <v>3.909459384561512E-5</v>
      </c>
      <c r="D80">
        <f>Concentrations!F80/Concentrations!E80</f>
        <v>2.8655710640265231E-2</v>
      </c>
    </row>
    <row r="81" spans="1:4">
      <c r="A81">
        <f>'Mass Balance'!I81</f>
        <v>1.7957667700156131E-8</v>
      </c>
      <c r="B81">
        <f>'Mass Balance'!E81</f>
        <v>3.8820644684841045E-5</v>
      </c>
      <c r="C81">
        <f>SUM('Mass Balance'!E81:H81)</f>
        <v>3.8825702516891728E-5</v>
      </c>
      <c r="D81">
        <f>Concentrations!F81/Concentrations!E81</f>
        <v>1.0002596710296734</v>
      </c>
    </row>
    <row r="82" spans="1:4">
      <c r="A82">
        <f>'Mass Balance'!I82</f>
        <v>2.4066898317149365E-8</v>
      </c>
      <c r="B82">
        <f>'Mass Balance'!E82</f>
        <v>3.0629158346972789E-5</v>
      </c>
      <c r="C82">
        <f>SUM('Mass Balance'!E82:H82)</f>
        <v>3.0929312361050025E-5</v>
      </c>
      <c r="D82">
        <f>Concentrations!F82/Concentrations!E82</f>
        <v>0.99068169111119364</v>
      </c>
    </row>
    <row r="83" spans="1:4">
      <c r="A83">
        <f>'Mass Balance'!I83</f>
        <v>1.3892119959750039E-7</v>
      </c>
      <c r="B83">
        <f>'Mass Balance'!E83</f>
        <v>1.0724092050147025E-5</v>
      </c>
      <c r="C83">
        <f>SUM('Mass Balance'!E83:H83)</f>
        <v>1.5635901486878505E-5</v>
      </c>
      <c r="D83">
        <f>Concentrations!F83/Concentrations!E83</f>
        <v>0.68613084890735798</v>
      </c>
    </row>
    <row r="84" spans="1:4">
      <c r="A84">
        <f>'Mass Balance'!I84</f>
        <v>1.798316397439054E-8</v>
      </c>
      <c r="B84">
        <f>'Mass Balance'!E84</f>
        <v>3.7472140536974585E-5</v>
      </c>
      <c r="C84">
        <f>SUM('Mass Balance'!E84:H84)</f>
        <v>3.7494183754362973E-5</v>
      </c>
      <c r="D84">
        <f>Concentrations!F84/Concentrations!E84</f>
        <v>0.99980185243897646</v>
      </c>
    </row>
    <row r="85" spans="1:4">
      <c r="A85">
        <f>'Mass Balance'!I85</f>
        <v>1.8100728688309058E-8</v>
      </c>
      <c r="B85">
        <f>'Mass Balance'!E85</f>
        <v>3.9499097922028453E-5</v>
      </c>
      <c r="C85">
        <f>SUM('Mass Balance'!E85:H85)</f>
        <v>3.9500060939942394E-5</v>
      </c>
      <c r="D85">
        <f>Concentrations!F85/Concentrations!E85</f>
        <v>1.0003656023636858</v>
      </c>
    </row>
    <row r="86" spans="1:4">
      <c r="A86">
        <f>'Mass Balance'!I86</f>
        <v>1.797357112749637E-8</v>
      </c>
      <c r="B86">
        <f>'Mass Balance'!E86</f>
        <v>3.7533227597430372E-5</v>
      </c>
      <c r="C86">
        <f>SUM('Mass Balance'!E86:H86)</f>
        <v>3.7554249663235045E-5</v>
      </c>
      <c r="D86">
        <f>Concentrations!F86/Concentrations!E86</f>
        <v>0.99982999511187021</v>
      </c>
    </row>
    <row r="87" spans="1:4">
      <c r="A87">
        <f>'Mass Balance'!I87</f>
        <v>2.5500757129010499E-6</v>
      </c>
      <c r="B87">
        <f>'Mass Balance'!E87</f>
        <v>1.169609736345136E-7</v>
      </c>
      <c r="C87">
        <f>SUM('Mass Balance'!E87:H87)</f>
        <v>2.0374009164095042E-5</v>
      </c>
      <c r="D87">
        <f>Concentrations!F87/Concentrations!E87</f>
        <v>5.742933879149207E-3</v>
      </c>
    </row>
    <row r="88" spans="1:4">
      <c r="A88">
        <f>'Mass Balance'!I88</f>
        <v>3.1282244887636484E-8</v>
      </c>
      <c r="B88">
        <f>'Mass Balance'!E88</f>
        <v>2.7196424361794519E-5</v>
      </c>
      <c r="C88">
        <f>SUM('Mass Balance'!E88:H88)</f>
        <v>2.7782224138361946E-5</v>
      </c>
      <c r="D88">
        <f>Concentrations!F88/Concentrations!E88</f>
        <v>0.97929635205464505</v>
      </c>
    </row>
    <row r="89" spans="1:4">
      <c r="A89">
        <f>'Mass Balance'!I89</f>
        <v>2.5088548264253672E-8</v>
      </c>
      <c r="B89">
        <f>'Mass Balance'!E89</f>
        <v>3.0042383604724979E-5</v>
      </c>
      <c r="C89">
        <f>SUM('Mass Balance'!E89:H89)</f>
        <v>3.03836192184143E-5</v>
      </c>
      <c r="D89">
        <f>Concentrations!F89/Concentrations!E89</f>
        <v>0.98915470467762667</v>
      </c>
    </row>
    <row r="90" spans="1:4">
      <c r="A90">
        <f>'Mass Balance'!I90</f>
        <v>1.8921323877638618E-8</v>
      </c>
      <c r="B90">
        <f>'Mass Balance'!E90</f>
        <v>3.5153786108284574E-5</v>
      </c>
      <c r="C90">
        <f>SUM('Mass Balance'!E90:H90)</f>
        <v>3.523259617104627E-5</v>
      </c>
      <c r="D90">
        <f>Concentrations!F90/Concentrations!E90</f>
        <v>0.99815226882852792</v>
      </c>
    </row>
    <row r="91" spans="1:4">
      <c r="A91">
        <f>'Mass Balance'!I91</f>
        <v>1.0430352415574536E-6</v>
      </c>
      <c r="B91">
        <f>'Mass Balance'!E91</f>
        <v>6.3708084070093825E-7</v>
      </c>
      <c r="C91">
        <f>SUM('Mass Balance'!E91:H91)</f>
        <v>1.7065366569173579E-5</v>
      </c>
      <c r="D91">
        <f>Concentrations!F91/Concentrations!E91</f>
        <v>3.7346358460614341E-2</v>
      </c>
    </row>
    <row r="92" spans="1:4">
      <c r="A92">
        <f>'Mass Balance'!I92</f>
        <v>1.1101994547354606E-7</v>
      </c>
      <c r="B92">
        <f>'Mass Balance'!E92</f>
        <v>1.3091517447382487E-5</v>
      </c>
      <c r="C92">
        <f>SUM('Mass Balance'!E92:H92)</f>
        <v>1.6843130028276721E-5</v>
      </c>
      <c r="D92">
        <f>Concentrations!F92/Concentrations!E92</f>
        <v>0.7775646814410051</v>
      </c>
    </row>
    <row r="93" spans="1:4">
      <c r="A93">
        <f>'Mass Balance'!I93</f>
        <v>2.5328568436807396E-7</v>
      </c>
      <c r="B93">
        <f>'Mass Balance'!E93</f>
        <v>5.0717894930840708E-6</v>
      </c>
      <c r="C93">
        <f>SUM('Mass Balance'!E93:H93)</f>
        <v>1.5046916311037937E-5</v>
      </c>
      <c r="D93">
        <f>Concentrations!F93/Concentrations!E93</f>
        <v>0.33719649566104476</v>
      </c>
    </row>
    <row r="94" spans="1:4">
      <c r="A94">
        <f>'Mass Balance'!I94</f>
        <v>1.9175920495680657E-8</v>
      </c>
      <c r="B94">
        <f>'Mass Balance'!E94</f>
        <v>3.9511451206760494E-5</v>
      </c>
      <c r="C94">
        <f>SUM('Mass Balance'!E94:H94)</f>
        <v>3.9973805185943316E-5</v>
      </c>
      <c r="D94">
        <f>Concentrations!F94/Concentrations!E94</f>
        <v>0.98881905723355978</v>
      </c>
    </row>
    <row r="95" spans="1:4">
      <c r="A95">
        <f>'Mass Balance'!I95</f>
        <v>5.2198963132762495E-7</v>
      </c>
      <c r="B95">
        <f>'Mass Balance'!E95</f>
        <v>1.4849746834217616E-6</v>
      </c>
      <c r="C95">
        <f>SUM('Mass Balance'!E95:H95)</f>
        <v>1.7888550062764694E-5</v>
      </c>
      <c r="D95">
        <f>Concentrations!F95/Concentrations!E95</f>
        <v>8.3044953699848864E-2</v>
      </c>
    </row>
    <row r="96" spans="1:4">
      <c r="A96">
        <f>'Mass Balance'!I96</f>
        <v>1.795204540437453E-8</v>
      </c>
      <c r="B96">
        <f>'Mass Balance'!E96</f>
        <v>3.8775561525327383E-5</v>
      </c>
      <c r="C96">
        <f>SUM('Mass Balance'!E96:H96)</f>
        <v>3.8780998646532349E-5</v>
      </c>
      <c r="D96">
        <f>Concentrations!F96/Concentrations!E96</f>
        <v>1.0002497367076915</v>
      </c>
    </row>
    <row r="97" spans="1:4">
      <c r="A97">
        <f>'Mass Balance'!I97</f>
        <v>1.7988345337305357E-8</v>
      </c>
      <c r="B97">
        <f>'Mass Balance'!E97</f>
        <v>3.744106184487715E-5</v>
      </c>
      <c r="C97">
        <f>SUM('Mass Balance'!E97:H97)</f>
        <v>3.7463633768019168E-5</v>
      </c>
      <c r="D97">
        <f>Concentrations!F97/Concentrations!E97</f>
        <v>0.99978725482667152</v>
      </c>
    </row>
    <row r="98" spans="1:4">
      <c r="A98">
        <f>'Mass Balance'!I98</f>
        <v>3.3165083320505629E-7</v>
      </c>
      <c r="B98">
        <f>'Mass Balance'!E98</f>
        <v>3.0199320993412812E-6</v>
      </c>
      <c r="C98">
        <f>SUM('Mass Balance'!E98:H98)</f>
        <v>1.6784982755481191E-5</v>
      </c>
      <c r="D98">
        <f>Concentrations!F98/Concentrations!E98</f>
        <v>0.17998885627798372</v>
      </c>
    </row>
    <row r="99" spans="1:4">
      <c r="A99">
        <f>'Mass Balance'!I99</f>
        <v>1.8147734639149955E-8</v>
      </c>
      <c r="B99">
        <f>'Mass Balance'!E99</f>
        <v>3.9647767043979346E-5</v>
      </c>
      <c r="C99">
        <f>SUM('Mass Balance'!E99:H99)</f>
        <v>3.9648248841355769E-5</v>
      </c>
      <c r="D99">
        <f>Concentrations!F99/Concentrations!E99</f>
        <v>1.0003778355007853</v>
      </c>
    </row>
    <row r="100" spans="1:4">
      <c r="A100">
        <f>'Mass Balance'!I100</f>
        <v>5.1394786687310495E-8</v>
      </c>
      <c r="B100">
        <f>'Mass Balance'!E100</f>
        <v>2.149363339640855E-5</v>
      </c>
      <c r="C100">
        <f>SUM('Mass Balance'!E100:H100)</f>
        <v>2.2862126357260798E-5</v>
      </c>
      <c r="D100">
        <f>Concentrations!F100/Concentrations!E100</f>
        <v>0.94050813149305601</v>
      </c>
    </row>
    <row r="101" spans="1:4">
      <c r="A101">
        <f>'Mass Balance'!I101</f>
        <v>1.8078701237938563E-8</v>
      </c>
      <c r="B101">
        <f>'Mass Balance'!E101</f>
        <v>3.9421996159642114E-5</v>
      </c>
      <c r="C101">
        <f>SUM('Mass Balance'!E101:H101)</f>
        <v>3.942326931013364E-5</v>
      </c>
      <c r="D101">
        <f>Concentrations!F101/Concentrations!E101</f>
        <v>1.0003576850484848</v>
      </c>
    </row>
    <row r="102" spans="1:4">
      <c r="A102">
        <f>'Mass Balance'!I102</f>
        <v>1.8217994523819084E-8</v>
      </c>
      <c r="B102">
        <f>'Mass Balance'!E102</f>
        <v>3.983985772938537E-5</v>
      </c>
      <c r="C102">
        <f>SUM('Mass Balance'!E102:H102)</f>
        <v>3.9839954483420018E-5</v>
      </c>
      <c r="D102">
        <f>Concentrations!F102/Concentrations!E102</f>
        <v>1.0003875625194714</v>
      </c>
    </row>
    <row r="103" spans="1:4">
      <c r="A103">
        <f>'Mass Balance'!I103</f>
        <v>1.8151336499873529E-8</v>
      </c>
      <c r="B103">
        <f>'Mass Balance'!E103</f>
        <v>3.9658406085557798E-5</v>
      </c>
      <c r="C103">
        <f>SUM('Mass Balance'!E103:H103)</f>
        <v>3.9658859470201584E-5</v>
      </c>
      <c r="D103">
        <f>Concentrations!F103/Concentrations!E103</f>
        <v>1.0003785554610216</v>
      </c>
    </row>
    <row r="104" spans="1:4">
      <c r="A104">
        <f>'Mass Balance'!I104</f>
        <v>1.7920975667171547E-8</v>
      </c>
      <c r="B104">
        <f>'Mass Balance'!E104</f>
        <v>3.8153240123602174E-5</v>
      </c>
      <c r="C104">
        <f>SUM('Mass Balance'!E104:H104)</f>
        <v>3.8165249453945535E-5</v>
      </c>
      <c r="D104">
        <f>Concentrations!F104/Concentrations!E104</f>
        <v>1.0000752026892545</v>
      </c>
    </row>
    <row r="105" spans="1:4">
      <c r="A105">
        <f>'Mass Balance'!I105</f>
        <v>1.8206917249564678E-8</v>
      </c>
      <c r="B105">
        <f>'Mass Balance'!E105</f>
        <v>3.9811561912284805E-5</v>
      </c>
      <c r="C105">
        <f>SUM('Mass Balance'!E105:H105)</f>
        <v>3.9811697924059652E-5</v>
      </c>
      <c r="D105">
        <f>Concentrations!F105/Concentrations!E105</f>
        <v>1.0003865743249911</v>
      </c>
    </row>
    <row r="106" spans="1:4">
      <c r="A106">
        <f>'Mass Balance'!I106</f>
        <v>1.988664623977201E-8</v>
      </c>
      <c r="B106">
        <f>'Mass Balance'!E106</f>
        <v>3.3911194836320615E-5</v>
      </c>
      <c r="C106">
        <f>SUM('Mass Balance'!E106:H106)</f>
        <v>3.4035469150310846E-5</v>
      </c>
      <c r="D106">
        <f>Concentrations!F106/Concentrations!E106</f>
        <v>0.99673725025991466</v>
      </c>
    </row>
    <row r="107" spans="1:4">
      <c r="A107">
        <f>'Mass Balance'!I107</f>
        <v>3.6208819662219451E-7</v>
      </c>
      <c r="B107">
        <f>'Mass Balance'!E107</f>
        <v>2.4373245296783195E-6</v>
      </c>
      <c r="C107">
        <f>SUM('Mass Balance'!E107:H107)</f>
        <v>1.7759484729771398E-5</v>
      </c>
      <c r="D107">
        <f>Concentrations!F107/Concentrations!E107</f>
        <v>0.13729424608490648</v>
      </c>
    </row>
    <row r="108" spans="1:4">
      <c r="A108">
        <f>'Mass Balance'!I108</f>
        <v>4.334830333861404E-8</v>
      </c>
      <c r="B108">
        <f>'Mass Balance'!E108</f>
        <v>2.3401128099350997E-5</v>
      </c>
      <c r="C108">
        <f>SUM('Mass Balance'!E108:H108)</f>
        <v>2.4456372151036192E-5</v>
      </c>
      <c r="D108">
        <f>Concentrations!F108/Concentrations!E108</f>
        <v>0.95722514395562397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0.80951473185042333</v>
      </c>
      <c r="M2" s="115">
        <v>1.1019131719661943</v>
      </c>
      <c r="N2" s="115">
        <v>55.141077687643502</v>
      </c>
      <c r="O2" s="115">
        <v>1.1767301931891878</v>
      </c>
      <c r="P2" s="115">
        <v>1.2077694193132833</v>
      </c>
      <c r="Q2" s="111">
        <v>1.1767301931891878</v>
      </c>
      <c r="R2" s="68">
        <v>1.2077694193132835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3.582971594573658E-3</v>
      </c>
      <c r="M3" s="115">
        <v>118.06076227089038</v>
      </c>
      <c r="N3" s="115">
        <v>19347.662155450951</v>
      </c>
      <c r="O3" s="115">
        <v>116.68715899235958</v>
      </c>
      <c r="P3" s="115">
        <v>49.983126902655862</v>
      </c>
      <c r="Q3" s="111">
        <v>116.68715899235958</v>
      </c>
      <c r="R3" s="68">
        <v>49.983126902655862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0.49984958149162845</v>
      </c>
      <c r="M4" s="115">
        <v>3.0887280718250762</v>
      </c>
      <c r="N4" s="115">
        <v>419.98647849552469</v>
      </c>
      <c r="O4" s="115">
        <v>4.5266266876356998</v>
      </c>
      <c r="P4" s="115">
        <v>4.2405300374443948</v>
      </c>
      <c r="Q4" s="111">
        <v>4.5266266876357006</v>
      </c>
      <c r="R4" s="68">
        <v>4.2405300374443948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3.3108841714579333E-2</v>
      </c>
      <c r="M5" s="115">
        <v>30.077759305901676</v>
      </c>
      <c r="N5" s="115">
        <v>4873.2996351774555</v>
      </c>
      <c r="O5" s="115">
        <v>42.924504930345933</v>
      </c>
      <c r="P5" s="115">
        <v>36.194270809871789</v>
      </c>
      <c r="Q5" s="111">
        <v>42.924504930345933</v>
      </c>
      <c r="R5" s="68">
        <v>36.194270809871789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1.7955825464951009E-3</v>
      </c>
      <c r="M6" s="115">
        <v>153.95836499547832</v>
      </c>
      <c r="N6" s="115">
        <v>25299.851847990318</v>
      </c>
      <c r="O6" s="115">
        <v>148.24683726328539</v>
      </c>
      <c r="P6" s="115">
        <v>58.724987346939926</v>
      </c>
      <c r="Q6" s="111">
        <v>148.24683726328539</v>
      </c>
      <c r="R6" s="68">
        <v>58.724987346939926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3.3035358007434644E-3</v>
      </c>
      <c r="M7" s="115">
        <v>125.20482433585201</v>
      </c>
      <c r="N7" s="115">
        <v>20526.710938110016</v>
      </c>
      <c r="O7" s="115">
        <v>123.16818723360205</v>
      </c>
      <c r="P7" s="115">
        <v>52.033907998040625</v>
      </c>
      <c r="Q7" s="111">
        <v>123.16818723360205</v>
      </c>
      <c r="R7" s="68">
        <v>52.033907998040632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6.7092690357465762E-3</v>
      </c>
      <c r="M8" s="115">
        <v>91.119212894663704</v>
      </c>
      <c r="N8" s="115">
        <v>14893.983771830601</v>
      </c>
      <c r="O8" s="115">
        <v>93.699960286424727</v>
      </c>
      <c r="P8" s="115">
        <v>44.820184918817837</v>
      </c>
      <c r="Q8" s="111">
        <v>93.699960286424727</v>
      </c>
      <c r="R8" s="68">
        <v>44.820184918817837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0.17047798052186819</v>
      </c>
      <c r="M9" s="115">
        <v>10.744397416336545</v>
      </c>
      <c r="N9" s="115">
        <v>1703.7146705556697</v>
      </c>
      <c r="O9" s="115">
        <v>17.901231085642799</v>
      </c>
      <c r="P9" s="115">
        <v>17.572720876999224</v>
      </c>
      <c r="Q9" s="111">
        <v>17.901231085642799</v>
      </c>
      <c r="R9" s="68">
        <v>17.572720876999224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3.0757292930558795E-2</v>
      </c>
      <c r="M10" s="115">
        <v>32.134233041300106</v>
      </c>
      <c r="N10" s="115">
        <v>5209.3183092136933</v>
      </c>
      <c r="O10" s="115">
        <v>44.554050088820361</v>
      </c>
      <c r="P10" s="115">
        <v>36.319897198992606</v>
      </c>
      <c r="Q10" s="111">
        <v>44.554050088820361</v>
      </c>
      <c r="R10" s="68">
        <v>36.319897198992606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2.711932227306485E-2</v>
      </c>
      <c r="M11" s="115">
        <v>35.76949294947817</v>
      </c>
      <c r="N11" s="115">
        <v>5803.6536476542205</v>
      </c>
      <c r="O11" s="115">
        <v>47.43591920893514</v>
      </c>
      <c r="P11" s="115">
        <v>36.548743644603391</v>
      </c>
      <c r="Q11" s="111">
        <v>47.43591920893514</v>
      </c>
      <c r="R11" s="68">
        <v>36.548743644603398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0.12753763062806373</v>
      </c>
      <c r="M12" s="115">
        <v>13.042100741311666</v>
      </c>
      <c r="N12" s="115">
        <v>2082.7895326353269</v>
      </c>
      <c r="O12" s="115">
        <v>22.102334248157373</v>
      </c>
      <c r="P12" s="115">
        <v>21.975426235314671</v>
      </c>
      <c r="Q12" s="111">
        <v>22.102334248157373</v>
      </c>
      <c r="R12" s="68">
        <v>21.975426235314671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0.16597791873155696</v>
      </c>
      <c r="M13" s="115">
        <v>10.952844937248509</v>
      </c>
      <c r="N13" s="115">
        <v>1738.1598473523609</v>
      </c>
      <c r="O13" s="115">
        <v>18.278867510741637</v>
      </c>
      <c r="P13" s="115">
        <v>17.965037931963991</v>
      </c>
      <c r="Q13" s="111">
        <v>18.278867510741637</v>
      </c>
      <c r="R13" s="68">
        <v>17.965037931963991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1.8105803013291955E-2</v>
      </c>
      <c r="M14" s="115">
        <v>49.193893145891899</v>
      </c>
      <c r="N14" s="115">
        <v>8001.5016738598652</v>
      </c>
      <c r="O14" s="115">
        <v>58.341009788411988</v>
      </c>
      <c r="P14" s="115">
        <v>37.908721823201354</v>
      </c>
      <c r="Q14" s="111">
        <v>58.341009788411988</v>
      </c>
      <c r="R14" s="68">
        <v>37.908721823201354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2.8894803716966771E-2</v>
      </c>
      <c r="M15" s="115">
        <v>33.919091816070896</v>
      </c>
      <c r="N15" s="115">
        <v>5501.0729799792325</v>
      </c>
      <c r="O15" s="115">
        <v>45.968432439199312</v>
      </c>
      <c r="P15" s="115">
        <v>36.430533886276429</v>
      </c>
      <c r="Q15" s="111">
        <v>45.968432439199312</v>
      </c>
      <c r="R15" s="68">
        <v>36.430533886276429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6.9098065192756374E-3</v>
      </c>
      <c r="M16" s="115">
        <v>89.565756228712786</v>
      </c>
      <c r="N16" s="115">
        <v>14638.048433139395</v>
      </c>
      <c r="O16" s="115">
        <v>92.347768443262339</v>
      </c>
      <c r="P16" s="115">
        <v>44.482237035107161</v>
      </c>
      <c r="Q16" s="111">
        <v>92.347768443262339</v>
      </c>
      <c r="R16" s="68">
        <v>44.482237035107161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3.2316047939241525E-2</v>
      </c>
      <c r="M17" s="115">
        <v>30.75801077783056</v>
      </c>
      <c r="N17" s="115">
        <v>4984.4269229100018</v>
      </c>
      <c r="O17" s="115">
        <v>43.466746280359246</v>
      </c>
      <c r="P17" s="115">
        <v>36.241399751224421</v>
      </c>
      <c r="Q17" s="111">
        <v>43.466746280359253</v>
      </c>
      <c r="R17" s="68">
        <v>36.241399751224421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0.19013355767548495</v>
      </c>
      <c r="M18" s="115">
        <v>9.7481258197267078</v>
      </c>
      <c r="N18" s="115">
        <v>1539.5477720790113</v>
      </c>
      <c r="O18" s="115">
        <v>16.118115238405199</v>
      </c>
      <c r="P18" s="115">
        <v>15.73755714493155</v>
      </c>
      <c r="Q18" s="111">
        <v>16.118115238405199</v>
      </c>
      <c r="R18" s="68">
        <v>15.73755714493155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2.8534055914490361E-2</v>
      </c>
      <c r="M19" s="115">
        <v>34.285422166849536</v>
      </c>
      <c r="N19" s="115">
        <v>5560.9649221960517</v>
      </c>
      <c r="O19" s="115">
        <v>46.259678014752389</v>
      </c>
      <c r="P19" s="115">
        <v>36.455121195543548</v>
      </c>
      <c r="Q19" s="111">
        <v>46.259678014752389</v>
      </c>
      <c r="R19" s="68">
        <v>36.455121195543548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0.16604124766583145</v>
      </c>
      <c r="M20" s="115">
        <v>10.957023999152952</v>
      </c>
      <c r="N20" s="115">
        <v>1738.8230428639856</v>
      </c>
      <c r="O20" s="115">
        <v>18.285841819180053</v>
      </c>
      <c r="P20" s="115">
        <v>17.971892498614345</v>
      </c>
      <c r="Q20" s="111">
        <v>18.285841819180053</v>
      </c>
      <c r="R20" s="68">
        <v>17.971892498614345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2.0371747896822039E-2</v>
      </c>
      <c r="M21" s="115">
        <v>44.873461561164902</v>
      </c>
      <c r="N21" s="115">
        <v>7293.7371291651116</v>
      </c>
      <c r="O21" s="115">
        <v>54.764562633615959</v>
      </c>
      <c r="P21" s="115">
        <v>37.344580072717079</v>
      </c>
      <c r="Q21" s="111">
        <v>54.764562633615959</v>
      </c>
      <c r="R21" s="68">
        <v>37.344580072717079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0.65814521372926071</v>
      </c>
      <c r="M22" s="115">
        <v>1.7439562691741064</v>
      </c>
      <c r="N22" s="115">
        <v>180.86361191256694</v>
      </c>
      <c r="O22" s="115">
        <v>2.2669478750590635</v>
      </c>
      <c r="P22" s="115">
        <v>2.1559908378528254</v>
      </c>
      <c r="Q22" s="111">
        <v>2.2669478750590635</v>
      </c>
      <c r="R22" s="68">
        <v>2.1559908378528254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0.76444671640607742</v>
      </c>
      <c r="M23" s="115">
        <v>1.2445036643006158</v>
      </c>
      <c r="N23" s="115">
        <v>84.853515595072622</v>
      </c>
      <c r="O23" s="115">
        <v>1.4222312745919836</v>
      </c>
      <c r="P23" s="115">
        <v>1.414247014879412</v>
      </c>
      <c r="Q23" s="111">
        <v>1.4222312745919836</v>
      </c>
      <c r="R23" s="68">
        <v>1.414247014879412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0.33004997627760874</v>
      </c>
      <c r="M24" s="115">
        <v>5.7328492011835062</v>
      </c>
      <c r="N24" s="115">
        <v>870.31315930735184</v>
      </c>
      <c r="O24" s="115">
        <v>9.0416391138008052</v>
      </c>
      <c r="P24" s="115">
        <v>8.5997571903729355</v>
      </c>
      <c r="Q24" s="111">
        <v>9.0416391138008052</v>
      </c>
      <c r="R24" s="68">
        <v>8.5997571903729355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8.0519546014232293E-2</v>
      </c>
      <c r="M25" s="115">
        <v>15.389639166762091</v>
      </c>
      <c r="N25" s="115">
        <v>2472.6251700255611</v>
      </c>
      <c r="O25" s="115">
        <v>26.634100722668659</v>
      </c>
      <c r="P25" s="115">
        <v>26.92509825589406</v>
      </c>
      <c r="Q25" s="111">
        <v>26.634100722668659</v>
      </c>
      <c r="R25" s="68">
        <v>26.925098255894063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2.2049273991466466E-2</v>
      </c>
      <c r="M26" s="115">
        <v>42.228483093701399</v>
      </c>
      <c r="N26" s="115">
        <v>6860.5925994575609</v>
      </c>
      <c r="O26" s="115">
        <v>52.617485196950902</v>
      </c>
      <c r="P26" s="115">
        <v>37.07816610086288</v>
      </c>
      <c r="Q26" s="111">
        <v>52.617485196950902</v>
      </c>
      <c r="R26" s="68">
        <v>37.07816610086288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3.9159184899749174E-3</v>
      </c>
      <c r="M27" s="115">
        <v>114.82760881297889</v>
      </c>
      <c r="N27" s="115">
        <v>18811.471318010736</v>
      </c>
      <c r="O27" s="115">
        <v>113.96864750293963</v>
      </c>
      <c r="P27" s="115">
        <v>49.419842636312318</v>
      </c>
      <c r="Q27" s="111">
        <v>113.96864750293963</v>
      </c>
      <c r="R27" s="68">
        <v>49.419842636312318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1.247603463590612E-2</v>
      </c>
      <c r="M28" s="115">
        <v>63.621475153270183</v>
      </c>
      <c r="N28" s="115">
        <v>10368.762347652402</v>
      </c>
      <c r="O28" s="115">
        <v>70.338343249670785</v>
      </c>
      <c r="P28" s="115">
        <v>39.930585803005471</v>
      </c>
      <c r="Q28" s="111">
        <v>70.338343249670785</v>
      </c>
      <c r="R28" s="68">
        <v>39.930585803005478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1.6669354816110062E-2</v>
      </c>
      <c r="M29" s="115">
        <v>42.231253087587014</v>
      </c>
      <c r="N29" s="115">
        <v>6867.4448429146896</v>
      </c>
      <c r="O29" s="115">
        <v>50.548370417664238</v>
      </c>
      <c r="P29" s="115">
        <v>33.373070583165763</v>
      </c>
      <c r="Q29" s="111">
        <v>50.548370417664238</v>
      </c>
      <c r="R29" s="68">
        <v>33.373070583165763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1.247603463590612E-2</v>
      </c>
      <c r="M30" s="115">
        <v>63.621475153270183</v>
      </c>
      <c r="N30" s="115">
        <v>10368.762347652402</v>
      </c>
      <c r="O30" s="115">
        <v>70.338343249670785</v>
      </c>
      <c r="P30" s="115">
        <v>39.930585803005471</v>
      </c>
      <c r="Q30" s="111">
        <v>70.338343249670785</v>
      </c>
      <c r="R30" s="68">
        <v>39.930585803005478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0.97010246246071674</v>
      </c>
      <c r="M31" s="115">
        <v>0.91800841803183764</v>
      </c>
      <c r="N31" s="115">
        <v>1.1367731848919165</v>
      </c>
      <c r="O31" s="115">
        <v>0.81114395355482072</v>
      </c>
      <c r="P31" s="115">
        <v>0.93880488916011495</v>
      </c>
      <c r="Q31" s="111">
        <v>0.81114395355482083</v>
      </c>
      <c r="R31" s="68">
        <v>0.93880488916011495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0.58434358336430503</v>
      </c>
      <c r="M32" s="115">
        <v>2.5488626104437366</v>
      </c>
      <c r="N32" s="115">
        <v>310.34022039388162</v>
      </c>
      <c r="O32" s="115">
        <v>3.1778087529341081</v>
      </c>
      <c r="P32" s="115">
        <v>2.919023137126382</v>
      </c>
      <c r="Q32" s="111">
        <v>3.1778087529341081</v>
      </c>
      <c r="R32" s="68">
        <v>2.919023137126382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0.99275961882670827</v>
      </c>
      <c r="M33" s="115">
        <v>0.93468042463929035</v>
      </c>
      <c r="N33" s="115">
        <v>0.59125383313870816</v>
      </c>
      <c r="O33" s="115">
        <v>0.84209994204290473</v>
      </c>
      <c r="P33" s="115">
        <v>0.9899522984710537</v>
      </c>
      <c r="Q33" s="111">
        <v>0.84209994204290484</v>
      </c>
      <c r="R33" s="68">
        <v>0.98995229847105382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0.92675095034724631</v>
      </c>
      <c r="M34" s="115">
        <v>1.1895893041701926</v>
      </c>
      <c r="N34" s="115">
        <v>75.627537632760138</v>
      </c>
      <c r="O34" s="115">
        <v>4.4134138153157627</v>
      </c>
      <c r="P34" s="115">
        <v>7.2151224627743753</v>
      </c>
      <c r="Q34" s="111">
        <v>4.4134138153157636</v>
      </c>
      <c r="R34" s="68">
        <v>7.2151224627743753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0.83605991903777976</v>
      </c>
      <c r="M35" s="115">
        <v>1.4757025199162734</v>
      </c>
      <c r="N35" s="115">
        <v>161.84935955997304</v>
      </c>
      <c r="O35" s="115">
        <v>8.9115306791265834</v>
      </c>
      <c r="P35" s="115">
        <v>15.083809713674528</v>
      </c>
      <c r="Q35" s="111">
        <v>8.9115306791265834</v>
      </c>
      <c r="R35" s="68">
        <v>15.08380971367453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0.55945303853523265</v>
      </c>
      <c r="M36" s="115">
        <v>2.213725100490548</v>
      </c>
      <c r="N36" s="115">
        <v>390.20035074218993</v>
      </c>
      <c r="O36" s="115">
        <v>21.920642739275817</v>
      </c>
      <c r="P36" s="115">
        <v>37.917690630110783</v>
      </c>
      <c r="Q36" s="111">
        <v>21.920642739275817</v>
      </c>
      <c r="R36" s="68">
        <v>37.917690630110783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0.60352374170146617</v>
      </c>
      <c r="M37" s="115">
        <v>3.3630484892533485</v>
      </c>
      <c r="N37" s="115">
        <v>496.64645568093454</v>
      </c>
      <c r="O37" s="115">
        <v>11.640880661424815</v>
      </c>
      <c r="P37" s="115">
        <v>17.391820528459952</v>
      </c>
      <c r="Q37" s="111">
        <v>11.640880661424816</v>
      </c>
      <c r="R37" s="68">
        <v>17.391820528459952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0.94005416973480105</v>
      </c>
      <c r="M38" s="115">
        <v>1.146063746011668</v>
      </c>
      <c r="N38" s="115">
        <v>61.44156831520052</v>
      </c>
      <c r="O38" s="115">
        <v>3.6048494635017874</v>
      </c>
      <c r="P38" s="115">
        <v>5.7865237127724471</v>
      </c>
      <c r="Q38" s="111">
        <v>3.6048494635017874</v>
      </c>
      <c r="R38" s="68">
        <v>5.7865237127724471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5.0291730351562772E-2</v>
      </c>
      <c r="M39" s="115">
        <v>20.222530815818498</v>
      </c>
      <c r="N39" s="115">
        <v>3264.5143259020242</v>
      </c>
      <c r="O39" s="115">
        <v>35.371674578811721</v>
      </c>
      <c r="P39" s="115">
        <v>36.084031294209723</v>
      </c>
      <c r="Q39" s="111">
        <v>35.371674578811728</v>
      </c>
      <c r="R39" s="68">
        <v>36.084031294209723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9.0870117219586152E-3</v>
      </c>
      <c r="M40" s="115">
        <v>217.8759027863552</v>
      </c>
      <c r="N40" s="115">
        <v>48974.695603055108</v>
      </c>
      <c r="O40" s="115">
        <v>172.85902750611126</v>
      </c>
      <c r="P40" s="115">
        <v>113.35121560235456</v>
      </c>
      <c r="Q40" s="111">
        <v>172.85902750611126</v>
      </c>
      <c r="R40" s="68">
        <v>113.35121560235456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0.90765399501074007</v>
      </c>
      <c r="M41" s="115">
        <v>0.85269081333517205</v>
      </c>
      <c r="N41" s="115">
        <v>6.4218227935190331E-2</v>
      </c>
      <c r="O41" s="115">
        <v>0.75035860570069257</v>
      </c>
      <c r="P41" s="115">
        <v>0.87192115673751125</v>
      </c>
      <c r="Q41" s="111">
        <v>0.75035860570069257</v>
      </c>
      <c r="R41" s="68">
        <v>0.87192115673751125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0.63175763670848561</v>
      </c>
      <c r="M42" s="115">
        <v>1.926448609011866</v>
      </c>
      <c r="N42" s="115">
        <v>214.03792805553076</v>
      </c>
      <c r="O42" s="115">
        <v>2.5718420138532454</v>
      </c>
      <c r="P42" s="115">
        <v>2.4310277950770853</v>
      </c>
      <c r="Q42" s="111">
        <v>2.5718420138532458</v>
      </c>
      <c r="R42" s="68">
        <v>2.4310277950770853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8.3943281000880984E-2</v>
      </c>
      <c r="M43" s="115">
        <v>6.7133858352438391</v>
      </c>
      <c r="N43" s="115">
        <v>1514.440061343354</v>
      </c>
      <c r="O43" s="115">
        <v>45.573321401348323</v>
      </c>
      <c r="P43" s="115">
        <v>76.596021350934038</v>
      </c>
      <c r="Q43" s="111">
        <v>45.573321401348323</v>
      </c>
      <c r="R43" s="68">
        <v>76.596021350934038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0.77933831547503729</v>
      </c>
      <c r="M44" s="115">
        <v>0.91547440470180308</v>
      </c>
      <c r="N44" s="115">
        <v>29.663681903687568</v>
      </c>
      <c r="O44" s="115">
        <v>0.91359427726337783</v>
      </c>
      <c r="P44" s="115">
        <v>0.97287515261431179</v>
      </c>
      <c r="Q44" s="111">
        <v>0.91359427726337794</v>
      </c>
      <c r="R44" s="68">
        <v>0.9728751526143119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0.60549984400206169</v>
      </c>
      <c r="M45" s="115">
        <v>2.1084687032753497</v>
      </c>
      <c r="N45" s="115">
        <v>247.11413990949399</v>
      </c>
      <c r="O45" s="115">
        <v>2.8778800039594539</v>
      </c>
      <c r="P45" s="115">
        <v>2.709288554702951</v>
      </c>
      <c r="Q45" s="111">
        <v>2.8778800039594539</v>
      </c>
      <c r="R45" s="68">
        <v>2.709288554702951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0.62070443256733909</v>
      </c>
      <c r="M46" s="115">
        <v>1.9876703929760045</v>
      </c>
      <c r="N46" s="115">
        <v>225.49523121244258</v>
      </c>
      <c r="O46" s="115">
        <v>2.6761828708674313</v>
      </c>
      <c r="P46" s="115">
        <v>2.5254291625063106</v>
      </c>
      <c r="Q46" s="111">
        <v>2.6761828708674313</v>
      </c>
      <c r="R46" s="68">
        <v>2.5254291625063106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3.6529786027737344E-3</v>
      </c>
      <c r="M47" s="115">
        <v>120.36752930329521</v>
      </c>
      <c r="N47" s="115">
        <v>19725.692487932592</v>
      </c>
      <c r="O47" s="115">
        <v>118.96708744861456</v>
      </c>
      <c r="P47" s="115">
        <v>50.959737819761401</v>
      </c>
      <c r="Q47" s="111">
        <v>118.96708744861456</v>
      </c>
      <c r="R47" s="68">
        <v>50.959737819761408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0.90581006054627056</v>
      </c>
      <c r="M48" s="115">
        <v>0.91404896683744508</v>
      </c>
      <c r="N48" s="115">
        <v>10.249702851745788</v>
      </c>
      <c r="O48" s="115">
        <v>0.83930807511612138</v>
      </c>
      <c r="P48" s="115">
        <v>0.94276894456678362</v>
      </c>
      <c r="Q48" s="111">
        <v>0.83930807511612149</v>
      </c>
      <c r="R48" s="68">
        <v>0.94276894456678373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0.87069017301912843</v>
      </c>
      <c r="M49" s="115">
        <v>0.92690890735083176</v>
      </c>
      <c r="N49" s="115">
        <v>17.659779073078841</v>
      </c>
      <c r="O49" s="115">
        <v>0.87783396782295686</v>
      </c>
      <c r="P49" s="115">
        <v>0.96549415423751839</v>
      </c>
      <c r="Q49" s="111">
        <v>0.87783396782295686</v>
      </c>
      <c r="R49" s="68">
        <v>0.96549415423751839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0.19573562090303018</v>
      </c>
      <c r="M50" s="115">
        <v>9.3696141006260447</v>
      </c>
      <c r="N50" s="115">
        <v>1477.5472163612426</v>
      </c>
      <c r="O50" s="115">
        <v>15.452088087216531</v>
      </c>
      <c r="P50" s="115">
        <v>15.06054812309927</v>
      </c>
      <c r="Q50" s="111">
        <v>15.452088087216531</v>
      </c>
      <c r="R50" s="68">
        <v>15.06054812309927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0.89903778495436037</v>
      </c>
      <c r="M51" s="115">
        <v>0.85568271297394827</v>
      </c>
      <c r="N51" s="115">
        <v>1.8467557487969752</v>
      </c>
      <c r="O51" s="115">
        <v>0.75864433047558921</v>
      </c>
      <c r="P51" s="115">
        <v>0.87541896953935916</v>
      </c>
      <c r="Q51" s="111">
        <v>0.75864433047558921</v>
      </c>
      <c r="R51" s="68">
        <v>0.87541896953935916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0.75349322794061158</v>
      </c>
      <c r="M52" s="115">
        <v>1.0183236353425291</v>
      </c>
      <c r="N52" s="115">
        <v>50.144863822219492</v>
      </c>
      <c r="O52" s="115">
        <v>1.0841772963311753</v>
      </c>
      <c r="P52" s="115">
        <v>1.1144844967946932</v>
      </c>
      <c r="Q52" s="111">
        <v>1.0841772963311753</v>
      </c>
      <c r="R52" s="68">
        <v>1.1144844967946932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0.51955183828912221</v>
      </c>
      <c r="M53" s="115">
        <v>2.8549560879163067</v>
      </c>
      <c r="N53" s="115">
        <v>379.56165266734718</v>
      </c>
      <c r="O53" s="115">
        <v>4.1341626502126942</v>
      </c>
      <c r="P53" s="115">
        <v>3.8720222945111669</v>
      </c>
      <c r="Q53" s="111">
        <v>4.1341626502126942</v>
      </c>
      <c r="R53" s="68">
        <v>3.8720222945111669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4.8976395295151588E-3</v>
      </c>
      <c r="M54" s="115">
        <v>106.05037304596156</v>
      </c>
      <c r="N54" s="115">
        <v>17358.266425378901</v>
      </c>
      <c r="O54" s="115">
        <v>106.55208600230191</v>
      </c>
      <c r="P54" s="115">
        <v>47.84768037044379</v>
      </c>
      <c r="Q54" s="111">
        <v>106.55208600230191</v>
      </c>
      <c r="R54" s="68">
        <v>47.84768037044379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0.23962833042289491</v>
      </c>
      <c r="M55" s="115">
        <v>4.753616876409648</v>
      </c>
      <c r="N55" s="115">
        <v>726.96494487187806</v>
      </c>
      <c r="O55" s="115">
        <v>7.5483343140262811</v>
      </c>
      <c r="P55" s="115">
        <v>7.2004273591110035</v>
      </c>
      <c r="Q55" s="111">
        <v>7.5483343140262811</v>
      </c>
      <c r="R55" s="68">
        <v>7.2004273591110044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2.2669562858720745E-2</v>
      </c>
      <c r="M56" s="115">
        <v>2.1629886525427282</v>
      </c>
      <c r="N56" s="115">
        <v>345.1278904982305</v>
      </c>
      <c r="O56" s="115">
        <v>3.6568791981096878</v>
      </c>
      <c r="P56" s="115">
        <v>3.6292091553361878</v>
      </c>
      <c r="Q56" s="111">
        <v>3.6568791981096878</v>
      </c>
      <c r="R56" s="68">
        <v>3.6292091553361883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3.3980157232061776E-2</v>
      </c>
      <c r="M57" s="115">
        <v>0.90151788894047535</v>
      </c>
      <c r="N57" s="115">
        <v>139.68048143904579</v>
      </c>
      <c r="O57" s="115">
        <v>1.4512316460885384</v>
      </c>
      <c r="P57" s="115">
        <v>1.3937424387732686</v>
      </c>
      <c r="Q57" s="111">
        <v>1.4512316460885384</v>
      </c>
      <c r="R57" s="68">
        <v>1.3937424387732686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5.9272245272917329E-2</v>
      </c>
      <c r="M58" s="115">
        <v>6.505401279558673E-2</v>
      </c>
      <c r="N58" s="115">
        <v>1.5179969089914203</v>
      </c>
      <c r="O58" s="115">
        <v>6.2657435943635667E-2</v>
      </c>
      <c r="P58" s="115">
        <v>6.8172749285596967E-2</v>
      </c>
      <c r="Q58" s="111">
        <v>6.2657435943635681E-2</v>
      </c>
      <c r="R58" s="68">
        <v>6.8172749285596967E-2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1.285930721915112E-2</v>
      </c>
      <c r="M59" s="115">
        <v>0.31892820040852776</v>
      </c>
      <c r="N59" s="115">
        <v>49.280843386075809</v>
      </c>
      <c r="O59" s="115">
        <v>0.51184104813476694</v>
      </c>
      <c r="P59" s="115">
        <v>0.49077524965373626</v>
      </c>
      <c r="Q59" s="111">
        <v>0.51184104813476694</v>
      </c>
      <c r="R59" s="68">
        <v>0.49077524965373631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4.5777611033666029E-4</v>
      </c>
      <c r="M60" s="115">
        <v>5.4895142853636277E-3</v>
      </c>
      <c r="N60" s="115">
        <v>0.81155025368440981</v>
      </c>
      <c r="O60" s="115">
        <v>8.4748273741588973E-3</v>
      </c>
      <c r="P60" s="115">
        <v>8.0018099296835649E-3</v>
      </c>
      <c r="Q60" s="111">
        <v>8.4748273741588973E-3</v>
      </c>
      <c r="R60" s="68">
        <v>8.0018099296835649E-3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0.43974997857359005</v>
      </c>
      <c r="M61" s="115">
        <v>3.8386035306336068</v>
      </c>
      <c r="N61" s="115">
        <v>549.29957628920511</v>
      </c>
      <c r="O61" s="115">
        <v>5.7963641177719456</v>
      </c>
      <c r="P61" s="115">
        <v>5.4461836147488185</v>
      </c>
      <c r="Q61" s="111">
        <v>5.7963641177719465</v>
      </c>
      <c r="R61" s="68">
        <v>5.4461836147488185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1.8602085502443105E-2</v>
      </c>
      <c r="M62" s="115">
        <v>48.239500113640787</v>
      </c>
      <c r="N62" s="115">
        <v>7845.075541032269</v>
      </c>
      <c r="O62" s="115">
        <v>57.560435222293734</v>
      </c>
      <c r="P62" s="115">
        <v>37.800507578339214</v>
      </c>
      <c r="Q62" s="111">
        <v>57.560435222293734</v>
      </c>
      <c r="R62" s="68">
        <v>37.800507578339221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2.145873224066736E-3</v>
      </c>
      <c r="M63" s="115">
        <v>145.71331296582318</v>
      </c>
      <c r="N63" s="115">
        <v>23929.001074274674</v>
      </c>
      <c r="O63" s="115">
        <v>141.04028888671567</v>
      </c>
      <c r="P63" s="115">
        <v>56.758080855676837</v>
      </c>
      <c r="Q63" s="111">
        <v>141.04028888671567</v>
      </c>
      <c r="R63" s="68">
        <v>56.758080855676837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8.3651660500837493E-4</v>
      </c>
      <c r="M64" s="115">
        <v>186.64696498662829</v>
      </c>
      <c r="N64" s="115">
        <v>30754.940589765116</v>
      </c>
      <c r="O64" s="115">
        <v>176.87716697714768</v>
      </c>
      <c r="P64" s="115">
        <v>66.821662567502031</v>
      </c>
      <c r="Q64" s="111">
        <v>176.87716697714771</v>
      </c>
      <c r="R64" s="68">
        <v>66.821662567502031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2.6210417825759644E-4</v>
      </c>
      <c r="M65" s="115">
        <v>226.25746037738801</v>
      </c>
      <c r="N65" s="115">
        <v>37423.887829006148</v>
      </c>
      <c r="O65" s="115">
        <v>211.55493196022891</v>
      </c>
      <c r="P65" s="115">
        <v>77.162064092226856</v>
      </c>
      <c r="Q65" s="111">
        <v>211.55493196022894</v>
      </c>
      <c r="R65" s="68">
        <v>77.162064092226856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5.1257715990053829E-4</v>
      </c>
      <c r="M66" s="115">
        <v>204.91407441333152</v>
      </c>
      <c r="N66" s="115">
        <v>33820.496914452175</v>
      </c>
      <c r="O66" s="115">
        <v>192.88665364704826</v>
      </c>
      <c r="P66" s="115">
        <v>71.527267127981474</v>
      </c>
      <c r="Q66" s="111">
        <v>192.88665364704826</v>
      </c>
      <c r="R66" s="68">
        <v>71.527267127981489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0.83650387159847017</v>
      </c>
      <c r="M67" s="115">
        <v>1.0230602915561493</v>
      </c>
      <c r="N67" s="115">
        <v>38.360725415009583</v>
      </c>
      <c r="O67" s="115">
        <v>1.0413214109233968</v>
      </c>
      <c r="P67" s="115">
        <v>1.0964473928411729</v>
      </c>
      <c r="Q67" s="111">
        <v>1.0413214109233968</v>
      </c>
      <c r="R67" s="68">
        <v>1.0964473928411729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0.78292695626384112</v>
      </c>
      <c r="M68" s="115">
        <v>1.1429170427440551</v>
      </c>
      <c r="N68" s="115">
        <v>65.747740610962623</v>
      </c>
      <c r="O68" s="115">
        <v>1.2554223732188945</v>
      </c>
      <c r="P68" s="115">
        <v>1.2708774794929358</v>
      </c>
      <c r="Q68" s="111">
        <v>1.2554223732188945</v>
      </c>
      <c r="R68" s="68">
        <v>1.2708774794929358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7.2045802910352726E-3</v>
      </c>
      <c r="M69" s="115">
        <v>87.075704743075377</v>
      </c>
      <c r="N69" s="115">
        <v>14228.149438361488</v>
      </c>
      <c r="O69" s="115">
        <v>90.150725265286525</v>
      </c>
      <c r="P69" s="115">
        <v>43.890065187086982</v>
      </c>
      <c r="Q69" s="111">
        <v>90.150725265286525</v>
      </c>
      <c r="R69" s="68">
        <v>43.890065187086982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9.6423496158912575E-2</v>
      </c>
      <c r="M70" s="115">
        <v>14.957048114959818</v>
      </c>
      <c r="N70" s="115">
        <v>2398.9434329571041</v>
      </c>
      <c r="O70" s="115">
        <v>25.706574628745063</v>
      </c>
      <c r="P70" s="115">
        <v>25.843543483204421</v>
      </c>
      <c r="Q70" s="111">
        <v>25.706574628745063</v>
      </c>
      <c r="R70" s="68">
        <v>25.843543483204424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0.7790628135604315</v>
      </c>
      <c r="M71" s="115">
        <v>1.1011401842262512</v>
      </c>
      <c r="N71" s="115">
        <v>59.611846747653679</v>
      </c>
      <c r="O71" s="115">
        <v>1.1942343675917031</v>
      </c>
      <c r="P71" s="115">
        <v>1.2163572320753104</v>
      </c>
      <c r="Q71" s="111">
        <v>1.1942343675917033</v>
      </c>
      <c r="R71" s="68">
        <v>1.2163572320753104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0.10355645627958265</v>
      </c>
      <c r="M72" s="115">
        <v>13.658485694594653</v>
      </c>
      <c r="N72" s="115">
        <v>2187.3184612644882</v>
      </c>
      <c r="O72" s="115">
        <v>23.347602447343874</v>
      </c>
      <c r="P72" s="115">
        <v>23.370971489193444</v>
      </c>
      <c r="Q72" s="111">
        <v>23.347602447343878</v>
      </c>
      <c r="R72" s="68">
        <v>23.370971489193444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0.41362833967853935</v>
      </c>
      <c r="M73" s="115">
        <v>4.0091047546902621</v>
      </c>
      <c r="N73" s="115">
        <v>580.61665728521666</v>
      </c>
      <c r="O73" s="115">
        <v>6.1010812317998004</v>
      </c>
      <c r="P73" s="115">
        <v>5.7406794031761272</v>
      </c>
      <c r="Q73" s="111">
        <v>6.1010812317998013</v>
      </c>
      <c r="R73" s="68">
        <v>5.7406794031761272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9.8815958321371661E-2</v>
      </c>
      <c r="M74" s="115">
        <v>14.633810190797272</v>
      </c>
      <c r="N74" s="115">
        <v>2346.1138476811425</v>
      </c>
      <c r="O74" s="115">
        <v>25.112132018417444</v>
      </c>
      <c r="P74" s="115">
        <v>25.214821882017681</v>
      </c>
      <c r="Q74" s="111">
        <v>25.112132018417444</v>
      </c>
      <c r="R74" s="68">
        <v>25.214821882017681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4.2557172563798346E-2</v>
      </c>
      <c r="M75" s="115">
        <v>22.752457652970257</v>
      </c>
      <c r="N75" s="115">
        <v>5233.4777229414785</v>
      </c>
      <c r="O75" s="115">
        <v>56.937409648019894</v>
      </c>
      <c r="P75" s="115">
        <v>83.076456447734103</v>
      </c>
      <c r="Q75" s="111">
        <v>56.937409648019894</v>
      </c>
      <c r="R75" s="68">
        <v>83.076456447734103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4.2557172781093368E-2</v>
      </c>
      <c r="M76" s="115">
        <v>22.752457769143284</v>
      </c>
      <c r="N76" s="115">
        <v>5233.4777496633806</v>
      </c>
      <c r="O76" s="115">
        <v>56.937409938739755</v>
      </c>
      <c r="P76" s="115">
        <v>83.076456871918765</v>
      </c>
      <c r="Q76" s="111">
        <v>56.937409938739755</v>
      </c>
      <c r="R76" s="68">
        <v>83.076456871918765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0.22885563737232387</v>
      </c>
      <c r="M77" s="115">
        <v>7.6100718398593292</v>
      </c>
      <c r="N77" s="115">
        <v>1188.4564206987202</v>
      </c>
      <c r="O77" s="115">
        <v>12.370020749528511</v>
      </c>
      <c r="P77" s="115">
        <v>11.945774387266301</v>
      </c>
      <c r="Q77" s="111">
        <v>12.370020749528511</v>
      </c>
      <c r="R77" s="68">
        <v>11.945774387266303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0.61928832472148376</v>
      </c>
      <c r="M78" s="115">
        <v>1.7720247244000593</v>
      </c>
      <c r="N78" s="115">
        <v>191.17176052107834</v>
      </c>
      <c r="O78" s="115">
        <v>2.3383216751912723</v>
      </c>
      <c r="P78" s="115">
        <v>2.2158597395551829</v>
      </c>
      <c r="Q78" s="111">
        <v>2.3383216751912723</v>
      </c>
      <c r="R78" s="68">
        <v>2.2158597395551829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0.50849126253956611</v>
      </c>
      <c r="M79" s="115">
        <v>2.9047952155039916</v>
      </c>
      <c r="N79" s="115">
        <v>389.20840092660251</v>
      </c>
      <c r="O79" s="115">
        <v>4.2235545769230152</v>
      </c>
      <c r="P79" s="115">
        <v>3.9558199164040428</v>
      </c>
      <c r="Q79" s="111">
        <v>4.2235545769230152</v>
      </c>
      <c r="R79" s="68">
        <v>3.9558199164040428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2.8893829466642418E-2</v>
      </c>
      <c r="M80" s="115">
        <v>44.21366481514054</v>
      </c>
      <c r="N80" s="115">
        <v>10181.316408436849</v>
      </c>
      <c r="O80" s="115">
        <v>70.132656290741338</v>
      </c>
      <c r="P80" s="115">
        <v>87.998294802842295</v>
      </c>
      <c r="Q80" s="111">
        <v>70.132656290741352</v>
      </c>
      <c r="R80" s="68">
        <v>87.99829480284231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0.96457924687636631</v>
      </c>
      <c r="M81" s="115">
        <v>0.91620753572225155</v>
      </c>
      <c r="N81" s="115">
        <v>1.682178548177754</v>
      </c>
      <c r="O81" s="115">
        <v>0.81133296728775106</v>
      </c>
      <c r="P81" s="115">
        <v>0.93719043465998875</v>
      </c>
      <c r="Q81" s="111">
        <v>0.81133296728775117</v>
      </c>
      <c r="R81" s="68">
        <v>0.93719043465998875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0.76908191071294552</v>
      </c>
      <c r="M82" s="115">
        <v>1.2279029753647634</v>
      </c>
      <c r="N82" s="115">
        <v>81.490017320925915</v>
      </c>
      <c r="O82" s="115">
        <v>1.3938733124531395</v>
      </c>
      <c r="P82" s="115">
        <v>1.3900751050519204</v>
      </c>
      <c r="Q82" s="111">
        <v>1.3938733124531397</v>
      </c>
      <c r="R82" s="68">
        <v>1.3900751050519204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0.27323080809449668</v>
      </c>
      <c r="M83" s="115">
        <v>7.0878163059949175</v>
      </c>
      <c r="N83" s="115">
        <v>1097.2103107761386</v>
      </c>
      <c r="O83" s="115">
        <v>11.398240081077008</v>
      </c>
      <c r="P83" s="115">
        <v>10.940814058210893</v>
      </c>
      <c r="Q83" s="111">
        <v>11.398240081077008</v>
      </c>
      <c r="R83" s="68">
        <v>10.940814058210895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0.93192167042125884</v>
      </c>
      <c r="M84" s="115">
        <v>0.91750836604033381</v>
      </c>
      <c r="N84" s="115">
        <v>6.8447540787524339</v>
      </c>
      <c r="O84" s="115">
        <v>0.8301799275059395</v>
      </c>
      <c r="P84" s="115">
        <v>0.94259120705477639</v>
      </c>
      <c r="Q84" s="111">
        <v>0.8301799275059395</v>
      </c>
      <c r="R84" s="68">
        <v>0.94259120705477639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0.98120438315406566</v>
      </c>
      <c r="M85" s="115">
        <v>0.92350656573005396</v>
      </c>
      <c r="N85" s="115">
        <v>0.3446962227841654</v>
      </c>
      <c r="O85" s="115">
        <v>0.81348998398358918</v>
      </c>
      <c r="P85" s="115">
        <v>0.94427649392732493</v>
      </c>
      <c r="Q85" s="111">
        <v>0.81348998398358918</v>
      </c>
      <c r="R85" s="68">
        <v>0.94427649392732504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0.93339162655086871</v>
      </c>
      <c r="M86" s="115">
        <v>0.91701893507634546</v>
      </c>
      <c r="N86" s="115">
        <v>6.5425230198218136</v>
      </c>
      <c r="O86" s="115">
        <v>0.82868463714473928</v>
      </c>
      <c r="P86" s="115">
        <v>0.9417934100878258</v>
      </c>
      <c r="Q86" s="111">
        <v>0.82868463714473928</v>
      </c>
      <c r="R86" s="68">
        <v>0.9417934100878258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2.9845217350307125E-3</v>
      </c>
      <c r="M87" s="115">
        <v>130.10590371944133</v>
      </c>
      <c r="N87" s="115">
        <v>21338.816163279265</v>
      </c>
      <c r="O87" s="115">
        <v>127.43309537302429</v>
      </c>
      <c r="P87" s="115">
        <v>53.142526167956262</v>
      </c>
      <c r="Q87" s="111">
        <v>127.43309537302429</v>
      </c>
      <c r="R87" s="68">
        <v>53.142526167956262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0.68619813151028197</v>
      </c>
      <c r="M88" s="115">
        <v>1.5960329024304329</v>
      </c>
      <c r="N88" s="115">
        <v>152.96819994408756</v>
      </c>
      <c r="O88" s="115">
        <v>2.0168057373076484</v>
      </c>
      <c r="P88" s="115">
        <v>1.9331107815409443</v>
      </c>
      <c r="Q88" s="111">
        <v>2.0168057373076489</v>
      </c>
      <c r="R88" s="68">
        <v>1.9331107815409445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0.75502639527858739</v>
      </c>
      <c r="M89" s="115">
        <v>1.2800279726660035</v>
      </c>
      <c r="N89" s="115">
        <v>91.973716148275457</v>
      </c>
      <c r="O89" s="115">
        <v>1.4827173652034018</v>
      </c>
      <c r="P89" s="115">
        <v>1.4660467444665697</v>
      </c>
      <c r="Q89" s="111">
        <v>1.482717365203402</v>
      </c>
      <c r="R89" s="68">
        <v>1.4660467444665697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0.87658709661830914</v>
      </c>
      <c r="M90" s="115">
        <v>0.96537366722646012</v>
      </c>
      <c r="N90" s="115">
        <v>22.979546464791945</v>
      </c>
      <c r="O90" s="115">
        <v>0.93152658271365352</v>
      </c>
      <c r="P90" s="115">
        <v>1.0123487673847189</v>
      </c>
      <c r="Q90" s="111">
        <v>0.93152658271365363</v>
      </c>
      <c r="R90" s="68">
        <v>1.0123487673847189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1.6253138429669897E-2</v>
      </c>
      <c r="M91" s="115">
        <v>53.216083752931304</v>
      </c>
      <c r="N91" s="115">
        <v>8660.9172967133291</v>
      </c>
      <c r="O91" s="115">
        <v>61.667595500400537</v>
      </c>
      <c r="P91" s="115">
        <v>38.433881017888062</v>
      </c>
      <c r="Q91" s="111">
        <v>61.667595500400537</v>
      </c>
      <c r="R91" s="68">
        <v>38.433881017888069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0.33337200177194104</v>
      </c>
      <c r="M92" s="115">
        <v>5.6642829323237791</v>
      </c>
      <c r="N92" s="115">
        <v>858.77488689779068</v>
      </c>
      <c r="O92" s="115">
        <v>8.923085777563255</v>
      </c>
      <c r="P92" s="115">
        <v>8.4829936368081817</v>
      </c>
      <c r="Q92" s="111">
        <v>8.9230857775632568</v>
      </c>
      <c r="R92" s="68">
        <v>8.4829936368081817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0.12932434618287567</v>
      </c>
      <c r="M93" s="115">
        <v>12.922738998371122</v>
      </c>
      <c r="N93" s="115">
        <v>2063.1488716336471</v>
      </c>
      <c r="O93" s="115">
        <v>21.882707885462139</v>
      </c>
      <c r="P93" s="115">
        <v>21.743734712389585</v>
      </c>
      <c r="Q93" s="111">
        <v>21.882707885462139</v>
      </c>
      <c r="R93" s="68">
        <v>21.743734712389585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0.98357905294781822</v>
      </c>
      <c r="M94" s="115">
        <v>0.97836329059595195</v>
      </c>
      <c r="N94" s="115">
        <v>13.068920435083198</v>
      </c>
      <c r="O94" s="115">
        <v>1.3724379701134797</v>
      </c>
      <c r="P94" s="115">
        <v>1.9091607347038579</v>
      </c>
      <c r="Q94" s="111">
        <v>1.3724379701134797</v>
      </c>
      <c r="R94" s="68">
        <v>1.9091607347038582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3.7878870302268004E-2</v>
      </c>
      <c r="M95" s="115">
        <v>26.632124047327803</v>
      </c>
      <c r="N95" s="115">
        <v>4310.5074168203591</v>
      </c>
      <c r="O95" s="115">
        <v>40.251464053901671</v>
      </c>
      <c r="P95" s="115">
        <v>36.091349768638899</v>
      </c>
      <c r="Q95" s="111">
        <v>40.251464053901671</v>
      </c>
      <c r="R95" s="68">
        <v>36.091349768638906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0.96347962989730951</v>
      </c>
      <c r="M96" s="115">
        <v>0.9159206838966597</v>
      </c>
      <c r="N96" s="115">
        <v>1.8023844952462316</v>
      </c>
      <c r="O96" s="115">
        <v>0.81147568961375283</v>
      </c>
      <c r="P96" s="115">
        <v>0.93695609798845103</v>
      </c>
      <c r="Q96" s="111">
        <v>0.81147568961375294</v>
      </c>
      <c r="R96" s="68">
        <v>0.93695609798845114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0.93117411715915133</v>
      </c>
      <c r="M97" s="115">
        <v>0.91777272129108967</v>
      </c>
      <c r="N97" s="115">
        <v>7.0009585128680651</v>
      </c>
      <c r="O97" s="115">
        <v>0.83096377178658354</v>
      </c>
      <c r="P97" s="115">
        <v>0.94301725267801395</v>
      </c>
      <c r="Q97" s="111">
        <v>0.83096377178658354</v>
      </c>
      <c r="R97" s="68">
        <v>0.94301725267801395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7.7019665070751073E-2</v>
      </c>
      <c r="M98" s="115">
        <v>16.920960877808994</v>
      </c>
      <c r="N98" s="115">
        <v>2721.4886370463728</v>
      </c>
      <c r="O98" s="115">
        <v>29.419354203217772</v>
      </c>
      <c r="P98" s="115">
        <v>29.851098753110577</v>
      </c>
      <c r="Q98" s="111">
        <v>29.419354203217775</v>
      </c>
      <c r="R98" s="68">
        <v>29.85109875311058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0.98486857365309788</v>
      </c>
      <c r="M99" s="115">
        <v>0.92590482852805889</v>
      </c>
      <c r="N99" s="115">
        <v>0.17762663151658434</v>
      </c>
      <c r="O99" s="115">
        <v>0.81509880551914082</v>
      </c>
      <c r="P99" s="115">
        <v>0.9467493264994542</v>
      </c>
      <c r="Q99" s="111">
        <v>0.81509880551914093</v>
      </c>
      <c r="R99" s="68">
        <v>0.9467493264994542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0.54528819120456384</v>
      </c>
      <c r="M100" s="115">
        <v>2.6221829942505352</v>
      </c>
      <c r="N100" s="115">
        <v>338.40688019451335</v>
      </c>
      <c r="O100" s="115">
        <v>3.7404478131607517</v>
      </c>
      <c r="P100" s="115">
        <v>3.5046532474949723</v>
      </c>
      <c r="Q100" s="111">
        <v>3.7404478131607517</v>
      </c>
      <c r="R100" s="68">
        <v>3.5046532474949723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0.97930729622541501</v>
      </c>
      <c r="M101" s="115">
        <v>0.92238271622135515</v>
      </c>
      <c r="N101" s="115">
        <v>0.45022329112951859</v>
      </c>
      <c r="O101" s="115">
        <v>0.81282418536401635</v>
      </c>
      <c r="P101" s="115">
        <v>0.94312821454883455</v>
      </c>
      <c r="Q101" s="111">
        <v>0.81282418536401646</v>
      </c>
      <c r="R101" s="68">
        <v>0.94312821454883466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0.98961602594149323</v>
      </c>
      <c r="M102" s="115">
        <v>0.9294895165213819</v>
      </c>
      <c r="N102" s="115">
        <v>3.8110717562504483E-2</v>
      </c>
      <c r="O102" s="115">
        <v>0.8178514268146464</v>
      </c>
      <c r="P102" s="115">
        <v>0.95046989065263132</v>
      </c>
      <c r="Q102" s="111">
        <v>0.8178514268146464</v>
      </c>
      <c r="R102" s="68">
        <v>0.95046989065263132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0.985131116094764</v>
      </c>
      <c r="M103" s="115">
        <v>0.92608859693232293</v>
      </c>
      <c r="N103" s="115">
        <v>0.16758093241621136</v>
      </c>
      <c r="O103" s="115">
        <v>0.81523089062324294</v>
      </c>
      <c r="P103" s="115">
        <v>0.94693964590767643</v>
      </c>
      <c r="Q103" s="111">
        <v>0.81523089062324294</v>
      </c>
      <c r="R103" s="68">
        <v>0.94693964590767643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0.94835888871237295</v>
      </c>
      <c r="M104" s="115">
        <v>0.91433549322303809</v>
      </c>
      <c r="N104" s="115">
        <v>3.8379629055221733</v>
      </c>
      <c r="O104" s="115">
        <v>0.81692887212204057</v>
      </c>
      <c r="P104" s="115">
        <v>0.93666432980665182</v>
      </c>
      <c r="Q104" s="111">
        <v>0.81692887212204068</v>
      </c>
      <c r="R104" s="68">
        <v>0.93666432980665182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0.98891570511907878</v>
      </c>
      <c r="M105" s="115">
        <v>0.92892434946758562</v>
      </c>
      <c r="N105" s="115">
        <v>5.2841916866694018E-2</v>
      </c>
      <c r="O105" s="115">
        <v>0.81739512195215924</v>
      </c>
      <c r="P105" s="115">
        <v>0.94988299367600759</v>
      </c>
      <c r="Q105" s="111">
        <v>0.81739512195215924</v>
      </c>
      <c r="R105" s="68">
        <v>0.94988299367600759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0.847127409610824</v>
      </c>
      <c r="M106" s="115">
        <v>1.0146248081516331</v>
      </c>
      <c r="N106" s="115">
        <v>35.392597663333348</v>
      </c>
      <c r="O106" s="115">
        <v>1.0223416187730121</v>
      </c>
      <c r="P106" s="115">
        <v>1.0826400449829523</v>
      </c>
      <c r="Q106" s="111">
        <v>1.0223416187730121</v>
      </c>
      <c r="R106" s="68">
        <v>1.0826400449829523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6.2164278880900467E-2</v>
      </c>
      <c r="M107" s="115">
        <v>18.473887582765027</v>
      </c>
      <c r="N107" s="115">
        <v>2977.1636403055295</v>
      </c>
      <c r="O107" s="115">
        <v>32.440238998573406</v>
      </c>
      <c r="P107" s="115">
        <v>33.181190166049703</v>
      </c>
      <c r="Q107" s="111">
        <v>32.440238998573413</v>
      </c>
      <c r="R107" s="68">
        <v>33.181190166049703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0.59279944311732891</v>
      </c>
      <c r="M108" s="115">
        <v>2.2116481295211243</v>
      </c>
      <c r="N108" s="115">
        <v>265.53767052498307</v>
      </c>
      <c r="O108" s="115">
        <v>3.0505509686013181</v>
      </c>
      <c r="P108" s="115">
        <v>2.8673669770727983</v>
      </c>
      <c r="Q108" s="111">
        <v>3.0505509686013181</v>
      </c>
      <c r="R108" s="68">
        <v>2.8673669770727988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2024-10-28T23:25:26Z</dcterms:modified>
</cp:coreProperties>
</file>