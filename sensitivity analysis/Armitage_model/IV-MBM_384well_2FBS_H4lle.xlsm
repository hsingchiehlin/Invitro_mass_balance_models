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E960DABE-AA80-4CDB-9D6E-5F26C3091352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<sst xmlns="http://schemas.openxmlformats.org/spreadsheetml/2006/main" count="3131" uniqueCount="515">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</sst>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85" zoomScaleNormal="85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3.3250000000000002</v>
      </c>
      <c r="K5" s="136">
        <v>3.5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1.33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0.66500000000000004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0.33250000000000002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7.0000000000000007E-2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5.6000000000000001E-2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1.9599999999999999E-2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1.085E-2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8.0499999999999999E-3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4.1999999999999997E-3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7.0000000000000007E-2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1.8E-3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4.1999999999999997E-3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5.5E-2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1.9599999999999999E-2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1.9599999999999999E-2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4.8999999999999998E-4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2.9399999999999998E-6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8.1099578793271947E-8</v>
      </c>
      <c r="J2" s="67" t="s">
        <v>231</v>
      </c>
      <c r="K2" s="68">
        <v>9.1800841803183766E-4</v>
      </c>
      <c r="L2" s="67" t="s">
        <v>231</v>
      </c>
      <c r="M2" s="68">
        <v>1.1367731848919164E-3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9.9299520356892675E-6</v>
      </c>
      <c r="J3" s="67" t="s">
        <v>231</v>
      </c>
      <c r="K3" s="68">
        <v>3.7639272791221328E-3</v>
      </c>
      <c r="L3" s="67" t="s">
        <v>231</v>
      </c>
      <c r="M3" s="68">
        <v>0.30482487594168928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9.1332690140502434E-15</v>
      </c>
      <c r="J4" s="67" t="s">
        <v>231</v>
      </c>
      <c r="K4" s="68">
        <v>1.0436700825876449E-3</v>
      </c>
      <c r="L4" s="67" t="s">
        <v>231</v>
      </c>
      <c r="M4" s="68">
        <v>3.0493415475302968E-3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2.0520499215633673E-10</v>
      </c>
      <c r="J5" s="67" t="s">
        <v>231</v>
      </c>
      <c r="K5" s="68">
        <v>1.1895402372474901E-3</v>
      </c>
      <c r="L5" s="67" t="s">
        <v>231</v>
      </c>
      <c r="M5" s="68">
        <v>7.5618685774594532E-2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8.9154333166672178E-7</v>
      </c>
      <c r="J6" s="67" t="s">
        <v>231</v>
      </c>
      <c r="K6" s="68">
        <v>1.479750900907082E-3</v>
      </c>
      <c r="L6" s="67" t="s">
        <v>231</v>
      </c>
      <c r="M6" s="68">
        <v>0.16252226649379339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7.8813207612018671E-6</v>
      </c>
      <c r="J7" s="67" t="s">
        <v>231</v>
      </c>
      <c r="K7" s="68">
        <v>2.4101901355576953E-3</v>
      </c>
      <c r="L7" s="67" t="s">
        <v>231</v>
      </c>
      <c r="M7" s="68">
        <v>0.42021410253279223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1.7243056526543697E-8</v>
      </c>
      <c r="J8" s="67" t="s">
        <v>231</v>
      </c>
      <c r="K8" s="68">
        <v>1.6903616001514997E-3</v>
      </c>
      <c r="L8" s="67" t="s">
        <v>231</v>
      </c>
      <c r="M8" s="68">
        <v>0.22812665321952494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6.407674809871853E-7</v>
      </c>
      <c r="J9" s="67" t="s">
        <v>231</v>
      </c>
      <c r="K9" s="68">
        <v>1.1399202346678143E-3</v>
      </c>
      <c r="L9" s="67" t="s">
        <v>231</v>
      </c>
      <c r="M9" s="68">
        <v>6.0300793696019948E-2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9.9529012806814855E-4</v>
      </c>
      <c r="J10" s="67" t="s">
        <v>231</v>
      </c>
      <c r="K10" s="68">
        <v>2.0222530815818499E-2</v>
      </c>
      <c r="L10" s="67" t="s">
        <v>231</v>
      </c>
      <c r="M10" s="68">
        <v>3.2645143259020242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4.1130447630484023E-8</v>
      </c>
      <c r="J11" s="67" t="s">
        <v>231</v>
      </c>
      <c r="K11" s="68">
        <v>0.21055619692563934</v>
      </c>
      <c r="L11" s="67" t="s">
        <v>231</v>
      </c>
      <c r="M11" s="68">
        <v>41.439944232717735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2.3959746903093905E-8</v>
      </c>
      <c r="J12" s="67" t="s">
        <v>231</v>
      </c>
      <c r="K12" s="68">
        <v>8.5956848813774529E-4</v>
      </c>
      <c r="L12" s="67" t="s">
        <v>231</v>
      </c>
      <c r="M12" s="68">
        <v>6.1385513721333169E-5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1.1216924546796031E-3</v>
      </c>
      <c r="J13" s="67" t="s">
        <v>231</v>
      </c>
      <c r="K13" s="68">
        <v>1.926448609011866E-3</v>
      </c>
      <c r="L13" s="67" t="s">
        <v>231</v>
      </c>
      <c r="M13" s="68">
        <v>0.21403792805553076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8.5925607867022516E-8</v>
      </c>
      <c r="J14" s="67" t="s">
        <v>231</v>
      </c>
      <c r="K14" s="68">
        <v>6.8887022864823197E-3</v>
      </c>
      <c r="L14" s="67" t="s">
        <v>231</v>
      </c>
      <c r="M14" s="68">
        <v>1.5403209575025556</v>
      </c>
      <c r="N14" s="67" t="s">
        <v>231</v>
      </c>
      <c r="P14" s="109" t="s">
        <v>229</v>
      </c>
      <c r="Q14" s="103">
        <f>COUNTIF(N2:N50000,"Yes")</f>
        <v>9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1.0879953292908983E-6</v>
      </c>
      <c r="J15" s="67" t="s">
        <v>231</v>
      </c>
      <c r="K15" s="68">
        <v>9.154744047018031E-4</v>
      </c>
      <c r="L15" s="67" t="s">
        <v>231</v>
      </c>
      <c r="M15" s="68">
        <v>2.966368190368757E-2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1.0084117251285965E-4</v>
      </c>
      <c r="J16" s="67" t="s">
        <v>231</v>
      </c>
      <c r="K16" s="68">
        <v>2.1084687032753499E-3</v>
      </c>
      <c r="L16" s="67" t="s">
        <v>231</v>
      </c>
      <c r="M16" s="68">
        <v>0.24711413990949399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2.230608817191454E-6</v>
      </c>
      <c r="J17" s="67" t="s">
        <v>231</v>
      </c>
      <c r="K17" s="68">
        <v>1.9876703929760046E-3</v>
      </c>
      <c r="L17" s="67" t="s">
        <v>231</v>
      </c>
      <c r="M17" s="68">
        <v>0.22549523121244258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1.3933995176636359E-2</v>
      </c>
      <c r="J18" s="67" t="s">
        <v>232</v>
      </c>
      <c r="K18" s="68">
        <v>0.12036752930329521</v>
      </c>
      <c r="L18" s="67" t="s">
        <v>231</v>
      </c>
      <c r="M18" s="68">
        <v>19.725692487932594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1.8132491424166081E-6</v>
      </c>
      <c r="J19" s="67" t="s">
        <v>231</v>
      </c>
      <c r="K19" s="68">
        <v>9.1404896683744505E-4</v>
      </c>
      <c r="L19" s="67" t="s">
        <v>231</v>
      </c>
      <c r="M19" s="68">
        <v>1.0249702851745788E-2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5.0826569225919429E-6</v>
      </c>
      <c r="J20" s="67" t="s">
        <v>231</v>
      </c>
      <c r="K20" s="68">
        <v>9.2690890735083167E-4</v>
      </c>
      <c r="L20" s="67" t="s">
        <v>231</v>
      </c>
      <c r="M20" s="68">
        <v>1.7659779073078842E-2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7.7472706940929383E-6</v>
      </c>
      <c r="J21" s="67" t="s">
        <v>231</v>
      </c>
      <c r="K21" s="68">
        <v>5.2314110181483206E-3</v>
      </c>
      <c r="L21" s="67" t="s">
        <v>231</v>
      </c>
      <c r="M21" s="68">
        <v>0.84309282163266708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4.0145621296996647E-8</v>
      </c>
      <c r="J22" s="67" t="s">
        <v>231</v>
      </c>
      <c r="K22" s="68">
        <v>8.5568271297394819E-4</v>
      </c>
      <c r="L22" s="67" t="s">
        <v>231</v>
      </c>
      <c r="M22" s="68">
        <v>1.8467557487969752E-3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1.1166686498241125E-5</v>
      </c>
      <c r="J23" s="67" t="s">
        <v>231</v>
      </c>
      <c r="K23" s="68">
        <v>1.018323635342529E-3</v>
      </c>
      <c r="L23" s="67" t="s">
        <v>231</v>
      </c>
      <c r="M23" s="68">
        <v>5.0144863822219492E-2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2.0894933212954546E-4</v>
      </c>
      <c r="J24" s="67" t="s">
        <v>231</v>
      </c>
      <c r="K24" s="68">
        <v>2.8549560879163071E-3</v>
      </c>
      <c r="L24" s="67" t="s">
        <v>231</v>
      </c>
      <c r="M24" s="68">
        <v>0.37956165266734715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4.5682438367834009E-3</v>
      </c>
      <c r="J25" s="67" t="s">
        <v>231</v>
      </c>
      <c r="K25" s="68">
        <v>0.10605037304596157</v>
      </c>
      <c r="L25" s="67" t="s">
        <v>231</v>
      </c>
      <c r="M25" s="68">
        <v>17.358266425378901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2.9458364260643205E-4</v>
      </c>
      <c r="J26" s="67" t="s">
        <v>231</v>
      </c>
      <c r="K26" s="68">
        <v>4.7536168764096484E-3</v>
      </c>
      <c r="L26" s="67" t="s">
        <v>231</v>
      </c>
      <c r="M26" s="68">
        <v>0.72696494487187813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6.9871048819194275E-5</v>
      </c>
      <c r="J27" s="67" t="s">
        <v>231</v>
      </c>
      <c r="K27" s="68">
        <v>2.162988652542728E-3</v>
      </c>
      <c r="L27" s="67" t="s">
        <v>231</v>
      </c>
      <c r="M27" s="68">
        <v>0.34512789049823045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2.7307898396983937E-5</v>
      </c>
      <c r="J28" s="67" t="s">
        <v>231</v>
      </c>
      <c r="K28" s="68">
        <v>9.0151788894047538E-4</v>
      </c>
      <c r="L28" s="67" t="s">
        <v>231</v>
      </c>
      <c r="M28" s="68">
        <v>0.13968048143904579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2.587069260363243E-7</v>
      </c>
      <c r="J29" s="67" t="s">
        <v>231</v>
      </c>
      <c r="K29" s="68">
        <v>6.5054012795586738E-5</v>
      </c>
      <c r="L29" s="67" t="s">
        <v>231</v>
      </c>
      <c r="M29" s="68">
        <v>1.5179969089914203E-3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6.0314097165338803E-6</v>
      </c>
      <c r="J30" s="67" t="s">
        <v>231</v>
      </c>
      <c r="K30" s="68">
        <v>3.1892820040852772E-4</v>
      </c>
      <c r="L30" s="67" t="s">
        <v>231</v>
      </c>
      <c r="M30" s="68">
        <v>4.9280843386075808E-2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8.9782049810779734E-8</v>
      </c>
      <c r="J31" s="67" t="s">
        <v>231</v>
      </c>
      <c r="K31" s="68">
        <v>5.4895142853636276E-6</v>
      </c>
      <c r="L31" s="67" t="s">
        <v>231</v>
      </c>
      <c r="M31" s="68">
        <v>8.1155025368440982E-4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9.996279931210136E-5</v>
      </c>
      <c r="J32" s="67" t="s">
        <v>231</v>
      </c>
      <c r="K32" s="68">
        <v>1.7439562691741065E-3</v>
      </c>
      <c r="L32" s="67" t="s">
        <v>231</v>
      </c>
      <c r="M32" s="68">
        <v>0.18086361191256692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3.1302095366306377E-5</v>
      </c>
      <c r="J33" s="67" t="s">
        <v>231</v>
      </c>
      <c r="K33" s="68">
        <v>1.2445036643006159E-3</v>
      </c>
      <c r="L33" s="67" t="s">
        <v>231</v>
      </c>
      <c r="M33" s="68">
        <v>8.4853515595072621E-2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1.5137345605632208E-4</v>
      </c>
      <c r="J34" s="67" t="s">
        <v>231</v>
      </c>
      <c r="K34" s="68">
        <v>5.7328492011835055E-3</v>
      </c>
      <c r="L34" s="67" t="s">
        <v>231</v>
      </c>
      <c r="M34" s="68">
        <v>0.87031315930735187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1.5369769692276463E-3</v>
      </c>
      <c r="J35" s="67" t="s">
        <v>231</v>
      </c>
      <c r="K35" s="68">
        <v>1.538963916676209E-2</v>
      </c>
      <c r="L35" s="67" t="s">
        <v>231</v>
      </c>
      <c r="M35" s="68">
        <v>2.4726251700255615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3.8936239779577752E-3</v>
      </c>
      <c r="J36" s="67" t="s">
        <v>231</v>
      </c>
      <c r="K36" s="68">
        <v>4.2228483093701398E-2</v>
      </c>
      <c r="L36" s="67" t="s">
        <v>231</v>
      </c>
      <c r="M36" s="68">
        <v>6.8605925994575614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2.9510679506582018E-3</v>
      </c>
      <c r="J37" s="67" t="s">
        <v>231</v>
      </c>
      <c r="K37" s="68">
        <v>0.11482760881297889</v>
      </c>
      <c r="L37" s="67" t="s">
        <v>231</v>
      </c>
      <c r="M37" s="68">
        <v>18.811471318010739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1.4184672703269135E-3</v>
      </c>
      <c r="J38" s="67" t="s">
        <v>231</v>
      </c>
      <c r="K38" s="68">
        <v>6.3621475153270185E-2</v>
      </c>
      <c r="L38" s="67" t="s">
        <v>231</v>
      </c>
      <c r="M38" s="68">
        <v>10.368762347652401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7.7428396883306701E-4</v>
      </c>
      <c r="J39" s="67" t="s">
        <v>231</v>
      </c>
      <c r="K39" s="68">
        <v>4.2231253087587017E-2</v>
      </c>
      <c r="L39" s="67" t="s">
        <v>231</v>
      </c>
      <c r="M39" s="68">
        <v>6.8674448429146899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1.4184672703269135E-3</v>
      </c>
      <c r="J40" s="67" t="s">
        <v>231</v>
      </c>
      <c r="K40" s="68">
        <v>6.3621475153270185E-2</v>
      </c>
      <c r="L40" s="67" t="s">
        <v>231</v>
      </c>
      <c r="M40" s="68">
        <v>10.368762347652401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8.7842700677724704E-9</v>
      </c>
      <c r="J41" s="67" t="s">
        <v>231</v>
      </c>
      <c r="K41" s="68">
        <v>9.5271746095787143E-4</v>
      </c>
      <c r="L41" s="67" t="s">
        <v>231</v>
      </c>
      <c r="M41" s="68">
        <v>5.6893826813586247E-3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5.4042330949353647E-3</v>
      </c>
      <c r="J42" s="67" t="s">
        <v>231</v>
      </c>
      <c r="K42" s="68">
        <v>0.11806076227089038</v>
      </c>
      <c r="L42" s="67" t="s">
        <v>231</v>
      </c>
      <c r="M42" s="68">
        <v>19.347662155450948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2.4261113824800202E-3</v>
      </c>
      <c r="J43" s="67" t="s">
        <v>231</v>
      </c>
      <c r="K43" s="68">
        <v>3.0887280718250761E-3</v>
      </c>
      <c r="L43" s="67" t="s">
        <v>231</v>
      </c>
      <c r="M43" s="68">
        <v>0.41998647849552473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7.2315179328278781E-3</v>
      </c>
      <c r="J44" s="67" t="s">
        <v>231</v>
      </c>
      <c r="K44" s="68">
        <v>3.0077759305901675E-2</v>
      </c>
      <c r="L44" s="67" t="s">
        <v>231</v>
      </c>
      <c r="M44" s="68">
        <v>4.8732996351774558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1.645963909831331E-2</v>
      </c>
      <c r="J45" s="67" t="s">
        <v>232</v>
      </c>
      <c r="K45" s="68">
        <v>0.15395836499547833</v>
      </c>
      <c r="L45" s="67" t="s">
        <v>231</v>
      </c>
      <c r="M45" s="68">
        <v>25.299851847990318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2.2131282963049536E-3</v>
      </c>
      <c r="J46" s="67" t="s">
        <v>231</v>
      </c>
      <c r="K46" s="68">
        <v>0.12520482433585201</v>
      </c>
      <c r="L46" s="67" t="s">
        <v>231</v>
      </c>
      <c r="M46" s="68">
        <v>20.526710938110018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3.9029690987783397E-3</v>
      </c>
      <c r="J47" s="142" t="s">
        <v>231</v>
      </c>
      <c r="K47" s="143">
        <v>9.1119212894663709E-2</v>
      </c>
      <c r="L47" s="142" t="s">
        <v>231</v>
      </c>
      <c r="M47" s="143">
        <v>14.8939837718306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6.1120834541731305E-4</v>
      </c>
      <c r="J48" s="142" t="s">
        <v>231</v>
      </c>
      <c r="K48" s="143">
        <v>1.0744397416336544E-2</v>
      </c>
      <c r="L48" s="142" t="s">
        <v>231</v>
      </c>
      <c r="M48" s="143">
        <v>1.7037146705556696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4.3481913982703971E-3</v>
      </c>
      <c r="J49" s="142" t="s">
        <v>231</v>
      </c>
      <c r="K49" s="143">
        <v>3.2134233041300107E-2</v>
      </c>
      <c r="L49" s="142" t="s">
        <v>231</v>
      </c>
      <c r="M49" s="143">
        <v>5.2093183092136934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1.0688854774214037E-3</v>
      </c>
      <c r="J50" s="142" t="s">
        <v>231</v>
      </c>
      <c r="K50" s="143">
        <v>3.576949294947817E-2</v>
      </c>
      <c r="L50" s="142" t="s">
        <v>231</v>
      </c>
      <c r="M50" s="143">
        <v>5.8036536476542206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1.5299479764822835E-3</v>
      </c>
      <c r="J51" s="142" t="s">
        <v>231</v>
      </c>
      <c r="K51" s="143">
        <v>1.3042100741311667E-2</v>
      </c>
      <c r="L51" s="142" t="s">
        <v>231</v>
      </c>
      <c r="M51" s="143">
        <v>2.082789532635327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2.8906098566617498E-2</v>
      </c>
      <c r="J52" s="142" t="s">
        <v>232</v>
      </c>
      <c r="K52" s="143">
        <v>1.0952844937248509E-2</v>
      </c>
      <c r="L52" s="142" t="s">
        <v>231</v>
      </c>
      <c r="M52" s="143">
        <v>1.738159847352361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1.0271704361582422E-2</v>
      </c>
      <c r="J53" s="142" t="s">
        <v>232</v>
      </c>
      <c r="K53" s="143">
        <v>4.9193893145891905E-2</v>
      </c>
      <c r="L53" s="142" t="s">
        <v>231</v>
      </c>
      <c r="M53" s="143">
        <v>8.001501673859865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5.1289449231673237E-3</v>
      </c>
      <c r="J54" s="67" t="s">
        <v>231</v>
      </c>
      <c r="K54" s="68">
        <v>3.3919091816070897E-2</v>
      </c>
      <c r="L54" s="67" t="s">
        <v>231</v>
      </c>
      <c r="M54" s="68">
        <v>5.5010729799792326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4.0866248792182265E-3</v>
      </c>
      <c r="J55" s="67" t="s">
        <v>231</v>
      </c>
      <c r="K55" s="68">
        <v>8.9565756228712795E-2</v>
      </c>
      <c r="L55" s="67" t="s">
        <v>231</v>
      </c>
      <c r="M55" s="68">
        <v>14.638048433139396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3.0459601151414922E-3</v>
      </c>
      <c r="J56" s="67" t="s">
        <v>231</v>
      </c>
      <c r="K56" s="68">
        <v>3.0758010777830559E-2</v>
      </c>
      <c r="L56" s="67" t="s">
        <v>231</v>
      </c>
      <c r="M56" s="68">
        <v>4.9844269229100018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4.2312708423638814E-3</v>
      </c>
      <c r="J57" s="67" t="s">
        <v>231</v>
      </c>
      <c r="K57" s="68">
        <v>9.7481258197267082E-3</v>
      </c>
      <c r="L57" s="67" t="s">
        <v>231</v>
      </c>
      <c r="M57" s="68">
        <v>1.5395477720790114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3.1179668840488679E-2</v>
      </c>
      <c r="J58" s="67" t="s">
        <v>232</v>
      </c>
      <c r="K58" s="68">
        <v>3.4285422166849537E-2</v>
      </c>
      <c r="L58" s="67" t="s">
        <v>231</v>
      </c>
      <c r="M58" s="68">
        <v>5.5609649221960513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2.9917900991963046E-3</v>
      </c>
      <c r="J59" s="67" t="s">
        <v>231</v>
      </c>
      <c r="K59" s="68">
        <v>1.0957023999152953E-2</v>
      </c>
      <c r="L59" s="67" t="s">
        <v>231</v>
      </c>
      <c r="M59" s="68">
        <v>1.7388230428639855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1.4735492936474602E-2</v>
      </c>
      <c r="J60" s="67" t="s">
        <v>232</v>
      </c>
      <c r="K60" s="68">
        <v>4.4873461561164903E-2</v>
      </c>
      <c r="L60" s="67" t="s">
        <v>231</v>
      </c>
      <c r="M60" s="68">
        <v>7.2937371291651116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4.7085165180502286E-5</v>
      </c>
      <c r="J61" s="67" t="s">
        <v>231</v>
      </c>
      <c r="K61" s="68">
        <v>4.2347063848232752E-2</v>
      </c>
      <c r="L61" s="67" t="s">
        <v>231</v>
      </c>
      <c r="M61" s="68">
        <v>1.4828832543072412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2.2661461001233007E-4</v>
      </c>
      <c r="J62" s="67" t="s">
        <v>231</v>
      </c>
      <c r="K62" s="68">
        <v>5.4602601953539073E-3</v>
      </c>
      <c r="L62" s="67" t="s">
        <v>231</v>
      </c>
      <c r="M62" s="68">
        <v>0.82444651674467939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1.7333569919800029E-6</v>
      </c>
      <c r="J63" s="67" t="s">
        <v>231</v>
      </c>
      <c r="K63" s="68">
        <v>4.7812248664380217E-3</v>
      </c>
      <c r="L63" s="67" t="s">
        <v>231</v>
      </c>
      <c r="M63" s="68">
        <v>0.1147495904466302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1.0607120671136465E-7</v>
      </c>
      <c r="J64" s="67" t="s">
        <v>231</v>
      </c>
      <c r="K64" s="68">
        <v>9.3863574803752098E-4</v>
      </c>
      <c r="L64" s="67" t="s">
        <v>231</v>
      </c>
      <c r="M64" s="68">
        <v>2.2714833376783392E-3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2.0097087048908304E-8</v>
      </c>
      <c r="J65" s="67" t="s">
        <v>231</v>
      </c>
      <c r="K65" s="68">
        <v>1.2748701616438335E-3</v>
      </c>
      <c r="L65" s="67" t="s">
        <v>231</v>
      </c>
      <c r="M65" s="68">
        <v>9.5556438993486641E-3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1.7573766547223523E-7</v>
      </c>
      <c r="J66" s="67" t="s">
        <v>231</v>
      </c>
      <c r="K66" s="68">
        <v>3.9555813430664437E-2</v>
      </c>
      <c r="L66" s="67" t="s">
        <v>231</v>
      </c>
      <c r="M66" s="68">
        <v>1.0706782780081356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1.9795150672549932E-8</v>
      </c>
      <c r="J67" s="67" t="s">
        <v>231</v>
      </c>
      <c r="K67" s="68">
        <v>1.2161001049957321E-3</v>
      </c>
      <c r="L67" s="67" t="s">
        <v>231</v>
      </c>
      <c r="M67" s="68">
        <v>7.9542052754786128E-3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6.4256025337320521E-9</v>
      </c>
      <c r="J68" s="67" t="s">
        <v>231</v>
      </c>
      <c r="K68" s="68">
        <v>9.6945920536361759E-4</v>
      </c>
      <c r="L68" s="67" t="s">
        <v>231</v>
      </c>
      <c r="M68" s="68">
        <v>1.0547065999465231E-3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1.7068460841156076E-4</v>
      </c>
      <c r="J69" s="67" t="s">
        <v>231</v>
      </c>
      <c r="K69" s="68">
        <v>2.7449698585670548E-2</v>
      </c>
      <c r="L69" s="67" t="s">
        <v>231</v>
      </c>
      <c r="M69" s="68">
        <v>4.4440098704762141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2.2840346083919277E-14</v>
      </c>
      <c r="J70" s="67" t="s">
        <v>231</v>
      </c>
      <c r="K70" s="68">
        <v>9.461326047379917E-4</v>
      </c>
      <c r="L70" s="67" t="s">
        <v>231</v>
      </c>
      <c r="M70" s="68">
        <v>3.808292329281E-3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1.982853974712894E-10</v>
      </c>
      <c r="J71" s="67" t="s">
        <v>231</v>
      </c>
      <c r="K71" s="68">
        <v>9.5722790887629069E-4</v>
      </c>
      <c r="L71" s="67" t="s">
        <v>231</v>
      </c>
      <c r="M71" s="68">
        <v>6.9767213022946433E-3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2.7621797566804079E-13</v>
      </c>
      <c r="J72" s="67" t="s">
        <v>231</v>
      </c>
      <c r="K72" s="68">
        <v>2.719140703303087E-2</v>
      </c>
      <c r="L72" s="67" t="s">
        <v>231</v>
      </c>
      <c r="M72" s="68">
        <v>6.2571329771816027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1.1811570205937121E-10</v>
      </c>
      <c r="J73" s="67" t="s">
        <v>231</v>
      </c>
      <c r="K73" s="68">
        <v>2.7591982946573506E-3</v>
      </c>
      <c r="L73" s="67" t="s">
        <v>231</v>
      </c>
      <c r="M73" s="68">
        <v>0.5770765797368459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1.8592115969496284E-11</v>
      </c>
      <c r="J74" s="67" t="s">
        <v>231</v>
      </c>
      <c r="K74" s="68">
        <v>9.5506558702926662E-4</v>
      </c>
      <c r="L74" s="67" t="s">
        <v>231</v>
      </c>
      <c r="M74" s="68">
        <v>6.3570268095300237E-3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7.0009418621579896E-13</v>
      </c>
      <c r="J75" s="67" t="s">
        <v>231</v>
      </c>
      <c r="K75" s="68">
        <v>2.6954442263988974E-3</v>
      </c>
      <c r="L75" s="67" t="s">
        <v>231</v>
      </c>
      <c r="M75" s="68">
        <v>0.55464048940479493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1.6573720090644083E-8</v>
      </c>
      <c r="J76" s="67" t="s">
        <v>231</v>
      </c>
      <c r="K76" s="68">
        <v>1.2900510269119854E-3</v>
      </c>
      <c r="L76" s="67" t="s">
        <v>231</v>
      </c>
      <c r="M76" s="68">
        <v>0.10595305513822834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4.906345219386117E-7</v>
      </c>
      <c r="J77" s="67" t="s">
        <v>231</v>
      </c>
      <c r="K77" s="68">
        <v>2.7419552139537739E-3</v>
      </c>
      <c r="L77" s="67" t="s">
        <v>231</v>
      </c>
      <c r="M77" s="68">
        <v>0.57094587637852257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2.724752657318411E-12</v>
      </c>
      <c r="J78" s="67" t="s">
        <v>231</v>
      </c>
      <c r="K78" s="68">
        <v>2.2752460448916736E-2</v>
      </c>
      <c r="L78" s="67" t="s">
        <v>231</v>
      </c>
      <c r="M78" s="68">
        <v>5.2334781015039598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1.499017596576485E-15</v>
      </c>
      <c r="J79" s="67" t="s">
        <v>231</v>
      </c>
      <c r="K79" s="68">
        <v>2.2752446868438157E-2</v>
      </c>
      <c r="L79" s="67" t="s">
        <v>231</v>
      </c>
      <c r="M79" s="68">
        <v>5.2334762627631202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8.2453470008730947E-14</v>
      </c>
      <c r="J80" s="67" t="s">
        <v>231</v>
      </c>
      <c r="K80" s="68">
        <v>1.8988506216783779E-3</v>
      </c>
      <c r="L80" s="67" t="s">
        <v>231</v>
      </c>
      <c r="M80" s="68">
        <v>0.29419337249144639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8.4709427706808498E-11</v>
      </c>
      <c r="J81" s="67" t="s">
        <v>231</v>
      </c>
      <c r="K81" s="68">
        <v>1.0205964874047558E-3</v>
      </c>
      <c r="L81" s="67" t="s">
        <v>231</v>
      </c>
      <c r="M81" s="68">
        <v>2.5396071303337327E-2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2.1423778041175344E-15</v>
      </c>
      <c r="J82" s="67" t="s">
        <v>231</v>
      </c>
      <c r="K82" s="68">
        <v>1.1402462785929607E-3</v>
      </c>
      <c r="L82" s="67" t="s">
        <v>231</v>
      </c>
      <c r="M82" s="68">
        <v>6.0860249986644646E-2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1.6245256556529244E-13</v>
      </c>
      <c r="J83" s="67" t="s">
        <v>231</v>
      </c>
      <c r="K83" s="68">
        <v>4.4213669456455093E-2</v>
      </c>
      <c r="L83" s="67" t="s">
        <v>231</v>
      </c>
      <c r="M83" s="68">
        <v>10.181316966028877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5.1205713146585508E-2</v>
      </c>
      <c r="J84" s="67" t="s">
        <v>232</v>
      </c>
      <c r="K84" s="68">
        <v>3.8386035306336068E-3</v>
      </c>
      <c r="L84" s="67" t="s">
        <v>231</v>
      </c>
      <c r="M84" s="68">
        <v>0.54929957628920512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1.5287829289618182E-5</v>
      </c>
      <c r="J85" s="67" t="s">
        <v>231</v>
      </c>
      <c r="K85" s="68">
        <v>1.0833399160967248</v>
      </c>
      <c r="L85" s="67" t="s">
        <v>232</v>
      </c>
      <c r="M85" s="68">
        <v>29.923777379779001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1.5558579270641656E-3</v>
      </c>
      <c r="J86" s="67" t="s">
        <v>231</v>
      </c>
      <c r="K86" s="68">
        <v>0.14571331296582318</v>
      </c>
      <c r="L86" s="67" t="s">
        <v>231</v>
      </c>
      <c r="M86" s="68">
        <v>23.929001074274677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1.2652695719485012E-3</v>
      </c>
      <c r="J87" s="67" t="s">
        <v>231</v>
      </c>
      <c r="K87" s="68">
        <v>0.18664696498662828</v>
      </c>
      <c r="L87" s="67" t="s">
        <v>231</v>
      </c>
      <c r="M87" s="68">
        <v>30.754940589765116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2.1612264047853307E-3</v>
      </c>
      <c r="J88" s="67" t="s">
        <v>231</v>
      </c>
      <c r="K88" s="68">
        <v>0.226257460377388</v>
      </c>
      <c r="L88" s="67" t="s">
        <v>231</v>
      </c>
      <c r="M88" s="68">
        <v>37.423887829006148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6.7438145638548334E-7</v>
      </c>
      <c r="J89" s="67" t="s">
        <v>231</v>
      </c>
      <c r="K89" s="68">
        <v>1.8496052017098257</v>
      </c>
      <c r="L89" s="67" t="s">
        <v>232</v>
      </c>
      <c r="M89" s="68">
        <v>51.689942998653812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1.905312148375234E-5</v>
      </c>
      <c r="J90" s="67" t="s">
        <v>231</v>
      </c>
      <c r="K90" s="68">
        <v>9.1845827104893518E-4</v>
      </c>
      <c r="L90" s="67" t="s">
        <v>231</v>
      </c>
      <c r="M90" s="68">
        <v>1.4770803107722317E-3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3.5507777072526562E-5</v>
      </c>
      <c r="J91" s="67" t="s">
        <v>231</v>
      </c>
      <c r="K91" s="68">
        <v>1.2279029753647635E-3</v>
      </c>
      <c r="L91" s="67" t="s">
        <v>231</v>
      </c>
      <c r="M91" s="68">
        <v>8.1490017320925909E-2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5.8373328443307258E-5</v>
      </c>
      <c r="J92" s="67" t="s">
        <v>231</v>
      </c>
      <c r="K92" s="68">
        <v>7.0878163059949172E-3</v>
      </c>
      <c r="L92" s="67" t="s">
        <v>231</v>
      </c>
      <c r="M92" s="68">
        <v>1.0972103107761386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1.2898140456866832E-8</v>
      </c>
      <c r="J93" s="67" t="s">
        <v>231</v>
      </c>
      <c r="K93" s="68">
        <v>9.34729957423455E-4</v>
      </c>
      <c r="L93" s="67" t="s">
        <v>231</v>
      </c>
      <c r="M93" s="68">
        <v>6.2186356475862968E-4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2.1062841909927714E-18</v>
      </c>
      <c r="J94" s="67" t="s">
        <v>231</v>
      </c>
      <c r="K94" s="68">
        <v>9.3804875350291948E-4</v>
      </c>
      <c r="L94" s="67" t="s">
        <v>231</v>
      </c>
      <c r="M94" s="68">
        <v>1.5090143596745267E-4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2.2760478252817372E-6</v>
      </c>
      <c r="J95" s="67" t="s">
        <v>231</v>
      </c>
      <c r="K95" s="68">
        <v>9.2808966725983918E-4</v>
      </c>
      <c r="L95" s="67" t="s">
        <v>231</v>
      </c>
      <c r="M95" s="68">
        <v>6.3839281855934821E-3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1.65462077424222E-2</v>
      </c>
      <c r="J96" s="67" t="s">
        <v>232</v>
      </c>
      <c r="K96" s="68">
        <v>0.13010590371944133</v>
      </c>
      <c r="L96" s="67" t="s">
        <v>231</v>
      </c>
      <c r="M96" s="68">
        <v>21.338816163279265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1.1140965093265339E-4</v>
      </c>
      <c r="J97" s="67" t="s">
        <v>231</v>
      </c>
      <c r="K97" s="68">
        <v>1.5960329024304329E-3</v>
      </c>
      <c r="L97" s="67" t="s">
        <v>231</v>
      </c>
      <c r="M97" s="68">
        <v>0.15296819994408756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2.884978563884022E-5</v>
      </c>
      <c r="J98" s="67" t="s">
        <v>231</v>
      </c>
      <c r="K98" s="68">
        <v>1.2800279726660037E-3</v>
      </c>
      <c r="L98" s="67" t="s">
        <v>231</v>
      </c>
      <c r="M98" s="68">
        <v>9.1973716148275458E-2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1.7866554622519277E-6</v>
      </c>
      <c r="J99" s="67" t="s">
        <v>231</v>
      </c>
      <c r="K99" s="68">
        <v>9.6537366722646012E-4</v>
      </c>
      <c r="L99" s="67" t="s">
        <v>231</v>
      </c>
      <c r="M99" s="68">
        <v>2.2979546464791945E-2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1.0804691045070272E-2</v>
      </c>
      <c r="J100" s="67" t="s">
        <v>232</v>
      </c>
      <c r="K100" s="68">
        <v>5.3216083752931305E-2</v>
      </c>
      <c r="L100" s="67" t="s">
        <v>231</v>
      </c>
      <c r="M100" s="68">
        <v>8.660917296713329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3.4147489394470633E-2</v>
      </c>
      <c r="J101" s="67" t="s">
        <v>232</v>
      </c>
      <c r="K101" s="68">
        <v>5.6642829323237786E-3</v>
      </c>
      <c r="L101" s="67" t="s">
        <v>231</v>
      </c>
      <c r="M101" s="68">
        <v>0.85877488689779069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1.8387743115399185E-2</v>
      </c>
      <c r="J102" s="67" t="s">
        <v>232</v>
      </c>
      <c r="K102" s="68">
        <v>1.2922738998371121E-2</v>
      </c>
      <c r="L102" s="67" t="s">
        <v>231</v>
      </c>
      <c r="M102" s="68">
        <v>2.0631488716336475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1.7110876007107163E-9</v>
      </c>
      <c r="J103" s="67" t="s">
        <v>231</v>
      </c>
      <c r="K103" s="68">
        <v>9.7829157594287526E-4</v>
      </c>
      <c r="L103" s="67" t="s">
        <v>231</v>
      </c>
      <c r="M103" s="68">
        <v>1.3051437116659646E-2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2.2194588373047266E-6</v>
      </c>
      <c r="J104" s="67" t="s">
        <v>231</v>
      </c>
      <c r="K104" s="68">
        <v>4.5855921080620657E-3</v>
      </c>
      <c r="L104" s="67" t="s">
        <v>231</v>
      </c>
      <c r="M104" s="68">
        <v>1.0153972854916702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9.6954022404150967E-8</v>
      </c>
      <c r="J105" s="67" t="s">
        <v>231</v>
      </c>
      <c r="K105" s="68">
        <v>9.1592068389665976E-4</v>
      </c>
      <c r="L105" s="67" t="s">
        <v>231</v>
      </c>
      <c r="M105" s="68">
        <v>1.8023844952462316E-3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3.3262252971879143E-8</v>
      </c>
      <c r="J106" s="67" t="s">
        <v>231</v>
      </c>
      <c r="K106" s="68">
        <v>9.2724990175239801E-4</v>
      </c>
      <c r="L106" s="67" t="s">
        <v>231</v>
      </c>
      <c r="M106" s="68">
        <v>6.8655015769077208E-3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3.4667914026026611E-5</v>
      </c>
      <c r="J107" s="67" t="s">
        <v>231</v>
      </c>
      <c r="K107" s="68">
        <v>2.9832755025578455E-2</v>
      </c>
      <c r="L107" s="67" t="s">
        <v>231</v>
      </c>
      <c r="M107" s="68">
        <v>2.8418368910917842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2.6463812058764036E-10</v>
      </c>
      <c r="J108" s="67" t="s">
        <v>231</v>
      </c>
      <c r="K108" s="68">
        <v>9.3533391532162025E-4</v>
      </c>
      <c r="L108" s="67" t="s">
        <v>231</v>
      </c>
      <c r="M108" s="68">
        <v>7.8103462582686776E-5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2.8891542435221636E-6</v>
      </c>
      <c r="J109" s="67" t="s">
        <v>231</v>
      </c>
      <c r="K109" s="68">
        <v>1.0658561505961374E-2</v>
      </c>
      <c r="L109" s="67" t="s">
        <v>231</v>
      </c>
      <c r="M109" s="68">
        <v>0.27250813247428629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5.8239523289286076E-6</v>
      </c>
      <c r="J110" s="67" t="s">
        <v>231</v>
      </c>
      <c r="K110" s="68">
        <v>9.2809248018828165E-4</v>
      </c>
      <c r="L110" s="67" t="s">
        <v>231</v>
      </c>
      <c r="M110" s="68">
        <v>2.2195705134501285E-4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8.116334845405749E-14</v>
      </c>
      <c r="J111" s="67" t="s">
        <v>231</v>
      </c>
      <c r="K111" s="68">
        <v>9.3255961216477082E-4</v>
      </c>
      <c r="L111" s="67" t="s">
        <v>231</v>
      </c>
      <c r="M111" s="68">
        <v>3.2328518275050725E-6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9.1568497386582567E-9</v>
      </c>
      <c r="J112" s="67" t="s">
        <v>231</v>
      </c>
      <c r="K112" s="68">
        <v>9.2608859693232295E-4</v>
      </c>
      <c r="L112" s="67" t="s">
        <v>231</v>
      </c>
      <c r="M112" s="68">
        <v>1.6758093241621137E-4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4.2152253925126436E-7</v>
      </c>
      <c r="J113" s="67" t="s">
        <v>231</v>
      </c>
      <c r="K113" s="68">
        <v>9.1433549322303799E-4</v>
      </c>
      <c r="L113" s="67" t="s">
        <v>231</v>
      </c>
      <c r="M113" s="68">
        <v>3.8379629055221732E-3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5.6962006426698107E-8</v>
      </c>
      <c r="J114" s="67" t="s">
        <v>231</v>
      </c>
      <c r="K114" s="68">
        <v>9.2898095881893412E-4</v>
      </c>
      <c r="L114" s="67" t="s">
        <v>231</v>
      </c>
      <c r="M114" s="68">
        <v>5.2089687108190829E-5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4.8502320531459675E-11</v>
      </c>
      <c r="J115" s="67" t="s">
        <v>231</v>
      </c>
      <c r="K115" s="68">
        <v>9.4494448045151632E-4</v>
      </c>
      <c r="L115" s="67" t="s">
        <v>231</v>
      </c>
      <c r="M115" s="68">
        <v>3.4721059446161224E-3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3.2740134799779698E-5</v>
      </c>
      <c r="J116" s="67" t="s">
        <v>231</v>
      </c>
      <c r="K116" s="68">
        <v>0.36194446642541334</v>
      </c>
      <c r="L116" s="67" t="s">
        <v>231</v>
      </c>
      <c r="M116" s="68">
        <v>10.030906326793946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8.3350179399270348E-5</v>
      </c>
      <c r="J117" s="67" t="s">
        <v>231</v>
      </c>
      <c r="K117" s="68">
        <v>2.2116481295211244E-3</v>
      </c>
      <c r="L117" s="67" t="s">
        <v>231</v>
      </c>
      <c r="M117" s="68">
        <v>0.26553767052498306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0.97625168958527242</v>
      </c>
      <c r="F2" s="14">
        <v>0.97654850739212729</v>
      </c>
      <c r="G2" s="14">
        <v>2.9040380891765006E-10</v>
      </c>
      <c r="H2" s="14">
        <v>0.17012722594452881</v>
      </c>
      <c r="I2" s="14">
        <v>0.63216579185471022</v>
      </c>
      <c r="J2" s="14">
        <v>0</v>
      </c>
      <c r="K2" s="14">
        <v>1.0240146725230268</v>
      </c>
      <c r="L2" s="14">
        <v>0.9765485073921274</v>
      </c>
      <c r="M2" s="14">
        <v>0.80125805031524056</v>
      </c>
      <c r="N2" s="14">
        <v>0.91800841803183764</v>
      </c>
      <c r="O2" s="14">
        <v>178.26805469760254</v>
      </c>
      <c r="P2" s="8">
        <v>0.91800841803183764</v>
      </c>
      <c r="Q2" s="54">
        <v>1.5726460603645621E-2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0.61889997363653548</v>
      </c>
      <c r="F3" s="14">
        <v>0.59010454645184318</v>
      </c>
      <c r="G3" s="14">
        <v>2.793736322092718E-10</v>
      </c>
      <c r="H3" s="14">
        <v>66.372175800338937</v>
      </c>
      <c r="I3" s="14">
        <v>149.29176861815398</v>
      </c>
      <c r="J3" s="14">
        <v>0</v>
      </c>
      <c r="K3" s="14">
        <v>1.6946149729107485</v>
      </c>
      <c r="L3" s="14">
        <v>0.59010454645184329</v>
      </c>
      <c r="M3" s="14">
        <v>0.48418078036373741</v>
      </c>
      <c r="N3" s="14">
        <v>3.7639272791221328</v>
      </c>
      <c r="O3" s="14">
        <v>963.90413691038691</v>
      </c>
      <c r="P3" s="8">
        <v>3.7639272791221332</v>
      </c>
      <c r="Q3" s="54">
        <v>0.25599758187582078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0.99946802506764976</v>
      </c>
      <c r="F4" s="14">
        <v>0.99981571637980771</v>
      </c>
      <c r="G4" s="14">
        <v>1.5060814065040912E-19</v>
      </c>
      <c r="H4" s="14">
        <v>0.11945929833436562</v>
      </c>
      <c r="I4" s="14">
        <v>1.2180839384486116E-3</v>
      </c>
      <c r="J4" s="14">
        <v>0</v>
      </c>
      <c r="K4" s="14">
        <v>1.0001843175869045</v>
      </c>
      <c r="L4" s="14">
        <v>0.99981571637980771</v>
      </c>
      <c r="M4" s="14">
        <v>0.82034879528963223</v>
      </c>
      <c r="N4" s="14">
        <v>1.043670082587645</v>
      </c>
      <c r="O4" s="14">
        <v>309.08289495833105</v>
      </c>
      <c r="P4" s="8">
        <v>1.043670082587645</v>
      </c>
      <c r="Q4" s="54">
        <v>1.3889199520477012E-5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0.9991011044931386</v>
      </c>
      <c r="F5" s="14">
        <v>0.92350239090182307</v>
      </c>
      <c r="G5" s="14">
        <v>4.2268598348035487E-12</v>
      </c>
      <c r="H5" s="14">
        <v>215.87284946926727</v>
      </c>
      <c r="I5" s="14">
        <v>0.15864226625806743</v>
      </c>
      <c r="J5" s="14">
        <v>0</v>
      </c>
      <c r="K5" s="14">
        <v>1.0828342296152316</v>
      </c>
      <c r="L5" s="14">
        <v>0.92350239090182307</v>
      </c>
      <c r="M5" s="14">
        <v>0.75773371173494586</v>
      </c>
      <c r="N5" s="14">
        <v>1.1895402372474901</v>
      </c>
      <c r="O5" s="14">
        <v>262.9359740411852</v>
      </c>
      <c r="P5" s="8">
        <v>1.1895402372474901</v>
      </c>
      <c r="Q5" s="54">
        <v>2.1331377687999447E-4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0.99748355929739208</v>
      </c>
      <c r="F6" s="14">
        <v>0.82632931835094303</v>
      </c>
      <c r="G6" s="14">
        <v>5.2423688223881002E-13</v>
      </c>
      <c r="H6" s="14">
        <v>487.22903610080385</v>
      </c>
      <c r="I6" s="14">
        <v>1.3082396370583667</v>
      </c>
      <c r="J6" s="14">
        <v>0</v>
      </c>
      <c r="K6" s="14">
        <v>1.2101712692412285</v>
      </c>
      <c r="L6" s="14">
        <v>0.82632931835094303</v>
      </c>
      <c r="M6" s="14">
        <v>0.67800320570694872</v>
      </c>
      <c r="N6" s="14">
        <v>1.4797509009070822</v>
      </c>
      <c r="O6" s="14">
        <v>340.72744244286469</v>
      </c>
      <c r="P6" s="8">
        <v>1.4797509009070822</v>
      </c>
      <c r="Q6" s="54">
        <v>1.209169831937902E-3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0.98026519208768159</v>
      </c>
      <c r="F7" s="14">
        <v>0.53799889336774998</v>
      </c>
      <c r="G7" s="14">
        <v>8.9653757531722784E-9</v>
      </c>
      <c r="H7" s="14">
        <v>1255.051023899493</v>
      </c>
      <c r="I7" s="14">
        <v>23.65473578222246</v>
      </c>
      <c r="J7" s="14">
        <v>0</v>
      </c>
      <c r="K7" s="14">
        <v>1.8587398827908894</v>
      </c>
      <c r="L7" s="14">
        <v>0.53799889336775009</v>
      </c>
      <c r="M7" s="14">
        <v>0.4414280920082389</v>
      </c>
      <c r="N7" s="14">
        <v>2.4101901355576949</v>
      </c>
      <c r="O7" s="14">
        <v>497.17402116284137</v>
      </c>
      <c r="P7" s="8">
        <v>2.4101901355576953</v>
      </c>
      <c r="Q7" s="54">
        <v>1.2523280306902177E-2</v>
      </c>
    </row>
    <row r="8" spans="1:20">
      <c r="A8" s="2" t="s">
        <v>289</v>
      </c>
      <c r="B8" s="16" t="s">
        <v>290</v>
      </c>
      <c r="D8" s="14">
        <v>1</v>
      </c>
      <c r="E8" s="14">
        <v>0.99804289762071585</v>
      </c>
      <c r="F8" s="14">
        <v>0.7485559497219938</v>
      </c>
      <c r="G8" s="14">
        <v>4.1495394034687181E-19</v>
      </c>
      <c r="H8" s="14">
        <v>709.81351900437642</v>
      </c>
      <c r="I8" s="14">
        <v>0.99937957004768452</v>
      </c>
      <c r="J8" s="14">
        <v>0</v>
      </c>
      <c r="K8" s="14">
        <v>1.335905486251749</v>
      </c>
      <c r="L8" s="14">
        <v>0.74855594972199391</v>
      </c>
      <c r="M8" s="14">
        <v>0.61419015674689592</v>
      </c>
      <c r="N8" s="14">
        <v>1.6903616001514996</v>
      </c>
      <c r="O8" s="14">
        <v>588.95578872478552</v>
      </c>
      <c r="P8" s="8">
        <v>1.6903616001514998</v>
      </c>
      <c r="Q8" s="54">
        <v>7.6195700676665132E-4</v>
      </c>
    </row>
    <row r="9" spans="1:20">
      <c r="A9" s="2" t="s">
        <v>291</v>
      </c>
      <c r="B9" s="16" t="s">
        <v>292</v>
      </c>
      <c r="D9" s="14">
        <v>1</v>
      </c>
      <c r="E9" s="14">
        <v>0.99813750770817311</v>
      </c>
      <c r="F9" s="14">
        <v>0.93977728704776609</v>
      </c>
      <c r="G9" s="14">
        <v>8.1734805178808257E-15</v>
      </c>
      <c r="H9" s="14">
        <v>166.84951346801421</v>
      </c>
      <c r="I9" s="14">
        <v>0.58554261588461887</v>
      </c>
      <c r="J9" s="14">
        <v>0</v>
      </c>
      <c r="K9" s="14">
        <v>1.0640818987458387</v>
      </c>
      <c r="L9" s="14">
        <v>0.93977728704776609</v>
      </c>
      <c r="M9" s="14">
        <v>0.77108726402269212</v>
      </c>
      <c r="N9" s="14">
        <v>1.1399202346678143</v>
      </c>
      <c r="O9" s="14">
        <v>351.47160595512719</v>
      </c>
      <c r="P9" s="8">
        <v>1.1399202346678143</v>
      </c>
      <c r="Q9" s="54">
        <v>8.8015367887030139E-4</v>
      </c>
    </row>
    <row r="10" spans="1:20">
      <c r="A10" s="2" t="s">
        <v>367</v>
      </c>
      <c r="B10" s="16" t="s">
        <v>368</v>
      </c>
      <c r="D10" s="14">
        <v>1</v>
      </c>
      <c r="E10" s="14">
        <v>0.46585222376160851</v>
      </c>
      <c r="F10" s="14">
        <v>4.9312676932221473E-2</v>
      </c>
      <c r="G10" s="14">
        <v>7.6620867804872409E-7</v>
      </c>
      <c r="H10" s="14">
        <v>1007.9026308068221</v>
      </c>
      <c r="I10" s="14">
        <v>1629.9555068497357</v>
      </c>
      <c r="J10" s="14">
        <v>0</v>
      </c>
      <c r="K10" s="14">
        <v>20.278761207274641</v>
      </c>
      <c r="L10" s="14">
        <v>4.931267693222148E-2</v>
      </c>
      <c r="M10" s="14">
        <v>4.0461051422887723E-2</v>
      </c>
      <c r="N10" s="14">
        <v>20.222530815818498</v>
      </c>
      <c r="O10" s="14">
        <v>5628.7392272749203</v>
      </c>
      <c r="P10" s="8">
        <v>20.222530815818502</v>
      </c>
      <c r="Q10" s="54">
        <v>0.35381459971639084</v>
      </c>
    </row>
    <row r="11" spans="1:20">
      <c r="A11" s="2" t="s">
        <v>369</v>
      </c>
      <c r="B11" s="16" t="s">
        <v>370</v>
      </c>
      <c r="D11" s="14">
        <v>1</v>
      </c>
      <c r="E11" s="14">
        <v>0.75847308963036042</v>
      </c>
      <c r="F11" s="14">
        <v>4.7918220169059621E-3</v>
      </c>
      <c r="G11" s="14">
        <v>5.1629365847171716E-13</v>
      </c>
      <c r="H11" s="14">
        <v>1237.7720697525563</v>
      </c>
      <c r="I11" s="14">
        <v>8373.3002798844773</v>
      </c>
      <c r="J11" s="14">
        <v>0</v>
      </c>
      <c r="K11" s="14">
        <v>208.68888628832906</v>
      </c>
      <c r="L11" s="14">
        <v>4.7918220169059621E-3</v>
      </c>
      <c r="M11" s="14">
        <v>3.931689964871342E-3</v>
      </c>
      <c r="N11" s="14">
        <v>210.55619692563934</v>
      </c>
      <c r="O11" s="14">
        <v>85675.31652904264</v>
      </c>
      <c r="P11" s="8">
        <v>210.55619692563937</v>
      </c>
      <c r="Q11" s="54">
        <v>9.3389202334986682E-2</v>
      </c>
    </row>
    <row r="12" spans="1:20">
      <c r="A12" s="2" t="s">
        <v>371</v>
      </c>
      <c r="B12" s="16" t="s">
        <v>372</v>
      </c>
      <c r="D12" s="14">
        <v>1</v>
      </c>
      <c r="E12" s="14">
        <v>0.92070959175617206</v>
      </c>
      <c r="F12" s="14">
        <v>0.92106480240413979</v>
      </c>
      <c r="G12" s="14">
        <v>8.2986221140180785E-4</v>
      </c>
      <c r="H12" s="14">
        <v>7.3299139307806873E-3</v>
      </c>
      <c r="I12" s="14">
        <v>3.3639412738147988E-2</v>
      </c>
      <c r="J12" s="14">
        <v>0</v>
      </c>
      <c r="K12" s="14">
        <v>1.0856999392331848</v>
      </c>
      <c r="L12" s="14">
        <v>0.9210648024041399</v>
      </c>
      <c r="M12" s="14">
        <v>0.75573367037259676</v>
      </c>
      <c r="N12" s="14">
        <v>0.85956848813774522</v>
      </c>
      <c r="O12" s="14">
        <v>120.50290635203051</v>
      </c>
      <c r="P12" s="8">
        <v>0.85956848813774533</v>
      </c>
      <c r="Q12" s="54">
        <v>2.8225939444725323E-3</v>
      </c>
    </row>
    <row r="13" spans="1:20">
      <c r="A13" s="2" t="s">
        <v>293</v>
      </c>
      <c r="B13" s="16" t="s">
        <v>294</v>
      </c>
      <c r="D13" s="14">
        <v>1</v>
      </c>
      <c r="E13" s="14">
        <v>0.64534862730936149</v>
      </c>
      <c r="F13" s="14">
        <v>0.62464136146227112</v>
      </c>
      <c r="G13" s="14">
        <v>2.3095066969515502E-10</v>
      </c>
      <c r="H13" s="14">
        <v>47.390439703052508</v>
      </c>
      <c r="I13" s="14">
        <v>112.55062448212828</v>
      </c>
      <c r="J13" s="14">
        <v>0</v>
      </c>
      <c r="K13" s="14">
        <v>1.6009186417931449</v>
      </c>
      <c r="L13" s="14">
        <v>0.62464136146227112</v>
      </c>
      <c r="M13" s="14">
        <v>0.51251823707979349</v>
      </c>
      <c r="N13" s="14">
        <v>1.926448609011866</v>
      </c>
      <c r="O13" s="14">
        <v>636.42156247316007</v>
      </c>
      <c r="P13" s="8">
        <v>1.926448609011866</v>
      </c>
      <c r="Q13" s="54">
        <v>0.23875248965849705</v>
      </c>
    </row>
    <row r="14" spans="1:20">
      <c r="A14" s="2" t="s">
        <v>373</v>
      </c>
      <c r="B14" s="16" t="s">
        <v>374</v>
      </c>
      <c r="D14" s="14">
        <v>1</v>
      </c>
      <c r="E14" s="14">
        <v>0.98945130518143176</v>
      </c>
      <c r="F14" s="14">
        <v>8.1100522712678813E-2</v>
      </c>
      <c r="G14" s="14">
        <v>8.7447342516742338E-9</v>
      </c>
      <c r="H14" s="14">
        <v>2577.7669626454699</v>
      </c>
      <c r="I14" s="14">
        <v>37.391330509081044</v>
      </c>
      <c r="J14" s="14">
        <v>0</v>
      </c>
      <c r="K14" s="14">
        <v>12.330376754078127</v>
      </c>
      <c r="L14" s="14">
        <v>8.1100522712678813E-2</v>
      </c>
      <c r="M14" s="14">
        <v>6.6542978885752974E-2</v>
      </c>
      <c r="N14" s="14">
        <v>6.88870228648232</v>
      </c>
      <c r="O14" s="14">
        <v>1834.7369669817008</v>
      </c>
      <c r="P14" s="8">
        <v>6.88870228648232</v>
      </c>
      <c r="Q14" s="54">
        <v>4.841399478673904E-3</v>
      </c>
    </row>
    <row r="15" spans="1:20">
      <c r="A15" s="2" t="s">
        <v>375</v>
      </c>
      <c r="B15" s="16" t="s">
        <v>376</v>
      </c>
      <c r="D15" s="14">
        <v>1</v>
      </c>
      <c r="E15" s="14">
        <v>0.78284515523455178</v>
      </c>
      <c r="F15" s="14">
        <v>0.7805577774233784</v>
      </c>
      <c r="G15" s="14">
        <v>9.652805224951447E-4</v>
      </c>
      <c r="H15" s="14">
        <v>5.6444945151487271</v>
      </c>
      <c r="I15" s="14">
        <v>15.939776445107981</v>
      </c>
      <c r="J15" s="14">
        <v>0</v>
      </c>
      <c r="K15" s="14">
        <v>1.2811351432574285</v>
      </c>
      <c r="L15" s="14">
        <v>0.78055777742337851</v>
      </c>
      <c r="M15" s="14">
        <v>0.64044765637588208</v>
      </c>
      <c r="N15" s="14">
        <v>0.91547440470180308</v>
      </c>
      <c r="O15" s="14">
        <v>136.77187606244939</v>
      </c>
      <c r="P15" s="8">
        <v>0.91547440470180308</v>
      </c>
      <c r="Q15" s="54">
        <v>8.7635935315742292E-2</v>
      </c>
    </row>
    <row r="16" spans="1:20">
      <c r="A16" s="2" t="s">
        <v>377</v>
      </c>
      <c r="B16" s="16" t="s">
        <v>378</v>
      </c>
      <c r="D16" s="14">
        <v>1</v>
      </c>
      <c r="E16" s="14">
        <v>0.62227366335282908</v>
      </c>
      <c r="F16" s="14">
        <v>0.59807768203577838</v>
      </c>
      <c r="G16" s="14">
        <v>9.0183291937033135E-6</v>
      </c>
      <c r="H16" s="14">
        <v>55.423965608056555</v>
      </c>
      <c r="I16" s="14">
        <v>129.7044173967615</v>
      </c>
      <c r="J16" s="14">
        <v>0</v>
      </c>
      <c r="K16" s="14">
        <v>1.6720236016768433</v>
      </c>
      <c r="L16" s="14">
        <v>0.59807768203577838</v>
      </c>
      <c r="M16" s="14">
        <v>0.49072273811035616</v>
      </c>
      <c r="N16" s="14">
        <v>2.1084687032753497</v>
      </c>
      <c r="O16" s="14">
        <v>468.58608461591382</v>
      </c>
      <c r="P16" s="8">
        <v>2.1084687032753502</v>
      </c>
      <c r="Q16" s="54">
        <v>0.25372003771471457</v>
      </c>
    </row>
    <row r="17" spans="1:21">
      <c r="A17" s="2" t="s">
        <v>379</v>
      </c>
      <c r="B17" s="16" t="s">
        <v>380</v>
      </c>
      <c r="D17" s="14">
        <v>1</v>
      </c>
      <c r="E17" s="14">
        <v>0.63539083031640908</v>
      </c>
      <c r="F17" s="14">
        <v>0.61347569574167349</v>
      </c>
      <c r="G17" s="14">
        <v>2.6660350179823316E-5</v>
      </c>
      <c r="H17" s="14">
        <v>50.169221488503979</v>
      </c>
      <c r="I17" s="14">
        <v>118.49350135390316</v>
      </c>
      <c r="J17" s="14">
        <v>0</v>
      </c>
      <c r="K17" s="14">
        <v>1.6300564259371846</v>
      </c>
      <c r="L17" s="14">
        <v>0.61347569574167349</v>
      </c>
      <c r="M17" s="14">
        <v>0.50335680835604313</v>
      </c>
      <c r="N17" s="14">
        <v>1.9876703929760045</v>
      </c>
      <c r="O17" s="14">
        <v>255.53490572099514</v>
      </c>
      <c r="P17" s="8">
        <v>1.9876703929760047</v>
      </c>
      <c r="Q17" s="54">
        <v>0.2438341512805228</v>
      </c>
    </row>
    <row r="18" spans="1:21">
      <c r="A18" s="2" t="s">
        <v>381</v>
      </c>
      <c r="B18" s="16" t="s">
        <v>382</v>
      </c>
      <c r="D18" s="14">
        <v>1</v>
      </c>
      <c r="E18" s="14">
        <v>0.49414509550750635</v>
      </c>
      <c r="F18" s="14">
        <v>3.5804058532523191E-3</v>
      </c>
      <c r="G18" s="14">
        <v>2.5507080108387585E-9</v>
      </c>
      <c r="H18" s="14">
        <v>375.86532170378212</v>
      </c>
      <c r="I18" s="14">
        <v>9429.5165960898212</v>
      </c>
      <c r="J18" s="14">
        <v>0</v>
      </c>
      <c r="K18" s="14">
        <v>279.29794581573316</v>
      </c>
      <c r="L18" s="14">
        <v>3.5804058532523191E-3</v>
      </c>
      <c r="M18" s="14">
        <v>2.937723002593528E-3</v>
      </c>
      <c r="N18" s="14">
        <v>120.36752930329521</v>
      </c>
      <c r="O18" s="14">
        <v>47098.610541086389</v>
      </c>
      <c r="P18" s="8">
        <v>120.36752930329521</v>
      </c>
      <c r="Q18" s="54">
        <v>0.30164034525985656</v>
      </c>
    </row>
    <row r="19" spans="1:21">
      <c r="A19" s="2" t="s">
        <v>383</v>
      </c>
      <c r="B19" s="16" t="s">
        <v>384</v>
      </c>
      <c r="D19" s="14">
        <v>1</v>
      </c>
      <c r="E19" s="14">
        <v>0.91084399261603133</v>
      </c>
      <c r="F19" s="14">
        <v>0.91035603367371953</v>
      </c>
      <c r="G19" s="14">
        <v>1.3132268772502522E-4</v>
      </c>
      <c r="H19" s="14">
        <v>1.7935408594514071</v>
      </c>
      <c r="I19" s="14">
        <v>5.5740190128909637</v>
      </c>
      <c r="J19" s="14">
        <v>0</v>
      </c>
      <c r="K19" s="14">
        <v>1.0984713266133079</v>
      </c>
      <c r="L19" s="14">
        <v>0.91035603367371953</v>
      </c>
      <c r="M19" s="14">
        <v>0.74694712562928689</v>
      </c>
      <c r="N19" s="14">
        <v>0.91404896683744508</v>
      </c>
      <c r="O19" s="14">
        <v>85.125380281571253</v>
      </c>
      <c r="P19" s="8">
        <v>0.91404896683744508</v>
      </c>
      <c r="Q19" s="54">
        <v>5.1900130009102013E-2</v>
      </c>
    </row>
    <row r="20" spans="1:21">
      <c r="A20" s="2" t="s">
        <v>385</v>
      </c>
      <c r="B20" s="16" t="s">
        <v>386</v>
      </c>
      <c r="D20" s="14">
        <v>1</v>
      </c>
      <c r="E20" s="14">
        <v>0.87510145053549682</v>
      </c>
      <c r="F20" s="14">
        <v>0.87394734265130058</v>
      </c>
      <c r="G20" s="14">
        <v>2.4666853464565237E-4</v>
      </c>
      <c r="H20" s="14">
        <v>3.2172533826784107</v>
      </c>
      <c r="I20" s="14">
        <v>9.5486601603651629</v>
      </c>
      <c r="J20" s="14">
        <v>0</v>
      </c>
      <c r="K20" s="14">
        <v>1.1442336982984496</v>
      </c>
      <c r="L20" s="14">
        <v>0.87394734265130058</v>
      </c>
      <c r="M20" s="14">
        <v>0.71707379464539212</v>
      </c>
      <c r="N20" s="14">
        <v>0.92690890735083176</v>
      </c>
      <c r="O20" s="14">
        <v>102.99811778482443</v>
      </c>
      <c r="P20" s="8">
        <v>0.92690890735083176</v>
      </c>
      <c r="Q20" s="54">
        <v>6.9014832287709965E-2</v>
      </c>
    </row>
    <row r="21" spans="1:21">
      <c r="A21" s="2" t="s">
        <v>387</v>
      </c>
      <c r="B21" s="16" t="s">
        <v>388</v>
      </c>
      <c r="D21" s="14">
        <v>1</v>
      </c>
      <c r="E21" s="14">
        <v>0.72627365737822369</v>
      </c>
      <c r="F21" s="14">
        <v>0.40980706440286951</v>
      </c>
      <c r="G21" s="14">
        <v>7.9638878336411089E-5</v>
      </c>
      <c r="H21" s="14">
        <v>865.00663886183543</v>
      </c>
      <c r="I21" s="14">
        <v>323.22148274191602</v>
      </c>
      <c r="J21" s="14">
        <v>0</v>
      </c>
      <c r="K21" s="14">
        <v>2.4401726735899527</v>
      </c>
      <c r="L21" s="14">
        <v>0.40980706440286951</v>
      </c>
      <c r="M21" s="14">
        <v>0.33624669634255444</v>
      </c>
      <c r="N21" s="14">
        <v>5.2314110181483207</v>
      </c>
      <c r="O21" s="14">
        <v>1032.942105533386</v>
      </c>
      <c r="P21" s="8">
        <v>5.2314110181483215</v>
      </c>
      <c r="Q21" s="54">
        <v>0.17819693021650934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0.9046639436062438</v>
      </c>
      <c r="F22" s="14">
        <v>0.90487681265262798</v>
      </c>
      <c r="G22" s="14">
        <v>7.2667119844003266E-4</v>
      </c>
      <c r="H22" s="14">
        <v>0.28728269060932921</v>
      </c>
      <c r="I22" s="14">
        <v>1.021331273588125</v>
      </c>
      <c r="J22" s="14">
        <v>0</v>
      </c>
      <c r="K22" s="14">
        <v>1.1051228034769951</v>
      </c>
      <c r="L22" s="14">
        <v>0.90487681265262798</v>
      </c>
      <c r="M22" s="14">
        <v>0.7424514247814813</v>
      </c>
      <c r="N22" s="14">
        <v>0.85568271297394827</v>
      </c>
      <c r="O22" s="14">
        <v>49.698051969526908</v>
      </c>
      <c r="P22" s="8">
        <v>0.85568271297394827</v>
      </c>
      <c r="Q22" s="54">
        <v>1.9923545703237379E-2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0.75681833862070502</v>
      </c>
      <c r="F23" s="14">
        <v>0.75260388567602277</v>
      </c>
      <c r="G23" s="14">
        <v>7.947946661897218E-4</v>
      </c>
      <c r="H23" s="14">
        <v>9.9180537194075349</v>
      </c>
      <c r="I23" s="14">
        <v>26.796842706258992</v>
      </c>
      <c r="J23" s="14">
        <v>0</v>
      </c>
      <c r="K23" s="14">
        <v>1.3287202192714629</v>
      </c>
      <c r="L23" s="14">
        <v>0.75260388567602277</v>
      </c>
      <c r="M23" s="14">
        <v>0.61751148819717672</v>
      </c>
      <c r="N23" s="14">
        <v>1.0183236353425291</v>
      </c>
      <c r="O23" s="14">
        <v>109.11337752695199</v>
      </c>
      <c r="P23" s="8">
        <v>1.0183236353425291</v>
      </c>
      <c r="Q23" s="54">
        <v>0.11552703491760892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0.55036072735398012</v>
      </c>
      <c r="F24" s="14">
        <v>0.51184955370424157</v>
      </c>
      <c r="G24" s="14">
        <v>2.9444949691401665E-5</v>
      </c>
      <c r="H24" s="14">
        <v>88.63032237162227</v>
      </c>
      <c r="I24" s="14">
        <v>198.07948569797293</v>
      </c>
      <c r="J24" s="14">
        <v>0</v>
      </c>
      <c r="K24" s="14">
        <v>1.9536990757597159</v>
      </c>
      <c r="L24" s="14">
        <v>0.51184955370424168</v>
      </c>
      <c r="M24" s="14">
        <v>0.41997255881433027</v>
      </c>
      <c r="N24" s="14">
        <v>2.8549560879163067</v>
      </c>
      <c r="O24" s="14">
        <v>462.55998536420009</v>
      </c>
      <c r="P24" s="8">
        <v>2.8549560879163072</v>
      </c>
      <c r="Q24" s="54">
        <v>0.30077345161623248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0.4731480720791319</v>
      </c>
      <c r="F25" s="14">
        <v>4.8004986279689115E-3</v>
      </c>
      <c r="G25" s="14">
        <v>1.1296264105548446E-5</v>
      </c>
      <c r="H25" s="14">
        <v>431.22740195201806</v>
      </c>
      <c r="I25" s="14">
        <v>8332.2735730197383</v>
      </c>
      <c r="J25" s="14">
        <v>0</v>
      </c>
      <c r="K25" s="14">
        <v>208.31169374234349</v>
      </c>
      <c r="L25" s="14">
        <v>4.8004986279689115E-3</v>
      </c>
      <c r="M25" s="14">
        <v>3.9388091242484923E-3</v>
      </c>
      <c r="N25" s="14">
        <v>106.05037304596156</v>
      </c>
      <c r="O25" s="14">
        <v>24751.096565196971</v>
      </c>
      <c r="P25" s="8">
        <v>106.05037304596158</v>
      </c>
      <c r="Q25" s="54">
        <v>0.31986264241722218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0.31531487484044973</v>
      </c>
      <c r="F26" s="14">
        <v>0.23529541750573363</v>
      </c>
      <c r="G26" s="14">
        <v>2.5418034032529883E-3</v>
      </c>
      <c r="H26" s="14">
        <v>187.28951678726307</v>
      </c>
      <c r="I26" s="14">
        <v>374.08529773278622</v>
      </c>
      <c r="J26" s="14">
        <v>0</v>
      </c>
      <c r="K26" s="14">
        <v>4.2499765214323908</v>
      </c>
      <c r="L26" s="14">
        <v>0.23529541750573366</v>
      </c>
      <c r="M26" s="14">
        <v>0.19305989006345448</v>
      </c>
      <c r="N26" s="14">
        <v>4.753616876409648</v>
      </c>
      <c r="O26" s="14">
        <v>609.27107504942455</v>
      </c>
      <c r="P26" s="8">
        <v>4.7536168764096489</v>
      </c>
      <c r="Q26" s="54">
        <v>0.30617564395320485</v>
      </c>
    </row>
    <row r="27" spans="1:21">
      <c r="A27" s="2" t="s">
        <v>397</v>
      </c>
      <c r="B27" s="16" t="s">
        <v>398</v>
      </c>
      <c r="D27" s="14">
        <v>1</v>
      </c>
      <c r="E27" s="14">
        <v>6.3833151966921131E-2</v>
      </c>
      <c r="F27" s="14">
        <v>2.223514966036412E-2</v>
      </c>
      <c r="G27" s="14">
        <v>9.2195249644873179E-3</v>
      </c>
      <c r="H27" s="14">
        <v>99.375667074824818</v>
      </c>
      <c r="I27" s="14">
        <v>174.7983093077433</v>
      </c>
      <c r="J27" s="14">
        <v>0</v>
      </c>
      <c r="K27" s="14">
        <v>44.973837157596364</v>
      </c>
      <c r="L27" s="14">
        <v>2.223514966036412E-2</v>
      </c>
      <c r="M27" s="14">
        <v>1.824394029632876E-2</v>
      </c>
      <c r="N27" s="14">
        <v>2.1629886525427282</v>
      </c>
      <c r="O27" s="14">
        <v>392.47429100387797</v>
      </c>
      <c r="P27" s="8">
        <v>2.1629886525427282</v>
      </c>
      <c r="Q27" s="54">
        <v>7.1111072332895195E-2</v>
      </c>
    </row>
    <row r="28" spans="1:21">
      <c r="A28" s="2" t="s">
        <v>399</v>
      </c>
      <c r="B28" s="16" t="s">
        <v>400</v>
      </c>
      <c r="D28" s="14">
        <v>1</v>
      </c>
      <c r="E28" s="14">
        <v>4.8994253216757801E-2</v>
      </c>
      <c r="F28" s="14">
        <v>3.3354598958968723E-2</v>
      </c>
      <c r="G28" s="14">
        <v>9.715478855870591E-3</v>
      </c>
      <c r="H28" s="14">
        <v>36.748170547035052</v>
      </c>
      <c r="I28" s="14">
        <v>71.662654983642796</v>
      </c>
      <c r="J28" s="14">
        <v>0</v>
      </c>
      <c r="K28" s="14">
        <v>29.980873139267946</v>
      </c>
      <c r="L28" s="14">
        <v>3.3354598958968723E-2</v>
      </c>
      <c r="M28" s="14">
        <v>2.7367448445833838E-2</v>
      </c>
      <c r="N28" s="14">
        <v>0.90151788894047535</v>
      </c>
      <c r="O28" s="14">
        <v>132.52312967424987</v>
      </c>
      <c r="P28" s="8">
        <v>0.90151788894047535</v>
      </c>
      <c r="Q28" s="54">
        <v>5.1415361542783006E-2</v>
      </c>
    </row>
    <row r="29" spans="1:21">
      <c r="A29" s="2" t="s">
        <v>297</v>
      </c>
      <c r="B29" s="16" t="s">
        <v>298</v>
      </c>
      <c r="D29" s="14">
        <v>1</v>
      </c>
      <c r="E29" s="14">
        <v>5.9559427547678227E-2</v>
      </c>
      <c r="F29" s="14">
        <v>5.9452604812873733E-2</v>
      </c>
      <c r="G29" s="14">
        <v>1.0360945157848035E-2</v>
      </c>
      <c r="H29" s="14">
        <v>0.28104177987137369</v>
      </c>
      <c r="I29" s="14">
        <v>0.81889469565264772</v>
      </c>
      <c r="J29" s="14">
        <v>0</v>
      </c>
      <c r="K29" s="14">
        <v>16.82012088700716</v>
      </c>
      <c r="L29" s="14">
        <v>5.9452604812873733E-2</v>
      </c>
      <c r="M29" s="14">
        <v>4.87808622489629E-2</v>
      </c>
      <c r="N29" s="14">
        <v>6.505401279558673E-2</v>
      </c>
      <c r="O29" s="14">
        <v>5.5250373067291818</v>
      </c>
      <c r="P29" s="8">
        <v>6.505401279558673E-2</v>
      </c>
      <c r="Q29" s="54">
        <v>5.3484514513169731E-3</v>
      </c>
    </row>
    <row r="30" spans="1:21">
      <c r="A30" s="2" t="s">
        <v>401</v>
      </c>
      <c r="B30" s="16" t="s">
        <v>402</v>
      </c>
      <c r="D30" s="14">
        <v>1</v>
      </c>
      <c r="E30" s="14">
        <v>1.8119623727539544E-2</v>
      </c>
      <c r="F30" s="14">
        <v>1.2623451961574175E-2</v>
      </c>
      <c r="G30" s="14">
        <v>1.0600018405690857E-2</v>
      </c>
      <c r="H30" s="14">
        <v>12.902626678412469</v>
      </c>
      <c r="I30" s="14">
        <v>25.300861103826971</v>
      </c>
      <c r="J30" s="14">
        <v>0</v>
      </c>
      <c r="K30" s="14">
        <v>79.217634213209109</v>
      </c>
      <c r="L30" s="14">
        <v>1.2623451961574175E-2</v>
      </c>
      <c r="M30" s="14">
        <v>1.0357542334471611E-2</v>
      </c>
      <c r="N30" s="14">
        <v>0.31892820040852776</v>
      </c>
      <c r="O30" s="14">
        <v>52.887863473746158</v>
      </c>
      <c r="P30" s="8">
        <v>0.31892820040852776</v>
      </c>
      <c r="Q30" s="54">
        <v>1.8712650335906227E-2</v>
      </c>
    </row>
    <row r="31" spans="1:21">
      <c r="A31" s="2" t="s">
        <v>299</v>
      </c>
      <c r="B31" s="16" t="s">
        <v>300</v>
      </c>
      <c r="D31" s="14">
        <v>1</v>
      </c>
      <c r="E31" s="14">
        <v>5.365428388305264E-4</v>
      </c>
      <c r="F31" s="14">
        <v>4.4987868584878409E-4</v>
      </c>
      <c r="G31" s="14">
        <v>1.1097979174754951E-2</v>
      </c>
      <c r="H31" s="14">
        <v>0.20147233409282556</v>
      </c>
      <c r="I31" s="14">
        <v>0.41982914898457385</v>
      </c>
      <c r="J31" s="14">
        <v>0</v>
      </c>
      <c r="K31" s="14">
        <v>2222.8214659987825</v>
      </c>
      <c r="L31" s="14">
        <v>4.4987868584878409E-4</v>
      </c>
      <c r="M31" s="14">
        <v>3.6912546173892735E-4</v>
      </c>
      <c r="N31" s="14">
        <v>5.4895142853636277E-3</v>
      </c>
      <c r="O31" s="14">
        <v>0.45090870339976841</v>
      </c>
      <c r="P31" s="8">
        <v>5.4895142853636277E-3</v>
      </c>
      <c r="Q31" s="54">
        <v>4.3378306057628382E-4</v>
      </c>
    </row>
    <row r="32" spans="1:21">
      <c r="A32" s="2" t="s">
        <v>343</v>
      </c>
      <c r="B32" s="16" t="s">
        <v>344</v>
      </c>
      <c r="D32" s="14">
        <v>1</v>
      </c>
      <c r="E32" s="14">
        <v>0.66877932603730961</v>
      </c>
      <c r="F32" s="14">
        <v>0.65152517208243643</v>
      </c>
      <c r="G32" s="14">
        <v>2.5192988434801136E-5</v>
      </c>
      <c r="H32" s="14">
        <v>39.46855255210604</v>
      </c>
      <c r="I32" s="14">
        <v>95.303394684864386</v>
      </c>
      <c r="J32" s="14">
        <v>0</v>
      </c>
      <c r="K32" s="14">
        <v>1.5348601141591374</v>
      </c>
      <c r="L32" s="14">
        <v>0.65152517208243643</v>
      </c>
      <c r="M32" s="14">
        <v>0.53457640369363912</v>
      </c>
      <c r="N32" s="14">
        <v>1.7439562691741064</v>
      </c>
      <c r="O32" s="14">
        <v>286.35761939838824</v>
      </c>
      <c r="P32" s="8">
        <v>1.7439562691741064</v>
      </c>
      <c r="Q32" s="54">
        <v>0.22146666734137252</v>
      </c>
    </row>
    <row r="33" spans="1:17">
      <c r="A33" s="2" t="s">
        <v>345</v>
      </c>
      <c r="B33" s="16" t="s">
        <v>346</v>
      </c>
      <c r="D33" s="14">
        <v>1</v>
      </c>
      <c r="E33" s="14">
        <v>0.76872006458800501</v>
      </c>
      <c r="F33" s="14">
        <v>0.76118433220329595</v>
      </c>
      <c r="G33" s="14">
        <v>9.9196952049213966E-7</v>
      </c>
      <c r="H33" s="14">
        <v>17.388809130064296</v>
      </c>
      <c r="I33" s="14">
        <v>45.115628432979413</v>
      </c>
      <c r="J33" s="14">
        <v>0</v>
      </c>
      <c r="K33" s="14">
        <v>1.313742227333341</v>
      </c>
      <c r="L33" s="14">
        <v>0.76118433220329607</v>
      </c>
      <c r="M33" s="14">
        <v>0.62455174457280438</v>
      </c>
      <c r="N33" s="14">
        <v>1.2445036643006158</v>
      </c>
      <c r="O33" s="14">
        <v>188.11917389568109</v>
      </c>
      <c r="P33" s="8">
        <v>1.244503664300616</v>
      </c>
      <c r="Q33" s="54">
        <v>0.15564207466775931</v>
      </c>
    </row>
    <row r="34" spans="1:17">
      <c r="A34" s="2" t="s">
        <v>347</v>
      </c>
      <c r="B34" s="16" t="s">
        <v>348</v>
      </c>
      <c r="D34" s="14">
        <v>1</v>
      </c>
      <c r="E34" s="14">
        <v>0.41918817960612614</v>
      </c>
      <c r="F34" s="14">
        <v>0.32414218117425014</v>
      </c>
      <c r="G34" s="14">
        <v>1.4924645967418058E-6</v>
      </c>
      <c r="H34" s="14">
        <v>222.06266636096794</v>
      </c>
      <c r="I34" s="14">
        <v>448.46930229847419</v>
      </c>
      <c r="J34" s="14">
        <v>0</v>
      </c>
      <c r="K34" s="14">
        <v>3.0850659311829176</v>
      </c>
      <c r="L34" s="14">
        <v>0.32414218117425014</v>
      </c>
      <c r="M34" s="14">
        <v>0.26595865965347226</v>
      </c>
      <c r="N34" s="14">
        <v>5.7328492011835062</v>
      </c>
      <c r="O34" s="14">
        <v>1010.4146717085929</v>
      </c>
      <c r="P34" s="8">
        <v>5.7328492011835062</v>
      </c>
      <c r="Q34" s="54">
        <v>0.39006117166832122</v>
      </c>
    </row>
    <row r="35" spans="1:17">
      <c r="A35" s="2" t="s">
        <v>349</v>
      </c>
      <c r="B35" s="16" t="s">
        <v>350</v>
      </c>
      <c r="D35" s="14">
        <v>1</v>
      </c>
      <c r="E35" s="14">
        <v>0.38909964086232185</v>
      </c>
      <c r="F35" s="14">
        <v>7.8962026532769264E-2</v>
      </c>
      <c r="G35" s="14">
        <v>5.5832461292077112E-4</v>
      </c>
      <c r="H35" s="14">
        <v>747.23685830929412</v>
      </c>
      <c r="I35" s="14">
        <v>1243.6994910114227</v>
      </c>
      <c r="J35" s="14">
        <v>0</v>
      </c>
      <c r="K35" s="14">
        <v>12.664315290654296</v>
      </c>
      <c r="L35" s="14">
        <v>7.8962026532769264E-2</v>
      </c>
      <c r="M35" s="14">
        <v>6.4788342770137189E-2</v>
      </c>
      <c r="N35" s="14">
        <v>15.389639166762091</v>
      </c>
      <c r="O35" s="14">
        <v>2959.4276117683503</v>
      </c>
      <c r="P35" s="8">
        <v>15.389639166762091</v>
      </c>
      <c r="Q35" s="54">
        <v>0.37334939902858921</v>
      </c>
    </row>
    <row r="36" spans="1:17">
      <c r="A36" s="2" t="s">
        <v>351</v>
      </c>
      <c r="B36" s="16" t="s">
        <v>352</v>
      </c>
      <c r="D36" s="14">
        <v>1</v>
      </c>
      <c r="E36" s="14">
        <v>0.42743847184537193</v>
      </c>
      <c r="F36" s="14">
        <v>2.1616313512084033E-2</v>
      </c>
      <c r="G36" s="14">
        <v>1.8629024685733096E-5</v>
      </c>
      <c r="H36" s="14">
        <v>789.1537607542864</v>
      </c>
      <c r="I36" s="14">
        <v>3373.0191066620878</v>
      </c>
      <c r="J36" s="14">
        <v>0</v>
      </c>
      <c r="K36" s="14">
        <v>46.26135716624281</v>
      </c>
      <c r="L36" s="14">
        <v>2.1616313512084033E-2</v>
      </c>
      <c r="M36" s="14">
        <v>1.773618523666495E-2</v>
      </c>
      <c r="N36" s="14">
        <v>42.228483093701399</v>
      </c>
      <c r="O36" s="14">
        <v>9390.3477855463807</v>
      </c>
      <c r="P36" s="8">
        <v>42.228483093701399</v>
      </c>
      <c r="Q36" s="54">
        <v>0.3713802474714738</v>
      </c>
    </row>
    <row r="37" spans="1:17">
      <c r="A37" s="2" t="s">
        <v>353</v>
      </c>
      <c r="B37" s="16" t="s">
        <v>354</v>
      </c>
      <c r="D37" s="14">
        <v>1</v>
      </c>
      <c r="E37" s="14">
        <v>0.4817036946536144</v>
      </c>
      <c r="F37" s="14">
        <v>3.8381572574595932E-3</v>
      </c>
      <c r="G37" s="14">
        <v>1.4674092501377377E-4</v>
      </c>
      <c r="H37" s="14">
        <v>385.85378495565561</v>
      </c>
      <c r="I37" s="14">
        <v>9002.8483674890049</v>
      </c>
      <c r="J37" s="14">
        <v>0</v>
      </c>
      <c r="K37" s="14">
        <v>260.54169564221604</v>
      </c>
      <c r="L37" s="14">
        <v>3.8381572574595932E-3</v>
      </c>
      <c r="M37" s="14">
        <v>3.1492080297455963E-3</v>
      </c>
      <c r="N37" s="14">
        <v>114.82760881297889</v>
      </c>
      <c r="O37" s="14">
        <v>27144.098447300079</v>
      </c>
      <c r="P37" s="8">
        <v>114.82760881297889</v>
      </c>
      <c r="Q37" s="54">
        <v>0.30295626329933073</v>
      </c>
    </row>
    <row r="38" spans="1:17">
      <c r="A38" s="2" t="s">
        <v>355</v>
      </c>
      <c r="B38" s="16" t="s">
        <v>356</v>
      </c>
      <c r="D38" s="14">
        <v>1</v>
      </c>
      <c r="E38" s="14">
        <v>0.43005895217952617</v>
      </c>
      <c r="F38" s="14">
        <v>1.2230013052805303E-2</v>
      </c>
      <c r="G38" s="14">
        <v>7.1672971155968031E-6</v>
      </c>
      <c r="H38" s="14">
        <v>642.2837295845452</v>
      </c>
      <c r="I38" s="14">
        <v>5048.7526173153419</v>
      </c>
      <c r="J38" s="14">
        <v>0</v>
      </c>
      <c r="K38" s="14">
        <v>81.76606154730321</v>
      </c>
      <c r="L38" s="14">
        <v>1.2230013052805303E-2</v>
      </c>
      <c r="M38" s="14">
        <v>1.0034725709826752E-2</v>
      </c>
      <c r="N38" s="14">
        <v>63.621475153270183</v>
      </c>
      <c r="O38" s="14">
        <v>16439.789179605013</v>
      </c>
      <c r="P38" s="8">
        <v>63.62147515327019</v>
      </c>
      <c r="Q38" s="54">
        <v>0.36323199107210313</v>
      </c>
    </row>
    <row r="39" spans="1:17">
      <c r="A39" s="2" t="s">
        <v>357</v>
      </c>
      <c r="B39" s="16" t="s">
        <v>358</v>
      </c>
      <c r="D39" s="14">
        <v>1</v>
      </c>
      <c r="E39" s="14">
        <v>0.3771683695199084</v>
      </c>
      <c r="F39" s="14">
        <v>1.6341622731214683E-2</v>
      </c>
      <c r="G39" s="14">
        <v>1.286541108555775E-3</v>
      </c>
      <c r="H39" s="14">
        <v>661.9042657737923</v>
      </c>
      <c r="I39" s="14">
        <v>3367.0715930802153</v>
      </c>
      <c r="J39" s="14">
        <v>0</v>
      </c>
      <c r="K39" s="14">
        <v>61.193433262283456</v>
      </c>
      <c r="L39" s="14">
        <v>1.6341622731214683E-2</v>
      </c>
      <c r="M39" s="14">
        <v>1.3408301450961647E-2</v>
      </c>
      <c r="N39" s="14">
        <v>42.231253087587014</v>
      </c>
      <c r="O39" s="14">
        <v>9983.0459173746949</v>
      </c>
      <c r="P39" s="8">
        <v>42.231253087587021</v>
      </c>
      <c r="Q39" s="54">
        <v>0.32828599127057895</v>
      </c>
    </row>
    <row r="40" spans="1:17">
      <c r="A40" s="2" t="s">
        <v>359</v>
      </c>
      <c r="B40" s="16" t="s">
        <v>360</v>
      </c>
      <c r="D40" s="14">
        <v>1</v>
      </c>
      <c r="E40" s="14">
        <v>0.43005895217952617</v>
      </c>
      <c r="F40" s="14">
        <v>1.2230013052805303E-2</v>
      </c>
      <c r="G40" s="14">
        <v>7.1672971155968031E-6</v>
      </c>
      <c r="H40" s="14">
        <v>642.2837295845452</v>
      </c>
      <c r="I40" s="14">
        <v>5048.7526173153419</v>
      </c>
      <c r="J40" s="14">
        <v>0</v>
      </c>
      <c r="K40" s="14">
        <v>81.76606154730321</v>
      </c>
      <c r="L40" s="14">
        <v>1.2230013052805303E-2</v>
      </c>
      <c r="M40" s="14">
        <v>1.0034725709826752E-2</v>
      </c>
      <c r="N40" s="14">
        <v>63.621475153270183</v>
      </c>
      <c r="O40" s="14">
        <v>16439.789179605013</v>
      </c>
      <c r="P40" s="8">
        <v>63.62147515327019</v>
      </c>
      <c r="Q40" s="54">
        <v>0.36323199107210313</v>
      </c>
    </row>
    <row r="41" spans="1:17">
      <c r="A41" s="2" t="s">
        <v>313</v>
      </c>
      <c r="B41" s="16" t="s">
        <v>314</v>
      </c>
      <c r="D41" s="14">
        <v>1</v>
      </c>
      <c r="E41" s="14">
        <v>0.99934581675666612</v>
      </c>
      <c r="F41" s="14">
        <v>0.99500227622782689</v>
      </c>
      <c r="G41" s="14">
        <v>6.4767174868792843E-10</v>
      </c>
      <c r="H41" s="14">
        <v>13.444482007329585</v>
      </c>
      <c r="I41" s="14">
        <v>2.9622809078048193E-2</v>
      </c>
      <c r="J41" s="14">
        <v>0</v>
      </c>
      <c r="K41" s="14">
        <v>1.0050228264714329</v>
      </c>
      <c r="L41" s="14">
        <v>0.99500227622782689</v>
      </c>
      <c r="M41" s="14">
        <v>0.81639936764493204</v>
      </c>
      <c r="N41" s="14">
        <v>0.95271746095787146</v>
      </c>
      <c r="O41" s="14">
        <v>175.40481173695372</v>
      </c>
      <c r="P41" s="8">
        <v>0.95271746095787146</v>
      </c>
      <c r="Q41" s="54">
        <v>1.2642304297990356E-4</v>
      </c>
    </row>
    <row r="42" spans="1:17">
      <c r="A42" s="2" t="s">
        <v>315</v>
      </c>
      <c r="B42" s="16" t="s">
        <v>316</v>
      </c>
      <c r="D42" s="14">
        <v>1</v>
      </c>
      <c r="E42" s="14">
        <v>0.48467511949205566</v>
      </c>
      <c r="F42" s="14">
        <v>3.5117896555724548E-3</v>
      </c>
      <c r="G42" s="14">
        <v>2.1293986917723186E-4</v>
      </c>
      <c r="H42" s="14">
        <v>368.66210221635856</v>
      </c>
      <c r="I42" s="14">
        <v>9248.8059165462892</v>
      </c>
      <c r="J42" s="14">
        <v>0</v>
      </c>
      <c r="K42" s="14">
        <v>284.75509585638622</v>
      </c>
      <c r="L42" s="14">
        <v>3.5117896555724548E-3</v>
      </c>
      <c r="M42" s="14">
        <v>2.881423412397199E-3</v>
      </c>
      <c r="N42" s="14">
        <v>118.06076227089038</v>
      </c>
      <c r="O42" s="14">
        <v>43081.552760270606</v>
      </c>
      <c r="P42" s="8">
        <v>118.06076227089038</v>
      </c>
      <c r="Q42" s="54">
        <v>0.29585960016924845</v>
      </c>
    </row>
    <row r="43" spans="1:17">
      <c r="A43" s="2" t="s">
        <v>317</v>
      </c>
      <c r="B43" s="16" t="s">
        <v>318</v>
      </c>
      <c r="D43" s="14">
        <v>1</v>
      </c>
      <c r="E43" s="14">
        <v>0.53515835256512689</v>
      </c>
      <c r="F43" s="14">
        <v>0.49219285904253923</v>
      </c>
      <c r="G43" s="14">
        <v>6.797728205800868E-14</v>
      </c>
      <c r="H43" s="14">
        <v>99.022824181164339</v>
      </c>
      <c r="I43" s="14">
        <v>218.87314544357989</v>
      </c>
      <c r="J43" s="14">
        <v>0</v>
      </c>
      <c r="K43" s="14">
        <v>2.0317239099025044</v>
      </c>
      <c r="L43" s="14">
        <v>0.49219285904253923</v>
      </c>
      <c r="M43" s="14">
        <v>0.40384424084440346</v>
      </c>
      <c r="N43" s="14">
        <v>3.0887280718250762</v>
      </c>
      <c r="O43" s="14">
        <v>980.11519175153319</v>
      </c>
      <c r="P43" s="8">
        <v>3.0887280718250762</v>
      </c>
      <c r="Q43" s="54">
        <v>0.31274651520465341</v>
      </c>
    </row>
    <row r="44" spans="1:17">
      <c r="A44" s="2" t="s">
        <v>307</v>
      </c>
      <c r="B44" s="16" t="s">
        <v>308</v>
      </c>
      <c r="D44" s="14">
        <v>1</v>
      </c>
      <c r="E44" s="14">
        <v>0.4402275221692174</v>
      </c>
      <c r="F44" s="14">
        <v>3.2461091200881691E-2</v>
      </c>
      <c r="G44" s="14">
        <v>6.2352174304870236E-6</v>
      </c>
      <c r="H44" s="14">
        <v>898.30354764118408</v>
      </c>
      <c r="I44" s="14">
        <v>2413.6832999488215</v>
      </c>
      <c r="J44" s="14">
        <v>0</v>
      </c>
      <c r="K44" s="14">
        <v>30.806111655693151</v>
      </c>
      <c r="L44" s="14">
        <v>3.2461091200881698E-2</v>
      </c>
      <c r="M44" s="14">
        <v>2.6634325330323432E-2</v>
      </c>
      <c r="N44" s="14">
        <v>30.077759305901676</v>
      </c>
      <c r="O44" s="14">
        <v>10544.961635056068</v>
      </c>
      <c r="P44" s="8">
        <v>30.077759305901676</v>
      </c>
      <c r="Q44" s="54">
        <v>0.36751941418644923</v>
      </c>
    </row>
    <row r="45" spans="1:17">
      <c r="A45" s="2" t="s">
        <v>319</v>
      </c>
      <c r="B45" s="16" t="s">
        <v>320</v>
      </c>
      <c r="D45" s="14">
        <v>1</v>
      </c>
      <c r="E45" s="14">
        <v>0.54971477629851684</v>
      </c>
      <c r="F45" s="14">
        <v>1.7597783808505256E-3</v>
      </c>
      <c r="G45" s="14">
        <v>7.7740345371487441E-7</v>
      </c>
      <c r="H45" s="14">
        <v>263.461996174094</v>
      </c>
      <c r="I45" s="14">
        <v>11980.505663573083</v>
      </c>
      <c r="J45" s="14">
        <v>0</v>
      </c>
      <c r="K45" s="14">
        <v>568.2533726301865</v>
      </c>
      <c r="L45" s="14">
        <v>1.7597783808505256E-3</v>
      </c>
      <c r="M45" s="14">
        <v>1.4438981614878564E-3</v>
      </c>
      <c r="N45" s="14">
        <v>153.95836499547832</v>
      </c>
      <c r="O45" s="14">
        <v>54576.700807247114</v>
      </c>
      <c r="P45" s="8">
        <v>153.95836499547835</v>
      </c>
      <c r="Q45" s="54">
        <v>0.25297356951643346</v>
      </c>
    </row>
    <row r="46" spans="1:17">
      <c r="A46" s="2" t="s">
        <v>321</v>
      </c>
      <c r="B46" s="16" t="s">
        <v>322</v>
      </c>
      <c r="D46" s="14">
        <v>1</v>
      </c>
      <c r="E46" s="14">
        <v>0.50156339166426478</v>
      </c>
      <c r="F46" s="14">
        <v>3.2378696914514902E-3</v>
      </c>
      <c r="G46" s="14">
        <v>1.0552317605576425E-6</v>
      </c>
      <c r="H46" s="14">
        <v>358.02995714091628</v>
      </c>
      <c r="I46" s="14">
        <v>9798.8822132493133</v>
      </c>
      <c r="J46" s="14">
        <v>0</v>
      </c>
      <c r="K46" s="14">
        <v>308.84504173845067</v>
      </c>
      <c r="L46" s="14">
        <v>3.2378696914514907E-3</v>
      </c>
      <c r="M46" s="14">
        <v>2.6566720818359479E-3</v>
      </c>
      <c r="N46" s="14">
        <v>125.20482433585201</v>
      </c>
      <c r="O46" s="14">
        <v>44383.858178816183</v>
      </c>
      <c r="P46" s="8">
        <v>125.20482433585201</v>
      </c>
      <c r="Q46" s="54">
        <v>0.29496910964808432</v>
      </c>
    </row>
    <row r="47" spans="1:17">
      <c r="A47" s="2" t="s">
        <v>323</v>
      </c>
      <c r="B47" s="16" t="s">
        <v>324</v>
      </c>
      <c r="D47" s="14">
        <v>1</v>
      </c>
      <c r="E47" s="14">
        <v>0.45431000867492605</v>
      </c>
      <c r="F47" s="14">
        <v>6.576440213762553E-3</v>
      </c>
      <c r="G47" s="14">
        <v>9.0873941241208884E-6</v>
      </c>
      <c r="H47" s="14">
        <v>496.83350568918422</v>
      </c>
      <c r="I47" s="14">
        <v>7182.3745152351021</v>
      </c>
      <c r="J47" s="14">
        <v>0</v>
      </c>
      <c r="K47" s="14">
        <v>152.05794738425425</v>
      </c>
      <c r="L47" s="14">
        <v>6.576440213762553E-3</v>
      </c>
      <c r="M47" s="14">
        <v>5.3959691953921751E-3</v>
      </c>
      <c r="N47" s="14">
        <v>91.119212894663704</v>
      </c>
      <c r="O47" s="14">
        <v>29161.792894808175</v>
      </c>
      <c r="P47" s="8">
        <v>91.119212894663718</v>
      </c>
      <c r="Q47" s="54">
        <v>0.33765100528647451</v>
      </c>
    </row>
    <row r="48" spans="1:17">
      <c r="A48" s="2" t="s">
        <v>325</v>
      </c>
      <c r="B48" s="16" t="s">
        <v>326</v>
      </c>
      <c r="D48" s="14">
        <v>1</v>
      </c>
      <c r="E48" s="14">
        <v>0.36776430210554578</v>
      </c>
      <c r="F48" s="14">
        <v>0.16723873085047983</v>
      </c>
      <c r="G48" s="14">
        <v>3.1617341550643843E-6</v>
      </c>
      <c r="H48" s="14">
        <v>476.53725968908509</v>
      </c>
      <c r="I48" s="14">
        <v>866.47100402350054</v>
      </c>
      <c r="J48" s="14">
        <v>0</v>
      </c>
      <c r="K48" s="14">
        <v>5.9794761351905521</v>
      </c>
      <c r="L48" s="14">
        <v>0.16723873085047983</v>
      </c>
      <c r="M48" s="14">
        <v>0.13721937866281869</v>
      </c>
      <c r="N48" s="14">
        <v>10.744397416336545</v>
      </c>
      <c r="O48" s="14">
        <v>3270.0573536620277</v>
      </c>
      <c r="P48" s="8">
        <v>10.744397416336545</v>
      </c>
      <c r="Q48" s="54">
        <v>0.42301331128338304</v>
      </c>
    </row>
    <row r="49" spans="1:17">
      <c r="A49" s="2" t="s">
        <v>275</v>
      </c>
      <c r="B49" s="16" t="s">
        <v>276</v>
      </c>
      <c r="D49" s="14">
        <v>1</v>
      </c>
      <c r="E49" s="14">
        <v>0.43731381568731725</v>
      </c>
      <c r="F49" s="14">
        <v>3.0155108490520614E-2</v>
      </c>
      <c r="G49" s="14">
        <v>8.0021996577099203E-8</v>
      </c>
      <c r="H49" s="14">
        <v>878.98384929205349</v>
      </c>
      <c r="I49" s="14">
        <v>2576.5469823519611</v>
      </c>
      <c r="J49" s="14">
        <v>0</v>
      </c>
      <c r="K49" s="14">
        <v>33.161877043631073</v>
      </c>
      <c r="L49" s="14">
        <v>3.0155108490520614E-2</v>
      </c>
      <c r="M49" s="14">
        <v>2.4742266516472166E-2</v>
      </c>
      <c r="N49" s="14">
        <v>32.134233041300106</v>
      </c>
      <c r="O49" s="14">
        <v>11905.411999471276</v>
      </c>
      <c r="P49" s="8">
        <v>32.134233041300106</v>
      </c>
      <c r="Q49" s="54">
        <v>0.3691799154963587</v>
      </c>
    </row>
    <row r="50" spans="1:17">
      <c r="A50" s="2" t="s">
        <v>327</v>
      </c>
      <c r="B50" s="16" t="s">
        <v>328</v>
      </c>
      <c r="D50" s="14">
        <v>1</v>
      </c>
      <c r="E50" s="14">
        <v>0.43274123633769818</v>
      </c>
      <c r="F50" s="14">
        <v>2.6587743880692041E-2</v>
      </c>
      <c r="G50" s="14">
        <v>4.1603510151281543E-6</v>
      </c>
      <c r="H50" s="14">
        <v>845.08712760999879</v>
      </c>
      <c r="I50" s="14">
        <v>2863.9053274941743</v>
      </c>
      <c r="J50" s="14">
        <v>0</v>
      </c>
      <c r="K50" s="14">
        <v>37.61131461500942</v>
      </c>
      <c r="L50" s="14">
        <v>2.6587743880692044E-2</v>
      </c>
      <c r="M50" s="14">
        <v>2.1815243854107821E-2</v>
      </c>
      <c r="N50" s="14">
        <v>35.76949294947817</v>
      </c>
      <c r="O50" s="14">
        <v>13624.95755938573</v>
      </c>
      <c r="P50" s="8">
        <v>35.76949294947817</v>
      </c>
      <c r="Q50" s="54">
        <v>0.37081616435484477</v>
      </c>
    </row>
    <row r="51" spans="1:17">
      <c r="A51" s="2" t="s">
        <v>329</v>
      </c>
      <c r="B51" s="16" t="s">
        <v>330</v>
      </c>
      <c r="D51" s="14">
        <v>1</v>
      </c>
      <c r="E51" s="14">
        <v>0.37712647429475971</v>
      </c>
      <c r="F51" s="14">
        <v>0.12509080472445605</v>
      </c>
      <c r="G51" s="14">
        <v>1.9278528157008048E-6</v>
      </c>
      <c r="H51" s="14">
        <v>602.62256048380482</v>
      </c>
      <c r="I51" s="14">
        <v>1054.1503497104086</v>
      </c>
      <c r="J51" s="14">
        <v>0</v>
      </c>
      <c r="K51" s="14">
        <v>7.994192716265208</v>
      </c>
      <c r="L51" s="14">
        <v>0.12509080472445605</v>
      </c>
      <c r="M51" s="14">
        <v>0.1026370052764162</v>
      </c>
      <c r="N51" s="14">
        <v>13.042100741311666</v>
      </c>
      <c r="O51" s="14">
        <v>3578.7524434159209</v>
      </c>
      <c r="P51" s="8">
        <v>13.042100741311668</v>
      </c>
      <c r="Q51" s="54">
        <v>0.41600883797229454</v>
      </c>
    </row>
    <row r="52" spans="1:17">
      <c r="A52" s="2" t="s">
        <v>277</v>
      </c>
      <c r="B52" s="16" t="s">
        <v>278</v>
      </c>
      <c r="D52" s="14">
        <v>1</v>
      </c>
      <c r="E52" s="14">
        <v>0.36794035048905988</v>
      </c>
      <c r="F52" s="14">
        <v>0.16282073587097354</v>
      </c>
      <c r="G52" s="14">
        <v>4.9936511623436597E-6</v>
      </c>
      <c r="H52" s="14">
        <v>487.74150409280242</v>
      </c>
      <c r="I52" s="14">
        <v>883.58204878280765</v>
      </c>
      <c r="J52" s="14">
        <v>0</v>
      </c>
      <c r="K52" s="14">
        <v>6.1417238698174472</v>
      </c>
      <c r="L52" s="14">
        <v>0.16282073587097354</v>
      </c>
      <c r="M52" s="14">
        <v>0.1335944137821338</v>
      </c>
      <c r="N52" s="14">
        <v>10.952844937248509</v>
      </c>
      <c r="O52" s="14">
        <v>4457.0411903145359</v>
      </c>
      <c r="P52" s="8">
        <v>10.952844937248509</v>
      </c>
      <c r="Q52" s="54">
        <v>0.42271424564877724</v>
      </c>
    </row>
    <row r="53" spans="1:17">
      <c r="A53" s="2" t="s">
        <v>331</v>
      </c>
      <c r="B53" s="16" t="s">
        <v>332</v>
      </c>
      <c r="D53" s="14">
        <v>1</v>
      </c>
      <c r="E53" s="14">
        <v>0.42632460150178769</v>
      </c>
      <c r="F53" s="14">
        <v>1.7749719751962399E-2</v>
      </c>
      <c r="G53" s="14">
        <v>2.789330579988408E-6</v>
      </c>
      <c r="H53" s="14">
        <v>737.85580845360971</v>
      </c>
      <c r="I53" s="14">
        <v>3920.3845698488267</v>
      </c>
      <c r="J53" s="14">
        <v>0</v>
      </c>
      <c r="K53" s="14">
        <v>56.338917682880066</v>
      </c>
      <c r="L53" s="14">
        <v>1.7749719751962399E-2</v>
      </c>
      <c r="M53" s="14">
        <v>1.456364505648515E-2</v>
      </c>
      <c r="N53" s="14">
        <v>49.193893145891899</v>
      </c>
      <c r="O53" s="14">
        <v>18738.445838201686</v>
      </c>
      <c r="P53" s="8">
        <v>49.193893145891906</v>
      </c>
      <c r="Q53" s="54">
        <v>0.37079056199555516</v>
      </c>
    </row>
    <row r="54" spans="1:17">
      <c r="A54" s="2" t="s">
        <v>333</v>
      </c>
      <c r="B54" s="16" t="s">
        <v>334</v>
      </c>
      <c r="D54" s="14">
        <v>1</v>
      </c>
      <c r="E54" s="14">
        <v>0.43497499628262343</v>
      </c>
      <c r="F54" s="14">
        <v>2.8328749658373061E-2</v>
      </c>
      <c r="G54" s="14">
        <v>4.5328974534724599E-9</v>
      </c>
      <c r="H54" s="14">
        <v>862.278200178308</v>
      </c>
      <c r="I54" s="14">
        <v>2717.7191671916135</v>
      </c>
      <c r="J54" s="14">
        <v>0</v>
      </c>
      <c r="K54" s="14">
        <v>35.299828339032686</v>
      </c>
      <c r="L54" s="14">
        <v>2.8328749658373065E-2</v>
      </c>
      <c r="M54" s="14">
        <v>2.3243739094695098E-2</v>
      </c>
      <c r="N54" s="14">
        <v>33.919091816070896</v>
      </c>
      <c r="O54" s="14">
        <v>13041.21242144294</v>
      </c>
      <c r="P54" s="8">
        <v>33.919091816070903</v>
      </c>
      <c r="Q54" s="54">
        <v>0.37017286251754344</v>
      </c>
    </row>
    <row r="55" spans="1:17">
      <c r="A55" s="2" t="s">
        <v>335</v>
      </c>
      <c r="B55" s="16" t="s">
        <v>336</v>
      </c>
      <c r="D55" s="14">
        <v>1</v>
      </c>
      <c r="E55" s="14">
        <v>0.45207516641508022</v>
      </c>
      <c r="F55" s="14">
        <v>6.7730328155506505E-3</v>
      </c>
      <c r="G55" s="14">
        <v>2.3502370451556542E-5</v>
      </c>
      <c r="H55" s="14">
        <v>502.90178809483518</v>
      </c>
      <c r="I55" s="14">
        <v>7062.2054967198837</v>
      </c>
      <c r="J55" s="14">
        <v>0</v>
      </c>
      <c r="K55" s="14">
        <v>147.64434592787359</v>
      </c>
      <c r="L55" s="14">
        <v>6.7730328155506513E-3</v>
      </c>
      <c r="M55" s="14">
        <v>5.5572734251593094E-3</v>
      </c>
      <c r="N55" s="14">
        <v>89.565756228712786</v>
      </c>
      <c r="O55" s="14">
        <v>33436.688115303055</v>
      </c>
      <c r="P55" s="8">
        <v>89.565756228712786</v>
      </c>
      <c r="Q55" s="54">
        <v>0.33879761979224199</v>
      </c>
    </row>
    <row r="56" spans="1:17">
      <c r="A56" s="2" t="s">
        <v>337</v>
      </c>
      <c r="B56" s="16" t="s">
        <v>338</v>
      </c>
      <c r="D56" s="14">
        <v>1</v>
      </c>
      <c r="E56" s="14">
        <v>0.43931727945169552</v>
      </c>
      <c r="F56" s="14">
        <v>3.1683651899281115E-2</v>
      </c>
      <c r="G56" s="14">
        <v>1.6011931401982776E-6</v>
      </c>
      <c r="H56" s="14">
        <v>892.1034792714637</v>
      </c>
      <c r="I56" s="14">
        <v>2467.5866042210268</v>
      </c>
      <c r="J56" s="14">
        <v>0</v>
      </c>
      <c r="K56" s="14">
        <v>31.562018266672393</v>
      </c>
      <c r="L56" s="14">
        <v>3.1683651899281115E-2</v>
      </c>
      <c r="M56" s="14">
        <v>2.5996436383360157E-2</v>
      </c>
      <c r="N56" s="14">
        <v>30.75801077783056</v>
      </c>
      <c r="O56" s="14">
        <v>11974.708756024993</v>
      </c>
      <c r="P56" s="8">
        <v>30.75801077783056</v>
      </c>
      <c r="Q56" s="54">
        <v>0.36819035182207105</v>
      </c>
    </row>
    <row r="57" spans="1:17">
      <c r="A57" s="2" t="s">
        <v>279</v>
      </c>
      <c r="B57" s="16" t="s">
        <v>280</v>
      </c>
      <c r="D57" s="14">
        <v>1</v>
      </c>
      <c r="E57" s="14">
        <v>0.36560974731758772</v>
      </c>
      <c r="F57" s="14">
        <v>0.18654051420748649</v>
      </c>
      <c r="G57" s="14">
        <v>8.8475221232988522E-5</v>
      </c>
      <c r="H57" s="14">
        <v>424.41738930139365</v>
      </c>
      <c r="I57" s="14">
        <v>784.60367927256584</v>
      </c>
      <c r="J57" s="14">
        <v>0</v>
      </c>
      <c r="K57" s="14">
        <v>5.360765752407616</v>
      </c>
      <c r="L57" s="14">
        <v>0.18654051420748652</v>
      </c>
      <c r="M57" s="14">
        <v>0.15305649190724269</v>
      </c>
      <c r="N57" s="14">
        <v>9.7481258197267078</v>
      </c>
      <c r="O57" s="14">
        <v>2835.0474321511183</v>
      </c>
      <c r="P57" s="8">
        <v>9.7481258197267078</v>
      </c>
      <c r="Q57" s="54">
        <v>0.41961435825584964</v>
      </c>
    </row>
    <row r="58" spans="1:17">
      <c r="A58" s="2" t="s">
        <v>339</v>
      </c>
      <c r="B58" s="16" t="s">
        <v>340</v>
      </c>
      <c r="D58" s="14">
        <v>1</v>
      </c>
      <c r="E58" s="14">
        <v>0.43453839212448869</v>
      </c>
      <c r="F58" s="14">
        <v>2.7975003891629987E-2</v>
      </c>
      <c r="G58" s="14">
        <v>1.5884686327562486E-8</v>
      </c>
      <c r="H58" s="14">
        <v>858.91493737632209</v>
      </c>
      <c r="I58" s="14">
        <v>2746.6753274181747</v>
      </c>
      <c r="J58" s="14">
        <v>0</v>
      </c>
      <c r="K58" s="14">
        <v>35.7461969933522</v>
      </c>
      <c r="L58" s="14">
        <v>2.797500389162999E-2</v>
      </c>
      <c r="M58" s="14">
        <v>2.2953490693082407E-2</v>
      </c>
      <c r="N58" s="14">
        <v>34.285422166849536</v>
      </c>
      <c r="O58" s="14">
        <v>11850.756171971541</v>
      </c>
      <c r="P58" s="8">
        <v>34.285422166849536</v>
      </c>
      <c r="Q58" s="54">
        <v>0.37034571693959017</v>
      </c>
    </row>
    <row r="59" spans="1:17">
      <c r="A59" s="2" t="s">
        <v>281</v>
      </c>
      <c r="B59" s="16" t="s">
        <v>282</v>
      </c>
      <c r="D59" s="14">
        <v>1</v>
      </c>
      <c r="E59" s="14">
        <v>0.36808073826142829</v>
      </c>
      <c r="F59" s="14">
        <v>0.16288286018099804</v>
      </c>
      <c r="G59" s="14">
        <v>7.5610807202583462E-7</v>
      </c>
      <c r="H59" s="14">
        <v>487.92760203819</v>
      </c>
      <c r="I59" s="14">
        <v>883.91917982964287</v>
      </c>
      <c r="J59" s="14">
        <v>0</v>
      </c>
      <c r="K59" s="14">
        <v>6.1393813866528619</v>
      </c>
      <c r="L59" s="14">
        <v>0.16288286018099804</v>
      </c>
      <c r="M59" s="14">
        <v>0.1336453867785089</v>
      </c>
      <c r="N59" s="14">
        <v>10.957023999152952</v>
      </c>
      <c r="O59" s="14">
        <v>3191.3428099932889</v>
      </c>
      <c r="P59" s="8">
        <v>10.957023999152954</v>
      </c>
      <c r="Q59" s="54">
        <v>0.42287553242044046</v>
      </c>
    </row>
    <row r="60" spans="1:17">
      <c r="A60" s="2" t="s">
        <v>341</v>
      </c>
      <c r="B60" s="16" t="s">
        <v>342</v>
      </c>
      <c r="D60" s="14">
        <v>1</v>
      </c>
      <c r="E60" s="14">
        <v>0.42624881990570229</v>
      </c>
      <c r="F60" s="14">
        <v>1.997147343627597E-2</v>
      </c>
      <c r="G60" s="14">
        <v>2.3236921706726363E-5</v>
      </c>
      <c r="H60" s="14">
        <v>767.98034815730512</v>
      </c>
      <c r="I60" s="14">
        <v>3581.0243803411709</v>
      </c>
      <c r="J60" s="14">
        <v>0</v>
      </c>
      <c r="K60" s="14">
        <v>50.071418275209012</v>
      </c>
      <c r="L60" s="14">
        <v>1.997147343627597E-2</v>
      </c>
      <c r="M60" s="14">
        <v>1.6386593954464432E-2</v>
      </c>
      <c r="N60" s="14">
        <v>44.873461561164902</v>
      </c>
      <c r="O60" s="14">
        <v>15045.174192227367</v>
      </c>
      <c r="P60" s="8">
        <v>44.873461561164902</v>
      </c>
      <c r="Q60" s="54">
        <v>0.3710285061586121</v>
      </c>
    </row>
    <row r="61" spans="1:17">
      <c r="A61" s="2" t="s">
        <v>483</v>
      </c>
      <c r="B61" s="16" t="s">
        <v>484</v>
      </c>
      <c r="D61" s="14">
        <v>1</v>
      </c>
      <c r="E61" s="14">
        <v>0.61473987917666628</v>
      </c>
      <c r="F61" s="14">
        <v>0.51797851709152454</v>
      </c>
      <c r="G61" s="14">
        <v>1.5792095895887427E-15</v>
      </c>
      <c r="H61" s="14">
        <v>236.2294716230229</v>
      </c>
      <c r="I61" s="14">
        <v>364.42930353684932</v>
      </c>
      <c r="J61" s="14">
        <v>0</v>
      </c>
      <c r="K61" s="14">
        <v>1.9305819971358085</v>
      </c>
      <c r="L61" s="14">
        <v>0.51797851709152454</v>
      </c>
      <c r="M61" s="14">
        <v>0.42500137327359588</v>
      </c>
      <c r="N61" s="14">
        <v>42.34706384823275</v>
      </c>
      <c r="O61" s="14">
        <v>19731.61440008405</v>
      </c>
      <c r="P61" s="8">
        <v>42.34706384823275</v>
      </c>
      <c r="Q61" s="54">
        <v>0.24604429018785132</v>
      </c>
    </row>
    <row r="62" spans="1:17">
      <c r="A62" s="2" t="s">
        <v>485</v>
      </c>
      <c r="B62" s="16" t="s">
        <v>486</v>
      </c>
      <c r="D62" s="14">
        <v>1</v>
      </c>
      <c r="E62" s="14">
        <v>0.42674496794414657</v>
      </c>
      <c r="F62" s="14">
        <v>0.3371805288323525</v>
      </c>
      <c r="G62" s="14">
        <v>4.1189922531802087E-9</v>
      </c>
      <c r="H62" s="14">
        <v>209.00779689137113</v>
      </c>
      <c r="I62" s="14">
        <v>425.22585028668527</v>
      </c>
      <c r="J62" s="14">
        <v>0</v>
      </c>
      <c r="K62" s="14">
        <v>2.9657703054887965</v>
      </c>
      <c r="L62" s="14">
        <v>0.3371805288323525</v>
      </c>
      <c r="M62" s="14">
        <v>0.27665662390694523</v>
      </c>
      <c r="N62" s="14">
        <v>5.4602601953539072</v>
      </c>
      <c r="O62" s="14">
        <v>1771.2538047708538</v>
      </c>
      <c r="P62" s="8">
        <v>5.4602601953539072</v>
      </c>
      <c r="Q62" s="54">
        <v>0.38514091534930828</v>
      </c>
    </row>
    <row r="63" spans="1:17">
      <c r="A63" s="2" t="s">
        <v>487</v>
      </c>
      <c r="B63" s="16" t="s">
        <v>488</v>
      </c>
      <c r="D63" s="14">
        <v>1</v>
      </c>
      <c r="E63" s="14">
        <v>0.95648480555699067</v>
      </c>
      <c r="F63" s="14">
        <v>0.95313894972325952</v>
      </c>
      <c r="G63" s="14">
        <v>8.1814450860847679E-15</v>
      </c>
      <c r="H63" s="14">
        <v>9.3340801919517755</v>
      </c>
      <c r="I63" s="14">
        <v>11.403282819870144</v>
      </c>
      <c r="J63" s="14">
        <v>0</v>
      </c>
      <c r="K63" s="14">
        <v>1.0491649725261427</v>
      </c>
      <c r="L63" s="14">
        <v>0.95313894972325952</v>
      </c>
      <c r="M63" s="14">
        <v>0.78205050824793443</v>
      </c>
      <c r="N63" s="14">
        <v>4.7812248664380217</v>
      </c>
      <c r="O63" s="14">
        <v>2111.1976520243729</v>
      </c>
      <c r="P63" s="8">
        <v>4.7812248664380217</v>
      </c>
      <c r="Q63" s="54">
        <v>2.7791366123959833E-2</v>
      </c>
    </row>
    <row r="64" spans="1:17">
      <c r="A64" s="2" t="s">
        <v>489</v>
      </c>
      <c r="B64" s="16" t="s">
        <v>490</v>
      </c>
      <c r="D64" s="14">
        <v>1</v>
      </c>
      <c r="E64" s="14">
        <v>0.99516647219566301</v>
      </c>
      <c r="F64" s="14">
        <v>0.99431385004212702</v>
      </c>
      <c r="G64" s="14">
        <v>1.4759705335202252E-16</v>
      </c>
      <c r="H64" s="14">
        <v>3.4817973375351658</v>
      </c>
      <c r="I64" s="14">
        <v>0.40026025258146336</v>
      </c>
      <c r="J64" s="14">
        <v>0</v>
      </c>
      <c r="K64" s="14">
        <v>1.0057186671568863</v>
      </c>
      <c r="L64" s="14">
        <v>0.99431385004212702</v>
      </c>
      <c r="M64" s="14">
        <v>0.81583451395956519</v>
      </c>
      <c r="N64" s="14">
        <v>0.93863574803752103</v>
      </c>
      <c r="O64" s="14">
        <v>376.79654833470204</v>
      </c>
      <c r="P64" s="8">
        <v>0.93863574803752103</v>
      </c>
      <c r="Q64" s="54">
        <v>2.9521774942550655E-3</v>
      </c>
    </row>
    <row r="65" spans="1:17">
      <c r="A65" s="2" t="s">
        <v>491</v>
      </c>
      <c r="B65" s="16" t="s">
        <v>492</v>
      </c>
      <c r="D65" s="14">
        <v>1</v>
      </c>
      <c r="E65" s="14">
        <v>0.99744266805286841</v>
      </c>
      <c r="F65" s="14">
        <v>0.99766548050195547</v>
      </c>
      <c r="G65" s="14">
        <v>2.4376273003292918E-14</v>
      </c>
      <c r="H65" s="14">
        <v>0.45203373963202953</v>
      </c>
      <c r="I65" s="14">
        <v>0.18615554946558149</v>
      </c>
      <c r="J65" s="14">
        <v>0</v>
      </c>
      <c r="K65" s="14">
        <v>1.0023399822321906</v>
      </c>
      <c r="L65" s="14">
        <v>0.99766548050195547</v>
      </c>
      <c r="M65" s="14">
        <v>0.81858452675185445</v>
      </c>
      <c r="N65" s="14">
        <v>1.2748701616438334</v>
      </c>
      <c r="O65" s="14">
        <v>353.59798803353368</v>
      </c>
      <c r="P65" s="8">
        <v>1.2748701616438336</v>
      </c>
      <c r="Q65" s="54">
        <v>1.3045357568691911E-3</v>
      </c>
    </row>
    <row r="66" spans="1:17">
      <c r="A66" s="2" t="s">
        <v>493</v>
      </c>
      <c r="B66" s="16" t="s">
        <v>494</v>
      </c>
      <c r="D66" s="14">
        <v>1</v>
      </c>
      <c r="E66" s="14">
        <v>0.95972519490950781</v>
      </c>
      <c r="F66" s="14">
        <v>0.9352187317478865</v>
      </c>
      <c r="G66" s="14">
        <v>3.8598494906789934E-13</v>
      </c>
      <c r="H66" s="14">
        <v>68.960249585564199</v>
      </c>
      <c r="I66" s="14">
        <v>16.001963626867482</v>
      </c>
      <c r="J66" s="14">
        <v>0</v>
      </c>
      <c r="K66" s="14">
        <v>1.06926857434842</v>
      </c>
      <c r="L66" s="14">
        <v>0.9352187317478865</v>
      </c>
      <c r="M66" s="14">
        <v>0.76734696939914093</v>
      </c>
      <c r="N66" s="14">
        <v>39.555813430664436</v>
      </c>
      <c r="O66" s="14">
        <v>12832.696993176158</v>
      </c>
      <c r="P66" s="8">
        <v>39.555813430664436</v>
      </c>
      <c r="Q66" s="54">
        <v>1.4102408120441419E-2</v>
      </c>
    </row>
    <row r="67" spans="1:17">
      <c r="A67" s="2" t="s">
        <v>495</v>
      </c>
      <c r="B67" s="16" t="s">
        <v>496</v>
      </c>
      <c r="D67" s="14">
        <v>1</v>
      </c>
      <c r="E67" s="14">
        <v>0.9972313786975614</v>
      </c>
      <c r="F67" s="14">
        <v>0.99747882149544242</v>
      </c>
      <c r="G67" s="14">
        <v>1.9039352384536815E-14</v>
      </c>
      <c r="H67" s="14">
        <v>0.3810951606676326</v>
      </c>
      <c r="I67" s="14">
        <v>0.19289012003689887</v>
      </c>
      <c r="J67" s="14">
        <v>0</v>
      </c>
      <c r="K67" s="14">
        <v>1.002527550911585</v>
      </c>
      <c r="L67" s="14">
        <v>0.99747882149544242</v>
      </c>
      <c r="M67" s="14">
        <v>0.81843137303701052</v>
      </c>
      <c r="N67" s="14">
        <v>1.2161001049957321</v>
      </c>
      <c r="O67" s="14">
        <v>381.15009490776231</v>
      </c>
      <c r="P67" s="8">
        <v>1.2161001049957321</v>
      </c>
      <c r="Q67" s="54">
        <v>1.4665942682620021E-3</v>
      </c>
    </row>
    <row r="68" spans="1:17">
      <c r="A68" s="2" t="s">
        <v>497</v>
      </c>
      <c r="B68" s="16" t="s">
        <v>498</v>
      </c>
      <c r="D68" s="14">
        <v>1</v>
      </c>
      <c r="E68" s="14">
        <v>0.99864722787095939</v>
      </c>
      <c r="F68" s="14">
        <v>0.99901951113745469</v>
      </c>
      <c r="G68" s="14">
        <v>1.7215761297288726E-13</v>
      </c>
      <c r="H68" s="14">
        <v>4.5316936003754679E-2</v>
      </c>
      <c r="I68" s="14">
        <v>3.2373393762809718E-2</v>
      </c>
      <c r="J68" s="14">
        <v>0</v>
      </c>
      <c r="K68" s="14">
        <v>1.0009814511644812</v>
      </c>
      <c r="L68" s="14">
        <v>0.99901951113745469</v>
      </c>
      <c r="M68" s="14">
        <v>0.81969550888828158</v>
      </c>
      <c r="N68" s="14">
        <v>0.96945920536361763</v>
      </c>
      <c r="O68" s="14">
        <v>264.04190917283489</v>
      </c>
      <c r="P68" s="8">
        <v>0.96945920536361763</v>
      </c>
      <c r="Q68" s="54">
        <v>5.9247254446983286E-4</v>
      </c>
    </row>
    <row r="69" spans="1:17">
      <c r="A69" s="2" t="s">
        <v>499</v>
      </c>
      <c r="B69" s="16" t="s">
        <v>500</v>
      </c>
      <c r="D69" s="14">
        <v>1</v>
      </c>
      <c r="E69" s="14">
        <v>0.44544855263682631</v>
      </c>
      <c r="F69" s="14">
        <v>3.5945374679141023E-2</v>
      </c>
      <c r="G69" s="14">
        <v>3.9960738213740153E-13</v>
      </c>
      <c r="H69" s="14">
        <v>925.75275863505988</v>
      </c>
      <c r="I69" s="14">
        <v>2205.2721132734396</v>
      </c>
      <c r="J69" s="14">
        <v>0</v>
      </c>
      <c r="K69" s="14">
        <v>27.819990998182487</v>
      </c>
      <c r="L69" s="14">
        <v>3.5945374679141023E-2</v>
      </c>
      <c r="M69" s="14">
        <v>2.9493179924235207E-2</v>
      </c>
      <c r="N69" s="14">
        <v>27.449698585670546</v>
      </c>
      <c r="O69" s="14">
        <v>11792.116015418209</v>
      </c>
      <c r="P69" s="8">
        <v>27.44969858567055</v>
      </c>
      <c r="Q69" s="54">
        <v>0.36524323913865553</v>
      </c>
    </row>
    <row r="70" spans="1:17">
      <c r="A70" s="2" t="s">
        <v>501</v>
      </c>
      <c r="B70" s="16" t="s">
        <v>411</v>
      </c>
      <c r="D70" s="14">
        <v>1</v>
      </c>
      <c r="E70" s="14">
        <v>0.99947820508497731</v>
      </c>
      <c r="F70" s="14">
        <v>0.9967687889837602</v>
      </c>
      <c r="G70" s="14">
        <v>3.1719250626911796E-15</v>
      </c>
      <c r="H70" s="14">
        <v>8.8042918589005943</v>
      </c>
      <c r="I70" s="14">
        <v>7.7473231342232874E-3</v>
      </c>
      <c r="J70" s="14">
        <v>0</v>
      </c>
      <c r="K70" s="14">
        <v>1.0032416855864179</v>
      </c>
      <c r="L70" s="14">
        <v>0.9967687889837602</v>
      </c>
      <c r="M70" s="14">
        <v>0.81784879136117528</v>
      </c>
      <c r="N70" s="14">
        <v>0.94613260473799166</v>
      </c>
      <c r="O70" s="14">
        <v>283.93439468187131</v>
      </c>
      <c r="P70" s="8">
        <v>0.94613260473799177</v>
      </c>
      <c r="Q70" s="54">
        <v>3.9278208430528641E-5</v>
      </c>
    </row>
    <row r="71" spans="1:17">
      <c r="A71" s="2" t="s">
        <v>502</v>
      </c>
      <c r="B71" s="16" t="s">
        <v>412</v>
      </c>
      <c r="D71" s="14">
        <v>1</v>
      </c>
      <c r="E71" s="14">
        <v>0.99944926135488854</v>
      </c>
      <c r="F71" s="14">
        <v>0.99391845156504466</v>
      </c>
      <c r="G71" s="14">
        <v>1.4847003349692453E-10</v>
      </c>
      <c r="H71" s="14">
        <v>16.819409837334689</v>
      </c>
      <c r="I71" s="14">
        <v>1.4152679846555634E-2</v>
      </c>
      <c r="J71" s="14">
        <v>0</v>
      </c>
      <c r="K71" s="14">
        <v>1.0061187599700752</v>
      </c>
      <c r="L71" s="14">
        <v>0.99391845156504477</v>
      </c>
      <c r="M71" s="14">
        <v>0.81551008950911918</v>
      </c>
      <c r="N71" s="14">
        <v>0.95722790887629061</v>
      </c>
      <c r="O71" s="14">
        <v>314.11433829775478</v>
      </c>
      <c r="P71" s="8">
        <v>0.95722790887629072</v>
      </c>
      <c r="Q71" s="54">
        <v>5.5136435034870597E-5</v>
      </c>
    </row>
    <row r="72" spans="1:17">
      <c r="A72" s="2" t="s">
        <v>503</v>
      </c>
      <c r="B72" s="16" t="s">
        <v>413</v>
      </c>
      <c r="D72" s="14">
        <v>1</v>
      </c>
      <c r="E72" s="14">
        <v>0.98583663004074995</v>
      </c>
      <c r="F72" s="14">
        <v>3.7249401444300466E-2</v>
      </c>
      <c r="G72" s="14">
        <v>1.8250205726934727E-11</v>
      </c>
      <c r="H72" s="14">
        <v>2694.8791760459471</v>
      </c>
      <c r="I72" s="14">
        <v>11.459489555326034</v>
      </c>
      <c r="J72" s="14">
        <v>0</v>
      </c>
      <c r="K72" s="14">
        <v>26.846068962888257</v>
      </c>
      <c r="L72" s="14">
        <v>3.7249401444300473E-2</v>
      </c>
      <c r="M72" s="14">
        <v>3.0563133885048537E-2</v>
      </c>
      <c r="N72" s="14">
        <v>27.19140703303087</v>
      </c>
      <c r="O72" s="14">
        <v>12618.988175888966</v>
      </c>
      <c r="P72" s="8">
        <v>27.19140703303087</v>
      </c>
      <c r="Q72" s="54">
        <v>5.6671573761889042E-4</v>
      </c>
    </row>
    <row r="73" spans="1:17">
      <c r="A73" s="2" t="s">
        <v>504</v>
      </c>
      <c r="B73" s="16" t="s">
        <v>414</v>
      </c>
      <c r="D73" s="14">
        <v>1</v>
      </c>
      <c r="E73" s="14">
        <v>0.99811044027649509</v>
      </c>
      <c r="F73" s="14">
        <v>0.27283329178695609</v>
      </c>
      <c r="G73" s="14">
        <v>1.8828938148333887E-11</v>
      </c>
      <c r="H73" s="14">
        <v>2061.5665687554128</v>
      </c>
      <c r="I73" s="14">
        <v>1.1033755027556875</v>
      </c>
      <c r="J73" s="14">
        <v>0</v>
      </c>
      <c r="K73" s="14">
        <v>3.6652418531857816</v>
      </c>
      <c r="L73" s="14">
        <v>0.27283329178695609</v>
      </c>
      <c r="M73" s="14">
        <v>0.22385971591119749</v>
      </c>
      <c r="N73" s="14">
        <v>2.7591982946573506</v>
      </c>
      <c r="O73" s="14">
        <v>866.52622443714097</v>
      </c>
      <c r="P73" s="8">
        <v>2.7591982946573506</v>
      </c>
      <c r="Q73" s="54">
        <v>3.6284683354981565E-4</v>
      </c>
    </row>
    <row r="74" spans="1:17">
      <c r="A74" s="2" t="s">
        <v>505</v>
      </c>
      <c r="B74" s="16" t="s">
        <v>415</v>
      </c>
      <c r="D74" s="14">
        <v>1</v>
      </c>
      <c r="E74" s="14">
        <v>0.99945466980883058</v>
      </c>
      <c r="F74" s="14">
        <v>0.99448435836883387</v>
      </c>
      <c r="G74" s="14">
        <v>1.8266124889320579E-11</v>
      </c>
      <c r="H74" s="14">
        <v>15.227126538319446</v>
      </c>
      <c r="I74" s="14">
        <v>1.2868974234244631E-2</v>
      </c>
      <c r="J74" s="14">
        <v>0</v>
      </c>
      <c r="K74" s="14">
        <v>1.0055462326629379</v>
      </c>
      <c r="L74" s="14">
        <v>0.99448435836883398</v>
      </c>
      <c r="M74" s="14">
        <v>0.81597441604162824</v>
      </c>
      <c r="N74" s="14">
        <v>0.95506558702926669</v>
      </c>
      <c r="O74" s="14">
        <v>204.42223824774422</v>
      </c>
      <c r="P74" s="8">
        <v>0.95506558702926669</v>
      </c>
      <c r="Q74" s="54">
        <v>5.2208826462354484E-5</v>
      </c>
    </row>
    <row r="75" spans="1:17">
      <c r="A75" s="2" t="s">
        <v>506</v>
      </c>
      <c r="B75" s="16" t="s">
        <v>416</v>
      </c>
      <c r="D75" s="14">
        <v>1</v>
      </c>
      <c r="E75" s="14">
        <v>0.99812370794524163</v>
      </c>
      <c r="F75" s="14">
        <v>0.308884050840734</v>
      </c>
      <c r="G75" s="14">
        <v>7.7322155108978067E-11</v>
      </c>
      <c r="H75" s="14">
        <v>1959.185167441339</v>
      </c>
      <c r="I75" s="14">
        <v>1.0621881664891111</v>
      </c>
      <c r="J75" s="14">
        <v>0</v>
      </c>
      <c r="K75" s="14">
        <v>3.2374607794677539</v>
      </c>
      <c r="L75" s="14">
        <v>0.308884050840734</v>
      </c>
      <c r="M75" s="14">
        <v>0.25343936371482229</v>
      </c>
      <c r="N75" s="14">
        <v>2.6954442263988971</v>
      </c>
      <c r="O75" s="14">
        <v>1116.1025908249915</v>
      </c>
      <c r="P75" s="8">
        <v>2.6954442263988971</v>
      </c>
      <c r="Q75" s="54">
        <v>3.7497426175944369E-4</v>
      </c>
    </row>
    <row r="76" spans="1:17">
      <c r="A76" s="2" t="s">
        <v>507</v>
      </c>
      <c r="B76" s="16" t="s">
        <v>417</v>
      </c>
      <c r="D76" s="14">
        <v>1</v>
      </c>
      <c r="E76" s="14">
        <v>0.99901375438404616</v>
      </c>
      <c r="F76" s="14">
        <v>0.89012881988421422</v>
      </c>
      <c r="G76" s="14">
        <v>4.9090891144593903E-10</v>
      </c>
      <c r="H76" s="14">
        <v>310.4365601471128</v>
      </c>
      <c r="I76" s="14">
        <v>0.20902623198685497</v>
      </c>
      <c r="J76" s="14">
        <v>0</v>
      </c>
      <c r="K76" s="14">
        <v>1.1234328983192317</v>
      </c>
      <c r="L76" s="14">
        <v>0.89012881988421422</v>
      </c>
      <c r="M76" s="14">
        <v>0.73035069671499775</v>
      </c>
      <c r="N76" s="14">
        <v>1.2900510269119856</v>
      </c>
      <c r="O76" s="14">
        <v>552.36114819290481</v>
      </c>
      <c r="P76" s="8">
        <v>1.2900510269119856</v>
      </c>
      <c r="Q76" s="54">
        <v>2.390015909012475E-4</v>
      </c>
    </row>
    <row r="77" spans="1:17">
      <c r="A77" s="2" t="s">
        <v>508</v>
      </c>
      <c r="B77" s="16" t="s">
        <v>418</v>
      </c>
      <c r="D77" s="14">
        <v>1</v>
      </c>
      <c r="E77" s="14">
        <v>0.99811178905837528</v>
      </c>
      <c r="F77" s="14">
        <v>0.28286181199445182</v>
      </c>
      <c r="G77" s="14">
        <v>5.7594680378192185E-10</v>
      </c>
      <c r="H77" s="14">
        <v>2033.0793025268163</v>
      </c>
      <c r="I77" s="14">
        <v>1.0954239914824182</v>
      </c>
      <c r="J77" s="14">
        <v>0</v>
      </c>
      <c r="K77" s="14">
        <v>3.5352951780554047</v>
      </c>
      <c r="L77" s="14">
        <v>0.28286181199445182</v>
      </c>
      <c r="M77" s="14">
        <v>0.23208811674144772</v>
      </c>
      <c r="N77" s="14">
        <v>2.7419552139537737</v>
      </c>
      <c r="O77" s="14">
        <v>1448.245904906104</v>
      </c>
      <c r="P77" s="8">
        <v>2.7419552139537737</v>
      </c>
      <c r="Q77" s="54">
        <v>3.6760570981315402E-4</v>
      </c>
    </row>
    <row r="78" spans="1:17">
      <c r="A78" s="2" t="s">
        <v>509</v>
      </c>
      <c r="B78" s="16" t="s">
        <v>419</v>
      </c>
      <c r="D78" s="14">
        <v>1</v>
      </c>
      <c r="E78" s="14">
        <v>0.98805608750179652</v>
      </c>
      <c r="F78" s="14">
        <v>4.1252884899782093E-2</v>
      </c>
      <c r="G78" s="14">
        <v>7.3262678240071333E-11</v>
      </c>
      <c r="H78" s="14">
        <v>2690.0126670322657</v>
      </c>
      <c r="I78" s="14">
        <v>9.6112594218801082</v>
      </c>
      <c r="J78" s="14">
        <v>0</v>
      </c>
      <c r="K78" s="14">
        <v>24.240728919428427</v>
      </c>
      <c r="L78" s="14">
        <v>4.1252884899782093E-2</v>
      </c>
      <c r="M78" s="14">
        <v>3.3847992060271205E-2</v>
      </c>
      <c r="N78" s="14">
        <v>22.752460448916736</v>
      </c>
      <c r="O78" s="14">
        <v>12834.435414629443</v>
      </c>
      <c r="P78" s="8">
        <v>22.752460448916736</v>
      </c>
      <c r="Q78" s="54">
        <v>5.3676019210035879E-4</v>
      </c>
    </row>
    <row r="79" spans="1:17">
      <c r="A79" s="2" t="s">
        <v>510</v>
      </c>
      <c r="B79" s="16" t="s">
        <v>420</v>
      </c>
      <c r="D79" s="14">
        <v>1</v>
      </c>
      <c r="E79" s="14">
        <v>0.98805622643635893</v>
      </c>
      <c r="F79" s="14">
        <v>4.1252893113732064E-2</v>
      </c>
      <c r="G79" s="14">
        <v>1.840275732634046E-15</v>
      </c>
      <c r="H79" s="14">
        <v>2690.0132026464298</v>
      </c>
      <c r="I79" s="14">
        <v>9.6097402989051677</v>
      </c>
      <c r="J79" s="14">
        <v>0</v>
      </c>
      <c r="K79" s="14">
        <v>24.240724092806108</v>
      </c>
      <c r="L79" s="14">
        <v>4.1252893113732064E-2</v>
      </c>
      <c r="M79" s="14">
        <v>3.3847998799817161E-2</v>
      </c>
      <c r="N79" s="14">
        <v>22.752446868438156</v>
      </c>
      <c r="O79" s="14">
        <v>11379.181252311975</v>
      </c>
      <c r="P79" s="8">
        <v>22.752446868438156</v>
      </c>
      <c r="Q79" s="54">
        <v>5.3667535360999439E-4</v>
      </c>
    </row>
    <row r="80" spans="1:17">
      <c r="A80" s="2" t="s">
        <v>511</v>
      </c>
      <c r="B80" s="16" t="s">
        <v>421</v>
      </c>
      <c r="D80" s="14">
        <v>1</v>
      </c>
      <c r="E80" s="14">
        <v>0.99852087553981084</v>
      </c>
      <c r="F80" s="14">
        <v>0.66683256195128737</v>
      </c>
      <c r="G80" s="14">
        <v>8.6881090728926817E-11</v>
      </c>
      <c r="H80" s="14">
        <v>943.40201303550111</v>
      </c>
      <c r="I80" s="14">
        <v>0.57124547536585657</v>
      </c>
      <c r="J80" s="14">
        <v>0</v>
      </c>
      <c r="K80" s="14">
        <v>1.4996268284706991</v>
      </c>
      <c r="L80" s="14">
        <v>0.66683256195128737</v>
      </c>
      <c r="M80" s="14">
        <v>0.54713611708103127</v>
      </c>
      <c r="N80" s="14">
        <v>1.898850621678378</v>
      </c>
      <c r="O80" s="14">
        <v>691.2955573282303</v>
      </c>
      <c r="P80" s="8">
        <v>1.898850621678378</v>
      </c>
      <c r="Q80" s="54">
        <v>3.7035888948120001E-4</v>
      </c>
    </row>
    <row r="81" spans="1:17">
      <c r="A81" s="2" t="s">
        <v>512</v>
      </c>
      <c r="B81" s="16" t="s">
        <v>422</v>
      </c>
      <c r="D81" s="14">
        <v>1</v>
      </c>
      <c r="E81" s="14">
        <v>0.99933396402194807</v>
      </c>
      <c r="F81" s="14">
        <v>0.97613627338859776</v>
      </c>
      <c r="G81" s="14">
        <v>3.4447595867356945E-11</v>
      </c>
      <c r="H81" s="14">
        <v>67.008585672889836</v>
      </c>
      <c r="I81" s="14">
        <v>5.0705658379577606E-2</v>
      </c>
      <c r="J81" s="14">
        <v>0</v>
      </c>
      <c r="K81" s="14">
        <v>1.0244471261461892</v>
      </c>
      <c r="L81" s="14">
        <v>0.97613627338859787</v>
      </c>
      <c r="M81" s="14">
        <v>0.80091981231534448</v>
      </c>
      <c r="N81" s="14">
        <v>1.0205964874047559</v>
      </c>
      <c r="O81" s="14">
        <v>269.48850249922577</v>
      </c>
      <c r="P81" s="8">
        <v>1.0205964874047559</v>
      </c>
      <c r="Q81" s="54">
        <v>1.1200990428464248E-4</v>
      </c>
    </row>
    <row r="82" spans="1:17">
      <c r="A82" s="2" t="s">
        <v>513</v>
      </c>
      <c r="B82" s="16" t="s">
        <v>423</v>
      </c>
      <c r="D82" s="14">
        <v>1</v>
      </c>
      <c r="E82" s="14">
        <v>0.99917584850081187</v>
      </c>
      <c r="F82" s="14">
        <v>0.9393725922008288</v>
      </c>
      <c r="G82" s="14">
        <v>1.1036373060033821E-14</v>
      </c>
      <c r="H82" s="14">
        <v>171.00069864036945</v>
      </c>
      <c r="I82" s="14">
        <v>0.12040793944596007</v>
      </c>
      <c r="J82" s="14">
        <v>0</v>
      </c>
      <c r="K82" s="14">
        <v>1.0645403201057089</v>
      </c>
      <c r="L82" s="14">
        <v>0.93937259220082892</v>
      </c>
      <c r="M82" s="14">
        <v>0.77075521190078011</v>
      </c>
      <c r="N82" s="14">
        <v>1.1402462785929606</v>
      </c>
      <c r="O82" s="14">
        <v>456.22393852782949</v>
      </c>
      <c r="P82" s="8">
        <v>1.1402462785929606</v>
      </c>
      <c r="Q82" s="54">
        <v>1.7916580463696956E-4</v>
      </c>
    </row>
    <row r="83" spans="1:17">
      <c r="A83" s="2" t="s">
        <v>514</v>
      </c>
      <c r="B83" s="16" t="s">
        <v>424</v>
      </c>
      <c r="D83" s="14">
        <v>1</v>
      </c>
      <c r="E83" s="14">
        <v>0.97736481181700685</v>
      </c>
      <c r="F83" s="14">
        <v>2.800708258087161E-2</v>
      </c>
      <c r="G83" s="14">
        <v>2.626614502685569E-11</v>
      </c>
      <c r="H83" s="14">
        <v>2696.2978905601558</v>
      </c>
      <c r="I83" s="14">
        <v>18.505202697982419</v>
      </c>
      <c r="J83" s="14">
        <v>0</v>
      </c>
      <c r="K83" s="14">
        <v>35.705254094654755</v>
      </c>
      <c r="L83" s="14">
        <v>2.8007082580871614E-2</v>
      </c>
      <c r="M83" s="14">
        <v>2.2979811257605159E-2</v>
      </c>
      <c r="N83" s="14">
        <v>44.213669456455094</v>
      </c>
      <c r="O83" s="14">
        <v>22729.363194174435</v>
      </c>
      <c r="P83" s="8">
        <v>44.213669456455094</v>
      </c>
      <c r="Q83" s="54">
        <v>6.5507925512957766E-4</v>
      </c>
    </row>
    <row r="84" spans="1:17">
      <c r="A84" s="2" t="s">
        <v>403</v>
      </c>
      <c r="B84" s="16" t="s">
        <v>404</v>
      </c>
      <c r="D84" s="14">
        <v>1</v>
      </c>
      <c r="E84" s="14">
        <v>0.49000332833652654</v>
      </c>
      <c r="F84" s="14">
        <v>0.43250313920741568</v>
      </c>
      <c r="G84" s="14">
        <v>7.5376809627858365E-46</v>
      </c>
      <c r="H84" s="14">
        <v>133.10956495426501</v>
      </c>
      <c r="I84" s="14">
        <v>285.14544261554914</v>
      </c>
      <c r="J84" s="14">
        <v>0</v>
      </c>
      <c r="K84" s="14">
        <v>2.3121219462881855</v>
      </c>
      <c r="L84" s="14">
        <v>0.43250313920741573</v>
      </c>
      <c r="M84" s="14">
        <v>0.35486882571968459</v>
      </c>
      <c r="N84" s="14">
        <v>3.8386035306336068</v>
      </c>
      <c r="O84" s="14">
        <v>4616.3429919752816</v>
      </c>
      <c r="P84" s="8">
        <v>3.8386035306336068</v>
      </c>
      <c r="Q84" s="54">
        <v>0.34297813525508747</v>
      </c>
    </row>
    <row r="85" spans="1:17">
      <c r="A85" s="2" t="s">
        <v>405</v>
      </c>
      <c r="B85" s="16" t="s">
        <v>406</v>
      </c>
      <c r="D85" s="14">
        <v>1</v>
      </c>
      <c r="E85" s="14">
        <v>0.42026693306018281</v>
      </c>
      <c r="F85" s="14">
        <v>0.15876856293589017</v>
      </c>
      <c r="G85" s="14">
        <v>4.8153917877271093E-10</v>
      </c>
      <c r="H85" s="14">
        <v>706.47341743899688</v>
      </c>
      <c r="I85" s="14">
        <v>341.96466497712828</v>
      </c>
      <c r="J85" s="14">
        <v>0</v>
      </c>
      <c r="K85" s="14">
        <v>6.2984761057753857</v>
      </c>
      <c r="L85" s="14">
        <v>0.1587685629358902</v>
      </c>
      <c r="M85" s="14">
        <v>0.13026960588889791</v>
      </c>
      <c r="N85" s="14">
        <v>1083.3399160967247</v>
      </c>
      <c r="O85" s="14">
        <v>345433.76564660168</v>
      </c>
      <c r="P85" s="8">
        <v>1083.3399160967249</v>
      </c>
      <c r="Q85" s="54">
        <v>3.3005113681879757E-2</v>
      </c>
    </row>
    <row r="86" spans="1:17">
      <c r="A86" s="2" t="s">
        <v>407</v>
      </c>
      <c r="B86" s="16" t="s">
        <v>408</v>
      </c>
      <c r="D86" s="14">
        <v>1</v>
      </c>
      <c r="E86" s="14">
        <v>0.5352807060405177</v>
      </c>
      <c r="F86" s="14">
        <v>2.103122497773161E-3</v>
      </c>
      <c r="G86" s="14">
        <v>1.6883133589463043E-6</v>
      </c>
      <c r="H86" s="14">
        <v>288.75171290986782</v>
      </c>
      <c r="I86" s="14">
        <v>11357.473704047661</v>
      </c>
      <c r="J86" s="14">
        <v>0</v>
      </c>
      <c r="K86" s="14">
        <v>475.48347804696346</v>
      </c>
      <c r="L86" s="14">
        <v>2.1031224977731615E-3</v>
      </c>
      <c r="M86" s="14">
        <v>1.7256120094228788E-3</v>
      </c>
      <c r="N86" s="14">
        <v>145.71331296582318</v>
      </c>
      <c r="O86" s="14">
        <v>70786.07030566725</v>
      </c>
      <c r="P86" s="8">
        <v>145.71331296582318</v>
      </c>
      <c r="Q86" s="54">
        <v>0.2653882801226487</v>
      </c>
    </row>
    <row r="87" spans="1:17">
      <c r="A87" s="2" t="s">
        <v>409</v>
      </c>
      <c r="B87" s="16" t="s">
        <v>410</v>
      </c>
      <c r="D87" s="14">
        <v>1</v>
      </c>
      <c r="E87" s="14">
        <v>0.61062334161603959</v>
      </c>
      <c r="F87" s="14">
        <v>8.1977542010114573E-4</v>
      </c>
      <c r="G87" s="14">
        <v>2.3514913206639517E-7</v>
      </c>
      <c r="H87" s="14">
        <v>175.03096710621671</v>
      </c>
      <c r="I87" s="14">
        <v>14426.868166066761</v>
      </c>
      <c r="J87" s="14">
        <v>0</v>
      </c>
      <c r="K87" s="14">
        <v>1219.8462840915843</v>
      </c>
      <c r="L87" s="14">
        <v>8.1977542010114573E-4</v>
      </c>
      <c r="M87" s="14">
        <v>6.7262573219299009E-4</v>
      </c>
      <c r="N87" s="14">
        <v>186.64696498662829</v>
      </c>
      <c r="O87" s="14">
        <v>105397.67465829913</v>
      </c>
      <c r="P87" s="8">
        <v>186.64696498662829</v>
      </c>
      <c r="Q87" s="54">
        <v>0.20108147543007301</v>
      </c>
    </row>
    <row r="88" spans="1:17">
      <c r="A88" s="2" t="s">
        <v>301</v>
      </c>
      <c r="B88" s="16" t="s">
        <v>302</v>
      </c>
      <c r="D88" s="14">
        <v>1</v>
      </c>
      <c r="E88" s="14">
        <v>0.6903831402745424</v>
      </c>
      <c r="F88" s="14">
        <v>2.5683186341199284E-4</v>
      </c>
      <c r="G88" s="14">
        <v>3.2417341077321182E-8</v>
      </c>
      <c r="H88" s="14">
        <v>90.604319475820475</v>
      </c>
      <c r="I88" s="14">
        <v>17322.320651844511</v>
      </c>
      <c r="J88" s="14">
        <v>0</v>
      </c>
      <c r="K88" s="14">
        <v>3893.5978842931399</v>
      </c>
      <c r="L88" s="14">
        <v>2.5683186341199284E-4</v>
      </c>
      <c r="M88" s="14">
        <v>2.1073054392954015E-4</v>
      </c>
      <c r="N88" s="14">
        <v>226.25746037738801</v>
      </c>
      <c r="O88" s="14">
        <v>145614.77634967939</v>
      </c>
      <c r="P88" s="8">
        <v>226.25746037738801</v>
      </c>
      <c r="Q88" s="54">
        <v>0.13415475594139223</v>
      </c>
    </row>
    <row r="89" spans="1:17">
      <c r="A89" s="2" t="s">
        <v>303</v>
      </c>
      <c r="B89" s="16" t="s">
        <v>304</v>
      </c>
      <c r="D89" s="14">
        <v>1</v>
      </c>
      <c r="E89" s="14">
        <v>7.221569802013604E-2</v>
      </c>
      <c r="F89" s="14">
        <v>1.719714526514698E-3</v>
      </c>
      <c r="G89" s="14">
        <v>2.4764560332153351E-15</v>
      </c>
      <c r="H89" s="14">
        <v>55.644843842973408</v>
      </c>
      <c r="I89" s="14">
        <v>1339.9624223531737</v>
      </c>
      <c r="J89" s="14">
        <v>0</v>
      </c>
      <c r="K89" s="14">
        <v>581.49186076056162</v>
      </c>
      <c r="L89" s="14">
        <v>1.7197145265146982E-3</v>
      </c>
      <c r="M89" s="14">
        <v>1.4110257690053097E-3</v>
      </c>
      <c r="N89" s="14">
        <v>1849.6052017098257</v>
      </c>
      <c r="O89" s="14">
        <v>1193568.7327153676</v>
      </c>
      <c r="P89" s="8">
        <v>1849.6052017098259</v>
      </c>
      <c r="Q89" s="54">
        <v>1.4497483370732952E-2</v>
      </c>
    </row>
    <row r="90" spans="1:17">
      <c r="A90" s="2" t="s">
        <v>425</v>
      </c>
      <c r="B90" s="16" t="s">
        <v>426</v>
      </c>
      <c r="D90" s="14">
        <v>1</v>
      </c>
      <c r="E90" s="14">
        <v>0.97449589789814883</v>
      </c>
      <c r="F90" s="14">
        <v>0.97475380941716294</v>
      </c>
      <c r="G90" s="14">
        <v>1.7755438184056813E-15</v>
      </c>
      <c r="H90" s="14">
        <v>0.2597735570334988</v>
      </c>
      <c r="I90" s="14">
        <v>0.80757309848580183</v>
      </c>
      <c r="J90" s="14">
        <v>0</v>
      </c>
      <c r="K90" s="14">
        <v>1.0259000686521376</v>
      </c>
      <c r="L90" s="14">
        <v>0.97475380941716294</v>
      </c>
      <c r="M90" s="14">
        <v>0.79978550062678222</v>
      </c>
      <c r="N90" s="14">
        <v>0.91845827104893518</v>
      </c>
      <c r="O90" s="14">
        <v>254.65174023102776</v>
      </c>
      <c r="P90" s="8">
        <v>0.91845827104893529</v>
      </c>
      <c r="Q90" s="54">
        <v>1.6911488845492172E-2</v>
      </c>
    </row>
    <row r="91" spans="1:17">
      <c r="A91" s="2" t="s">
        <v>427</v>
      </c>
      <c r="B91" s="16" t="s">
        <v>428</v>
      </c>
      <c r="D91" s="14">
        <v>1</v>
      </c>
      <c r="E91" s="14">
        <v>0.77323280902625036</v>
      </c>
      <c r="F91" s="14">
        <v>0.76602758686878436</v>
      </c>
      <c r="G91" s="14">
        <v>9.7528803848392053E-7</v>
      </c>
      <c r="H91" s="14">
        <v>16.645789952337509</v>
      </c>
      <c r="I91" s="14">
        <v>43.347253028956978</v>
      </c>
      <c r="J91" s="14">
        <v>0</v>
      </c>
      <c r="K91" s="14">
        <v>1.3054360145012551</v>
      </c>
      <c r="L91" s="14">
        <v>0.76602758686878447</v>
      </c>
      <c r="M91" s="14">
        <v>0.62852563502583758</v>
      </c>
      <c r="N91" s="14">
        <v>1.2279029753647634</v>
      </c>
      <c r="O91" s="14">
        <v>202.8372925005053</v>
      </c>
      <c r="P91" s="8">
        <v>1.2279029753647637</v>
      </c>
      <c r="Q91" s="54">
        <v>0.15260247624984125</v>
      </c>
    </row>
    <row r="92" spans="1:17">
      <c r="A92" s="2" t="s">
        <v>429</v>
      </c>
      <c r="B92" s="16" t="s">
        <v>430</v>
      </c>
      <c r="D92" s="14">
        <v>1</v>
      </c>
      <c r="E92" s="14">
        <v>0.39089753717196257</v>
      </c>
      <c r="F92" s="14">
        <v>0.26820685901559421</v>
      </c>
      <c r="G92" s="14">
        <v>1.1822746231947666E-5</v>
      </c>
      <c r="H92" s="14">
        <v>288.1972816570796</v>
      </c>
      <c r="I92" s="14">
        <v>563.05011421210838</v>
      </c>
      <c r="J92" s="14">
        <v>0</v>
      </c>
      <c r="K92" s="14">
        <v>3.7284654228095544</v>
      </c>
      <c r="L92" s="14">
        <v>0.26820685901559421</v>
      </c>
      <c r="M92" s="14">
        <v>0.22006372782229508</v>
      </c>
      <c r="N92" s="14">
        <v>7.0878163059949175</v>
      </c>
      <c r="O92" s="14">
        <v>1277.5080109925241</v>
      </c>
      <c r="P92" s="8">
        <v>7.0878163059949175</v>
      </c>
      <c r="Q92" s="54">
        <v>0.40808163533212655</v>
      </c>
    </row>
    <row r="93" spans="1:17">
      <c r="A93" s="2" t="s">
        <v>431</v>
      </c>
      <c r="B93" s="16" t="s">
        <v>432</v>
      </c>
      <c r="D93" s="14">
        <v>1</v>
      </c>
      <c r="E93" s="14">
        <v>0.99938898496394946</v>
      </c>
      <c r="F93" s="14">
        <v>0.99934205547454413</v>
      </c>
      <c r="G93" s="14">
        <v>1.3392664328414294E-19</v>
      </c>
      <c r="H93" s="14">
        <v>1.2396644991269505</v>
      </c>
      <c r="I93" s="14">
        <v>9.1957615459684391E-3</v>
      </c>
      <c r="J93" s="14">
        <v>0</v>
      </c>
      <c r="K93" s="14">
        <v>1.0006583777014602</v>
      </c>
      <c r="L93" s="14">
        <v>0.99934205547454424</v>
      </c>
      <c r="M93" s="14">
        <v>0.81996015651686349</v>
      </c>
      <c r="N93" s="14">
        <v>0.93472995742345499</v>
      </c>
      <c r="O93" s="14">
        <v>363.50713314240738</v>
      </c>
      <c r="P93" s="8">
        <v>0.9347299574234551</v>
      </c>
      <c r="Q93" s="54">
        <v>1.0327321591627881E-4</v>
      </c>
    </row>
    <row r="94" spans="1:17">
      <c r="A94" s="2" t="s">
        <v>433</v>
      </c>
      <c r="B94" s="16" t="s">
        <v>434</v>
      </c>
      <c r="D94" s="14">
        <v>1</v>
      </c>
      <c r="E94" s="14">
        <v>0.99953650034411046</v>
      </c>
      <c r="F94" s="14">
        <v>0.99992461775787322</v>
      </c>
      <c r="G94" s="14">
        <v>2.8195886152483577E-20</v>
      </c>
      <c r="H94" s="14">
        <v>4.8057066926308128E-3</v>
      </c>
      <c r="I94" s="14">
        <v>6.2088978966634217E-5</v>
      </c>
      <c r="J94" s="14">
        <v>0</v>
      </c>
      <c r="K94" s="14">
        <v>1.0000753879250377</v>
      </c>
      <c r="L94" s="14">
        <v>0.99992461775787322</v>
      </c>
      <c r="M94" s="14">
        <v>0.82043814887033495</v>
      </c>
      <c r="N94" s="14">
        <v>0.9380487535029195</v>
      </c>
      <c r="O94" s="14">
        <v>168.1358585778633</v>
      </c>
      <c r="P94" s="8">
        <v>0.9380487535029195</v>
      </c>
      <c r="Q94" s="54">
        <v>2.602642504353197E-6</v>
      </c>
    </row>
    <row r="95" spans="1:17">
      <c r="A95" s="2" t="s">
        <v>435</v>
      </c>
      <c r="B95" s="16" t="s">
        <v>436</v>
      </c>
      <c r="D95" s="14">
        <v>1</v>
      </c>
      <c r="E95" s="14">
        <v>0.94157767387570823</v>
      </c>
      <c r="F95" s="14">
        <v>0.94144088584805996</v>
      </c>
      <c r="G95" s="14">
        <v>1.5151413163903804E-10</v>
      </c>
      <c r="H95" s="14">
        <v>1.0631531875069289</v>
      </c>
      <c r="I95" s="14">
        <v>3.4141980288116534</v>
      </c>
      <c r="J95" s="14">
        <v>0</v>
      </c>
      <c r="K95" s="14">
        <v>1.0622015837979986</v>
      </c>
      <c r="L95" s="14">
        <v>0.94144088584805996</v>
      </c>
      <c r="M95" s="14">
        <v>0.77245224683833325</v>
      </c>
      <c r="N95" s="14">
        <v>0.92808966725983921</v>
      </c>
      <c r="O95" s="14">
        <v>242.31493122487137</v>
      </c>
      <c r="P95" s="8">
        <v>0.92808966725983921</v>
      </c>
      <c r="Q95" s="54">
        <v>3.9128095271967284E-2</v>
      </c>
    </row>
    <row r="96" spans="1:17">
      <c r="A96" s="2" t="s">
        <v>437</v>
      </c>
      <c r="B96" s="164" t="s">
        <v>438</v>
      </c>
      <c r="D96" s="14">
        <v>1</v>
      </c>
      <c r="E96" s="14">
        <v>0.50935022910237593</v>
      </c>
      <c r="F96" s="14">
        <v>2.9251646870644449E-3</v>
      </c>
      <c r="G96" s="14">
        <v>3.0171632526640333E-9</v>
      </c>
      <c r="H96" s="14">
        <v>340.698578789262</v>
      </c>
      <c r="I96" s="14">
        <v>10172.495178955241</v>
      </c>
      <c r="J96" s="14">
        <v>0</v>
      </c>
      <c r="K96" s="14">
        <v>341.86109398290046</v>
      </c>
      <c r="L96" s="14">
        <v>2.9251646870644453E-3</v>
      </c>
      <c r="M96" s="14">
        <v>2.4000976257363771E-3</v>
      </c>
      <c r="N96" s="14">
        <v>130.10590371944133</v>
      </c>
      <c r="O96" s="14">
        <v>54163.087718403433</v>
      </c>
      <c r="P96" s="8">
        <v>130.10590371944133</v>
      </c>
      <c r="Q96" s="54">
        <v>0.28815588440802342</v>
      </c>
    </row>
    <row r="97" spans="1:17">
      <c r="A97" s="2" t="s">
        <v>439</v>
      </c>
      <c r="B97" s="16" t="s">
        <v>440</v>
      </c>
      <c r="D97" s="14">
        <v>1</v>
      </c>
      <c r="E97" s="14">
        <v>0.69455560345904854</v>
      </c>
      <c r="F97" s="14">
        <v>0.68017576876655883</v>
      </c>
      <c r="G97" s="14">
        <v>5.0052945966018229E-7</v>
      </c>
      <c r="H97" s="14">
        <v>32.900398337573463</v>
      </c>
      <c r="I97" s="14">
        <v>80.771533239311779</v>
      </c>
      <c r="J97" s="14">
        <v>0</v>
      </c>
      <c r="K97" s="14">
        <v>1.4702082107591325</v>
      </c>
      <c r="L97" s="14">
        <v>0.68017576876655883</v>
      </c>
      <c r="M97" s="14">
        <v>0.55808421827296151</v>
      </c>
      <c r="N97" s="14">
        <v>1.5960329024304329</v>
      </c>
      <c r="O97" s="14">
        <v>305.27321324786891</v>
      </c>
      <c r="P97" s="8">
        <v>1.5960329024304329</v>
      </c>
      <c r="Q97" s="54">
        <v>0.20561667261798902</v>
      </c>
    </row>
    <row r="98" spans="1:17">
      <c r="A98" s="2" t="s">
        <v>441</v>
      </c>
      <c r="B98" s="16" t="s">
        <v>442</v>
      </c>
      <c r="D98" s="14">
        <v>1</v>
      </c>
      <c r="E98" s="14">
        <v>0.75959048046035738</v>
      </c>
      <c r="F98" s="14">
        <v>0.75135249737570131</v>
      </c>
      <c r="G98" s="14">
        <v>3.2440849782648312E-19</v>
      </c>
      <c r="H98" s="14">
        <v>18.969842900341291</v>
      </c>
      <c r="I98" s="14">
        <v>48.85633726781461</v>
      </c>
      <c r="J98" s="14">
        <v>0</v>
      </c>
      <c r="K98" s="14">
        <v>1.3309332217471377</v>
      </c>
      <c r="L98" s="14">
        <v>0.75135249737570131</v>
      </c>
      <c r="M98" s="14">
        <v>0.61648472409676291</v>
      </c>
      <c r="N98" s="14">
        <v>1.2800279726660035</v>
      </c>
      <c r="O98" s="14">
        <v>502.35977815249976</v>
      </c>
      <c r="P98" s="8">
        <v>1.2800279726660038</v>
      </c>
      <c r="Q98" s="54">
        <v>0.16185305643729936</v>
      </c>
    </row>
    <row r="99" spans="1:17">
      <c r="A99" s="2" t="s">
        <v>443</v>
      </c>
      <c r="B99" s="16" t="s">
        <v>444</v>
      </c>
      <c r="D99" s="14">
        <v>1</v>
      </c>
      <c r="E99" s="14">
        <v>0.88081490427615672</v>
      </c>
      <c r="F99" s="14">
        <v>0.87918739512122845</v>
      </c>
      <c r="G99" s="14">
        <v>4.7355447032664446E-31</v>
      </c>
      <c r="H99" s="14">
        <v>4.2612935528349878</v>
      </c>
      <c r="I99" s="14">
        <v>12.393632774027006</v>
      </c>
      <c r="J99" s="14">
        <v>0</v>
      </c>
      <c r="K99" s="14">
        <v>1.1374139410428115</v>
      </c>
      <c r="L99" s="14">
        <v>0.87918739512122845</v>
      </c>
      <c r="M99" s="14">
        <v>0.72137325769696792</v>
      </c>
      <c r="N99" s="14">
        <v>0.96537366722646012</v>
      </c>
      <c r="O99" s="14">
        <v>753.8989116838319</v>
      </c>
      <c r="P99" s="8">
        <v>0.96537366722646023</v>
      </c>
      <c r="Q99" s="54">
        <v>8.0130642273159025E-2</v>
      </c>
    </row>
    <row r="100" spans="1:17">
      <c r="A100" s="2" t="s">
        <v>445</v>
      </c>
      <c r="B100" s="16" t="s">
        <v>446</v>
      </c>
      <c r="D100" s="14">
        <v>1</v>
      </c>
      <c r="E100" s="14">
        <v>0.42663416422933936</v>
      </c>
      <c r="F100" s="14">
        <v>1.5933232428853517E-2</v>
      </c>
      <c r="G100" s="14">
        <v>2.6247768029417838E-9</v>
      </c>
      <c r="H100" s="14">
        <v>709.84559483838166</v>
      </c>
      <c r="I100" s="14">
        <v>4235.6597137863082</v>
      </c>
      <c r="J100" s="14">
        <v>0</v>
      </c>
      <c r="K100" s="14">
        <v>62.76190374208678</v>
      </c>
      <c r="L100" s="14">
        <v>1.5933232428853517E-2</v>
      </c>
      <c r="M100" s="14">
        <v>1.3073217207874313E-2</v>
      </c>
      <c r="N100" s="14">
        <v>53.216083752931304</v>
      </c>
      <c r="O100" s="14">
        <v>16305.408061898152</v>
      </c>
      <c r="P100" s="8">
        <v>53.216083752931311</v>
      </c>
      <c r="Q100" s="54">
        <v>0.36942055998872309</v>
      </c>
    </row>
    <row r="101" spans="1:17">
      <c r="A101" s="2" t="s">
        <v>447</v>
      </c>
      <c r="B101" s="16" t="s">
        <v>448</v>
      </c>
      <c r="D101" s="14">
        <v>1</v>
      </c>
      <c r="E101" s="14">
        <v>0.42107825070691796</v>
      </c>
      <c r="F101" s="14">
        <v>0.32741557587266035</v>
      </c>
      <c r="G101" s="14">
        <v>9.0825505485520583E-11</v>
      </c>
      <c r="H101" s="14">
        <v>218.76575308842752</v>
      </c>
      <c r="I101" s="14">
        <v>442.62557778219696</v>
      </c>
      <c r="J101" s="14">
        <v>0</v>
      </c>
      <c r="K101" s="14">
        <v>3.0542224429448757</v>
      </c>
      <c r="L101" s="14">
        <v>0.32741557587266035</v>
      </c>
      <c r="M101" s="14">
        <v>0.26864448000351782</v>
      </c>
      <c r="N101" s="14">
        <v>5.6642829323237791</v>
      </c>
      <c r="O101" s="14">
        <v>1907.8437772652951</v>
      </c>
      <c r="P101" s="8">
        <v>5.6642829323237791</v>
      </c>
      <c r="Q101" s="54">
        <v>0.38889871367531481</v>
      </c>
    </row>
    <row r="102" spans="1:17">
      <c r="A102" s="2" t="s">
        <v>449</v>
      </c>
      <c r="B102" s="16" t="s">
        <v>450</v>
      </c>
      <c r="D102" s="14">
        <v>1</v>
      </c>
      <c r="E102" s="14">
        <v>0.37617290777594836</v>
      </c>
      <c r="F102" s="14">
        <v>0.12684418626467517</v>
      </c>
      <c r="G102" s="14">
        <v>7.0967426131436734E-6</v>
      </c>
      <c r="H102" s="14">
        <v>595.97846419290772</v>
      </c>
      <c r="I102" s="14">
        <v>1044.4502001898409</v>
      </c>
      <c r="J102" s="14">
        <v>0</v>
      </c>
      <c r="K102" s="14">
        <v>7.8836880857383838</v>
      </c>
      <c r="L102" s="14">
        <v>0.12684418626467517</v>
      </c>
      <c r="M102" s="14">
        <v>0.10407565483016598</v>
      </c>
      <c r="N102" s="14">
        <v>12.922738998371122</v>
      </c>
      <c r="O102" s="14">
        <v>6010.236680752424</v>
      </c>
      <c r="P102" s="8">
        <v>12.922738998371122</v>
      </c>
      <c r="Q102" s="54">
        <v>0.41637796421377515</v>
      </c>
    </row>
    <row r="103" spans="1:17">
      <c r="A103" s="2" t="s">
        <v>451</v>
      </c>
      <c r="B103" s="16" t="s">
        <v>452</v>
      </c>
      <c r="D103" s="14">
        <v>1</v>
      </c>
      <c r="E103" s="14">
        <v>0.99939104891314667</v>
      </c>
      <c r="F103" s="14">
        <v>0.98821730756875437</v>
      </c>
      <c r="G103" s="14">
        <v>5.3795215830881181E-21</v>
      </c>
      <c r="H103" s="14">
        <v>32.849779277959897</v>
      </c>
      <c r="I103" s="14">
        <v>2.9516800460965987E-2</v>
      </c>
      <c r="J103" s="14">
        <v>0</v>
      </c>
      <c r="K103" s="14">
        <v>1.011923179589147</v>
      </c>
      <c r="L103" s="14">
        <v>0.98821730756875437</v>
      </c>
      <c r="M103" s="14">
        <v>0.810832300860163</v>
      </c>
      <c r="N103" s="14">
        <v>0.97829157594287519</v>
      </c>
      <c r="O103" s="14">
        <v>323.56015582734653</v>
      </c>
      <c r="P103" s="8">
        <v>0.9782915759428753</v>
      </c>
      <c r="Q103" s="54">
        <v>8.7472044882896952E-5</v>
      </c>
    </row>
    <row r="104" spans="1:17">
      <c r="A104" s="2" t="s">
        <v>453</v>
      </c>
      <c r="B104" s="16" t="s">
        <v>454</v>
      </c>
      <c r="D104" s="14">
        <v>1</v>
      </c>
      <c r="E104" s="14">
        <v>0.99149856961673888</v>
      </c>
      <c r="F104" s="14">
        <v>0.1005468402049137</v>
      </c>
      <c r="G104" s="14">
        <v>1.1310228775492747E-21</v>
      </c>
      <c r="H104" s="14">
        <v>2529.6965412782565</v>
      </c>
      <c r="I104" s="14">
        <v>24.802513386022031</v>
      </c>
      <c r="J104" s="14">
        <v>0</v>
      </c>
      <c r="K104" s="14">
        <v>9.9456133873725676</v>
      </c>
      <c r="L104" s="14">
        <v>0.1005468402049137</v>
      </c>
      <c r="M104" s="14">
        <v>8.2498682388131683E-2</v>
      </c>
      <c r="N104" s="14">
        <v>4.5855921080620661</v>
      </c>
      <c r="O104" s="14">
        <v>2265.2825013826605</v>
      </c>
      <c r="P104" s="8">
        <v>4.5855921080620661</v>
      </c>
      <c r="Q104" s="54">
        <v>4.2217809189597135E-3</v>
      </c>
    </row>
    <row r="105" spans="1:17">
      <c r="A105" s="2" t="s">
        <v>455</v>
      </c>
      <c r="B105" s="164">
        <v>354656</v>
      </c>
      <c r="D105" s="14">
        <v>1</v>
      </c>
      <c r="E105" s="14">
        <v>0.96952496616330841</v>
      </c>
      <c r="F105" s="14">
        <v>0.96976709213638279</v>
      </c>
      <c r="G105" s="14">
        <v>4.0848482792495783E-12</v>
      </c>
      <c r="H105" s="14">
        <v>0.27857840196659939</v>
      </c>
      <c r="I105" s="14">
        <v>0.99771066253118534</v>
      </c>
      <c r="J105" s="14">
        <v>0</v>
      </c>
      <c r="K105" s="14">
        <v>1.0311754318214845</v>
      </c>
      <c r="L105" s="14">
        <v>0.96976709213638279</v>
      </c>
      <c r="M105" s="14">
        <v>0.79569389909790211</v>
      </c>
      <c r="N105" s="14">
        <v>0.9159206838966597</v>
      </c>
      <c r="O105" s="14">
        <v>180.61039965758232</v>
      </c>
      <c r="P105" s="8">
        <v>0.9159206838966597</v>
      </c>
      <c r="Q105" s="54">
        <v>2.0267706825413411E-2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0.93884867270282646</v>
      </c>
      <c r="F106" s="14">
        <v>0.93866898044780001</v>
      </c>
      <c r="G106" s="14">
        <v>6.0762644191499222E-12</v>
      </c>
      <c r="H106" s="14">
        <v>1.1527462073439474</v>
      </c>
      <c r="I106" s="14">
        <v>3.6852827571662115</v>
      </c>
      <c r="J106" s="14">
        <v>0</v>
      </c>
      <c r="K106" s="14">
        <v>1.0653382830685867</v>
      </c>
      <c r="L106" s="14">
        <v>0.93866898044780001</v>
      </c>
      <c r="M106" s="14">
        <v>0.77017789845741991</v>
      </c>
      <c r="N106" s="14">
        <v>0.92724990175239808</v>
      </c>
      <c r="O106" s="14">
        <v>148.52688926269911</v>
      </c>
      <c r="P106" s="8">
        <v>0.92724990175239808</v>
      </c>
      <c r="Q106" s="54">
        <v>4.0970457651454531E-2</v>
      </c>
    </row>
    <row r="107" spans="1:17">
      <c r="A107" s="2" t="s">
        <v>459</v>
      </c>
      <c r="B107" s="16" t="s">
        <v>460</v>
      </c>
      <c r="D107" s="14">
        <v>1</v>
      </c>
      <c r="E107" s="14">
        <v>0.42629309867385179</v>
      </c>
      <c r="F107" s="14">
        <v>8.5506218975160336E-2</v>
      </c>
      <c r="G107" s="14">
        <v>2.0793814062354702E-21</v>
      </c>
      <c r="H107" s="14">
        <v>824.39395167061832</v>
      </c>
      <c r="I107" s="14">
        <v>1335.9327759817477</v>
      </c>
      <c r="J107" s="14">
        <v>0</v>
      </c>
      <c r="K107" s="14">
        <v>11.695055774720915</v>
      </c>
      <c r="L107" s="14">
        <v>8.5506218975160336E-2</v>
      </c>
      <c r="M107" s="14">
        <v>7.0157852669119058E-2</v>
      </c>
      <c r="N107" s="14">
        <v>29.832755025578454</v>
      </c>
      <c r="O107" s="14">
        <v>15854.021003243157</v>
      </c>
      <c r="P107" s="8">
        <v>29.832755025578454</v>
      </c>
      <c r="Q107" s="54">
        <v>0.37738497467043991</v>
      </c>
    </row>
    <row r="108" spans="1:17">
      <c r="A108" s="2" t="s">
        <v>461</v>
      </c>
      <c r="B108" s="16" t="s">
        <v>462</v>
      </c>
      <c r="D108" s="14">
        <v>1</v>
      </c>
      <c r="E108" s="14">
        <v>0.99948631382267406</v>
      </c>
      <c r="F108" s="14">
        <v>0.99987520397361807</v>
      </c>
      <c r="G108" s="14">
        <v>1.218211462943863E-11</v>
      </c>
      <c r="H108" s="14">
        <v>2.4892388452754321E-3</v>
      </c>
      <c r="I108" s="14">
        <v>6.6802046396388344E-4</v>
      </c>
      <c r="J108" s="14">
        <v>0</v>
      </c>
      <c r="K108" s="14">
        <v>1.0001248116023738</v>
      </c>
      <c r="L108" s="14">
        <v>0.99987520397361818</v>
      </c>
      <c r="M108" s="14">
        <v>0.82039760486035374</v>
      </c>
      <c r="N108" s="14">
        <v>0.93533391532162025</v>
      </c>
      <c r="O108" s="14">
        <v>120.80772850294048</v>
      </c>
      <c r="P108" s="8">
        <v>0.93533391532162036</v>
      </c>
      <c r="Q108" s="54">
        <v>3.7375737138916842E-5</v>
      </c>
    </row>
    <row r="109" spans="1:17">
      <c r="A109" s="2" t="s">
        <v>463</v>
      </c>
      <c r="B109" s="16" t="s">
        <v>464</v>
      </c>
      <c r="D109" s="14">
        <v>1</v>
      </c>
      <c r="E109" s="14">
        <v>0.97565843307755395</v>
      </c>
      <c r="F109" s="14">
        <v>0.96968298252871554</v>
      </c>
      <c r="G109" s="14">
        <v>3.2756993625120596E-14</v>
      </c>
      <c r="H109" s="14">
        <v>17.20276838888228</v>
      </c>
      <c r="I109" s="14">
        <v>7.9170982316602654</v>
      </c>
      <c r="J109" s="14">
        <v>0</v>
      </c>
      <c r="K109" s="14">
        <v>1.0312648752401785</v>
      </c>
      <c r="L109" s="14">
        <v>0.96968298252871554</v>
      </c>
      <c r="M109" s="14">
        <v>0.79562488716481117</v>
      </c>
      <c r="N109" s="14">
        <v>10.658561505961373</v>
      </c>
      <c r="O109" s="14">
        <v>3195.4367394872197</v>
      </c>
      <c r="P109" s="8">
        <v>10.658561505961375</v>
      </c>
      <c r="Q109" s="54">
        <v>1.2905238452564371E-2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0.99331151156570452</v>
      </c>
      <c r="F110" s="14">
        <v>0.9936721978572185</v>
      </c>
      <c r="G110" s="14">
        <v>2.3133946954672321E-13</v>
      </c>
      <c r="H110" s="14">
        <v>6.3668283113119215E-2</v>
      </c>
      <c r="I110" s="14">
        <v>0.11278498337144943</v>
      </c>
      <c r="J110" s="14">
        <v>0</v>
      </c>
      <c r="K110" s="14">
        <v>1.0063680982082692</v>
      </c>
      <c r="L110" s="14">
        <v>0.9936721978572185</v>
      </c>
      <c r="M110" s="14">
        <v>0.81530803834184784</v>
      </c>
      <c r="N110" s="14">
        <v>0.92809248018828161</v>
      </c>
      <c r="O110" s="14">
        <v>221.03450508164116</v>
      </c>
      <c r="P110" s="8">
        <v>0.92809248018828172</v>
      </c>
      <c r="Q110" s="54">
        <v>4.2077630912732309E-3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0.99953744798837196</v>
      </c>
      <c r="F111" s="14">
        <v>0.99992566609878086</v>
      </c>
      <c r="G111" s="14">
        <v>4.1112113456095793E-32</v>
      </c>
      <c r="H111" s="14">
        <v>4.5236366706229245E-3</v>
      </c>
      <c r="I111" s="14">
        <v>3.4603599747634796E-5</v>
      </c>
      <c r="J111" s="14">
        <v>0</v>
      </c>
      <c r="K111" s="14">
        <v>1.0000743394271587</v>
      </c>
      <c r="L111" s="14">
        <v>0.99992566609878086</v>
      </c>
      <c r="M111" s="14">
        <v>0.82043900903404976</v>
      </c>
      <c r="N111" s="14">
        <v>0.93255961216477079</v>
      </c>
      <c r="O111" s="14">
        <v>429.37842222902543</v>
      </c>
      <c r="P111" s="8">
        <v>0.93255961216477079</v>
      </c>
      <c r="Q111" s="54">
        <v>3.7785161254658409E-6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0.99147148675503949</v>
      </c>
      <c r="F112" s="14">
        <v>0.99184681370079786</v>
      </c>
      <c r="G112" s="14">
        <v>2.5989809138486115E-15</v>
      </c>
      <c r="H112" s="14">
        <v>2.1957080923941295E-2</v>
      </c>
      <c r="I112" s="14">
        <v>9.4979914274285121E-2</v>
      </c>
      <c r="J112" s="14">
        <v>0</v>
      </c>
      <c r="K112" s="14">
        <v>1.0082202071797568</v>
      </c>
      <c r="L112" s="14">
        <v>0.99184681370079786</v>
      </c>
      <c r="M112" s="14">
        <v>0.81381031064150466</v>
      </c>
      <c r="N112" s="14">
        <v>0.92608859693232293</v>
      </c>
      <c r="O112" s="14">
        <v>190.07968452035928</v>
      </c>
      <c r="P112" s="8">
        <v>0.92608859693232304</v>
      </c>
      <c r="Q112" s="54">
        <v>5.4504426367550998E-3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0.95413123634863828</v>
      </c>
      <c r="F113" s="14">
        <v>0.95420298958351346</v>
      </c>
      <c r="G113" s="14">
        <v>3.2072237596904824E-11</v>
      </c>
      <c r="H113" s="14">
        <v>0.62560580933291898</v>
      </c>
      <c r="I113" s="14">
        <v>2.1084239639029727</v>
      </c>
      <c r="J113" s="14">
        <v>0</v>
      </c>
      <c r="K113" s="14">
        <v>1.0479950397519462</v>
      </c>
      <c r="L113" s="14">
        <v>0.95420298958351346</v>
      </c>
      <c r="M113" s="14">
        <v>0.78292355295327276</v>
      </c>
      <c r="N113" s="14">
        <v>0.91433549322303809</v>
      </c>
      <c r="O113" s="14">
        <v>138.21095315559444</v>
      </c>
      <c r="P113" s="8">
        <v>0.91433549322303809</v>
      </c>
      <c r="Q113" s="54">
        <v>3.0658997051897317E-2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0.99535846582690957</v>
      </c>
      <c r="F114" s="14">
        <v>0.99574326381574652</v>
      </c>
      <c r="G114" s="14">
        <v>2.5509781366456206E-18</v>
      </c>
      <c r="H114" s="14">
        <v>6.3930393428680132E-3</v>
      </c>
      <c r="I114" s="14">
        <v>2.9822057015323748E-2</v>
      </c>
      <c r="J114" s="14">
        <v>0</v>
      </c>
      <c r="K114" s="14">
        <v>1.0042749334481476</v>
      </c>
      <c r="L114" s="14">
        <v>0.99574326381574652</v>
      </c>
      <c r="M114" s="14">
        <v>0.81700734796082009</v>
      </c>
      <c r="N114" s="14">
        <v>0.92898095881893406</v>
      </c>
      <c r="O114" s="14">
        <v>315.25897818479348</v>
      </c>
      <c r="P114" s="8">
        <v>0.92898095881893417</v>
      </c>
      <c r="Q114" s="54">
        <v>2.8257751147065997E-3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0.99946785465355636</v>
      </c>
      <c r="F115" s="14">
        <v>0.99705256322720548</v>
      </c>
      <c r="G115" s="14">
        <v>1.3526082940254502E-14</v>
      </c>
      <c r="H115" s="14">
        <v>7.968527106538863</v>
      </c>
      <c r="I115" s="14">
        <v>8.8373798623084844E-3</v>
      </c>
      <c r="J115" s="14">
        <v>0</v>
      </c>
      <c r="K115" s="14">
        <v>1.0029561498375315</v>
      </c>
      <c r="L115" s="14">
        <v>0.99705256322720559</v>
      </c>
      <c r="M115" s="14">
        <v>0.81808162812792218</v>
      </c>
      <c r="N115" s="14">
        <v>0.94494448045151636</v>
      </c>
      <c r="O115" s="14">
        <v>181.55218302914983</v>
      </c>
      <c r="P115" s="8">
        <v>0.94494448045151636</v>
      </c>
      <c r="Q115" s="54">
        <v>4.665772111842126E-5</v>
      </c>
    </row>
    <row r="116" spans="1:17">
      <c r="A116" s="2" t="s">
        <v>477</v>
      </c>
      <c r="B116" s="16" t="s">
        <v>478</v>
      </c>
      <c r="D116" s="14">
        <v>1</v>
      </c>
      <c r="E116" s="14">
        <v>0.75620295703935181</v>
      </c>
      <c r="F116" s="14">
        <v>0.4653429766944045</v>
      </c>
      <c r="G116" s="14">
        <v>1.292863048421427E-18</v>
      </c>
      <c r="H116" s="14">
        <v>807.63674433064261</v>
      </c>
      <c r="I116" s="14">
        <v>181.1178296233841</v>
      </c>
      <c r="J116" s="14">
        <v>0</v>
      </c>
      <c r="K116" s="14">
        <v>2.148952600732406</v>
      </c>
      <c r="L116" s="14">
        <v>0.4653429766944045</v>
      </c>
      <c r="M116" s="14">
        <v>0.38181391237775891</v>
      </c>
      <c r="N116" s="14">
        <v>361.94446642541334</v>
      </c>
      <c r="O116" s="14">
        <v>164539.95443699291</v>
      </c>
      <c r="P116" s="8">
        <v>361.94446642541334</v>
      </c>
      <c r="Q116" s="54">
        <v>4.4849871728232023E-2</v>
      </c>
    </row>
    <row r="117" spans="1:17">
      <c r="A117" s="2" t="s">
        <v>291</v>
      </c>
      <c r="B117" s="16" t="s">
        <v>479</v>
      </c>
      <c r="D117" s="14">
        <v>1</v>
      </c>
      <c r="E117" s="14">
        <v>0.61140930377590474</v>
      </c>
      <c r="F117" s="14">
        <v>0.58525635882269822</v>
      </c>
      <c r="G117" s="14">
        <v>4.0360322581937517E-12</v>
      </c>
      <c r="H117" s="14">
        <v>59.9412977050902</v>
      </c>
      <c r="I117" s="14">
        <v>139.24618704134065</v>
      </c>
      <c r="J117" s="14">
        <v>0</v>
      </c>
      <c r="K117" s="14">
        <v>1.7086529431505881</v>
      </c>
      <c r="L117" s="14">
        <v>0.58525635882269822</v>
      </c>
      <c r="M117" s="14">
        <v>0.48020284241402394</v>
      </c>
      <c r="N117" s="14">
        <v>2.2116481295211243</v>
      </c>
      <c r="O117" s="14">
        <v>681.91746777524827</v>
      </c>
      <c r="P117" s="8">
        <v>2.2116481295211243</v>
      </c>
      <c r="Q117" s="54">
        <v>0.26156721708723618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2.6136342802588503E-8</v>
      </c>
      <c r="E2" s="20">
        <v>0.97625168958527253</v>
      </c>
      <c r="F2" s="20">
        <v>5.9857563176323027E-5</v>
      </c>
      <c r="G2" s="20">
        <v>2.4022300090478984E-5</v>
      </c>
      <c r="H2" s="20">
        <v>0</v>
      </c>
      <c r="I2" s="20">
        <v>0.97616780972200567</v>
      </c>
      <c r="J2" s="20">
        <v>4.4982412483560039E-4</v>
      </c>
      <c r="K2" s="20">
        <v>2.3298460153549066E-2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2.5143626898834461E-8</v>
      </c>
      <c r="E3" s="20">
        <v>0.61889997363653548</v>
      </c>
      <c r="F3" s="20">
        <v>2.3352386333591255E-2</v>
      </c>
      <c r="G3" s="20">
        <v>5.6730872074898511E-3</v>
      </c>
      <c r="H3" s="20">
        <v>0</v>
      </c>
      <c r="I3" s="20">
        <v>0.58987450009545439</v>
      </c>
      <c r="J3" s="20">
        <v>1.8443243667698448E-3</v>
      </c>
      <c r="K3" s="20">
        <v>0.37925567685306782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1.3554732658536818E-17</v>
      </c>
      <c r="E4" s="20">
        <v>0.99946802506764976</v>
      </c>
      <c r="F4" s="20">
        <v>4.2030559525963203E-5</v>
      </c>
      <c r="G4" s="20">
        <v>4.6287189661047237E-8</v>
      </c>
      <c r="H4" s="20">
        <v>0</v>
      </c>
      <c r="I4" s="20">
        <v>0.99942594822093411</v>
      </c>
      <c r="J4" s="20">
        <v>5.1139834046794598E-4</v>
      </c>
      <c r="K4" s="20">
        <v>2.057659188218817E-5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3.8041738513231938E-10</v>
      </c>
      <c r="E5" s="20">
        <v>0.9991011044931386</v>
      </c>
      <c r="F5" s="20">
        <v>7.595270335726699E-2</v>
      </c>
      <c r="G5" s="20">
        <v>6.0284061178065632E-6</v>
      </c>
      <c r="H5" s="20">
        <v>0</v>
      </c>
      <c r="I5" s="20">
        <v>0.92314237272975386</v>
      </c>
      <c r="J5" s="20">
        <v>5.8287471625127004E-4</v>
      </c>
      <c r="K5" s="20">
        <v>3.1602041019258441E-4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4.7181319401492897E-11</v>
      </c>
      <c r="E6" s="20">
        <v>0.99748355929739219</v>
      </c>
      <c r="F6" s="20">
        <v>0.17142666406170684</v>
      </c>
      <c r="G6" s="20">
        <v>4.9713106208217937E-5</v>
      </c>
      <c r="H6" s="20">
        <v>0</v>
      </c>
      <c r="I6" s="20">
        <v>0.8260071821294771</v>
      </c>
      <c r="J6" s="20">
        <v>7.2507794144447009E-4</v>
      </c>
      <c r="K6" s="20">
        <v>1.7913627139820769E-3</v>
      </c>
      <c r="L6" s="20">
        <v>0</v>
      </c>
    </row>
    <row r="7" spans="1:14">
      <c r="A7" s="2" t="s">
        <v>366</v>
      </c>
      <c r="B7" s="3" t="s">
        <v>305</v>
      </c>
      <c r="D7" s="20">
        <v>8.0688381778550491E-7</v>
      </c>
      <c r="E7" s="20">
        <v>0.98026519208768159</v>
      </c>
      <c r="F7" s="20">
        <v>0.44157715224879762</v>
      </c>
      <c r="G7" s="20">
        <v>8.9887995972445344E-4</v>
      </c>
      <c r="H7" s="20">
        <v>0</v>
      </c>
      <c r="I7" s="20">
        <v>0.53778915987915954</v>
      </c>
      <c r="J7" s="20">
        <v>1.1809931664232705E-3</v>
      </c>
      <c r="K7" s="20">
        <v>1.8553007862077298E-2</v>
      </c>
      <c r="L7" s="20">
        <v>0</v>
      </c>
    </row>
    <row r="8" spans="1:14">
      <c r="A8" s="2" t="s">
        <v>289</v>
      </c>
      <c r="B8" s="3" t="s">
        <v>290</v>
      </c>
      <c r="D8" s="20">
        <v>3.7345854631218454E-17</v>
      </c>
      <c r="E8" s="20">
        <v>0.99804289762071585</v>
      </c>
      <c r="F8" s="20">
        <v>0.24974078852649981</v>
      </c>
      <c r="G8" s="20">
        <v>3.7976423661812009E-5</v>
      </c>
      <c r="H8" s="20">
        <v>0</v>
      </c>
      <c r="I8" s="20">
        <v>0.74826413267055425</v>
      </c>
      <c r="J8" s="20">
        <v>8.2827718407423468E-4</v>
      </c>
      <c r="K8" s="20">
        <v>1.1288251952098539E-3</v>
      </c>
      <c r="L8" s="20">
        <v>0</v>
      </c>
    </row>
    <row r="9" spans="1:14">
      <c r="A9" s="2" t="s">
        <v>291</v>
      </c>
      <c r="B9" s="3" t="s">
        <v>292</v>
      </c>
      <c r="D9" s="20">
        <v>7.3561324660927417E-13</v>
      </c>
      <c r="E9" s="20">
        <v>0.99813750770817322</v>
      </c>
      <c r="F9" s="20">
        <v>5.870433281858612E-2</v>
      </c>
      <c r="G9" s="20">
        <v>2.2250619403615518E-5</v>
      </c>
      <c r="H9" s="20">
        <v>0</v>
      </c>
      <c r="I9" s="20">
        <v>0.93941092427018347</v>
      </c>
      <c r="J9" s="20">
        <v>5.5856091498722893E-4</v>
      </c>
      <c r="K9" s="20">
        <v>1.3039313761041504E-3</v>
      </c>
      <c r="L9" s="20">
        <v>0</v>
      </c>
    </row>
    <row r="10" spans="1:14">
      <c r="A10" s="2" t="s">
        <v>367</v>
      </c>
      <c r="B10" s="3" t="s">
        <v>368</v>
      </c>
      <c r="D10" s="20">
        <v>6.8958781024385153E-5</v>
      </c>
      <c r="E10" s="20">
        <v>0.46585222376160851</v>
      </c>
      <c r="F10" s="20">
        <v>0.35462046162307231</v>
      </c>
      <c r="G10" s="20">
        <v>6.1938309260289953E-2</v>
      </c>
      <c r="H10" s="20">
        <v>0</v>
      </c>
      <c r="I10" s="20">
        <v>4.929345287824622E-2</v>
      </c>
      <c r="J10" s="20">
        <v>9.9090400997510642E-3</v>
      </c>
      <c r="K10" s="20">
        <v>0.52416977735761605</v>
      </c>
      <c r="L10" s="20">
        <v>0</v>
      </c>
    </row>
    <row r="11" spans="1:14">
      <c r="A11" s="2" t="s">
        <v>369</v>
      </c>
      <c r="B11" s="3" t="s">
        <v>370</v>
      </c>
      <c r="D11" s="20">
        <v>4.6466429262454536E-11</v>
      </c>
      <c r="E11" s="20">
        <v>0.75847308963036042</v>
      </c>
      <c r="F11" s="20">
        <v>0.43549772502173945</v>
      </c>
      <c r="G11" s="20">
        <v>0.31818541063561012</v>
      </c>
      <c r="H11" s="20">
        <v>0</v>
      </c>
      <c r="I11" s="20">
        <v>4.7899539730108919E-3</v>
      </c>
      <c r="J11" s="20">
        <v>0.10317253649356327</v>
      </c>
      <c r="K11" s="20">
        <v>0.13835437382960988</v>
      </c>
      <c r="L11" s="20">
        <v>0</v>
      </c>
    </row>
    <row r="12" spans="1:14">
      <c r="A12" s="2" t="s">
        <v>371</v>
      </c>
      <c r="B12" s="3" t="s">
        <v>372</v>
      </c>
      <c r="D12" s="20">
        <v>7.468759902616269E-2</v>
      </c>
      <c r="E12" s="20">
        <v>0.92070959175617217</v>
      </c>
      <c r="F12" s="20">
        <v>2.5789569174058775E-6</v>
      </c>
      <c r="G12" s="20">
        <v>1.2782976840496234E-6</v>
      </c>
      <c r="H12" s="20">
        <v>0</v>
      </c>
      <c r="I12" s="20">
        <v>0.92070573450157067</v>
      </c>
      <c r="J12" s="20">
        <v>4.2118855918749516E-4</v>
      </c>
      <c r="K12" s="20">
        <v>4.1816206584778257E-3</v>
      </c>
      <c r="L12" s="20">
        <v>0</v>
      </c>
    </row>
    <row r="13" spans="1:14">
      <c r="A13" s="2" t="s">
        <v>293</v>
      </c>
      <c r="B13" s="3" t="s">
        <v>294</v>
      </c>
      <c r="D13" s="20">
        <v>2.078556027256395E-8</v>
      </c>
      <c r="E13" s="20">
        <v>0.64534862730936149</v>
      </c>
      <c r="F13" s="20">
        <v>1.6673852305121997E-2</v>
      </c>
      <c r="G13" s="20">
        <v>4.2769237303208743E-3</v>
      </c>
      <c r="H13" s="20">
        <v>0</v>
      </c>
      <c r="I13" s="20">
        <v>0.62439785127391867</v>
      </c>
      <c r="J13" s="20">
        <v>9.4395981841581414E-4</v>
      </c>
      <c r="K13" s="20">
        <v>0.3537073920866623</v>
      </c>
      <c r="L13" s="20">
        <v>0</v>
      </c>
    </row>
    <row r="14" spans="1:14">
      <c r="A14" s="2" t="s">
        <v>373</v>
      </c>
      <c r="B14" s="3" t="s">
        <v>374</v>
      </c>
      <c r="D14" s="20">
        <v>7.8702608265068087E-7</v>
      </c>
      <c r="E14" s="20">
        <v>0.98945130518143176</v>
      </c>
      <c r="F14" s="20">
        <v>0.90696152813718223</v>
      </c>
      <c r="G14" s="20">
        <v>1.4208705593450797E-3</v>
      </c>
      <c r="H14" s="20">
        <v>0</v>
      </c>
      <c r="I14" s="20">
        <v>8.1068906484904502E-2</v>
      </c>
      <c r="J14" s="20">
        <v>3.3754641203763368E-3</v>
      </c>
      <c r="K14" s="20">
        <v>7.1724436721094876E-3</v>
      </c>
      <c r="L14" s="20">
        <v>0</v>
      </c>
    </row>
    <row r="15" spans="1:14">
      <c r="A15" s="2" t="s">
        <v>375</v>
      </c>
      <c r="B15" s="3" t="s">
        <v>376</v>
      </c>
      <c r="D15" s="20">
        <v>8.6875247024563007E-2</v>
      </c>
      <c r="E15" s="20">
        <v>0.78284515523455178</v>
      </c>
      <c r="F15" s="20">
        <v>1.985958950209928E-3</v>
      </c>
      <c r="G15" s="20">
        <v>6.0571150491410325E-4</v>
      </c>
      <c r="H15" s="20">
        <v>0</v>
      </c>
      <c r="I15" s="20">
        <v>0.7802534847794278</v>
      </c>
      <c r="J15" s="20">
        <v>4.4858245830388345E-4</v>
      </c>
      <c r="K15" s="20">
        <v>0.12983101528258117</v>
      </c>
      <c r="L15" s="20">
        <v>0</v>
      </c>
    </row>
    <row r="16" spans="1:14">
      <c r="A16" s="2" t="s">
        <v>377</v>
      </c>
      <c r="B16" s="3" t="s">
        <v>378</v>
      </c>
      <c r="D16" s="20">
        <v>8.1164962743329814E-4</v>
      </c>
      <c r="E16" s="20">
        <v>0.62227366335282908</v>
      </c>
      <c r="F16" s="20">
        <v>1.9500368059538618E-2</v>
      </c>
      <c r="G16" s="20">
        <v>4.9287678610769369E-3</v>
      </c>
      <c r="H16" s="20">
        <v>0</v>
      </c>
      <c r="I16" s="20">
        <v>0.5978445274322135</v>
      </c>
      <c r="J16" s="20">
        <v>1.0331496646049214E-3</v>
      </c>
      <c r="K16" s="20">
        <v>0.37588153735513274</v>
      </c>
      <c r="L16" s="20">
        <v>0</v>
      </c>
    </row>
    <row r="17" spans="1:12">
      <c r="A17" s="2" t="s">
        <v>379</v>
      </c>
      <c r="B17" s="3" t="s">
        <v>380</v>
      </c>
      <c r="D17" s="20">
        <v>2.3994315161840981E-3</v>
      </c>
      <c r="E17" s="20">
        <v>0.63539083031640908</v>
      </c>
      <c r="F17" s="20">
        <v>1.7651538888515242E-2</v>
      </c>
      <c r="G17" s="20">
        <v>4.5027530514483195E-3</v>
      </c>
      <c r="H17" s="20">
        <v>0</v>
      </c>
      <c r="I17" s="20">
        <v>0.61323653837644554</v>
      </c>
      <c r="J17" s="20">
        <v>9.7395849255824205E-4</v>
      </c>
      <c r="K17" s="20">
        <v>0.3612357796748486</v>
      </c>
      <c r="L17" s="20">
        <v>0</v>
      </c>
    </row>
    <row r="18" spans="1:12">
      <c r="A18" s="2" t="s">
        <v>381</v>
      </c>
      <c r="B18" s="3" t="s">
        <v>382</v>
      </c>
      <c r="D18" s="20">
        <v>2.2956372097548819E-7</v>
      </c>
      <c r="E18" s="20">
        <v>0.4941450955075064</v>
      </c>
      <c r="F18" s="20">
        <v>0.13224445478825872</v>
      </c>
      <c r="G18" s="20">
        <v>0.3583216306514132</v>
      </c>
      <c r="H18" s="20">
        <v>0</v>
      </c>
      <c r="I18" s="20">
        <v>3.5790100678344872E-3</v>
      </c>
      <c r="J18" s="20">
        <v>5.8980089358614644E-2</v>
      </c>
      <c r="K18" s="20">
        <v>0.44687458557015786</v>
      </c>
      <c r="L18" s="20">
        <v>0</v>
      </c>
    </row>
    <row r="19" spans="1:12">
      <c r="A19" s="2" t="s">
        <v>383</v>
      </c>
      <c r="B19" s="3" t="s">
        <v>384</v>
      </c>
      <c r="D19" s="20">
        <v>1.1819041895252269E-2</v>
      </c>
      <c r="E19" s="20">
        <v>0.91084399261603133</v>
      </c>
      <c r="F19" s="20">
        <v>6.3103941598938315E-4</v>
      </c>
      <c r="G19" s="20">
        <v>2.1181272248985662E-4</v>
      </c>
      <c r="H19" s="20">
        <v>0</v>
      </c>
      <c r="I19" s="20">
        <v>0.9100011404775521</v>
      </c>
      <c r="J19" s="20">
        <v>4.4788399375034806E-4</v>
      </c>
      <c r="K19" s="20">
        <v>7.6889081494965955E-2</v>
      </c>
      <c r="L19" s="20">
        <v>0</v>
      </c>
    </row>
    <row r="20" spans="1:12">
      <c r="A20" s="2" t="s">
        <v>385</v>
      </c>
      <c r="B20" s="3" t="s">
        <v>386</v>
      </c>
      <c r="D20" s="20">
        <v>2.220016811810871E-2</v>
      </c>
      <c r="E20" s="20">
        <v>0.87510145053549682</v>
      </c>
      <c r="F20" s="20">
        <v>1.1319584301615719E-3</v>
      </c>
      <c r="G20" s="20">
        <v>3.6284908609387622E-4</v>
      </c>
      <c r="H20" s="20">
        <v>0</v>
      </c>
      <c r="I20" s="20">
        <v>0.8736066430192414</v>
      </c>
      <c r="J20" s="20">
        <v>4.5418536460190749E-4</v>
      </c>
      <c r="K20" s="20">
        <v>0.10224419598179253</v>
      </c>
      <c r="L20" s="20">
        <v>0</v>
      </c>
    </row>
    <row r="21" spans="1:12">
      <c r="A21" s="2" t="s">
        <v>387</v>
      </c>
      <c r="B21" s="3" t="s">
        <v>388</v>
      </c>
      <c r="D21" s="20">
        <v>7.1674990502769978E-3</v>
      </c>
      <c r="E21" s="20">
        <v>0.72627365737822369</v>
      </c>
      <c r="F21" s="20">
        <v>0.30434393581714819</v>
      </c>
      <c r="G21" s="20">
        <v>1.2282416344192809E-2</v>
      </c>
      <c r="H21" s="20">
        <v>0</v>
      </c>
      <c r="I21" s="20">
        <v>0.4096473052168827</v>
      </c>
      <c r="J21" s="20">
        <v>2.5633913988926771E-3</v>
      </c>
      <c r="K21" s="20">
        <v>0.26399545217260645</v>
      </c>
      <c r="L21" s="20">
        <v>0</v>
      </c>
    </row>
    <row r="22" spans="1:12">
      <c r="A22" s="2" t="s">
        <v>295</v>
      </c>
      <c r="B22" s="3" t="s">
        <v>296</v>
      </c>
      <c r="D22" s="20">
        <v>6.5400407859602938E-2</v>
      </c>
      <c r="E22" s="20">
        <v>0.9046639436062438</v>
      </c>
      <c r="F22" s="20">
        <v>1.0107754186398639E-4</v>
      </c>
      <c r="G22" s="20">
        <v>3.881058839634875E-5</v>
      </c>
      <c r="H22" s="20">
        <v>0</v>
      </c>
      <c r="I22" s="20">
        <v>0.90452405547598347</v>
      </c>
      <c r="J22" s="20">
        <v>4.1928452935723461E-4</v>
      </c>
      <c r="K22" s="20">
        <v>2.9516364004796118E-2</v>
      </c>
      <c r="L22" s="20">
        <v>0</v>
      </c>
    </row>
    <row r="23" spans="1:12">
      <c r="A23" s="2" t="s">
        <v>389</v>
      </c>
      <c r="B23" s="3" t="s">
        <v>390</v>
      </c>
      <c r="D23" s="20">
        <v>7.1531519957074949E-2</v>
      </c>
      <c r="E23" s="20">
        <v>0.75681833862070502</v>
      </c>
      <c r="F23" s="20">
        <v>3.489568020636347E-3</v>
      </c>
      <c r="G23" s="20">
        <v>1.0182800228378415E-3</v>
      </c>
      <c r="H23" s="20">
        <v>0</v>
      </c>
      <c r="I23" s="20">
        <v>0.75231049057723087</v>
      </c>
      <c r="J23" s="20">
        <v>4.9897858131783921E-4</v>
      </c>
      <c r="K23" s="20">
        <v>0.17115116284090209</v>
      </c>
      <c r="L23" s="20">
        <v>0</v>
      </c>
    </row>
    <row r="24" spans="1:12">
      <c r="A24" s="2" t="s">
        <v>391</v>
      </c>
      <c r="B24" s="3" t="s">
        <v>392</v>
      </c>
      <c r="D24" s="20">
        <v>2.6500454722261494E-3</v>
      </c>
      <c r="E24" s="20">
        <v>0.55036072735398012</v>
      </c>
      <c r="F24" s="20">
        <v>3.1183692623231583E-2</v>
      </c>
      <c r="G24" s="20">
        <v>7.5270204565229719E-3</v>
      </c>
      <c r="H24" s="20">
        <v>0</v>
      </c>
      <c r="I24" s="20">
        <v>0.51165001427422552</v>
      </c>
      <c r="J24" s="20">
        <v>1.3989284830789902E-3</v>
      </c>
      <c r="K24" s="20">
        <v>0.44559029869071481</v>
      </c>
      <c r="L24" s="20">
        <v>0</v>
      </c>
    </row>
    <row r="25" spans="1:12">
      <c r="A25" s="2" t="s">
        <v>393</v>
      </c>
      <c r="B25" s="3" t="s">
        <v>394</v>
      </c>
      <c r="D25" s="20">
        <v>1.01666376949936E-3</v>
      </c>
      <c r="E25" s="20">
        <v>0.4731480720791319</v>
      </c>
      <c r="F25" s="20">
        <v>0.15172304910279805</v>
      </c>
      <c r="G25" s="20">
        <v>0.31662639577475005</v>
      </c>
      <c r="H25" s="20">
        <v>0</v>
      </c>
      <c r="I25" s="20">
        <v>4.7986272015837841E-3</v>
      </c>
      <c r="J25" s="20">
        <v>5.1964682792521158E-2</v>
      </c>
      <c r="K25" s="20">
        <v>0.47387058135884774</v>
      </c>
      <c r="L25" s="20">
        <v>0</v>
      </c>
    </row>
    <row r="26" spans="1:12">
      <c r="A26" s="2" t="s">
        <v>395</v>
      </c>
      <c r="B26" s="3" t="s">
        <v>396</v>
      </c>
      <c r="D26" s="20">
        <v>0.22876230629276889</v>
      </c>
      <c r="E26" s="20">
        <v>0.31531487484044973</v>
      </c>
      <c r="F26" s="20">
        <v>6.5895943586430639E-2</v>
      </c>
      <c r="G26" s="20">
        <v>1.4215241313845875E-2</v>
      </c>
      <c r="H26" s="20">
        <v>0</v>
      </c>
      <c r="I26" s="20">
        <v>0.23520368994017321</v>
      </c>
      <c r="J26" s="20">
        <v>2.3292722694407274E-3</v>
      </c>
      <c r="K26" s="20">
        <v>0.45359354659734058</v>
      </c>
      <c r="L26" s="20">
        <v>0</v>
      </c>
    </row>
    <row r="27" spans="1:12">
      <c r="A27" s="2" t="s">
        <v>397</v>
      </c>
      <c r="B27" s="3" t="s">
        <v>398</v>
      </c>
      <c r="D27" s="20">
        <v>0.82975724680385865</v>
      </c>
      <c r="E27" s="20">
        <v>6.3833151966921131E-2</v>
      </c>
      <c r="F27" s="20">
        <v>3.4964334703606367E-2</v>
      </c>
      <c r="G27" s="20">
        <v>6.6423357536942451E-3</v>
      </c>
      <c r="H27" s="20">
        <v>0</v>
      </c>
      <c r="I27" s="20">
        <v>2.2226481509620526E-2</v>
      </c>
      <c r="J27" s="20">
        <v>1.0598644397459367E-3</v>
      </c>
      <c r="K27" s="20">
        <v>0.10534973678947436</v>
      </c>
      <c r="L27" s="20">
        <v>0</v>
      </c>
    </row>
    <row r="28" spans="1:12">
      <c r="A28" s="2" t="s">
        <v>399</v>
      </c>
      <c r="B28" s="3" t="s">
        <v>400</v>
      </c>
      <c r="D28" s="20">
        <v>0.87439309702835299</v>
      </c>
      <c r="E28" s="20">
        <v>4.8994253216757801E-2</v>
      </c>
      <c r="F28" s="20">
        <v>1.2929476325268814E-2</v>
      </c>
      <c r="G28" s="20">
        <v>2.7231808893784263E-3</v>
      </c>
      <c r="H28" s="20">
        <v>0</v>
      </c>
      <c r="I28" s="20">
        <v>3.3341596002110563E-2</v>
      </c>
      <c r="J28" s="20">
        <v>4.4174376558083286E-4</v>
      </c>
      <c r="K28" s="20">
        <v>7.617090598930816E-2</v>
      </c>
      <c r="L28" s="20">
        <v>0</v>
      </c>
    </row>
    <row r="29" spans="1:12">
      <c r="A29" s="2" t="s">
        <v>297</v>
      </c>
      <c r="B29" s="3" t="s">
        <v>298</v>
      </c>
      <c r="D29" s="20">
        <v>0.93248506420632304</v>
      </c>
      <c r="E29" s="20">
        <v>5.9559427547678234E-2</v>
      </c>
      <c r="F29" s="20">
        <v>9.8881739829944124E-5</v>
      </c>
      <c r="G29" s="20">
        <v>3.1117998434800616E-5</v>
      </c>
      <c r="H29" s="20">
        <v>0</v>
      </c>
      <c r="I29" s="20">
        <v>5.9429427809413488E-2</v>
      </c>
      <c r="J29" s="20">
        <v>3.1876466269837496E-5</v>
      </c>
      <c r="K29" s="20">
        <v>7.9236317797288496E-3</v>
      </c>
      <c r="L29" s="20">
        <v>0</v>
      </c>
    </row>
    <row r="30" spans="1:12">
      <c r="A30" s="2" t="s">
        <v>401</v>
      </c>
      <c r="B30" s="3" t="s">
        <v>402</v>
      </c>
      <c r="D30" s="20">
        <v>0.95400165651217705</v>
      </c>
      <c r="E30" s="20">
        <v>1.8119623727539544E-2</v>
      </c>
      <c r="F30" s="20">
        <v>4.5396601705326436E-3</v>
      </c>
      <c r="G30" s="20">
        <v>9.614327219454249E-4</v>
      </c>
      <c r="H30" s="20">
        <v>0</v>
      </c>
      <c r="I30" s="20">
        <v>1.2618530835061476E-2</v>
      </c>
      <c r="J30" s="20">
        <v>1.5627481820017859E-4</v>
      </c>
      <c r="K30" s="20">
        <v>2.7722444942083299E-2</v>
      </c>
      <c r="L30" s="20">
        <v>0</v>
      </c>
    </row>
    <row r="31" spans="1:12">
      <c r="A31" s="2" t="s">
        <v>299</v>
      </c>
      <c r="B31" s="3" t="s">
        <v>300</v>
      </c>
      <c r="D31" s="20">
        <v>0.99881812572794559</v>
      </c>
      <c r="E31" s="20">
        <v>5.365428388305264E-4</v>
      </c>
      <c r="F31" s="20">
        <v>7.0886026027219752E-5</v>
      </c>
      <c r="G31" s="20">
        <v>1.5953507661413806E-5</v>
      </c>
      <c r="H31" s="20">
        <v>0</v>
      </c>
      <c r="I31" s="20">
        <v>4.4970330514189285E-4</v>
      </c>
      <c r="J31" s="20">
        <v>2.6898619998281773E-6</v>
      </c>
      <c r="K31" s="20">
        <v>6.426415712241241E-4</v>
      </c>
      <c r="L31" s="20">
        <v>0</v>
      </c>
    </row>
    <row r="32" spans="1:12">
      <c r="A32" s="2" t="s">
        <v>343</v>
      </c>
      <c r="B32" s="3" t="s">
        <v>344</v>
      </c>
      <c r="D32" s="20">
        <v>2.2673689591321019E-3</v>
      </c>
      <c r="E32" s="20">
        <v>0.66877932603730961</v>
      </c>
      <c r="F32" s="20">
        <v>1.388661552993299E-2</v>
      </c>
      <c r="G32" s="20">
        <v>3.6215289980248465E-3</v>
      </c>
      <c r="H32" s="20">
        <v>0</v>
      </c>
      <c r="I32" s="20">
        <v>0.65127118150935182</v>
      </c>
      <c r="J32" s="20">
        <v>8.545385718953121E-4</v>
      </c>
      <c r="K32" s="20">
        <v>0.32809876643166297</v>
      </c>
      <c r="L32" s="20">
        <v>0</v>
      </c>
    </row>
    <row r="33" spans="1:12">
      <c r="A33" s="2" t="s">
        <v>345</v>
      </c>
      <c r="B33" s="3" t="s">
        <v>346</v>
      </c>
      <c r="D33" s="20">
        <v>8.9277256844292558E-5</v>
      </c>
      <c r="E33" s="20">
        <v>0.76872006458800501</v>
      </c>
      <c r="F33" s="20">
        <v>6.1180786043218216E-3</v>
      </c>
      <c r="G33" s="20">
        <v>1.7143938804532175E-3</v>
      </c>
      <c r="H33" s="20">
        <v>0</v>
      </c>
      <c r="I33" s="20">
        <v>0.76088759210322998</v>
      </c>
      <c r="J33" s="20">
        <v>6.098067955073017E-4</v>
      </c>
      <c r="K33" s="20">
        <v>0.23058085135964343</v>
      </c>
      <c r="L33" s="20">
        <v>0</v>
      </c>
    </row>
    <row r="34" spans="1:12">
      <c r="A34" s="2" t="s">
        <v>347</v>
      </c>
      <c r="B34" s="3" t="s">
        <v>348</v>
      </c>
      <c r="D34" s="20">
        <v>1.3432181370676252E-4</v>
      </c>
      <c r="E34" s="20">
        <v>0.41918817960612614</v>
      </c>
      <c r="F34" s="20">
        <v>7.8130528532442955E-2</v>
      </c>
      <c r="G34" s="20">
        <v>1.704183348734202E-2</v>
      </c>
      <c r="H34" s="20">
        <v>0</v>
      </c>
      <c r="I34" s="20">
        <v>0.32401581758634118</v>
      </c>
      <c r="J34" s="20">
        <v>2.8090961085799177E-3</v>
      </c>
      <c r="K34" s="20">
        <v>0.57786840247158699</v>
      </c>
      <c r="L34" s="20">
        <v>0</v>
      </c>
    </row>
    <row r="35" spans="1:12">
      <c r="A35" s="2" t="s">
        <v>349</v>
      </c>
      <c r="B35" s="3" t="s">
        <v>350</v>
      </c>
      <c r="D35" s="20">
        <v>5.0249215162869384E-2</v>
      </c>
      <c r="E35" s="20">
        <v>0.38909964086232185</v>
      </c>
      <c r="F35" s="20">
        <v>0.26290781622754206</v>
      </c>
      <c r="G35" s="20">
        <v>4.7260580658434061E-2</v>
      </c>
      <c r="H35" s="20">
        <v>0</v>
      </c>
      <c r="I35" s="20">
        <v>7.8931243976345725E-2</v>
      </c>
      <c r="J35" s="20">
        <v>7.5409231917134235E-3</v>
      </c>
      <c r="K35" s="20">
        <v>0.55311022078309513</v>
      </c>
      <c r="L35" s="20">
        <v>0</v>
      </c>
    </row>
    <row r="36" spans="1:12">
      <c r="A36" s="2" t="s">
        <v>351</v>
      </c>
      <c r="B36" s="3" t="s">
        <v>352</v>
      </c>
      <c r="D36" s="20">
        <v>1.6766122217159785E-3</v>
      </c>
      <c r="E36" s="20">
        <v>0.42743847184537198</v>
      </c>
      <c r="F36" s="20">
        <v>0.27765585918378816</v>
      </c>
      <c r="G36" s="20">
        <v>0.12817472605315933</v>
      </c>
      <c r="H36" s="20">
        <v>0</v>
      </c>
      <c r="I36" s="20">
        <v>2.1607886608424484E-2</v>
      </c>
      <c r="J36" s="20">
        <v>2.0691956715913683E-2</v>
      </c>
      <c r="K36" s="20">
        <v>0.55019295921699829</v>
      </c>
      <c r="L36" s="20">
        <v>0</v>
      </c>
    </row>
    <row r="37" spans="1:12">
      <c r="A37" s="2" t="s">
        <v>353</v>
      </c>
      <c r="B37" s="3" t="s">
        <v>354</v>
      </c>
      <c r="D37" s="20">
        <v>1.3206683251239637E-2</v>
      </c>
      <c r="E37" s="20">
        <v>0.4817036946536144</v>
      </c>
      <c r="F37" s="20">
        <v>0.13575879569879787</v>
      </c>
      <c r="G37" s="20">
        <v>0.34210823796458217</v>
      </c>
      <c r="H37" s="20">
        <v>0</v>
      </c>
      <c r="I37" s="20">
        <v>3.8366609902343455E-3</v>
      </c>
      <c r="J37" s="20">
        <v>5.6265528318359646E-2</v>
      </c>
      <c r="K37" s="20">
        <v>0.44882409377678628</v>
      </c>
      <c r="L37" s="20">
        <v>0</v>
      </c>
    </row>
    <row r="38" spans="1:12">
      <c r="A38" s="2" t="s">
        <v>355</v>
      </c>
      <c r="B38" s="3" t="s">
        <v>356</v>
      </c>
      <c r="D38" s="20">
        <v>6.4505674040371216E-4</v>
      </c>
      <c r="E38" s="20">
        <v>0.43005895217952622</v>
      </c>
      <c r="F38" s="20">
        <v>0.22598110741702643</v>
      </c>
      <c r="G38" s="20">
        <v>0.19185259945798297</v>
      </c>
      <c r="H38" s="20">
        <v>0</v>
      </c>
      <c r="I38" s="20">
        <v>1.2225245304516798E-2</v>
      </c>
      <c r="J38" s="20">
        <v>3.1174522825102389E-2</v>
      </c>
      <c r="K38" s="20">
        <v>0.53812146825496765</v>
      </c>
      <c r="L38" s="20">
        <v>0</v>
      </c>
    </row>
    <row r="39" spans="1:12">
      <c r="A39" s="2" t="s">
        <v>357</v>
      </c>
      <c r="B39" s="3" t="s">
        <v>358</v>
      </c>
      <c r="D39" s="20">
        <v>0.11578869977001974</v>
      </c>
      <c r="E39" s="20">
        <v>0.3771683695199084</v>
      </c>
      <c r="F39" s="20">
        <v>0.2328843968698511</v>
      </c>
      <c r="G39" s="20">
        <v>0.12794872053704817</v>
      </c>
      <c r="H39" s="20">
        <v>0</v>
      </c>
      <c r="I39" s="20">
        <v>1.6335252113009145E-2</v>
      </c>
      <c r="J39" s="20">
        <v>2.0693314012917637E-2</v>
      </c>
      <c r="K39" s="20">
        <v>0.48634961669715399</v>
      </c>
      <c r="L39" s="20">
        <v>0</v>
      </c>
    </row>
    <row r="40" spans="1:12">
      <c r="A40" s="2" t="s">
        <v>359</v>
      </c>
      <c r="B40" s="3" t="s">
        <v>360</v>
      </c>
      <c r="D40" s="20">
        <v>6.4505674040371216E-4</v>
      </c>
      <c r="E40" s="20">
        <v>0.43005895217952622</v>
      </c>
      <c r="F40" s="20">
        <v>0.22598110741702643</v>
      </c>
      <c r="G40" s="20">
        <v>0.19185259945798297</v>
      </c>
      <c r="H40" s="20">
        <v>0</v>
      </c>
      <c r="I40" s="20">
        <v>1.2225245304516798E-2</v>
      </c>
      <c r="J40" s="20">
        <v>3.1174522825102389E-2</v>
      </c>
      <c r="K40" s="20">
        <v>0.53812146825496765</v>
      </c>
      <c r="L40" s="20">
        <v>0</v>
      </c>
    </row>
    <row r="41" spans="1:12">
      <c r="A41" s="2" t="s">
        <v>313</v>
      </c>
      <c r="B41" s="3" t="s">
        <v>314</v>
      </c>
      <c r="D41" s="20">
        <v>5.8290457381913548E-8</v>
      </c>
      <c r="E41" s="20">
        <v>0.99934581675666612</v>
      </c>
      <c r="F41" s="20">
        <v>4.7303065494588414E-3</v>
      </c>
      <c r="G41" s="20">
        <v>1.1256667449658312E-6</v>
      </c>
      <c r="H41" s="20">
        <v>0</v>
      </c>
      <c r="I41" s="20">
        <v>0.99461438454046236</v>
      </c>
      <c r="J41" s="20">
        <v>4.6683155586935696E-4</v>
      </c>
      <c r="K41" s="20">
        <v>1.8729339700726454E-4</v>
      </c>
      <c r="L41" s="20">
        <v>0</v>
      </c>
    </row>
    <row r="42" spans="1:12">
      <c r="A42" s="2" t="s">
        <v>315</v>
      </c>
      <c r="B42" s="3" t="s">
        <v>316</v>
      </c>
      <c r="D42" s="20">
        <v>1.9164588225950865E-2</v>
      </c>
      <c r="E42" s="20">
        <v>0.48467511949205566</v>
      </c>
      <c r="F42" s="20">
        <v>0.12971007404380361</v>
      </c>
      <c r="G42" s="20">
        <v>0.35145462482875894</v>
      </c>
      <c r="H42" s="20">
        <v>0</v>
      </c>
      <c r="I42" s="20">
        <v>3.5104206194931267E-3</v>
      </c>
      <c r="J42" s="20">
        <v>5.7849773512736284E-2</v>
      </c>
      <c r="K42" s="20">
        <v>0.43831051876925692</v>
      </c>
      <c r="L42" s="20">
        <v>0</v>
      </c>
    </row>
    <row r="43" spans="1:12">
      <c r="A43" s="2" t="s">
        <v>317</v>
      </c>
      <c r="B43" s="3" t="s">
        <v>318</v>
      </c>
      <c r="D43" s="20">
        <v>6.1179553852207806E-12</v>
      </c>
      <c r="E43" s="20">
        <v>0.535158352565127</v>
      </c>
      <c r="F43" s="20">
        <v>3.4840190459900867E-2</v>
      </c>
      <c r="G43" s="20">
        <v>8.3171795268560354E-3</v>
      </c>
      <c r="H43" s="20">
        <v>0</v>
      </c>
      <c r="I43" s="20">
        <v>0.49200098257837005</v>
      </c>
      <c r="J43" s="20">
        <v>1.513476755194287E-3</v>
      </c>
      <c r="K43" s="20">
        <v>0.46332817067356064</v>
      </c>
      <c r="L43" s="20">
        <v>0</v>
      </c>
    </row>
    <row r="44" spans="1:12">
      <c r="A44" s="2" t="s">
        <v>307</v>
      </c>
      <c r="B44" s="3" t="s">
        <v>308</v>
      </c>
      <c r="D44" s="20">
        <v>5.6116956874383201E-4</v>
      </c>
      <c r="E44" s="20">
        <v>0.44022752216921734</v>
      </c>
      <c r="F44" s="20">
        <v>0.31605912020207422</v>
      </c>
      <c r="G44" s="20">
        <v>9.1719965398055214E-2</v>
      </c>
      <c r="H44" s="20">
        <v>0</v>
      </c>
      <c r="I44" s="20">
        <v>3.2448436569087941E-2</v>
      </c>
      <c r="J44" s="20">
        <v>1.473810205989182E-2</v>
      </c>
      <c r="K44" s="20">
        <v>0.54447320620214701</v>
      </c>
      <c r="L44" s="20">
        <v>0</v>
      </c>
    </row>
    <row r="45" spans="1:12">
      <c r="A45" s="2" t="s">
        <v>319</v>
      </c>
      <c r="B45" s="3" t="s">
        <v>320</v>
      </c>
      <c r="D45" s="20">
        <v>6.9966310834338697E-5</v>
      </c>
      <c r="E45" s="20">
        <v>0.54971477629851684</v>
      </c>
      <c r="F45" s="20">
        <v>9.2696468733893228E-2</v>
      </c>
      <c r="G45" s="20">
        <v>0.45525921521577711</v>
      </c>
      <c r="H45" s="20">
        <v>0</v>
      </c>
      <c r="I45" s="20">
        <v>1.7590923488465349E-3</v>
      </c>
      <c r="J45" s="20">
        <v>7.5439598847784367E-2</v>
      </c>
      <c r="K45" s="20">
        <v>0.37477565854286432</v>
      </c>
      <c r="L45" s="20">
        <v>0</v>
      </c>
    </row>
    <row r="46" spans="1:12">
      <c r="A46" s="2" t="s">
        <v>321</v>
      </c>
      <c r="B46" s="3" t="s">
        <v>322</v>
      </c>
      <c r="D46" s="20">
        <v>9.4970858450187814E-5</v>
      </c>
      <c r="E46" s="20">
        <v>0.50156339166426478</v>
      </c>
      <c r="F46" s="20">
        <v>0.12596926012046</v>
      </c>
      <c r="G46" s="20">
        <v>0.37235752410347384</v>
      </c>
      <c r="H46" s="20">
        <v>0</v>
      </c>
      <c r="I46" s="20">
        <v>3.2366074403309751E-3</v>
      </c>
      <c r="J46" s="20">
        <v>6.1350363924567476E-2</v>
      </c>
      <c r="K46" s="20">
        <v>0.43699127355271755</v>
      </c>
      <c r="L46" s="20">
        <v>0</v>
      </c>
    </row>
    <row r="47" spans="1:12">
      <c r="A47" s="2" t="s">
        <v>323</v>
      </c>
      <c r="B47" s="3" t="s">
        <v>324</v>
      </c>
      <c r="D47" s="20">
        <v>8.1786547117087985E-4</v>
      </c>
      <c r="E47" s="20">
        <v>0.45431000867492605</v>
      </c>
      <c r="F47" s="20">
        <v>0.17480590064168258</v>
      </c>
      <c r="G47" s="20">
        <v>0.27293023157893387</v>
      </c>
      <c r="H47" s="20">
        <v>0</v>
      </c>
      <c r="I47" s="20">
        <v>6.5738764543096196E-3</v>
      </c>
      <c r="J47" s="20">
        <v>4.4648414318385211E-2</v>
      </c>
      <c r="K47" s="20">
        <v>0.50022371153551792</v>
      </c>
      <c r="L47" s="20">
        <v>0</v>
      </c>
    </row>
    <row r="48" spans="1:12">
      <c r="A48" s="2" t="s">
        <v>325</v>
      </c>
      <c r="B48" s="3" t="s">
        <v>326</v>
      </c>
      <c r="D48" s="20">
        <v>2.8455607395579455E-4</v>
      </c>
      <c r="E48" s="20">
        <v>0.36776430210554584</v>
      </c>
      <c r="F48" s="20">
        <v>0.16766486944900771</v>
      </c>
      <c r="G48" s="20">
        <v>3.292589815289302E-2</v>
      </c>
      <c r="H48" s="20">
        <v>0</v>
      </c>
      <c r="I48" s="20">
        <v>0.16717353450364508</v>
      </c>
      <c r="J48" s="20">
        <v>5.2647547340049063E-3</v>
      </c>
      <c r="K48" s="20">
        <v>0.62668638708649349</v>
      </c>
      <c r="L48" s="20">
        <v>0</v>
      </c>
    </row>
    <row r="49" spans="1:12">
      <c r="A49" s="2" t="s">
        <v>275</v>
      </c>
      <c r="B49" s="3" t="s">
        <v>276</v>
      </c>
      <c r="D49" s="20">
        <v>7.2019796919389267E-6</v>
      </c>
      <c r="E49" s="20">
        <v>0.43731381568731731</v>
      </c>
      <c r="F49" s="20">
        <v>0.30926167753491612</v>
      </c>
      <c r="G49" s="20">
        <v>9.7908785329374498E-2</v>
      </c>
      <c r="H49" s="20">
        <v>0</v>
      </c>
      <c r="I49" s="20">
        <v>3.0143352823026669E-2</v>
      </c>
      <c r="J49" s="20">
        <v>1.5745774190237049E-2</v>
      </c>
      <c r="K49" s="20">
        <v>0.5469332081427537</v>
      </c>
      <c r="L49" s="20">
        <v>0</v>
      </c>
    </row>
    <row r="50" spans="1:12">
      <c r="A50" s="2" t="s">
        <v>327</v>
      </c>
      <c r="B50" s="3" t="s">
        <v>328</v>
      </c>
      <c r="D50" s="20">
        <v>3.7443159136153379E-4</v>
      </c>
      <c r="E50" s="20">
        <v>0.43274123633769823</v>
      </c>
      <c r="F50" s="20">
        <v>0.29733545497830199</v>
      </c>
      <c r="G50" s="20">
        <v>0.10882840244477864</v>
      </c>
      <c r="H50" s="20">
        <v>0</v>
      </c>
      <c r="I50" s="20">
        <v>2.6577378914617592E-2</v>
      </c>
      <c r="J50" s="20">
        <v>1.7527051545244303E-2</v>
      </c>
      <c r="K50" s="20">
        <v>0.54935728052569599</v>
      </c>
      <c r="L50" s="20">
        <v>0</v>
      </c>
    </row>
    <row r="51" spans="1:12">
      <c r="A51" s="2" t="s">
        <v>329</v>
      </c>
      <c r="B51" s="3" t="s">
        <v>330</v>
      </c>
      <c r="D51" s="20">
        <v>1.7350675341307244E-4</v>
      </c>
      <c r="E51" s="20">
        <v>0.37712647429475971</v>
      </c>
      <c r="F51" s="20">
        <v>0.21202672168062189</v>
      </c>
      <c r="G51" s="20">
        <v>4.0057713288995531E-2</v>
      </c>
      <c r="H51" s="20">
        <v>0</v>
      </c>
      <c r="I51" s="20">
        <v>0.12504203932514227</v>
      </c>
      <c r="J51" s="20">
        <v>6.3906293632427164E-3</v>
      </c>
      <c r="K51" s="20">
        <v>0.61630938958858461</v>
      </c>
      <c r="L51" s="20">
        <v>0</v>
      </c>
    </row>
    <row r="52" spans="1:12">
      <c r="A52" s="2" t="s">
        <v>277</v>
      </c>
      <c r="B52" s="3" t="s">
        <v>278</v>
      </c>
      <c r="D52" s="20">
        <v>4.4942860461092934E-4</v>
      </c>
      <c r="E52" s="20">
        <v>0.36794035048905988</v>
      </c>
      <c r="F52" s="20">
        <v>0.17160697080001161</v>
      </c>
      <c r="G52" s="20">
        <v>3.3576117853746687E-2</v>
      </c>
      <c r="H52" s="20">
        <v>0</v>
      </c>
      <c r="I52" s="20">
        <v>0.16275726183530159</v>
      </c>
      <c r="J52" s="20">
        <v>5.3668940192517691E-3</v>
      </c>
      <c r="K52" s="20">
        <v>0.62624332688707751</v>
      </c>
      <c r="L52" s="20">
        <v>0</v>
      </c>
    </row>
    <row r="53" spans="1:12">
      <c r="A53" s="2" t="s">
        <v>331</v>
      </c>
      <c r="B53" s="3" t="s">
        <v>332</v>
      </c>
      <c r="D53" s="20">
        <v>2.5103975219895671E-4</v>
      </c>
      <c r="E53" s="20">
        <v>0.42632460150178775</v>
      </c>
      <c r="F53" s="20">
        <v>0.25960718764631802</v>
      </c>
      <c r="G53" s="20">
        <v>0.14897461365425543</v>
      </c>
      <c r="H53" s="20">
        <v>0</v>
      </c>
      <c r="I53" s="20">
        <v>1.7742800201214295E-2</v>
      </c>
      <c r="J53" s="20">
        <v>2.4105007641487031E-2</v>
      </c>
      <c r="K53" s="20">
        <v>0.54931935110452612</v>
      </c>
      <c r="L53" s="20">
        <v>0</v>
      </c>
    </row>
    <row r="54" spans="1:12">
      <c r="A54" s="2" t="s">
        <v>333</v>
      </c>
      <c r="B54" s="3" t="s">
        <v>334</v>
      </c>
      <c r="D54" s="20">
        <v>4.0796077081252133E-7</v>
      </c>
      <c r="E54" s="20">
        <v>0.43497499628262348</v>
      </c>
      <c r="F54" s="20">
        <v>0.30338396195073591</v>
      </c>
      <c r="G54" s="20">
        <v>0.1032733283532813</v>
      </c>
      <c r="H54" s="20">
        <v>0</v>
      </c>
      <c r="I54" s="20">
        <v>2.8317705978606243E-2</v>
      </c>
      <c r="J54" s="20">
        <v>1.6620354989874738E-2</v>
      </c>
      <c r="K54" s="20">
        <v>0.548404240766731</v>
      </c>
      <c r="L54" s="20">
        <v>0</v>
      </c>
    </row>
    <row r="55" spans="1:12">
      <c r="A55" s="2" t="s">
        <v>335</v>
      </c>
      <c r="B55" s="3" t="s">
        <v>336</v>
      </c>
      <c r="D55" s="20">
        <v>2.1152133406400885E-3</v>
      </c>
      <c r="E55" s="20">
        <v>0.45207516641508028</v>
      </c>
      <c r="F55" s="20">
        <v>0.17694096512328683</v>
      </c>
      <c r="G55" s="20">
        <v>0.2683638088753556</v>
      </c>
      <c r="H55" s="20">
        <v>0</v>
      </c>
      <c r="I55" s="20">
        <v>6.7703924164378365E-3</v>
      </c>
      <c r="J55" s="20">
        <v>4.3887220552069263E-2</v>
      </c>
      <c r="K55" s="20">
        <v>0.50192239969221031</v>
      </c>
      <c r="L55" s="20">
        <v>0</v>
      </c>
    </row>
    <row r="56" spans="1:12">
      <c r="A56" s="2" t="s">
        <v>337</v>
      </c>
      <c r="B56" s="3" t="s">
        <v>338</v>
      </c>
      <c r="D56" s="20">
        <v>1.4410738261784497E-4</v>
      </c>
      <c r="E56" s="20">
        <v>0.43931727945169552</v>
      </c>
      <c r="F56" s="20">
        <v>0.31387768814687178</v>
      </c>
      <c r="G56" s="20">
        <v>9.3768290960399028E-2</v>
      </c>
      <c r="H56" s="20">
        <v>0</v>
      </c>
      <c r="I56" s="20">
        <v>3.1671300344424697E-2</v>
      </c>
      <c r="J56" s="20">
        <v>1.5071425281136972E-2</v>
      </c>
      <c r="K56" s="20">
        <v>0.54546718788454973</v>
      </c>
      <c r="L56" s="20">
        <v>0</v>
      </c>
    </row>
    <row r="57" spans="1:12">
      <c r="A57" s="2" t="s">
        <v>279</v>
      </c>
      <c r="B57" s="3" t="s">
        <v>280</v>
      </c>
      <c r="D57" s="20">
        <v>7.9627699109689667E-3</v>
      </c>
      <c r="E57" s="20">
        <v>0.36560974731758777</v>
      </c>
      <c r="F57" s="20">
        <v>0.14932701425180236</v>
      </c>
      <c r="G57" s="20">
        <v>2.9814939812357503E-2</v>
      </c>
      <c r="H57" s="20">
        <v>0</v>
      </c>
      <c r="I57" s="20">
        <v>0.18646779325342788</v>
      </c>
      <c r="J57" s="20">
        <v>4.7765816516660868E-3</v>
      </c>
      <c r="K57" s="20">
        <v>0.62165090111977728</v>
      </c>
      <c r="L57" s="20">
        <v>0</v>
      </c>
    </row>
    <row r="58" spans="1:12">
      <c r="A58" s="2" t="s">
        <v>339</v>
      </c>
      <c r="B58" s="3" t="s">
        <v>340</v>
      </c>
      <c r="D58" s="20">
        <v>1.4296217694806238E-6</v>
      </c>
      <c r="E58" s="20">
        <v>0.43453839212448869</v>
      </c>
      <c r="F58" s="20">
        <v>0.30220063156648519</v>
      </c>
      <c r="G58" s="20">
        <v>0.10437366244189064</v>
      </c>
      <c r="H58" s="20">
        <v>0</v>
      </c>
      <c r="I58" s="20">
        <v>2.7964098116112876E-2</v>
      </c>
      <c r="J58" s="20">
        <v>1.6799856861756269E-2</v>
      </c>
      <c r="K58" s="20">
        <v>0.54866032139198551</v>
      </c>
      <c r="L58" s="20">
        <v>0</v>
      </c>
    </row>
    <row r="59" spans="1:12">
      <c r="A59" s="2" t="s">
        <v>281</v>
      </c>
      <c r="B59" s="3" t="s">
        <v>282</v>
      </c>
      <c r="D59" s="20">
        <v>6.8049726482325115E-5</v>
      </c>
      <c r="E59" s="20">
        <v>0.36808073826142829</v>
      </c>
      <c r="F59" s="20">
        <v>0.17167244750111679</v>
      </c>
      <c r="G59" s="20">
        <v>3.3588928833526432E-2</v>
      </c>
      <c r="H59" s="20">
        <v>0</v>
      </c>
      <c r="I59" s="20">
        <v>0.16281936192678509</v>
      </c>
      <c r="J59" s="20">
        <v>5.3689417595849465E-3</v>
      </c>
      <c r="K59" s="20">
        <v>0.62648227025250436</v>
      </c>
      <c r="L59" s="20">
        <v>0</v>
      </c>
    </row>
    <row r="60" spans="1:12">
      <c r="A60" s="2" t="s">
        <v>341</v>
      </c>
      <c r="B60" s="3" t="s">
        <v>342</v>
      </c>
      <c r="D60" s="20">
        <v>2.0913229536053722E-3</v>
      </c>
      <c r="E60" s="20">
        <v>0.42624881990570229</v>
      </c>
      <c r="F60" s="20">
        <v>0.27020620569566622</v>
      </c>
      <c r="G60" s="20">
        <v>0.13607892645296449</v>
      </c>
      <c r="H60" s="20">
        <v>0</v>
      </c>
      <c r="I60" s="20">
        <v>1.9963687757071573E-2</v>
      </c>
      <c r="J60" s="20">
        <v>2.1987996164970797E-2</v>
      </c>
      <c r="K60" s="20">
        <v>0.54967186097572163</v>
      </c>
      <c r="L60" s="20">
        <v>0</v>
      </c>
    </row>
    <row r="61" spans="1:12">
      <c r="A61" s="2" t="s">
        <v>483</v>
      </c>
      <c r="B61" s="3" t="s">
        <v>484</v>
      </c>
      <c r="D61" s="20">
        <v>1.4212886306298683E-13</v>
      </c>
      <c r="E61" s="20">
        <v>0.61473987917666628</v>
      </c>
      <c r="F61" s="20">
        <v>8.3114977295844383E-2</v>
      </c>
      <c r="G61" s="20">
        <v>1.3848313534400272E-2</v>
      </c>
      <c r="H61" s="20">
        <v>0</v>
      </c>
      <c r="I61" s="20">
        <v>0.5177765883464216</v>
      </c>
      <c r="J61" s="20">
        <v>2.0750061285634048E-2</v>
      </c>
      <c r="K61" s="20">
        <v>0.3645100595375575</v>
      </c>
      <c r="L61" s="20">
        <v>0</v>
      </c>
    </row>
    <row r="62" spans="1:12">
      <c r="A62" s="2" t="s">
        <v>485</v>
      </c>
      <c r="B62" s="3" t="s">
        <v>486</v>
      </c>
      <c r="D62" s="20">
        <v>3.7070930278621876E-7</v>
      </c>
      <c r="E62" s="20">
        <v>0.42674496794414662</v>
      </c>
      <c r="F62" s="20">
        <v>7.3537303258260023E-2</v>
      </c>
      <c r="G62" s="20">
        <v>1.6158582310894041E-2</v>
      </c>
      <c r="H62" s="20">
        <v>0</v>
      </c>
      <c r="I62" s="20">
        <v>0.33704908237499254</v>
      </c>
      <c r="J62" s="20">
        <v>2.6755274957234142E-3</v>
      </c>
      <c r="K62" s="20">
        <v>0.57057913385082704</v>
      </c>
      <c r="L62" s="20">
        <v>0</v>
      </c>
    </row>
    <row r="63" spans="1:12">
      <c r="A63" s="2" t="s">
        <v>487</v>
      </c>
      <c r="B63" s="3" t="s">
        <v>488</v>
      </c>
      <c r="D63" s="20">
        <v>7.3633005774762896E-13</v>
      </c>
      <c r="E63" s="20">
        <v>0.95648480555699078</v>
      </c>
      <c r="F63" s="20">
        <v>3.2841027747363125E-3</v>
      </c>
      <c r="G63" s="20">
        <v>4.3332474715506553E-4</v>
      </c>
      <c r="H63" s="20">
        <v>0</v>
      </c>
      <c r="I63" s="20">
        <v>0.95276737803509937</v>
      </c>
      <c r="J63" s="20">
        <v>2.3428001845546302E-3</v>
      </c>
      <c r="K63" s="20">
        <v>4.1172394257718271E-2</v>
      </c>
      <c r="L63" s="20">
        <v>0</v>
      </c>
    </row>
    <row r="64" spans="1:12">
      <c r="A64" s="2" t="s">
        <v>489</v>
      </c>
      <c r="B64" s="3" t="s">
        <v>490</v>
      </c>
      <c r="D64" s="20">
        <v>1.3283734801682026E-14</v>
      </c>
      <c r="E64" s="20">
        <v>0.99516647219566312</v>
      </c>
      <c r="F64" s="20">
        <v>1.225035575238373E-3</v>
      </c>
      <c r="G64" s="20">
        <v>1.5209889598095608E-5</v>
      </c>
      <c r="H64" s="20">
        <v>0</v>
      </c>
      <c r="I64" s="20">
        <v>0.99392622673082665</v>
      </c>
      <c r="J64" s="20">
        <v>4.5993151653838521E-4</v>
      </c>
      <c r="K64" s="20">
        <v>4.3735962877852821E-3</v>
      </c>
      <c r="L64" s="20">
        <v>0</v>
      </c>
    </row>
    <row r="65" spans="1:12">
      <c r="A65" s="2" t="s">
        <v>491</v>
      </c>
      <c r="B65" s="3" t="s">
        <v>492</v>
      </c>
      <c r="D65" s="20">
        <v>2.1938645702963622E-12</v>
      </c>
      <c r="E65" s="20">
        <v>0.99744266805286852</v>
      </c>
      <c r="F65" s="20">
        <v>1.5904355095213327E-4</v>
      </c>
      <c r="G65" s="20">
        <v>7.0739108796920966E-6</v>
      </c>
      <c r="H65" s="20">
        <v>0</v>
      </c>
      <c r="I65" s="20">
        <v>0.9972765505910367</v>
      </c>
      <c r="J65" s="20">
        <v>6.2468637920547827E-4</v>
      </c>
      <c r="K65" s="20">
        <v>1.9326455657321349E-3</v>
      </c>
      <c r="L65" s="20">
        <v>0</v>
      </c>
    </row>
    <row r="66" spans="1:12">
      <c r="A66" s="2" t="s">
        <v>493</v>
      </c>
      <c r="B66" s="3" t="s">
        <v>494</v>
      </c>
      <c r="D66" s="20">
        <v>3.473864541611094E-11</v>
      </c>
      <c r="E66" s="20">
        <v>0.95972519490950792</v>
      </c>
      <c r="F66" s="20">
        <v>2.4262974214184909E-2</v>
      </c>
      <c r="G66" s="20">
        <v>6.0807461782096421E-4</v>
      </c>
      <c r="H66" s="20">
        <v>0</v>
      </c>
      <c r="I66" s="20">
        <v>0.93485414607750206</v>
      </c>
      <c r="J66" s="20">
        <v>1.9382348581025572E-2</v>
      </c>
      <c r="K66" s="20">
        <v>2.0892456474728028E-2</v>
      </c>
      <c r="L66" s="20">
        <v>0</v>
      </c>
    </row>
    <row r="67" spans="1:12">
      <c r="A67" s="2" t="s">
        <v>495</v>
      </c>
      <c r="B67" s="3" t="s">
        <v>496</v>
      </c>
      <c r="D67" s="20">
        <v>1.7135417146083131E-12</v>
      </c>
      <c r="E67" s="20">
        <v>0.9972313786975614</v>
      </c>
      <c r="F67" s="20">
        <v>1.3408452132929988E-4</v>
      </c>
      <c r="G67" s="20">
        <v>7.3298245614021562E-6</v>
      </c>
      <c r="H67" s="20">
        <v>0</v>
      </c>
      <c r="I67" s="20">
        <v>0.99708996435167074</v>
      </c>
      <c r="J67" s="20">
        <v>5.958890514479086E-4</v>
      </c>
      <c r="K67" s="20">
        <v>2.1727322492770401E-3</v>
      </c>
      <c r="L67" s="20">
        <v>0</v>
      </c>
    </row>
    <row r="68" spans="1:12">
      <c r="A68" s="2" t="s">
        <v>497</v>
      </c>
      <c r="B68" s="3" t="s">
        <v>498</v>
      </c>
      <c r="D68" s="20">
        <v>1.5494185167559852E-11</v>
      </c>
      <c r="E68" s="20">
        <v>0.9986472278709595</v>
      </c>
      <c r="F68" s="20">
        <v>1.5944310763561045E-5</v>
      </c>
      <c r="G68" s="20">
        <v>1.2301889629867693E-6</v>
      </c>
      <c r="H68" s="20">
        <v>0</v>
      </c>
      <c r="I68" s="20">
        <v>0.9986300533712329</v>
      </c>
      <c r="J68" s="20">
        <v>4.7503501062817261E-4</v>
      </c>
      <c r="K68" s="20">
        <v>8.7773710291827087E-4</v>
      </c>
      <c r="L68" s="20">
        <v>0</v>
      </c>
    </row>
    <row r="69" spans="1:12">
      <c r="A69" s="2" t="s">
        <v>499</v>
      </c>
      <c r="B69" s="3" t="s">
        <v>500</v>
      </c>
      <c r="D69" s="20">
        <v>3.5964664392366133E-11</v>
      </c>
      <c r="E69" s="20">
        <v>0.44544855263682637</v>
      </c>
      <c r="F69" s="20">
        <v>0.32571685059815952</v>
      </c>
      <c r="G69" s="20">
        <v>8.3800340304390708E-2</v>
      </c>
      <c r="H69" s="20">
        <v>0</v>
      </c>
      <c r="I69" s="20">
        <v>3.5931361734276107E-2</v>
      </c>
      <c r="J69" s="20">
        <v>1.3450352306978566E-2</v>
      </c>
      <c r="K69" s="20">
        <v>0.5411010950202304</v>
      </c>
      <c r="L69" s="20">
        <v>0</v>
      </c>
    </row>
    <row r="70" spans="1:12">
      <c r="A70" s="2" t="s">
        <v>501</v>
      </c>
      <c r="B70" s="3" t="s">
        <v>411</v>
      </c>
      <c r="D70" s="20">
        <v>2.8547325564220613E-13</v>
      </c>
      <c r="E70" s="20">
        <v>0.99947820508497742</v>
      </c>
      <c r="F70" s="20">
        <v>3.0977020476355851E-3</v>
      </c>
      <c r="G70" s="20">
        <v>2.9439827910048494E-7</v>
      </c>
      <c r="H70" s="20">
        <v>0</v>
      </c>
      <c r="I70" s="20">
        <v>0.99638020863906274</v>
      </c>
      <c r="J70" s="20">
        <v>4.6360497632161589E-4</v>
      </c>
      <c r="K70" s="20">
        <v>5.818993841559799E-5</v>
      </c>
      <c r="L70" s="20">
        <v>0</v>
      </c>
    </row>
    <row r="71" spans="1:12">
      <c r="A71" s="2" t="s">
        <v>502</v>
      </c>
      <c r="B71" s="3" t="s">
        <v>412</v>
      </c>
      <c r="D71" s="20">
        <v>1.3362303014723208E-8</v>
      </c>
      <c r="E71" s="20">
        <v>0.99944926135488854</v>
      </c>
      <c r="F71" s="20">
        <v>5.9177411571678376E-3</v>
      </c>
      <c r="G71" s="20">
        <v>5.3780183416911409E-7</v>
      </c>
      <c r="H71" s="20">
        <v>0</v>
      </c>
      <c r="I71" s="20">
        <v>0.99353098239588655</v>
      </c>
      <c r="J71" s="20">
        <v>4.6904167534938233E-4</v>
      </c>
      <c r="K71" s="20">
        <v>8.1683607459067542E-5</v>
      </c>
      <c r="L71" s="20">
        <v>0</v>
      </c>
    </row>
    <row r="72" spans="1:12">
      <c r="A72" s="2" t="s">
        <v>503</v>
      </c>
      <c r="B72" s="3" t="s">
        <v>413</v>
      </c>
      <c r="D72" s="20">
        <v>1.6425185154241252E-9</v>
      </c>
      <c r="E72" s="20">
        <v>0.98583663004074995</v>
      </c>
      <c r="F72" s="20">
        <v>0.94816628930000613</v>
      </c>
      <c r="G72" s="20">
        <v>4.3546060310238919E-4</v>
      </c>
      <c r="H72" s="20">
        <v>0</v>
      </c>
      <c r="I72" s="20">
        <v>3.7234880137641424E-2</v>
      </c>
      <c r="J72" s="20">
        <v>1.3323789446185124E-2</v>
      </c>
      <c r="K72" s="20">
        <v>8.3957887054650435E-4</v>
      </c>
      <c r="L72" s="20">
        <v>0</v>
      </c>
    </row>
    <row r="73" spans="1:12">
      <c r="A73" s="2" t="s">
        <v>504</v>
      </c>
      <c r="B73" s="3" t="s">
        <v>414</v>
      </c>
      <c r="D73" s="20">
        <v>1.6946044333500498E-9</v>
      </c>
      <c r="E73" s="20">
        <v>0.9981104402764952</v>
      </c>
      <c r="F73" s="20">
        <v>0.72534158155090456</v>
      </c>
      <c r="G73" s="20">
        <v>4.1928269104716127E-5</v>
      </c>
      <c r="H73" s="20">
        <v>0</v>
      </c>
      <c r="I73" s="20">
        <v>0.27272693045648588</v>
      </c>
      <c r="J73" s="20">
        <v>1.3520071643821016E-3</v>
      </c>
      <c r="K73" s="20">
        <v>5.3755086451824543E-4</v>
      </c>
      <c r="L73" s="20">
        <v>0</v>
      </c>
    </row>
    <row r="74" spans="1:12">
      <c r="A74" s="2" t="s">
        <v>505</v>
      </c>
      <c r="B74" s="3" t="s">
        <v>415</v>
      </c>
      <c r="D74" s="20">
        <v>1.6439512400388519E-9</v>
      </c>
      <c r="E74" s="20">
        <v>0.99945466980883069</v>
      </c>
      <c r="F74" s="20">
        <v>5.3575122012423145E-3</v>
      </c>
      <c r="G74" s="20">
        <v>4.8902102090129601E-7</v>
      </c>
      <c r="H74" s="20">
        <v>0</v>
      </c>
      <c r="I74" s="20">
        <v>0.99409666858656742</v>
      </c>
      <c r="J74" s="20">
        <v>4.6798213764434062E-4</v>
      </c>
      <c r="K74" s="20">
        <v>7.7346409573858499E-5</v>
      </c>
      <c r="L74" s="20">
        <v>0</v>
      </c>
    </row>
    <row r="75" spans="1:12">
      <c r="A75" s="2" t="s">
        <v>506</v>
      </c>
      <c r="B75" s="3" t="s">
        <v>416</v>
      </c>
      <c r="D75" s="20">
        <v>6.9589939598080247E-9</v>
      </c>
      <c r="E75" s="20">
        <v>0.99812370794524163</v>
      </c>
      <c r="F75" s="20">
        <v>0.68931970931256081</v>
      </c>
      <c r="G75" s="20">
        <v>4.0363150326586228E-5</v>
      </c>
      <c r="H75" s="20">
        <v>0</v>
      </c>
      <c r="I75" s="20">
        <v>0.30876363548235425</v>
      </c>
      <c r="J75" s="20">
        <v>1.3207676709354596E-3</v>
      </c>
      <c r="K75" s="20">
        <v>5.5551742482880544E-4</v>
      </c>
      <c r="L75" s="20">
        <v>0</v>
      </c>
    </row>
    <row r="76" spans="1:12">
      <c r="A76" s="2" t="s">
        <v>507</v>
      </c>
      <c r="B76" s="3" t="s">
        <v>417</v>
      </c>
      <c r="D76" s="20">
        <v>4.4181802030134509E-8</v>
      </c>
      <c r="E76" s="20">
        <v>0.99901375438404627</v>
      </c>
      <c r="F76" s="20">
        <v>0.10922399932216018</v>
      </c>
      <c r="G76" s="20">
        <v>7.9429968155004897E-6</v>
      </c>
      <c r="H76" s="20">
        <v>0</v>
      </c>
      <c r="I76" s="20">
        <v>0.88978181206507057</v>
      </c>
      <c r="J76" s="20">
        <v>6.3212500318687284E-4</v>
      </c>
      <c r="K76" s="20">
        <v>3.5407643096481114E-4</v>
      </c>
      <c r="L76" s="20">
        <v>0</v>
      </c>
    </row>
    <row r="77" spans="1:12">
      <c r="A77" s="2" t="s">
        <v>508</v>
      </c>
      <c r="B77" s="3" t="s">
        <v>418</v>
      </c>
      <c r="D77" s="20">
        <v>5.1835212340372966E-8</v>
      </c>
      <c r="E77" s="20">
        <v>0.99811178905837528</v>
      </c>
      <c r="F77" s="20">
        <v>0.715318621801035</v>
      </c>
      <c r="G77" s="20">
        <v>4.1626111676331889E-5</v>
      </c>
      <c r="H77" s="20">
        <v>0</v>
      </c>
      <c r="I77" s="20">
        <v>0.28275154114566392</v>
      </c>
      <c r="J77" s="20">
        <v>1.343558054837349E-3</v>
      </c>
      <c r="K77" s="20">
        <v>5.4460105157504298E-4</v>
      </c>
      <c r="L77" s="20">
        <v>0</v>
      </c>
    </row>
    <row r="78" spans="1:12">
      <c r="A78" s="2" t="s">
        <v>509</v>
      </c>
      <c r="B78" s="3" t="s">
        <v>419</v>
      </c>
      <c r="D78" s="20">
        <v>6.5936410416064187E-9</v>
      </c>
      <c r="E78" s="20">
        <v>0.98805608750179652</v>
      </c>
      <c r="F78" s="20">
        <v>0.94645405676863237</v>
      </c>
      <c r="G78" s="20">
        <v>3.652278580314441E-4</v>
      </c>
      <c r="H78" s="20">
        <v>0</v>
      </c>
      <c r="I78" s="20">
        <v>4.1236802875132761E-2</v>
      </c>
      <c r="J78" s="20">
        <v>1.1148705619969199E-2</v>
      </c>
      <c r="K78" s="20">
        <v>7.9520028459312405E-4</v>
      </c>
      <c r="L78" s="20">
        <v>0</v>
      </c>
    </row>
    <row r="79" spans="1:12">
      <c r="A79" s="2" t="s">
        <v>510</v>
      </c>
      <c r="B79" s="3" t="s">
        <v>420</v>
      </c>
      <c r="D79" s="20">
        <v>1.6562481593706409E-13</v>
      </c>
      <c r="E79" s="20">
        <v>0.98805622643635893</v>
      </c>
      <c r="F79" s="20">
        <v>0.94645424521911992</v>
      </c>
      <c r="G79" s="20">
        <v>3.6517013135839638E-4</v>
      </c>
      <c r="H79" s="20">
        <v>0</v>
      </c>
      <c r="I79" s="20">
        <v>4.1236811085880606E-2</v>
      </c>
      <c r="J79" s="20">
        <v>1.1148698965534694E-2</v>
      </c>
      <c r="K79" s="20">
        <v>7.9507459794073252E-4</v>
      </c>
      <c r="L79" s="20">
        <v>0</v>
      </c>
    </row>
    <row r="80" spans="1:12">
      <c r="A80" s="2" t="s">
        <v>511</v>
      </c>
      <c r="B80" s="3" t="s">
        <v>421</v>
      </c>
      <c r="D80" s="20">
        <v>7.8192981656034126E-9</v>
      </c>
      <c r="E80" s="20">
        <v>0.99852087553981095</v>
      </c>
      <c r="F80" s="20">
        <v>0.33192656426641076</v>
      </c>
      <c r="G80" s="20">
        <v>2.1707328063902549E-5</v>
      </c>
      <c r="H80" s="20">
        <v>0</v>
      </c>
      <c r="I80" s="20">
        <v>0.66657260394533624</v>
      </c>
      <c r="J80" s="20">
        <v>9.3043680462240514E-4</v>
      </c>
      <c r="K80" s="20">
        <v>5.4867983626844441E-4</v>
      </c>
      <c r="L80" s="20">
        <v>0</v>
      </c>
    </row>
    <row r="81" spans="1:12">
      <c r="A81" s="2" t="s">
        <v>512</v>
      </c>
      <c r="B81" s="3" t="s">
        <v>422</v>
      </c>
      <c r="D81" s="20">
        <v>3.1002836280621249E-9</v>
      </c>
      <c r="E81" s="20">
        <v>0.99933396402194807</v>
      </c>
      <c r="F81" s="20">
        <v>2.3576300783149561E-2</v>
      </c>
      <c r="G81" s="20">
        <v>1.9268150184239489E-6</v>
      </c>
      <c r="H81" s="20">
        <v>0</v>
      </c>
      <c r="I81" s="20">
        <v>0.97575573642378011</v>
      </c>
      <c r="J81" s="20">
        <v>5.0009227882833027E-4</v>
      </c>
      <c r="K81" s="20">
        <v>1.6594059894021109E-4</v>
      </c>
      <c r="L81" s="20">
        <v>0</v>
      </c>
    </row>
    <row r="82" spans="1:12">
      <c r="A82" s="2" t="s">
        <v>513</v>
      </c>
      <c r="B82" s="3" t="s">
        <v>423</v>
      </c>
      <c r="D82" s="20">
        <v>9.9327357540304366E-13</v>
      </c>
      <c r="E82" s="20">
        <v>0.99917584850081187</v>
      </c>
      <c r="F82" s="20">
        <v>6.0164885809627588E-2</v>
      </c>
      <c r="G82" s="20">
        <v>4.5755016989464819E-6</v>
      </c>
      <c r="H82" s="20">
        <v>0</v>
      </c>
      <c r="I82" s="20">
        <v>0.93900638718948537</v>
      </c>
      <c r="J82" s="20">
        <v>5.5872067651055067E-4</v>
      </c>
      <c r="K82" s="20">
        <v>2.6543082168439933E-4</v>
      </c>
      <c r="L82" s="20">
        <v>0</v>
      </c>
    </row>
    <row r="83" spans="1:12">
      <c r="A83" s="2" t="s">
        <v>514</v>
      </c>
      <c r="B83" s="3" t="s">
        <v>424</v>
      </c>
      <c r="D83" s="20">
        <v>2.3639530524170114E-9</v>
      </c>
      <c r="E83" s="20">
        <v>0.97736481181700685</v>
      </c>
      <c r="F83" s="20">
        <v>0.94866544981468526</v>
      </c>
      <c r="G83" s="20">
        <v>7.0319770252333196E-4</v>
      </c>
      <c r="H83" s="20">
        <v>0</v>
      </c>
      <c r="I83" s="20">
        <v>2.7996164299798287E-2</v>
      </c>
      <c r="J83" s="20">
        <v>2.1664698033662992E-2</v>
      </c>
      <c r="K83" s="20">
        <v>9.7048778537715222E-4</v>
      </c>
      <c r="L83" s="20">
        <v>0</v>
      </c>
    </row>
    <row r="84" spans="1:12">
      <c r="A84" s="2" t="s">
        <v>403</v>
      </c>
      <c r="B84" s="3" t="s">
        <v>404</v>
      </c>
      <c r="D84" s="20">
        <v>6.7839128665072514E-44</v>
      </c>
      <c r="E84" s="20">
        <v>0.4900033283365266</v>
      </c>
      <c r="F84" s="20">
        <v>4.6833269333508599E-2</v>
      </c>
      <c r="G84" s="20">
        <v>1.0835526819390867E-2</v>
      </c>
      <c r="H84" s="20">
        <v>0</v>
      </c>
      <c r="I84" s="20">
        <v>0.43233453218362711</v>
      </c>
      <c r="J84" s="20">
        <v>1.8809157300104672E-3</v>
      </c>
      <c r="K84" s="20">
        <v>0.50811575593346292</v>
      </c>
      <c r="L84" s="20">
        <v>0</v>
      </c>
    </row>
    <row r="85" spans="1:12">
      <c r="A85" s="2" t="s">
        <v>405</v>
      </c>
      <c r="B85" s="3" t="s">
        <v>406</v>
      </c>
      <c r="D85" s="20">
        <v>4.3338526089543978E-8</v>
      </c>
      <c r="E85" s="20">
        <v>0.42026693306018281</v>
      </c>
      <c r="F85" s="20">
        <v>0.24856560719173668</v>
      </c>
      <c r="G85" s="20">
        <v>1.2994657269130874E-2</v>
      </c>
      <c r="H85" s="20">
        <v>0</v>
      </c>
      <c r="I85" s="20">
        <v>0.15870666859931526</v>
      </c>
      <c r="J85" s="20">
        <v>0.53083655888739512</v>
      </c>
      <c r="K85" s="20">
        <v>4.8896464713895936E-2</v>
      </c>
      <c r="L85" s="20">
        <v>0</v>
      </c>
    </row>
    <row r="86" spans="1:12">
      <c r="A86" s="2" t="s">
        <v>407</v>
      </c>
      <c r="B86" s="3" t="s">
        <v>408</v>
      </c>
      <c r="D86" s="20">
        <v>1.5194820230516736E-4</v>
      </c>
      <c r="E86" s="20">
        <v>0.5352807060405177</v>
      </c>
      <c r="F86" s="20">
        <v>0.1015944026702079</v>
      </c>
      <c r="G86" s="20">
        <v>0.43158400075381115</v>
      </c>
      <c r="H86" s="20">
        <v>0</v>
      </c>
      <c r="I86" s="20">
        <v>2.1023026164986294E-3</v>
      </c>
      <c r="J86" s="20">
        <v>7.139952335325335E-2</v>
      </c>
      <c r="K86" s="20">
        <v>0.39316782240392406</v>
      </c>
      <c r="L86" s="20">
        <v>0</v>
      </c>
    </row>
    <row r="87" spans="1:12">
      <c r="A87" s="2" t="s">
        <v>409</v>
      </c>
      <c r="B87" s="3" t="s">
        <v>410</v>
      </c>
      <c r="D87" s="20">
        <v>2.1163421885975564E-5</v>
      </c>
      <c r="E87" s="20">
        <v>0.61062334161603959</v>
      </c>
      <c r="F87" s="20">
        <v>6.1582895466651293E-2</v>
      </c>
      <c r="G87" s="20">
        <v>0.54822099031053695</v>
      </c>
      <c r="H87" s="20">
        <v>0</v>
      </c>
      <c r="I87" s="20">
        <v>8.1945583885137353E-4</v>
      </c>
      <c r="J87" s="20">
        <v>9.1457012843447857E-2</v>
      </c>
      <c r="K87" s="20">
        <v>0.29789848211862668</v>
      </c>
      <c r="L87" s="20">
        <v>0</v>
      </c>
    </row>
    <row r="88" spans="1:12">
      <c r="A88" s="2" t="s">
        <v>301</v>
      </c>
      <c r="B88" s="3" t="s">
        <v>302</v>
      </c>
      <c r="D88" s="20">
        <v>2.9175606969589056E-6</v>
      </c>
      <c r="E88" s="20">
        <v>0.6903831402745424</v>
      </c>
      <c r="F88" s="20">
        <v>3.187822376437268E-2</v>
      </c>
      <c r="G88" s="20">
        <v>0.65824818477009139</v>
      </c>
      <c r="H88" s="20">
        <v>0</v>
      </c>
      <c r="I88" s="20">
        <v>2.5673174007836031E-4</v>
      </c>
      <c r="J88" s="20">
        <v>0.11086615558492011</v>
      </c>
      <c r="K88" s="20">
        <v>0.19874778657984035</v>
      </c>
      <c r="L88" s="20">
        <v>0</v>
      </c>
    </row>
    <row r="89" spans="1:12">
      <c r="A89" s="2" t="s">
        <v>303</v>
      </c>
      <c r="B89" s="3" t="s">
        <v>304</v>
      </c>
      <c r="D89" s="20">
        <v>2.2288104298938012E-13</v>
      </c>
      <c r="E89" s="20">
        <v>7.221569802013604E-2</v>
      </c>
      <c r="F89" s="20">
        <v>1.9578081857711767E-2</v>
      </c>
      <c r="G89" s="20">
        <v>5.0918572049420595E-2</v>
      </c>
      <c r="H89" s="20">
        <v>0</v>
      </c>
      <c r="I89" s="20">
        <v>1.7190441130036818E-3</v>
      </c>
      <c r="J89" s="20">
        <v>0.90630654883781447</v>
      </c>
      <c r="K89" s="20">
        <v>2.1477753141826598E-2</v>
      </c>
      <c r="L89" s="20">
        <v>0</v>
      </c>
    </row>
    <row r="90" spans="1:12">
      <c r="A90" s="2" t="s">
        <v>425</v>
      </c>
      <c r="B90" s="3" t="s">
        <v>426</v>
      </c>
      <c r="D90" s="20">
        <v>1.5979894365651131E-13</v>
      </c>
      <c r="E90" s="20">
        <v>0.97449589789814894</v>
      </c>
      <c r="F90" s="20">
        <v>9.1398728306666232E-5</v>
      </c>
      <c r="G90" s="20">
        <v>3.0687777742460467E-5</v>
      </c>
      <c r="H90" s="20">
        <v>0</v>
      </c>
      <c r="I90" s="20">
        <v>0.97437381139209978</v>
      </c>
      <c r="J90" s="20">
        <v>4.5004455281397822E-4</v>
      </c>
      <c r="K90" s="20">
        <v>2.5054057548877292E-2</v>
      </c>
      <c r="L90" s="20">
        <v>0</v>
      </c>
    </row>
    <row r="91" spans="1:12">
      <c r="A91" s="2" t="s">
        <v>427</v>
      </c>
      <c r="B91" s="3" t="s">
        <v>428</v>
      </c>
      <c r="D91" s="20">
        <v>8.7775923463552838E-5</v>
      </c>
      <c r="E91" s="20">
        <v>0.77323280902625036</v>
      </c>
      <c r="F91" s="20">
        <v>5.8566547368304285E-3</v>
      </c>
      <c r="G91" s="20">
        <v>1.6471956151003651E-3</v>
      </c>
      <c r="H91" s="20">
        <v>0</v>
      </c>
      <c r="I91" s="20">
        <v>0.76572895867431956</v>
      </c>
      <c r="J91" s="20">
        <v>6.0167245792873403E-4</v>
      </c>
      <c r="K91" s="20">
        <v>0.22607774259235741</v>
      </c>
      <c r="L91" s="20">
        <v>0</v>
      </c>
    </row>
    <row r="92" spans="1:12">
      <c r="A92" s="2" t="s">
        <v>429</v>
      </c>
      <c r="B92" s="3" t="s">
        <v>430</v>
      </c>
      <c r="D92" s="20">
        <v>1.0640471608752897E-3</v>
      </c>
      <c r="E92" s="20">
        <v>0.39089753717196257</v>
      </c>
      <c r="F92" s="20">
        <v>0.10139933157822691</v>
      </c>
      <c r="G92" s="20">
        <v>2.1395904340060116E-2</v>
      </c>
      <c r="H92" s="20">
        <v>0</v>
      </c>
      <c r="I92" s="20">
        <v>0.26810230125367557</v>
      </c>
      <c r="J92" s="20">
        <v>3.4730299899375094E-3</v>
      </c>
      <c r="K92" s="20">
        <v>0.60456538567722451</v>
      </c>
      <c r="L92" s="20">
        <v>0</v>
      </c>
    </row>
    <row r="93" spans="1:12">
      <c r="A93" s="2" t="s">
        <v>431</v>
      </c>
      <c r="B93" s="3" t="s">
        <v>432</v>
      </c>
      <c r="D93" s="20">
        <v>1.2053397895572862E-17</v>
      </c>
      <c r="E93" s="20">
        <v>0.99938898496394946</v>
      </c>
      <c r="F93" s="20">
        <v>4.3616355737282632E-4</v>
      </c>
      <c r="G93" s="20">
        <v>3.4943893874680062E-7</v>
      </c>
      <c r="H93" s="20">
        <v>0</v>
      </c>
      <c r="I93" s="20">
        <v>0.99895247196763792</v>
      </c>
      <c r="J93" s="20">
        <v>4.580176791374929E-4</v>
      </c>
      <c r="K93" s="20">
        <v>1.5299735691300565E-4</v>
      </c>
      <c r="L93" s="20">
        <v>0</v>
      </c>
    </row>
    <row r="94" spans="1:12">
      <c r="A94" s="2" t="s">
        <v>433</v>
      </c>
      <c r="B94" s="3" t="s">
        <v>434</v>
      </c>
      <c r="D94" s="20">
        <v>2.5376297537235213E-18</v>
      </c>
      <c r="E94" s="20">
        <v>0.99953650034411046</v>
      </c>
      <c r="F94" s="20">
        <v>1.6908398427352253E-6</v>
      </c>
      <c r="G94" s="20">
        <v>2.3593812007321005E-9</v>
      </c>
      <c r="H94" s="20">
        <v>0</v>
      </c>
      <c r="I94" s="20">
        <v>0.99953480714488652</v>
      </c>
      <c r="J94" s="20">
        <v>4.5964388921643045E-4</v>
      </c>
      <c r="K94" s="20">
        <v>3.8557666731158471E-6</v>
      </c>
      <c r="L94" s="20">
        <v>0</v>
      </c>
    </row>
    <row r="95" spans="1:12">
      <c r="A95" s="2" t="s">
        <v>435</v>
      </c>
      <c r="B95" s="3" t="s">
        <v>436</v>
      </c>
      <c r="D95" s="20">
        <v>1.3636271847513423E-8</v>
      </c>
      <c r="E95" s="20">
        <v>0.94157767387570834</v>
      </c>
      <c r="F95" s="20">
        <v>3.7405981749243788E-4</v>
      </c>
      <c r="G95" s="20">
        <v>1.2973952509484285E-4</v>
      </c>
      <c r="H95" s="20">
        <v>0</v>
      </c>
      <c r="I95" s="20">
        <v>0.94107387453312108</v>
      </c>
      <c r="J95" s="20">
        <v>4.5476393695732115E-4</v>
      </c>
      <c r="K95" s="20">
        <v>5.7967548551062648E-2</v>
      </c>
      <c r="L95" s="20">
        <v>0</v>
      </c>
    </row>
    <row r="96" spans="1:12">
      <c r="A96" s="2" t="s">
        <v>437</v>
      </c>
      <c r="B96" s="163" t="s">
        <v>438</v>
      </c>
      <c r="D96" s="20">
        <v>2.7154469273976298E-7</v>
      </c>
      <c r="E96" s="20">
        <v>0.50935022910237593</v>
      </c>
      <c r="F96" s="20">
        <v>0.11987138796121395</v>
      </c>
      <c r="G96" s="20">
        <v>0.38655481680029918</v>
      </c>
      <c r="H96" s="20">
        <v>0</v>
      </c>
      <c r="I96" s="20">
        <v>2.9240243408628396E-3</v>
      </c>
      <c r="J96" s="20">
        <v>6.3751892822526246E-2</v>
      </c>
      <c r="K96" s="20">
        <v>0.42689760653040504</v>
      </c>
      <c r="L96" s="20">
        <v>0</v>
      </c>
    </row>
    <row r="97" spans="1:12">
      <c r="A97" s="2" t="s">
        <v>439</v>
      </c>
      <c r="B97" s="3" t="s">
        <v>440</v>
      </c>
      <c r="D97" s="20">
        <v>4.5047651369416403E-5</v>
      </c>
      <c r="E97" s="20">
        <v>0.69455560345904854</v>
      </c>
      <c r="F97" s="20">
        <v>1.1575676151091849E-2</v>
      </c>
      <c r="G97" s="20">
        <v>3.0693182630938472E-3</v>
      </c>
      <c r="H97" s="20">
        <v>0</v>
      </c>
      <c r="I97" s="20">
        <v>0.67991060904486289</v>
      </c>
      <c r="J97" s="20">
        <v>7.8205612219091195E-4</v>
      </c>
      <c r="K97" s="20">
        <v>0.30461729276739119</v>
      </c>
      <c r="L97" s="20">
        <v>0</v>
      </c>
    </row>
    <row r="98" spans="1:12">
      <c r="A98" s="2" t="s">
        <v>441</v>
      </c>
      <c r="B98" s="3" t="s">
        <v>442</v>
      </c>
      <c r="D98" s="20">
        <v>2.9196764804383476E-17</v>
      </c>
      <c r="E98" s="20">
        <v>0.75959048046035749</v>
      </c>
      <c r="F98" s="20">
        <v>6.6743495260560811E-3</v>
      </c>
      <c r="G98" s="20">
        <v>1.8565408161769553E-3</v>
      </c>
      <c r="H98" s="20">
        <v>0</v>
      </c>
      <c r="I98" s="20">
        <v>0.7510595901181244</v>
      </c>
      <c r="J98" s="20">
        <v>6.2721370660634174E-4</v>
      </c>
      <c r="K98" s="20">
        <v>0.23978230583303609</v>
      </c>
      <c r="L98" s="20">
        <v>0</v>
      </c>
    </row>
    <row r="99" spans="1:12">
      <c r="A99" s="2" t="s">
        <v>443</v>
      </c>
      <c r="B99" s="3" t="s">
        <v>444</v>
      </c>
      <c r="D99" s="20">
        <v>4.2619902329397997E-29</v>
      </c>
      <c r="E99" s="20">
        <v>0.88081490427615683</v>
      </c>
      <c r="F99" s="20">
        <v>1.4992935236294621E-3</v>
      </c>
      <c r="G99" s="20">
        <v>4.7095804541302626E-4</v>
      </c>
      <c r="H99" s="20">
        <v>0</v>
      </c>
      <c r="I99" s="20">
        <v>0.87884465270711432</v>
      </c>
      <c r="J99" s="20">
        <v>4.7303309694096544E-4</v>
      </c>
      <c r="K99" s="20">
        <v>0.11871206262690226</v>
      </c>
      <c r="L99" s="20">
        <v>0</v>
      </c>
    </row>
    <row r="100" spans="1:12">
      <c r="A100" s="2" t="s">
        <v>445</v>
      </c>
      <c r="B100" s="3" t="s">
        <v>446</v>
      </c>
      <c r="D100" s="20">
        <v>2.3622991226476055E-7</v>
      </c>
      <c r="E100" s="20">
        <v>0.42663416422933936</v>
      </c>
      <c r="F100" s="20">
        <v>0.24975207408793623</v>
      </c>
      <c r="G100" s="20">
        <v>0.16095506912387969</v>
      </c>
      <c r="H100" s="20">
        <v>0</v>
      </c>
      <c r="I100" s="20">
        <v>1.5927021017523454E-2</v>
      </c>
      <c r="J100" s="20">
        <v>2.6075881038936339E-2</v>
      </c>
      <c r="K100" s="20">
        <v>0.54728971850181196</v>
      </c>
      <c r="L100" s="20">
        <v>0</v>
      </c>
    </row>
    <row r="101" spans="1:12">
      <c r="A101" s="2" t="s">
        <v>447</v>
      </c>
      <c r="B101" s="3" t="s">
        <v>448</v>
      </c>
      <c r="D101" s="20">
        <v>8.1742954936968531E-9</v>
      </c>
      <c r="E101" s="20">
        <v>0.42107825070691796</v>
      </c>
      <c r="F101" s="20">
        <v>7.6970542566632341E-2</v>
      </c>
      <c r="G101" s="20">
        <v>1.6819771955723484E-2</v>
      </c>
      <c r="H101" s="20">
        <v>0</v>
      </c>
      <c r="I101" s="20">
        <v>0.32728793618456214</v>
      </c>
      <c r="J101" s="20">
        <v>2.7754986368386512E-3</v>
      </c>
      <c r="K101" s="20">
        <v>0.57614624248194779</v>
      </c>
      <c r="L101" s="20">
        <v>0</v>
      </c>
    </row>
    <row r="102" spans="1:12">
      <c r="A102" s="2" t="s">
        <v>449</v>
      </c>
      <c r="B102" s="3" t="s">
        <v>450</v>
      </c>
      <c r="D102" s="20">
        <v>6.3870683518293047E-4</v>
      </c>
      <c r="E102" s="20">
        <v>0.37617290777594836</v>
      </c>
      <c r="F102" s="20">
        <v>0.20968906284163266</v>
      </c>
      <c r="G102" s="20">
        <v>3.9689107607213947E-2</v>
      </c>
      <c r="H102" s="20">
        <v>0</v>
      </c>
      <c r="I102" s="20">
        <v>0.12679473732710175</v>
      </c>
      <c r="J102" s="20">
        <v>6.3321421092018488E-3</v>
      </c>
      <c r="K102" s="20">
        <v>0.61685624327966693</v>
      </c>
      <c r="L102" s="20">
        <v>0</v>
      </c>
    </row>
    <row r="103" spans="1:12">
      <c r="A103" s="2" t="s">
        <v>451</v>
      </c>
      <c r="B103" s="3" t="s">
        <v>452</v>
      </c>
      <c r="D103" s="20">
        <v>4.8415694247793054E-19</v>
      </c>
      <c r="E103" s="20">
        <v>0.99939104891314667</v>
      </c>
      <c r="F103" s="20">
        <v>1.1557866341157408E-2</v>
      </c>
      <c r="G103" s="20">
        <v>1.1216384175167076E-6</v>
      </c>
      <c r="H103" s="20">
        <v>0</v>
      </c>
      <c r="I103" s="20">
        <v>0.98783206093357179</v>
      </c>
      <c r="J103" s="20">
        <v>4.7936287221200883E-4</v>
      </c>
      <c r="K103" s="20">
        <v>1.2958821464132883E-4</v>
      </c>
      <c r="L103" s="20">
        <v>0</v>
      </c>
    </row>
    <row r="104" spans="1:12">
      <c r="A104" s="2" t="s">
        <v>453</v>
      </c>
      <c r="B104" s="3" t="s">
        <v>454</v>
      </c>
      <c r="D104" s="20">
        <v>1.017920589794347E-19</v>
      </c>
      <c r="E104" s="20">
        <v>0.99149856961673888</v>
      </c>
      <c r="F104" s="20">
        <v>0.89004843108334186</v>
      </c>
      <c r="G104" s="20">
        <v>9.424955086688372E-4</v>
      </c>
      <c r="H104" s="20">
        <v>0</v>
      </c>
      <c r="I104" s="20">
        <v>0.1005076430247282</v>
      </c>
      <c r="J104" s="20">
        <v>2.2469401329504122E-3</v>
      </c>
      <c r="K104" s="20">
        <v>6.2544902503106868E-3</v>
      </c>
      <c r="L104" s="20">
        <v>0</v>
      </c>
    </row>
    <row r="105" spans="1:12">
      <c r="A105" s="2" t="s">
        <v>455</v>
      </c>
      <c r="B105" s="163">
        <v>354656</v>
      </c>
      <c r="D105" s="20">
        <v>3.67636345132462E-10</v>
      </c>
      <c r="E105" s="20">
        <v>0.96952496616330841</v>
      </c>
      <c r="F105" s="20">
        <v>9.8015024947928342E-5</v>
      </c>
      <c r="G105" s="20">
        <v>3.7913005176185036E-5</v>
      </c>
      <c r="H105" s="20">
        <v>0</v>
      </c>
      <c r="I105" s="20">
        <v>0.96938903813318433</v>
      </c>
      <c r="J105" s="20">
        <v>4.4880113510936318E-4</v>
      </c>
      <c r="K105" s="20">
        <v>3.0026232333945798E-2</v>
      </c>
      <c r="L105" s="20">
        <v>0</v>
      </c>
    </row>
    <row r="106" spans="1:12">
      <c r="A106" s="2" t="s">
        <v>457</v>
      </c>
      <c r="B106" s="3" t="s">
        <v>458</v>
      </c>
      <c r="D106" s="20">
        <v>5.4686379772349295E-10</v>
      </c>
      <c r="E106" s="20">
        <v>0.93884867270282646</v>
      </c>
      <c r="F106" s="20">
        <v>4.0558222559189454E-4</v>
      </c>
      <c r="G106" s="20">
        <v>1.4004074477231602E-4</v>
      </c>
      <c r="H106" s="20">
        <v>0</v>
      </c>
      <c r="I106" s="20">
        <v>0.93830304973246226</v>
      </c>
      <c r="J106" s="20">
        <v>4.5435245185867498E-4</v>
      </c>
      <c r="K106" s="20">
        <v>6.0696974298451167E-2</v>
      </c>
      <c r="L106" s="20">
        <v>0</v>
      </c>
    </row>
    <row r="107" spans="1:12">
      <c r="A107" s="2" t="s">
        <v>459</v>
      </c>
      <c r="B107" s="3" t="s">
        <v>460</v>
      </c>
      <c r="D107" s="20">
        <v>1.8714432656119231E-19</v>
      </c>
      <c r="E107" s="20">
        <v>0.42629309867385179</v>
      </c>
      <c r="F107" s="20">
        <v>0.29005476795579033</v>
      </c>
      <c r="G107" s="20">
        <v>5.076544548730641E-2</v>
      </c>
      <c r="H107" s="20">
        <v>0</v>
      </c>
      <c r="I107" s="20">
        <v>8.5472885230755052E-2</v>
      </c>
      <c r="J107" s="20">
        <v>1.4618049962533439E-2</v>
      </c>
      <c r="K107" s="20">
        <v>0.55908885136361475</v>
      </c>
      <c r="L107" s="20">
        <v>0</v>
      </c>
    </row>
    <row r="108" spans="1:12">
      <c r="A108" s="2" t="s">
        <v>461</v>
      </c>
      <c r="B108" s="3" t="s">
        <v>462</v>
      </c>
      <c r="D108" s="20">
        <v>1.0963903166494766E-9</v>
      </c>
      <c r="E108" s="20">
        <v>0.99948631382267417</v>
      </c>
      <c r="F108" s="20">
        <v>8.758137953217082E-7</v>
      </c>
      <c r="G108" s="20">
        <v>2.5384777630627567E-8</v>
      </c>
      <c r="H108" s="20">
        <v>0</v>
      </c>
      <c r="I108" s="20">
        <v>0.99948541262410118</v>
      </c>
      <c r="J108" s="20">
        <v>4.583136185075939E-4</v>
      </c>
      <c r="K108" s="20">
        <v>5.5371462428024952E-5</v>
      </c>
      <c r="L108" s="20">
        <v>0</v>
      </c>
    </row>
    <row r="109" spans="1:12">
      <c r="A109" s="2" t="s">
        <v>463</v>
      </c>
      <c r="B109" s="3" t="s">
        <v>464</v>
      </c>
      <c r="D109" s="20">
        <v>2.9481294262608526E-12</v>
      </c>
      <c r="E109" s="20">
        <v>0.97565843307755407</v>
      </c>
      <c r="F109" s="20">
        <v>6.052622029944341E-3</v>
      </c>
      <c r="G109" s="20">
        <v>3.0084973280309008E-4</v>
      </c>
      <c r="H109" s="20">
        <v>0</v>
      </c>
      <c r="I109" s="20">
        <v>0.96930496131480659</v>
      </c>
      <c r="J109" s="20">
        <v>5.2226951379210724E-3</v>
      </c>
      <c r="K109" s="20">
        <v>1.9118871781576844E-2</v>
      </c>
      <c r="L109" s="20">
        <v>0</v>
      </c>
    </row>
    <row r="110" spans="1:12">
      <c r="A110" s="2" t="s">
        <v>465</v>
      </c>
      <c r="B110" s="3" t="s">
        <v>466</v>
      </c>
      <c r="D110" s="20">
        <v>2.0820552259205085E-11</v>
      </c>
      <c r="E110" s="20">
        <v>0.99331151156570452</v>
      </c>
      <c r="F110" s="20">
        <v>2.2401048730519868E-5</v>
      </c>
      <c r="G110" s="20">
        <v>4.2858293681150782E-6</v>
      </c>
      <c r="H110" s="20">
        <v>0</v>
      </c>
      <c r="I110" s="20">
        <v>0.99328482468760593</v>
      </c>
      <c r="J110" s="20">
        <v>4.54765315292258E-4</v>
      </c>
      <c r="K110" s="20">
        <v>6.2337230981825637E-3</v>
      </c>
      <c r="L110" s="20">
        <v>0</v>
      </c>
    </row>
    <row r="111" spans="1:12">
      <c r="A111" s="2" t="s">
        <v>467</v>
      </c>
      <c r="B111" s="3" t="s">
        <v>468</v>
      </c>
      <c r="D111" s="20">
        <v>3.7000902110486214E-30</v>
      </c>
      <c r="E111" s="20">
        <v>0.99953744798837196</v>
      </c>
      <c r="F111" s="20">
        <v>1.5915963261919696E-6</v>
      </c>
      <c r="G111" s="20">
        <v>1.3149367904101221E-9</v>
      </c>
      <c r="H111" s="20">
        <v>0</v>
      </c>
      <c r="I111" s="20">
        <v>0.99953585507710896</v>
      </c>
      <c r="J111" s="20">
        <v>4.5695420996073763E-4</v>
      </c>
      <c r="K111" s="20">
        <v>5.597801667356801E-6</v>
      </c>
      <c r="L111" s="20">
        <v>0</v>
      </c>
    </row>
    <row r="112" spans="1:12">
      <c r="A112" s="2" t="s">
        <v>469</v>
      </c>
      <c r="B112" s="3" t="s">
        <v>470</v>
      </c>
      <c r="D112" s="20">
        <v>2.3390828224637502E-13</v>
      </c>
      <c r="E112" s="20">
        <v>0.99147148675503949</v>
      </c>
      <c r="F112" s="20">
        <v>7.725379352279505E-6</v>
      </c>
      <c r="G112" s="20">
        <v>3.6092367424228344E-6</v>
      </c>
      <c r="H112" s="20">
        <v>0</v>
      </c>
      <c r="I112" s="20">
        <v>0.99146015213894478</v>
      </c>
      <c r="J112" s="20">
        <v>4.537834124968382E-4</v>
      </c>
      <c r="K112" s="20">
        <v>8.0747298322297774E-3</v>
      </c>
      <c r="L112" s="20">
        <v>0</v>
      </c>
    </row>
    <row r="113" spans="1:12">
      <c r="A113" s="2" t="s">
        <v>471</v>
      </c>
      <c r="B113" s="3" t="s">
        <v>472</v>
      </c>
      <c r="D113" s="20">
        <v>2.8865013837214341E-9</v>
      </c>
      <c r="E113" s="20">
        <v>0.95413123634863828</v>
      </c>
      <c r="F113" s="20">
        <v>2.2011314795569424E-4</v>
      </c>
      <c r="G113" s="20">
        <v>8.0120110628312973E-5</v>
      </c>
      <c r="H113" s="20">
        <v>0</v>
      </c>
      <c r="I113" s="20">
        <v>0.95383100309005431</v>
      </c>
      <c r="J113" s="20">
        <v>4.480243916792886E-4</v>
      </c>
      <c r="K113" s="20">
        <v>4.5420736373181211E-2</v>
      </c>
      <c r="L113" s="20">
        <v>0</v>
      </c>
    </row>
    <row r="114" spans="1:12">
      <c r="A114" s="2" t="s">
        <v>473</v>
      </c>
      <c r="B114" s="3" t="s">
        <v>474</v>
      </c>
      <c r="D114" s="20">
        <v>2.295880322981058E-16</v>
      </c>
      <c r="E114" s="20">
        <v>0.99535846582690968</v>
      </c>
      <c r="F114" s="20">
        <v>2.2493269623946818E-6</v>
      </c>
      <c r="G114" s="20">
        <v>1.1332381665823023E-6</v>
      </c>
      <c r="H114" s="20">
        <v>0</v>
      </c>
      <c r="I114" s="20">
        <v>0.99535508326178068</v>
      </c>
      <c r="J114" s="20">
        <v>4.5520066982127771E-4</v>
      </c>
      <c r="K114" s="20">
        <v>4.1863335032690371E-3</v>
      </c>
      <c r="L114" s="20">
        <v>0</v>
      </c>
    </row>
    <row r="115" spans="1:12">
      <c r="A115" s="2" t="s">
        <v>475</v>
      </c>
      <c r="B115" s="3" t="s">
        <v>476</v>
      </c>
      <c r="D115" s="20">
        <v>1.2173474646229049E-12</v>
      </c>
      <c r="E115" s="20">
        <v>0.99946785465355636</v>
      </c>
      <c r="F115" s="20">
        <v>2.8036465771646337E-3</v>
      </c>
      <c r="G115" s="20">
        <v>3.3582043476772243E-7</v>
      </c>
      <c r="H115" s="20">
        <v>0</v>
      </c>
      <c r="I115" s="20">
        <v>0.99666387225595698</v>
      </c>
      <c r="J115" s="20">
        <v>4.6302279542124298E-4</v>
      </c>
      <c r="K115" s="20">
        <v>6.9122549805068531E-5</v>
      </c>
      <c r="L115" s="20">
        <v>0</v>
      </c>
    </row>
    <row r="116" spans="1:12">
      <c r="A116" s="2" t="s">
        <v>477</v>
      </c>
      <c r="B116" s="3" t="s">
        <v>478</v>
      </c>
      <c r="D116" s="20">
        <v>1.1635767435792842E-16</v>
      </c>
      <c r="E116" s="20">
        <v>0.75620295703935181</v>
      </c>
      <c r="F116" s="20">
        <v>0.28415891212529332</v>
      </c>
      <c r="G116" s="20">
        <v>6.8824775256885956E-3</v>
      </c>
      <c r="H116" s="20">
        <v>0</v>
      </c>
      <c r="I116" s="20">
        <v>0.46516156738836995</v>
      </c>
      <c r="J116" s="20">
        <v>0.17735278854845252</v>
      </c>
      <c r="K116" s="20">
        <v>6.6444254412195591E-2</v>
      </c>
      <c r="L116" s="20">
        <v>0</v>
      </c>
    </row>
    <row r="117" spans="1:12">
      <c r="A117" s="2" t="s">
        <v>291</v>
      </c>
      <c r="B117" s="3" t="s">
        <v>479</v>
      </c>
      <c r="D117" s="20">
        <v>3.6324290323743765E-10</v>
      </c>
      <c r="E117" s="20">
        <v>0.61140930377590474</v>
      </c>
      <c r="F117" s="20">
        <v>2.1089746184558937E-2</v>
      </c>
      <c r="G117" s="20">
        <v>5.2913551075709445E-3</v>
      </c>
      <c r="H117" s="20">
        <v>0</v>
      </c>
      <c r="I117" s="20">
        <v>0.58502820248377485</v>
      </c>
      <c r="J117" s="20">
        <v>1.0837075834653508E-3</v>
      </c>
      <c r="K117" s="20">
        <v>0.38750698827738689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1.0454537121035402E-12</v>
      </c>
      <c r="E2" s="14">
        <v>3.9046712388880232E-5</v>
      </c>
      <c r="F2" s="14">
        <v>2.3943025270529211E-9</v>
      </c>
      <c r="G2" s="14">
        <v>9.608920036191594E-10</v>
      </c>
      <c r="H2" s="14">
        <v>0</v>
      </c>
      <c r="I2" s="14">
        <v>1.7992964993424017E-8</v>
      </c>
      <c r="J2" s="14">
        <v>9.3193840614196273E-7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1.0057450759533786E-12</v>
      </c>
      <c r="E3" s="14">
        <v>2.3594980003818179E-5</v>
      </c>
      <c r="F3" s="14">
        <v>9.3409545334365027E-7</v>
      </c>
      <c r="G3" s="14">
        <v>2.2692348829959407E-7</v>
      </c>
      <c r="H3" s="14">
        <v>0</v>
      </c>
      <c r="I3" s="14">
        <v>7.37729746707938E-8</v>
      </c>
      <c r="J3" s="14">
        <v>1.5170227074122715E-5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5.4218930634147277E-22</v>
      </c>
      <c r="E4" s="14">
        <v>3.9977037928837371E-5</v>
      </c>
      <c r="F4" s="14">
        <v>1.6812223810385283E-9</v>
      </c>
      <c r="G4" s="14">
        <v>1.8514875864418898E-12</v>
      </c>
      <c r="H4" s="14">
        <v>0</v>
      </c>
      <c r="I4" s="14">
        <v>2.045593361871784E-8</v>
      </c>
      <c r="J4" s="14">
        <v>8.2306367528752683E-10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1.5216695405292776E-14</v>
      </c>
      <c r="E5" s="14">
        <v>3.6925694909190158E-5</v>
      </c>
      <c r="F5" s="14">
        <v>3.0381081342906804E-6</v>
      </c>
      <c r="G5" s="14">
        <v>2.4113624471226251E-10</v>
      </c>
      <c r="H5" s="14">
        <v>0</v>
      </c>
      <c r="I5" s="14">
        <v>2.3314988650050807E-8</v>
      </c>
      <c r="J5" s="14">
        <v>1.2640816407703377E-8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1.8872527760597158E-15</v>
      </c>
      <c r="E6" s="14">
        <v>3.3040287285179087E-5</v>
      </c>
      <c r="F6" s="14">
        <v>6.8570665624682741E-6</v>
      </c>
      <c r="G6" s="14">
        <v>1.9885242483287177E-9</v>
      </c>
      <c r="H6" s="14">
        <v>0</v>
      </c>
      <c r="I6" s="14">
        <v>2.9003117657778807E-8</v>
      </c>
      <c r="J6" s="14">
        <v>7.1654508559283087E-8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3.2275352711420197E-11</v>
      </c>
      <c r="E7" s="14">
        <v>2.1511566395166385E-5</v>
      </c>
      <c r="F7" s="14">
        <v>1.7663086089951906E-5</v>
      </c>
      <c r="G7" s="14">
        <v>3.595519838897814E-8</v>
      </c>
      <c r="H7" s="14">
        <v>0</v>
      </c>
      <c r="I7" s="14">
        <v>4.7239726656930825E-8</v>
      </c>
      <c r="J7" s="14">
        <v>7.4212031448309196E-7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1.4938341852487384E-21</v>
      </c>
      <c r="E8" s="14">
        <v>2.9930565306822173E-5</v>
      </c>
      <c r="F8" s="14">
        <v>9.9896315410599928E-6</v>
      </c>
      <c r="G8" s="14">
        <v>1.5190569464724804E-9</v>
      </c>
      <c r="H8" s="14">
        <v>0</v>
      </c>
      <c r="I8" s="14">
        <v>3.3131087362969393E-8</v>
      </c>
      <c r="J8" s="14">
        <v>4.5153007808394156E-8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2.9424529864370969E-17</v>
      </c>
      <c r="E9" s="14">
        <v>3.7576436970807344E-5</v>
      </c>
      <c r="F9" s="14">
        <v>2.348173312743445E-6</v>
      </c>
      <c r="G9" s="14">
        <v>8.9002477614462075E-10</v>
      </c>
      <c r="H9" s="14">
        <v>0</v>
      </c>
      <c r="I9" s="14">
        <v>2.2342436599489162E-8</v>
      </c>
      <c r="J9" s="14">
        <v>5.2157255044166019E-8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2.7583512409754067E-9</v>
      </c>
      <c r="E10" s="14">
        <v>1.9717381151298489E-6</v>
      </c>
      <c r="F10" s="14">
        <v>1.4184818464922894E-5</v>
      </c>
      <c r="G10" s="14">
        <v>2.4775323704115986E-6</v>
      </c>
      <c r="H10" s="14">
        <v>0</v>
      </c>
      <c r="I10" s="14">
        <v>3.9636160399004263E-7</v>
      </c>
      <c r="J10" s="14">
        <v>2.0966791094304643E-5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1.8586571704981817E-15</v>
      </c>
      <c r="E11" s="14">
        <v>1.9159815892043569E-7</v>
      </c>
      <c r="F11" s="14">
        <v>1.7419909000869578E-5</v>
      </c>
      <c r="G11" s="14">
        <v>1.2727416425424407E-5</v>
      </c>
      <c r="H11" s="14">
        <v>0</v>
      </c>
      <c r="I11" s="14">
        <v>4.1269014597425308E-6</v>
      </c>
      <c r="J11" s="14">
        <v>5.5341749531843961E-6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2.9875039610465081E-6</v>
      </c>
      <c r="E12" s="14">
        <v>3.682822938006283E-5</v>
      </c>
      <c r="F12" s="14">
        <v>1.0315827669623511E-10</v>
      </c>
      <c r="G12" s="14">
        <v>5.1131907361984942E-11</v>
      </c>
      <c r="H12" s="14">
        <v>0</v>
      </c>
      <c r="I12" s="14">
        <v>1.6847542367499808E-8</v>
      </c>
      <c r="J12" s="14">
        <v>1.6726482633911304E-7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8.3142241090255812E-13</v>
      </c>
      <c r="E13" s="14">
        <v>2.4975914050956751E-5</v>
      </c>
      <c r="F13" s="14">
        <v>6.6695409220487985E-7</v>
      </c>
      <c r="G13" s="14">
        <v>1.7107694921283499E-7</v>
      </c>
      <c r="H13" s="14">
        <v>0</v>
      </c>
      <c r="I13" s="14">
        <v>3.7758392736632571E-8</v>
      </c>
      <c r="J13" s="14">
        <v>1.4148295683466492E-5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3.1481043306027241E-11</v>
      </c>
      <c r="E14" s="14">
        <v>3.2427562593961805E-6</v>
      </c>
      <c r="F14" s="14">
        <v>3.6278461125487296E-5</v>
      </c>
      <c r="G14" s="14">
        <v>5.6834822373803192E-8</v>
      </c>
      <c r="H14" s="14">
        <v>0</v>
      </c>
      <c r="I14" s="14">
        <v>1.3501856481505349E-7</v>
      </c>
      <c r="J14" s="14">
        <v>2.8689774688437951E-7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3.475009880982521E-6</v>
      </c>
      <c r="E15" s="14">
        <v>3.1210139391177116E-5</v>
      </c>
      <c r="F15" s="14">
        <v>7.9438358008397129E-8</v>
      </c>
      <c r="G15" s="14">
        <v>2.4228460196564131E-8</v>
      </c>
      <c r="H15" s="14">
        <v>0</v>
      </c>
      <c r="I15" s="14">
        <v>1.7943298332155341E-8</v>
      </c>
      <c r="J15" s="14">
        <v>5.1932406113032468E-6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3.2465985097331927E-8</v>
      </c>
      <c r="E16" s="14">
        <v>2.3913781097288543E-5</v>
      </c>
      <c r="F16" s="14">
        <v>7.8001472238154481E-7</v>
      </c>
      <c r="G16" s="14">
        <v>1.9715071444307749E-7</v>
      </c>
      <c r="H16" s="14">
        <v>0</v>
      </c>
      <c r="I16" s="14">
        <v>4.1325986584196861E-8</v>
      </c>
      <c r="J16" s="14">
        <v>1.5035261494205312E-5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9.5977260647363938E-8</v>
      </c>
      <c r="E17" s="14">
        <v>2.4529461535057824E-5</v>
      </c>
      <c r="F17" s="14">
        <v>7.0606155554060977E-7</v>
      </c>
      <c r="G17" s="14">
        <v>1.801101220579328E-7</v>
      </c>
      <c r="H17" s="14">
        <v>0</v>
      </c>
      <c r="I17" s="14">
        <v>3.8958339702329686E-8</v>
      </c>
      <c r="J17" s="14">
        <v>1.4449431186993945E-5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9.1825488390195284E-12</v>
      </c>
      <c r="E18" s="14">
        <v>1.4316040271337951E-7</v>
      </c>
      <c r="F18" s="14">
        <v>5.2897781915303493E-6</v>
      </c>
      <c r="G18" s="14">
        <v>1.4332865226056528E-5</v>
      </c>
      <c r="H18" s="14">
        <v>0</v>
      </c>
      <c r="I18" s="14">
        <v>2.359203574344586E-6</v>
      </c>
      <c r="J18" s="14">
        <v>1.7874983422806315E-5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4.7276167581009076E-7</v>
      </c>
      <c r="E19" s="14">
        <v>3.6400045619102087E-5</v>
      </c>
      <c r="F19" s="14">
        <v>2.5241576639575327E-8</v>
      </c>
      <c r="G19" s="14">
        <v>8.472508899594266E-9</v>
      </c>
      <c r="H19" s="14">
        <v>0</v>
      </c>
      <c r="I19" s="14">
        <v>1.7915359750013923E-8</v>
      </c>
      <c r="J19" s="14">
        <v>3.0755632597986382E-6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8.8800672472434843E-7</v>
      </c>
      <c r="E20" s="14">
        <v>3.4944265720769657E-5</v>
      </c>
      <c r="F20" s="14">
        <v>4.5278337206462886E-8</v>
      </c>
      <c r="G20" s="14">
        <v>1.451396344375505E-8</v>
      </c>
      <c r="H20" s="14">
        <v>0</v>
      </c>
      <c r="I20" s="14">
        <v>1.81674145840763E-8</v>
      </c>
      <c r="J20" s="14">
        <v>4.0897678392717012E-6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2.8669996201107995E-7</v>
      </c>
      <c r="E21" s="14">
        <v>1.6385892208675311E-5</v>
      </c>
      <c r="F21" s="14">
        <v>1.217375743268593E-5</v>
      </c>
      <c r="G21" s="14">
        <v>4.9129665376771243E-7</v>
      </c>
      <c r="H21" s="14">
        <v>0</v>
      </c>
      <c r="I21" s="14">
        <v>1.0253565595570708E-7</v>
      </c>
      <c r="J21" s="14">
        <v>1.055981808690426E-5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2.6160163143841177E-6</v>
      </c>
      <c r="E22" s="14">
        <v>3.6180962219039346E-5</v>
      </c>
      <c r="F22" s="14">
        <v>4.043101674559456E-9</v>
      </c>
      <c r="G22" s="14">
        <v>1.5524235358539501E-9</v>
      </c>
      <c r="H22" s="14">
        <v>0</v>
      </c>
      <c r="I22" s="14">
        <v>1.6771381174289388E-8</v>
      </c>
      <c r="J22" s="14">
        <v>1.1806545601918448E-6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2.8612607982829983E-6</v>
      </c>
      <c r="E23" s="14">
        <v>3.0092419623089239E-5</v>
      </c>
      <c r="F23" s="14">
        <v>1.3958272082545389E-7</v>
      </c>
      <c r="G23" s="14">
        <v>4.0731200913513672E-8</v>
      </c>
      <c r="H23" s="14">
        <v>0</v>
      </c>
      <c r="I23" s="14">
        <v>1.995914325271357E-8</v>
      </c>
      <c r="J23" s="14">
        <v>6.8460465136360843E-6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1.0600181888904599E-7</v>
      </c>
      <c r="E24" s="14">
        <v>2.0466000570969023E-5</v>
      </c>
      <c r="F24" s="14">
        <v>1.2473477049292635E-6</v>
      </c>
      <c r="G24" s="14">
        <v>3.0108081826091891E-7</v>
      </c>
      <c r="H24" s="14">
        <v>0</v>
      </c>
      <c r="I24" s="14">
        <v>5.5957139323159617E-8</v>
      </c>
      <c r="J24" s="14">
        <v>1.7823611947628596E-5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4.0666550779974399E-8</v>
      </c>
      <c r="E25" s="14">
        <v>1.9194508806335138E-7</v>
      </c>
      <c r="F25" s="14">
        <v>6.0689219641119228E-6</v>
      </c>
      <c r="G25" s="14">
        <v>1.2665055830990005E-5</v>
      </c>
      <c r="H25" s="14">
        <v>0</v>
      </c>
      <c r="I25" s="14">
        <v>2.0785873117008466E-6</v>
      </c>
      <c r="J25" s="14">
        <v>1.8954823254353911E-5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9.1504922517107562E-6</v>
      </c>
      <c r="E26" s="14">
        <v>9.4081475976069291E-6</v>
      </c>
      <c r="F26" s="14">
        <v>2.6358377434572259E-6</v>
      </c>
      <c r="G26" s="14">
        <v>5.6860965255383505E-7</v>
      </c>
      <c r="H26" s="14">
        <v>0</v>
      </c>
      <c r="I26" s="14">
        <v>9.3170890777629098E-8</v>
      </c>
      <c r="J26" s="14">
        <v>1.8143741863893625E-5</v>
      </c>
      <c r="K26" s="14">
        <v>0</v>
      </c>
    </row>
    <row r="27" spans="1:13">
      <c r="A27" s="2" t="s">
        <v>397</v>
      </c>
      <c r="B27" s="3" t="s">
        <v>398</v>
      </c>
      <c r="D27" s="14">
        <v>3.3190289872154348E-5</v>
      </c>
      <c r="E27" s="14">
        <v>8.8905926038482105E-7</v>
      </c>
      <c r="F27" s="14">
        <v>1.3985733881442549E-6</v>
      </c>
      <c r="G27" s="14">
        <v>2.6569343014776981E-7</v>
      </c>
      <c r="H27" s="14">
        <v>0</v>
      </c>
      <c r="I27" s="14">
        <v>4.2394577589837472E-8</v>
      </c>
      <c r="J27" s="14">
        <v>4.2139894715789752E-6</v>
      </c>
      <c r="K27" s="14">
        <v>0</v>
      </c>
    </row>
    <row r="28" spans="1:13">
      <c r="A28" s="2" t="s">
        <v>399</v>
      </c>
      <c r="B28" s="3" t="s">
        <v>400</v>
      </c>
      <c r="D28" s="14">
        <v>3.4975723881134122E-5</v>
      </c>
      <c r="E28" s="14">
        <v>1.3336638400844227E-6</v>
      </c>
      <c r="F28" s="14">
        <v>5.1717905301075259E-7</v>
      </c>
      <c r="G28" s="14">
        <v>1.0892723557513706E-7</v>
      </c>
      <c r="H28" s="14">
        <v>0</v>
      </c>
      <c r="I28" s="14">
        <v>1.7669750623233315E-8</v>
      </c>
      <c r="J28" s="14">
        <v>3.0468362395723267E-6</v>
      </c>
      <c r="K28" s="14">
        <v>0</v>
      </c>
    </row>
    <row r="29" spans="1:13">
      <c r="A29" s="2" t="s">
        <v>297</v>
      </c>
      <c r="B29" s="3" t="s">
        <v>298</v>
      </c>
      <c r="D29" s="14">
        <v>3.7299402568252926E-5</v>
      </c>
      <c r="E29" s="14">
        <v>2.3771771123765399E-6</v>
      </c>
      <c r="F29" s="14">
        <v>3.955269593197765E-9</v>
      </c>
      <c r="G29" s="14">
        <v>1.2447199373920248E-9</v>
      </c>
      <c r="H29" s="14">
        <v>0</v>
      </c>
      <c r="I29" s="14">
        <v>1.2750586507934998E-9</v>
      </c>
      <c r="J29" s="14">
        <v>3.1694527118915399E-7</v>
      </c>
      <c r="K29" s="14">
        <v>0</v>
      </c>
    </row>
    <row r="30" spans="1:13">
      <c r="A30" s="2" t="s">
        <v>401</v>
      </c>
      <c r="B30" s="3" t="s">
        <v>402</v>
      </c>
      <c r="D30" s="14">
        <v>3.8160066260487088E-5</v>
      </c>
      <c r="E30" s="14">
        <v>5.0474123340245911E-7</v>
      </c>
      <c r="F30" s="14">
        <v>1.8158640682130574E-7</v>
      </c>
      <c r="G30" s="14">
        <v>3.8457308877817E-8</v>
      </c>
      <c r="H30" s="14">
        <v>0</v>
      </c>
      <c r="I30" s="14">
        <v>6.2509927280071438E-9</v>
      </c>
      <c r="J30" s="14">
        <v>1.108897797683332E-6</v>
      </c>
      <c r="K30" s="14">
        <v>0</v>
      </c>
    </row>
    <row r="31" spans="1:13">
      <c r="A31" s="2" t="s">
        <v>299</v>
      </c>
      <c r="B31" s="3" t="s">
        <v>300</v>
      </c>
      <c r="D31" s="14">
        <v>3.9952725029117831E-5</v>
      </c>
      <c r="E31" s="14">
        <v>1.7988132205675714E-8</v>
      </c>
      <c r="F31" s="14">
        <v>2.8354410410887901E-9</v>
      </c>
      <c r="G31" s="14">
        <v>6.381403064565523E-10</v>
      </c>
      <c r="H31" s="14">
        <v>0</v>
      </c>
      <c r="I31" s="14">
        <v>1.0759447999312711E-10</v>
      </c>
      <c r="J31" s="14">
        <v>2.570566284896497E-8</v>
      </c>
      <c r="K31" s="14">
        <v>0</v>
      </c>
    </row>
    <row r="32" spans="1:13">
      <c r="A32" s="2" t="s">
        <v>343</v>
      </c>
      <c r="B32" s="3" t="s">
        <v>344</v>
      </c>
      <c r="D32" s="14">
        <v>9.0694758365284085E-8</v>
      </c>
      <c r="E32" s="14">
        <v>2.6050847260374076E-5</v>
      </c>
      <c r="F32" s="14">
        <v>5.5546462119731961E-7</v>
      </c>
      <c r="G32" s="14">
        <v>1.4486115992099386E-7</v>
      </c>
      <c r="H32" s="14">
        <v>0</v>
      </c>
      <c r="I32" s="14">
        <v>3.4181542875812487E-8</v>
      </c>
      <c r="J32" s="14">
        <v>1.312395065726652E-5</v>
      </c>
      <c r="K32" s="14">
        <v>0</v>
      </c>
    </row>
    <row r="33" spans="1:11">
      <c r="A33" s="2" t="s">
        <v>345</v>
      </c>
      <c r="B33" s="3" t="s">
        <v>346</v>
      </c>
      <c r="D33" s="14">
        <v>3.5710902737717026E-9</v>
      </c>
      <c r="E33" s="14">
        <v>3.0435503684129201E-5</v>
      </c>
      <c r="F33" s="14">
        <v>2.4472314417287292E-7</v>
      </c>
      <c r="G33" s="14">
        <v>6.8575755218128708E-8</v>
      </c>
      <c r="H33" s="14">
        <v>0</v>
      </c>
      <c r="I33" s="14">
        <v>2.4392271820292069E-8</v>
      </c>
      <c r="J33" s="14">
        <v>9.2232340543857389E-6</v>
      </c>
      <c r="K33" s="14">
        <v>0</v>
      </c>
    </row>
    <row r="34" spans="1:11">
      <c r="A34" s="2" t="s">
        <v>347</v>
      </c>
      <c r="B34" s="3" t="s">
        <v>348</v>
      </c>
      <c r="D34" s="14">
        <v>5.3728725482705013E-9</v>
      </c>
      <c r="E34" s="14">
        <v>1.2960632703453648E-5</v>
      </c>
      <c r="F34" s="14">
        <v>3.1252211412977186E-6</v>
      </c>
      <c r="G34" s="14">
        <v>6.816733394936808E-7</v>
      </c>
      <c r="H34" s="14">
        <v>0</v>
      </c>
      <c r="I34" s="14">
        <v>1.1236384434319671E-7</v>
      </c>
      <c r="J34" s="14">
        <v>2.3114736098863483E-5</v>
      </c>
      <c r="K34" s="14">
        <v>0</v>
      </c>
    </row>
    <row r="35" spans="1:11">
      <c r="A35" s="2" t="s">
        <v>349</v>
      </c>
      <c r="B35" s="3" t="s">
        <v>350</v>
      </c>
      <c r="D35" s="14">
        <v>2.0099686065147759E-6</v>
      </c>
      <c r="E35" s="14">
        <v>3.1572497590538296E-6</v>
      </c>
      <c r="F35" s="14">
        <v>1.0516312649101684E-5</v>
      </c>
      <c r="G35" s="14">
        <v>1.8904232263373625E-6</v>
      </c>
      <c r="H35" s="14">
        <v>0</v>
      </c>
      <c r="I35" s="14">
        <v>3.0163692766853697E-7</v>
      </c>
      <c r="J35" s="14">
        <v>2.2124408831323806E-5</v>
      </c>
      <c r="K35" s="14">
        <v>0</v>
      </c>
    </row>
    <row r="36" spans="1:11">
      <c r="A36" s="2" t="s">
        <v>351</v>
      </c>
      <c r="B36" s="3" t="s">
        <v>352</v>
      </c>
      <c r="D36" s="14">
        <v>6.7064488868639151E-8</v>
      </c>
      <c r="E36" s="14">
        <v>8.6431546433697947E-7</v>
      </c>
      <c r="F36" s="14">
        <v>1.1106234367351527E-5</v>
      </c>
      <c r="G36" s="14">
        <v>5.1269890421263731E-6</v>
      </c>
      <c r="H36" s="14">
        <v>0</v>
      </c>
      <c r="I36" s="14">
        <v>8.2767826863654735E-7</v>
      </c>
      <c r="J36" s="14">
        <v>2.2007718368679932E-5</v>
      </c>
      <c r="K36" s="14">
        <v>0</v>
      </c>
    </row>
    <row r="37" spans="1:11">
      <c r="A37" s="2" t="s">
        <v>353</v>
      </c>
      <c r="B37" s="3" t="s">
        <v>354</v>
      </c>
      <c r="D37" s="14">
        <v>5.2826733004958558E-7</v>
      </c>
      <c r="E37" s="14">
        <v>1.5346643960937383E-7</v>
      </c>
      <c r="F37" s="14">
        <v>5.4303518279519155E-6</v>
      </c>
      <c r="G37" s="14">
        <v>1.3684329518583289E-5</v>
      </c>
      <c r="H37" s="14">
        <v>0</v>
      </c>
      <c r="I37" s="14">
        <v>2.2506211327343861E-6</v>
      </c>
      <c r="J37" s="14">
        <v>1.7952963751071454E-5</v>
      </c>
      <c r="K37" s="14">
        <v>0</v>
      </c>
    </row>
    <row r="38" spans="1:11">
      <c r="A38" s="2" t="s">
        <v>355</v>
      </c>
      <c r="B38" s="3" t="s">
        <v>356</v>
      </c>
      <c r="D38" s="14">
        <v>2.580226961614849E-8</v>
      </c>
      <c r="E38" s="14">
        <v>4.8900981218067193E-7</v>
      </c>
      <c r="F38" s="14">
        <v>9.0392442966810572E-6</v>
      </c>
      <c r="G38" s="14">
        <v>7.6741039783193202E-6</v>
      </c>
      <c r="H38" s="14">
        <v>0</v>
      </c>
      <c r="I38" s="14">
        <v>1.2469809130040956E-6</v>
      </c>
      <c r="J38" s="14">
        <v>2.1524858730198708E-5</v>
      </c>
      <c r="K38" s="14">
        <v>0</v>
      </c>
    </row>
    <row r="39" spans="1:11">
      <c r="A39" s="2" t="s">
        <v>357</v>
      </c>
      <c r="B39" s="3" t="s">
        <v>358</v>
      </c>
      <c r="D39" s="14">
        <v>4.6315479908007903E-6</v>
      </c>
      <c r="E39" s="14">
        <v>6.5341008452036592E-7</v>
      </c>
      <c r="F39" s="14">
        <v>9.3153758747940444E-6</v>
      </c>
      <c r="G39" s="14">
        <v>5.1179488214819276E-6</v>
      </c>
      <c r="H39" s="14">
        <v>0</v>
      </c>
      <c r="I39" s="14">
        <v>8.2773256051670554E-7</v>
      </c>
      <c r="J39" s="14">
        <v>1.945398466788616E-5</v>
      </c>
      <c r="K39" s="14">
        <v>0</v>
      </c>
    </row>
    <row r="40" spans="1:11">
      <c r="A40" s="2" t="s">
        <v>359</v>
      </c>
      <c r="B40" s="3" t="s">
        <v>360</v>
      </c>
      <c r="D40" s="14">
        <v>2.580226961614849E-8</v>
      </c>
      <c r="E40" s="14">
        <v>4.8900981218067193E-7</v>
      </c>
      <c r="F40" s="14">
        <v>9.0392442966810572E-6</v>
      </c>
      <c r="G40" s="14">
        <v>7.6741039783193202E-6</v>
      </c>
      <c r="H40" s="14">
        <v>0</v>
      </c>
      <c r="I40" s="14">
        <v>1.2469809130040956E-6</v>
      </c>
      <c r="J40" s="14">
        <v>2.1524858730198708E-5</v>
      </c>
      <c r="K40" s="14">
        <v>0</v>
      </c>
    </row>
    <row r="41" spans="1:11">
      <c r="A41" s="2" t="s">
        <v>313</v>
      </c>
      <c r="B41" s="3" t="s">
        <v>314</v>
      </c>
      <c r="D41" s="14">
        <v>2.3316182952765422E-12</v>
      </c>
      <c r="E41" s="14">
        <v>3.9784575381618501E-5</v>
      </c>
      <c r="F41" s="14">
        <v>1.8921226197835369E-7</v>
      </c>
      <c r="G41" s="14">
        <v>4.5026669798633254E-11</v>
      </c>
      <c r="H41" s="14">
        <v>0</v>
      </c>
      <c r="I41" s="14">
        <v>1.8673262234774281E-8</v>
      </c>
      <c r="J41" s="14">
        <v>7.4917358802905826E-9</v>
      </c>
      <c r="K41" s="14">
        <v>0</v>
      </c>
    </row>
    <row r="42" spans="1:11">
      <c r="A42" s="2" t="s">
        <v>315</v>
      </c>
      <c r="B42" s="3" t="s">
        <v>316</v>
      </c>
      <c r="D42" s="14">
        <v>7.6658352903803471E-7</v>
      </c>
      <c r="E42" s="14">
        <v>1.4041682477972507E-7</v>
      </c>
      <c r="F42" s="14">
        <v>5.1884029617521443E-6</v>
      </c>
      <c r="G42" s="14">
        <v>1.4058184993150361E-5</v>
      </c>
      <c r="H42" s="14">
        <v>0</v>
      </c>
      <c r="I42" s="14">
        <v>2.3139909405094517E-6</v>
      </c>
      <c r="J42" s="14">
        <v>1.7532420750770278E-5</v>
      </c>
      <c r="K42" s="14">
        <v>0</v>
      </c>
    </row>
    <row r="43" spans="1:11">
      <c r="A43" s="2" t="s">
        <v>317</v>
      </c>
      <c r="B43" s="3" t="s">
        <v>318</v>
      </c>
      <c r="D43" s="14">
        <v>2.4471821540883124E-16</v>
      </c>
      <c r="E43" s="14">
        <v>1.9680039303134804E-5</v>
      </c>
      <c r="F43" s="14">
        <v>1.3936076183960347E-6</v>
      </c>
      <c r="G43" s="14">
        <v>3.3268718107424142E-7</v>
      </c>
      <c r="H43" s="14">
        <v>0</v>
      </c>
      <c r="I43" s="14">
        <v>6.053907020777149E-8</v>
      </c>
      <c r="J43" s="14">
        <v>1.8533126826942429E-5</v>
      </c>
      <c r="K43" s="14">
        <v>0</v>
      </c>
    </row>
    <row r="44" spans="1:11">
      <c r="A44" s="2" t="s">
        <v>307</v>
      </c>
      <c r="B44" s="3" t="s">
        <v>308</v>
      </c>
      <c r="D44" s="14">
        <v>2.2446782749753284E-8</v>
      </c>
      <c r="E44" s="14">
        <v>1.2979374627635179E-6</v>
      </c>
      <c r="F44" s="14">
        <v>1.2642364808082972E-5</v>
      </c>
      <c r="G44" s="14">
        <v>3.6687986159222089E-6</v>
      </c>
      <c r="H44" s="14">
        <v>0</v>
      </c>
      <c r="I44" s="14">
        <v>5.8952408239567284E-7</v>
      </c>
      <c r="J44" s="14">
        <v>2.1778928248085883E-5</v>
      </c>
      <c r="K44" s="14">
        <v>0</v>
      </c>
    </row>
    <row r="45" spans="1:11">
      <c r="A45" s="2" t="s">
        <v>319</v>
      </c>
      <c r="B45" s="3" t="s">
        <v>320</v>
      </c>
      <c r="D45" s="14">
        <v>2.7986524333735481E-9</v>
      </c>
      <c r="E45" s="14">
        <v>7.0363693953861396E-8</v>
      </c>
      <c r="F45" s="14">
        <v>3.7078587493557296E-6</v>
      </c>
      <c r="G45" s="14">
        <v>1.8210368608631086E-5</v>
      </c>
      <c r="H45" s="14">
        <v>0</v>
      </c>
      <c r="I45" s="14">
        <v>3.0175839539113751E-6</v>
      </c>
      <c r="J45" s="14">
        <v>1.4991026341714575E-5</v>
      </c>
      <c r="K45" s="14">
        <v>0</v>
      </c>
    </row>
    <row r="46" spans="1:11">
      <c r="A46" s="2" t="s">
        <v>321</v>
      </c>
      <c r="B46" s="3" t="s">
        <v>322</v>
      </c>
      <c r="D46" s="14">
        <v>3.7988343380075131E-9</v>
      </c>
      <c r="E46" s="14">
        <v>1.2946429761323903E-7</v>
      </c>
      <c r="F46" s="14">
        <v>5.0387704048184004E-6</v>
      </c>
      <c r="G46" s="14">
        <v>1.4894300964138956E-5</v>
      </c>
      <c r="H46" s="14">
        <v>0</v>
      </c>
      <c r="I46" s="14">
        <v>2.4540145569826992E-6</v>
      </c>
      <c r="J46" s="14">
        <v>1.7479650942108704E-5</v>
      </c>
      <c r="K46" s="14">
        <v>0</v>
      </c>
    </row>
    <row r="47" spans="1:11">
      <c r="A47" s="2" t="s">
        <v>323</v>
      </c>
      <c r="B47" s="3" t="s">
        <v>324</v>
      </c>
      <c r="D47" s="14">
        <v>3.2714618846835194E-8</v>
      </c>
      <c r="E47" s="14">
        <v>2.629550581723848E-7</v>
      </c>
      <c r="F47" s="14">
        <v>6.9922360256673047E-6</v>
      </c>
      <c r="G47" s="14">
        <v>1.0917209263157356E-5</v>
      </c>
      <c r="H47" s="14">
        <v>0</v>
      </c>
      <c r="I47" s="14">
        <v>1.7859365727354086E-6</v>
      </c>
      <c r="J47" s="14">
        <v>2.0008948461420716E-5</v>
      </c>
      <c r="K47" s="14">
        <v>0</v>
      </c>
    </row>
    <row r="48" spans="1:11">
      <c r="A48" s="2" t="s">
        <v>325</v>
      </c>
      <c r="B48" s="3" t="s">
        <v>326</v>
      </c>
      <c r="D48" s="14">
        <v>1.1382242958231783E-8</v>
      </c>
      <c r="E48" s="14">
        <v>6.6869413801458032E-6</v>
      </c>
      <c r="F48" s="14">
        <v>6.7065947779603087E-6</v>
      </c>
      <c r="G48" s="14">
        <v>1.3170359261157209E-6</v>
      </c>
      <c r="H48" s="14">
        <v>0</v>
      </c>
      <c r="I48" s="14">
        <v>2.1059018936019629E-7</v>
      </c>
      <c r="J48" s="14">
        <v>2.5067455483459739E-5</v>
      </c>
      <c r="K48" s="14">
        <v>0</v>
      </c>
    </row>
    <row r="49" spans="1:11">
      <c r="A49" s="2" t="s">
        <v>275</v>
      </c>
      <c r="B49" s="3" t="s">
        <v>276</v>
      </c>
      <c r="D49" s="14">
        <v>2.8807918767755711E-10</v>
      </c>
      <c r="E49" s="14">
        <v>1.205734112921067E-6</v>
      </c>
      <c r="F49" s="14">
        <v>1.2370467101396646E-5</v>
      </c>
      <c r="G49" s="14">
        <v>3.9163514131749802E-6</v>
      </c>
      <c r="H49" s="14">
        <v>0</v>
      </c>
      <c r="I49" s="14">
        <v>6.2983096760948201E-7</v>
      </c>
      <c r="J49" s="14">
        <v>2.187732832571015E-5</v>
      </c>
      <c r="K49" s="14">
        <v>0</v>
      </c>
    </row>
    <row r="50" spans="1:11">
      <c r="A50" s="2" t="s">
        <v>327</v>
      </c>
      <c r="B50" s="3" t="s">
        <v>328</v>
      </c>
      <c r="D50" s="14">
        <v>1.4977263654461354E-8</v>
      </c>
      <c r="E50" s="14">
        <v>1.0630951565847039E-6</v>
      </c>
      <c r="F50" s="14">
        <v>1.189341819913208E-5</v>
      </c>
      <c r="G50" s="14">
        <v>4.3531360977911456E-6</v>
      </c>
      <c r="H50" s="14">
        <v>0</v>
      </c>
      <c r="I50" s="14">
        <v>7.0108206180977217E-7</v>
      </c>
      <c r="J50" s="14">
        <v>2.1974291221027839E-5</v>
      </c>
      <c r="K50" s="14">
        <v>0</v>
      </c>
    </row>
    <row r="51" spans="1:11">
      <c r="A51" s="2" t="s">
        <v>329</v>
      </c>
      <c r="B51" s="3" t="s">
        <v>330</v>
      </c>
      <c r="D51" s="14">
        <v>6.9402701365228982E-9</v>
      </c>
      <c r="E51" s="14">
        <v>5.0016815730056911E-6</v>
      </c>
      <c r="F51" s="14">
        <v>8.4810688672248778E-6</v>
      </c>
      <c r="G51" s="14">
        <v>1.6023085315598215E-6</v>
      </c>
      <c r="H51" s="14">
        <v>0</v>
      </c>
      <c r="I51" s="14">
        <v>2.5562517452970866E-7</v>
      </c>
      <c r="J51" s="14">
        <v>2.4652375583543386E-5</v>
      </c>
      <c r="K51" s="14">
        <v>0</v>
      </c>
    </row>
    <row r="52" spans="1:11">
      <c r="A52" s="2" t="s">
        <v>277</v>
      </c>
      <c r="B52" s="3" t="s">
        <v>278</v>
      </c>
      <c r="D52" s="14">
        <v>1.7977144184437175E-8</v>
      </c>
      <c r="E52" s="14">
        <v>6.5102904734120644E-6</v>
      </c>
      <c r="F52" s="14">
        <v>6.864278832000465E-6</v>
      </c>
      <c r="G52" s="14">
        <v>1.3430447141498678E-6</v>
      </c>
      <c r="H52" s="14">
        <v>0</v>
      </c>
      <c r="I52" s="14">
        <v>2.1467576077007078E-7</v>
      </c>
      <c r="J52" s="14">
        <v>2.5049733075483103E-5</v>
      </c>
      <c r="K52" s="14">
        <v>0</v>
      </c>
    </row>
    <row r="53" spans="1:11">
      <c r="A53" s="2" t="s">
        <v>331</v>
      </c>
      <c r="B53" s="3" t="s">
        <v>332</v>
      </c>
      <c r="D53" s="14">
        <v>1.0041590087958268E-8</v>
      </c>
      <c r="E53" s="14">
        <v>7.0971200804857183E-7</v>
      </c>
      <c r="F53" s="14">
        <v>1.0384287505852722E-5</v>
      </c>
      <c r="G53" s="14">
        <v>5.9589845461702177E-6</v>
      </c>
      <c r="H53" s="14">
        <v>0</v>
      </c>
      <c r="I53" s="14">
        <v>9.6420030565948139E-7</v>
      </c>
      <c r="J53" s="14">
        <v>2.1972774044181048E-5</v>
      </c>
      <c r="K53" s="14">
        <v>0</v>
      </c>
    </row>
    <row r="54" spans="1:11">
      <c r="A54" s="2" t="s">
        <v>333</v>
      </c>
      <c r="B54" s="3" t="s">
        <v>334</v>
      </c>
      <c r="D54" s="14">
        <v>1.6318430832500854E-11</v>
      </c>
      <c r="E54" s="14">
        <v>1.1327082391442498E-6</v>
      </c>
      <c r="F54" s="14">
        <v>1.2135358478029436E-5</v>
      </c>
      <c r="G54" s="14">
        <v>4.1309331341312527E-6</v>
      </c>
      <c r="H54" s="14">
        <v>0</v>
      </c>
      <c r="I54" s="14">
        <v>6.6481419959498963E-7</v>
      </c>
      <c r="J54" s="14">
        <v>2.1936169630669244E-5</v>
      </c>
      <c r="K54" s="14">
        <v>0</v>
      </c>
    </row>
    <row r="55" spans="1:11">
      <c r="A55" s="2" t="s">
        <v>335</v>
      </c>
      <c r="B55" s="3" t="s">
        <v>336</v>
      </c>
      <c r="D55" s="14">
        <v>8.4608533625603553E-8</v>
      </c>
      <c r="E55" s="14">
        <v>2.708156966575135E-7</v>
      </c>
      <c r="F55" s="14">
        <v>7.0776386049314742E-6</v>
      </c>
      <c r="G55" s="14">
        <v>1.0734552355014225E-5</v>
      </c>
      <c r="H55" s="14">
        <v>0</v>
      </c>
      <c r="I55" s="14">
        <v>1.7554888220827707E-6</v>
      </c>
      <c r="J55" s="14">
        <v>2.0076895987688417E-5</v>
      </c>
      <c r="K55" s="14">
        <v>0</v>
      </c>
    </row>
    <row r="56" spans="1:11">
      <c r="A56" s="2" t="s">
        <v>337</v>
      </c>
      <c r="B56" s="3" t="s">
        <v>338</v>
      </c>
      <c r="D56" s="14">
        <v>5.7642953047137989E-9</v>
      </c>
      <c r="E56" s="14">
        <v>1.2668520137769882E-6</v>
      </c>
      <c r="F56" s="14">
        <v>1.2555107525874873E-5</v>
      </c>
      <c r="G56" s="14">
        <v>3.7507316384159615E-6</v>
      </c>
      <c r="H56" s="14">
        <v>0</v>
      </c>
      <c r="I56" s="14">
        <v>6.0285701124547893E-7</v>
      </c>
      <c r="J56" s="14">
        <v>2.1818687515381994E-5</v>
      </c>
      <c r="K56" s="14">
        <v>0</v>
      </c>
    </row>
    <row r="57" spans="1:11">
      <c r="A57" s="2" t="s">
        <v>279</v>
      </c>
      <c r="B57" s="3" t="s">
        <v>280</v>
      </c>
      <c r="D57" s="14">
        <v>3.1851079643875866E-7</v>
      </c>
      <c r="E57" s="14">
        <v>7.4587117301371163E-6</v>
      </c>
      <c r="F57" s="14">
        <v>5.9730805700720953E-6</v>
      </c>
      <c r="G57" s="14">
        <v>1.1925975924943002E-6</v>
      </c>
      <c r="H57" s="14">
        <v>0</v>
      </c>
      <c r="I57" s="14">
        <v>1.9106326606664347E-7</v>
      </c>
      <c r="J57" s="14">
        <v>2.4866036044791093E-5</v>
      </c>
      <c r="K57" s="14">
        <v>0</v>
      </c>
    </row>
    <row r="58" spans="1:11">
      <c r="A58" s="2" t="s">
        <v>339</v>
      </c>
      <c r="B58" s="3" t="s">
        <v>340</v>
      </c>
      <c r="D58" s="14">
        <v>5.7184870779224956E-11</v>
      </c>
      <c r="E58" s="14">
        <v>1.1185639246445152E-6</v>
      </c>
      <c r="F58" s="14">
        <v>1.208802526265941E-5</v>
      </c>
      <c r="G58" s="14">
        <v>4.1749464976756257E-6</v>
      </c>
      <c r="H58" s="14">
        <v>0</v>
      </c>
      <c r="I58" s="14">
        <v>6.7199427447025084E-7</v>
      </c>
      <c r="J58" s="14">
        <v>2.1946412855679422E-5</v>
      </c>
      <c r="K58" s="14">
        <v>0</v>
      </c>
    </row>
    <row r="59" spans="1:11">
      <c r="A59" s="2" t="s">
        <v>281</v>
      </c>
      <c r="B59" s="3" t="s">
        <v>282</v>
      </c>
      <c r="D59" s="14">
        <v>2.7219890592930046E-9</v>
      </c>
      <c r="E59" s="14">
        <v>6.5127744770714042E-6</v>
      </c>
      <c r="F59" s="14">
        <v>6.8668979000446724E-6</v>
      </c>
      <c r="G59" s="14">
        <v>1.3435571533410574E-6</v>
      </c>
      <c r="H59" s="14">
        <v>0</v>
      </c>
      <c r="I59" s="14">
        <v>2.1475767038339789E-7</v>
      </c>
      <c r="J59" s="14">
        <v>2.5059290810100178E-5</v>
      </c>
      <c r="K59" s="14">
        <v>0</v>
      </c>
    </row>
    <row r="60" spans="1:11">
      <c r="A60" s="2" t="s">
        <v>341</v>
      </c>
      <c r="B60" s="3" t="s">
        <v>342</v>
      </c>
      <c r="D60" s="14">
        <v>8.3652918144214898E-8</v>
      </c>
      <c r="E60" s="14">
        <v>7.9854751028286298E-7</v>
      </c>
      <c r="F60" s="14">
        <v>1.0808248227826651E-5</v>
      </c>
      <c r="G60" s="14">
        <v>5.4431570581185801E-6</v>
      </c>
      <c r="H60" s="14">
        <v>0</v>
      </c>
      <c r="I60" s="14">
        <v>8.7951984659883207E-7</v>
      </c>
      <c r="J60" s="14">
        <v>2.1986874439028869E-5</v>
      </c>
      <c r="K60" s="14">
        <v>0</v>
      </c>
    </row>
    <row r="61" spans="1:11">
      <c r="A61" s="2" t="s">
        <v>483</v>
      </c>
      <c r="B61" s="3" t="s">
        <v>484</v>
      </c>
      <c r="D61" s="14">
        <v>5.6851545225194738E-18</v>
      </c>
      <c r="E61" s="14">
        <v>2.0711063533856865E-5</v>
      </c>
      <c r="F61" s="14">
        <v>3.3245990918337757E-6</v>
      </c>
      <c r="G61" s="14">
        <v>5.5393254137601094E-7</v>
      </c>
      <c r="H61" s="14">
        <v>0</v>
      </c>
      <c r="I61" s="14">
        <v>8.3000245142536194E-7</v>
      </c>
      <c r="J61" s="14">
        <v>1.4580402381502302E-5</v>
      </c>
      <c r="K61" s="14">
        <v>0</v>
      </c>
    </row>
    <row r="62" spans="1:11">
      <c r="A62" s="2" t="s">
        <v>485</v>
      </c>
      <c r="B62" s="3" t="s">
        <v>486</v>
      </c>
      <c r="D62" s="14">
        <v>1.4828372111448751E-11</v>
      </c>
      <c r="E62" s="14">
        <v>1.3481963294999701E-5</v>
      </c>
      <c r="F62" s="14">
        <v>2.9414921303304015E-6</v>
      </c>
      <c r="G62" s="14">
        <v>6.4634329243576169E-7</v>
      </c>
      <c r="H62" s="14">
        <v>0</v>
      </c>
      <c r="I62" s="14">
        <v>1.0702109982893658E-7</v>
      </c>
      <c r="J62" s="14">
        <v>2.2823165354033087E-5</v>
      </c>
      <c r="K62" s="14">
        <v>0</v>
      </c>
    </row>
    <row r="63" spans="1:11">
      <c r="A63" s="2" t="s">
        <v>487</v>
      </c>
      <c r="B63" s="3" t="s">
        <v>488</v>
      </c>
      <c r="D63" s="14">
        <v>2.9453202309905161E-17</v>
      </c>
      <c r="E63" s="14">
        <v>3.8110695121403979E-5</v>
      </c>
      <c r="F63" s="14">
        <v>1.3136411098945252E-7</v>
      </c>
      <c r="G63" s="14">
        <v>1.7332989886202623E-8</v>
      </c>
      <c r="H63" s="14">
        <v>0</v>
      </c>
      <c r="I63" s="14">
        <v>9.3712007382185221E-8</v>
      </c>
      <c r="J63" s="14">
        <v>1.646895770308731E-6</v>
      </c>
      <c r="K63" s="14">
        <v>0</v>
      </c>
    </row>
    <row r="64" spans="1:11">
      <c r="A64" s="2" t="s">
        <v>489</v>
      </c>
      <c r="B64" s="3" t="s">
        <v>490</v>
      </c>
      <c r="D64" s="14">
        <v>5.3134939206728108E-19</v>
      </c>
      <c r="E64" s="14">
        <v>3.9757049069233071E-5</v>
      </c>
      <c r="F64" s="14">
        <v>4.900142300953492E-8</v>
      </c>
      <c r="G64" s="14">
        <v>6.0839558392382444E-10</v>
      </c>
      <c r="H64" s="14">
        <v>0</v>
      </c>
      <c r="I64" s="14">
        <v>1.8397260661535411E-8</v>
      </c>
      <c r="J64" s="14">
        <v>1.7494385151141131E-7</v>
      </c>
      <c r="K64" s="14">
        <v>0</v>
      </c>
    </row>
    <row r="65" spans="1:11">
      <c r="A65" s="2" t="s">
        <v>491</v>
      </c>
      <c r="B65" s="3" t="s">
        <v>492</v>
      </c>
      <c r="D65" s="14">
        <v>8.7754582811854499E-17</v>
      </c>
      <c r="E65" s="14">
        <v>3.9891062023641473E-5</v>
      </c>
      <c r="F65" s="14">
        <v>6.3617420380853316E-9</v>
      </c>
      <c r="G65" s="14">
        <v>2.8295643518768388E-10</v>
      </c>
      <c r="H65" s="14">
        <v>0</v>
      </c>
      <c r="I65" s="14">
        <v>2.4987455168219135E-8</v>
      </c>
      <c r="J65" s="14">
        <v>7.7305822629285414E-8</v>
      </c>
      <c r="K65" s="14">
        <v>0</v>
      </c>
    </row>
    <row r="66" spans="1:11">
      <c r="A66" s="2" t="s">
        <v>493</v>
      </c>
      <c r="B66" s="3" t="s">
        <v>494</v>
      </c>
      <c r="D66" s="14">
        <v>1.3895458166444376E-15</v>
      </c>
      <c r="E66" s="14">
        <v>3.7394165843100085E-5</v>
      </c>
      <c r="F66" s="14">
        <v>9.7051896856739651E-7</v>
      </c>
      <c r="G66" s="14">
        <v>2.4322984712838573E-8</v>
      </c>
      <c r="H66" s="14">
        <v>0</v>
      </c>
      <c r="I66" s="14">
        <v>7.7529394324102297E-7</v>
      </c>
      <c r="J66" s="14">
        <v>8.3569825898912127E-7</v>
      </c>
      <c r="K66" s="14">
        <v>0</v>
      </c>
    </row>
    <row r="67" spans="1:11">
      <c r="A67" s="2" t="s">
        <v>495</v>
      </c>
      <c r="B67" s="3" t="s">
        <v>496</v>
      </c>
      <c r="D67" s="14">
        <v>6.8541668584332537E-17</v>
      </c>
      <c r="E67" s="14">
        <v>3.9883598574066836E-5</v>
      </c>
      <c r="F67" s="14">
        <v>5.3633808531719957E-9</v>
      </c>
      <c r="G67" s="14">
        <v>2.9319298245608627E-10</v>
      </c>
      <c r="H67" s="14">
        <v>0</v>
      </c>
      <c r="I67" s="14">
        <v>2.3835562057916346E-8</v>
      </c>
      <c r="J67" s="14">
        <v>8.6909289971081614E-8</v>
      </c>
      <c r="K67" s="14">
        <v>0</v>
      </c>
    </row>
    <row r="68" spans="1:11">
      <c r="A68" s="2" t="s">
        <v>497</v>
      </c>
      <c r="B68" s="3" t="s">
        <v>498</v>
      </c>
      <c r="D68" s="14">
        <v>6.1976740670239416E-16</v>
      </c>
      <c r="E68" s="14">
        <v>3.9945202134849323E-5</v>
      </c>
      <c r="F68" s="14">
        <v>6.3777243054244192E-10</v>
      </c>
      <c r="G68" s="14">
        <v>4.9207558519470778E-11</v>
      </c>
      <c r="H68" s="14">
        <v>0</v>
      </c>
      <c r="I68" s="14">
        <v>1.9001400425126906E-8</v>
      </c>
      <c r="J68" s="14">
        <v>3.5109484116730837E-8</v>
      </c>
      <c r="K68" s="14">
        <v>0</v>
      </c>
    </row>
    <row r="69" spans="1:11">
      <c r="A69" s="2" t="s">
        <v>499</v>
      </c>
      <c r="B69" s="3" t="s">
        <v>500</v>
      </c>
      <c r="D69" s="14">
        <v>1.4385865756946455E-15</v>
      </c>
      <c r="E69" s="14">
        <v>1.4372544693710444E-6</v>
      </c>
      <c r="F69" s="14">
        <v>1.3028674023926382E-5</v>
      </c>
      <c r="G69" s="14">
        <v>3.3520136121756286E-6</v>
      </c>
      <c r="H69" s="14">
        <v>0</v>
      </c>
      <c r="I69" s="14">
        <v>5.3801409227914273E-7</v>
      </c>
      <c r="J69" s="14">
        <v>2.164404380080922E-5</v>
      </c>
      <c r="K69" s="14">
        <v>0</v>
      </c>
    </row>
    <row r="70" spans="1:11">
      <c r="A70" s="2" t="s">
        <v>501</v>
      </c>
      <c r="B70" s="3" t="s">
        <v>411</v>
      </c>
      <c r="D70" s="14">
        <v>1.1418930225688246E-17</v>
      </c>
      <c r="E70" s="14">
        <v>3.9855208345562513E-5</v>
      </c>
      <c r="F70" s="14">
        <v>1.239080819054234E-7</v>
      </c>
      <c r="G70" s="14">
        <v>1.1775931164019398E-11</v>
      </c>
      <c r="H70" s="14">
        <v>0</v>
      </c>
      <c r="I70" s="14">
        <v>1.8544199052864638E-8</v>
      </c>
      <c r="J70" s="14">
        <v>2.3275975366239197E-9</v>
      </c>
      <c r="K70" s="14">
        <v>0</v>
      </c>
    </row>
    <row r="71" spans="1:11">
      <c r="A71" s="2" t="s">
        <v>502</v>
      </c>
      <c r="B71" s="3" t="s">
        <v>412</v>
      </c>
      <c r="D71" s="14">
        <v>5.3449212058892841E-13</v>
      </c>
      <c r="E71" s="14">
        <v>3.9741239295835464E-5</v>
      </c>
      <c r="F71" s="14">
        <v>2.3670964628671353E-7</v>
      </c>
      <c r="G71" s="14">
        <v>2.1512073366764565E-11</v>
      </c>
      <c r="H71" s="14">
        <v>0</v>
      </c>
      <c r="I71" s="14">
        <v>1.8761667013975295E-8</v>
      </c>
      <c r="J71" s="14">
        <v>3.2673442983627024E-9</v>
      </c>
      <c r="K71" s="14">
        <v>0</v>
      </c>
    </row>
    <row r="72" spans="1:11">
      <c r="A72" s="2" t="s">
        <v>503</v>
      </c>
      <c r="B72" s="3" t="s">
        <v>413</v>
      </c>
      <c r="D72" s="14">
        <v>6.5700740616965015E-14</v>
      </c>
      <c r="E72" s="14">
        <v>1.4893952055056572E-6</v>
      </c>
      <c r="F72" s="14">
        <v>3.7926651572000248E-5</v>
      </c>
      <c r="G72" s="14">
        <v>1.7418424124095568E-8</v>
      </c>
      <c r="H72" s="14">
        <v>0</v>
      </c>
      <c r="I72" s="14">
        <v>5.3295157784740503E-7</v>
      </c>
      <c r="J72" s="14">
        <v>3.3583154821860173E-8</v>
      </c>
      <c r="K72" s="14">
        <v>0</v>
      </c>
    </row>
    <row r="73" spans="1:11">
      <c r="A73" s="2" t="s">
        <v>504</v>
      </c>
      <c r="B73" s="3" t="s">
        <v>414</v>
      </c>
      <c r="D73" s="14">
        <v>6.7784177334002005E-14</v>
      </c>
      <c r="E73" s="14">
        <v>1.0909077218259437E-5</v>
      </c>
      <c r="F73" s="14">
        <v>2.9013663262036183E-5</v>
      </c>
      <c r="G73" s="14">
        <v>1.6771307641886452E-9</v>
      </c>
      <c r="H73" s="14">
        <v>0</v>
      </c>
      <c r="I73" s="14">
        <v>5.4080286575284075E-8</v>
      </c>
      <c r="J73" s="14">
        <v>2.1502034580729819E-8</v>
      </c>
      <c r="K73" s="14">
        <v>0</v>
      </c>
    </row>
    <row r="74" spans="1:11">
      <c r="A74" s="2" t="s">
        <v>505</v>
      </c>
      <c r="B74" s="3" t="s">
        <v>415</v>
      </c>
      <c r="D74" s="14">
        <v>6.5758049601554081E-14</v>
      </c>
      <c r="E74" s="14">
        <v>3.9763866743462699E-5</v>
      </c>
      <c r="F74" s="14">
        <v>2.1430048804969259E-7</v>
      </c>
      <c r="G74" s="14">
        <v>1.9560840836051842E-11</v>
      </c>
      <c r="H74" s="14">
        <v>0</v>
      </c>
      <c r="I74" s="14">
        <v>1.8719285505773625E-8</v>
      </c>
      <c r="J74" s="14">
        <v>3.09385638295434E-9</v>
      </c>
      <c r="K74" s="14">
        <v>0</v>
      </c>
    </row>
    <row r="75" spans="1:11">
      <c r="A75" s="2" t="s">
        <v>506</v>
      </c>
      <c r="B75" s="3" t="s">
        <v>416</v>
      </c>
      <c r="D75" s="14">
        <v>2.7835975839232099E-13</v>
      </c>
      <c r="E75" s="14">
        <v>1.2350545419294171E-5</v>
      </c>
      <c r="F75" s="14">
        <v>2.7572788372502436E-5</v>
      </c>
      <c r="G75" s="14">
        <v>1.6145260130634491E-9</v>
      </c>
      <c r="H75" s="14">
        <v>0</v>
      </c>
      <c r="I75" s="14">
        <v>5.2830706837418386E-8</v>
      </c>
      <c r="J75" s="14">
        <v>2.2220696993152219E-8</v>
      </c>
      <c r="K75" s="14">
        <v>0</v>
      </c>
    </row>
    <row r="76" spans="1:11">
      <c r="A76" s="2" t="s">
        <v>507</v>
      </c>
      <c r="B76" s="3" t="s">
        <v>417</v>
      </c>
      <c r="D76" s="14">
        <v>1.7672720812053805E-12</v>
      </c>
      <c r="E76" s="14">
        <v>3.5591272482602825E-5</v>
      </c>
      <c r="F76" s="14">
        <v>4.3689599728864074E-6</v>
      </c>
      <c r="G76" s="14">
        <v>3.1771987262001958E-10</v>
      </c>
      <c r="H76" s="14">
        <v>0</v>
      </c>
      <c r="I76" s="14">
        <v>2.5285000127474916E-8</v>
      </c>
      <c r="J76" s="14">
        <v>1.4163057238592447E-8</v>
      </c>
      <c r="K76" s="14">
        <v>0</v>
      </c>
    </row>
    <row r="77" spans="1:11">
      <c r="A77" s="2" t="s">
        <v>508</v>
      </c>
      <c r="B77" s="3" t="s">
        <v>418</v>
      </c>
      <c r="D77" s="14">
        <v>2.0734084936149186E-12</v>
      </c>
      <c r="E77" s="14">
        <v>1.1310061645826558E-5</v>
      </c>
      <c r="F77" s="14">
        <v>2.8612744872041404E-5</v>
      </c>
      <c r="G77" s="14">
        <v>1.6650444670532757E-9</v>
      </c>
      <c r="H77" s="14">
        <v>0</v>
      </c>
      <c r="I77" s="14">
        <v>5.3742322193493966E-8</v>
      </c>
      <c r="J77" s="14">
        <v>2.178404206300172E-8</v>
      </c>
      <c r="K77" s="14">
        <v>0</v>
      </c>
    </row>
    <row r="78" spans="1:11">
      <c r="A78" s="2" t="s">
        <v>509</v>
      </c>
      <c r="B78" s="3" t="s">
        <v>419</v>
      </c>
      <c r="D78" s="14">
        <v>2.6374564166425679E-13</v>
      </c>
      <c r="E78" s="14">
        <v>1.6494721150053107E-6</v>
      </c>
      <c r="F78" s="14">
        <v>3.7858162270745298E-5</v>
      </c>
      <c r="G78" s="14">
        <v>1.4609114321257765E-8</v>
      </c>
      <c r="H78" s="14">
        <v>0</v>
      </c>
      <c r="I78" s="14">
        <v>4.4594822479876801E-7</v>
      </c>
      <c r="J78" s="14">
        <v>3.1808011383724966E-8</v>
      </c>
      <c r="K78" s="14">
        <v>0</v>
      </c>
    </row>
    <row r="79" spans="1:11">
      <c r="A79" s="2" t="s">
        <v>510</v>
      </c>
      <c r="B79" s="3" t="s">
        <v>420</v>
      </c>
      <c r="D79" s="14">
        <v>6.6249926374825649E-18</v>
      </c>
      <c r="E79" s="14">
        <v>1.6494724434352245E-6</v>
      </c>
      <c r="F79" s="14">
        <v>3.7858169808764803E-5</v>
      </c>
      <c r="G79" s="14">
        <v>1.4606805254335857E-8</v>
      </c>
      <c r="H79" s="14">
        <v>0</v>
      </c>
      <c r="I79" s="14">
        <v>4.4594795862138781E-7</v>
      </c>
      <c r="J79" s="14">
        <v>3.18029839176293E-8</v>
      </c>
      <c r="K79" s="14">
        <v>0</v>
      </c>
    </row>
    <row r="80" spans="1:11">
      <c r="A80" s="2" t="s">
        <v>511</v>
      </c>
      <c r="B80" s="3" t="s">
        <v>421</v>
      </c>
      <c r="D80" s="14">
        <v>3.1277192662413656E-13</v>
      </c>
      <c r="E80" s="14">
        <v>2.6662904157813452E-5</v>
      </c>
      <c r="F80" s="14">
        <v>1.327706257065643E-5</v>
      </c>
      <c r="G80" s="14">
        <v>8.6829312255610198E-10</v>
      </c>
      <c r="H80" s="14">
        <v>0</v>
      </c>
      <c r="I80" s="14">
        <v>3.7217472184896208E-8</v>
      </c>
      <c r="J80" s="14">
        <v>2.194719345073778E-8</v>
      </c>
      <c r="K80" s="14">
        <v>0</v>
      </c>
    </row>
    <row r="81" spans="1:11">
      <c r="A81" s="2" t="s">
        <v>512</v>
      </c>
      <c r="B81" s="3" t="s">
        <v>422</v>
      </c>
      <c r="D81" s="14">
        <v>1.24011345122485E-13</v>
      </c>
      <c r="E81" s="14">
        <v>3.9030229456951206E-5</v>
      </c>
      <c r="F81" s="14">
        <v>9.4305203132598251E-7</v>
      </c>
      <c r="G81" s="14">
        <v>7.7072600736957968E-11</v>
      </c>
      <c r="H81" s="14">
        <v>0</v>
      </c>
      <c r="I81" s="14">
        <v>2.0003691153133213E-8</v>
      </c>
      <c r="J81" s="14">
        <v>6.6376239576084442E-9</v>
      </c>
      <c r="K81" s="14">
        <v>0</v>
      </c>
    </row>
    <row r="82" spans="1:11">
      <c r="A82" s="2" t="s">
        <v>513</v>
      </c>
      <c r="B82" s="3" t="s">
        <v>423</v>
      </c>
      <c r="D82" s="14">
        <v>3.9730943016121754E-17</v>
      </c>
      <c r="E82" s="14">
        <v>3.7560255487579416E-5</v>
      </c>
      <c r="F82" s="14">
        <v>2.4065954323851039E-6</v>
      </c>
      <c r="G82" s="14">
        <v>1.830200679578593E-10</v>
      </c>
      <c r="H82" s="14">
        <v>0</v>
      </c>
      <c r="I82" s="14">
        <v>2.2348827060422028E-8</v>
      </c>
      <c r="J82" s="14">
        <v>1.0617232867375975E-8</v>
      </c>
      <c r="K82" s="14">
        <v>0</v>
      </c>
    </row>
    <row r="83" spans="1:11">
      <c r="A83" s="2" t="s">
        <v>514</v>
      </c>
      <c r="B83" s="3" t="s">
        <v>424</v>
      </c>
      <c r="D83" s="14">
        <v>9.455812209668047E-14</v>
      </c>
      <c r="E83" s="14">
        <v>1.1198465719919316E-6</v>
      </c>
      <c r="F83" s="14">
        <v>3.7946617992587414E-5</v>
      </c>
      <c r="G83" s="14">
        <v>2.8127908100933279E-8</v>
      </c>
      <c r="H83" s="14">
        <v>0</v>
      </c>
      <c r="I83" s="14">
        <v>8.6658792134651981E-7</v>
      </c>
      <c r="J83" s="14">
        <v>3.8819511415086093E-8</v>
      </c>
      <c r="K83" s="14">
        <v>0</v>
      </c>
    </row>
    <row r="84" spans="1:11">
      <c r="A84" s="2" t="s">
        <v>403</v>
      </c>
      <c r="B84" s="3" t="s">
        <v>404</v>
      </c>
      <c r="D84" s="14">
        <v>2.7135651466029009E-48</v>
      </c>
      <c r="E84" s="14">
        <v>1.7293381287345086E-5</v>
      </c>
      <c r="F84" s="14">
        <v>1.8733307733403442E-6</v>
      </c>
      <c r="G84" s="14">
        <v>4.3342107277563474E-7</v>
      </c>
      <c r="H84" s="14">
        <v>0</v>
      </c>
      <c r="I84" s="14">
        <v>7.5236629200418694E-8</v>
      </c>
      <c r="J84" s="14">
        <v>2.0324630237338517E-5</v>
      </c>
      <c r="K84" s="14">
        <v>0</v>
      </c>
    </row>
    <row r="85" spans="1:11">
      <c r="A85" s="2" t="s">
        <v>405</v>
      </c>
      <c r="B85" s="3" t="s">
        <v>406</v>
      </c>
      <c r="D85" s="14">
        <v>1.7335410435817591E-12</v>
      </c>
      <c r="E85" s="14">
        <v>6.3482667439726107E-6</v>
      </c>
      <c r="F85" s="14">
        <v>9.9426242876694677E-6</v>
      </c>
      <c r="G85" s="14">
        <v>5.1978629076523499E-7</v>
      </c>
      <c r="H85" s="14">
        <v>0</v>
      </c>
      <c r="I85" s="14">
        <v>2.1233462355495806E-5</v>
      </c>
      <c r="J85" s="14">
        <v>1.9558585885558377E-6</v>
      </c>
      <c r="K85" s="14">
        <v>0</v>
      </c>
    </row>
    <row r="86" spans="1:11">
      <c r="A86" s="2" t="s">
        <v>407</v>
      </c>
      <c r="B86" s="3" t="s">
        <v>408</v>
      </c>
      <c r="D86" s="14">
        <v>6.0779280922066948E-9</v>
      </c>
      <c r="E86" s="14">
        <v>8.4092104659945183E-8</v>
      </c>
      <c r="F86" s="14">
        <v>4.0637761068083162E-6</v>
      </c>
      <c r="G86" s="14">
        <v>1.7263360030152447E-5</v>
      </c>
      <c r="H86" s="14">
        <v>0</v>
      </c>
      <c r="I86" s="14">
        <v>2.8559809341301343E-6</v>
      </c>
      <c r="J86" s="14">
        <v>1.5726712896156964E-5</v>
      </c>
      <c r="K86" s="14">
        <v>0</v>
      </c>
    </row>
    <row r="87" spans="1:11">
      <c r="A87" s="2" t="s">
        <v>409</v>
      </c>
      <c r="B87" s="3" t="s">
        <v>410</v>
      </c>
      <c r="D87" s="14">
        <v>8.4653687543902259E-10</v>
      </c>
      <c r="E87" s="14">
        <v>3.2778233554054947E-8</v>
      </c>
      <c r="F87" s="14">
        <v>2.4633158186660518E-6</v>
      </c>
      <c r="G87" s="14">
        <v>2.1928839612421479E-5</v>
      </c>
      <c r="H87" s="14">
        <v>0</v>
      </c>
      <c r="I87" s="14">
        <v>3.6582805137379145E-6</v>
      </c>
      <c r="J87" s="14">
        <v>1.1915939284745069E-5</v>
      </c>
      <c r="K87" s="14">
        <v>0</v>
      </c>
    </row>
    <row r="88" spans="1:11">
      <c r="A88" s="2" t="s">
        <v>301</v>
      </c>
      <c r="B88" s="3" t="s">
        <v>302</v>
      </c>
      <c r="D88" s="14">
        <v>1.1670242787835624E-10</v>
      </c>
      <c r="E88" s="14">
        <v>1.0269269603134413E-8</v>
      </c>
      <c r="F88" s="14">
        <v>1.2751289505749074E-6</v>
      </c>
      <c r="G88" s="14">
        <v>2.6329927390803659E-5</v>
      </c>
      <c r="H88" s="14">
        <v>0</v>
      </c>
      <c r="I88" s="14">
        <v>4.4346462233968048E-6</v>
      </c>
      <c r="J88" s="14">
        <v>7.9499114631936144E-6</v>
      </c>
      <c r="K88" s="14">
        <v>0</v>
      </c>
    </row>
    <row r="89" spans="1:11">
      <c r="A89" s="2" t="s">
        <v>303</v>
      </c>
      <c r="B89" s="3" t="s">
        <v>304</v>
      </c>
      <c r="D89" s="14">
        <v>8.9152417195752058E-18</v>
      </c>
      <c r="E89" s="14">
        <v>6.8761764520147271E-8</v>
      </c>
      <c r="F89" s="14">
        <v>7.8312327430847077E-7</v>
      </c>
      <c r="G89" s="14">
        <v>2.0367428819768237E-6</v>
      </c>
      <c r="H89" s="14">
        <v>0</v>
      </c>
      <c r="I89" s="14">
        <v>3.6252261953512583E-5</v>
      </c>
      <c r="J89" s="14">
        <v>8.5911012567306397E-7</v>
      </c>
      <c r="K89" s="14">
        <v>0</v>
      </c>
    </row>
    <row r="90" spans="1:11">
      <c r="A90" s="2" t="s">
        <v>425</v>
      </c>
      <c r="B90" s="3" t="s">
        <v>426</v>
      </c>
      <c r="D90" s="14">
        <v>6.3919577462604524E-18</v>
      </c>
      <c r="E90" s="14">
        <v>3.8974952455683994E-5</v>
      </c>
      <c r="F90" s="14">
        <v>3.6559491322666499E-9</v>
      </c>
      <c r="G90" s="14">
        <v>1.2275111096984189E-9</v>
      </c>
      <c r="H90" s="14">
        <v>0</v>
      </c>
      <c r="I90" s="14">
        <v>1.8001782112559129E-8</v>
      </c>
      <c r="J90" s="14">
        <v>1.0021623019550918E-6</v>
      </c>
      <c r="K90" s="14">
        <v>0</v>
      </c>
    </row>
    <row r="91" spans="1:11">
      <c r="A91" s="2" t="s">
        <v>427</v>
      </c>
      <c r="B91" s="3" t="s">
        <v>428</v>
      </c>
      <c r="D91" s="14">
        <v>3.5110369385421139E-9</v>
      </c>
      <c r="E91" s="14">
        <v>3.0629158346972789E-5</v>
      </c>
      <c r="F91" s="14">
        <v>2.3426618947321718E-7</v>
      </c>
      <c r="G91" s="14">
        <v>6.5887824604014613E-8</v>
      </c>
      <c r="H91" s="14">
        <v>0</v>
      </c>
      <c r="I91" s="14">
        <v>2.4066898317149365E-8</v>
      </c>
      <c r="J91" s="14">
        <v>9.0431097036942977E-6</v>
      </c>
      <c r="K91" s="14">
        <v>0</v>
      </c>
    </row>
    <row r="92" spans="1:11">
      <c r="A92" s="2" t="s">
        <v>429</v>
      </c>
      <c r="B92" s="3" t="s">
        <v>430</v>
      </c>
      <c r="D92" s="14">
        <v>4.2561886435011595E-8</v>
      </c>
      <c r="E92" s="14">
        <v>1.0724092050147025E-5</v>
      </c>
      <c r="F92" s="14">
        <v>4.0559732631290767E-6</v>
      </c>
      <c r="G92" s="14">
        <v>8.5583617360240481E-7</v>
      </c>
      <c r="H92" s="14">
        <v>0</v>
      </c>
      <c r="I92" s="14">
        <v>1.3892119959750039E-7</v>
      </c>
      <c r="J92" s="14">
        <v>2.4182615427088983E-5</v>
      </c>
      <c r="K92" s="14">
        <v>0</v>
      </c>
    </row>
    <row r="93" spans="1:11">
      <c r="A93" s="2" t="s">
        <v>431</v>
      </c>
      <c r="B93" s="3" t="s">
        <v>432</v>
      </c>
      <c r="D93" s="14">
        <v>4.8213591582291456E-22</v>
      </c>
      <c r="E93" s="14">
        <v>3.9958098878705522E-5</v>
      </c>
      <c r="F93" s="14">
        <v>1.7446542294913053E-8</v>
      </c>
      <c r="G93" s="14">
        <v>1.3977557549872026E-11</v>
      </c>
      <c r="H93" s="14">
        <v>0</v>
      </c>
      <c r="I93" s="14">
        <v>1.8320707165499718E-8</v>
      </c>
      <c r="J93" s="14">
        <v>6.1198942765202266E-9</v>
      </c>
      <c r="K93" s="14">
        <v>0</v>
      </c>
    </row>
    <row r="94" spans="1:11">
      <c r="A94" s="2" t="s">
        <v>433</v>
      </c>
      <c r="B94" s="3" t="s">
        <v>434</v>
      </c>
      <c r="D94" s="14">
        <v>1.0150519014894087E-22</v>
      </c>
      <c r="E94" s="14">
        <v>3.9981392285795464E-5</v>
      </c>
      <c r="F94" s="14">
        <v>6.7633593709409018E-11</v>
      </c>
      <c r="G94" s="14">
        <v>9.4375248029284026E-14</v>
      </c>
      <c r="H94" s="14">
        <v>0</v>
      </c>
      <c r="I94" s="14">
        <v>1.8385755568657221E-8</v>
      </c>
      <c r="J94" s="14">
        <v>1.5423066692463392E-10</v>
      </c>
      <c r="K94" s="14">
        <v>0</v>
      </c>
    </row>
    <row r="95" spans="1:11">
      <c r="A95" s="2" t="s">
        <v>435</v>
      </c>
      <c r="B95" s="3" t="s">
        <v>436</v>
      </c>
      <c r="D95" s="14">
        <v>5.4545087390053698E-13</v>
      </c>
      <c r="E95" s="14">
        <v>3.7642954981324843E-5</v>
      </c>
      <c r="F95" s="14">
        <v>1.4962392699697516E-8</v>
      </c>
      <c r="G95" s="14">
        <v>5.1895810037937143E-9</v>
      </c>
      <c r="H95" s="14">
        <v>0</v>
      </c>
      <c r="I95" s="14">
        <v>1.8190557478292849E-8</v>
      </c>
      <c r="J95" s="14">
        <v>2.3187019420425062E-6</v>
      </c>
      <c r="K95" s="14">
        <v>0</v>
      </c>
    </row>
    <row r="96" spans="1:11">
      <c r="A96" s="2" t="s">
        <v>437</v>
      </c>
      <c r="B96" s="163" t="s">
        <v>438</v>
      </c>
      <c r="D96" s="14">
        <v>1.0861787709590519E-11</v>
      </c>
      <c r="E96" s="14">
        <v>1.169609736345136E-7</v>
      </c>
      <c r="F96" s="14">
        <v>4.7948555184485584E-6</v>
      </c>
      <c r="G96" s="14">
        <v>1.546219267201197E-5</v>
      </c>
      <c r="H96" s="14">
        <v>0</v>
      </c>
      <c r="I96" s="14">
        <v>2.5500757129010499E-6</v>
      </c>
      <c r="J96" s="14">
        <v>1.7075904261216204E-5</v>
      </c>
      <c r="K96" s="14">
        <v>0</v>
      </c>
    </row>
    <row r="97" spans="1:11">
      <c r="A97" s="2" t="s">
        <v>439</v>
      </c>
      <c r="B97" s="3" t="s">
        <v>440</v>
      </c>
      <c r="D97" s="14">
        <v>1.8019060547766562E-9</v>
      </c>
      <c r="E97" s="14">
        <v>2.7196424361794519E-5</v>
      </c>
      <c r="F97" s="14">
        <v>4.6302704604367399E-7</v>
      </c>
      <c r="G97" s="14">
        <v>1.2277273052375391E-7</v>
      </c>
      <c r="H97" s="14">
        <v>0</v>
      </c>
      <c r="I97" s="14">
        <v>3.1282244887636484E-8</v>
      </c>
      <c r="J97" s="14">
        <v>1.2184691710695648E-5</v>
      </c>
      <c r="K97" s="14">
        <v>0</v>
      </c>
    </row>
    <row r="98" spans="1:11">
      <c r="A98" s="2" t="s">
        <v>441</v>
      </c>
      <c r="B98" s="3" t="s">
        <v>442</v>
      </c>
      <c r="D98" s="14">
        <v>1.1678705921753392E-21</v>
      </c>
      <c r="E98" s="14">
        <v>3.0042383604724979E-5</v>
      </c>
      <c r="F98" s="14">
        <v>2.6697398104224328E-7</v>
      </c>
      <c r="G98" s="14">
        <v>7.4261632647078216E-8</v>
      </c>
      <c r="H98" s="14">
        <v>0</v>
      </c>
      <c r="I98" s="14">
        <v>2.5088548264253672E-8</v>
      </c>
      <c r="J98" s="14">
        <v>9.5912922333214448E-6</v>
      </c>
      <c r="K98" s="14">
        <v>0</v>
      </c>
    </row>
    <row r="99" spans="1:11">
      <c r="A99" s="2" t="s">
        <v>443</v>
      </c>
      <c r="B99" s="3" t="s">
        <v>444</v>
      </c>
      <c r="D99" s="14">
        <v>1.7047960931759203E-33</v>
      </c>
      <c r="E99" s="14">
        <v>3.5153786108284574E-5</v>
      </c>
      <c r="F99" s="14">
        <v>5.9971740945178482E-8</v>
      </c>
      <c r="G99" s="14">
        <v>1.8838321816521053E-8</v>
      </c>
      <c r="H99" s="14">
        <v>0</v>
      </c>
      <c r="I99" s="14">
        <v>1.8921323877638618E-8</v>
      </c>
      <c r="J99" s="14">
        <v>4.7484825050760906E-6</v>
      </c>
      <c r="K99" s="14">
        <v>0</v>
      </c>
    </row>
    <row r="100" spans="1:11">
      <c r="A100" s="2" t="s">
        <v>445</v>
      </c>
      <c r="B100" s="3" t="s">
        <v>446</v>
      </c>
      <c r="D100" s="14">
        <v>9.4491964905904216E-12</v>
      </c>
      <c r="E100" s="14">
        <v>6.3708084070093825E-7</v>
      </c>
      <c r="F100" s="14">
        <v>9.9900829635174503E-6</v>
      </c>
      <c r="G100" s="14">
        <v>6.4382027649551888E-6</v>
      </c>
      <c r="H100" s="14">
        <v>0</v>
      </c>
      <c r="I100" s="14">
        <v>1.0430352415574536E-6</v>
      </c>
      <c r="J100" s="14">
        <v>2.1891588740072482E-5</v>
      </c>
      <c r="K100" s="14">
        <v>0</v>
      </c>
    </row>
    <row r="101" spans="1:11">
      <c r="A101" s="2" t="s">
        <v>447</v>
      </c>
      <c r="B101" s="3" t="s">
        <v>448</v>
      </c>
      <c r="D101" s="14">
        <v>3.2697181974787412E-13</v>
      </c>
      <c r="E101" s="14">
        <v>1.3091517447382487E-5</v>
      </c>
      <c r="F101" s="14">
        <v>3.0788217026652942E-6</v>
      </c>
      <c r="G101" s="14">
        <v>6.7279087822893944E-7</v>
      </c>
      <c r="H101" s="14">
        <v>0</v>
      </c>
      <c r="I101" s="14">
        <v>1.1101994547354606E-7</v>
      </c>
      <c r="J101" s="14">
        <v>2.3045849699277915E-5</v>
      </c>
      <c r="K101" s="14">
        <v>0</v>
      </c>
    </row>
    <row r="102" spans="1:11">
      <c r="A102" s="2" t="s">
        <v>449</v>
      </c>
      <c r="B102" s="3" t="s">
        <v>450</v>
      </c>
      <c r="D102" s="14">
        <v>2.5548273407317222E-8</v>
      </c>
      <c r="E102" s="14">
        <v>5.0717894930840708E-6</v>
      </c>
      <c r="F102" s="14">
        <v>8.3875625136653078E-6</v>
      </c>
      <c r="G102" s="14">
        <v>1.587564304288558E-6</v>
      </c>
      <c r="H102" s="14">
        <v>0</v>
      </c>
      <c r="I102" s="14">
        <v>2.5328568436807396E-7</v>
      </c>
      <c r="J102" s="14">
        <v>2.4674249731186683E-5</v>
      </c>
      <c r="K102" s="14">
        <v>0</v>
      </c>
    </row>
    <row r="103" spans="1:11">
      <c r="A103" s="2" t="s">
        <v>451</v>
      </c>
      <c r="B103" s="3" t="s">
        <v>452</v>
      </c>
      <c r="D103" s="14">
        <v>1.9366277699117224E-23</v>
      </c>
      <c r="E103" s="14">
        <v>3.9513282437342874E-5</v>
      </c>
      <c r="F103" s="14">
        <v>4.6231465364629636E-7</v>
      </c>
      <c r="G103" s="14">
        <v>4.4865536700668311E-11</v>
      </c>
      <c r="H103" s="14">
        <v>0</v>
      </c>
      <c r="I103" s="14">
        <v>1.9174514888480356E-8</v>
      </c>
      <c r="J103" s="14">
        <v>5.1835285856531534E-9</v>
      </c>
      <c r="K103" s="14">
        <v>0</v>
      </c>
    </row>
    <row r="104" spans="1:11">
      <c r="A104" s="2" t="s">
        <v>453</v>
      </c>
      <c r="B104" s="3" t="s">
        <v>454</v>
      </c>
      <c r="D104" s="14">
        <v>4.0716823591773886E-24</v>
      </c>
      <c r="E104" s="14">
        <v>4.0203057209891285E-6</v>
      </c>
      <c r="F104" s="14">
        <v>3.5601937243333677E-5</v>
      </c>
      <c r="G104" s="14">
        <v>3.7699820346753493E-8</v>
      </c>
      <c r="H104" s="14">
        <v>0</v>
      </c>
      <c r="I104" s="14">
        <v>8.9877605318016484E-8</v>
      </c>
      <c r="J104" s="14">
        <v>2.501796100124275E-7</v>
      </c>
      <c r="K104" s="14">
        <v>0</v>
      </c>
    </row>
    <row r="105" spans="1:11">
      <c r="A105" s="2" t="s">
        <v>455</v>
      </c>
      <c r="B105" s="163">
        <v>354656</v>
      </c>
      <c r="D105" s="14">
        <v>1.4705453805298481E-14</v>
      </c>
      <c r="E105" s="14">
        <v>3.8775561525327383E-5</v>
      </c>
      <c r="F105" s="14">
        <v>3.9206009979171338E-9</v>
      </c>
      <c r="G105" s="14">
        <v>1.5165202070474017E-9</v>
      </c>
      <c r="H105" s="14">
        <v>0</v>
      </c>
      <c r="I105" s="14">
        <v>1.795204540437453E-8</v>
      </c>
      <c r="J105" s="14">
        <v>1.201049293357832E-6</v>
      </c>
      <c r="K105" s="14">
        <v>0</v>
      </c>
    </row>
    <row r="106" spans="1:11">
      <c r="A106" s="2" t="s">
        <v>457</v>
      </c>
      <c r="B106" s="3" t="s">
        <v>458</v>
      </c>
      <c r="D106" s="14">
        <v>2.1874551908939719E-14</v>
      </c>
      <c r="E106" s="14">
        <v>3.7532121989298497E-5</v>
      </c>
      <c r="F106" s="14">
        <v>1.6223289023675784E-8</v>
      </c>
      <c r="G106" s="14">
        <v>5.6016297908926411E-9</v>
      </c>
      <c r="H106" s="14">
        <v>0</v>
      </c>
      <c r="I106" s="14">
        <v>1.8174098074347003E-8</v>
      </c>
      <c r="J106" s="14">
        <v>2.4278789719380468E-6</v>
      </c>
      <c r="K106" s="14">
        <v>0</v>
      </c>
    </row>
    <row r="107" spans="1:11">
      <c r="A107" s="2" t="s">
        <v>459</v>
      </c>
      <c r="B107" s="3" t="s">
        <v>460</v>
      </c>
      <c r="D107" s="14">
        <v>7.4857730624476943E-24</v>
      </c>
      <c r="E107" s="14">
        <v>3.4189154092302027E-6</v>
      </c>
      <c r="F107" s="14">
        <v>1.1602190718231614E-5</v>
      </c>
      <c r="G107" s="14">
        <v>2.0306178194922566E-6</v>
      </c>
      <c r="H107" s="14">
        <v>0</v>
      </c>
      <c r="I107" s="14">
        <v>5.8472199850133768E-7</v>
      </c>
      <c r="J107" s="14">
        <v>2.236355405454459E-5</v>
      </c>
      <c r="K107" s="14">
        <v>0</v>
      </c>
    </row>
    <row r="108" spans="1:11">
      <c r="A108" s="2" t="s">
        <v>461</v>
      </c>
      <c r="B108" s="3" t="s">
        <v>462</v>
      </c>
      <c r="D108" s="14">
        <v>4.3855612665979067E-14</v>
      </c>
      <c r="E108" s="14">
        <v>3.9979416504964047E-5</v>
      </c>
      <c r="F108" s="14">
        <v>3.5032551812868333E-11</v>
      </c>
      <c r="G108" s="14">
        <v>1.0153911052251028E-12</v>
      </c>
      <c r="H108" s="14">
        <v>0</v>
      </c>
      <c r="I108" s="14">
        <v>1.8332544740303758E-8</v>
      </c>
      <c r="J108" s="14">
        <v>2.2148584971209982E-9</v>
      </c>
      <c r="K108" s="14">
        <v>0</v>
      </c>
    </row>
    <row r="109" spans="1:11">
      <c r="A109" s="2" t="s">
        <v>463</v>
      </c>
      <c r="B109" s="3" t="s">
        <v>464</v>
      </c>
      <c r="D109" s="14">
        <v>1.1792517705043412E-16</v>
      </c>
      <c r="E109" s="14">
        <v>3.8772198452592264E-5</v>
      </c>
      <c r="F109" s="14">
        <v>2.4210488119777367E-7</v>
      </c>
      <c r="G109" s="14">
        <v>1.2033989312123604E-8</v>
      </c>
      <c r="H109" s="14">
        <v>0</v>
      </c>
      <c r="I109" s="14">
        <v>2.0890780551684292E-7</v>
      </c>
      <c r="J109" s="14">
        <v>7.6475487126307388E-7</v>
      </c>
      <c r="K109" s="14">
        <v>0</v>
      </c>
    </row>
    <row r="110" spans="1:11">
      <c r="A110" s="2" t="s">
        <v>465</v>
      </c>
      <c r="B110" s="3" t="s">
        <v>466</v>
      </c>
      <c r="D110" s="14">
        <v>8.328220903682034E-16</v>
      </c>
      <c r="E110" s="14">
        <v>3.9731392987504236E-5</v>
      </c>
      <c r="F110" s="14">
        <v>8.9604194922079487E-10</v>
      </c>
      <c r="G110" s="14">
        <v>1.7143317472460314E-10</v>
      </c>
      <c r="H110" s="14">
        <v>0</v>
      </c>
      <c r="I110" s="14">
        <v>1.8190612611690321E-8</v>
      </c>
      <c r="J110" s="14">
        <v>2.4934892392730256E-7</v>
      </c>
      <c r="K110" s="14">
        <v>0</v>
      </c>
    </row>
    <row r="111" spans="1:11">
      <c r="A111" s="2" t="s">
        <v>467</v>
      </c>
      <c r="B111" s="3" t="s">
        <v>468</v>
      </c>
      <c r="D111" s="14">
        <v>1.4800360844194488E-34</v>
      </c>
      <c r="E111" s="14">
        <v>3.9981434203084365E-5</v>
      </c>
      <c r="F111" s="14">
        <v>6.3663853047678792E-11</v>
      </c>
      <c r="G111" s="14">
        <v>5.2597471616404891E-14</v>
      </c>
      <c r="H111" s="14">
        <v>0</v>
      </c>
      <c r="I111" s="14">
        <v>1.8278168398429509E-8</v>
      </c>
      <c r="J111" s="14">
        <v>2.2391206669427207E-10</v>
      </c>
      <c r="K111" s="14">
        <v>0</v>
      </c>
    </row>
    <row r="112" spans="1:11">
      <c r="A112" s="2" t="s">
        <v>469</v>
      </c>
      <c r="B112" s="3" t="s">
        <v>470</v>
      </c>
      <c r="D112" s="14">
        <v>9.3563312898550007E-18</v>
      </c>
      <c r="E112" s="14">
        <v>3.9658406085557798E-5</v>
      </c>
      <c r="F112" s="14">
        <v>3.0901517409118022E-10</v>
      </c>
      <c r="G112" s="14">
        <v>1.443694696969134E-10</v>
      </c>
      <c r="H112" s="14">
        <v>0</v>
      </c>
      <c r="I112" s="14">
        <v>1.8151336499873529E-8</v>
      </c>
      <c r="J112" s="14">
        <v>3.2298919328919112E-7</v>
      </c>
      <c r="K112" s="14">
        <v>0</v>
      </c>
    </row>
    <row r="113" spans="1:11">
      <c r="A113" s="2" t="s">
        <v>471</v>
      </c>
      <c r="B113" s="3" t="s">
        <v>472</v>
      </c>
      <c r="D113" s="14">
        <v>1.1546005534885738E-13</v>
      </c>
      <c r="E113" s="14">
        <v>3.8153240123602174E-5</v>
      </c>
      <c r="F113" s="14">
        <v>8.8045259182277713E-9</v>
      </c>
      <c r="G113" s="14">
        <v>3.204804425132519E-9</v>
      </c>
      <c r="H113" s="14">
        <v>0</v>
      </c>
      <c r="I113" s="14">
        <v>1.7920975667171547E-8</v>
      </c>
      <c r="J113" s="14">
        <v>1.8168294549272487E-6</v>
      </c>
      <c r="K113" s="14">
        <v>0</v>
      </c>
    </row>
    <row r="114" spans="1:11">
      <c r="A114" s="2" t="s">
        <v>473</v>
      </c>
      <c r="B114" s="3" t="s">
        <v>474</v>
      </c>
      <c r="D114" s="14">
        <v>9.1835212919242333E-21</v>
      </c>
      <c r="E114" s="14">
        <v>3.981420333047123E-5</v>
      </c>
      <c r="F114" s="14">
        <v>8.9973078495787276E-11</v>
      </c>
      <c r="G114" s="14">
        <v>4.5329526663292098E-11</v>
      </c>
      <c r="H114" s="14">
        <v>0</v>
      </c>
      <c r="I114" s="14">
        <v>1.820802679285111E-8</v>
      </c>
      <c r="J114" s="14">
        <v>1.6745334013076151E-7</v>
      </c>
      <c r="K114" s="14">
        <v>0</v>
      </c>
    </row>
    <row r="115" spans="1:11">
      <c r="A115" s="2" t="s">
        <v>475</v>
      </c>
      <c r="B115" s="3" t="s">
        <v>476</v>
      </c>
      <c r="D115" s="14">
        <v>4.8693898584916203E-17</v>
      </c>
      <c r="E115" s="14">
        <v>3.9866554890238285E-5</v>
      </c>
      <c r="F115" s="14">
        <v>1.1214586308658536E-7</v>
      </c>
      <c r="G115" s="14">
        <v>1.3432817390708899E-11</v>
      </c>
      <c r="H115" s="14">
        <v>0</v>
      </c>
      <c r="I115" s="14">
        <v>1.8520911816849721E-8</v>
      </c>
      <c r="J115" s="14">
        <v>2.7649019922027417E-9</v>
      </c>
      <c r="K115" s="14">
        <v>0</v>
      </c>
    </row>
    <row r="116" spans="1:11">
      <c r="A116" s="2" t="s">
        <v>477</v>
      </c>
      <c r="B116" s="3" t="s">
        <v>478</v>
      </c>
      <c r="D116" s="14">
        <v>4.6543069743171378E-21</v>
      </c>
      <c r="E116" s="14">
        <v>1.8606462695534801E-5</v>
      </c>
      <c r="F116" s="14">
        <v>1.1366356485011733E-5</v>
      </c>
      <c r="G116" s="14">
        <v>2.7529910102754382E-7</v>
      </c>
      <c r="H116" s="14">
        <v>0</v>
      </c>
      <c r="I116" s="14">
        <v>7.0941115419381015E-6</v>
      </c>
      <c r="J116" s="14">
        <v>2.6577701764878237E-6</v>
      </c>
      <c r="K116" s="14">
        <v>0</v>
      </c>
    </row>
    <row r="117" spans="1:11">
      <c r="A117" s="2" t="s">
        <v>291</v>
      </c>
      <c r="B117" s="3" t="s">
        <v>479</v>
      </c>
      <c r="D117" s="14">
        <v>1.4529716129497506E-14</v>
      </c>
      <c r="E117" s="14">
        <v>2.3401128099350997E-5</v>
      </c>
      <c r="F117" s="14">
        <v>8.4358984738235763E-7</v>
      </c>
      <c r="G117" s="14">
        <v>2.1165420430283781E-7</v>
      </c>
      <c r="H117" s="14">
        <v>0</v>
      </c>
      <c r="I117" s="14">
        <v>4.334830333861404E-8</v>
      </c>
      <c r="J117" s="14">
        <v>1.5500279531095479E-5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F6538-D02F-4E67-B154-D995B548B0BD}">
  <dimension ref="A1:D117"/>
  <sheetViews>
    <sheetView tabSelected="1" topLeftCell="A91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1.7992964993424017E-8</v>
      </c>
      <c r="B2">
        <f>'Mass Balance'!E2</f>
        <v>3.9046712388880232E-5</v>
      </c>
      <c r="C2">
        <f>SUM('Mass Balance'!E2:H2)</f>
        <v>3.9050067583410907E-5</v>
      </c>
      <c r="D2">
        <f>Concentrations!F2/Concentrations!E2</f>
        <v>1.0003040382004162</v>
      </c>
    </row>
    <row r="3" spans="1:4">
      <c r="A3">
        <f>'Mass Balance'!I3</f>
        <v>7.37729746707938E-8</v>
      </c>
      <c r="B3">
        <f>'Mass Balance'!E3</f>
        <v>2.3594980003818179E-5</v>
      </c>
      <c r="C3">
        <f>SUM('Mass Balance'!E3:H3)</f>
        <v>2.4755998945461424E-5</v>
      </c>
      <c r="D3">
        <f>Concentrations!F3/Concentrations!E3</f>
        <v>0.95347321310179411</v>
      </c>
    </row>
    <row r="4" spans="1:4">
      <c r="A4">
        <f>'Mass Balance'!I4</f>
        <v>2.045593361871784E-8</v>
      </c>
      <c r="B4">
        <f>'Mass Balance'!E4</f>
        <v>3.9977037928837371E-5</v>
      </c>
      <c r="C4">
        <f>SUM('Mass Balance'!E4:H4)</f>
        <v>3.9978721002705994E-5</v>
      </c>
      <c r="D4">
        <f>Concentrations!F4/Concentrations!E4</f>
        <v>1.0003478763736684</v>
      </c>
    </row>
    <row r="5" spans="1:4">
      <c r="A5">
        <f>'Mass Balance'!I5</f>
        <v>2.3314988650050807E-8</v>
      </c>
      <c r="B5">
        <f>'Mass Balance'!E5</f>
        <v>3.6925694909190158E-5</v>
      </c>
      <c r="C5">
        <f>SUM('Mass Balance'!E5:H5)</f>
        <v>3.9964044179725551E-5</v>
      </c>
      <c r="D5">
        <f>Concentrations!F5/Concentrations!E5</f>
        <v>0.9243332699250012</v>
      </c>
    </row>
    <row r="6" spans="1:4">
      <c r="A6">
        <f>'Mass Balance'!I6</f>
        <v>2.9003117657778807E-8</v>
      </c>
      <c r="B6">
        <f>'Mass Balance'!E6</f>
        <v>3.3040287285179087E-5</v>
      </c>
      <c r="C6">
        <f>SUM('Mass Balance'!E6:H6)</f>
        <v>3.9899342371895691E-5</v>
      </c>
      <c r="D6">
        <f>Concentrations!F6/Concentrations!E6</f>
        <v>0.82841397299118724</v>
      </c>
    </row>
    <row r="7" spans="1:4">
      <c r="A7">
        <f>'Mass Balance'!I7</f>
        <v>4.7239726656930825E-8</v>
      </c>
      <c r="B7">
        <f>'Mass Balance'!E7</f>
        <v>2.1511566395166385E-5</v>
      </c>
      <c r="C7">
        <f>SUM('Mass Balance'!E7:H7)</f>
        <v>3.9210607683507266E-5</v>
      </c>
      <c r="D7">
        <f>Concentrations!F7/Concentrations!E7</f>
        <v>0.54882994694728249</v>
      </c>
    </row>
    <row r="8" spans="1:4">
      <c r="A8">
        <f>'Mass Balance'!I8</f>
        <v>3.3131087362969393E-8</v>
      </c>
      <c r="B8">
        <f>'Mass Balance'!E8</f>
        <v>2.9930565306822173E-5</v>
      </c>
      <c r="C8">
        <f>SUM('Mass Balance'!E8:H8)</f>
        <v>3.9921715904828636E-5</v>
      </c>
      <c r="D8">
        <f>Concentrations!F8/Concentrations!E8</f>
        <v>0.75002382313076277</v>
      </c>
    </row>
    <row r="9" spans="1:4">
      <c r="A9">
        <f>'Mass Balance'!I9</f>
        <v>2.2342436599489162E-8</v>
      </c>
      <c r="B9">
        <f>'Mass Balance'!E9</f>
        <v>3.7576436970807344E-5</v>
      </c>
      <c r="C9">
        <f>SUM('Mass Balance'!E9:H9)</f>
        <v>3.9925500308326934E-5</v>
      </c>
      <c r="D9">
        <f>Concentrations!F9/Concentrations!E9</f>
        <v>0.94153088105625038</v>
      </c>
    </row>
    <row r="10" spans="1:4">
      <c r="A10">
        <f>'Mass Balance'!I10</f>
        <v>3.9636160399004263E-7</v>
      </c>
      <c r="B10">
        <f>'Mass Balance'!E10</f>
        <v>1.9717381151298489E-6</v>
      </c>
      <c r="C10">
        <f>SUM('Mass Balance'!E10:H10)</f>
        <v>1.8634088950464343E-5</v>
      </c>
      <c r="D10">
        <f>Concentrations!F10/Concentrations!E10</f>
        <v>0.10585476341410865</v>
      </c>
    </row>
    <row r="11" spans="1:4">
      <c r="A11">
        <f>'Mass Balance'!I11</f>
        <v>4.1269014597425308E-6</v>
      </c>
      <c r="B11">
        <f>'Mass Balance'!E11</f>
        <v>1.9159815892043569E-7</v>
      </c>
      <c r="C11">
        <f>SUM('Mass Balance'!E11:H11)</f>
        <v>3.0338923585214418E-5</v>
      </c>
      <c r="D11">
        <f>Concentrations!F11/Concentrations!E11</f>
        <v>6.3177218577935863E-3</v>
      </c>
    </row>
    <row r="12" spans="1:4">
      <c r="A12">
        <f>'Mass Balance'!I12</f>
        <v>1.6847542367499808E-8</v>
      </c>
      <c r="B12">
        <f>'Mass Balance'!E12</f>
        <v>3.682822938006283E-5</v>
      </c>
      <c r="C12">
        <f>SUM('Mass Balance'!E12:H12)</f>
        <v>3.6828383670246886E-5</v>
      </c>
      <c r="D12">
        <f>Concentrations!F12/Concentrations!E12</f>
        <v>1.000385800963896</v>
      </c>
    </row>
    <row r="13" spans="1:4">
      <c r="A13">
        <f>'Mass Balance'!I13</f>
        <v>3.7758392736632571E-8</v>
      </c>
      <c r="B13">
        <f>'Mass Balance'!E13</f>
        <v>2.4975914050956751E-5</v>
      </c>
      <c r="C13">
        <f>SUM('Mass Balance'!E13:H13)</f>
        <v>2.5813945092374466E-5</v>
      </c>
      <c r="D13">
        <f>Concentrations!F13/Concentrations!E13</f>
        <v>0.96791305509794801</v>
      </c>
    </row>
    <row r="14" spans="1:4">
      <c r="A14">
        <f>'Mass Balance'!I14</f>
        <v>1.3501856481505349E-7</v>
      </c>
      <c r="B14">
        <f>'Mass Balance'!E14</f>
        <v>3.2427562593961805E-6</v>
      </c>
      <c r="C14">
        <f>SUM('Mass Balance'!E14:H14)</f>
        <v>3.9578052207257275E-5</v>
      </c>
      <c r="D14">
        <f>Concentrations!F14/Concentrations!E14</f>
        <v>8.1965148045166039E-2</v>
      </c>
    </row>
    <row r="15" spans="1:4">
      <c r="A15">
        <f>'Mass Balance'!I15</f>
        <v>1.7943298332155341E-8</v>
      </c>
      <c r="B15">
        <f>'Mass Balance'!E15</f>
        <v>3.1210139391177116E-5</v>
      </c>
      <c r="C15">
        <f>SUM('Mass Balance'!E15:H15)</f>
        <v>3.131380620938208E-5</v>
      </c>
      <c r="D15">
        <f>Concentrations!F15/Concentrations!E15</f>
        <v>0.99707812228781301</v>
      </c>
    </row>
    <row r="16" spans="1:4">
      <c r="A16">
        <f>'Mass Balance'!I16</f>
        <v>4.1325986584196861E-8</v>
      </c>
      <c r="B16">
        <f>'Mass Balance'!E16</f>
        <v>2.3913781097288543E-5</v>
      </c>
      <c r="C16">
        <f>SUM('Mass Balance'!E16:H16)</f>
        <v>2.4890946534113164E-5</v>
      </c>
      <c r="D16">
        <f>Concentrations!F16/Concentrations!E16</f>
        <v>0.96111681605375676</v>
      </c>
    </row>
    <row r="17" spans="1:4">
      <c r="A17">
        <f>'Mass Balance'!I17</f>
        <v>3.8958339702329686E-8</v>
      </c>
      <c r="B17">
        <f>'Mass Balance'!E17</f>
        <v>2.4529461535057824E-5</v>
      </c>
      <c r="C17">
        <f>SUM('Mass Balance'!E17:H17)</f>
        <v>2.5415633212656364E-5</v>
      </c>
      <c r="D17">
        <f>Concentrations!F17/Concentrations!E17</f>
        <v>0.96550920546992725</v>
      </c>
    </row>
    <row r="18" spans="1:4">
      <c r="A18">
        <f>'Mass Balance'!I18</f>
        <v>2.359203574344586E-6</v>
      </c>
      <c r="B18">
        <f>'Mass Balance'!E18</f>
        <v>1.4316040271337951E-7</v>
      </c>
      <c r="C18">
        <f>SUM('Mass Balance'!E18:H18)</f>
        <v>1.9765803820300257E-5</v>
      </c>
      <c r="D18">
        <f>Concentrations!F18/Concentrations!E18</f>
        <v>7.2456569655418761E-3</v>
      </c>
    </row>
    <row r="19" spans="1:4">
      <c r="A19">
        <f>'Mass Balance'!I19</f>
        <v>1.7915359750013923E-8</v>
      </c>
      <c r="B19">
        <f>'Mass Balance'!E19</f>
        <v>3.6400045619102087E-5</v>
      </c>
      <c r="C19">
        <f>SUM('Mass Balance'!E19:H19)</f>
        <v>3.6433759704641252E-5</v>
      </c>
      <c r="D19">
        <f>Concentrations!F19/Concentrations!E19</f>
        <v>0.99946427824493811</v>
      </c>
    </row>
    <row r="20" spans="1:4">
      <c r="A20">
        <f>'Mass Balance'!I20</f>
        <v>1.81674145840763E-8</v>
      </c>
      <c r="B20">
        <f>'Mass Balance'!E20</f>
        <v>3.4944265720769657E-5</v>
      </c>
      <c r="C20">
        <f>SUM('Mass Balance'!E20:H20)</f>
        <v>3.5004058021419875E-5</v>
      </c>
      <c r="D20">
        <f>Concentrations!F20/Concentrations!E20</f>
        <v>0.99868117247035759</v>
      </c>
    </row>
    <row r="21" spans="1:4">
      <c r="A21">
        <f>'Mass Balance'!I21</f>
        <v>1.0253565595570708E-7</v>
      </c>
      <c r="B21">
        <f>'Mass Balance'!E21</f>
        <v>1.6385892208675311E-5</v>
      </c>
      <c r="C21">
        <f>SUM('Mass Balance'!E21:H21)</f>
        <v>2.9050946295128955E-5</v>
      </c>
      <c r="D21">
        <f>Concentrations!F21/Concentrations!E21</f>
        <v>0.56425984921748729</v>
      </c>
    </row>
    <row r="22" spans="1:4">
      <c r="A22">
        <f>'Mass Balance'!I22</f>
        <v>1.6771381174289388E-8</v>
      </c>
      <c r="B22">
        <f>'Mass Balance'!E22</f>
        <v>3.6180962219039346E-5</v>
      </c>
      <c r="C22">
        <f>SUM('Mass Balance'!E22:H22)</f>
        <v>3.6186557744249761E-5</v>
      </c>
      <c r="D22">
        <f>Concentrations!F22/Concentrations!E22</f>
        <v>1.0002353017912216</v>
      </c>
    </row>
    <row r="23" spans="1:4">
      <c r="A23">
        <f>'Mass Balance'!I23</f>
        <v>1.995914325271357E-8</v>
      </c>
      <c r="B23">
        <f>'Mass Balance'!E23</f>
        <v>3.0092419623089239E-5</v>
      </c>
      <c r="C23">
        <f>SUM('Mass Balance'!E23:H23)</f>
        <v>3.0272733544828206E-5</v>
      </c>
      <c r="D23">
        <f>Concentrations!F23/Concentrations!E23</f>
        <v>0.99443135462023413</v>
      </c>
    </row>
    <row r="24" spans="1:4">
      <c r="A24">
        <f>'Mass Balance'!I24</f>
        <v>5.5957139323159617E-8</v>
      </c>
      <c r="B24">
        <f>'Mass Balance'!E24</f>
        <v>2.0466000570969023E-5</v>
      </c>
      <c r="C24">
        <f>SUM('Mass Balance'!E24:H24)</f>
        <v>2.2014429094159208E-5</v>
      </c>
      <c r="D24">
        <f>Concentrations!F24/Concentrations!E24</f>
        <v>0.93002557825139109</v>
      </c>
    </row>
    <row r="25" spans="1:4">
      <c r="A25">
        <f>'Mass Balance'!I25</f>
        <v>2.0785873117008466E-6</v>
      </c>
      <c r="B25">
        <f>'Mass Balance'!E25</f>
        <v>1.9194508806335138E-7</v>
      </c>
      <c r="C25">
        <f>SUM('Mass Balance'!E25:H25)</f>
        <v>1.892592288316528E-5</v>
      </c>
      <c r="D25">
        <f>Concentrations!F25/Concentrations!E25</f>
        <v>1.0145869572868194E-2</v>
      </c>
    </row>
    <row r="26" spans="1:4">
      <c r="A26">
        <f>'Mass Balance'!I26</f>
        <v>9.3170890777629098E-8</v>
      </c>
      <c r="B26">
        <f>'Mass Balance'!E26</f>
        <v>9.4081475976069291E-6</v>
      </c>
      <c r="C26">
        <f>SUM('Mass Balance'!E26:H26)</f>
        <v>1.2612594993617989E-5</v>
      </c>
      <c r="D26">
        <f>Concentrations!F26/Concentrations!E26</f>
        <v>0.74622365222951759</v>
      </c>
    </row>
    <row r="27" spans="1:4">
      <c r="A27">
        <f>'Mass Balance'!I27</f>
        <v>4.2394577589837472E-8</v>
      </c>
      <c r="B27">
        <f>'Mass Balance'!E27</f>
        <v>8.8905926038482105E-7</v>
      </c>
      <c r="C27">
        <f>SUM('Mass Balance'!E27:H27)</f>
        <v>2.5533260786768459E-6</v>
      </c>
      <c r="D27">
        <f>Concentrations!F27/Concentrations!E27</f>
        <v>0.34833231597096381</v>
      </c>
    </row>
    <row r="28" spans="1:4">
      <c r="A28">
        <f>'Mass Balance'!I28</f>
        <v>1.7669750623233315E-8</v>
      </c>
      <c r="B28">
        <f>'Mass Balance'!E28</f>
        <v>1.3336638400844227E-6</v>
      </c>
      <c r="C28">
        <f>SUM('Mass Balance'!E28:H28)</f>
        <v>1.9597701286703126E-6</v>
      </c>
      <c r="D28">
        <f>Concentrations!F28/Concentrations!E28</f>
        <v>0.68078594465769404</v>
      </c>
    </row>
    <row r="29" spans="1:4">
      <c r="A29">
        <f>'Mass Balance'!I29</f>
        <v>1.2750586507934998E-9</v>
      </c>
      <c r="B29">
        <f>'Mass Balance'!E29</f>
        <v>2.3771771123765399E-6</v>
      </c>
      <c r="C29">
        <f>SUM('Mass Balance'!E29:H29)</f>
        <v>2.3823771019071296E-6</v>
      </c>
      <c r="D29">
        <f>Concentrations!F29/Concentrations!E29</f>
        <v>0.99820645128398888</v>
      </c>
    </row>
    <row r="30" spans="1:4">
      <c r="A30">
        <f>'Mass Balance'!I30</f>
        <v>6.2509927280071438E-9</v>
      </c>
      <c r="B30">
        <f>'Mass Balance'!E30</f>
        <v>5.0474123340245911E-7</v>
      </c>
      <c r="C30">
        <f>SUM('Mass Balance'!E30:H30)</f>
        <v>7.2478494910158187E-7</v>
      </c>
      <c r="D30">
        <f>Concentrations!F30/Concentrations!E30</f>
        <v>0.69667296359957631</v>
      </c>
    </row>
    <row r="31" spans="1:4">
      <c r="A31">
        <f>'Mass Balance'!I31</f>
        <v>1.0759447999312711E-10</v>
      </c>
      <c r="B31">
        <f>'Mass Balance'!E31</f>
        <v>1.7988132205675714E-8</v>
      </c>
      <c r="C31">
        <f>SUM('Mass Balance'!E31:H31)</f>
        <v>2.1461713553221059E-8</v>
      </c>
      <c r="D31">
        <f>Concentrations!F31/Concentrations!E31</f>
        <v>0.83847673156790326</v>
      </c>
    </row>
    <row r="32" spans="1:4">
      <c r="A32">
        <f>'Mass Balance'!I32</f>
        <v>3.4181542875812487E-8</v>
      </c>
      <c r="B32">
        <f>'Mass Balance'!E32</f>
        <v>2.6050847260374076E-5</v>
      </c>
      <c r="C32">
        <f>SUM('Mass Balance'!E32:H32)</f>
        <v>2.6751173041492392E-5</v>
      </c>
      <c r="D32">
        <f>Concentrations!F32/Concentrations!E32</f>
        <v>0.97420052731428097</v>
      </c>
    </row>
    <row r="33" spans="1:4">
      <c r="A33">
        <f>'Mass Balance'!I33</f>
        <v>2.4392271820292069E-8</v>
      </c>
      <c r="B33">
        <f>'Mass Balance'!E33</f>
        <v>3.0435503684129201E-5</v>
      </c>
      <c r="C33">
        <f>SUM('Mass Balance'!E33:H33)</f>
        <v>3.0748802583520203E-5</v>
      </c>
      <c r="D33">
        <f>Concentrations!F33/Concentrations!E33</f>
        <v>0.99019703955724403</v>
      </c>
    </row>
    <row r="34" spans="1:4">
      <c r="A34">
        <f>'Mass Balance'!I34</f>
        <v>1.1236384434319671E-7</v>
      </c>
      <c r="B34">
        <f>'Mass Balance'!E34</f>
        <v>1.2960632703453648E-5</v>
      </c>
      <c r="C34">
        <f>SUM('Mass Balance'!E34:H34)</f>
        <v>1.6767527184245047E-5</v>
      </c>
      <c r="D34">
        <f>Concentrations!F34/Concentrations!E34</f>
        <v>0.7732617400586479</v>
      </c>
    </row>
    <row r="35" spans="1:4">
      <c r="A35">
        <f>'Mass Balance'!I35</f>
        <v>3.0163692766853697E-7</v>
      </c>
      <c r="B35">
        <f>'Mass Balance'!E35</f>
        <v>3.1572497590538296E-6</v>
      </c>
      <c r="C35">
        <f>SUM('Mass Balance'!E35:H35)</f>
        <v>1.5563985634492876E-5</v>
      </c>
      <c r="D35">
        <f>Concentrations!F35/Concentrations!E35</f>
        <v>0.20293523365319427</v>
      </c>
    </row>
    <row r="36" spans="1:4">
      <c r="A36">
        <f>'Mass Balance'!I36</f>
        <v>8.2767826863654735E-7</v>
      </c>
      <c r="B36">
        <f>'Mass Balance'!E36</f>
        <v>8.6431546433697947E-7</v>
      </c>
      <c r="C36">
        <f>SUM('Mass Balance'!E36:H36)</f>
        <v>1.709753887381488E-5</v>
      </c>
      <c r="D36">
        <f>Concentrations!F36/Concentrations!E36</f>
        <v>5.0571754617127318E-2</v>
      </c>
    </row>
    <row r="37" spans="1:4">
      <c r="A37">
        <f>'Mass Balance'!I37</f>
        <v>2.2506211327343861E-6</v>
      </c>
      <c r="B37">
        <f>'Mass Balance'!E37</f>
        <v>1.5346643960937383E-7</v>
      </c>
      <c r="C37">
        <f>SUM('Mass Balance'!E37:H37)</f>
        <v>1.9268147786144578E-5</v>
      </c>
      <c r="D37">
        <f>Concentrations!F37/Concentrations!E37</f>
        <v>7.9678800475457261E-3</v>
      </c>
    </row>
    <row r="38" spans="1:4">
      <c r="A38">
        <f>'Mass Balance'!I38</f>
        <v>1.2469809130040956E-6</v>
      </c>
      <c r="B38">
        <f>'Mass Balance'!E38</f>
        <v>4.8900981218067193E-7</v>
      </c>
      <c r="C38">
        <f>SUM('Mass Balance'!E38:H38)</f>
        <v>1.7202358087181051E-5</v>
      </c>
      <c r="D38">
        <f>Concentrations!F38/Concentrations!E38</f>
        <v>2.8437992026032605E-2</v>
      </c>
    </row>
    <row r="39" spans="1:4">
      <c r="A39">
        <f>'Mass Balance'!I39</f>
        <v>8.2773256051670554E-7</v>
      </c>
      <c r="B39">
        <f>'Mass Balance'!E39</f>
        <v>6.5341008452036592E-7</v>
      </c>
      <c r="C39">
        <f>SUM('Mass Balance'!E39:H39)</f>
        <v>1.5086734780796338E-5</v>
      </c>
      <c r="D39">
        <f>Concentrations!F39/Concentrations!E39</f>
        <v>4.3327129345484813E-2</v>
      </c>
    </row>
    <row r="40" spans="1:4">
      <c r="A40">
        <f>'Mass Balance'!I40</f>
        <v>1.2469809130040956E-6</v>
      </c>
      <c r="B40">
        <f>'Mass Balance'!E40</f>
        <v>4.8900981218067193E-7</v>
      </c>
      <c r="C40">
        <f>SUM('Mass Balance'!E40:H40)</f>
        <v>1.7202358087181051E-5</v>
      </c>
      <c r="D40">
        <f>Concentrations!F40/Concentrations!E40</f>
        <v>2.8437992026032605E-2</v>
      </c>
    </row>
    <row r="41" spans="1:4">
      <c r="A41">
        <f>'Mass Balance'!I41</f>
        <v>1.8673262234774281E-8</v>
      </c>
      <c r="B41">
        <f>'Mass Balance'!E41</f>
        <v>3.9784575381618501E-5</v>
      </c>
      <c r="C41">
        <f>SUM('Mass Balance'!E41:H41)</f>
        <v>3.9973832670266652E-5</v>
      </c>
      <c r="D41">
        <f>Concentrations!F41/Concentrations!E41</f>
        <v>0.99565361613967029</v>
      </c>
    </row>
    <row r="42" spans="1:4">
      <c r="A42">
        <f>'Mass Balance'!I42</f>
        <v>2.3139909405094517E-6</v>
      </c>
      <c r="B42">
        <f>'Mass Balance'!E42</f>
        <v>1.4041682477972507E-7</v>
      </c>
      <c r="C42">
        <f>SUM('Mass Balance'!E42:H42)</f>
        <v>1.9387004779682231E-5</v>
      </c>
      <c r="D42">
        <f>Concentrations!F42/Concentrations!E42</f>
        <v>7.245656965541877E-3</v>
      </c>
    </row>
    <row r="43" spans="1:4">
      <c r="A43">
        <f>'Mass Balance'!I43</f>
        <v>6.053907020777149E-8</v>
      </c>
      <c r="B43">
        <f>'Mass Balance'!E43</f>
        <v>1.9680039303134804E-5</v>
      </c>
      <c r="C43">
        <f>SUM('Mass Balance'!E43:H43)</f>
        <v>2.140633410260508E-5</v>
      </c>
      <c r="D43">
        <f>Concentrations!F43/Concentrations!E43</f>
        <v>0.91971442972599604</v>
      </c>
    </row>
    <row r="44" spans="1:4">
      <c r="A44">
        <f>'Mass Balance'!I44</f>
        <v>5.8952408239567284E-7</v>
      </c>
      <c r="B44">
        <f>'Mass Balance'!E44</f>
        <v>1.2979374627635179E-6</v>
      </c>
      <c r="C44">
        <f>SUM('Mass Balance'!E44:H44)</f>
        <v>1.76091008867687E-5</v>
      </c>
      <c r="D44">
        <f>Concentrations!F44/Concentrations!E44</f>
        <v>7.3737078138436093E-2</v>
      </c>
    </row>
    <row r="45" spans="1:4">
      <c r="A45">
        <f>'Mass Balance'!I45</f>
        <v>3.0175839539113751E-6</v>
      </c>
      <c r="B45">
        <f>'Mass Balance'!E45</f>
        <v>7.0363693953861396E-8</v>
      </c>
      <c r="C45">
        <f>SUM('Mass Balance'!E45:H45)</f>
        <v>2.1988591051940677E-5</v>
      </c>
      <c r="D45">
        <f>Concentrations!F45/Concentrations!E45</f>
        <v>3.2012571914110171E-3</v>
      </c>
    </row>
    <row r="46" spans="1:4">
      <c r="A46">
        <f>'Mass Balance'!I46</f>
        <v>2.4540145569826992E-6</v>
      </c>
      <c r="B46">
        <f>'Mass Balance'!E46</f>
        <v>1.2946429761323903E-7</v>
      </c>
      <c r="C46">
        <f>SUM('Mass Balance'!E46:H46)</f>
        <v>2.0062535666570595E-5</v>
      </c>
      <c r="D46">
        <f>Concentrations!F46/Concentrations!E46</f>
        <v>6.4555542634555894E-3</v>
      </c>
    </row>
    <row r="47" spans="1:4">
      <c r="A47">
        <f>'Mass Balance'!I47</f>
        <v>1.7859365727354086E-6</v>
      </c>
      <c r="B47">
        <f>'Mass Balance'!E47</f>
        <v>2.629550581723848E-7</v>
      </c>
      <c r="C47">
        <f>SUM('Mass Balance'!E47:H47)</f>
        <v>1.8172400346997044E-5</v>
      </c>
      <c r="D47">
        <f>Concentrations!F47/Concentrations!E47</f>
        <v>1.4475666589305136E-2</v>
      </c>
    </row>
    <row r="48" spans="1:4">
      <c r="A48">
        <f>'Mass Balance'!I48</f>
        <v>2.1059018936019629E-7</v>
      </c>
      <c r="B48">
        <f>'Mass Balance'!E48</f>
        <v>6.6869413801458032E-6</v>
      </c>
      <c r="C48">
        <f>SUM('Mass Balance'!E48:H48)</f>
        <v>1.4710572084221832E-5</v>
      </c>
      <c r="D48">
        <f>Concentrations!F48/Concentrations!E48</f>
        <v>0.45474432916135366</v>
      </c>
    </row>
    <row r="49" spans="1:4">
      <c r="A49">
        <f>'Mass Balance'!I49</f>
        <v>6.2983096760948201E-7</v>
      </c>
      <c r="B49">
        <f>'Mass Balance'!E49</f>
        <v>1.205734112921067E-6</v>
      </c>
      <c r="C49">
        <f>SUM('Mass Balance'!E49:H49)</f>
        <v>1.7492552627492691E-5</v>
      </c>
      <c r="D49">
        <f>Concentrations!F49/Concentrations!E49</f>
        <v>6.895530717026728E-2</v>
      </c>
    </row>
    <row r="50" spans="1:4">
      <c r="A50">
        <f>'Mass Balance'!I50</f>
        <v>7.0108206180977217E-7</v>
      </c>
      <c r="B50">
        <f>'Mass Balance'!E50</f>
        <v>1.0630951565847039E-6</v>
      </c>
      <c r="C50">
        <f>SUM('Mass Balance'!E50:H50)</f>
        <v>1.730964945350793E-5</v>
      </c>
      <c r="D50">
        <f>Concentrations!F50/Concentrations!E50</f>
        <v>6.1440282663387712E-2</v>
      </c>
    </row>
    <row r="51" spans="1:4">
      <c r="A51">
        <f>'Mass Balance'!I51</f>
        <v>2.5562517452970866E-7</v>
      </c>
      <c r="B51">
        <f>'Mass Balance'!E51</f>
        <v>5.0016815730056911E-6</v>
      </c>
      <c r="C51">
        <f>SUM('Mass Balance'!E51:H51)</f>
        <v>1.5085058971790391E-5</v>
      </c>
      <c r="D51">
        <f>Concentrations!F51/Concentrations!E51</f>
        <v>0.33169457264537161</v>
      </c>
    </row>
    <row r="52" spans="1:4">
      <c r="A52">
        <f>'Mass Balance'!I52</f>
        <v>2.1467576077007078E-7</v>
      </c>
      <c r="B52">
        <f>'Mass Balance'!E52</f>
        <v>6.5102904734120644E-6</v>
      </c>
      <c r="C52">
        <f>SUM('Mass Balance'!E52:H52)</f>
        <v>1.4717614019562396E-5</v>
      </c>
      <c r="D52">
        <f>Concentrations!F52/Concentrations!E52</f>
        <v>0.4425193802597488</v>
      </c>
    </row>
    <row r="53" spans="1:4">
      <c r="A53">
        <f>'Mass Balance'!I53</f>
        <v>9.6420030565948139E-7</v>
      </c>
      <c r="B53">
        <f>'Mass Balance'!E53</f>
        <v>7.0971200804857183E-7</v>
      </c>
      <c r="C53">
        <f>SUM('Mass Balance'!E53:H53)</f>
        <v>1.7052984060071513E-5</v>
      </c>
      <c r="D53">
        <f>Concentrations!F53/Concentrations!E53</f>
        <v>4.1634284508650317E-2</v>
      </c>
    </row>
    <row r="54" spans="1:4">
      <c r="A54">
        <f>'Mass Balance'!I54</f>
        <v>6.6481419959498963E-7</v>
      </c>
      <c r="B54">
        <f>'Mass Balance'!E54</f>
        <v>1.1327082391442498E-6</v>
      </c>
      <c r="C54">
        <f>SUM('Mass Balance'!E54:H54)</f>
        <v>1.7398999851304939E-5</v>
      </c>
      <c r="D54">
        <f>Concentrations!F54/Concentrations!E54</f>
        <v>6.512730593821664E-2</v>
      </c>
    </row>
    <row r="55" spans="1:4">
      <c r="A55">
        <f>'Mass Balance'!I55</f>
        <v>1.7554888220827707E-6</v>
      </c>
      <c r="B55">
        <f>'Mass Balance'!E55</f>
        <v>2.708156966575135E-7</v>
      </c>
      <c r="C55">
        <f>SUM('Mass Balance'!E55:H55)</f>
        <v>1.8083006656603213E-5</v>
      </c>
      <c r="D55">
        <f>Concentrations!F55/Concentrations!E55</f>
        <v>1.4982094392090273E-2</v>
      </c>
    </row>
    <row r="56" spans="1:4">
      <c r="A56">
        <f>'Mass Balance'!I56</f>
        <v>6.0285701124547893E-7</v>
      </c>
      <c r="B56">
        <f>'Mass Balance'!E56</f>
        <v>1.2668520137769882E-6</v>
      </c>
      <c r="C56">
        <f>SUM('Mass Balance'!E56:H56)</f>
        <v>1.7572691178067821E-5</v>
      </c>
      <c r="D56">
        <f>Concentrations!F56/Concentrations!E56</f>
        <v>7.2120204192343509E-2</v>
      </c>
    </row>
    <row r="57" spans="1:4">
      <c r="A57">
        <f>'Mass Balance'!I57</f>
        <v>1.9106326606664347E-7</v>
      </c>
      <c r="B57">
        <f>'Mass Balance'!E57</f>
        <v>7.4587117301371163E-6</v>
      </c>
      <c r="C57">
        <f>SUM('Mass Balance'!E57:H57)</f>
        <v>1.4624389892703512E-5</v>
      </c>
      <c r="D57">
        <f>Concentrations!F57/Concentrations!E57</f>
        <v>0.51021756278682484</v>
      </c>
    </row>
    <row r="58" spans="1:4">
      <c r="A58">
        <f>'Mass Balance'!I58</f>
        <v>6.7199427447025084E-7</v>
      </c>
      <c r="B58">
        <f>'Mass Balance'!E58</f>
        <v>1.1185639246445152E-6</v>
      </c>
      <c r="C58">
        <f>SUM('Mass Balance'!E58:H58)</f>
        <v>1.7381535684979551E-5</v>
      </c>
      <c r="D58">
        <f>Concentrations!F58/Concentrations!E58</f>
        <v>6.4378670328433418E-2</v>
      </c>
    </row>
    <row r="59" spans="1:4">
      <c r="A59">
        <f>'Mass Balance'!I59</f>
        <v>2.1475767038339789E-7</v>
      </c>
      <c r="B59">
        <f>'Mass Balance'!E59</f>
        <v>6.5127744770714042E-6</v>
      </c>
      <c r="C59">
        <f>SUM('Mass Balance'!E59:H59)</f>
        <v>1.4723229530457134E-5</v>
      </c>
      <c r="D59">
        <f>Concentrations!F59/Concentrations!E59</f>
        <v>0.44251938025974874</v>
      </c>
    </row>
    <row r="60" spans="1:4">
      <c r="A60">
        <f>'Mass Balance'!I60</f>
        <v>8.7951984659883207E-7</v>
      </c>
      <c r="B60">
        <f>'Mass Balance'!E60</f>
        <v>7.9854751028286298E-7</v>
      </c>
      <c r="C60">
        <f>SUM('Mass Balance'!E60:H60)</f>
        <v>1.7049952796228094E-5</v>
      </c>
      <c r="D60">
        <f>Concentrations!F60/Concentrations!E60</f>
        <v>4.685402634239362E-2</v>
      </c>
    </row>
    <row r="61" spans="1:4">
      <c r="A61">
        <f>'Mass Balance'!I61</f>
        <v>8.3000245142536194E-7</v>
      </c>
      <c r="B61">
        <f>'Mass Balance'!E61</f>
        <v>2.0711063533856865E-5</v>
      </c>
      <c r="C61">
        <f>SUM('Mass Balance'!E61:H61)</f>
        <v>2.4589595167066653E-5</v>
      </c>
      <c r="D61">
        <f>Concentrations!F61/Concentrations!E61</f>
        <v>0.84259787698378019</v>
      </c>
    </row>
    <row r="62" spans="1:4">
      <c r="A62">
        <f>'Mass Balance'!I62</f>
        <v>1.0702109982893658E-7</v>
      </c>
      <c r="B62">
        <f>'Mass Balance'!E62</f>
        <v>1.3481963294999701E-5</v>
      </c>
      <c r="C62">
        <f>SUM('Mass Balance'!E62:H62)</f>
        <v>1.7069798717765865E-5</v>
      </c>
      <c r="D62">
        <f>Concentrations!F62/Concentrations!E62</f>
        <v>0.79012186237772697</v>
      </c>
    </row>
    <row r="63" spans="1:4">
      <c r="A63">
        <f>'Mass Balance'!I63</f>
        <v>9.3712007382185221E-8</v>
      </c>
      <c r="B63">
        <f>'Mass Balance'!E63</f>
        <v>3.8110695121403979E-5</v>
      </c>
      <c r="C63">
        <f>SUM('Mass Balance'!E63:H63)</f>
        <v>3.8259392222279633E-5</v>
      </c>
      <c r="D63">
        <f>Concentrations!F63/Concentrations!E63</f>
        <v>0.99650192474120614</v>
      </c>
    </row>
    <row r="64" spans="1:4">
      <c r="A64">
        <f>'Mass Balance'!I64</f>
        <v>1.8397260661535411E-8</v>
      </c>
      <c r="B64">
        <f>'Mass Balance'!E64</f>
        <v>3.9757049069233071E-5</v>
      </c>
      <c r="C64">
        <f>SUM('Mass Balance'!E64:H64)</f>
        <v>3.9806658887826533E-5</v>
      </c>
      <c r="D64">
        <f>Concentrations!F64/Concentrations!E64</f>
        <v>0.99914323665702398</v>
      </c>
    </row>
    <row r="65" spans="1:4">
      <c r="A65">
        <f>'Mass Balance'!I65</f>
        <v>2.4987455168219135E-8</v>
      </c>
      <c r="B65">
        <f>'Mass Balance'!E65</f>
        <v>3.9891062023641473E-5</v>
      </c>
      <c r="C65">
        <f>SUM('Mass Balance'!E65:H65)</f>
        <v>3.9897706722114743E-5</v>
      </c>
      <c r="D65">
        <f>Concentrations!F65/Concentrations!E65</f>
        <v>1.0002233837153989</v>
      </c>
    </row>
    <row r="66" spans="1:4">
      <c r="A66">
        <f>'Mass Balance'!I66</f>
        <v>7.7529394324102297E-7</v>
      </c>
      <c r="B66">
        <f>'Mass Balance'!E66</f>
        <v>3.7394165843100085E-5</v>
      </c>
      <c r="C66">
        <f>SUM('Mass Balance'!E66:H66)</f>
        <v>3.8389007796380323E-5</v>
      </c>
      <c r="D66">
        <f>Concentrations!F66/Concentrations!E66</f>
        <v>0.97446512471319247</v>
      </c>
    </row>
    <row r="67" spans="1:4">
      <c r="A67">
        <f>'Mass Balance'!I67</f>
        <v>2.3835562057916346E-8</v>
      </c>
      <c r="B67">
        <f>'Mass Balance'!E67</f>
        <v>3.9883598574066836E-5</v>
      </c>
      <c r="C67">
        <f>SUM('Mass Balance'!E67:H67)</f>
        <v>3.9889255147902464E-5</v>
      </c>
      <c r="D67">
        <f>Concentrations!F67/Concentrations!E67</f>
        <v>1.0002481297752626</v>
      </c>
    </row>
    <row r="68" spans="1:4">
      <c r="A68">
        <f>'Mass Balance'!I68</f>
        <v>1.9001400425126906E-8</v>
      </c>
      <c r="B68">
        <f>'Mass Balance'!E68</f>
        <v>3.9945202134849323E-5</v>
      </c>
      <c r="C68">
        <f>SUM('Mass Balance'!E68:H68)</f>
        <v>3.9945889114838386E-5</v>
      </c>
      <c r="D68">
        <f>Concentrations!F68/Concentrations!E68</f>
        <v>1.0003727875631208</v>
      </c>
    </row>
    <row r="69" spans="1:4">
      <c r="A69">
        <f>'Mass Balance'!I69</f>
        <v>5.3801409227914273E-7</v>
      </c>
      <c r="B69">
        <f>'Mass Balance'!E69</f>
        <v>1.4372544693710444E-6</v>
      </c>
      <c r="C69">
        <f>SUM('Mass Balance'!E69:H69)</f>
        <v>1.7817942105473053E-5</v>
      </c>
      <c r="D69">
        <f>Concentrations!F69/Concentrations!E69</f>
        <v>8.0694783867548553E-2</v>
      </c>
    </row>
    <row r="70" spans="1:4">
      <c r="A70">
        <f>'Mass Balance'!I70</f>
        <v>1.8544199052864638E-8</v>
      </c>
      <c r="B70">
        <f>'Mass Balance'!E70</f>
        <v>3.9855208345562513E-5</v>
      </c>
      <c r="C70">
        <f>SUM('Mass Balance'!E70:H70)</f>
        <v>3.99791282033991E-5</v>
      </c>
      <c r="D70">
        <f>Concentrations!F70/Concentrations!E70</f>
        <v>0.99728916940116097</v>
      </c>
    </row>
    <row r="71" spans="1:4">
      <c r="A71">
        <f>'Mass Balance'!I71</f>
        <v>1.8761667013975295E-8</v>
      </c>
      <c r="B71">
        <f>'Mass Balance'!E71</f>
        <v>3.9741239295835464E-5</v>
      </c>
      <c r="C71">
        <f>SUM('Mass Balance'!E71:H71)</f>
        <v>3.9977970454195547E-5</v>
      </c>
      <c r="D71">
        <f>Concentrations!F71/Concentrations!E71</f>
        <v>0.99446614250097487</v>
      </c>
    </row>
    <row r="72" spans="1:4">
      <c r="A72">
        <f>'Mass Balance'!I72</f>
        <v>5.3295157784740503E-7</v>
      </c>
      <c r="B72">
        <f>'Mass Balance'!E72</f>
        <v>1.4893952055056572E-6</v>
      </c>
      <c r="C72">
        <f>SUM('Mass Balance'!E72:H72)</f>
        <v>3.9433465201629998E-5</v>
      </c>
      <c r="D72">
        <f>Concentrations!F72/Concentrations!E72</f>
        <v>3.7784558119696512E-2</v>
      </c>
    </row>
    <row r="73" spans="1:4">
      <c r="A73">
        <f>'Mass Balance'!I73</f>
        <v>5.4080286575284075E-8</v>
      </c>
      <c r="B73">
        <f>'Mass Balance'!E73</f>
        <v>1.0909077218259437E-5</v>
      </c>
      <c r="C73">
        <f>SUM('Mass Balance'!E73:H73)</f>
        <v>3.9924417611059807E-5</v>
      </c>
      <c r="D73">
        <f>Concentrations!F73/Concentrations!E73</f>
        <v>0.27334980256430963</v>
      </c>
    </row>
    <row r="74" spans="1:4">
      <c r="A74">
        <f>'Mass Balance'!I74</f>
        <v>1.8719285505773625E-8</v>
      </c>
      <c r="B74">
        <f>'Mass Balance'!E74</f>
        <v>3.9763866743462699E-5</v>
      </c>
      <c r="C74">
        <f>SUM('Mass Balance'!E74:H74)</f>
        <v>3.9978186792353228E-5</v>
      </c>
      <c r="D74">
        <f>Concentrations!F74/Concentrations!E74</f>
        <v>0.99502697662021289</v>
      </c>
    </row>
    <row r="75" spans="1:4">
      <c r="A75">
        <f>'Mass Balance'!I75</f>
        <v>5.2830706837418386E-8</v>
      </c>
      <c r="B75">
        <f>'Mass Balance'!E75</f>
        <v>1.2350545419294171E-5</v>
      </c>
      <c r="C75">
        <f>SUM('Mass Balance'!E75:H75)</f>
        <v>3.9924948317809675E-5</v>
      </c>
      <c r="D75">
        <f>Concentrations!F75/Concentrations!E75</f>
        <v>0.30946469699293006</v>
      </c>
    </row>
    <row r="76" spans="1:4">
      <c r="A76">
        <f>'Mass Balance'!I76</f>
        <v>2.5285000127474916E-8</v>
      </c>
      <c r="B76">
        <f>'Mass Balance'!E76</f>
        <v>3.5591272482602825E-5</v>
      </c>
      <c r="C76">
        <f>SUM('Mass Balance'!E76:H76)</f>
        <v>3.9960550175361856E-5</v>
      </c>
      <c r="D76">
        <f>Concentrations!F76/Concentrations!E76</f>
        <v>0.89100757219607429</v>
      </c>
    </row>
    <row r="77" spans="1:4">
      <c r="A77">
        <f>'Mass Balance'!I77</f>
        <v>5.3742322193493966E-8</v>
      </c>
      <c r="B77">
        <f>'Mass Balance'!E77</f>
        <v>1.1310061645826558E-5</v>
      </c>
      <c r="C77">
        <f>SUM('Mass Balance'!E77:H77)</f>
        <v>3.9924471562335017E-5</v>
      </c>
      <c r="D77">
        <f>Concentrations!F77/Concentrations!E77</f>
        <v>0.28339692516937942</v>
      </c>
    </row>
    <row r="78" spans="1:4">
      <c r="A78">
        <f>'Mass Balance'!I78</f>
        <v>4.4594822479876801E-7</v>
      </c>
      <c r="B78">
        <f>'Mass Balance'!E78</f>
        <v>1.6494721150053107E-6</v>
      </c>
      <c r="C78">
        <f>SUM('Mass Balance'!E78:H78)</f>
        <v>3.9522243500071864E-5</v>
      </c>
      <c r="D78">
        <f>Concentrations!F78/Concentrations!E78</f>
        <v>4.1751561901800523E-2</v>
      </c>
    </row>
    <row r="79" spans="1:4">
      <c r="A79">
        <f>'Mass Balance'!I79</f>
        <v>4.4594795862138781E-7</v>
      </c>
      <c r="B79">
        <f>'Mass Balance'!E79</f>
        <v>1.6494724434352245E-6</v>
      </c>
      <c r="C79">
        <f>SUM('Mass Balance'!E79:H79)</f>
        <v>3.9522249057454367E-5</v>
      </c>
      <c r="D79">
        <f>Concentrations!F79/Concentrations!E79</f>
        <v>4.1751564344186823E-2</v>
      </c>
    </row>
    <row r="80" spans="1:4">
      <c r="A80">
        <f>'Mass Balance'!I80</f>
        <v>3.7217472184896208E-8</v>
      </c>
      <c r="B80">
        <f>'Mass Balance'!E80</f>
        <v>2.6662904157813452E-5</v>
      </c>
      <c r="C80">
        <f>SUM('Mass Balance'!E80:H80)</f>
        <v>3.994083502159244E-5</v>
      </c>
      <c r="D80">
        <f>Concentrations!F80/Concentrations!E80</f>
        <v>0.66782035136800788</v>
      </c>
    </row>
    <row r="81" spans="1:4">
      <c r="A81">
        <f>'Mass Balance'!I81</f>
        <v>2.0003691153133213E-8</v>
      </c>
      <c r="B81">
        <f>'Mass Balance'!E81</f>
        <v>3.9030229456951206E-5</v>
      </c>
      <c r="C81">
        <f>SUM('Mass Balance'!E81:H81)</f>
        <v>3.9973358560877927E-5</v>
      </c>
      <c r="D81">
        <f>Concentrations!F81/Concentrations!E81</f>
        <v>0.97678684857263509</v>
      </c>
    </row>
    <row r="82" spans="1:4">
      <c r="A82">
        <f>'Mass Balance'!I82</f>
        <v>2.2348827060422028E-8</v>
      </c>
      <c r="B82">
        <f>'Mass Balance'!E82</f>
        <v>3.7560255487579416E-5</v>
      </c>
      <c r="C82">
        <f>SUM('Mass Balance'!E82:H82)</f>
        <v>3.9967033940032478E-5</v>
      </c>
      <c r="D82">
        <f>Concentrations!F82/Concentrations!E82</f>
        <v>0.94014741610326813</v>
      </c>
    </row>
    <row r="83" spans="1:4">
      <c r="A83">
        <f>'Mass Balance'!I83</f>
        <v>8.6658792134651981E-7</v>
      </c>
      <c r="B83">
        <f>'Mass Balance'!E83</f>
        <v>1.1198465719919316E-6</v>
      </c>
      <c r="C83">
        <f>SUM('Mass Balance'!E83:H83)</f>
        <v>3.909459247268028E-5</v>
      </c>
      <c r="D83">
        <f>Concentrations!F83/Concentrations!E83</f>
        <v>2.8655709968526479E-2</v>
      </c>
    </row>
    <row r="84" spans="1:4">
      <c r="A84">
        <f>'Mass Balance'!I84</f>
        <v>7.5236629200418694E-8</v>
      </c>
      <c r="B84">
        <f>'Mass Balance'!E84</f>
        <v>1.7293381287345086E-5</v>
      </c>
      <c r="C84">
        <f>SUM('Mass Balance'!E84:H84)</f>
        <v>1.9600133133461065E-5</v>
      </c>
      <c r="D84">
        <f>Concentrations!F84/Concentrations!E84</f>
        <v>0.88265347232576219</v>
      </c>
    </row>
    <row r="85" spans="1:4">
      <c r="A85">
        <f>'Mass Balance'!I85</f>
        <v>2.1233462355495806E-5</v>
      </c>
      <c r="B85">
        <f>'Mass Balance'!E85</f>
        <v>6.3482667439726107E-6</v>
      </c>
      <c r="C85">
        <f>SUM('Mass Balance'!E85:H85)</f>
        <v>1.6810677322407315E-5</v>
      </c>
      <c r="D85">
        <f>Concentrations!F85/Concentrations!E85</f>
        <v>0.37778028782758005</v>
      </c>
    </row>
    <row r="86" spans="1:4">
      <c r="A86">
        <f>'Mass Balance'!I86</f>
        <v>2.8559809341301343E-6</v>
      </c>
      <c r="B86">
        <f>'Mass Balance'!E86</f>
        <v>8.4092104659945183E-8</v>
      </c>
      <c r="C86">
        <f>SUM('Mass Balance'!E86:H86)</f>
        <v>2.1411228241620708E-5</v>
      </c>
      <c r="D86">
        <f>Concentrations!F86/Concentrations!E86</f>
        <v>3.9290086006088304E-3</v>
      </c>
    </row>
    <row r="87" spans="1:4">
      <c r="A87">
        <f>'Mass Balance'!I87</f>
        <v>3.6582805137379145E-6</v>
      </c>
      <c r="B87">
        <f>'Mass Balance'!E87</f>
        <v>3.2778233554054947E-8</v>
      </c>
      <c r="C87">
        <f>SUM('Mass Balance'!E87:H87)</f>
        <v>2.4424933664641587E-5</v>
      </c>
      <c r="D87">
        <f>Concentrations!F87/Concentrations!E87</f>
        <v>1.3425222460896706E-3</v>
      </c>
    </row>
    <row r="88" spans="1:4">
      <c r="A88">
        <f>'Mass Balance'!I88</f>
        <v>4.4346462233968048E-6</v>
      </c>
      <c r="B88">
        <f>'Mass Balance'!E88</f>
        <v>1.0269269603134413E-8</v>
      </c>
      <c r="C88">
        <f>SUM('Mass Balance'!E88:H88)</f>
        <v>2.7615325610981702E-5</v>
      </c>
      <c r="D88">
        <f>Concentrations!F88/Concentrations!E88</f>
        <v>3.7201352181030864E-4</v>
      </c>
    </row>
    <row r="89" spans="1:4">
      <c r="A89">
        <f>'Mass Balance'!I89</f>
        <v>3.6252261953512583E-5</v>
      </c>
      <c r="B89">
        <f>'Mass Balance'!E89</f>
        <v>6.8761764520147271E-8</v>
      </c>
      <c r="C89">
        <f>SUM('Mass Balance'!E89:H89)</f>
        <v>2.8886279208054417E-6</v>
      </c>
      <c r="D89">
        <f>Concentrations!F89/Concentrations!E89</f>
        <v>2.3813583108137883E-2</v>
      </c>
    </row>
    <row r="90" spans="1:4">
      <c r="A90">
        <f>'Mass Balance'!I90</f>
        <v>1.8001782112559129E-8</v>
      </c>
      <c r="B90">
        <f>'Mass Balance'!E90</f>
        <v>3.8974952455683994E-5</v>
      </c>
      <c r="C90">
        <f>SUM('Mass Balance'!E90:H90)</f>
        <v>3.8979835915925957E-5</v>
      </c>
      <c r="D90">
        <f>Concentrations!F90/Concentrations!E90</f>
        <v>1.0002646614722241</v>
      </c>
    </row>
    <row r="91" spans="1:4">
      <c r="A91">
        <f>'Mass Balance'!I91</f>
        <v>2.4066898317149365E-8</v>
      </c>
      <c r="B91">
        <f>'Mass Balance'!E91</f>
        <v>3.0629158346972789E-5</v>
      </c>
      <c r="C91">
        <f>SUM('Mass Balance'!E91:H91)</f>
        <v>3.0929312361050025E-5</v>
      </c>
      <c r="D91">
        <f>Concentrations!F91/Concentrations!E91</f>
        <v>0.99068169111119364</v>
      </c>
    </row>
    <row r="92" spans="1:4">
      <c r="A92">
        <f>'Mass Balance'!I92</f>
        <v>1.3892119959750039E-7</v>
      </c>
      <c r="B92">
        <f>'Mass Balance'!E92</f>
        <v>1.0724092050147025E-5</v>
      </c>
      <c r="C92">
        <f>SUM('Mass Balance'!E92:H92)</f>
        <v>1.5635901486878505E-5</v>
      </c>
      <c r="D92">
        <f>Concentrations!F92/Concentrations!E92</f>
        <v>0.68613084890735798</v>
      </c>
    </row>
    <row r="93" spans="1:4">
      <c r="A93">
        <f>'Mass Balance'!I93</f>
        <v>1.8320707165499718E-8</v>
      </c>
      <c r="B93">
        <f>'Mass Balance'!E93</f>
        <v>3.9958098878705522E-5</v>
      </c>
      <c r="C93">
        <f>SUM('Mass Balance'!E93:H93)</f>
        <v>3.9975559398557982E-5</v>
      </c>
      <c r="D93">
        <f>Concentrations!F93/Concentrations!E93</f>
        <v>0.99995304181843969</v>
      </c>
    </row>
    <row r="94" spans="1:4">
      <c r="A94">
        <f>'Mass Balance'!I94</f>
        <v>1.8385755568657221E-8</v>
      </c>
      <c r="B94">
        <f>'Mass Balance'!E94</f>
        <v>3.9981392285795464E-5</v>
      </c>
      <c r="C94">
        <f>SUM('Mass Balance'!E94:H94)</f>
        <v>3.9981460013764421E-5</v>
      </c>
      <c r="D94">
        <f>Concentrations!F94/Concentrations!E94</f>
        <v>1.0003882973894691</v>
      </c>
    </row>
    <row r="95" spans="1:4">
      <c r="A95">
        <f>'Mass Balance'!I95</f>
        <v>1.8190557478292849E-8</v>
      </c>
      <c r="B95">
        <f>'Mass Balance'!E95</f>
        <v>3.7642954981324843E-5</v>
      </c>
      <c r="C95">
        <f>SUM('Mass Balance'!E95:H95)</f>
        <v>3.7663106955028332E-5</v>
      </c>
      <c r="D95">
        <f>Concentrations!F95/Concentrations!E95</f>
        <v>0.99985472464838165</v>
      </c>
    </row>
    <row r="96" spans="1:4">
      <c r="A96">
        <f>'Mass Balance'!I96</f>
        <v>2.5500757129010499E-6</v>
      </c>
      <c r="B96">
        <f>'Mass Balance'!E96</f>
        <v>1.169609736345136E-7</v>
      </c>
      <c r="C96">
        <f>SUM('Mass Balance'!E96:H96)</f>
        <v>2.0374009164095042E-5</v>
      </c>
      <c r="D96">
        <f>Concentrations!F96/Concentrations!E96</f>
        <v>5.742933879149207E-3</v>
      </c>
    </row>
    <row r="97" spans="1:4">
      <c r="A97">
        <f>'Mass Balance'!I97</f>
        <v>3.1282244887636484E-8</v>
      </c>
      <c r="B97">
        <f>'Mass Balance'!E97</f>
        <v>2.7196424361794519E-5</v>
      </c>
      <c r="C97">
        <f>SUM('Mass Balance'!E97:H97)</f>
        <v>2.7782224138361946E-5</v>
      </c>
      <c r="D97">
        <f>Concentrations!F97/Concentrations!E97</f>
        <v>0.97929635205464505</v>
      </c>
    </row>
    <row r="98" spans="1:4">
      <c r="A98">
        <f>'Mass Balance'!I98</f>
        <v>2.5088548264253672E-8</v>
      </c>
      <c r="B98">
        <f>'Mass Balance'!E98</f>
        <v>3.0042383604724979E-5</v>
      </c>
      <c r="C98">
        <f>SUM('Mass Balance'!E98:H98)</f>
        <v>3.03836192184143E-5</v>
      </c>
      <c r="D98">
        <f>Concentrations!F98/Concentrations!E98</f>
        <v>0.98915470467762667</v>
      </c>
    </row>
    <row r="99" spans="1:4">
      <c r="A99">
        <f>'Mass Balance'!I99</f>
        <v>1.8921323877638618E-8</v>
      </c>
      <c r="B99">
        <f>'Mass Balance'!E99</f>
        <v>3.5153786108284574E-5</v>
      </c>
      <c r="C99">
        <f>SUM('Mass Balance'!E99:H99)</f>
        <v>3.523259617104627E-5</v>
      </c>
      <c r="D99">
        <f>Concentrations!F99/Concentrations!E99</f>
        <v>0.99815226882852792</v>
      </c>
    </row>
    <row r="100" spans="1:4">
      <c r="A100">
        <f>'Mass Balance'!I100</f>
        <v>1.0430352415574536E-6</v>
      </c>
      <c r="B100">
        <f>'Mass Balance'!E100</f>
        <v>6.3708084070093825E-7</v>
      </c>
      <c r="C100">
        <f>SUM('Mass Balance'!E100:H100)</f>
        <v>1.7065366569173579E-5</v>
      </c>
      <c r="D100">
        <f>Concentrations!F100/Concentrations!E100</f>
        <v>3.7346358460614341E-2</v>
      </c>
    </row>
    <row r="101" spans="1:4">
      <c r="A101">
        <f>'Mass Balance'!I101</f>
        <v>1.1101994547354606E-7</v>
      </c>
      <c r="B101">
        <f>'Mass Balance'!E101</f>
        <v>1.3091517447382487E-5</v>
      </c>
      <c r="C101">
        <f>SUM('Mass Balance'!E101:H101)</f>
        <v>1.6843130028276721E-5</v>
      </c>
      <c r="D101">
        <f>Concentrations!F101/Concentrations!E101</f>
        <v>0.7775646814410051</v>
      </c>
    </row>
    <row r="102" spans="1:4">
      <c r="A102">
        <f>'Mass Balance'!I102</f>
        <v>2.5328568436807396E-7</v>
      </c>
      <c r="B102">
        <f>'Mass Balance'!E102</f>
        <v>5.0717894930840708E-6</v>
      </c>
      <c r="C102">
        <f>SUM('Mass Balance'!E102:H102)</f>
        <v>1.5046916311037937E-5</v>
      </c>
      <c r="D102">
        <f>Concentrations!F102/Concentrations!E102</f>
        <v>0.33719649566104476</v>
      </c>
    </row>
    <row r="103" spans="1:4">
      <c r="A103">
        <f>'Mass Balance'!I103</f>
        <v>1.9174514888480356E-8</v>
      </c>
      <c r="B103">
        <f>'Mass Balance'!E103</f>
        <v>3.9513282437342874E-5</v>
      </c>
      <c r="C103">
        <f>SUM('Mass Balance'!E103:H103)</f>
        <v>3.997564195652587E-5</v>
      </c>
      <c r="D103">
        <f>Concentrations!F103/Concentrations!E103</f>
        <v>0.98881945024768436</v>
      </c>
    </row>
    <row r="104" spans="1:4">
      <c r="A104">
        <f>'Mass Balance'!I104</f>
        <v>8.9877605318016484E-8</v>
      </c>
      <c r="B104">
        <f>'Mass Balance'!E104</f>
        <v>4.0203057209891285E-6</v>
      </c>
      <c r="C104">
        <f>SUM('Mass Balance'!E104:H104)</f>
        <v>3.9659942784669561E-5</v>
      </c>
      <c r="D104">
        <f>Concentrations!F104/Concentrations!E104</f>
        <v>0.10140896143075608</v>
      </c>
    </row>
    <row r="105" spans="1:4">
      <c r="A105">
        <f>'Mass Balance'!I105</f>
        <v>1.795204540437453E-8</v>
      </c>
      <c r="B105">
        <f>'Mass Balance'!E105</f>
        <v>3.8775561525327383E-5</v>
      </c>
      <c r="C105">
        <f>SUM('Mass Balance'!E105:H105)</f>
        <v>3.8780998646532349E-5</v>
      </c>
      <c r="D105">
        <f>Concentrations!F105/Concentrations!E105</f>
        <v>1.0002497367076915</v>
      </c>
    </row>
    <row r="106" spans="1:4">
      <c r="A106">
        <f>'Mass Balance'!I106</f>
        <v>1.8174098074347003E-8</v>
      </c>
      <c r="B106">
        <f>'Mass Balance'!E106</f>
        <v>3.7532121989298497E-5</v>
      </c>
      <c r="C106">
        <f>SUM('Mass Balance'!E106:H106)</f>
        <v>3.7553946908113068E-5</v>
      </c>
      <c r="D106">
        <f>Concentrations!F106/Concentrations!E106</f>
        <v>0.99980860360114354</v>
      </c>
    </row>
    <row r="107" spans="1:4">
      <c r="A107">
        <f>'Mass Balance'!I107</f>
        <v>5.8472199850133768E-7</v>
      </c>
      <c r="B107">
        <f>'Mass Balance'!E107</f>
        <v>3.4189154092302027E-6</v>
      </c>
      <c r="C107">
        <f>SUM('Mass Balance'!E107:H107)</f>
        <v>1.7051723946954074E-5</v>
      </c>
      <c r="D107">
        <f>Concentrations!F107/Concentrations!E107</f>
        <v>0.20058081925595378</v>
      </c>
    </row>
    <row r="108" spans="1:4">
      <c r="A108">
        <f>'Mass Balance'!I108</f>
        <v>1.8332544740303758E-8</v>
      </c>
      <c r="B108">
        <f>'Mass Balance'!E108</f>
        <v>3.9979416504964047E-5</v>
      </c>
      <c r="C108">
        <f>SUM('Mass Balance'!E108:H108)</f>
        <v>3.9979452552906964E-5</v>
      </c>
      <c r="D108">
        <f>Concentrations!F108/Concentrations!E108</f>
        <v>1.0003890900211097</v>
      </c>
    </row>
    <row r="109" spans="1:4">
      <c r="A109">
        <f>'Mass Balance'!I109</f>
        <v>2.0890780551684292E-7</v>
      </c>
      <c r="B109">
        <f>'Mass Balance'!E109</f>
        <v>3.8772198452592264E-5</v>
      </c>
      <c r="C109">
        <f>SUM('Mass Balance'!E109:H109)</f>
        <v>3.9026337323102158E-5</v>
      </c>
      <c r="D109">
        <f>Concentrations!F109/Concentrations!E109</f>
        <v>0.99387546876421717</v>
      </c>
    </row>
    <row r="110" spans="1:4">
      <c r="A110">
        <f>'Mass Balance'!I110</f>
        <v>1.8190612611690321E-8</v>
      </c>
      <c r="B110">
        <f>'Mass Balance'!E110</f>
        <v>3.9731392987504236E-5</v>
      </c>
      <c r="C110">
        <f>SUM('Mass Balance'!E110:H110)</f>
        <v>3.9732460462628183E-5</v>
      </c>
      <c r="D110">
        <f>Concentrations!F110/Concentrations!E110</f>
        <v>1.0003631149818706</v>
      </c>
    </row>
    <row r="111" spans="1:4">
      <c r="A111">
        <f>'Mass Balance'!I111</f>
        <v>1.8278168398429509E-8</v>
      </c>
      <c r="B111">
        <f>'Mass Balance'!E111</f>
        <v>3.9981434203084365E-5</v>
      </c>
      <c r="C111">
        <f>SUM('Mass Balance'!E111:H111)</f>
        <v>3.9981497919534883E-5</v>
      </c>
      <c r="D111">
        <f>Concentrations!F111/Concentrations!E111</f>
        <v>1.0003883977645762</v>
      </c>
    </row>
    <row r="112" spans="1:4">
      <c r="A112">
        <f>'Mass Balance'!I112</f>
        <v>1.8151336499873529E-8</v>
      </c>
      <c r="B112">
        <f>'Mass Balance'!E112</f>
        <v>3.9658406085557798E-5</v>
      </c>
      <c r="C112">
        <f>SUM('Mass Balance'!E112:H112)</f>
        <v>3.9658859470201584E-5</v>
      </c>
      <c r="D112">
        <f>Concentrations!F112/Concentrations!E112</f>
        <v>1.0003785554610216</v>
      </c>
    </row>
    <row r="113" spans="1:4">
      <c r="A113">
        <f>'Mass Balance'!I113</f>
        <v>1.7920975667171547E-8</v>
      </c>
      <c r="B113">
        <f>'Mass Balance'!E113</f>
        <v>3.8153240123602174E-5</v>
      </c>
      <c r="C113">
        <f>SUM('Mass Balance'!E113:H113)</f>
        <v>3.8165249453945535E-5</v>
      </c>
      <c r="D113">
        <f>Concentrations!F113/Concentrations!E113</f>
        <v>1.0000752026892545</v>
      </c>
    </row>
    <row r="114" spans="1:4">
      <c r="A114">
        <f>'Mass Balance'!I114</f>
        <v>1.820802679285111E-8</v>
      </c>
      <c r="B114">
        <f>'Mass Balance'!E114</f>
        <v>3.981420333047123E-5</v>
      </c>
      <c r="C114">
        <f>SUM('Mass Balance'!E114:H114)</f>
        <v>3.9814338633076389E-5</v>
      </c>
      <c r="D114">
        <f>Concentrations!F114/Concentrations!E114</f>
        <v>1.000386592370536</v>
      </c>
    </row>
    <row r="115" spans="1:4">
      <c r="A115">
        <f>'Mass Balance'!I115</f>
        <v>1.8520911816849721E-8</v>
      </c>
      <c r="B115">
        <f>'Mass Balance'!E115</f>
        <v>3.9866554890238285E-5</v>
      </c>
      <c r="C115">
        <f>SUM('Mass Balance'!E115:H115)</f>
        <v>3.9978714186142262E-5</v>
      </c>
      <c r="D115">
        <f>Concentrations!F115/Concentrations!E115</f>
        <v>0.99758342260323307</v>
      </c>
    </row>
    <row r="116" spans="1:4">
      <c r="A116">
        <f>'Mass Balance'!I116</f>
        <v>7.0941115419381015E-6</v>
      </c>
      <c r="B116">
        <f>'Mass Balance'!E116</f>
        <v>1.8606462695534801E-5</v>
      </c>
      <c r="C116">
        <f>SUM('Mass Balance'!E116:H116)</f>
        <v>3.0248118281574079E-5</v>
      </c>
      <c r="D116">
        <f>Concentrations!F116/Concentrations!E116</f>
        <v>0.61536783526514116</v>
      </c>
    </row>
    <row r="117" spans="1:4">
      <c r="A117">
        <f>'Mass Balance'!I117</f>
        <v>4.334830333861404E-8</v>
      </c>
      <c r="B117">
        <f>'Mass Balance'!E117</f>
        <v>2.3401128099350997E-5</v>
      </c>
      <c r="C117">
        <f>SUM('Mass Balance'!E117:H117)</f>
        <v>2.4456372151036192E-5</v>
      </c>
      <c r="D117">
        <f>Concentrations!F117/Concentrations!E117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0.97010246246071674</v>
      </c>
      <c r="M2" s="115">
        <v>0.91800841803183764</v>
      </c>
      <c r="N2" s="115">
        <v>1.1367731848919165</v>
      </c>
      <c r="O2" s="115">
        <v>0.81114395355482072</v>
      </c>
      <c r="P2" s="115">
        <v>0.93880488916011495</v>
      </c>
      <c r="Q2" s="111">
        <v>0.81114395355482083</v>
      </c>
      <c r="R2" s="68">
        <v>0.93880488916011495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0.92914662812856985</v>
      </c>
      <c r="M3" s="115">
        <v>3.7639272791221328</v>
      </c>
      <c r="N3" s="115">
        <v>304.82487594168924</v>
      </c>
      <c r="O3" s="115">
        <v>3.0199083615087368</v>
      </c>
      <c r="P3" s="115">
        <v>2.7980146633143557</v>
      </c>
      <c r="Q3" s="111">
        <v>3.0199083615087372</v>
      </c>
      <c r="R3" s="68">
        <v>2.7980146633143557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1.096506183378761</v>
      </c>
      <c r="M4" s="115">
        <v>1.043670082587645</v>
      </c>
      <c r="N4" s="115">
        <v>3.0493415475302967</v>
      </c>
      <c r="O4" s="115">
        <v>0.82518317185432277</v>
      </c>
      <c r="P4" s="115">
        <v>0.9591283591077121</v>
      </c>
      <c r="Q4" s="111">
        <v>0.82518317185432288</v>
      </c>
      <c r="R4" s="68">
        <v>0.9591283591077121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0.92676060540875249</v>
      </c>
      <c r="M5" s="115">
        <v>1.1895402372474901</v>
      </c>
      <c r="N5" s="115">
        <v>75.618685774594539</v>
      </c>
      <c r="O5" s="115">
        <v>4.4134115056400391</v>
      </c>
      <c r="P5" s="115">
        <v>7.2151928239613854</v>
      </c>
      <c r="Q5" s="111">
        <v>4.4134115056400391</v>
      </c>
      <c r="R5" s="68">
        <v>7.2151928239613854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0.83556782666348617</v>
      </c>
      <c r="M6" s="115">
        <v>1.4797509009070822</v>
      </c>
      <c r="N6" s="115">
        <v>162.52226649379341</v>
      </c>
      <c r="O6" s="115">
        <v>8.9101602490667453</v>
      </c>
      <c r="P6" s="115">
        <v>15.075381756097242</v>
      </c>
      <c r="Q6" s="111">
        <v>8.9101602490667453</v>
      </c>
      <c r="R6" s="68">
        <v>15.075381756097242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0.54986128388206001</v>
      </c>
      <c r="M7" s="115">
        <v>2.4101901355576949</v>
      </c>
      <c r="N7" s="115">
        <v>420.21410253279225</v>
      </c>
      <c r="O7" s="115">
        <v>21.744551193474543</v>
      </c>
      <c r="P7" s="115">
        <v>37.318902952370777</v>
      </c>
      <c r="Q7" s="111">
        <v>21.744551193474543</v>
      </c>
      <c r="R7" s="68">
        <v>37.318902952370777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0.76007283043867546</v>
      </c>
      <c r="M8" s="115">
        <v>1.6903616001514996</v>
      </c>
      <c r="N8" s="115">
        <v>228.12665321952494</v>
      </c>
      <c r="O8" s="115">
        <v>12.579341132793559</v>
      </c>
      <c r="P8" s="115">
        <v>21.518957201887769</v>
      </c>
      <c r="Q8" s="111">
        <v>12.579341132793559</v>
      </c>
      <c r="R8" s="68">
        <v>21.518957201887769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0.94144961873395638</v>
      </c>
      <c r="M9" s="115">
        <v>1.1399202346678143</v>
      </c>
      <c r="N9" s="115">
        <v>60.300793696019952</v>
      </c>
      <c r="O9" s="115">
        <v>3.6039972480016869</v>
      </c>
      <c r="P9" s="115">
        <v>5.7944460411118275</v>
      </c>
      <c r="Q9" s="111">
        <v>3.6039972480016869</v>
      </c>
      <c r="R9" s="68">
        <v>5.7944460411118275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5.0291730351562772E-2</v>
      </c>
      <c r="M10" s="115">
        <v>20.222530815818498</v>
      </c>
      <c r="N10" s="115">
        <v>3264.5143259020242</v>
      </c>
      <c r="O10" s="115">
        <v>35.371674578811721</v>
      </c>
      <c r="P10" s="115">
        <v>36.084031294209723</v>
      </c>
      <c r="Q10" s="111">
        <v>35.371674578811728</v>
      </c>
      <c r="R10" s="68">
        <v>36.084031294209723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4.9158741586244224E-3</v>
      </c>
      <c r="M11" s="115">
        <v>210.55619692563934</v>
      </c>
      <c r="N11" s="115">
        <v>41439.944232717731</v>
      </c>
      <c r="O11" s="115">
        <v>168.21923996223063</v>
      </c>
      <c r="P11" s="115">
        <v>77.216181716621108</v>
      </c>
      <c r="Q11" s="111">
        <v>168.21923996223063</v>
      </c>
      <c r="R11" s="68">
        <v>77.216181716621108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0.91500307093134647</v>
      </c>
      <c r="M12" s="115">
        <v>0.85956848813774522</v>
      </c>
      <c r="N12" s="115">
        <v>6.1385513721333169E-2</v>
      </c>
      <c r="O12" s="115">
        <v>0.75628134787394907</v>
      </c>
      <c r="P12" s="115">
        <v>0.87882566684137553</v>
      </c>
      <c r="Q12" s="111">
        <v>0.75628134787394907</v>
      </c>
      <c r="R12" s="68">
        <v>0.87882566684137564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0.63175763670848561</v>
      </c>
      <c r="M13" s="115">
        <v>1.926448609011866</v>
      </c>
      <c r="N13" s="115">
        <v>214.03792805553076</v>
      </c>
      <c r="O13" s="115">
        <v>2.5718420138532454</v>
      </c>
      <c r="P13" s="115">
        <v>2.4310277950770853</v>
      </c>
      <c r="Q13" s="111">
        <v>2.5718420138532458</v>
      </c>
      <c r="R13" s="68">
        <v>2.4310277950770853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8.3574479944824101E-2</v>
      </c>
      <c r="M14" s="115">
        <v>6.88870228648232</v>
      </c>
      <c r="N14" s="115">
        <v>1540.3209575025555</v>
      </c>
      <c r="O14" s="115">
        <v>45.553963608581633</v>
      </c>
      <c r="P14" s="115">
        <v>76.319146959131004</v>
      </c>
      <c r="Q14" s="111">
        <v>45.55396360858164</v>
      </c>
      <c r="R14" s="68">
        <v>76.319146959131018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0.77933831547503729</v>
      </c>
      <c r="M15" s="115">
        <v>0.91547440470180308</v>
      </c>
      <c r="N15" s="115">
        <v>29.663681903687568</v>
      </c>
      <c r="O15" s="115">
        <v>0.91359427726337783</v>
      </c>
      <c r="P15" s="115">
        <v>0.97287515261431179</v>
      </c>
      <c r="Q15" s="111">
        <v>0.91359427726337794</v>
      </c>
      <c r="R15" s="68">
        <v>0.9728751526143119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0.60549984400206169</v>
      </c>
      <c r="M16" s="115">
        <v>2.1084687032753497</v>
      </c>
      <c r="N16" s="115">
        <v>247.11413990949399</v>
      </c>
      <c r="O16" s="115">
        <v>2.8778800039594539</v>
      </c>
      <c r="P16" s="115">
        <v>2.709288554702951</v>
      </c>
      <c r="Q16" s="111">
        <v>2.8778800039594539</v>
      </c>
      <c r="R16" s="68">
        <v>2.709288554702951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0.62070443256733909</v>
      </c>
      <c r="M17" s="115">
        <v>1.9876703929760045</v>
      </c>
      <c r="N17" s="115">
        <v>225.49523121244258</v>
      </c>
      <c r="O17" s="115">
        <v>2.6761828708674313</v>
      </c>
      <c r="P17" s="115">
        <v>2.5254291625063106</v>
      </c>
      <c r="Q17" s="111">
        <v>2.6761828708674313</v>
      </c>
      <c r="R17" s="68">
        <v>2.5254291625063106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3.6529786027737344E-3</v>
      </c>
      <c r="M18" s="115">
        <v>120.36752930329521</v>
      </c>
      <c r="N18" s="115">
        <v>19725.692487932592</v>
      </c>
      <c r="O18" s="115">
        <v>118.96708744861456</v>
      </c>
      <c r="P18" s="115">
        <v>50.959737819761401</v>
      </c>
      <c r="Q18" s="111">
        <v>118.96708744861456</v>
      </c>
      <c r="R18" s="68">
        <v>50.959737819761408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0.90581006054627056</v>
      </c>
      <c r="M19" s="115">
        <v>0.91404896683744508</v>
      </c>
      <c r="N19" s="115">
        <v>10.249702851745788</v>
      </c>
      <c r="O19" s="115">
        <v>0.83930807511612138</v>
      </c>
      <c r="P19" s="115">
        <v>0.94276894456678362</v>
      </c>
      <c r="Q19" s="111">
        <v>0.83930807511612149</v>
      </c>
      <c r="R19" s="68">
        <v>0.94276894456678373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0.87069017301912843</v>
      </c>
      <c r="M20" s="115">
        <v>0.92690890735083176</v>
      </c>
      <c r="N20" s="115">
        <v>17.659779073078841</v>
      </c>
      <c r="O20" s="115">
        <v>0.87783396782295686</v>
      </c>
      <c r="P20" s="115">
        <v>0.96549415423751839</v>
      </c>
      <c r="Q20" s="111">
        <v>0.87783396782295686</v>
      </c>
      <c r="R20" s="68">
        <v>0.96549415423751839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0.41792462321745549</v>
      </c>
      <c r="M21" s="115">
        <v>5.2314110181483207</v>
      </c>
      <c r="N21" s="115">
        <v>843.09282163266698</v>
      </c>
      <c r="O21" s="115">
        <v>17.93401297835555</v>
      </c>
      <c r="P21" s="115">
        <v>26.354453731464503</v>
      </c>
      <c r="Q21" s="111">
        <v>17.934012978355554</v>
      </c>
      <c r="R21" s="68">
        <v>26.354453731464503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0.89903778495436037</v>
      </c>
      <c r="M22" s="115">
        <v>0.85568271297394827</v>
      </c>
      <c r="N22" s="115">
        <v>1.8467557487969752</v>
      </c>
      <c r="O22" s="115">
        <v>0.75864433047558921</v>
      </c>
      <c r="P22" s="115">
        <v>0.87541896953935916</v>
      </c>
      <c r="Q22" s="111">
        <v>0.75864433047558921</v>
      </c>
      <c r="R22" s="68">
        <v>0.87541896953935916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0.75349322794061158</v>
      </c>
      <c r="M23" s="115">
        <v>1.0183236353425291</v>
      </c>
      <c r="N23" s="115">
        <v>50.144863822219492</v>
      </c>
      <c r="O23" s="115">
        <v>1.0841772963311753</v>
      </c>
      <c r="P23" s="115">
        <v>1.1144844967946932</v>
      </c>
      <c r="Q23" s="111">
        <v>1.0841772963311753</v>
      </c>
      <c r="R23" s="68">
        <v>1.1144844967946932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0.51955183828912221</v>
      </c>
      <c r="M24" s="115">
        <v>2.8549560879163067</v>
      </c>
      <c r="N24" s="115">
        <v>379.56165266734718</v>
      </c>
      <c r="O24" s="115">
        <v>4.1341626502126942</v>
      </c>
      <c r="P24" s="115">
        <v>3.8720222945111669</v>
      </c>
      <c r="Q24" s="111">
        <v>4.1341626502126942</v>
      </c>
      <c r="R24" s="68">
        <v>3.8720222945111669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4.8976395295151588E-3</v>
      </c>
      <c r="M25" s="115">
        <v>106.05037304596156</v>
      </c>
      <c r="N25" s="115">
        <v>17358.266425378901</v>
      </c>
      <c r="O25" s="115">
        <v>106.55208600230191</v>
      </c>
      <c r="P25" s="115">
        <v>47.84768037044379</v>
      </c>
      <c r="Q25" s="111">
        <v>106.55208600230191</v>
      </c>
      <c r="R25" s="68">
        <v>47.84768037044379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0.23962833042289491</v>
      </c>
      <c r="M26" s="115">
        <v>4.753616876409648</v>
      </c>
      <c r="N26" s="115">
        <v>726.96494487187806</v>
      </c>
      <c r="O26" s="115">
        <v>7.5483343140262811</v>
      </c>
      <c r="P26" s="115">
        <v>7.2004273591110035</v>
      </c>
      <c r="Q26" s="111">
        <v>7.5483343140262811</v>
      </c>
      <c r="R26" s="68">
        <v>7.2004273591110044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2.2669562858720745E-2</v>
      </c>
      <c r="M27" s="115">
        <v>2.1629886525427282</v>
      </c>
      <c r="N27" s="115">
        <v>345.1278904982305</v>
      </c>
      <c r="O27" s="115">
        <v>3.6568791981096878</v>
      </c>
      <c r="P27" s="115">
        <v>3.6292091553361878</v>
      </c>
      <c r="Q27" s="111">
        <v>3.6568791981096878</v>
      </c>
      <c r="R27" s="68">
        <v>3.6292091553361883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3.3980157232061776E-2</v>
      </c>
      <c r="M28" s="115">
        <v>0.90151788894047535</v>
      </c>
      <c r="N28" s="115">
        <v>139.68048143904579</v>
      </c>
      <c r="O28" s="115">
        <v>1.4512316460885384</v>
      </c>
      <c r="P28" s="115">
        <v>1.3937424387732686</v>
      </c>
      <c r="Q28" s="111">
        <v>1.4512316460885384</v>
      </c>
      <c r="R28" s="68">
        <v>1.3937424387732686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5.9272245272917329E-2</v>
      </c>
      <c r="M29" s="115">
        <v>6.505401279558673E-2</v>
      </c>
      <c r="N29" s="115">
        <v>1.5179969089914203</v>
      </c>
      <c r="O29" s="115">
        <v>6.2657435943635667E-2</v>
      </c>
      <c r="P29" s="115">
        <v>6.8172749285596967E-2</v>
      </c>
      <c r="Q29" s="111">
        <v>6.2657435943635681E-2</v>
      </c>
      <c r="R29" s="68">
        <v>6.8172749285596967E-2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1.285930721915112E-2</v>
      </c>
      <c r="M30" s="115">
        <v>0.31892820040852776</v>
      </c>
      <c r="N30" s="115">
        <v>49.280843386075809</v>
      </c>
      <c r="O30" s="115">
        <v>0.51184104813476694</v>
      </c>
      <c r="P30" s="115">
        <v>0.49077524965373626</v>
      </c>
      <c r="Q30" s="111">
        <v>0.51184104813476694</v>
      </c>
      <c r="R30" s="68">
        <v>0.49077524965373631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4.5777611033666029E-4</v>
      </c>
      <c r="M31" s="115">
        <v>5.4895142853636277E-3</v>
      </c>
      <c r="N31" s="115">
        <v>0.81155025368440981</v>
      </c>
      <c r="O31" s="115">
        <v>8.4748273741588973E-3</v>
      </c>
      <c r="P31" s="115">
        <v>8.0018099296835649E-3</v>
      </c>
      <c r="Q31" s="111">
        <v>8.4748273741588973E-3</v>
      </c>
      <c r="R31" s="68">
        <v>8.0018099296835649E-3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0.65814521372926071</v>
      </c>
      <c r="M32" s="115">
        <v>1.7439562691741064</v>
      </c>
      <c r="N32" s="115">
        <v>180.86361191256694</v>
      </c>
      <c r="O32" s="115">
        <v>2.2669478750590635</v>
      </c>
      <c r="P32" s="115">
        <v>2.1559908378528254</v>
      </c>
      <c r="Q32" s="111">
        <v>2.2669478750590635</v>
      </c>
      <c r="R32" s="68">
        <v>2.1559908378528254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0.76444671640607742</v>
      </c>
      <c r="M33" s="115">
        <v>1.2445036643006158</v>
      </c>
      <c r="N33" s="115">
        <v>84.853515595072622</v>
      </c>
      <c r="O33" s="115">
        <v>1.4222312745919836</v>
      </c>
      <c r="P33" s="115">
        <v>1.414247014879412</v>
      </c>
      <c r="Q33" s="111">
        <v>1.4222312745919836</v>
      </c>
      <c r="R33" s="68">
        <v>1.414247014879412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0.33004997627760874</v>
      </c>
      <c r="M34" s="115">
        <v>5.7328492011835062</v>
      </c>
      <c r="N34" s="115">
        <v>870.31315930735184</v>
      </c>
      <c r="O34" s="115">
        <v>9.0416391138008052</v>
      </c>
      <c r="P34" s="115">
        <v>8.5997571903729355</v>
      </c>
      <c r="Q34" s="111">
        <v>9.0416391138008052</v>
      </c>
      <c r="R34" s="68">
        <v>8.5997571903729355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8.0519546014232293E-2</v>
      </c>
      <c r="M35" s="115">
        <v>15.389639166762091</v>
      </c>
      <c r="N35" s="115">
        <v>2472.6251700255611</v>
      </c>
      <c r="O35" s="115">
        <v>26.634100722668659</v>
      </c>
      <c r="P35" s="115">
        <v>26.92509825589406</v>
      </c>
      <c r="Q35" s="111">
        <v>26.634100722668659</v>
      </c>
      <c r="R35" s="68">
        <v>26.925098255894063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2.2049273991466466E-2</v>
      </c>
      <c r="M36" s="115">
        <v>42.228483093701399</v>
      </c>
      <c r="N36" s="115">
        <v>6860.5925994575609</v>
      </c>
      <c r="O36" s="115">
        <v>52.617485196950902</v>
      </c>
      <c r="P36" s="115">
        <v>37.07816610086288</v>
      </c>
      <c r="Q36" s="111">
        <v>52.617485196950902</v>
      </c>
      <c r="R36" s="68">
        <v>37.07816610086288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3.9159184899749174E-3</v>
      </c>
      <c r="M37" s="115">
        <v>114.82760881297889</v>
      </c>
      <c r="N37" s="115">
        <v>18811.471318010736</v>
      </c>
      <c r="O37" s="115">
        <v>113.96864750293963</v>
      </c>
      <c r="P37" s="115">
        <v>49.419842636312318</v>
      </c>
      <c r="Q37" s="111">
        <v>113.96864750293963</v>
      </c>
      <c r="R37" s="68">
        <v>49.419842636312318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1.247603463590612E-2</v>
      </c>
      <c r="M38" s="115">
        <v>63.621475153270183</v>
      </c>
      <c r="N38" s="115">
        <v>10368.762347652402</v>
      </c>
      <c r="O38" s="115">
        <v>70.338343249670785</v>
      </c>
      <c r="P38" s="115">
        <v>39.930585803005471</v>
      </c>
      <c r="Q38" s="111">
        <v>70.338343249670785</v>
      </c>
      <c r="R38" s="68">
        <v>39.930585803005478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1.6669354816110062E-2</v>
      </c>
      <c r="M39" s="115">
        <v>42.231253087587014</v>
      </c>
      <c r="N39" s="115">
        <v>6867.4448429146896</v>
      </c>
      <c r="O39" s="115">
        <v>50.548370417664238</v>
      </c>
      <c r="P39" s="115">
        <v>33.373070583165763</v>
      </c>
      <c r="Q39" s="111">
        <v>50.548370417664238</v>
      </c>
      <c r="R39" s="68">
        <v>33.373070583165763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1.247603463590612E-2</v>
      </c>
      <c r="M40" s="115">
        <v>63.621475153270183</v>
      </c>
      <c r="N40" s="115">
        <v>10368.762347652402</v>
      </c>
      <c r="O40" s="115">
        <v>70.338343249670785</v>
      </c>
      <c r="P40" s="115">
        <v>39.930585803005471</v>
      </c>
      <c r="Q40" s="111">
        <v>70.338343249670785</v>
      </c>
      <c r="R40" s="68">
        <v>39.930585803005478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0.98919262439153965</v>
      </c>
      <c r="M41" s="115">
        <v>0.95271746095787146</v>
      </c>
      <c r="N41" s="115">
        <v>5.6893826813586248</v>
      </c>
      <c r="O41" s="115">
        <v>1.0480506912138516</v>
      </c>
      <c r="P41" s="115">
        <v>1.3458807477684855</v>
      </c>
      <c r="Q41" s="111">
        <v>1.0480506912138519</v>
      </c>
      <c r="R41" s="68">
        <v>1.3458807477684855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3.582971594573658E-3</v>
      </c>
      <c r="M42" s="115">
        <v>118.06076227089038</v>
      </c>
      <c r="N42" s="115">
        <v>19347.662155450951</v>
      </c>
      <c r="O42" s="115">
        <v>116.68715899235958</v>
      </c>
      <c r="P42" s="115">
        <v>49.983126902655862</v>
      </c>
      <c r="Q42" s="111">
        <v>116.68715899235958</v>
      </c>
      <c r="R42" s="68">
        <v>49.983126902655862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0.49984958149162845</v>
      </c>
      <c r="M43" s="115">
        <v>3.0887280718250762</v>
      </c>
      <c r="N43" s="115">
        <v>419.98647849552469</v>
      </c>
      <c r="O43" s="115">
        <v>4.5266266876356998</v>
      </c>
      <c r="P43" s="115">
        <v>4.2405300374443948</v>
      </c>
      <c r="Q43" s="111">
        <v>4.5266266876357006</v>
      </c>
      <c r="R43" s="68">
        <v>4.2405300374443948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3.3108841714579333E-2</v>
      </c>
      <c r="M44" s="115">
        <v>30.077759305901676</v>
      </c>
      <c r="N44" s="115">
        <v>4873.2996351774555</v>
      </c>
      <c r="O44" s="115">
        <v>42.924504930345933</v>
      </c>
      <c r="P44" s="115">
        <v>36.194270809871789</v>
      </c>
      <c r="Q44" s="111">
        <v>42.924504930345933</v>
      </c>
      <c r="R44" s="68">
        <v>36.194270809871789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1.7955825464951009E-3</v>
      </c>
      <c r="M45" s="115">
        <v>153.95836499547832</v>
      </c>
      <c r="N45" s="115">
        <v>25299.851847990318</v>
      </c>
      <c r="O45" s="115">
        <v>148.24683726328539</v>
      </c>
      <c r="P45" s="115">
        <v>58.724987346939926</v>
      </c>
      <c r="Q45" s="111">
        <v>148.24683726328539</v>
      </c>
      <c r="R45" s="68">
        <v>58.724987346939926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3.3035358007434644E-3</v>
      </c>
      <c r="M46" s="115">
        <v>125.20482433585201</v>
      </c>
      <c r="N46" s="115">
        <v>20526.710938110016</v>
      </c>
      <c r="O46" s="115">
        <v>123.16818723360205</v>
      </c>
      <c r="P46" s="115">
        <v>52.033907998040625</v>
      </c>
      <c r="Q46" s="111">
        <v>123.16818723360205</v>
      </c>
      <c r="R46" s="68">
        <v>52.033907998040632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6.7092690357465762E-3</v>
      </c>
      <c r="M47" s="115">
        <v>91.119212894663704</v>
      </c>
      <c r="N47" s="115">
        <v>14893.983771830601</v>
      </c>
      <c r="O47" s="115">
        <v>93.699960286424727</v>
      </c>
      <c r="P47" s="115">
        <v>44.820184918817837</v>
      </c>
      <c r="Q47" s="111">
        <v>93.699960286424727</v>
      </c>
      <c r="R47" s="68">
        <v>44.820184918817837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0.17047798052186819</v>
      </c>
      <c r="M48" s="115">
        <v>10.744397416336545</v>
      </c>
      <c r="N48" s="115">
        <v>1703.7146705556697</v>
      </c>
      <c r="O48" s="115">
        <v>17.901231085642799</v>
      </c>
      <c r="P48" s="115">
        <v>17.572720876999224</v>
      </c>
      <c r="Q48" s="111">
        <v>17.901231085642799</v>
      </c>
      <c r="R48" s="68">
        <v>17.572720876999224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3.0757292930558795E-2</v>
      </c>
      <c r="M49" s="115">
        <v>32.134233041300106</v>
      </c>
      <c r="N49" s="115">
        <v>5209.3183092136933</v>
      </c>
      <c r="O49" s="115">
        <v>44.554050088820361</v>
      </c>
      <c r="P49" s="115">
        <v>36.319897198992606</v>
      </c>
      <c r="Q49" s="111">
        <v>44.554050088820361</v>
      </c>
      <c r="R49" s="68">
        <v>36.319897198992606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2.711932227306485E-2</v>
      </c>
      <c r="M50" s="115">
        <v>35.76949294947817</v>
      </c>
      <c r="N50" s="115">
        <v>5803.6536476542205</v>
      </c>
      <c r="O50" s="115">
        <v>47.43591920893514</v>
      </c>
      <c r="P50" s="115">
        <v>36.548743644603391</v>
      </c>
      <c r="Q50" s="111">
        <v>47.43591920893514</v>
      </c>
      <c r="R50" s="68">
        <v>36.548743644603398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0.12753763062806373</v>
      </c>
      <c r="M51" s="115">
        <v>13.042100741311666</v>
      </c>
      <c r="N51" s="115">
        <v>2082.7895326353269</v>
      </c>
      <c r="O51" s="115">
        <v>22.102334248157373</v>
      </c>
      <c r="P51" s="115">
        <v>21.975426235314671</v>
      </c>
      <c r="Q51" s="111">
        <v>22.102334248157373</v>
      </c>
      <c r="R51" s="68">
        <v>21.975426235314671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0.16597791873155696</v>
      </c>
      <c r="M52" s="115">
        <v>10.952844937248509</v>
      </c>
      <c r="N52" s="115">
        <v>1738.1598473523609</v>
      </c>
      <c r="O52" s="115">
        <v>18.278867510741637</v>
      </c>
      <c r="P52" s="115">
        <v>17.965037931963991</v>
      </c>
      <c r="Q52" s="111">
        <v>18.278867510741637</v>
      </c>
      <c r="R52" s="68">
        <v>17.965037931963991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1.8105803013291955E-2</v>
      </c>
      <c r="M53" s="115">
        <v>49.193893145891899</v>
      </c>
      <c r="N53" s="115">
        <v>8001.5016738598652</v>
      </c>
      <c r="O53" s="115">
        <v>58.341009788411988</v>
      </c>
      <c r="P53" s="115">
        <v>37.908721823201354</v>
      </c>
      <c r="Q53" s="111">
        <v>58.341009788411988</v>
      </c>
      <c r="R53" s="68">
        <v>37.908721823201354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2.8894803716966771E-2</v>
      </c>
      <c r="M54" s="115">
        <v>33.919091816070896</v>
      </c>
      <c r="N54" s="115">
        <v>5501.0729799792325</v>
      </c>
      <c r="O54" s="115">
        <v>45.968432439199312</v>
      </c>
      <c r="P54" s="115">
        <v>36.430533886276429</v>
      </c>
      <c r="Q54" s="111">
        <v>45.968432439199312</v>
      </c>
      <c r="R54" s="68">
        <v>36.430533886276429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6.9098065192756374E-3</v>
      </c>
      <c r="M55" s="115">
        <v>89.565756228712786</v>
      </c>
      <c r="N55" s="115">
        <v>14638.048433139395</v>
      </c>
      <c r="O55" s="115">
        <v>92.347768443262339</v>
      </c>
      <c r="P55" s="115">
        <v>44.482237035107161</v>
      </c>
      <c r="Q55" s="111">
        <v>92.347768443262339</v>
      </c>
      <c r="R55" s="68">
        <v>44.482237035107161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3.2316047939241525E-2</v>
      </c>
      <c r="M56" s="115">
        <v>30.75801077783056</v>
      </c>
      <c r="N56" s="115">
        <v>4984.4269229100018</v>
      </c>
      <c r="O56" s="115">
        <v>43.466746280359246</v>
      </c>
      <c r="P56" s="115">
        <v>36.241399751224421</v>
      </c>
      <c r="Q56" s="111">
        <v>43.466746280359253</v>
      </c>
      <c r="R56" s="68">
        <v>36.241399751224421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0.19013355767548495</v>
      </c>
      <c r="M57" s="115">
        <v>9.7481258197267078</v>
      </c>
      <c r="N57" s="115">
        <v>1539.5477720790113</v>
      </c>
      <c r="O57" s="115">
        <v>16.118115238405199</v>
      </c>
      <c r="P57" s="115">
        <v>15.73755714493155</v>
      </c>
      <c r="Q57" s="111">
        <v>16.118115238405199</v>
      </c>
      <c r="R57" s="68">
        <v>15.73755714493155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2.8534055914490361E-2</v>
      </c>
      <c r="M58" s="115">
        <v>34.285422166849536</v>
      </c>
      <c r="N58" s="115">
        <v>5560.9649221960517</v>
      </c>
      <c r="O58" s="115">
        <v>46.259678014752389</v>
      </c>
      <c r="P58" s="115">
        <v>36.455121195543548</v>
      </c>
      <c r="Q58" s="111">
        <v>46.259678014752389</v>
      </c>
      <c r="R58" s="68">
        <v>36.455121195543548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0.16604124766583145</v>
      </c>
      <c r="M59" s="115">
        <v>10.957023999152952</v>
      </c>
      <c r="N59" s="115">
        <v>1738.8230428639856</v>
      </c>
      <c r="O59" s="115">
        <v>18.285841819180053</v>
      </c>
      <c r="P59" s="115">
        <v>17.971892498614345</v>
      </c>
      <c r="Q59" s="111">
        <v>18.285841819180053</v>
      </c>
      <c r="R59" s="68">
        <v>17.971892498614345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2.0371747896822039E-2</v>
      </c>
      <c r="M60" s="115">
        <v>44.873461561164902</v>
      </c>
      <c r="N60" s="115">
        <v>7293.7371291651116</v>
      </c>
      <c r="O60" s="115">
        <v>54.764562633615959</v>
      </c>
      <c r="P60" s="115">
        <v>37.344580072717079</v>
      </c>
      <c r="Q60" s="111">
        <v>54.764562633615959</v>
      </c>
      <c r="R60" s="68">
        <v>37.344580072717079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2.717405195670874</v>
      </c>
      <c r="M61" s="115">
        <v>42.34706384823275</v>
      </c>
      <c r="N61" s="115">
        <v>1482.8832543072413</v>
      </c>
      <c r="O61" s="115">
        <v>8.2026032373921627</v>
      </c>
      <c r="P61" s="115">
        <v>8.2482354843357353</v>
      </c>
      <c r="Q61" s="111">
        <v>8.2026032373921645</v>
      </c>
      <c r="R61" s="68">
        <v>8.2482354843357353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0.3432791657283954</v>
      </c>
      <c r="M62" s="115">
        <v>5.4602601953539072</v>
      </c>
      <c r="N62" s="115">
        <v>824.44651674467946</v>
      </c>
      <c r="O62" s="115">
        <v>8.5711047425219231</v>
      </c>
      <c r="P62" s="115">
        <v>8.1370685841195538</v>
      </c>
      <c r="Q62" s="111">
        <v>8.5711047425219231</v>
      </c>
      <c r="R62" s="68">
        <v>8.1370685841195538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3.2105804293942715</v>
      </c>
      <c r="M63" s="115">
        <v>4.7812248664380217</v>
      </c>
      <c r="N63" s="115">
        <v>114.74959044663019</v>
      </c>
      <c r="O63" s="115">
        <v>1.0912853397124933</v>
      </c>
      <c r="P63" s="115">
        <v>1.221563878968372</v>
      </c>
      <c r="Q63" s="111">
        <v>1.0912853397124933</v>
      </c>
      <c r="R63" s="68">
        <v>1.221563878968372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0.98793958096364742</v>
      </c>
      <c r="M64" s="115">
        <v>0.93863574803752103</v>
      </c>
      <c r="N64" s="115">
        <v>2.2714833376783394</v>
      </c>
      <c r="O64" s="115">
        <v>0.88077002647831504</v>
      </c>
      <c r="P64" s="115">
        <v>1.0530375135945633</v>
      </c>
      <c r="Q64" s="111">
        <v>0.88077002647831504</v>
      </c>
      <c r="R64" s="68">
        <v>1.0530375135945633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1.3009905807246376</v>
      </c>
      <c r="M65" s="115">
        <v>1.2748701616438334</v>
      </c>
      <c r="N65" s="115">
        <v>9.555643899348663</v>
      </c>
      <c r="O65" s="115">
        <v>0.8336414644221557</v>
      </c>
      <c r="P65" s="115">
        <v>0.96821317153934872</v>
      </c>
      <c r="Q65" s="111">
        <v>0.83364146442215581</v>
      </c>
      <c r="R65" s="68">
        <v>0.96821317153934872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6.8069696906576453</v>
      </c>
      <c r="M66" s="115">
        <v>39.555813430664436</v>
      </c>
      <c r="N66" s="115">
        <v>1070.6782780081357</v>
      </c>
      <c r="O66" s="115">
        <v>2.5574790913853458</v>
      </c>
      <c r="P66" s="115">
        <v>3.1183532260878155</v>
      </c>
      <c r="Q66" s="111">
        <v>2.5574790913853462</v>
      </c>
      <c r="R66" s="68">
        <v>3.1183532260878155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1.2495731282579428</v>
      </c>
      <c r="M67" s="115">
        <v>1.2161001049957321</v>
      </c>
      <c r="N67" s="115">
        <v>7.9542052754786132</v>
      </c>
      <c r="O67" s="115">
        <v>0.83159118905220031</v>
      </c>
      <c r="P67" s="115">
        <v>0.96568496107573099</v>
      </c>
      <c r="Q67" s="111">
        <v>0.83159118905220042</v>
      </c>
      <c r="R67" s="68">
        <v>0.9656849610757311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1.0274540282375479</v>
      </c>
      <c r="M68" s="115">
        <v>0.96945920536361763</v>
      </c>
      <c r="N68" s="115">
        <v>1.054706599946523</v>
      </c>
      <c r="O68" s="115">
        <v>0.82255833285037905</v>
      </c>
      <c r="P68" s="115">
        <v>0.95585223039355227</v>
      </c>
      <c r="Q68" s="111">
        <v>0.82255833285037905</v>
      </c>
      <c r="R68" s="68">
        <v>0.95585223039355227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3.666187961818812E-2</v>
      </c>
      <c r="M69" s="115">
        <v>27.449698585670546</v>
      </c>
      <c r="N69" s="115">
        <v>4444.009870476214</v>
      </c>
      <c r="O69" s="115">
        <v>40.884835928349887</v>
      </c>
      <c r="P69" s="115">
        <v>36.113648084196711</v>
      </c>
      <c r="Q69" s="111">
        <v>40.884835928349887</v>
      </c>
      <c r="R69" s="68">
        <v>36.113648084196711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0.99063631685955789</v>
      </c>
      <c r="M70" s="115">
        <v>0.94613260473799166</v>
      </c>
      <c r="N70" s="115">
        <v>3.808292329281</v>
      </c>
      <c r="O70" s="115">
        <v>0.97018577473432099</v>
      </c>
      <c r="P70" s="115">
        <v>1.2111888219215481</v>
      </c>
      <c r="Q70" s="111">
        <v>0.97018577473432099</v>
      </c>
      <c r="R70" s="68">
        <v>1.2111888219215481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0.98832601785518048</v>
      </c>
      <c r="M71" s="115">
        <v>0.95722790887629061</v>
      </c>
      <c r="N71" s="115">
        <v>6.976721302294643</v>
      </c>
      <c r="O71" s="115">
        <v>1.1044862673604265</v>
      </c>
      <c r="P71" s="115">
        <v>1.4439535530153531</v>
      </c>
      <c r="Q71" s="111">
        <v>1.1044862673604265</v>
      </c>
      <c r="R71" s="68">
        <v>1.4439535530153533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3.8427731653383583E-2</v>
      </c>
      <c r="M72" s="115">
        <v>27.19140703303087</v>
      </c>
      <c r="N72" s="115">
        <v>6257.1329771816027</v>
      </c>
      <c r="O72" s="115">
        <v>59.723431990039593</v>
      </c>
      <c r="P72" s="115">
        <v>84.196945429863192</v>
      </c>
      <c r="Q72" s="111">
        <v>59.723431990039593</v>
      </c>
      <c r="R72" s="68">
        <v>84.196945429863192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0.28047501318812307</v>
      </c>
      <c r="M73" s="115">
        <v>2.7591982946573506</v>
      </c>
      <c r="N73" s="115">
        <v>577.07657973684582</v>
      </c>
      <c r="O73" s="115">
        <v>34.738215344368356</v>
      </c>
      <c r="P73" s="115">
        <v>60.600378595801779</v>
      </c>
      <c r="Q73" s="111">
        <v>34.738215344368363</v>
      </c>
      <c r="R73" s="68">
        <v>60.600378595801779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0.98878739289430051</v>
      </c>
      <c r="M74" s="115">
        <v>0.95506558702926669</v>
      </c>
      <c r="N74" s="115">
        <v>6.3570268095300237</v>
      </c>
      <c r="O74" s="115">
        <v>1.0778317556414629</v>
      </c>
      <c r="P74" s="115">
        <v>1.3977217998849332</v>
      </c>
      <c r="Q74" s="111">
        <v>1.0778317556414629</v>
      </c>
      <c r="R74" s="68">
        <v>1.3977217998849332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0.31735592768453263</v>
      </c>
      <c r="M75" s="115">
        <v>2.6954442263988971</v>
      </c>
      <c r="N75" s="115">
        <v>554.64048940479495</v>
      </c>
      <c r="O75" s="115">
        <v>33.070311482883966</v>
      </c>
      <c r="P75" s="115">
        <v>57.644209177096847</v>
      </c>
      <c r="Q75" s="111">
        <v>33.070311482883973</v>
      </c>
      <c r="R75" s="68">
        <v>57.644209177096847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0.89598975766076039</v>
      </c>
      <c r="M76" s="115">
        <v>1.2900510269119856</v>
      </c>
      <c r="N76" s="115">
        <v>105.95305513822832</v>
      </c>
      <c r="O76" s="115">
        <v>5.9793359789746487</v>
      </c>
      <c r="P76" s="115">
        <v>9.95479672101599</v>
      </c>
      <c r="Q76" s="111">
        <v>5.9793359789746487</v>
      </c>
      <c r="R76" s="68">
        <v>9.95479672101599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0.29073956603465761</v>
      </c>
      <c r="M77" s="115">
        <v>2.7419552139537737</v>
      </c>
      <c r="N77" s="115">
        <v>570.9458763785226</v>
      </c>
      <c r="O77" s="115">
        <v>34.274437397102723</v>
      </c>
      <c r="P77" s="115">
        <v>59.777940783492667</v>
      </c>
      <c r="Q77" s="111">
        <v>34.274437397102723</v>
      </c>
      <c r="R77" s="68">
        <v>59.777940783492674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4.2557170736108353E-2</v>
      </c>
      <c r="M78" s="115">
        <v>22.752460448916736</v>
      </c>
      <c r="N78" s="115">
        <v>5233.4781015039598</v>
      </c>
      <c r="O78" s="115">
        <v>56.937410349008964</v>
      </c>
      <c r="P78" s="115">
        <v>83.07645367278468</v>
      </c>
      <c r="Q78" s="111">
        <v>56.937410349008964</v>
      </c>
      <c r="R78" s="68">
        <v>83.07645367278468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4.2557179613938449E-2</v>
      </c>
      <c r="M79" s="115">
        <v>22.752446868438156</v>
      </c>
      <c r="N79" s="115">
        <v>5233.4762627631198</v>
      </c>
      <c r="O79" s="115">
        <v>56.937406944492317</v>
      </c>
      <c r="P79" s="115">
        <v>83.076467151955512</v>
      </c>
      <c r="Q79" s="111">
        <v>56.937406944492317</v>
      </c>
      <c r="R79" s="68">
        <v>83.076467151955526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0.67933808572041765</v>
      </c>
      <c r="M80" s="115">
        <v>1.898850621678378</v>
      </c>
      <c r="N80" s="115">
        <v>294.19337249144638</v>
      </c>
      <c r="O80" s="115">
        <v>16.421996345476476</v>
      </c>
      <c r="P80" s="115">
        <v>28.278293379387755</v>
      </c>
      <c r="Q80" s="111">
        <v>16.421996345476476</v>
      </c>
      <c r="R80" s="68">
        <v>28.278293379387755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0.97342006215260124</v>
      </c>
      <c r="M81" s="115">
        <v>1.0205964874047559</v>
      </c>
      <c r="N81" s="115">
        <v>25.396071303337326</v>
      </c>
      <c r="O81" s="115">
        <v>1.9417161809806995</v>
      </c>
      <c r="P81" s="115">
        <v>2.900157423289019</v>
      </c>
      <c r="Q81" s="111">
        <v>1.9417161809806998</v>
      </c>
      <c r="R81" s="68">
        <v>2.9001574232890195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0.94111728200730993</v>
      </c>
      <c r="M82" s="115">
        <v>1.1402462785929606</v>
      </c>
      <c r="N82" s="115">
        <v>60.860249986644646</v>
      </c>
      <c r="O82" s="115">
        <v>3.6693501246929316</v>
      </c>
      <c r="P82" s="115">
        <v>5.9148813177955262</v>
      </c>
      <c r="Q82" s="111">
        <v>3.6693501246929316</v>
      </c>
      <c r="R82" s="68">
        <v>5.9148813177955262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2.8893827718441595E-2</v>
      </c>
      <c r="M83" s="115">
        <v>44.213669456455094</v>
      </c>
      <c r="N83" s="115">
        <v>10181.316966028877</v>
      </c>
      <c r="O83" s="115">
        <v>70.132658052827239</v>
      </c>
      <c r="P83" s="115">
        <v>87.998290872895168</v>
      </c>
      <c r="Q83" s="111">
        <v>70.132658052827239</v>
      </c>
      <c r="R83" s="68">
        <v>87.998290872895168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0.43974997857359005</v>
      </c>
      <c r="M84" s="115">
        <v>3.8386035306336068</v>
      </c>
      <c r="N84" s="115">
        <v>549.29957628920511</v>
      </c>
      <c r="O84" s="115">
        <v>5.7963641177719456</v>
      </c>
      <c r="P84" s="115">
        <v>5.4461836147488185</v>
      </c>
      <c r="Q84" s="111">
        <v>5.7963641177719465</v>
      </c>
      <c r="R84" s="68">
        <v>5.4461836147488185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1.3532382153288434</v>
      </c>
      <c r="M85" s="115">
        <v>1083.3399160967247</v>
      </c>
      <c r="N85" s="115">
        <v>29923.777379779</v>
      </c>
      <c r="O85" s="115">
        <v>29.714355722945278</v>
      </c>
      <c r="P85" s="115">
        <v>26.770100559497486</v>
      </c>
      <c r="Q85" s="111">
        <v>29.714355722945282</v>
      </c>
      <c r="R85" s="68">
        <v>26.770100559497486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2.145873224066736E-3</v>
      </c>
      <c r="M86" s="115">
        <v>145.71331296582318</v>
      </c>
      <c r="N86" s="115">
        <v>23929.001074274674</v>
      </c>
      <c r="O86" s="115">
        <v>141.04028888671567</v>
      </c>
      <c r="P86" s="115">
        <v>56.758080855676837</v>
      </c>
      <c r="Q86" s="111">
        <v>141.04028888671567</v>
      </c>
      <c r="R86" s="68">
        <v>56.758080855676837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8.3651660500837493E-4</v>
      </c>
      <c r="M87" s="115">
        <v>186.64696498662829</v>
      </c>
      <c r="N87" s="115">
        <v>30754.940589765116</v>
      </c>
      <c r="O87" s="115">
        <v>176.87716697714768</v>
      </c>
      <c r="P87" s="115">
        <v>66.821662567502031</v>
      </c>
      <c r="Q87" s="111">
        <v>176.87716697714771</v>
      </c>
      <c r="R87" s="68">
        <v>66.821662567502031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2.6210417825759644E-4</v>
      </c>
      <c r="M88" s="115">
        <v>226.25746037738801</v>
      </c>
      <c r="N88" s="115">
        <v>37423.887829006148</v>
      </c>
      <c r="O88" s="115">
        <v>211.55493196022891</v>
      </c>
      <c r="P88" s="115">
        <v>77.162064092226856</v>
      </c>
      <c r="Q88" s="111">
        <v>211.55493196022894</v>
      </c>
      <c r="R88" s="68">
        <v>77.162064092226856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1.4322042419038658E-2</v>
      </c>
      <c r="M89" s="115">
        <v>1849.6052017098257</v>
      </c>
      <c r="N89" s="115">
        <v>51689.942998653816</v>
      </c>
      <c r="O89" s="115">
        <v>39.488188691195568</v>
      </c>
      <c r="P89" s="115">
        <v>13.625835835081388</v>
      </c>
      <c r="Q89" s="111">
        <v>39.488188691195568</v>
      </c>
      <c r="R89" s="68">
        <v>13.625835835081389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0.96837761703395597</v>
      </c>
      <c r="M90" s="115">
        <v>0.91845827104893518</v>
      </c>
      <c r="N90" s="115">
        <v>1.4770803107722317</v>
      </c>
      <c r="O90" s="115">
        <v>0.81190333801558379</v>
      </c>
      <c r="P90" s="115">
        <v>0.93897372793331024</v>
      </c>
      <c r="Q90" s="111">
        <v>0.81190333801558379</v>
      </c>
      <c r="R90" s="68">
        <v>0.93897372793331024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0.76908191071294552</v>
      </c>
      <c r="M91" s="115">
        <v>1.2279029753647634</v>
      </c>
      <c r="N91" s="115">
        <v>81.490017320925915</v>
      </c>
      <c r="O91" s="115">
        <v>1.3938733124531395</v>
      </c>
      <c r="P91" s="115">
        <v>1.3900751050519204</v>
      </c>
      <c r="Q91" s="111">
        <v>1.3938733124531397</v>
      </c>
      <c r="R91" s="68">
        <v>1.3900751050519204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0.27323080809449668</v>
      </c>
      <c r="M92" s="115">
        <v>7.0878163059949175</v>
      </c>
      <c r="N92" s="115">
        <v>1097.2103107761386</v>
      </c>
      <c r="O92" s="115">
        <v>11.398240081077008</v>
      </c>
      <c r="P92" s="115">
        <v>10.940814058210893</v>
      </c>
      <c r="Q92" s="111">
        <v>11.398240081077008</v>
      </c>
      <c r="R92" s="68">
        <v>10.940814058210895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0.99265344674523837</v>
      </c>
      <c r="M93" s="115">
        <v>0.93472995742345499</v>
      </c>
      <c r="N93" s="115">
        <v>0.62186356475862958</v>
      </c>
      <c r="O93" s="115">
        <v>0.84284282762172147</v>
      </c>
      <c r="P93" s="115">
        <v>0.9911935495088976</v>
      </c>
      <c r="Q93" s="111">
        <v>0.84284282762172147</v>
      </c>
      <c r="R93" s="68">
        <v>0.99119354950889771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0.99831284149254962</v>
      </c>
      <c r="M94" s="115">
        <v>0.9380487535029195</v>
      </c>
      <c r="N94" s="115">
        <v>0.15090143596745267</v>
      </c>
      <c r="O94" s="115">
        <v>0.82193336881604862</v>
      </c>
      <c r="P94" s="115">
        <v>0.95534298209896318</v>
      </c>
      <c r="Q94" s="111">
        <v>0.82193336881604873</v>
      </c>
      <c r="R94" s="68">
        <v>0.95534298209896318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0.94607527859422436</v>
      </c>
      <c r="M95" s="115">
        <v>0.92808966725983921</v>
      </c>
      <c r="N95" s="115">
        <v>6.383928185593482</v>
      </c>
      <c r="O95" s="115">
        <v>0.82246102892066453</v>
      </c>
      <c r="P95" s="115">
        <v>0.93557290315821273</v>
      </c>
      <c r="Q95" s="111">
        <v>0.82246102892066464</v>
      </c>
      <c r="R95" s="68">
        <v>0.93557290315821273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2.9845217350307125E-3</v>
      </c>
      <c r="M96" s="115">
        <v>130.10590371944133</v>
      </c>
      <c r="N96" s="115">
        <v>21338.816163279265</v>
      </c>
      <c r="O96" s="115">
        <v>127.43309537302429</v>
      </c>
      <c r="P96" s="115">
        <v>53.142526167956262</v>
      </c>
      <c r="Q96" s="111">
        <v>127.43309537302429</v>
      </c>
      <c r="R96" s="68">
        <v>53.142526167956262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0.68619813151028197</v>
      </c>
      <c r="M97" s="115">
        <v>1.5960329024304329</v>
      </c>
      <c r="N97" s="115">
        <v>152.96819994408756</v>
      </c>
      <c r="O97" s="115">
        <v>2.0168057373076484</v>
      </c>
      <c r="P97" s="115">
        <v>1.9331107815409443</v>
      </c>
      <c r="Q97" s="111">
        <v>2.0168057373076489</v>
      </c>
      <c r="R97" s="68">
        <v>1.9331107815409445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0.75502639527858739</v>
      </c>
      <c r="M98" s="115">
        <v>1.2800279726660035</v>
      </c>
      <c r="N98" s="115">
        <v>91.973716148275457</v>
      </c>
      <c r="O98" s="115">
        <v>1.4827173652034018</v>
      </c>
      <c r="P98" s="115">
        <v>1.4660467444665697</v>
      </c>
      <c r="Q98" s="111">
        <v>1.482717365203402</v>
      </c>
      <c r="R98" s="68">
        <v>1.4660467444665697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0.87658709661830914</v>
      </c>
      <c r="M99" s="115">
        <v>0.96537366722646012</v>
      </c>
      <c r="N99" s="115">
        <v>22.979546464791945</v>
      </c>
      <c r="O99" s="115">
        <v>0.93152658271365352</v>
      </c>
      <c r="P99" s="115">
        <v>1.0123487673847189</v>
      </c>
      <c r="Q99" s="111">
        <v>0.93152658271365363</v>
      </c>
      <c r="R99" s="68">
        <v>1.0123487673847189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1.6253138429669897E-2</v>
      </c>
      <c r="M100" s="115">
        <v>53.216083752931304</v>
      </c>
      <c r="N100" s="115">
        <v>8660.9172967133291</v>
      </c>
      <c r="O100" s="115">
        <v>61.667595500400537</v>
      </c>
      <c r="P100" s="115">
        <v>38.433881017888062</v>
      </c>
      <c r="Q100" s="111">
        <v>61.667595500400537</v>
      </c>
      <c r="R100" s="68">
        <v>38.433881017888069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0.33337200177194104</v>
      </c>
      <c r="M101" s="115">
        <v>5.6642829323237791</v>
      </c>
      <c r="N101" s="115">
        <v>858.77488689779068</v>
      </c>
      <c r="O101" s="115">
        <v>8.923085777563255</v>
      </c>
      <c r="P101" s="115">
        <v>8.4829936368081817</v>
      </c>
      <c r="Q101" s="111">
        <v>8.9230857775632568</v>
      </c>
      <c r="R101" s="68">
        <v>8.4829936368081817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0.12932434618287567</v>
      </c>
      <c r="M102" s="115">
        <v>12.922738998371122</v>
      </c>
      <c r="N102" s="115">
        <v>2063.1488716336471</v>
      </c>
      <c r="O102" s="115">
        <v>21.882707885462139</v>
      </c>
      <c r="P102" s="115">
        <v>21.743734712389585</v>
      </c>
      <c r="Q102" s="111">
        <v>21.882707885462139</v>
      </c>
      <c r="R102" s="68">
        <v>21.743734712389585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0.9836219428927524</v>
      </c>
      <c r="M103" s="115">
        <v>0.97829157594287519</v>
      </c>
      <c r="N103" s="115">
        <v>13.051437116659645</v>
      </c>
      <c r="O103" s="115">
        <v>1.3724041345550182</v>
      </c>
      <c r="P103" s="115">
        <v>1.9092297148682578</v>
      </c>
      <c r="Q103" s="111">
        <v>1.3724041345550182</v>
      </c>
      <c r="R103" s="68">
        <v>1.9092297148682578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0.10357626746461356</v>
      </c>
      <c r="M104" s="115">
        <v>4.5855921080620661</v>
      </c>
      <c r="N104" s="115">
        <v>1015.3972854916702</v>
      </c>
      <c r="O104" s="115">
        <v>43.355704525911499</v>
      </c>
      <c r="P104" s="115">
        <v>74.437207020954588</v>
      </c>
      <c r="Q104" s="111">
        <v>43.355704525911499</v>
      </c>
      <c r="R104" s="68">
        <v>74.437207020954588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0.96347962989730951</v>
      </c>
      <c r="M105" s="115">
        <v>0.9159206838966597</v>
      </c>
      <c r="N105" s="115">
        <v>1.8023844952462316</v>
      </c>
      <c r="O105" s="115">
        <v>0.81147568961375283</v>
      </c>
      <c r="P105" s="115">
        <v>0.93695609798845103</v>
      </c>
      <c r="Q105" s="111">
        <v>0.81147568961375294</v>
      </c>
      <c r="R105" s="68">
        <v>0.93695609798845114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0.94199804529049103</v>
      </c>
      <c r="M106" s="115">
        <v>0.92724990175239808</v>
      </c>
      <c r="N106" s="115">
        <v>6.8655015769077208</v>
      </c>
      <c r="O106" s="115">
        <v>0.82421813014827672</v>
      </c>
      <c r="P106" s="115">
        <v>0.93605297398985099</v>
      </c>
      <c r="Q106" s="111">
        <v>0.82421813014827683</v>
      </c>
      <c r="R106" s="68">
        <v>0.93605297398985099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0.15011963338538858</v>
      </c>
      <c r="M107" s="115">
        <v>29.832755025578454</v>
      </c>
      <c r="N107" s="115">
        <v>2841.8368910917843</v>
      </c>
      <c r="O107" s="115">
        <v>26.686159914050325</v>
      </c>
      <c r="P107" s="115">
        <v>26.852570152051612</v>
      </c>
      <c r="Q107" s="111">
        <v>26.686159914050325</v>
      </c>
      <c r="R107" s="68">
        <v>26.852570152051616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0.99574521579197994</v>
      </c>
      <c r="M108" s="115">
        <v>0.93533391532162025</v>
      </c>
      <c r="N108" s="115">
        <v>7.8103462582686772E-2</v>
      </c>
      <c r="O108" s="115">
        <v>0.82181031152972406</v>
      </c>
      <c r="P108" s="115">
        <v>0.95520040007151386</v>
      </c>
      <c r="Q108" s="111">
        <v>0.82181031152972417</v>
      </c>
      <c r="R108" s="68">
        <v>0.95520040007151386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4.9580905674734073</v>
      </c>
      <c r="M109" s="115">
        <v>10.658561505961373</v>
      </c>
      <c r="N109" s="115">
        <v>272.5081324742863</v>
      </c>
      <c r="O109" s="115">
        <v>1.2804514307275277</v>
      </c>
      <c r="P109" s="115">
        <v>1.4889645266880192</v>
      </c>
      <c r="Q109" s="111">
        <v>1.2804514307275277</v>
      </c>
      <c r="R109" s="68">
        <v>1.4889645266880194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0.98695344029805065</v>
      </c>
      <c r="M110" s="115">
        <v>0.92809248018828161</v>
      </c>
      <c r="N110" s="115">
        <v>0.22195705134501287</v>
      </c>
      <c r="O110" s="115">
        <v>0.81819993056542051</v>
      </c>
      <c r="P110" s="115">
        <v>0.95061021454796668</v>
      </c>
      <c r="Q110" s="111">
        <v>0.81819993056542051</v>
      </c>
      <c r="R110" s="68">
        <v>0.95061021454796668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0.99312672895399678</v>
      </c>
      <c r="M111" s="115">
        <v>0.93255961216477079</v>
      </c>
      <c r="N111" s="115">
        <v>3.2328518275050728E-3</v>
      </c>
      <c r="O111" s="115">
        <v>0.82184225237476194</v>
      </c>
      <c r="P111" s="115">
        <v>0.95528897724948858</v>
      </c>
      <c r="Q111" s="111">
        <v>0.82184225237476194</v>
      </c>
      <c r="R111" s="68">
        <v>0.95528897724948858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0.985131116094764</v>
      </c>
      <c r="M112" s="115">
        <v>0.92608859693232293</v>
      </c>
      <c r="N112" s="115">
        <v>0.16758093241621136</v>
      </c>
      <c r="O112" s="115">
        <v>0.81523089062324294</v>
      </c>
      <c r="P112" s="115">
        <v>0.94693964590767643</v>
      </c>
      <c r="Q112" s="111">
        <v>0.81523089062324294</v>
      </c>
      <c r="R112" s="68">
        <v>0.94693964590767643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0.94835888871237295</v>
      </c>
      <c r="M113" s="115">
        <v>0.91433549322303809</v>
      </c>
      <c r="N113" s="115">
        <v>3.8379629055221733</v>
      </c>
      <c r="O113" s="115">
        <v>0.81692887212204057</v>
      </c>
      <c r="P113" s="115">
        <v>0.93666432980665182</v>
      </c>
      <c r="Q113" s="111">
        <v>0.81692887212204068</v>
      </c>
      <c r="R113" s="68">
        <v>0.93666432980665182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0.98898118750875952</v>
      </c>
      <c r="M114" s="115">
        <v>0.92898095881893406</v>
      </c>
      <c r="N114" s="115">
        <v>5.2089687108190827E-2</v>
      </c>
      <c r="O114" s="115">
        <v>0.81741189165079875</v>
      </c>
      <c r="P114" s="115">
        <v>0.94990688514603461</v>
      </c>
      <c r="Q114" s="111">
        <v>0.81741189165079886</v>
      </c>
      <c r="R114" s="68">
        <v>0.94990688514603461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0.99086204774082309</v>
      </c>
      <c r="M115" s="115">
        <v>0.94494448045151636</v>
      </c>
      <c r="N115" s="115">
        <v>3.4721059446161227</v>
      </c>
      <c r="O115" s="115">
        <v>0.95616346456506829</v>
      </c>
      <c r="P115" s="115">
        <v>1.1868991967206537</v>
      </c>
      <c r="Q115" s="111">
        <v>0.95616346456506829</v>
      </c>
      <c r="R115" s="68">
        <v>1.1868991967206537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3.8950683401233857</v>
      </c>
      <c r="M116" s="115">
        <v>361.94446642541334</v>
      </c>
      <c r="N116" s="115">
        <v>10030.906326793945</v>
      </c>
      <c r="O116" s="115">
        <v>20.021171858632783</v>
      </c>
      <c r="P116" s="115">
        <v>26.034735108843634</v>
      </c>
      <c r="Q116" s="111">
        <v>20.021171858632787</v>
      </c>
      <c r="R116" s="68">
        <v>26.034735108843634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0.59279944311732891</v>
      </c>
      <c r="M117" s="115">
        <v>2.2116481295211243</v>
      </c>
      <c r="N117" s="115">
        <v>265.53767052498307</v>
      </c>
      <c r="O117" s="115">
        <v>3.0505509686013181</v>
      </c>
      <c r="P117" s="115">
        <v>2.8673669770727983</v>
      </c>
      <c r="Q117" s="111">
        <v>3.0505509686013181</v>
      </c>
      <c r="R117" s="68">
        <v>2.8673669770727988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2025-02-02T13:53:47Z</dcterms:modified>
</cp:coreProperties>
</file>