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8F8878A8-9C03-4EB3-BECF-8DBA33D81E51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<sst xmlns="http://schemas.openxmlformats.org/spreadsheetml/2006/main" count="2915" uniqueCount="495">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</sst>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1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0.80637644512992324</v>
      </c>
      <c r="M2" s="115">
        <v>2.0132301588427426</v>
      </c>
      <c r="N2" s="115">
        <v>55.130436423402955</v>
      </c>
      <c r="O2" s="115">
        <v>1.1765031048287375</v>
      </c>
      <c r="P2" s="115">
        <v>1.2075363409246931</v>
      </c>
      <c r="Q2" s="111">
        <v>1.1765031048287375</v>
      </c>
      <c r="R2" s="68">
        <v>1.2075363409246933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3.1739401367364235E-3</v>
      </c>
      <c r="M3" s="115">
        <v>408.25062799165642</v>
      </c>
      <c r="N3" s="115">
        <v>17483.981461129682</v>
      </c>
      <c r="O3" s="115">
        <v>105.44716504673508</v>
      </c>
      <c r="P3" s="115">
        <v>45.168457931188151</v>
      </c>
      <c r="Q3" s="111">
        <v>105.44716504673508</v>
      </c>
      <c r="R3" s="68">
        <v>45.168457931188151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0.49092987137206534</v>
      </c>
      <c r="M4" s="115">
        <v>10.412438852128403</v>
      </c>
      <c r="N4" s="115">
        <v>419.02886654130629</v>
      </c>
      <c r="O4" s="115">
        <v>4.5163055176687719</v>
      </c>
      <c r="P4" s="115">
        <v>4.2308611969840415</v>
      </c>
      <c r="Q4" s="111">
        <v>4.5163055176687719</v>
      </c>
      <c r="R4" s="68">
        <v>4.2308611969840415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3.1608602273608018E-2</v>
      </c>
      <c r="M5" s="115">
        <v>111.76810976390556</v>
      </c>
      <c r="N5" s="115">
        <v>4744.9681258598748</v>
      </c>
      <c r="O5" s="115">
        <v>41.794148310232089</v>
      </c>
      <c r="P5" s="115">
        <v>35.24114546371996</v>
      </c>
      <c r="Q5" s="111">
        <v>41.794148310232089</v>
      </c>
      <c r="R5" s="68">
        <v>35.24114546371996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1.5450970730714522E-3</v>
      </c>
      <c r="M6" s="115">
        <v>517.44957436722336</v>
      </c>
      <c r="N6" s="115">
        <v>22210.104506759752</v>
      </c>
      <c r="O6" s="115">
        <v>130.14217506873339</v>
      </c>
      <c r="P6" s="115">
        <v>51.553191456229229</v>
      </c>
      <c r="Q6" s="111">
        <v>130.14217506873339</v>
      </c>
      <c r="R6" s="68">
        <v>51.553191456229236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2.9093859428203353E-3</v>
      </c>
      <c r="M7" s="115">
        <v>430.47318221308444</v>
      </c>
      <c r="N7" s="115">
        <v>18441.742254470595</v>
      </c>
      <c r="O7" s="115">
        <v>110.65757050708511</v>
      </c>
      <c r="P7" s="115">
        <v>46.748644860151927</v>
      </c>
      <c r="Q7" s="111">
        <v>110.65757050708511</v>
      </c>
      <c r="R7" s="68">
        <v>46.748644860151927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6.0776123549901558E-3</v>
      </c>
      <c r="M8" s="115">
        <v>322.02852962998719</v>
      </c>
      <c r="N8" s="115">
        <v>13762.613940392552</v>
      </c>
      <c r="O8" s="115">
        <v>86.58236771354288</v>
      </c>
      <c r="P8" s="115">
        <v>41.415574988160401</v>
      </c>
      <c r="Q8" s="111">
        <v>86.58236771354288</v>
      </c>
      <c r="R8" s="68">
        <v>41.415574988160401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0.16566811853391342</v>
      </c>
      <c r="M9" s="115">
        <v>40.145263959834963</v>
      </c>
      <c r="N9" s="115">
        <v>1687.7038460096885</v>
      </c>
      <c r="O9" s="115">
        <v>17.733002523065586</v>
      </c>
      <c r="P9" s="115">
        <v>17.407579521102246</v>
      </c>
      <c r="Q9" s="111">
        <v>17.733002523065586</v>
      </c>
      <c r="R9" s="68">
        <v>17.407579521102246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2.9310258961453693E-2</v>
      </c>
      <c r="M10" s="115">
        <v>119.21518866579913</v>
      </c>
      <c r="N10" s="115">
        <v>5062.9840417850837</v>
      </c>
      <c r="O10" s="115">
        <v>43.302488196510268</v>
      </c>
      <c r="P10" s="115">
        <v>35.299639799805334</v>
      </c>
      <c r="Q10" s="111">
        <v>43.302488196510268</v>
      </c>
      <c r="R10" s="68">
        <v>35.299639799805334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2.5760758022017605E-2</v>
      </c>
      <c r="M11" s="115">
        <v>132.3143664936641</v>
      </c>
      <c r="N11" s="115">
        <v>5622.6846726457024</v>
      </c>
      <c r="O11" s="115">
        <v>45.95677689635113</v>
      </c>
      <c r="P11" s="115">
        <v>35.409084203022765</v>
      </c>
      <c r="Q11" s="111">
        <v>45.95677689635113</v>
      </c>
      <c r="R11" s="68">
        <v>35.409084203022765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0.1236597138609631</v>
      </c>
      <c r="M12" s="115">
        <v>48.849777382489854</v>
      </c>
      <c r="N12" s="115">
        <v>2058.912534513348</v>
      </c>
      <c r="O12" s="115">
        <v>21.848954160987994</v>
      </c>
      <c r="P12" s="115">
        <v>21.723501015445528</v>
      </c>
      <c r="Q12" s="111">
        <v>21.848954160987994</v>
      </c>
      <c r="R12" s="68">
        <v>21.723501015445532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0.16126125322988011</v>
      </c>
      <c r="M13" s="115">
        <v>40.937864683229797</v>
      </c>
      <c r="N13" s="115">
        <v>1721.4979592974091</v>
      </c>
      <c r="O13" s="115">
        <v>18.103647467142544</v>
      </c>
      <c r="P13" s="115">
        <v>17.792826238441499</v>
      </c>
      <c r="Q13" s="111">
        <v>18.103647467142547</v>
      </c>
      <c r="R13" s="68">
        <v>17.792826238441499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1.6998186289980888E-2</v>
      </c>
      <c r="M14" s="115">
        <v>179.97756544116604</v>
      </c>
      <c r="N14" s="115">
        <v>7662.0012239389607</v>
      </c>
      <c r="O14" s="115">
        <v>55.86562455707314</v>
      </c>
      <c r="P14" s="115">
        <v>36.300270230052483</v>
      </c>
      <c r="Q14" s="111">
        <v>55.865624557073147</v>
      </c>
      <c r="R14" s="68">
        <v>36.30027023005249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2.7492061049788227E-2</v>
      </c>
      <c r="M15" s="115">
        <v>125.65704403688741</v>
      </c>
      <c r="N15" s="115">
        <v>5338.1809632190052</v>
      </c>
      <c r="O15" s="115">
        <v>44.607263319178713</v>
      </c>
      <c r="P15" s="115">
        <v>35.351791037747667</v>
      </c>
      <c r="Q15" s="111">
        <v>44.607263319178713</v>
      </c>
      <c r="R15" s="68">
        <v>35.351791037747667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6.2674244850978236E-3</v>
      </c>
      <c r="M16" s="115">
        <v>316.94128432440527</v>
      </c>
      <c r="N16" s="115">
        <v>13543.70157021655</v>
      </c>
      <c r="O16" s="115">
        <v>85.44380913779807</v>
      </c>
      <c r="P16" s="115">
        <v>41.156725661271665</v>
      </c>
      <c r="Q16" s="111">
        <v>85.44380913779807</v>
      </c>
      <c r="R16" s="68">
        <v>41.156725661271665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3.0833166288940356E-2</v>
      </c>
      <c r="M17" s="115">
        <v>114.23441091269704</v>
      </c>
      <c r="N17" s="115">
        <v>4850.2683005223234</v>
      </c>
      <c r="O17" s="115">
        <v>42.296814633083088</v>
      </c>
      <c r="P17" s="115">
        <v>35.265942323675894</v>
      </c>
      <c r="Q17" s="111">
        <v>42.296814633083088</v>
      </c>
      <c r="R17" s="68">
        <v>35.265942323675894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0.18495465592707344</v>
      </c>
      <c r="M18" s="115">
        <v>36.358470713828211</v>
      </c>
      <c r="N18" s="115">
        <v>1526.4639323497458</v>
      </c>
      <c r="O18" s="115">
        <v>15.981135509460287</v>
      </c>
      <c r="P18" s="115">
        <v>15.603811587210803</v>
      </c>
      <c r="Q18" s="111">
        <v>15.981135509460287</v>
      </c>
      <c r="R18" s="68">
        <v>15.603811587210803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2.7140062333858985E-2</v>
      </c>
      <c r="M19" s="115">
        <v>126.97670458169451</v>
      </c>
      <c r="N19" s="115">
        <v>5394.5677562909787</v>
      </c>
      <c r="O19" s="115">
        <v>44.875479512328418</v>
      </c>
      <c r="P19" s="115">
        <v>35.364298121754246</v>
      </c>
      <c r="Q19" s="111">
        <v>44.875479512328425</v>
      </c>
      <c r="R19" s="68">
        <v>35.364298121754246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0.16132219248006885</v>
      </c>
      <c r="M20" s="115">
        <v>40.953334752624386</v>
      </c>
      <c r="N20" s="115">
        <v>1722.1484986721184</v>
      </c>
      <c r="O20" s="115">
        <v>18.110488680888764</v>
      </c>
      <c r="P20" s="115">
        <v>17.799549995500257</v>
      </c>
      <c r="Q20" s="111">
        <v>18.110488680888764</v>
      </c>
      <c r="R20" s="68">
        <v>17.799549995500261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1.9197533846761317E-2</v>
      </c>
      <c r="M21" s="115">
        <v>164.75867374556341</v>
      </c>
      <c r="N21" s="115">
        <v>7010.4619905252466</v>
      </c>
      <c r="O21" s="115">
        <v>52.637609221687207</v>
      </c>
      <c r="P21" s="115">
        <v>35.894186274557619</v>
      </c>
      <c r="Q21" s="111">
        <v>52.637609221687214</v>
      </c>
      <c r="R21" s="68">
        <v>35.894186274557619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0.65039972881620234</v>
      </c>
      <c r="M22" s="115">
        <v>4.8771746889241907</v>
      </c>
      <c r="N22" s="115">
        <v>180.69693876798664</v>
      </c>
      <c r="O22" s="115">
        <v>2.2648587907654338</v>
      </c>
      <c r="P22" s="115">
        <v>2.1540040049634936</v>
      </c>
      <c r="Q22" s="111">
        <v>2.2648587907654338</v>
      </c>
      <c r="R22" s="68">
        <v>2.1540040049634936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0.75961906039823179</v>
      </c>
      <c r="M23" s="115">
        <v>2.6828527632237726</v>
      </c>
      <c r="N23" s="115">
        <v>84.822376442721293</v>
      </c>
      <c r="O23" s="115">
        <v>1.4217093507090688</v>
      </c>
      <c r="P23" s="115">
        <v>1.413728021023354</v>
      </c>
      <c r="Q23" s="111">
        <v>1.421709350709069</v>
      </c>
      <c r="R23" s="68">
        <v>1.4137280210233543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0.32255902149149496</v>
      </c>
      <c r="M24" s="115">
        <v>20.87277942652296</v>
      </c>
      <c r="N24" s="115">
        <v>866.1338414341692</v>
      </c>
      <c r="O24" s="115">
        <v>8.9982203931402456</v>
      </c>
      <c r="P24" s="115">
        <v>8.5584604243222397</v>
      </c>
      <c r="Q24" s="111">
        <v>8.9982203931402456</v>
      </c>
      <c r="R24" s="68">
        <v>8.5584604243222415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7.7893546336441397E-2</v>
      </c>
      <c r="M25" s="115">
        <v>57.722245130720886</v>
      </c>
      <c r="N25" s="115">
        <v>2439.0659053475742</v>
      </c>
      <c r="O25" s="115">
        <v>26.272614134872189</v>
      </c>
      <c r="P25" s="115">
        <v>26.559662155912509</v>
      </c>
      <c r="Q25" s="111">
        <v>26.272614134872189</v>
      </c>
      <c r="R25" s="68">
        <v>26.559662155912513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2.0826401935096522E-2</v>
      </c>
      <c r="M26" s="115">
        <v>155.38521657587614</v>
      </c>
      <c r="N26" s="115">
        <v>6609.3156541412363</v>
      </c>
      <c r="O26" s="115">
        <v>50.690310429050797</v>
      </c>
      <c r="P26" s="115">
        <v>35.720136429126825</v>
      </c>
      <c r="Q26" s="111">
        <v>50.690310429050804</v>
      </c>
      <c r="R26" s="68">
        <v>35.720136429126832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3.4781101712427712E-3</v>
      </c>
      <c r="M27" s="115">
        <v>398.0990067057661</v>
      </c>
      <c r="N27" s="115">
        <v>17044.559027782205</v>
      </c>
      <c r="O27" s="115">
        <v>103.26387058414188</v>
      </c>
      <c r="P27" s="115">
        <v>44.777966099432575</v>
      </c>
      <c r="Q27" s="111">
        <v>103.26387058414188</v>
      </c>
      <c r="R27" s="68">
        <v>44.777966099432575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1.1567919848950304E-2</v>
      </c>
      <c r="M28" s="115">
        <v>229.99594778181725</v>
      </c>
      <c r="N28" s="115">
        <v>9806.4151715048356</v>
      </c>
      <c r="O28" s="115">
        <v>66.523561178760829</v>
      </c>
      <c r="P28" s="115">
        <v>37.76496068639527</v>
      </c>
      <c r="Q28" s="111">
        <v>66.523561178760829</v>
      </c>
      <c r="R28" s="68">
        <v>37.76496068639527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1.574428792521378E-2</v>
      </c>
      <c r="M29" s="115">
        <v>155.42979324572951</v>
      </c>
      <c r="N29" s="115">
        <v>6615.8123108434129</v>
      </c>
      <c r="O29" s="115">
        <v>48.696209281867588</v>
      </c>
      <c r="P29" s="115">
        <v>32.150235824980605</v>
      </c>
      <c r="Q29" s="111">
        <v>48.696209281867588</v>
      </c>
      <c r="R29" s="68">
        <v>32.150235824980612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1.1567919848950304E-2</v>
      </c>
      <c r="M30" s="115">
        <v>229.99594778181725</v>
      </c>
      <c r="N30" s="115">
        <v>9806.4151715048356</v>
      </c>
      <c r="O30" s="115">
        <v>66.523561178760829</v>
      </c>
      <c r="P30" s="115">
        <v>37.76496068639527</v>
      </c>
      <c r="Q30" s="111">
        <v>66.523561178760829</v>
      </c>
      <c r="R30" s="68">
        <v>37.76496068639527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0.97024752383286272</v>
      </c>
      <c r="M31" s="115">
        <v>0.86142025753574347</v>
      </c>
      <c r="N31" s="115">
        <v>1.1369281594465537</v>
      </c>
      <c r="O31" s="115">
        <v>0.81125453557295724</v>
      </c>
      <c r="P31" s="115">
        <v>0.93893287499891054</v>
      </c>
      <c r="Q31" s="111">
        <v>0.81125453557295724</v>
      </c>
      <c r="R31" s="68">
        <v>0.93893287499891065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0.56178952971212748</v>
      </c>
      <c r="M32" s="115">
        <v>7.9502925292859086</v>
      </c>
      <c r="N32" s="115">
        <v>309.82908358459491</v>
      </c>
      <c r="O32" s="115">
        <v>3.1725748357046992</v>
      </c>
      <c r="P32" s="115">
        <v>2.9142154451983062</v>
      </c>
      <c r="Q32" s="111">
        <v>3.1725748357046992</v>
      </c>
      <c r="R32" s="68">
        <v>2.9142154451983062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0.99291048328620657</v>
      </c>
      <c r="M33" s="115">
        <v>0.86398863042407836</v>
      </c>
      <c r="N33" s="115">
        <v>0.59133871785483649</v>
      </c>
      <c r="O33" s="115">
        <v>0.84222084005747244</v>
      </c>
      <c r="P33" s="115">
        <v>0.99009442324915498</v>
      </c>
      <c r="Q33" s="111">
        <v>0.84222084005747255</v>
      </c>
      <c r="R33" s="68">
        <v>0.99009442324915498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0.92231484048542578</v>
      </c>
      <c r="M34" s="115">
        <v>2.1376744221205071</v>
      </c>
      <c r="N34" s="115">
        <v>75.612765412665809</v>
      </c>
      <c r="O34" s="115">
        <v>4.4125517494296069</v>
      </c>
      <c r="P34" s="115">
        <v>7.2137131430958048</v>
      </c>
      <c r="Q34" s="111">
        <v>4.4125517494296069</v>
      </c>
      <c r="R34" s="68">
        <v>7.2137131430958048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0.82674946625615842</v>
      </c>
      <c r="M35" s="115">
        <v>3.5982290955966167</v>
      </c>
      <c r="N35" s="115">
        <v>161.75434011958001</v>
      </c>
      <c r="O35" s="115">
        <v>8.9062988471287419</v>
      </c>
      <c r="P35" s="115">
        <v>15.074954225077693</v>
      </c>
      <c r="Q35" s="111">
        <v>8.9062988471287436</v>
      </c>
      <c r="R35" s="68">
        <v>15.074954225077695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0.54723725056426908</v>
      </c>
      <c r="M36" s="115">
        <v>7.4479339994024993</v>
      </c>
      <c r="N36" s="115">
        <v>389.56506995824481</v>
      </c>
      <c r="O36" s="115">
        <v>21.884953988413596</v>
      </c>
      <c r="P36" s="115">
        <v>37.855957266255345</v>
      </c>
      <c r="Q36" s="111">
        <v>21.884953988413599</v>
      </c>
      <c r="R36" s="68">
        <v>37.855957266255345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0.59179048183508198</v>
      </c>
      <c r="M37" s="115">
        <v>11.384829687976943</v>
      </c>
      <c r="N37" s="115">
        <v>495.40468832140687</v>
      </c>
      <c r="O37" s="115">
        <v>11.611774915322801</v>
      </c>
      <c r="P37" s="115">
        <v>17.348335681627823</v>
      </c>
      <c r="Q37" s="111">
        <v>11.611774915322801</v>
      </c>
      <c r="R37" s="68">
        <v>17.348335681627823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0.93664583102704524</v>
      </c>
      <c r="M38" s="115">
        <v>1.9106540934550162</v>
      </c>
      <c r="N38" s="115">
        <v>61.433336245159857</v>
      </c>
      <c r="O38" s="115">
        <v>3.6043664782186422</v>
      </c>
      <c r="P38" s="115">
        <v>5.7857484222028592</v>
      </c>
      <c r="Q38" s="111">
        <v>3.6043664782186422</v>
      </c>
      <c r="R38" s="68">
        <v>5.7857484222028592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4.8436665932346384E-2</v>
      </c>
      <c r="M39" s="115">
        <v>75.697248063927077</v>
      </c>
      <c r="N39" s="115">
        <v>3206.3362713198976</v>
      </c>
      <c r="O39" s="115">
        <v>34.741303562216871</v>
      </c>
      <c r="P39" s="115">
        <v>35.440965118784796</v>
      </c>
      <c r="Q39" s="111">
        <v>34.741303562216871</v>
      </c>
      <c r="R39" s="68">
        <v>35.440965118784796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7.2575192389972764E-3</v>
      </c>
      <c r="M40" s="115">
        <v>731.44427897332616</v>
      </c>
      <c r="N40" s="115">
        <v>40230.352580695399</v>
      </c>
      <c r="O40" s="115">
        <v>141.9953618434163</v>
      </c>
      <c r="P40" s="115">
        <v>93.112561762378292</v>
      </c>
      <c r="Q40" s="111">
        <v>141.99536184341633</v>
      </c>
      <c r="R40" s="68">
        <v>93.112561762378292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0.90777596089544144</v>
      </c>
      <c r="M41" s="115">
        <v>0.78188309172897974</v>
      </c>
      <c r="N41" s="115">
        <v>6.4226786217209661E-2</v>
      </c>
      <c r="O41" s="115">
        <v>0.75045860504308648</v>
      </c>
      <c r="P41" s="115">
        <v>0.87203735656734027</v>
      </c>
      <c r="Q41" s="111">
        <v>0.75045860504308659</v>
      </c>
      <c r="R41" s="68">
        <v>0.87203735656734027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0.62352903075268973</v>
      </c>
      <c r="M42" s="115">
        <v>5.6431211770536862</v>
      </c>
      <c r="N42" s="115">
        <v>213.80009227673457</v>
      </c>
      <c r="O42" s="115">
        <v>2.5689842210598726</v>
      </c>
      <c r="P42" s="115">
        <v>2.4283264729601592</v>
      </c>
      <c r="Q42" s="111">
        <v>2.5689842210598726</v>
      </c>
      <c r="R42" s="68">
        <v>2.4283264729601592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8.1071972734035561E-2</v>
      </c>
      <c r="M43" s="115">
        <v>27.112221930899143</v>
      </c>
      <c r="N43" s="115">
        <v>1504.4432362642801</v>
      </c>
      <c r="O43" s="115">
        <v>45.272491719176834</v>
      </c>
      <c r="P43" s="115">
        <v>76.090410698691329</v>
      </c>
      <c r="Q43" s="111">
        <v>45.272491719176834</v>
      </c>
      <c r="R43" s="68">
        <v>76.090410698691343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0.77791687875889326</v>
      </c>
      <c r="M44" s="115">
        <v>1.3793238509261809</v>
      </c>
      <c r="N44" s="115">
        <v>29.662094439009461</v>
      </c>
      <c r="O44" s="115">
        <v>0.91354538587322653</v>
      </c>
      <c r="P44" s="115">
        <v>0.97282308878265411</v>
      </c>
      <c r="Q44" s="111">
        <v>0.91354538587322665</v>
      </c>
      <c r="R44" s="68">
        <v>0.97282308878265411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0.59696171598262038</v>
      </c>
      <c r="M45" s="115">
        <v>6.4062290565850253</v>
      </c>
      <c r="N45" s="115">
        <v>246.79287648591153</v>
      </c>
      <c r="O45" s="115">
        <v>2.8741385847793528</v>
      </c>
      <c r="P45" s="115">
        <v>2.705766314668951</v>
      </c>
      <c r="Q45" s="111">
        <v>2.8741385847793528</v>
      </c>
      <c r="R45" s="68">
        <v>2.705766314668951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0.61236790150946407</v>
      </c>
      <c r="M46" s="115">
        <v>5.9058219108261945</v>
      </c>
      <c r="N46" s="115">
        <v>225.22984430955503</v>
      </c>
      <c r="O46" s="115">
        <v>2.673033252670002</v>
      </c>
      <c r="P46" s="115">
        <v>2.522456967394707</v>
      </c>
      <c r="Q46" s="111">
        <v>2.673033252670002</v>
      </c>
      <c r="R46" s="68">
        <v>2.5224569673947075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3.2298762275758263E-3</v>
      </c>
      <c r="M47" s="115">
        <v>415.44545310769195</v>
      </c>
      <c r="N47" s="115">
        <v>17792.111272377409</v>
      </c>
      <c r="O47" s="115">
        <v>107.30551837058717</v>
      </c>
      <c r="P47" s="115">
        <v>45.964486481528915</v>
      </c>
      <c r="Q47" s="111">
        <v>107.30551837058717</v>
      </c>
      <c r="R47" s="68">
        <v>45.964486481528922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0.9057006491047993</v>
      </c>
      <c r="M48" s="115">
        <v>1.0244255730663607</v>
      </c>
      <c r="N48" s="115">
        <v>10.250471853007911</v>
      </c>
      <c r="O48" s="115">
        <v>0.83937104562155074</v>
      </c>
      <c r="P48" s="115">
        <v>0.94283967739862751</v>
      </c>
      <c r="Q48" s="111">
        <v>0.83937104562155074</v>
      </c>
      <c r="R48" s="68">
        <v>0.94283967739862762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0.87015267844571542</v>
      </c>
      <c r="M49" s="115">
        <v>1.1713221158977811</v>
      </c>
      <c r="N49" s="115">
        <v>17.660270664065749</v>
      </c>
      <c r="O49" s="115">
        <v>0.87785840387421188</v>
      </c>
      <c r="P49" s="115">
        <v>0.96552103046412174</v>
      </c>
      <c r="Q49" s="111">
        <v>0.87785840387421188</v>
      </c>
      <c r="R49" s="68">
        <v>0.96552103046412185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0.19047630883777214</v>
      </c>
      <c r="M50" s="115">
        <v>34.923205344182392</v>
      </c>
      <c r="N50" s="115">
        <v>1465.4928070926501</v>
      </c>
      <c r="O50" s="115">
        <v>15.326023896647808</v>
      </c>
      <c r="P50" s="115">
        <v>14.937678269009419</v>
      </c>
      <c r="Q50" s="111">
        <v>15.326023896647808</v>
      </c>
      <c r="R50" s="68">
        <v>14.937678269009419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0.89916207407240478</v>
      </c>
      <c r="M51" s="115">
        <v>0.81736595507697118</v>
      </c>
      <c r="N51" s="115">
        <v>1.8469807102341846</v>
      </c>
      <c r="O51" s="115">
        <v>0.75873674427694093</v>
      </c>
      <c r="P51" s="115">
        <v>0.87552560817290681</v>
      </c>
      <c r="Q51" s="111">
        <v>0.75873674427694104</v>
      </c>
      <c r="R51" s="68">
        <v>0.87552560817290681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0.75065795800169322</v>
      </c>
      <c r="M52" s="115">
        <v>1.845778408087458</v>
      </c>
      <c r="N52" s="115">
        <v>50.136190211565228</v>
      </c>
      <c r="O52" s="115">
        <v>1.0839897650262362</v>
      </c>
      <c r="P52" s="115">
        <v>1.1142917232209193</v>
      </c>
      <c r="Q52" s="111">
        <v>1.0839897650262365</v>
      </c>
      <c r="R52" s="68">
        <v>1.1142917232209195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0.51063155104434865</v>
      </c>
      <c r="M53" s="115">
        <v>9.4726327266521348</v>
      </c>
      <c r="N53" s="115">
        <v>378.78279959424657</v>
      </c>
      <c r="O53" s="115">
        <v>4.1256794294705879</v>
      </c>
      <c r="P53" s="115">
        <v>3.8640769806418627</v>
      </c>
      <c r="Q53" s="111">
        <v>4.1256794294705887</v>
      </c>
      <c r="R53" s="68">
        <v>3.8640769806418627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4.3817126354873939E-3</v>
      </c>
      <c r="M54" s="115">
        <v>370.27415518987408</v>
      </c>
      <c r="N54" s="115">
        <v>15841.944499319437</v>
      </c>
      <c r="O54" s="115">
        <v>97.244286460958179</v>
      </c>
      <c r="P54" s="115">
        <v>43.667972266026602</v>
      </c>
      <c r="Q54" s="111">
        <v>97.244286460958179</v>
      </c>
      <c r="R54" s="68">
        <v>43.667972266026602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0.2343339084004234</v>
      </c>
      <c r="M55" s="115">
        <v>17.412473817522855</v>
      </c>
      <c r="N55" s="115">
        <v>724.04383415958841</v>
      </c>
      <c r="O55" s="115">
        <v>7.5180033876450478</v>
      </c>
      <c r="P55" s="115">
        <v>7.1714944021092464</v>
      </c>
      <c r="Q55" s="111">
        <v>7.5180033876450487</v>
      </c>
      <c r="R55" s="68">
        <v>7.1714944021092473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2.2192980118576809E-2</v>
      </c>
      <c r="M56" s="115">
        <v>8.1754790685881158</v>
      </c>
      <c r="N56" s="115">
        <v>344.46592043050867</v>
      </c>
      <c r="O56" s="115">
        <v>3.649865147269205</v>
      </c>
      <c r="P56" s="115">
        <v>3.6222481768222048</v>
      </c>
      <c r="Q56" s="111">
        <v>3.649865147269205</v>
      </c>
      <c r="R56" s="68">
        <v>3.6222481768222052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3.3327292345875136E-2</v>
      </c>
      <c r="M57" s="115">
        <v>3.3439623254285609</v>
      </c>
      <c r="N57" s="115">
        <v>139.57211715026497</v>
      </c>
      <c r="O57" s="115">
        <v>1.450105778797959</v>
      </c>
      <c r="P57" s="115">
        <v>1.3926611716802195</v>
      </c>
      <c r="Q57" s="111">
        <v>1.450105778797959</v>
      </c>
      <c r="R57" s="68">
        <v>1.3926611716802195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5.9215066866074285E-2</v>
      </c>
      <c r="M58" s="115">
        <v>8.7281348595165398E-2</v>
      </c>
      <c r="N58" s="115">
        <v>1.5179970699882932</v>
      </c>
      <c r="O58" s="115">
        <v>6.2657442589005755E-2</v>
      </c>
      <c r="P58" s="115">
        <v>6.8172756515914354E-2</v>
      </c>
      <c r="Q58" s="111">
        <v>6.2657442589005768E-2</v>
      </c>
      <c r="R58" s="68">
        <v>6.8172756515914354E-2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1.2619386838256899E-2</v>
      </c>
      <c r="M59" s="115">
        <v>1.1813125023018536</v>
      </c>
      <c r="N59" s="115">
        <v>49.267351980734396</v>
      </c>
      <c r="O59" s="115">
        <v>0.51170092360409158</v>
      </c>
      <c r="P59" s="115">
        <v>0.49064089221645096</v>
      </c>
      <c r="Q59" s="111">
        <v>0.51170092360409158</v>
      </c>
      <c r="R59" s="68">
        <v>0.49064089221645102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4.498171807512681E-4</v>
      </c>
      <c r="M60" s="115">
        <v>1.9702295704062726E-2</v>
      </c>
      <c r="N60" s="115">
        <v>0.81154661649009463</v>
      </c>
      <c r="O60" s="115">
        <v>8.4747893917988312E-3</v>
      </c>
      <c r="P60" s="115">
        <v>8.0017740672863116E-3</v>
      </c>
      <c r="Q60" s="111">
        <v>8.4747893917988312E-3</v>
      </c>
      <c r="R60" s="68">
        <v>8.0017740672863116E-3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0.43111916237591413</v>
      </c>
      <c r="M61" s="115">
        <v>13.415777574209942</v>
      </c>
      <c r="N61" s="115">
        <v>547.6472363294082</v>
      </c>
      <c r="O61" s="115">
        <v>5.7789281602967391</v>
      </c>
      <c r="P61" s="115">
        <v>5.4298010300837571</v>
      </c>
      <c r="Q61" s="111">
        <v>5.7789281602967399</v>
      </c>
      <c r="R61" s="68">
        <v>5.4298010300837571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1.7478595844857496E-2</v>
      </c>
      <c r="M62" s="115">
        <v>176.62517678094525</v>
      </c>
      <c r="N62" s="115">
        <v>7518.4188990430466</v>
      </c>
      <c r="O62" s="115">
        <v>55.163708972455922</v>
      </c>
      <c r="P62" s="115">
        <v>36.226553725830655</v>
      </c>
      <c r="Q62" s="111">
        <v>55.163708972455922</v>
      </c>
      <c r="R62" s="68">
        <v>36.226553725830655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1.8587461835044971E-3</v>
      </c>
      <c r="M63" s="115">
        <v>492.91221530926776</v>
      </c>
      <c r="N63" s="115">
        <v>21145.43238528688</v>
      </c>
      <c r="O63" s="115">
        <v>124.63361437438418</v>
      </c>
      <c r="P63" s="115">
        <v>50.155631542121924</v>
      </c>
      <c r="Q63" s="111">
        <v>124.63361437438418</v>
      </c>
      <c r="R63" s="68">
        <v>50.155631542121924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7.0150895413206241E-4</v>
      </c>
      <c r="M64" s="115">
        <v>611.69891739846787</v>
      </c>
      <c r="N64" s="115">
        <v>26313.663614645393</v>
      </c>
      <c r="O64" s="115">
        <v>151.33458831967377</v>
      </c>
      <c r="P64" s="115">
        <v>57.172041865616201</v>
      </c>
      <c r="Q64" s="111">
        <v>151.3345883196738</v>
      </c>
      <c r="R64" s="68">
        <v>57.172041865616201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2.1320973189998196E-4</v>
      </c>
      <c r="M65" s="115">
        <v>719.83839226719283</v>
      </c>
      <c r="N65" s="115">
        <v>31061.731536253545</v>
      </c>
      <c r="O65" s="115">
        <v>175.5900544524886</v>
      </c>
      <c r="P65" s="115">
        <v>64.044316575742329</v>
      </c>
      <c r="Q65" s="111">
        <v>175.59005445248863</v>
      </c>
      <c r="R65" s="68">
        <v>64.044316575742329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4.2381428347707136E-4</v>
      </c>
      <c r="M66" s="115">
        <v>662.35927937951556</v>
      </c>
      <c r="N66" s="115">
        <v>28531.171345814524</v>
      </c>
      <c r="O66" s="115">
        <v>162.7203225146302</v>
      </c>
      <c r="P66" s="115">
        <v>60.340825845590402</v>
      </c>
      <c r="Q66" s="111">
        <v>162.72032251463023</v>
      </c>
      <c r="R66" s="68">
        <v>60.340825845590402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0.83451483803850623</v>
      </c>
      <c r="M67" s="115">
        <v>1.6361344993019122</v>
      </c>
      <c r="N67" s="115">
        <v>38.357107972219403</v>
      </c>
      <c r="O67" s="115">
        <v>1.0412232135981518</v>
      </c>
      <c r="P67" s="115">
        <v>1.0963439970979187</v>
      </c>
      <c r="Q67" s="111">
        <v>1.0412232135981518</v>
      </c>
      <c r="R67" s="68">
        <v>1.0963439970979187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0.77913223525913178</v>
      </c>
      <c r="M68" s="115">
        <v>2.2432786653382979</v>
      </c>
      <c r="N68" s="115">
        <v>65.730865281397541</v>
      </c>
      <c r="O68" s="115">
        <v>1.2551001466892133</v>
      </c>
      <c r="P68" s="115">
        <v>1.2705512861347459</v>
      </c>
      <c r="Q68" s="111">
        <v>1.2551001466892133</v>
      </c>
      <c r="R68" s="68">
        <v>1.2705512861347461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6.5484637600685802E-3</v>
      </c>
      <c r="M69" s="115">
        <v>308.76048890773501</v>
      </c>
      <c r="N69" s="115">
        <v>13191.925692209472</v>
      </c>
      <c r="O69" s="115">
        <v>83.585126368718122</v>
      </c>
      <c r="P69" s="115">
        <v>40.693589920641017</v>
      </c>
      <c r="Q69" s="111">
        <v>83.585126368718122</v>
      </c>
      <c r="R69" s="68">
        <v>40.693589920641024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9.3320080086803758E-2</v>
      </c>
      <c r="M70" s="115">
        <v>56.068348070846874</v>
      </c>
      <c r="N70" s="115">
        <v>2367.3337667069009</v>
      </c>
      <c r="O70" s="115">
        <v>25.367852075604684</v>
      </c>
      <c r="P70" s="115">
        <v>25.503016160632363</v>
      </c>
      <c r="Q70" s="111">
        <v>25.367852075604684</v>
      </c>
      <c r="R70" s="68">
        <v>25.503016160632363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0.77563741213615656</v>
      </c>
      <c r="M71" s="115">
        <v>2.0936196759944061</v>
      </c>
      <c r="N71" s="115">
        <v>59.598574825789214</v>
      </c>
      <c r="O71" s="115">
        <v>1.1939684844480114</v>
      </c>
      <c r="P71" s="115">
        <v>1.2160864235192239</v>
      </c>
      <c r="Q71" s="111">
        <v>1.1939684844480114</v>
      </c>
      <c r="R71" s="68">
        <v>1.2160864235192239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0.10034353880676707</v>
      </c>
      <c r="M72" s="115">
        <v>51.214879737629381</v>
      </c>
      <c r="N72" s="115">
        <v>2161.0048640281875</v>
      </c>
      <c r="O72" s="115">
        <v>23.066729123174376</v>
      </c>
      <c r="P72" s="115">
        <v>23.089817033782236</v>
      </c>
      <c r="Q72" s="111">
        <v>23.066729123174376</v>
      </c>
      <c r="R72" s="68">
        <v>23.089817033782236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0.40533102175686525</v>
      </c>
      <c r="M73" s="115">
        <v>14.131177524902718</v>
      </c>
      <c r="N73" s="115">
        <v>578.76707669723203</v>
      </c>
      <c r="O73" s="115">
        <v>6.0816459619527095</v>
      </c>
      <c r="P73" s="115">
        <v>5.7223922096333109</v>
      </c>
      <c r="Q73" s="111">
        <v>6.0816459619527095</v>
      </c>
      <c r="R73" s="68">
        <v>5.7223922096333109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9.5664188718224713E-2</v>
      </c>
      <c r="M74" s="115">
        <v>54.859441756496118</v>
      </c>
      <c r="N74" s="115">
        <v>2315.8707897905297</v>
      </c>
      <c r="O74" s="115">
        <v>24.788418971354382</v>
      </c>
      <c r="P74" s="115">
        <v>24.88978509037474</v>
      </c>
      <c r="Q74" s="111">
        <v>24.788418971354382</v>
      </c>
      <c r="R74" s="68">
        <v>24.88978509037474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4.042359269009857E-2</v>
      </c>
      <c r="M75" s="115">
        <v>91.325071719498979</v>
      </c>
      <c r="N75" s="115">
        <v>5116.5476260713885</v>
      </c>
      <c r="O75" s="115">
        <v>55.665273378768141</v>
      </c>
      <c r="P75" s="115">
        <v>81.220302927203306</v>
      </c>
      <c r="Q75" s="111">
        <v>55.665273378768141</v>
      </c>
      <c r="R75" s="68">
        <v>81.220302927203306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4.0423592891888058E-2</v>
      </c>
      <c r="M76" s="115">
        <v>91.32507217538226</v>
      </c>
      <c r="N76" s="115">
        <v>5116.5476516125518</v>
      </c>
      <c r="O76" s="115">
        <v>55.665273656642192</v>
      </c>
      <c r="P76" s="115">
        <v>81.220303332644846</v>
      </c>
      <c r="Q76" s="111">
        <v>55.665273656642192</v>
      </c>
      <c r="R76" s="68">
        <v>81.22030333264486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0.22311552676350924</v>
      </c>
      <c r="M77" s="115">
        <v>28.220503544341963</v>
      </c>
      <c r="N77" s="115">
        <v>1180.6508539665185</v>
      </c>
      <c r="O77" s="115">
        <v>12.288776691473442</v>
      </c>
      <c r="P77" s="115">
        <v>11.867316702555563</v>
      </c>
      <c r="Q77" s="111">
        <v>12.288776691473444</v>
      </c>
      <c r="R77" s="68">
        <v>11.867316702555565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0.61158871604852338</v>
      </c>
      <c r="M78" s="115">
        <v>5.0886398402433048</v>
      </c>
      <c r="N78" s="115">
        <v>190.98348923663144</v>
      </c>
      <c r="O78" s="115">
        <v>2.3360188307542158</v>
      </c>
      <c r="P78" s="115">
        <v>2.2136774990496653</v>
      </c>
      <c r="Q78" s="111">
        <v>2.3360188307542158</v>
      </c>
      <c r="R78" s="68">
        <v>2.2136774990496653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0.49965442069699395</v>
      </c>
      <c r="M79" s="115">
        <v>9.6913268464143609</v>
      </c>
      <c r="N79" s="115">
        <v>388.38822489253215</v>
      </c>
      <c r="O79" s="115">
        <v>4.2146543110645869</v>
      </c>
      <c r="P79" s="115">
        <v>3.9474838458495314</v>
      </c>
      <c r="Q79" s="111">
        <v>4.2146543110645878</v>
      </c>
      <c r="R79" s="68">
        <v>3.9474838458495314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2.6876228969969572E-2</v>
      </c>
      <c r="M80" s="115">
        <v>173.94441024606277</v>
      </c>
      <c r="N80" s="115">
        <v>9747.8630553733365</v>
      </c>
      <c r="O80" s="115">
        <v>67.146869992686405</v>
      </c>
      <c r="P80" s="115">
        <v>84.251907359804406</v>
      </c>
      <c r="Q80" s="111">
        <v>67.146869992686405</v>
      </c>
      <c r="R80" s="68">
        <v>84.251907359804406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0.96472231241755135</v>
      </c>
      <c r="M81" s="115">
        <v>0.86977628361832282</v>
      </c>
      <c r="N81" s="115">
        <v>1.6824012729345059</v>
      </c>
      <c r="O81" s="115">
        <v>0.81144038985474298</v>
      </c>
      <c r="P81" s="115">
        <v>0.93731452107864854</v>
      </c>
      <c r="Q81" s="111">
        <v>0.81144038985474298</v>
      </c>
      <c r="R81" s="68">
        <v>0.93731452107864865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0.76442191415217731</v>
      </c>
      <c r="M82" s="115">
        <v>2.6066732507005868</v>
      </c>
      <c r="N82" s="115">
        <v>81.46171049170529</v>
      </c>
      <c r="O82" s="115">
        <v>1.3933891288057683</v>
      </c>
      <c r="P82" s="115">
        <v>1.3895922407711634</v>
      </c>
      <c r="Q82" s="111">
        <v>1.3933891288057685</v>
      </c>
      <c r="R82" s="68">
        <v>1.3895922407711634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0.26656929553361486</v>
      </c>
      <c r="M83" s="115">
        <v>26.135117718907228</v>
      </c>
      <c r="N83" s="115">
        <v>1090.5598956887188</v>
      </c>
      <c r="O83" s="115">
        <v>11.32915302724536</v>
      </c>
      <c r="P83" s="115">
        <v>10.874499556636522</v>
      </c>
      <c r="Q83" s="111">
        <v>11.32915302724536</v>
      </c>
      <c r="R83" s="68">
        <v>10.874499556636522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0.93195736690363939</v>
      </c>
      <c r="M84" s="115">
        <v>0.96542303529815865</v>
      </c>
      <c r="N84" s="115">
        <v>6.8454262970356661</v>
      </c>
      <c r="O84" s="115">
        <v>0.83026145886838443</v>
      </c>
      <c r="P84" s="115">
        <v>0.94268377824662719</v>
      </c>
      <c r="Q84" s="111">
        <v>0.83026145886838443</v>
      </c>
      <c r="R84" s="68">
        <v>0.94268377824662719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0.98134919005463461</v>
      </c>
      <c r="M85" s="115">
        <v>0.85189998848077986</v>
      </c>
      <c r="N85" s="115">
        <v>0.34474533892853626</v>
      </c>
      <c r="O85" s="115">
        <v>0.81360589906723846</v>
      </c>
      <c r="P85" s="115">
        <v>0.94441104492480077</v>
      </c>
      <c r="Q85" s="111">
        <v>0.81360589906723846</v>
      </c>
      <c r="R85" s="68">
        <v>0.94441104492480077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0.93343746308073727</v>
      </c>
      <c r="M86" s="115">
        <v>0.9594525525080736</v>
      </c>
      <c r="N86" s="115">
        <v>6.5431782112866435</v>
      </c>
      <c r="O86" s="115">
        <v>0.82876762456406472</v>
      </c>
      <c r="P86" s="115">
        <v>0.94188772462092762</v>
      </c>
      <c r="Q86" s="111">
        <v>0.82876762456406483</v>
      </c>
      <c r="R86" s="68">
        <v>0.94188772462092762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2.6179696604766195E-3</v>
      </c>
      <c r="M87" s="115">
        <v>445.58053268622672</v>
      </c>
      <c r="N87" s="115">
        <v>19095.200722627236</v>
      </c>
      <c r="O87" s="115">
        <v>114.03446734036858</v>
      </c>
      <c r="P87" s="115">
        <v>47.554990694884438</v>
      </c>
      <c r="Q87" s="111">
        <v>114.03446734036859</v>
      </c>
      <c r="R87" s="68">
        <v>47.554990694884445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0.67900150874842724</v>
      </c>
      <c r="M88" s="115">
        <v>4.2377095279498684</v>
      </c>
      <c r="N88" s="115">
        <v>152.85178114871363</v>
      </c>
      <c r="O88" s="115">
        <v>2.0152708163598545</v>
      </c>
      <c r="P88" s="115">
        <v>1.931639557923267</v>
      </c>
      <c r="Q88" s="111">
        <v>2.0152708163598545</v>
      </c>
      <c r="R88" s="68">
        <v>1.931639557923267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0.74986237809790668</v>
      </c>
      <c r="M89" s="115">
        <v>2.8444348937864308</v>
      </c>
      <c r="N89" s="115">
        <v>91.936152541183446</v>
      </c>
      <c r="O89" s="115">
        <v>1.4821117985821159</v>
      </c>
      <c r="P89" s="115">
        <v>1.4654479864061811</v>
      </c>
      <c r="Q89" s="111">
        <v>1.4821117985821159</v>
      </c>
      <c r="R89" s="68">
        <v>1.4654479864061811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0.87570709643609346</v>
      </c>
      <c r="M90" s="115">
        <v>1.3034693322420781</v>
      </c>
      <c r="N90" s="115">
        <v>22.979513594466539</v>
      </c>
      <c r="O90" s="115">
        <v>0.93152525024253863</v>
      </c>
      <c r="P90" s="115">
        <v>1.012347319304207</v>
      </c>
      <c r="Q90" s="111">
        <v>0.93152525024253863</v>
      </c>
      <c r="R90" s="68">
        <v>1.012347319304207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1.5205754449258937E-2</v>
      </c>
      <c r="M91" s="115">
        <v>194.04548448295276</v>
      </c>
      <c r="N91" s="115">
        <v>8264.6834707014641</v>
      </c>
      <c r="O91" s="115">
        <v>58.846325365960126</v>
      </c>
      <c r="P91" s="115">
        <v>36.675544896842133</v>
      </c>
      <c r="Q91" s="111">
        <v>58.846325365960126</v>
      </c>
      <c r="R91" s="68">
        <v>36.675544896842133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0.32583663884717751</v>
      </c>
      <c r="M92" s="115">
        <v>20.604991241311183</v>
      </c>
      <c r="N92" s="115">
        <v>854.70612473760298</v>
      </c>
      <c r="O92" s="115">
        <v>8.8808093739122267</v>
      </c>
      <c r="P92" s="115">
        <v>8.4428023316813636</v>
      </c>
      <c r="Q92" s="111">
        <v>8.8808093739122267</v>
      </c>
      <c r="R92" s="68">
        <v>8.4428023316813636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0.1254064817272644</v>
      </c>
      <c r="M93" s="115">
        <v>48.399574830596436</v>
      </c>
      <c r="N93" s="115">
        <v>2039.7172387876972</v>
      </c>
      <c r="O93" s="115">
        <v>21.6341811873178</v>
      </c>
      <c r="P93" s="115">
        <v>21.496786362958538</v>
      </c>
      <c r="Q93" s="111">
        <v>21.6341811873178</v>
      </c>
      <c r="R93" s="68">
        <v>21.496786362958538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0.9834697424751051</v>
      </c>
      <c r="M94" s="115">
        <v>1.0771136033071849</v>
      </c>
      <c r="N94" s="115">
        <v>13.07006227379795</v>
      </c>
      <c r="O94" s="115">
        <v>1.3725578807683538</v>
      </c>
      <c r="P94" s="115">
        <v>1.9093275391197542</v>
      </c>
      <c r="Q94" s="111">
        <v>1.3725578807683538</v>
      </c>
      <c r="R94" s="68">
        <v>1.9093275391197544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3.6273234623208098E-2</v>
      </c>
      <c r="M95" s="115">
        <v>99.229198549710176</v>
      </c>
      <c r="N95" s="115">
        <v>4209.7505062303971</v>
      </c>
      <c r="O95" s="115">
        <v>39.310597289824585</v>
      </c>
      <c r="P95" s="115">
        <v>35.247724517579201</v>
      </c>
      <c r="Q95" s="111">
        <v>39.310597289824585</v>
      </c>
      <c r="R95" s="68">
        <v>35.247724517579201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0.96362199523561198</v>
      </c>
      <c r="M96" s="115">
        <v>0.87171751493741767</v>
      </c>
      <c r="N96" s="115">
        <v>1.8026216079415789</v>
      </c>
      <c r="O96" s="115">
        <v>0.81158244329948459</v>
      </c>
      <c r="P96" s="115">
        <v>0.93707935924952057</v>
      </c>
      <c r="Q96" s="111">
        <v>0.81158244329948459</v>
      </c>
      <c r="R96" s="68">
        <v>0.93707935924952068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0.93120441290460887</v>
      </c>
      <c r="M97" s="115">
        <v>0.96851899270398267</v>
      </c>
      <c r="N97" s="115">
        <v>7.0016390861048539</v>
      </c>
      <c r="O97" s="115">
        <v>0.83104455096885976</v>
      </c>
      <c r="P97" s="115">
        <v>0.94310892474017849</v>
      </c>
      <c r="Q97" s="111">
        <v>0.83104455096885976</v>
      </c>
      <c r="R97" s="68">
        <v>0.94310892474017849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7.4404561198189473E-2</v>
      </c>
      <c r="M98" s="115">
        <v>63.414250830738872</v>
      </c>
      <c r="N98" s="115">
        <v>2680.89713792985</v>
      </c>
      <c r="O98" s="115">
        <v>28.980559172478777</v>
      </c>
      <c r="P98" s="115">
        <v>29.405864173708043</v>
      </c>
      <c r="Q98" s="111">
        <v>28.980559172478781</v>
      </c>
      <c r="R98" s="68">
        <v>29.405864173708043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0.98501307985353626</v>
      </c>
      <c r="M99" s="115">
        <v>0.85101843488148576</v>
      </c>
      <c r="N99" s="115">
        <v>0.17765220761681902</v>
      </c>
      <c r="O99" s="115">
        <v>0.8152161699513385</v>
      </c>
      <c r="P99" s="115">
        <v>0.94688564702450673</v>
      </c>
      <c r="Q99" s="111">
        <v>0.8152161699513385</v>
      </c>
      <c r="R99" s="68">
        <v>0.94688564702450684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0.5363668309903451</v>
      </c>
      <c r="M100" s="115">
        <v>8.5200033573410767</v>
      </c>
      <c r="N100" s="115">
        <v>337.7914032193778</v>
      </c>
      <c r="O100" s="115">
        <v>3.7336448796495496</v>
      </c>
      <c r="P100" s="115">
        <v>3.498279164975056</v>
      </c>
      <c r="Q100" s="111">
        <v>3.7336448796495496</v>
      </c>
      <c r="R100" s="68">
        <v>3.498279164975056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0.97945230009612927</v>
      </c>
      <c r="M101" s="115">
        <v>0.85281274871025525</v>
      </c>
      <c r="N101" s="115">
        <v>0.45028704621088395</v>
      </c>
      <c r="O101" s="115">
        <v>0.81293928752131173</v>
      </c>
      <c r="P101" s="115">
        <v>0.9432617687590259</v>
      </c>
      <c r="Q101" s="111">
        <v>0.81293928752131173</v>
      </c>
      <c r="R101" s="68">
        <v>0.9432617687590259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0.98976060438871238</v>
      </c>
      <c r="M102" s="115">
        <v>0.85172485934229691</v>
      </c>
      <c r="N102" s="115">
        <v>3.8116262225134478E-2</v>
      </c>
      <c r="O102" s="115">
        <v>0.81797041460950248</v>
      </c>
      <c r="P102" s="115">
        <v>0.95060817287927768</v>
      </c>
      <c r="Q102" s="111">
        <v>0.81797041460950248</v>
      </c>
      <c r="R102" s="68">
        <v>0.95060817287927779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0.98527560944777093</v>
      </c>
      <c r="M103" s="115">
        <v>0.851001475759537</v>
      </c>
      <c r="N103" s="115">
        <v>0.16760507819057496</v>
      </c>
      <c r="O103" s="115">
        <v>0.81534835256151617</v>
      </c>
      <c r="P103" s="115">
        <v>0.9470760850042752</v>
      </c>
      <c r="Q103" s="111">
        <v>0.81534835256151617</v>
      </c>
      <c r="R103" s="68">
        <v>0.9470760850042752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0.94847544322977151</v>
      </c>
      <c r="M104" s="115">
        <v>0.90754409262792668</v>
      </c>
      <c r="N104" s="115">
        <v>3.8384147530721333</v>
      </c>
      <c r="O104" s="115">
        <v>0.81702505004726989</v>
      </c>
      <c r="P104" s="115">
        <v>0.93677460431762971</v>
      </c>
      <c r="Q104" s="111">
        <v>0.81702505004726989</v>
      </c>
      <c r="R104" s="68">
        <v>0.93677460431762982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0.98906022488732304</v>
      </c>
      <c r="M105" s="115">
        <v>0.85147986710709278</v>
      </c>
      <c r="N105" s="115">
        <v>5.2849594818162322E-2</v>
      </c>
      <c r="O105" s="115">
        <v>0.81751388978741035</v>
      </c>
      <c r="P105" s="115">
        <v>0.95002101205154088</v>
      </c>
      <c r="Q105" s="111">
        <v>0.81751388978741035</v>
      </c>
      <c r="R105" s="68">
        <v>0.95002101205154099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0.84535567404815382</v>
      </c>
      <c r="M106" s="115">
        <v>1.5744485526689194</v>
      </c>
      <c r="N106" s="115">
        <v>35.38990885628391</v>
      </c>
      <c r="O106" s="115">
        <v>1.0222639505730784</v>
      </c>
      <c r="P106" s="115">
        <v>1.0825577958580748</v>
      </c>
      <c r="Q106" s="111">
        <v>1.0222639505730784</v>
      </c>
      <c r="R106" s="68">
        <v>1.0825577958580748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5.9967208006338833E-2</v>
      </c>
      <c r="M107" s="115">
        <v>69.206208307280392</v>
      </c>
      <c r="N107" s="115">
        <v>2928.6767146899892</v>
      </c>
      <c r="O107" s="115">
        <v>31.911908128889415</v>
      </c>
      <c r="P107" s="115">
        <v>32.640791956950508</v>
      </c>
      <c r="Q107" s="111">
        <v>31.911908128889419</v>
      </c>
      <c r="R107" s="68">
        <v>32.640791956950508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0.58413004122387169</v>
      </c>
      <c r="M108" s="115">
        <v>6.8326932197787356</v>
      </c>
      <c r="N108" s="115">
        <v>265.16461259800116</v>
      </c>
      <c r="O108" s="115">
        <v>3.0462652029762403</v>
      </c>
      <c r="P108" s="115">
        <v>2.8633385694338807</v>
      </c>
      <c r="Q108" s="111">
        <v>3.0462652029762407</v>
      </c>
      <c r="R108" s="68">
        <v>2.8633385694338811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1.456E-2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1.456E-2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3.6400000000000001E-4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9.2456E-6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1.4245268650416015E-5</v>
      </c>
      <c r="J2" s="67" t="s">
        <v>231</v>
      </c>
      <c r="K2" s="68">
        <v>2.0132301588427427E-3</v>
      </c>
      <c r="L2" s="67" t="s">
        <v>231</v>
      </c>
      <c r="M2" s="68">
        <v>5.5130436423402956E-2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4.8836655552646595E-3</v>
      </c>
      <c r="J3" s="67" t="s">
        <v>231</v>
      </c>
      <c r="K3" s="68">
        <v>0.4082506279916564</v>
      </c>
      <c r="L3" s="67" t="s">
        <v>231</v>
      </c>
      <c r="M3" s="68">
        <v>17.48398146112968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2.4205796013844704E-3</v>
      </c>
      <c r="J4" s="67" t="s">
        <v>231</v>
      </c>
      <c r="K4" s="68">
        <v>1.0412438852128404E-2</v>
      </c>
      <c r="L4" s="67" t="s">
        <v>231</v>
      </c>
      <c r="M4" s="68">
        <v>0.41902886654130628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7.0410860529003562E-3</v>
      </c>
      <c r="J5" s="67" t="s">
        <v>231</v>
      </c>
      <c r="K5" s="68">
        <v>0.11176810976390555</v>
      </c>
      <c r="L5" s="67" t="s">
        <v>231</v>
      </c>
      <c r="M5" s="68">
        <v>4.7449681258598746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1.4449503764431189E-2</v>
      </c>
      <c r="J6" s="67" t="s">
        <v>232</v>
      </c>
      <c r="K6" s="68">
        <v>0.51744957436722339</v>
      </c>
      <c r="L6" s="67" t="s">
        <v>231</v>
      </c>
      <c r="M6" s="68">
        <v>22.210104506759752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1.9883332375844084E-3</v>
      </c>
      <c r="J7" s="67" t="s">
        <v>231</v>
      </c>
      <c r="K7" s="68">
        <v>0.43047318221308439</v>
      </c>
      <c r="L7" s="67" t="s">
        <v>231</v>
      </c>
      <c r="M7" s="68">
        <v>18.441742254470594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3.6064935849709255E-3</v>
      </c>
      <c r="J8" s="67" t="s">
        <v>231</v>
      </c>
      <c r="K8" s="68">
        <v>0.32202852962998718</v>
      </c>
      <c r="L8" s="67" t="s">
        <v>231</v>
      </c>
      <c r="M8" s="68">
        <v>13.762613940392551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6.0546445546400039E-4</v>
      </c>
      <c r="J9" s="67" t="s">
        <v>231</v>
      </c>
      <c r="K9" s="68">
        <v>4.0145263959834962E-2</v>
      </c>
      <c r="L9" s="67" t="s">
        <v>231</v>
      </c>
      <c r="M9" s="68">
        <v>1.6877038460096885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4.226046932308338E-3</v>
      </c>
      <c r="J10" s="67" t="s">
        <v>231</v>
      </c>
      <c r="K10" s="68">
        <v>0.11921518866579914</v>
      </c>
      <c r="L10" s="67" t="s">
        <v>231</v>
      </c>
      <c r="M10" s="68">
        <v>5.0629840417850831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1.0355555923190032E-3</v>
      </c>
      <c r="J11" s="67" t="s">
        <v>231</v>
      </c>
      <c r="K11" s="68">
        <v>0.1323143664936641</v>
      </c>
      <c r="L11" s="67" t="s">
        <v>231</v>
      </c>
      <c r="M11" s="68">
        <v>5.6226846726457023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1.5124087271300114E-3</v>
      </c>
      <c r="J12" s="67" t="s">
        <v>231</v>
      </c>
      <c r="K12" s="68">
        <v>4.8849777382489856E-2</v>
      </c>
      <c r="L12" s="67" t="s">
        <v>231</v>
      </c>
      <c r="M12" s="68">
        <v>2.0589125345133477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2.8629006572370809E-2</v>
      </c>
      <c r="J13" s="67" t="s">
        <v>232</v>
      </c>
      <c r="K13" s="68">
        <v>4.0937864683229803E-2</v>
      </c>
      <c r="L13" s="67" t="s">
        <v>231</v>
      </c>
      <c r="M13" s="68">
        <v>1.7214979592974091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9.8358801382864066E-3</v>
      </c>
      <c r="J14" s="67" t="s">
        <v>231</v>
      </c>
      <c r="K14" s="68">
        <v>0.17997756544116603</v>
      </c>
      <c r="L14" s="67" t="s">
        <v>231</v>
      </c>
      <c r="M14" s="68">
        <v>7.6620012239389608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4.9770719730306019E-3</v>
      </c>
      <c r="J15" s="67" t="s">
        <v>231</v>
      </c>
      <c r="K15" s="68">
        <v>0.12565704403688741</v>
      </c>
      <c r="L15" s="67" t="s">
        <v>231</v>
      </c>
      <c r="M15" s="68">
        <v>5.3381809632190045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3.7811070270986616E-3</v>
      </c>
      <c r="J16" s="67" t="s">
        <v>231</v>
      </c>
      <c r="K16" s="68">
        <v>0.31694128432440527</v>
      </c>
      <c r="L16" s="67" t="s">
        <v>231</v>
      </c>
      <c r="M16" s="68">
        <v>13.54370157021655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2.9639764048343051E-3</v>
      </c>
      <c r="J17" s="67" t="s">
        <v>231</v>
      </c>
      <c r="K17" s="68">
        <v>0.11423441091269705</v>
      </c>
      <c r="L17" s="67" t="s">
        <v>231</v>
      </c>
      <c r="M17" s="68">
        <v>4.8502683005223233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4.1953114063810384E-3</v>
      </c>
      <c r="J18" s="67" t="s">
        <v>231</v>
      </c>
      <c r="K18" s="68">
        <v>3.6358470713828216E-2</v>
      </c>
      <c r="L18" s="67" t="s">
        <v>231</v>
      </c>
      <c r="M18" s="68">
        <v>1.5264639323497458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3.0246699724246321E-2</v>
      </c>
      <c r="J19" s="67" t="s">
        <v>232</v>
      </c>
      <c r="K19" s="68">
        <v>0.12697670458169449</v>
      </c>
      <c r="L19" s="67" t="s">
        <v>231</v>
      </c>
      <c r="M19" s="68">
        <v>5.3945677562909786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2.963100154910961E-3</v>
      </c>
      <c r="J20" s="67" t="s">
        <v>231</v>
      </c>
      <c r="K20" s="68">
        <v>4.095333475262438E-2</v>
      </c>
      <c r="L20" s="67" t="s">
        <v>231</v>
      </c>
      <c r="M20" s="68">
        <v>1.7221484986721183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1.4163193889965862E-2</v>
      </c>
      <c r="J21" s="67" t="s">
        <v>232</v>
      </c>
      <c r="K21" s="68">
        <v>0.16475867374556341</v>
      </c>
      <c r="L21" s="67" t="s">
        <v>231</v>
      </c>
      <c r="M21" s="68">
        <v>7.0104619905252461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9.9870679543363967E-5</v>
      </c>
      <c r="J22" s="67" t="s">
        <v>231</v>
      </c>
      <c r="K22" s="68">
        <v>4.8771746889241909E-3</v>
      </c>
      <c r="L22" s="67" t="s">
        <v>231</v>
      </c>
      <c r="M22" s="68">
        <v>0.18069693876798665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3.1290608267513927E-5</v>
      </c>
      <c r="J23" s="67" t="s">
        <v>231</v>
      </c>
      <c r="K23" s="68">
        <v>2.6828527632237727E-3</v>
      </c>
      <c r="L23" s="67" t="s">
        <v>231</v>
      </c>
      <c r="M23" s="68">
        <v>8.4822376442721295E-2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1.5064654783523404E-4</v>
      </c>
      <c r="J24" s="67" t="s">
        <v>231</v>
      </c>
      <c r="K24" s="68">
        <v>2.087277942652296E-2</v>
      </c>
      <c r="L24" s="67" t="s">
        <v>231</v>
      </c>
      <c r="M24" s="68">
        <v>0.86613384143416916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1.5161166230904485E-3</v>
      </c>
      <c r="J25" s="67" t="s">
        <v>231</v>
      </c>
      <c r="K25" s="68">
        <v>5.7722245130720884E-2</v>
      </c>
      <c r="L25" s="67" t="s">
        <v>231</v>
      </c>
      <c r="M25" s="68">
        <v>2.4390659053475741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3.7510156062744043E-3</v>
      </c>
      <c r="J26" s="67" t="s">
        <v>231</v>
      </c>
      <c r="K26" s="68">
        <v>0.15538521657587614</v>
      </c>
      <c r="L26" s="67" t="s">
        <v>231</v>
      </c>
      <c r="M26" s="68">
        <v>6.6093156541412359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2.6738818580251825E-3</v>
      </c>
      <c r="J27" s="67" t="s">
        <v>231</v>
      </c>
      <c r="K27" s="68">
        <v>0.39809900670576609</v>
      </c>
      <c r="L27" s="67" t="s">
        <v>231</v>
      </c>
      <c r="M27" s="68">
        <v>17.044559027782206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1.3415370604155361E-3</v>
      </c>
      <c r="J28" s="67" t="s">
        <v>231</v>
      </c>
      <c r="K28" s="68">
        <v>0.22999594778181726</v>
      </c>
      <c r="L28" s="67" t="s">
        <v>231</v>
      </c>
      <c r="M28" s="68">
        <v>9.8064151715048347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7.4591314968907652E-4</v>
      </c>
      <c r="J29" s="67" t="s">
        <v>231</v>
      </c>
      <c r="K29" s="68">
        <v>0.15542979324572953</v>
      </c>
      <c r="L29" s="67" t="s">
        <v>231</v>
      </c>
      <c r="M29" s="68">
        <v>6.6158123108434124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1.3415370604155361E-3</v>
      </c>
      <c r="J30" s="67" t="s">
        <v>231</v>
      </c>
      <c r="K30" s="68">
        <v>0.22999594778181726</v>
      </c>
      <c r="L30" s="67" t="s">
        <v>231</v>
      </c>
      <c r="M30" s="68">
        <v>9.8064151715048347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8.1110634975166268E-8</v>
      </c>
      <c r="J31" s="67" t="s">
        <v>231</v>
      </c>
      <c r="K31" s="68">
        <v>8.6142025753574349E-4</v>
      </c>
      <c r="L31" s="67" t="s">
        <v>231</v>
      </c>
      <c r="M31" s="68">
        <v>1.1369281594465536E-3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1.0744334700105558E-5</v>
      </c>
      <c r="J32" s="67" t="s">
        <v>231</v>
      </c>
      <c r="K32" s="68">
        <v>7.9502925292859079E-3</v>
      </c>
      <c r="L32" s="67" t="s">
        <v>231</v>
      </c>
      <c r="M32" s="68">
        <v>0.30982908358459488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8.1336858920377752E-8</v>
      </c>
      <c r="J33" s="67" t="s">
        <v>231</v>
      </c>
      <c r="K33" s="68">
        <v>8.6398863042407828E-4</v>
      </c>
      <c r="L33" s="67" t="s">
        <v>231</v>
      </c>
      <c r="M33" s="68">
        <v>5.9133871785483651E-4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3.2515703033142573E-10</v>
      </c>
      <c r="J34" s="67" t="s">
        <v>231</v>
      </c>
      <c r="K34" s="68">
        <v>2.1376744221205069E-3</v>
      </c>
      <c r="L34" s="67" t="s">
        <v>231</v>
      </c>
      <c r="M34" s="68">
        <v>7.5612765412665803E-2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5.0158449705539095E-7</v>
      </c>
      <c r="J35" s="67" t="s">
        <v>231</v>
      </c>
      <c r="K35" s="68">
        <v>3.5982290955966167E-3</v>
      </c>
      <c r="L35" s="67" t="s">
        <v>231</v>
      </c>
      <c r="M35" s="68">
        <v>0.16175434011958001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9.059362110080513E-7</v>
      </c>
      <c r="J36" s="67" t="s">
        <v>231</v>
      </c>
      <c r="K36" s="68">
        <v>7.4479339994024995E-3</v>
      </c>
      <c r="L36" s="67" t="s">
        <v>231</v>
      </c>
      <c r="M36" s="68">
        <v>0.3895650699582448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5.4812235704477652E-6</v>
      </c>
      <c r="J37" s="67" t="s">
        <v>231</v>
      </c>
      <c r="K37" s="68">
        <v>1.1384829687976944E-2</v>
      </c>
      <c r="L37" s="67" t="s">
        <v>231</v>
      </c>
      <c r="M37" s="68">
        <v>0.49540468832140688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1.6036987523920332E-6</v>
      </c>
      <c r="J38" s="67" t="s">
        <v>231</v>
      </c>
      <c r="K38" s="68">
        <v>1.9106540934550164E-3</v>
      </c>
      <c r="L38" s="67" t="s">
        <v>231</v>
      </c>
      <c r="M38" s="68">
        <v>6.1433336245159856E-2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9.7755271367349706E-4</v>
      </c>
      <c r="J39" s="67" t="s">
        <v>231</v>
      </c>
      <c r="K39" s="68">
        <v>7.5697248063927081E-2</v>
      </c>
      <c r="L39" s="67" t="s">
        <v>231</v>
      </c>
      <c r="M39" s="68">
        <v>3.2063362713198975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5.8568851528013494E-9</v>
      </c>
      <c r="J40" s="67" t="s">
        <v>231</v>
      </c>
      <c r="K40" s="68">
        <v>0.73144427897332609</v>
      </c>
      <c r="L40" s="67" t="s">
        <v>231</v>
      </c>
      <c r="M40" s="68">
        <v>40.230352580695396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2.6152964006296285E-8</v>
      </c>
      <c r="J41" s="67" t="s">
        <v>231</v>
      </c>
      <c r="K41" s="68">
        <v>7.8188309172897981E-4</v>
      </c>
      <c r="L41" s="67" t="s">
        <v>231</v>
      </c>
      <c r="M41" s="68">
        <v>6.4226786217209668E-5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1.1204460466202831E-3</v>
      </c>
      <c r="J42" s="67" t="s">
        <v>231</v>
      </c>
      <c r="K42" s="68">
        <v>5.643121177053686E-3</v>
      </c>
      <c r="L42" s="67" t="s">
        <v>231</v>
      </c>
      <c r="M42" s="68">
        <v>0.21380009227673455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4.3040139978985376E-8</v>
      </c>
      <c r="J43" s="67" t="s">
        <v>231</v>
      </c>
      <c r="K43" s="68">
        <v>2.7112221930899141E-2</v>
      </c>
      <c r="L43" s="67" t="s">
        <v>231</v>
      </c>
      <c r="M43" s="68">
        <v>1.5044432362642803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1.0879371047535399E-6</v>
      </c>
      <c r="J44" s="67" t="s">
        <v>231</v>
      </c>
      <c r="K44" s="68">
        <v>1.3793238509261809E-3</v>
      </c>
      <c r="L44" s="67" t="s">
        <v>231</v>
      </c>
      <c r="M44" s="68">
        <v>2.9662094439009461E-2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1.0071007285044688E-4</v>
      </c>
      <c r="J45" s="67" t="s">
        <v>231</v>
      </c>
      <c r="K45" s="68">
        <v>6.4062290565850251E-3</v>
      </c>
      <c r="L45" s="67" t="s">
        <v>231</v>
      </c>
      <c r="M45" s="68">
        <v>0.24679287648591153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2.2279835981907456E-6</v>
      </c>
      <c r="J46" s="67" t="s">
        <v>231</v>
      </c>
      <c r="K46" s="68">
        <v>5.9058219108261943E-3</v>
      </c>
      <c r="L46" s="67" t="s">
        <v>231</v>
      </c>
      <c r="M46" s="68">
        <v>0.22522984430955503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1.2568136343154949E-2</v>
      </c>
      <c r="J47" s="142" t="s">
        <v>232</v>
      </c>
      <c r="K47" s="143">
        <v>0.41544545310769193</v>
      </c>
      <c r="L47" s="142" t="s">
        <v>231</v>
      </c>
      <c r="M47" s="143">
        <v>17.792111272377408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1.8133851844950204E-6</v>
      </c>
      <c r="J48" s="142" t="s">
        <v>231</v>
      </c>
      <c r="K48" s="143">
        <v>1.0244255730663609E-3</v>
      </c>
      <c r="L48" s="142" t="s">
        <v>231</v>
      </c>
      <c r="M48" s="143">
        <v>1.025047185300791E-2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5.0827984072799636E-6</v>
      </c>
      <c r="J49" s="142" t="s">
        <v>231</v>
      </c>
      <c r="K49" s="143">
        <v>1.1713221158977812E-3</v>
      </c>
      <c r="L49" s="142" t="s">
        <v>231</v>
      </c>
      <c r="M49" s="143">
        <v>1.7660270664065749E-2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1.7936420418700191E-5</v>
      </c>
      <c r="J50" s="142" t="s">
        <v>231</v>
      </c>
      <c r="K50" s="143">
        <v>3.492320534418239E-2</v>
      </c>
      <c r="L50" s="142" t="s">
        <v>231</v>
      </c>
      <c r="M50" s="143">
        <v>1.4654928070926501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4.0150511611631115E-8</v>
      </c>
      <c r="J51" s="142" t="s">
        <v>231</v>
      </c>
      <c r="K51" s="143">
        <v>8.173659550769712E-4</v>
      </c>
      <c r="L51" s="142" t="s">
        <v>231</v>
      </c>
      <c r="M51" s="143">
        <v>1.8469807102341846E-3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1.1164754984550563E-5</v>
      </c>
      <c r="J52" s="142" t="s">
        <v>231</v>
      </c>
      <c r="K52" s="143">
        <v>1.8457784080874581E-3</v>
      </c>
      <c r="L52" s="142" t="s">
        <v>231</v>
      </c>
      <c r="M52" s="143">
        <v>5.0136190211565228E-2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2.0852057219474234E-4</v>
      </c>
      <c r="J53" s="142" t="s">
        <v>231</v>
      </c>
      <c r="K53" s="143">
        <v>9.4726327266521342E-3</v>
      </c>
      <c r="L53" s="142" t="s">
        <v>231</v>
      </c>
      <c r="M53" s="143">
        <v>0.3787827995942466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4.1691873801332673E-3</v>
      </c>
      <c r="J54" s="67" t="s">
        <v>231</v>
      </c>
      <c r="K54" s="68">
        <v>0.37027415518987411</v>
      </c>
      <c r="L54" s="67" t="s">
        <v>231</v>
      </c>
      <c r="M54" s="68">
        <v>15.841944499319437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2.9339993844001641E-4</v>
      </c>
      <c r="J55" s="67" t="s">
        <v>231</v>
      </c>
      <c r="K55" s="68">
        <v>1.7412473817522853E-2</v>
      </c>
      <c r="L55" s="67" t="s">
        <v>231</v>
      </c>
      <c r="M55" s="68">
        <v>0.7240438341595884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6.973703315661809E-5</v>
      </c>
      <c r="J56" s="67" t="s">
        <v>231</v>
      </c>
      <c r="K56" s="68">
        <v>8.1754790685881155E-3</v>
      </c>
      <c r="L56" s="67" t="s">
        <v>231</v>
      </c>
      <c r="M56" s="68">
        <v>0.34446592043050867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2.7286712895921792E-5</v>
      </c>
      <c r="J57" s="67" t="s">
        <v>231</v>
      </c>
      <c r="K57" s="68">
        <v>3.3439623254285606E-3</v>
      </c>
      <c r="L57" s="67" t="s">
        <v>231</v>
      </c>
      <c r="M57" s="68">
        <v>0.13957211715026496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2.5870695347446061E-7</v>
      </c>
      <c r="J58" s="67" t="s">
        <v>231</v>
      </c>
      <c r="K58" s="68">
        <v>8.7281348595165395E-5</v>
      </c>
      <c r="L58" s="67" t="s">
        <v>231</v>
      </c>
      <c r="M58" s="68">
        <v>1.5179970699882933E-3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6.0297585233384141E-6</v>
      </c>
      <c r="J59" s="67" t="s">
        <v>231</v>
      </c>
      <c r="K59" s="68">
        <v>1.1813125023018537E-3</v>
      </c>
      <c r="L59" s="67" t="s">
        <v>231</v>
      </c>
      <c r="M59" s="68">
        <v>4.9267351980734397E-2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8.9781647426873496E-8</v>
      </c>
      <c r="J60" s="67" t="s">
        <v>231</v>
      </c>
      <c r="K60" s="68">
        <v>1.9702295704062726E-5</v>
      </c>
      <c r="L60" s="67" t="s">
        <v>231</v>
      </c>
      <c r="M60" s="68">
        <v>8.1154661649009455E-4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5.1051681995544801E-2</v>
      </c>
      <c r="J61" s="67" t="s">
        <v>232</v>
      </c>
      <c r="K61" s="68">
        <v>1.3415777574209942E-2</v>
      </c>
      <c r="L61" s="67" t="s">
        <v>231</v>
      </c>
      <c r="M61" s="68">
        <v>0.54764723632940826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1.699687982735443E-4</v>
      </c>
      <c r="J62" s="67" t="s">
        <v>231</v>
      </c>
      <c r="K62" s="68">
        <v>0.17662517678094525</v>
      </c>
      <c r="L62" s="67" t="s">
        <v>231</v>
      </c>
      <c r="M62" s="68">
        <v>7.5184188990430467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1.3748709566157747E-3</v>
      </c>
      <c r="J63" s="67" t="s">
        <v>231</v>
      </c>
      <c r="K63" s="68">
        <v>0.49291221530926776</v>
      </c>
      <c r="L63" s="67" t="s">
        <v>231</v>
      </c>
      <c r="M63" s="68">
        <v>21.145432385286881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1.082553803052347E-3</v>
      </c>
      <c r="J64" s="67" t="s">
        <v>231</v>
      </c>
      <c r="K64" s="68">
        <v>0.61169891739846793</v>
      </c>
      <c r="L64" s="67" t="s">
        <v>231</v>
      </c>
      <c r="M64" s="68">
        <v>26.313663614645392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1.7938124088345726E-3</v>
      </c>
      <c r="J65" s="67" t="s">
        <v>231</v>
      </c>
      <c r="K65" s="68">
        <v>0.71983839226719282</v>
      </c>
      <c r="L65" s="67" t="s">
        <v>231</v>
      </c>
      <c r="M65" s="68">
        <v>31.061731536253543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6.7814581752128261E-6</v>
      </c>
      <c r="J66" s="67" t="s">
        <v>231</v>
      </c>
      <c r="K66" s="68">
        <v>0.66235927937951555</v>
      </c>
      <c r="L66" s="67" t="s">
        <v>231</v>
      </c>
      <c r="M66" s="68">
        <v>28.531171345814524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3.826961599366939E-4</v>
      </c>
      <c r="J67" s="67" t="s">
        <v>231</v>
      </c>
      <c r="K67" s="68">
        <v>1.6361344993019121E-3</v>
      </c>
      <c r="L67" s="67" t="s">
        <v>231</v>
      </c>
      <c r="M67" s="68">
        <v>3.8357107972219397E-2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1.5575778507386645E-4</v>
      </c>
      <c r="J68" s="67" t="s">
        <v>231</v>
      </c>
      <c r="K68" s="68">
        <v>2.2432786653382979E-3</v>
      </c>
      <c r="L68" s="67" t="s">
        <v>231</v>
      </c>
      <c r="M68" s="68">
        <v>6.5730865281397544E-2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9.6877039302582371E-7</v>
      </c>
      <c r="J69" s="67" t="s">
        <v>231</v>
      </c>
      <c r="K69" s="68">
        <v>0.30876048890773505</v>
      </c>
      <c r="L69" s="67" t="s">
        <v>231</v>
      </c>
      <c r="M69" s="68">
        <v>13.191925692209471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8.0606448615591771E-4</v>
      </c>
      <c r="J70" s="67" t="s">
        <v>231</v>
      </c>
      <c r="K70" s="68">
        <v>5.6068348070846867E-2</v>
      </c>
      <c r="L70" s="67" t="s">
        <v>231</v>
      </c>
      <c r="M70" s="68">
        <v>2.367333766706901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2.8996578745233922E-4</v>
      </c>
      <c r="J71" s="67" t="s">
        <v>231</v>
      </c>
      <c r="K71" s="68">
        <v>2.093619675994406E-3</v>
      </c>
      <c r="L71" s="67" t="s">
        <v>231</v>
      </c>
      <c r="M71" s="68">
        <v>5.9598574825789209E-2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4.5377101670580217E-6</v>
      </c>
      <c r="J72" s="67" t="s">
        <v>231</v>
      </c>
      <c r="K72" s="68">
        <v>5.1214879737629386E-2</v>
      </c>
      <c r="L72" s="67" t="s">
        <v>231</v>
      </c>
      <c r="M72" s="68">
        <v>2.1610048640281874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7.5483388877470936E-3</v>
      </c>
      <c r="J73" s="67" t="s">
        <v>231</v>
      </c>
      <c r="K73" s="68">
        <v>1.4131177524902717E-2</v>
      </c>
      <c r="L73" s="67" t="s">
        <v>231</v>
      </c>
      <c r="M73" s="68">
        <v>0.57876707669723204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0.16592756612122772</v>
      </c>
      <c r="J74" s="67" t="s">
        <v>232</v>
      </c>
      <c r="K74" s="68">
        <v>5.4859441756496118E-2</v>
      </c>
      <c r="L74" s="67" t="s">
        <v>231</v>
      </c>
      <c r="M74" s="68">
        <v>2.3158707897905293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2.1159906688794602E-12</v>
      </c>
      <c r="J75" s="67" t="s">
        <v>231</v>
      </c>
      <c r="K75" s="68">
        <v>9.1325071719498982E-2</v>
      </c>
      <c r="L75" s="67" t="s">
        <v>231</v>
      </c>
      <c r="M75" s="68">
        <v>5.1165476260713891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1.1641080388630019E-12</v>
      </c>
      <c r="J76" s="67" t="s">
        <v>231</v>
      </c>
      <c r="K76" s="68">
        <v>9.1325072175382258E-2</v>
      </c>
      <c r="L76" s="67" t="s">
        <v>231</v>
      </c>
      <c r="M76" s="68">
        <v>5.1165476516125521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5.5046998828036022E-7</v>
      </c>
      <c r="J77" s="67" t="s">
        <v>231</v>
      </c>
      <c r="K77" s="68">
        <v>2.8220503544341961E-2</v>
      </c>
      <c r="L77" s="67" t="s">
        <v>231</v>
      </c>
      <c r="M77" s="68">
        <v>1.1806508539665186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1.059734666700034E-3</v>
      </c>
      <c r="J78" s="67" t="s">
        <v>231</v>
      </c>
      <c r="K78" s="68">
        <v>5.0886398402433045E-3</v>
      </c>
      <c r="L78" s="67" t="s">
        <v>231</v>
      </c>
      <c r="M78" s="68">
        <v>0.19098348923663144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2.2743862967324406E-5</v>
      </c>
      <c r="J79" s="67" t="s">
        <v>231</v>
      </c>
      <c r="K79" s="68">
        <v>9.6913268464143623E-3</v>
      </c>
      <c r="L79" s="67" t="s">
        <v>231</v>
      </c>
      <c r="M79" s="68">
        <v>0.38838822489253216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1.2354696729114313E-13</v>
      </c>
      <c r="J80" s="67" t="s">
        <v>231</v>
      </c>
      <c r="K80" s="68">
        <v>0.17394441024606278</v>
      </c>
      <c r="L80" s="67" t="s">
        <v>231</v>
      </c>
      <c r="M80" s="68">
        <v>9.7478630553733367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2.1988358941696407E-5</v>
      </c>
      <c r="J81" s="67" t="s">
        <v>231</v>
      </c>
      <c r="K81" s="68">
        <v>8.6977628361832279E-4</v>
      </c>
      <c r="L81" s="67" t="s">
        <v>231</v>
      </c>
      <c r="M81" s="68">
        <v>1.682401272934506E-3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3.5495442892038688E-5</v>
      </c>
      <c r="J82" s="67" t="s">
        <v>231</v>
      </c>
      <c r="K82" s="68">
        <v>2.6066732507005865E-3</v>
      </c>
      <c r="L82" s="67" t="s">
        <v>231</v>
      </c>
      <c r="M82" s="68">
        <v>8.1461710491705294E-2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5.8019515814707659E-5</v>
      </c>
      <c r="J83" s="67" t="s">
        <v>231</v>
      </c>
      <c r="K83" s="68">
        <v>2.6135117718907228E-2</v>
      </c>
      <c r="L83" s="67" t="s">
        <v>231</v>
      </c>
      <c r="M83" s="68">
        <v>1.0905598956887188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6.0748995987598289E-6</v>
      </c>
      <c r="J84" s="67" t="s">
        <v>231</v>
      </c>
      <c r="K84" s="68">
        <v>9.6542303529815869E-4</v>
      </c>
      <c r="L84" s="67" t="s">
        <v>231</v>
      </c>
      <c r="M84" s="68">
        <v>6.845426297035666E-3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3.2984363700311871E-8</v>
      </c>
      <c r="J85" s="67" t="s">
        <v>231</v>
      </c>
      <c r="K85" s="68">
        <v>8.518999884807798E-4</v>
      </c>
      <c r="L85" s="67" t="s">
        <v>231</v>
      </c>
      <c r="M85" s="68">
        <v>3.4474533892853626E-4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2.3833920091426336E-6</v>
      </c>
      <c r="J86" s="67" t="s">
        <v>231</v>
      </c>
      <c r="K86" s="68">
        <v>9.5945255250807354E-4</v>
      </c>
      <c r="L86" s="67" t="s">
        <v>231</v>
      </c>
      <c r="M86" s="68">
        <v>6.5431782112866438E-3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1.4806498899575615E-2</v>
      </c>
      <c r="J87" s="67" t="s">
        <v>232</v>
      </c>
      <c r="K87" s="68">
        <v>0.44558053268622672</v>
      </c>
      <c r="L87" s="67" t="s">
        <v>231</v>
      </c>
      <c r="M87" s="68">
        <v>19.095200722627236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1.1132486090858731E-4</v>
      </c>
      <c r="J88" s="67" t="s">
        <v>231</v>
      </c>
      <c r="K88" s="68">
        <v>4.2377095279498679E-3</v>
      </c>
      <c r="L88" s="67" t="s">
        <v>231</v>
      </c>
      <c r="M88" s="68">
        <v>0.15285178114871364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2.8838002902882488E-5</v>
      </c>
      <c r="J89" s="67" t="s">
        <v>231</v>
      </c>
      <c r="K89" s="68">
        <v>2.844434893786431E-3</v>
      </c>
      <c r="L89" s="67" t="s">
        <v>231</v>
      </c>
      <c r="M89" s="68">
        <v>9.1936152541183438E-2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1.7866529065902429E-6</v>
      </c>
      <c r="J90" s="67" t="s">
        <v>231</v>
      </c>
      <c r="K90" s="68">
        <v>1.3034693322420781E-3</v>
      </c>
      <c r="L90" s="67" t="s">
        <v>231</v>
      </c>
      <c r="M90" s="68">
        <v>2.2979513594466539E-2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1.0310380347369814E-2</v>
      </c>
      <c r="J91" s="67" t="s">
        <v>232</v>
      </c>
      <c r="K91" s="68">
        <v>0.19404548448295275</v>
      </c>
      <c r="L91" s="67" t="s">
        <v>231</v>
      </c>
      <c r="M91" s="68">
        <v>8.2646834707014651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3.3985703093038923E-2</v>
      </c>
      <c r="J92" s="67" t="s">
        <v>232</v>
      </c>
      <c r="K92" s="68">
        <v>2.0604991241311182E-2</v>
      </c>
      <c r="L92" s="67" t="s">
        <v>231</v>
      </c>
      <c r="M92" s="68">
        <v>0.85470612473760299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1.8178909496328104E-2</v>
      </c>
      <c r="J93" s="67" t="s">
        <v>232</v>
      </c>
      <c r="K93" s="68">
        <v>4.8399574830596433E-2</v>
      </c>
      <c r="L93" s="67" t="s">
        <v>231</v>
      </c>
      <c r="M93" s="68">
        <v>2.0397172387876972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7.1323932391892542E-9</v>
      </c>
      <c r="J94" s="67" t="s">
        <v>231</v>
      </c>
      <c r="K94" s="68">
        <v>1.0771136033071848E-3</v>
      </c>
      <c r="L94" s="67" t="s">
        <v>231</v>
      </c>
      <c r="M94" s="68">
        <v>1.307006227379795E-2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2.0191126550437127E-4</v>
      </c>
      <c r="J95" s="67" t="s">
        <v>231</v>
      </c>
      <c r="K95" s="68">
        <v>9.9229198549710171E-2</v>
      </c>
      <c r="L95" s="67" t="s">
        <v>231</v>
      </c>
      <c r="M95" s="68">
        <v>4.2097505062303968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9.6966777190733776E-8</v>
      </c>
      <c r="J96" s="67" t="s">
        <v>231</v>
      </c>
      <c r="K96" s="68">
        <v>8.7171751493741762E-4</v>
      </c>
      <c r="L96" s="67" t="s">
        <v>231</v>
      </c>
      <c r="M96" s="68">
        <v>1.8026216079415789E-3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3.450588778365405E-8</v>
      </c>
      <c r="J97" s="67" t="s">
        <v>231</v>
      </c>
      <c r="K97" s="68">
        <v>9.6851899270398263E-4</v>
      </c>
      <c r="L97" s="67" t="s">
        <v>231</v>
      </c>
      <c r="M97" s="68">
        <v>7.0016390861048538E-3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3.4946379870056933E-5</v>
      </c>
      <c r="J98" s="67" t="s">
        <v>231</v>
      </c>
      <c r="K98" s="68">
        <v>6.3414250830738872E-2</v>
      </c>
      <c r="L98" s="67" t="s">
        <v>231</v>
      </c>
      <c r="M98" s="68">
        <v>2.6808971379298501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4.1862852571404973E-8</v>
      </c>
      <c r="J99" s="67" t="s">
        <v>231</v>
      </c>
      <c r="K99" s="68">
        <v>8.5101843488148568E-4</v>
      </c>
      <c r="L99" s="67" t="s">
        <v>231</v>
      </c>
      <c r="M99" s="68">
        <v>1.7765220761681901E-4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6.5244479718693901E-5</v>
      </c>
      <c r="J100" s="67" t="s">
        <v>231</v>
      </c>
      <c r="K100" s="68">
        <v>8.5200033573410768E-3</v>
      </c>
      <c r="L100" s="67" t="s">
        <v>231</v>
      </c>
      <c r="M100" s="68">
        <v>0.33779140321937778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1.3055274783504078E-5</v>
      </c>
      <c r="J101" s="67" t="s">
        <v>231</v>
      </c>
      <c r="K101" s="68">
        <v>8.5281274871025525E-4</v>
      </c>
      <c r="L101" s="67" t="s">
        <v>231</v>
      </c>
      <c r="M101" s="68">
        <v>4.5028704621088398E-4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6.4332280434010433E-11</v>
      </c>
      <c r="J102" s="67" t="s">
        <v>231</v>
      </c>
      <c r="K102" s="68">
        <v>8.5172485934229697E-4</v>
      </c>
      <c r="L102" s="67" t="s">
        <v>231</v>
      </c>
      <c r="M102" s="68">
        <v>3.8116262225134475E-5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9.1581690965618264E-9</v>
      </c>
      <c r="J103" s="67" t="s">
        <v>231</v>
      </c>
      <c r="K103" s="68">
        <v>8.5100147575953701E-4</v>
      </c>
      <c r="L103" s="67" t="s">
        <v>231</v>
      </c>
      <c r="M103" s="68">
        <v>1.6760507819057498E-4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4.2157216555857948E-7</v>
      </c>
      <c r="J104" s="67" t="s">
        <v>231</v>
      </c>
      <c r="K104" s="68">
        <v>9.0754409262792663E-4</v>
      </c>
      <c r="L104" s="67" t="s">
        <v>231</v>
      </c>
      <c r="M104" s="68">
        <v>3.8384147530721329E-3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5.7869361648871978E-8</v>
      </c>
      <c r="J105" s="67" t="s">
        <v>231</v>
      </c>
      <c r="K105" s="68">
        <v>8.5147986710709276E-4</v>
      </c>
      <c r="L105" s="67" t="s">
        <v>231</v>
      </c>
      <c r="M105" s="68">
        <v>5.2849594818162317E-5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5.1939576364170098E-7</v>
      </c>
      <c r="J106" s="67" t="s">
        <v>231</v>
      </c>
      <c r="K106" s="68">
        <v>1.5744485526689193E-3</v>
      </c>
      <c r="L106" s="67" t="s">
        <v>231</v>
      </c>
      <c r="M106" s="68">
        <v>3.538990885628391E-2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2.7041318419463351E-4</v>
      </c>
      <c r="J107" s="67" t="s">
        <v>231</v>
      </c>
      <c r="K107" s="68">
        <v>6.9206208307280387E-2</v>
      </c>
      <c r="L107" s="67" t="s">
        <v>231</v>
      </c>
      <c r="M107" s="68">
        <v>2.9286767146899892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8.3233079459819998E-5</v>
      </c>
      <c r="J108" s="67" t="s">
        <v>231</v>
      </c>
      <c r="K108" s="68">
        <v>6.8326932197787359E-3</v>
      </c>
      <c r="L108" s="67" t="s">
        <v>231</v>
      </c>
      <c r="M108" s="68">
        <v>0.26516461259800111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0.81294472045239963</v>
      </c>
      <c r="F2" s="14">
        <v>0.80829786272672921</v>
      </c>
      <c r="G2" s="14">
        <v>1.0503158470950652E-6</v>
      </c>
      <c r="H2" s="14">
        <v>10.921729860951803</v>
      </c>
      <c r="I2" s="14">
        <v>29.454292899962205</v>
      </c>
      <c r="J2" s="14">
        <v>0</v>
      </c>
      <c r="K2" s="14">
        <v>1.2371676904187012</v>
      </c>
      <c r="L2" s="14">
        <v>0.80829786272672921</v>
      </c>
      <c r="M2" s="14">
        <v>0.66320839636728135</v>
      </c>
      <c r="N2" s="14">
        <v>2.0132301588427426</v>
      </c>
      <c r="O2" s="14">
        <v>370.65580454453738</v>
      </c>
      <c r="P2" s="8">
        <v>2.0132301588427426</v>
      </c>
      <c r="Q2" s="54">
        <v>0.12570385635689149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0.4379883593058535</v>
      </c>
      <c r="F3" s="14">
        <v>3.1735134064307157E-3</v>
      </c>
      <c r="G3" s="14">
        <v>1.9242824766718312E-4</v>
      </c>
      <c r="H3" s="14">
        <v>333.15039867780212</v>
      </c>
      <c r="I3" s="14">
        <v>8357.906494502402</v>
      </c>
      <c r="J3" s="14">
        <v>0</v>
      </c>
      <c r="K3" s="14">
        <v>315.10816937896936</v>
      </c>
      <c r="L3" s="14">
        <v>3.1735134064307157E-3</v>
      </c>
      <c r="M3" s="14">
        <v>2.6038677499764023E-3</v>
      </c>
      <c r="N3" s="14">
        <v>408.25062799165642</v>
      </c>
      <c r="O3" s="14">
        <v>148974.73666043536</v>
      </c>
      <c r="P3" s="8">
        <v>408.25062799165647</v>
      </c>
      <c r="Q3" s="54">
        <v>0.26736066212521753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0.53393813700568327</v>
      </c>
      <c r="F4" s="14">
        <v>0.49107060918514273</v>
      </c>
      <c r="G4" s="14">
        <v>6.7822286930195964E-14</v>
      </c>
      <c r="H4" s="14">
        <v>98.797042054758677</v>
      </c>
      <c r="I4" s="14">
        <v>218.37409237576455</v>
      </c>
      <c r="J4" s="14">
        <v>0</v>
      </c>
      <c r="K4" s="14">
        <v>2.0363670341813949</v>
      </c>
      <c r="L4" s="14">
        <v>0.49107060918514273</v>
      </c>
      <c r="M4" s="14">
        <v>0.40292343483640963</v>
      </c>
      <c r="N4" s="14">
        <v>10.412438852128403</v>
      </c>
      <c r="O4" s="14">
        <v>3304.0750965573852</v>
      </c>
      <c r="P4" s="8">
        <v>10.412438852128405</v>
      </c>
      <c r="Q4" s="54">
        <v>0.31203342129107564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0.42863474795207096</v>
      </c>
      <c r="F5" s="14">
        <v>3.1606273902590722E-2</v>
      </c>
      <c r="G5" s="14">
        <v>6.0710217266149089E-6</v>
      </c>
      <c r="H5" s="14">
        <v>874.64798391142938</v>
      </c>
      <c r="I5" s="14">
        <v>2350.1223363131862</v>
      </c>
      <c r="J5" s="14">
        <v>0</v>
      </c>
      <c r="K5" s="14">
        <v>31.639287917391346</v>
      </c>
      <c r="L5" s="14">
        <v>3.1606273902590722E-2</v>
      </c>
      <c r="M5" s="14">
        <v>2.5932947737075687E-2</v>
      </c>
      <c r="N5" s="14">
        <v>111.76810976390556</v>
      </c>
      <c r="O5" s="14">
        <v>39184.781602127645</v>
      </c>
      <c r="P5" s="8">
        <v>111.76810976390556</v>
      </c>
      <c r="Q5" s="54">
        <v>0.35784130599346869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0.48258079548675109</v>
      </c>
      <c r="F6" s="14">
        <v>1.5448652419888115E-3</v>
      </c>
      <c r="G6" s="14">
        <v>6.8246296676614188E-7</v>
      </c>
      <c r="H6" s="14">
        <v>231.2866693348237</v>
      </c>
      <c r="I6" s="14">
        <v>10517.385019901682</v>
      </c>
      <c r="J6" s="14">
        <v>0</v>
      </c>
      <c r="K6" s="14">
        <v>647.30565024081397</v>
      </c>
      <c r="L6" s="14">
        <v>1.5448652419888115E-3</v>
      </c>
      <c r="M6" s="14">
        <v>1.2675619310518198E-3</v>
      </c>
      <c r="N6" s="14">
        <v>517.44957436722336</v>
      </c>
      <c r="O6" s="14">
        <v>183430.69961743703</v>
      </c>
      <c r="P6" s="8">
        <v>517.44957436722336</v>
      </c>
      <c r="Q6" s="54">
        <v>0.22207914299918513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0.45061787157422295</v>
      </c>
      <c r="F7" s="14">
        <v>2.9089881220302578E-3</v>
      </c>
      <c r="G7" s="14">
        <v>9.4804823849324723E-7</v>
      </c>
      <c r="H7" s="14">
        <v>321.66362204250294</v>
      </c>
      <c r="I7" s="14">
        <v>8803.5760187549458</v>
      </c>
      <c r="J7" s="14">
        <v>0</v>
      </c>
      <c r="K7" s="14">
        <v>343.76214616582007</v>
      </c>
      <c r="L7" s="14">
        <v>2.9089881220302582E-3</v>
      </c>
      <c r="M7" s="14">
        <v>2.386824754125827E-3</v>
      </c>
      <c r="N7" s="14">
        <v>430.47318221308444</v>
      </c>
      <c r="O7" s="14">
        <v>152598.43836271629</v>
      </c>
      <c r="P7" s="8">
        <v>430.47318221308444</v>
      </c>
      <c r="Q7" s="54">
        <v>0.2650080818871563</v>
      </c>
    </row>
    <row r="8" spans="1:20">
      <c r="A8" s="2" t="s">
        <v>323</v>
      </c>
      <c r="B8" s="16" t="s">
        <v>324</v>
      </c>
      <c r="D8" s="14">
        <v>1</v>
      </c>
      <c r="E8" s="14">
        <v>0.41979992421335316</v>
      </c>
      <c r="F8" s="14">
        <v>6.0768837371280634E-3</v>
      </c>
      <c r="G8" s="14">
        <v>8.3971017405704983E-6</v>
      </c>
      <c r="H8" s="14">
        <v>459.09327122971962</v>
      </c>
      <c r="I8" s="14">
        <v>6636.7903405030693</v>
      </c>
      <c r="J8" s="14">
        <v>0</v>
      </c>
      <c r="K8" s="14">
        <v>164.55802731427607</v>
      </c>
      <c r="L8" s="14">
        <v>6.0768837371280643E-3</v>
      </c>
      <c r="M8" s="14">
        <v>4.9860831063135765E-3</v>
      </c>
      <c r="N8" s="14">
        <v>322.02852962998719</v>
      </c>
      <c r="O8" s="14">
        <v>103062.0106227811</v>
      </c>
      <c r="P8" s="8">
        <v>322.02852962998719</v>
      </c>
      <c r="Q8" s="54">
        <v>0.31200251749515917</v>
      </c>
    </row>
    <row r="9" spans="1:20">
      <c r="A9" s="2" t="s">
        <v>325</v>
      </c>
      <c r="B9" s="16" t="s">
        <v>326</v>
      </c>
      <c r="D9" s="14">
        <v>1</v>
      </c>
      <c r="E9" s="14">
        <v>0.36430820125893709</v>
      </c>
      <c r="F9" s="14">
        <v>0.16566708858947476</v>
      </c>
      <c r="G9" s="14">
        <v>3.1320214504122246E-6</v>
      </c>
      <c r="H9" s="14">
        <v>472.05895437988903</v>
      </c>
      <c r="I9" s="14">
        <v>858.32825837520738</v>
      </c>
      <c r="J9" s="14">
        <v>0</v>
      </c>
      <c r="K9" s="14">
        <v>6.036201930716687</v>
      </c>
      <c r="L9" s="14">
        <v>0.16566708858947476</v>
      </c>
      <c r="M9" s="14">
        <v>0.13592984618766404</v>
      </c>
      <c r="N9" s="14">
        <v>40.145263959834963</v>
      </c>
      <c r="O9" s="14">
        <v>12218.211086175772</v>
      </c>
      <c r="P9" s="8">
        <v>40.145263959834963</v>
      </c>
      <c r="Q9" s="54">
        <v>0.41903800249217338</v>
      </c>
    </row>
    <row r="10" spans="1:20">
      <c r="A10" s="2" t="s">
        <v>275</v>
      </c>
      <c r="B10" s="16" t="s">
        <v>276</v>
      </c>
      <c r="D10" s="14">
        <v>1</v>
      </c>
      <c r="E10" s="14">
        <v>0.42502929148348273</v>
      </c>
      <c r="F10" s="14">
        <v>2.930802535060462E-2</v>
      </c>
      <c r="G10" s="14">
        <v>7.7774109319648784E-8</v>
      </c>
      <c r="H10" s="14">
        <v>854.292430946541</v>
      </c>
      <c r="I10" s="14">
        <v>2504.1695439276264</v>
      </c>
      <c r="J10" s="14">
        <v>0</v>
      </c>
      <c r="K10" s="14">
        <v>34.120347175807602</v>
      </c>
      <c r="L10" s="14">
        <v>2.9308025350604623E-2</v>
      </c>
      <c r="M10" s="14">
        <v>2.4047234800171093E-2</v>
      </c>
      <c r="N10" s="14">
        <v>119.21518866579913</v>
      </c>
      <c r="O10" s="14">
        <v>44168.035248791923</v>
      </c>
      <c r="P10" s="8">
        <v>119.21518866579913</v>
      </c>
      <c r="Q10" s="54">
        <v>0.35880933161632117</v>
      </c>
    </row>
    <row r="11" spans="1:20">
      <c r="A11" s="2" t="s">
        <v>327</v>
      </c>
      <c r="B11" s="16" t="s">
        <v>328</v>
      </c>
      <c r="D11" s="14">
        <v>1</v>
      </c>
      <c r="E11" s="14">
        <v>0.41924754034231332</v>
      </c>
      <c r="F11" s="14">
        <v>2.575868738456177E-2</v>
      </c>
      <c r="G11" s="14">
        <v>4.0306233462160533E-6</v>
      </c>
      <c r="H11" s="14">
        <v>818.735701325577</v>
      </c>
      <c r="I11" s="14">
        <v>2774.6033044750129</v>
      </c>
      <c r="J11" s="14">
        <v>0</v>
      </c>
      <c r="K11" s="14">
        <v>38.821853966027035</v>
      </c>
      <c r="L11" s="14">
        <v>2.5758687384561774E-2</v>
      </c>
      <c r="M11" s="14">
        <v>2.1135002999032933E-2</v>
      </c>
      <c r="N11" s="14">
        <v>132.3143664936641</v>
      </c>
      <c r="O11" s="14">
        <v>50399.865341101598</v>
      </c>
      <c r="P11" s="8">
        <v>132.31436649366412</v>
      </c>
      <c r="Q11" s="54">
        <v>0.35925341005316264</v>
      </c>
    </row>
    <row r="12" spans="1:20">
      <c r="A12" s="2" t="s">
        <v>329</v>
      </c>
      <c r="B12" s="16" t="s">
        <v>330</v>
      </c>
      <c r="D12" s="14">
        <v>1</v>
      </c>
      <c r="E12" s="14">
        <v>0.37280311469582261</v>
      </c>
      <c r="F12" s="14">
        <v>0.12365676980989436</v>
      </c>
      <c r="G12" s="14">
        <v>1.9057520045825079E-6</v>
      </c>
      <c r="H12" s="14">
        <v>595.7141246963788</v>
      </c>
      <c r="I12" s="14">
        <v>1042.0656212604476</v>
      </c>
      <c r="J12" s="14">
        <v>0</v>
      </c>
      <c r="K12" s="14">
        <v>8.086900551723657</v>
      </c>
      <c r="L12" s="14">
        <v>0.12365676980989436</v>
      </c>
      <c r="M12" s="14">
        <v>0.10146037962901833</v>
      </c>
      <c r="N12" s="14">
        <v>48.849777382489854</v>
      </c>
      <c r="O12" s="14">
        <v>13404.378913755216</v>
      </c>
      <c r="P12" s="8">
        <v>48.849777382489854</v>
      </c>
      <c r="Q12" s="54">
        <v>0.41123973284316367</v>
      </c>
    </row>
    <row r="13" spans="1:20">
      <c r="A13" s="2" t="s">
        <v>277</v>
      </c>
      <c r="B13" s="16" t="s">
        <v>278</v>
      </c>
      <c r="D13" s="14">
        <v>1</v>
      </c>
      <c r="E13" s="14">
        <v>0.36441329804904016</v>
      </c>
      <c r="F13" s="14">
        <v>0.16125994681107236</v>
      </c>
      <c r="G13" s="14">
        <v>4.9457823447667313E-6</v>
      </c>
      <c r="H13" s="14">
        <v>483.06604553050335</v>
      </c>
      <c r="I13" s="14">
        <v>875.11208832053512</v>
      </c>
      <c r="J13" s="14">
        <v>0</v>
      </c>
      <c r="K13" s="14">
        <v>6.2011678645260373</v>
      </c>
      <c r="L13" s="14">
        <v>0.16125994681107236</v>
      </c>
      <c r="M13" s="14">
        <v>0.1323137863584849</v>
      </c>
      <c r="N13" s="14">
        <v>40.937864683229797</v>
      </c>
      <c r="O13" s="14">
        <v>16658.845275546704</v>
      </c>
      <c r="P13" s="8">
        <v>40.937864683229805</v>
      </c>
      <c r="Q13" s="54">
        <v>0.41866213418678377</v>
      </c>
    </row>
    <row r="14" spans="1:20">
      <c r="A14" s="2" t="s">
        <v>331</v>
      </c>
      <c r="B14" s="16" t="s">
        <v>332</v>
      </c>
      <c r="D14" s="14">
        <v>1</v>
      </c>
      <c r="E14" s="14">
        <v>0.40823582267980113</v>
      </c>
      <c r="F14" s="14">
        <v>1.6996606388073758E-2</v>
      </c>
      <c r="G14" s="14">
        <v>2.670980422045195E-6</v>
      </c>
      <c r="H14" s="14">
        <v>706.54888768333478</v>
      </c>
      <c r="I14" s="14">
        <v>3754.0442527962418</v>
      </c>
      <c r="J14" s="14">
        <v>0</v>
      </c>
      <c r="K14" s="14">
        <v>58.835274358161492</v>
      </c>
      <c r="L14" s="14">
        <v>1.6996606388073762E-2</v>
      </c>
      <c r="M14" s="14">
        <v>1.394571554141452E-2</v>
      </c>
      <c r="N14" s="14">
        <v>179.97756544116604</v>
      </c>
      <c r="O14" s="14">
        <v>68555.254452194553</v>
      </c>
      <c r="P14" s="8">
        <v>179.97756544116604</v>
      </c>
      <c r="Q14" s="54">
        <v>0.35505806980160048</v>
      </c>
    </row>
    <row r="15" spans="1:20">
      <c r="A15" s="2" t="s">
        <v>333</v>
      </c>
      <c r="B15" s="16" t="s">
        <v>334</v>
      </c>
      <c r="D15" s="14">
        <v>1</v>
      </c>
      <c r="E15" s="14">
        <v>0.4220949718505505</v>
      </c>
      <c r="F15" s="14">
        <v>2.7489908366693738E-2</v>
      </c>
      <c r="G15" s="14">
        <v>4.398674037304253E-9</v>
      </c>
      <c r="H15" s="14">
        <v>836.74532040256031</v>
      </c>
      <c r="I15" s="14">
        <v>2637.2449110341463</v>
      </c>
      <c r="J15" s="14">
        <v>0</v>
      </c>
      <c r="K15" s="14">
        <v>36.376985570878851</v>
      </c>
      <c r="L15" s="14">
        <v>2.7489908366693738E-2</v>
      </c>
      <c r="M15" s="14">
        <v>2.2555469814872213E-2</v>
      </c>
      <c r="N15" s="14">
        <v>125.65704403688741</v>
      </c>
      <c r="O15" s="14">
        <v>48312.620291302475</v>
      </c>
      <c r="P15" s="8">
        <v>125.65704403688741</v>
      </c>
      <c r="Q15" s="54">
        <v>0.35921169106156742</v>
      </c>
    </row>
    <row r="16" spans="1:20">
      <c r="A16" s="2" t="s">
        <v>335</v>
      </c>
      <c r="B16" s="16" t="s">
        <v>336</v>
      </c>
      <c r="D16" s="14">
        <v>1</v>
      </c>
      <c r="E16" s="14">
        <v>0.41827783049073375</v>
      </c>
      <c r="F16" s="14">
        <v>6.2666779385309084E-3</v>
      </c>
      <c r="G16" s="14">
        <v>2.1745323021881154E-5</v>
      </c>
      <c r="H16" s="14">
        <v>465.30463184319137</v>
      </c>
      <c r="I16" s="14">
        <v>6534.2319443742626</v>
      </c>
      <c r="J16" s="14">
        <v>0</v>
      </c>
      <c r="K16" s="14">
        <v>159.57418105874913</v>
      </c>
      <c r="L16" s="14">
        <v>6.2666779385309084E-3</v>
      </c>
      <c r="M16" s="14">
        <v>5.1418092485646105E-3</v>
      </c>
      <c r="N16" s="14">
        <v>316.94128432440527</v>
      </c>
      <c r="O16" s="14">
        <v>118320.52026398697</v>
      </c>
      <c r="P16" s="8">
        <v>316.94128432440527</v>
      </c>
      <c r="Q16" s="54">
        <v>0.31346896248666906</v>
      </c>
    </row>
    <row r="17" spans="1:21">
      <c r="A17" s="2" t="s">
        <v>337</v>
      </c>
      <c r="B17" s="16" t="s">
        <v>338</v>
      </c>
      <c r="D17" s="14">
        <v>1</v>
      </c>
      <c r="E17" s="14">
        <v>0.42749281057816385</v>
      </c>
      <c r="F17" s="14">
        <v>3.0830868789656005E-2</v>
      </c>
      <c r="G17" s="14">
        <v>1.5580961364327596E-6</v>
      </c>
      <c r="H17" s="14">
        <v>868.0920180428493</v>
      </c>
      <c r="I17" s="14">
        <v>2401.1701385842289</v>
      </c>
      <c r="J17" s="14">
        <v>0</v>
      </c>
      <c r="K17" s="14">
        <v>32.435025001160774</v>
      </c>
      <c r="L17" s="14">
        <v>3.0830868789656008E-2</v>
      </c>
      <c r="M17" s="14">
        <v>2.5296727841912753E-2</v>
      </c>
      <c r="N17" s="14">
        <v>114.23441091269704</v>
      </c>
      <c r="O17" s="14">
        <v>44473.740856531214</v>
      </c>
      <c r="P17" s="8">
        <v>114.23441091269706</v>
      </c>
      <c r="Q17" s="54">
        <v>0.35828030375820147</v>
      </c>
    </row>
    <row r="18" spans="1:21">
      <c r="A18" s="2" t="s">
        <v>279</v>
      </c>
      <c r="B18" s="16" t="s">
        <v>280</v>
      </c>
      <c r="D18" s="14">
        <v>1</v>
      </c>
      <c r="E18" s="14">
        <v>0.3625026145451497</v>
      </c>
      <c r="F18" s="14">
        <v>0.18495520049707811</v>
      </c>
      <c r="G18" s="14">
        <v>8.7723314968293336E-5</v>
      </c>
      <c r="H18" s="14">
        <v>420.81048005139098</v>
      </c>
      <c r="I18" s="14">
        <v>777.93572847768303</v>
      </c>
      <c r="J18" s="14">
        <v>0</v>
      </c>
      <c r="K18" s="14">
        <v>5.406714692598209</v>
      </c>
      <c r="L18" s="14">
        <v>0.18495520049707814</v>
      </c>
      <c r="M18" s="14">
        <v>0.15175574200785261</v>
      </c>
      <c r="N18" s="14">
        <v>36.358470713828211</v>
      </c>
      <c r="O18" s="14">
        <v>10574.134037702659</v>
      </c>
      <c r="P18" s="8">
        <v>36.358470713828211</v>
      </c>
      <c r="Q18" s="54">
        <v>0.41604826754331253</v>
      </c>
    </row>
    <row r="19" spans="1:21">
      <c r="A19" s="2" t="s">
        <v>339</v>
      </c>
      <c r="B19" s="16" t="s">
        <v>340</v>
      </c>
      <c r="D19" s="14">
        <v>1</v>
      </c>
      <c r="E19" s="14">
        <v>0.42153598014417576</v>
      </c>
      <c r="F19" s="14">
        <v>2.7137925897274949E-2</v>
      </c>
      <c r="G19" s="14">
        <v>1.5409379106032012E-8</v>
      </c>
      <c r="H19" s="14">
        <v>833.21417980410706</v>
      </c>
      <c r="I19" s="14">
        <v>2664.4883335172522</v>
      </c>
      <c r="J19" s="14">
        <v>0</v>
      </c>
      <c r="K19" s="14">
        <v>36.8487998598454</v>
      </c>
      <c r="L19" s="14">
        <v>2.7137925897274949E-2</v>
      </c>
      <c r="M19" s="14">
        <v>2.2266668198714097E-2</v>
      </c>
      <c r="N19" s="14">
        <v>126.97670458169451</v>
      </c>
      <c r="O19" s="14">
        <v>43889.497938662702</v>
      </c>
      <c r="P19" s="8">
        <v>126.97670458169451</v>
      </c>
      <c r="Q19" s="54">
        <v>0.35926410096717831</v>
      </c>
    </row>
    <row r="20" spans="1:21">
      <c r="A20" s="2" t="s">
        <v>281</v>
      </c>
      <c r="B20" s="16" t="s">
        <v>282</v>
      </c>
      <c r="D20" s="14">
        <v>1</v>
      </c>
      <c r="E20" s="14">
        <v>0.36455100672175061</v>
      </c>
      <c r="F20" s="14">
        <v>0.16132088556757659</v>
      </c>
      <c r="G20" s="14">
        <v>7.4885732991463268E-7</v>
      </c>
      <c r="H20" s="14">
        <v>483.24859206301909</v>
      </c>
      <c r="I20" s="14">
        <v>875.44278570397489</v>
      </c>
      <c r="J20" s="14">
        <v>0</v>
      </c>
      <c r="K20" s="14">
        <v>6.1988253813614511</v>
      </c>
      <c r="L20" s="14">
        <v>0.16132088556757659</v>
      </c>
      <c r="M20" s="14">
        <v>0.13236378660819659</v>
      </c>
      <c r="N20" s="14">
        <v>40.953334752624386</v>
      </c>
      <c r="O20" s="14">
        <v>11928.068280049378</v>
      </c>
      <c r="P20" s="8">
        <v>40.953334752624386</v>
      </c>
      <c r="Q20" s="54">
        <v>0.41882034303130627</v>
      </c>
    </row>
    <row r="21" spans="1:21">
      <c r="A21" s="2" t="s">
        <v>341</v>
      </c>
      <c r="B21" s="16" t="s">
        <v>342</v>
      </c>
      <c r="D21" s="14">
        <v>1</v>
      </c>
      <c r="E21" s="14">
        <v>0.40969411119937305</v>
      </c>
      <c r="F21" s="14">
        <v>1.9195818678458966E-2</v>
      </c>
      <c r="G21" s="14">
        <v>2.2334443032012995E-5</v>
      </c>
      <c r="H21" s="14">
        <v>738.15342462765841</v>
      </c>
      <c r="I21" s="14">
        <v>3441.9440762597987</v>
      </c>
      <c r="J21" s="14">
        <v>0</v>
      </c>
      <c r="K21" s="14">
        <v>52.094678364626006</v>
      </c>
      <c r="L21" s="14">
        <v>1.9195818678458966E-2</v>
      </c>
      <c r="M21" s="14">
        <v>1.575016922567558E-2</v>
      </c>
      <c r="N21" s="14">
        <v>164.75867374556341</v>
      </c>
      <c r="O21" s="14">
        <v>55240.288133412498</v>
      </c>
      <c r="P21" s="8">
        <v>164.75867374556341</v>
      </c>
      <c r="Q21" s="54">
        <v>0.35661845138694342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0.668163018798268</v>
      </c>
      <c r="F22" s="14">
        <v>0.65092476524517451</v>
      </c>
      <c r="G22" s="14">
        <v>2.5169772075471582E-5</v>
      </c>
      <c r="H22" s="14">
        <v>39.432180682185226</v>
      </c>
      <c r="I22" s="14">
        <v>95.21556874622847</v>
      </c>
      <c r="J22" s="14">
        <v>0</v>
      </c>
      <c r="K22" s="14">
        <v>1.5362758545887316</v>
      </c>
      <c r="L22" s="14">
        <v>0.65092476524517451</v>
      </c>
      <c r="M22" s="14">
        <v>0.53408376988366568</v>
      </c>
      <c r="N22" s="14">
        <v>4.8771746889241907</v>
      </c>
      <c r="O22" s="14">
        <v>800.83208392135214</v>
      </c>
      <c r="P22" s="8">
        <v>4.8771746889241916</v>
      </c>
      <c r="Q22" s="54">
        <v>0.22126257683651548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0.76843796323912306</v>
      </c>
      <c r="F23" s="14">
        <v>0.76090499628277819</v>
      </c>
      <c r="G23" s="14">
        <v>9.9160549208612883E-7</v>
      </c>
      <c r="H23" s="14">
        <v>17.382427864975721</v>
      </c>
      <c r="I23" s="14">
        <v>45.099072107441827</v>
      </c>
      <c r="J23" s="14">
        <v>0</v>
      </c>
      <c r="K23" s="14">
        <v>1.3142245153932015</v>
      </c>
      <c r="L23" s="14">
        <v>0.76090499628277819</v>
      </c>
      <c r="M23" s="14">
        <v>0.62432254945001953</v>
      </c>
      <c r="N23" s="14">
        <v>2.6828527632237726</v>
      </c>
      <c r="O23" s="14">
        <v>405.54002368890548</v>
      </c>
      <c r="P23" s="8">
        <v>2.6828527632237726</v>
      </c>
      <c r="Q23" s="54">
        <v>0.15558495785602361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0.41717520228581412</v>
      </c>
      <c r="F24" s="14">
        <v>0.32258562282884706</v>
      </c>
      <c r="G24" s="14">
        <v>1.4852976547077227E-6</v>
      </c>
      <c r="H24" s="14">
        <v>220.99630253483937</v>
      </c>
      <c r="I24" s="14">
        <v>446.31571453454626</v>
      </c>
      <c r="J24" s="14">
        <v>0</v>
      </c>
      <c r="K24" s="14">
        <v>3.0999521653529047</v>
      </c>
      <c r="L24" s="14">
        <v>0.32258562282884712</v>
      </c>
      <c r="M24" s="14">
        <v>0.26468150353106906</v>
      </c>
      <c r="N24" s="14">
        <v>20.87277942652296</v>
      </c>
      <c r="O24" s="14">
        <v>3678.8273739246715</v>
      </c>
      <c r="P24" s="8">
        <v>20.87277942652296</v>
      </c>
      <c r="Q24" s="54">
        <v>0.38818806471945533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0.38381865529600834</v>
      </c>
      <c r="F25" s="14">
        <v>7.78903284929503E-2</v>
      </c>
      <c r="G25" s="14">
        <v>5.5074685156479119E-4</v>
      </c>
      <c r="H25" s="14">
        <v>737.0951191532173</v>
      </c>
      <c r="I25" s="14">
        <v>1226.8196012065728</v>
      </c>
      <c r="J25" s="14">
        <v>0</v>
      </c>
      <c r="K25" s="14">
        <v>12.838564419336196</v>
      </c>
      <c r="L25" s="14">
        <v>7.78903284929503E-2</v>
      </c>
      <c r="M25" s="14">
        <v>6.3909014528465716E-2</v>
      </c>
      <c r="N25" s="14">
        <v>57.722245130720886</v>
      </c>
      <c r="O25" s="14">
        <v>11099.987738637627</v>
      </c>
      <c r="P25" s="8">
        <v>57.722245130720886</v>
      </c>
      <c r="Q25" s="54">
        <v>0.36828218081401515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0.4117830555006563</v>
      </c>
      <c r="F26" s="14">
        <v>2.0824591638270107E-2</v>
      </c>
      <c r="G26" s="14">
        <v>1.7946715635983731E-5</v>
      </c>
      <c r="H26" s="14">
        <v>760.25011380068281</v>
      </c>
      <c r="I26" s="14">
        <v>3249.4784758304791</v>
      </c>
      <c r="J26" s="14">
        <v>0</v>
      </c>
      <c r="K26" s="14">
        <v>48.020149320107848</v>
      </c>
      <c r="L26" s="14">
        <v>2.082459163827011E-2</v>
      </c>
      <c r="M26" s="14">
        <v>1.7086577439200626E-2</v>
      </c>
      <c r="N26" s="14">
        <v>155.38521657587614</v>
      </c>
      <c r="O26" s="14">
        <v>34553.01060997758</v>
      </c>
      <c r="P26" s="8">
        <v>155.38521657587614</v>
      </c>
      <c r="Q26" s="54">
        <v>0.35777802684947813</v>
      </c>
    </row>
    <row r="27" spans="1:21">
      <c r="A27" s="2" t="s">
        <v>353</v>
      </c>
      <c r="B27" s="16" t="s">
        <v>354</v>
      </c>
      <c r="D27" s="14">
        <v>1</v>
      </c>
      <c r="E27" s="14">
        <v>0.43645852674816377</v>
      </c>
      <c r="F27" s="14">
        <v>3.477649186857897E-3</v>
      </c>
      <c r="G27" s="14">
        <v>1.3295793380042306E-4</v>
      </c>
      <c r="H27" s="14">
        <v>349.61154832546731</v>
      </c>
      <c r="I27" s="14">
        <v>8157.234371716645</v>
      </c>
      <c r="J27" s="14">
        <v>0</v>
      </c>
      <c r="K27" s="14">
        <v>287.55056829165488</v>
      </c>
      <c r="L27" s="14">
        <v>3.4776491868578974E-3</v>
      </c>
      <c r="M27" s="14">
        <v>2.8534111578169047E-3</v>
      </c>
      <c r="N27" s="14">
        <v>398.0990067057661</v>
      </c>
      <c r="O27" s="14">
        <v>94106.624195176046</v>
      </c>
      <c r="P27" s="8">
        <v>398.0990067057661</v>
      </c>
      <c r="Q27" s="54">
        <v>0.27450037401900701</v>
      </c>
    </row>
    <row r="28" spans="1:21">
      <c r="A28" s="2" t="s">
        <v>355</v>
      </c>
      <c r="B28" s="16" t="s">
        <v>356</v>
      </c>
      <c r="D28" s="14">
        <v>1</v>
      </c>
      <c r="E28" s="14">
        <v>0.40673481481129981</v>
      </c>
      <c r="F28" s="14">
        <v>1.1566721420313593E-2</v>
      </c>
      <c r="G28" s="14">
        <v>6.778580588162937E-6</v>
      </c>
      <c r="H28" s="14">
        <v>607.44963564862121</v>
      </c>
      <c r="I28" s="14">
        <v>4774.9348093435228</v>
      </c>
      <c r="J28" s="14">
        <v>0</v>
      </c>
      <c r="K28" s="14">
        <v>86.454922156574966</v>
      </c>
      <c r="L28" s="14">
        <v>1.1566721420313593E-2</v>
      </c>
      <c r="M28" s="14">
        <v>9.490494925367304E-3</v>
      </c>
      <c r="N28" s="14">
        <v>229.99594778181725</v>
      </c>
      <c r="O28" s="14">
        <v>59430.952906821571</v>
      </c>
      <c r="P28" s="8">
        <v>229.99594778181728</v>
      </c>
      <c r="Q28" s="54">
        <v>0.34353219686164921</v>
      </c>
    </row>
    <row r="29" spans="1:21">
      <c r="A29" s="2" t="s">
        <v>357</v>
      </c>
      <c r="B29" s="16" t="s">
        <v>358</v>
      </c>
      <c r="D29" s="14">
        <v>1</v>
      </c>
      <c r="E29" s="14">
        <v>0.36334840678116015</v>
      </c>
      <c r="F29" s="14">
        <v>1.5742843418083154E-2</v>
      </c>
      <c r="G29" s="14">
        <v>1.239400490150418E-3</v>
      </c>
      <c r="H29" s="14">
        <v>637.65119200396362</v>
      </c>
      <c r="I29" s="14">
        <v>3243.69750417054</v>
      </c>
      <c r="J29" s="14">
        <v>0</v>
      </c>
      <c r="K29" s="14">
        <v>63.520926521529226</v>
      </c>
      <c r="L29" s="14">
        <v>1.5742843418083154E-2</v>
      </c>
      <c r="M29" s="14">
        <v>1.291700302453723E-2</v>
      </c>
      <c r="N29" s="14">
        <v>155.42979324572951</v>
      </c>
      <c r="O29" s="14">
        <v>36742.048825357997</v>
      </c>
      <c r="P29" s="8">
        <v>155.42979324572954</v>
      </c>
      <c r="Q29" s="54">
        <v>0.31625714544560329</v>
      </c>
    </row>
    <row r="30" spans="1:21">
      <c r="A30" s="2" t="s">
        <v>359</v>
      </c>
      <c r="B30" s="16" t="s">
        <v>360</v>
      </c>
      <c r="D30" s="14">
        <v>1</v>
      </c>
      <c r="E30" s="14">
        <v>0.40673481481129981</v>
      </c>
      <c r="F30" s="14">
        <v>1.1566721420313593E-2</v>
      </c>
      <c r="G30" s="14">
        <v>6.778580588162937E-6</v>
      </c>
      <c r="H30" s="14">
        <v>607.44963564862121</v>
      </c>
      <c r="I30" s="14">
        <v>4774.9348093435228</v>
      </c>
      <c r="J30" s="14">
        <v>0</v>
      </c>
      <c r="K30" s="14">
        <v>86.454922156574966</v>
      </c>
      <c r="L30" s="14">
        <v>1.1566721420313593E-2</v>
      </c>
      <c r="M30" s="14">
        <v>9.490494925367304E-3</v>
      </c>
      <c r="N30" s="14">
        <v>229.99594778181725</v>
      </c>
      <c r="O30" s="14">
        <v>59430.952906821571</v>
      </c>
      <c r="P30" s="8">
        <v>229.99594778181728</v>
      </c>
      <c r="Q30" s="54">
        <v>0.34353219686164921</v>
      </c>
    </row>
    <row r="31" spans="1:21">
      <c r="A31" s="2" t="s">
        <v>283</v>
      </c>
      <c r="B31" s="16" t="s">
        <v>284</v>
      </c>
      <c r="D31" s="14">
        <v>1</v>
      </c>
      <c r="E31" s="14">
        <v>0.97638478048926092</v>
      </c>
      <c r="F31" s="14">
        <v>0.9766816387608348</v>
      </c>
      <c r="G31" s="14">
        <v>2.9044339922603355E-10</v>
      </c>
      <c r="H31" s="14">
        <v>0.17015041912978585</v>
      </c>
      <c r="I31" s="14">
        <v>0.63225197405301647</v>
      </c>
      <c r="J31" s="14">
        <v>0</v>
      </c>
      <c r="K31" s="14">
        <v>1.0238750891935986</v>
      </c>
      <c r="L31" s="14">
        <v>0.97668163876083491</v>
      </c>
      <c r="M31" s="14">
        <v>0.80136728460326501</v>
      </c>
      <c r="N31" s="14">
        <v>0.86142025753574347</v>
      </c>
      <c r="O31" s="14">
        <v>167.27919981086603</v>
      </c>
      <c r="P31" s="8">
        <v>0.86142025753574358</v>
      </c>
      <c r="Q31" s="54">
        <v>1.5728604568035754E-2</v>
      </c>
    </row>
    <row r="32" spans="1:21">
      <c r="A32" s="2" t="s">
        <v>361</v>
      </c>
      <c r="B32" s="16" t="s">
        <v>362</v>
      </c>
      <c r="D32" s="14">
        <v>1</v>
      </c>
      <c r="E32" s="14">
        <v>0.58676602430287916</v>
      </c>
      <c r="F32" s="14">
        <v>0.55594966647821242</v>
      </c>
      <c r="G32" s="14">
        <v>3.0228583179981611E-10</v>
      </c>
      <c r="H32" s="14">
        <v>70.756671450240091</v>
      </c>
      <c r="I32" s="14">
        <v>161.52794630510959</v>
      </c>
      <c r="J32" s="14">
        <v>0</v>
      </c>
      <c r="K32" s="14">
        <v>1.7987239858146216</v>
      </c>
      <c r="L32" s="14">
        <v>0.55594966647821253</v>
      </c>
      <c r="M32" s="14">
        <v>0.45615670134537334</v>
      </c>
      <c r="N32" s="14">
        <v>7.9502925292859086</v>
      </c>
      <c r="O32" s="14">
        <v>2035.9904138248282</v>
      </c>
      <c r="P32" s="8">
        <v>7.9502925292859086</v>
      </c>
      <c r="Q32" s="54">
        <v>0.2769795283572466</v>
      </c>
    </row>
    <row r="33" spans="1:17">
      <c r="A33" s="2" t="s">
        <v>364</v>
      </c>
      <c r="B33" s="16" t="s">
        <v>365</v>
      </c>
      <c r="D33" s="14">
        <v>1</v>
      </c>
      <c r="E33" s="14">
        <v>0.99962838509451579</v>
      </c>
      <c r="F33" s="14">
        <v>0.99959772581804629</v>
      </c>
      <c r="G33" s="14">
        <v>1.3412495645861141E-12</v>
      </c>
      <c r="H33" s="14">
        <v>1.1943325246717835</v>
      </c>
      <c r="I33" s="14">
        <v>3.3815374180521844E-3</v>
      </c>
      <c r="J33" s="14">
        <v>0</v>
      </c>
      <c r="K33" s="14">
        <v>1.0004024360715953</v>
      </c>
      <c r="L33" s="14">
        <v>0.99959772581804629</v>
      </c>
      <c r="M33" s="14">
        <v>0.82016993403370697</v>
      </c>
      <c r="N33" s="14">
        <v>0.86398863042407836</v>
      </c>
      <c r="O33" s="14">
        <v>255.87023290009077</v>
      </c>
      <c r="P33" s="8">
        <v>0.86398863042407836</v>
      </c>
      <c r="Q33" s="54">
        <v>3.8557973225641478E-5</v>
      </c>
    </row>
    <row r="34" spans="1:17">
      <c r="A34" s="2" t="s">
        <v>285</v>
      </c>
      <c r="B34" s="16" t="s">
        <v>286</v>
      </c>
      <c r="D34" s="14">
        <v>1</v>
      </c>
      <c r="E34" s="14">
        <v>0.99889496652609533</v>
      </c>
      <c r="F34" s="14">
        <v>0.92331165739281329</v>
      </c>
      <c r="G34" s="14">
        <v>6.6976596284013018E-12</v>
      </c>
      <c r="H34" s="14">
        <v>215.82826465120414</v>
      </c>
      <c r="I34" s="14">
        <v>0.16411355053752147</v>
      </c>
      <c r="J34" s="14">
        <v>0</v>
      </c>
      <c r="K34" s="14">
        <v>1.0830579165692917</v>
      </c>
      <c r="L34" s="14">
        <v>0.92331165739281329</v>
      </c>
      <c r="M34" s="14">
        <v>0.75757721489080332</v>
      </c>
      <c r="N34" s="14">
        <v>2.1376744221205071</v>
      </c>
      <c r="O34" s="14">
        <v>472.51155426551685</v>
      </c>
      <c r="P34" s="8">
        <v>2.1376744221205071</v>
      </c>
      <c r="Q34" s="54">
        <v>2.2067058248775048E-4</v>
      </c>
    </row>
    <row r="35" spans="1:17">
      <c r="A35" s="2" t="s">
        <v>287</v>
      </c>
      <c r="B35" s="16" t="s">
        <v>288</v>
      </c>
      <c r="D35" s="14">
        <v>1</v>
      </c>
      <c r="E35" s="14">
        <v>0.99749397226912295</v>
      </c>
      <c r="F35" s="14">
        <v>0.82635162671047357</v>
      </c>
      <c r="G35" s="14">
        <v>2.949369745428546E-13</v>
      </c>
      <c r="H35" s="14">
        <v>487.24218979179568</v>
      </c>
      <c r="I35" s="14">
        <v>0.87364264370766176</v>
      </c>
      <c r="J35" s="14">
        <v>0</v>
      </c>
      <c r="K35" s="14">
        <v>1.2101385992071958</v>
      </c>
      <c r="L35" s="14">
        <v>0.82635162671047357</v>
      </c>
      <c r="M35" s="14">
        <v>0.67802150971594355</v>
      </c>
      <c r="N35" s="14">
        <v>3.5982290955966167</v>
      </c>
      <c r="O35" s="14">
        <v>828.52823155207693</v>
      </c>
      <c r="P35" s="8">
        <v>3.5982290955966172</v>
      </c>
      <c r="Q35" s="54">
        <v>8.0748381163645131E-4</v>
      </c>
    </row>
    <row r="36" spans="1:17">
      <c r="A36" s="2" t="s">
        <v>366</v>
      </c>
      <c r="B36" s="16" t="s">
        <v>305</v>
      </c>
      <c r="D36" s="14">
        <v>1</v>
      </c>
      <c r="E36" s="14">
        <v>0.99463898503201476</v>
      </c>
      <c r="F36" s="14">
        <v>0.54631816093402519</v>
      </c>
      <c r="G36" s="14">
        <v>1.030545359868562E-9</v>
      </c>
      <c r="H36" s="14">
        <v>1274.4583226985453</v>
      </c>
      <c r="I36" s="14">
        <v>3.3785397787305773</v>
      </c>
      <c r="J36" s="14">
        <v>0</v>
      </c>
      <c r="K36" s="14">
        <v>1.8304352143269906</v>
      </c>
      <c r="L36" s="14">
        <v>0.5463181609340253</v>
      </c>
      <c r="M36" s="14">
        <v>0.44825405104636773</v>
      </c>
      <c r="N36" s="14">
        <v>7.4479339994024993</v>
      </c>
      <c r="O36" s="14">
        <v>1536.3598253967475</v>
      </c>
      <c r="P36" s="8">
        <v>7.4479339994025002</v>
      </c>
      <c r="Q36" s="54">
        <v>1.7886651141062562E-3</v>
      </c>
    </row>
    <row r="37" spans="1:17">
      <c r="A37" s="2" t="s">
        <v>289</v>
      </c>
      <c r="B37" s="16" t="s">
        <v>290</v>
      </c>
      <c r="D37" s="14">
        <v>1</v>
      </c>
      <c r="E37" s="14">
        <v>0.79554334417029038</v>
      </c>
      <c r="F37" s="14">
        <v>0.59164456097281981</v>
      </c>
      <c r="G37" s="14">
        <v>1.3190557688993182E-16</v>
      </c>
      <c r="H37" s="14">
        <v>561.02327151348481</v>
      </c>
      <c r="I37" s="14">
        <v>177.34215957409685</v>
      </c>
      <c r="J37" s="14">
        <v>0</v>
      </c>
      <c r="K37" s="14">
        <v>1.6902039940259674</v>
      </c>
      <c r="L37" s="14">
        <v>0.59164456097281981</v>
      </c>
      <c r="M37" s="14">
        <v>0.4854443622781987</v>
      </c>
      <c r="N37" s="14">
        <v>11.384829687976943</v>
      </c>
      <c r="O37" s="14">
        <v>3966.7023598849269</v>
      </c>
      <c r="P37" s="8">
        <v>11.384829687976945</v>
      </c>
      <c r="Q37" s="54">
        <v>0.1352109900307101</v>
      </c>
    </row>
    <row r="38" spans="1:17">
      <c r="A38" s="2" t="s">
        <v>291</v>
      </c>
      <c r="B38" s="16" t="s">
        <v>292</v>
      </c>
      <c r="D38" s="14">
        <v>1</v>
      </c>
      <c r="E38" s="14">
        <v>0.99643541351857101</v>
      </c>
      <c r="F38" s="14">
        <v>0.93814952956489195</v>
      </c>
      <c r="G38" s="14">
        <v>2.0456407196307467E-14</v>
      </c>
      <c r="H38" s="14">
        <v>166.56051888620786</v>
      </c>
      <c r="I38" s="14">
        <v>1.2884000358246577</v>
      </c>
      <c r="J38" s="14">
        <v>0</v>
      </c>
      <c r="K38" s="14">
        <v>1.0659281580238003</v>
      </c>
      <c r="L38" s="14">
        <v>0.93814952956489195</v>
      </c>
      <c r="M38" s="14">
        <v>0.76975168900799384</v>
      </c>
      <c r="N38" s="14">
        <v>1.9106540934550162</v>
      </c>
      <c r="O38" s="14">
        <v>589.11197663498513</v>
      </c>
      <c r="P38" s="8">
        <v>1.9106540934550165</v>
      </c>
      <c r="Q38" s="54">
        <v>1.9366481629599335E-3</v>
      </c>
    </row>
    <row r="39" spans="1:17">
      <c r="A39" s="2" t="s">
        <v>367</v>
      </c>
      <c r="B39" s="16" t="s">
        <v>368</v>
      </c>
      <c r="D39" s="14">
        <v>1</v>
      </c>
      <c r="E39" s="14">
        <v>0.45755010791970008</v>
      </c>
      <c r="F39" s="14">
        <v>4.8433858423939741E-2</v>
      </c>
      <c r="G39" s="14">
        <v>7.5255380450777214E-7</v>
      </c>
      <c r="H39" s="14">
        <v>989.94044457798805</v>
      </c>
      <c r="I39" s="14">
        <v>1600.9074981791844</v>
      </c>
      <c r="J39" s="14">
        <v>0</v>
      </c>
      <c r="K39" s="14">
        <v>20.6467135293463</v>
      </c>
      <c r="L39" s="14">
        <v>4.8433858423939741E-2</v>
      </c>
      <c r="M39" s="14">
        <v>3.9739980836842562E-2</v>
      </c>
      <c r="N39" s="14">
        <v>75.697248063927077</v>
      </c>
      <c r="O39" s="14">
        <v>21069.572026113463</v>
      </c>
      <c r="P39" s="8">
        <v>75.697248063927091</v>
      </c>
      <c r="Q39" s="54">
        <v>0.34750914566127167</v>
      </c>
    </row>
    <row r="40" spans="1:17">
      <c r="A40" s="2" t="s">
        <v>369</v>
      </c>
      <c r="B40" s="16" t="s">
        <v>370</v>
      </c>
      <c r="D40" s="14">
        <v>1</v>
      </c>
      <c r="E40" s="14">
        <v>0.71304880874735777</v>
      </c>
      <c r="F40" s="14">
        <v>7.2421405870830282E-3</v>
      </c>
      <c r="G40" s="14">
        <v>7.3519079829983019E-14</v>
      </c>
      <c r="H40" s="14">
        <v>1870.7120824368194</v>
      </c>
      <c r="I40" s="14">
        <v>1253.109272415543</v>
      </c>
      <c r="J40" s="14">
        <v>0</v>
      </c>
      <c r="K40" s="14">
        <v>138.08072184950188</v>
      </c>
      <c r="L40" s="14">
        <v>7.2421405870830291E-3</v>
      </c>
      <c r="M40" s="14">
        <v>5.9421763517016248E-3</v>
      </c>
      <c r="N40" s="14">
        <v>731.44427897332616</v>
      </c>
      <c r="O40" s="14">
        <v>297624.67711424641</v>
      </c>
      <c r="P40" s="8">
        <v>731.44427897332616</v>
      </c>
      <c r="Q40" s="54">
        <v>1.3976194747321024E-2</v>
      </c>
    </row>
    <row r="41" spans="1:17">
      <c r="A41" s="2" t="s">
        <v>371</v>
      </c>
      <c r="B41" s="16" t="s">
        <v>372</v>
      </c>
      <c r="D41" s="14">
        <v>1</v>
      </c>
      <c r="E41" s="14">
        <v>0.91362682217753255</v>
      </c>
      <c r="F41" s="14">
        <v>0.91397894530693158</v>
      </c>
      <c r="G41" s="14">
        <v>9.0582578491988914E-4</v>
      </c>
      <c r="H41" s="14">
        <v>7.9216598703299793E-3</v>
      </c>
      <c r="I41" s="14">
        <v>3.6717521858238622E-2</v>
      </c>
      <c r="J41" s="14">
        <v>0</v>
      </c>
      <c r="K41" s="14">
        <v>1.0941171075491032</v>
      </c>
      <c r="L41" s="14">
        <v>0.91397894530693169</v>
      </c>
      <c r="M41" s="14">
        <v>0.74991972462433742</v>
      </c>
      <c r="N41" s="14">
        <v>0.78188309172897974</v>
      </c>
      <c r="O41" s="14">
        <v>109.61219062948568</v>
      </c>
      <c r="P41" s="8">
        <v>0.78188309172897985</v>
      </c>
      <c r="Q41" s="54">
        <v>3.0808699206443992E-3</v>
      </c>
    </row>
    <row r="42" spans="1:17">
      <c r="A42" s="2" t="s">
        <v>293</v>
      </c>
      <c r="B42" s="16" t="s">
        <v>294</v>
      </c>
      <c r="D42" s="14">
        <v>1</v>
      </c>
      <c r="E42" s="14">
        <v>0.64463152546313474</v>
      </c>
      <c r="F42" s="14">
        <v>0.62394726922347332</v>
      </c>
      <c r="G42" s="14">
        <v>2.3069404072808615E-10</v>
      </c>
      <c r="H42" s="14">
        <v>47.337780147633211</v>
      </c>
      <c r="I42" s="14">
        <v>112.42555989347855</v>
      </c>
      <c r="J42" s="14">
        <v>0</v>
      </c>
      <c r="K42" s="14">
        <v>1.6026995378063578</v>
      </c>
      <c r="L42" s="14">
        <v>0.62394726922347343</v>
      </c>
      <c r="M42" s="14">
        <v>0.51194873439785993</v>
      </c>
      <c r="N42" s="14">
        <v>5.6431211770536862</v>
      </c>
      <c r="O42" s="14">
        <v>1864.2615120514558</v>
      </c>
      <c r="P42" s="8">
        <v>5.6431211770536862</v>
      </c>
      <c r="Q42" s="54">
        <v>0.23848719142451899</v>
      </c>
    </row>
    <row r="43" spans="1:17">
      <c r="A43" s="2" t="s">
        <v>373</v>
      </c>
      <c r="B43" s="16" t="s">
        <v>374</v>
      </c>
      <c r="D43" s="14">
        <v>1</v>
      </c>
      <c r="E43" s="14">
        <v>0.98627495590058223</v>
      </c>
      <c r="F43" s="14">
        <v>8.0893729480213408E-2</v>
      </c>
      <c r="G43" s="14">
        <v>4.3802376918131311E-9</v>
      </c>
      <c r="H43" s="14">
        <v>2571.1940732864637</v>
      </c>
      <c r="I43" s="14">
        <v>20.101033862101289</v>
      </c>
      <c r="J43" s="14">
        <v>0</v>
      </c>
      <c r="K43" s="14">
        <v>12.361897596087466</v>
      </c>
      <c r="L43" s="14">
        <v>8.0893729480213408E-2</v>
      </c>
      <c r="M43" s="14">
        <v>6.6373305038515101E-2</v>
      </c>
      <c r="N43" s="14">
        <v>27.112221930899143</v>
      </c>
      <c r="O43" s="14">
        <v>7221.0691890756771</v>
      </c>
      <c r="P43" s="8">
        <v>27.112221930899143</v>
      </c>
      <c r="Q43" s="54">
        <v>2.6026657392453243E-3</v>
      </c>
    </row>
    <row r="44" spans="1:17">
      <c r="A44" s="2" t="s">
        <v>375</v>
      </c>
      <c r="B44" s="16" t="s">
        <v>376</v>
      </c>
      <c r="D44" s="14">
        <v>1</v>
      </c>
      <c r="E44" s="14">
        <v>0.78280326093982477</v>
      </c>
      <c r="F44" s="14">
        <v>0.78051600553865752</v>
      </c>
      <c r="G44" s="14">
        <v>9.6522886509337979E-4</v>
      </c>
      <c r="H44" s="14">
        <v>5.6441924476003464</v>
      </c>
      <c r="I44" s="14">
        <v>15.938923421125127</v>
      </c>
      <c r="J44" s="14">
        <v>0</v>
      </c>
      <c r="K44" s="14">
        <v>1.2812037074241289</v>
      </c>
      <c r="L44" s="14">
        <v>0.78051600553865752</v>
      </c>
      <c r="M44" s="14">
        <v>0.64041338254446856</v>
      </c>
      <c r="N44" s="14">
        <v>1.3793238509261809</v>
      </c>
      <c r="O44" s="14">
        <v>206.07098332837145</v>
      </c>
      <c r="P44" s="8">
        <v>1.3793238509261809</v>
      </c>
      <c r="Q44" s="54">
        <v>8.7631245441022826E-2</v>
      </c>
    </row>
    <row r="45" spans="1:17">
      <c r="A45" s="2" t="s">
        <v>377</v>
      </c>
      <c r="B45" s="16" t="s">
        <v>378</v>
      </c>
      <c r="D45" s="14">
        <v>1</v>
      </c>
      <c r="E45" s="14">
        <v>0.62146466971301884</v>
      </c>
      <c r="F45" s="14">
        <v>0.59730014464447623</v>
      </c>
      <c r="G45" s="14">
        <v>9.0066048168108206E-6</v>
      </c>
      <c r="H45" s="14">
        <v>55.351911079140145</v>
      </c>
      <c r="I45" s="14">
        <v>129.53579375910999</v>
      </c>
      <c r="J45" s="14">
        <v>0</v>
      </c>
      <c r="K45" s="14">
        <v>1.674200163797412</v>
      </c>
      <c r="L45" s="14">
        <v>0.59730014464447623</v>
      </c>
      <c r="M45" s="14">
        <v>0.49008476868079276</v>
      </c>
      <c r="N45" s="14">
        <v>6.4062290565850253</v>
      </c>
      <c r="O45" s="14">
        <v>1423.7203455354561</v>
      </c>
      <c r="P45" s="8">
        <v>6.4062290565850262</v>
      </c>
      <c r="Q45" s="54">
        <v>0.25339018622188797</v>
      </c>
    </row>
    <row r="46" spans="1:17">
      <c r="A46" s="2" t="s">
        <v>379</v>
      </c>
      <c r="B46" s="16" t="s">
        <v>380</v>
      </c>
      <c r="D46" s="14">
        <v>1</v>
      </c>
      <c r="E46" s="14">
        <v>0.63464303443764847</v>
      </c>
      <c r="F46" s="14">
        <v>0.61275369193691764</v>
      </c>
      <c r="G46" s="14">
        <v>2.6628973428634042E-5</v>
      </c>
      <c r="H46" s="14">
        <v>50.110176983484848</v>
      </c>
      <c r="I46" s="14">
        <v>118.3540455296379</v>
      </c>
      <c r="J46" s="14">
        <v>0</v>
      </c>
      <c r="K46" s="14">
        <v>1.6319771111276287</v>
      </c>
      <c r="L46" s="14">
        <v>0.61275369193691775</v>
      </c>
      <c r="M46" s="14">
        <v>0.50276440423424096</v>
      </c>
      <c r="N46" s="14">
        <v>5.9058219108261945</v>
      </c>
      <c r="O46" s="14">
        <v>759.25246485581556</v>
      </c>
      <c r="P46" s="8">
        <v>5.9058219108261945</v>
      </c>
      <c r="Q46" s="54">
        <v>0.24354718117530769</v>
      </c>
    </row>
    <row r="47" spans="1:17">
      <c r="A47" s="2" t="s">
        <v>381</v>
      </c>
      <c r="B47" s="16" t="s">
        <v>382</v>
      </c>
      <c r="D47" s="14">
        <v>1</v>
      </c>
      <c r="E47" s="14">
        <v>0.44570726879918898</v>
      </c>
      <c r="F47" s="14">
        <v>3.2294419767674885E-3</v>
      </c>
      <c r="G47" s="14">
        <v>2.3006787102633207E-9</v>
      </c>
      <c r="H47" s="14">
        <v>339.02169119146185</v>
      </c>
      <c r="I47" s="14">
        <v>8505.2024726125728</v>
      </c>
      <c r="J47" s="14">
        <v>0</v>
      </c>
      <c r="K47" s="14">
        <v>309.65101933831625</v>
      </c>
      <c r="L47" s="14">
        <v>3.2294419767674889E-3</v>
      </c>
      <c r="M47" s="14">
        <v>2.6497571419377246E-3</v>
      </c>
      <c r="N47" s="14">
        <v>415.44545310769195</v>
      </c>
      <c r="O47" s="14">
        <v>162559.65134650879</v>
      </c>
      <c r="P47" s="8">
        <v>415.44545310769195</v>
      </c>
      <c r="Q47" s="54">
        <v>0.27207250596575588</v>
      </c>
    </row>
    <row r="48" spans="1:17">
      <c r="A48" s="2" t="s">
        <v>383</v>
      </c>
      <c r="B48" s="16" t="s">
        <v>384</v>
      </c>
      <c r="D48" s="14">
        <v>1</v>
      </c>
      <c r="E48" s="14">
        <v>0.91091233022445284</v>
      </c>
      <c r="F48" s="14">
        <v>0.91042433467219741</v>
      </c>
      <c r="G48" s="14">
        <v>1.3133254043139794E-4</v>
      </c>
      <c r="H48" s="14">
        <v>1.7936754228826144</v>
      </c>
      <c r="I48" s="14">
        <v>5.5744372130786184</v>
      </c>
      <c r="J48" s="14">
        <v>0</v>
      </c>
      <c r="K48" s="14">
        <v>1.0983889181301978</v>
      </c>
      <c r="L48" s="14">
        <v>0.91042433467219741</v>
      </c>
      <c r="M48" s="14">
        <v>0.74700316659853794</v>
      </c>
      <c r="N48" s="14">
        <v>1.0244255730663607</v>
      </c>
      <c r="O48" s="14">
        <v>95.404753619670174</v>
      </c>
      <c r="P48" s="8">
        <v>1.024425573066361</v>
      </c>
      <c r="Q48" s="54">
        <v>5.1904023903984485E-2</v>
      </c>
    </row>
    <row r="49" spans="1:17">
      <c r="A49" s="2" t="s">
        <v>385</v>
      </c>
      <c r="B49" s="16" t="s">
        <v>386</v>
      </c>
      <c r="D49" s="14">
        <v>1</v>
      </c>
      <c r="E49" s="14">
        <v>0.87512581052233085</v>
      </c>
      <c r="F49" s="14">
        <v>0.87397167051151325</v>
      </c>
      <c r="G49" s="14">
        <v>2.46675401097825E-4</v>
      </c>
      <c r="H49" s="14">
        <v>3.2173429405805209</v>
      </c>
      <c r="I49" s="14">
        <v>9.5489259641021427</v>
      </c>
      <c r="J49" s="14">
        <v>0</v>
      </c>
      <c r="K49" s="14">
        <v>1.144201847429134</v>
      </c>
      <c r="L49" s="14">
        <v>0.87397167051151337</v>
      </c>
      <c r="M49" s="14">
        <v>0.71709375565469669</v>
      </c>
      <c r="N49" s="14">
        <v>1.1713221158977811</v>
      </c>
      <c r="O49" s="14">
        <v>130.15731351856147</v>
      </c>
      <c r="P49" s="8">
        <v>1.1713221158977813</v>
      </c>
      <c r="Q49" s="54">
        <v>6.9016753436857703E-2</v>
      </c>
    </row>
    <row r="50" spans="1:17">
      <c r="A50" s="2" t="s">
        <v>387</v>
      </c>
      <c r="B50" s="16" t="s">
        <v>388</v>
      </c>
      <c r="D50" s="14">
        <v>1</v>
      </c>
      <c r="E50" s="14">
        <v>0.36026210087697336</v>
      </c>
      <c r="F50" s="14">
        <v>0.19047750387030438</v>
      </c>
      <c r="G50" s="14">
        <v>1.8437930723199389E-4</v>
      </c>
      <c r="H50" s="14">
        <v>402.05335562412171</v>
      </c>
      <c r="I50" s="14">
        <v>747.37895036807356</v>
      </c>
      <c r="J50" s="14">
        <v>0</v>
      </c>
      <c r="K50" s="14">
        <v>5.2499637998243474</v>
      </c>
      <c r="L50" s="14">
        <v>0.19047750387030438</v>
      </c>
      <c r="M50" s="14">
        <v>0.15628679192558476</v>
      </c>
      <c r="N50" s="14">
        <v>34.923205344182392</v>
      </c>
      <c r="O50" s="14">
        <v>6895.5868952088122</v>
      </c>
      <c r="P50" s="8">
        <v>34.923205344182392</v>
      </c>
      <c r="Q50" s="54">
        <v>0.41204140744063372</v>
      </c>
    </row>
    <row r="51" spans="1:17">
      <c r="A51" s="2" t="s">
        <v>295</v>
      </c>
      <c r="B51" s="16" t="s">
        <v>296</v>
      </c>
      <c r="D51" s="14">
        <v>1</v>
      </c>
      <c r="E51" s="14">
        <v>0.90477414469866091</v>
      </c>
      <c r="F51" s="14">
        <v>0.90498703967555949</v>
      </c>
      <c r="G51" s="14">
        <v>7.2675971745359805E-4</v>
      </c>
      <c r="H51" s="14">
        <v>0.28731768577693972</v>
      </c>
      <c r="I51" s="14">
        <v>1.021455686440947</v>
      </c>
      <c r="J51" s="14">
        <v>0</v>
      </c>
      <c r="K51" s="14">
        <v>1.1049882000061602</v>
      </c>
      <c r="L51" s="14">
        <v>0.90498703967555949</v>
      </c>
      <c r="M51" s="14">
        <v>0.74254186605379657</v>
      </c>
      <c r="N51" s="14">
        <v>0.81736595507697118</v>
      </c>
      <c r="O51" s="14">
        <v>47.472614670870485</v>
      </c>
      <c r="P51" s="8">
        <v>0.8173659550769713</v>
      </c>
      <c r="Q51" s="54">
        <v>1.9925972677935371E-2</v>
      </c>
    </row>
    <row r="52" spans="1:17">
      <c r="A52" s="2" t="s">
        <v>389</v>
      </c>
      <c r="B52" s="16" t="s">
        <v>390</v>
      </c>
      <c r="D52" s="14">
        <v>1</v>
      </c>
      <c r="E52" s="14">
        <v>0.75668743094432811</v>
      </c>
      <c r="F52" s="14">
        <v>0.75247370697807303</v>
      </c>
      <c r="G52" s="14">
        <v>7.9465718970740337E-4</v>
      </c>
      <c r="H52" s="14">
        <v>9.916338183062372</v>
      </c>
      <c r="I52" s="14">
        <v>26.792207627754806</v>
      </c>
      <c r="J52" s="14">
        <v>0</v>
      </c>
      <c r="K52" s="14">
        <v>1.3289500891878203</v>
      </c>
      <c r="L52" s="14">
        <v>0.75247370697807314</v>
      </c>
      <c r="M52" s="14">
        <v>0.61740467657550901</v>
      </c>
      <c r="N52" s="14">
        <v>1.845778408087458</v>
      </c>
      <c r="O52" s="14">
        <v>197.77515642657113</v>
      </c>
      <c r="P52" s="8">
        <v>1.8457784080874582</v>
      </c>
      <c r="Q52" s="54">
        <v>0.11550705208298662</v>
      </c>
    </row>
    <row r="53" spans="1:17">
      <c r="A53" s="2" t="s">
        <v>391</v>
      </c>
      <c r="B53" s="16" t="s">
        <v>392</v>
      </c>
      <c r="D53" s="14">
        <v>1</v>
      </c>
      <c r="E53" s="14">
        <v>0.54923139792672837</v>
      </c>
      <c r="F53" s="14">
        <v>0.51079924845062552</v>
      </c>
      <c r="G53" s="14">
        <v>2.9384529231660071E-5</v>
      </c>
      <c r="H53" s="14">
        <v>88.448454686981506</v>
      </c>
      <c r="I53" s="14">
        <v>197.67303047503381</v>
      </c>
      <c r="J53" s="14">
        <v>0</v>
      </c>
      <c r="K53" s="14">
        <v>1.9577162711833183</v>
      </c>
      <c r="L53" s="14">
        <v>0.51079924845062552</v>
      </c>
      <c r="M53" s="14">
        <v>0.41911078335373825</v>
      </c>
      <c r="N53" s="14">
        <v>9.4726327266521348</v>
      </c>
      <c r="O53" s="14">
        <v>1534.7559543721788</v>
      </c>
      <c r="P53" s="8">
        <v>9.4726327266521348</v>
      </c>
      <c r="Q53" s="54">
        <v>0.30015627038769654</v>
      </c>
    </row>
    <row r="54" spans="1:17">
      <c r="A54" s="2" t="s">
        <v>393</v>
      </c>
      <c r="B54" s="16" t="s">
        <v>394</v>
      </c>
      <c r="D54" s="14">
        <v>1</v>
      </c>
      <c r="E54" s="14">
        <v>0.43181647948890634</v>
      </c>
      <c r="F54" s="14">
        <v>4.3811536803095574E-3</v>
      </c>
      <c r="G54" s="14">
        <v>1.0309485096282968E-5</v>
      </c>
      <c r="H54" s="14">
        <v>393.55776670886445</v>
      </c>
      <c r="I54" s="14">
        <v>7604.412345228965</v>
      </c>
      <c r="J54" s="14">
        <v>0</v>
      </c>
      <c r="K54" s="14">
        <v>228.25038174176612</v>
      </c>
      <c r="L54" s="14">
        <v>4.3811536803095574E-3</v>
      </c>
      <c r="M54" s="14">
        <v>3.5947365946939923E-3</v>
      </c>
      <c r="N54" s="14">
        <v>370.27415518987408</v>
      </c>
      <c r="O54" s="14">
        <v>86418.285079764712</v>
      </c>
      <c r="P54" s="8">
        <v>370.27415518987414</v>
      </c>
      <c r="Q54" s="54">
        <v>0.29192121519523706</v>
      </c>
    </row>
    <row r="55" spans="1:17">
      <c r="A55" s="2" t="s">
        <v>395</v>
      </c>
      <c r="B55" s="16" t="s">
        <v>396</v>
      </c>
      <c r="D55" s="14">
        <v>1</v>
      </c>
      <c r="E55" s="14">
        <v>0.31404786786145017</v>
      </c>
      <c r="F55" s="14">
        <v>0.23434994693046429</v>
      </c>
      <c r="G55" s="14">
        <v>2.5315898582916347E-3</v>
      </c>
      <c r="H55" s="14">
        <v>186.53694485426118</v>
      </c>
      <c r="I55" s="14">
        <v>372.58213780984124</v>
      </c>
      <c r="J55" s="14">
        <v>0</v>
      </c>
      <c r="K55" s="14">
        <v>4.2671227926359094</v>
      </c>
      <c r="L55" s="14">
        <v>0.23434994693046429</v>
      </c>
      <c r="M55" s="14">
        <v>0.19228413145644596</v>
      </c>
      <c r="N55" s="14">
        <v>17.412473817522855</v>
      </c>
      <c r="O55" s="14">
        <v>2231.7567691919039</v>
      </c>
      <c r="P55" s="8">
        <v>17.412473817522855</v>
      </c>
      <c r="Q55" s="54">
        <v>0.30494536048533899</v>
      </c>
    </row>
    <row r="56" spans="1:17">
      <c r="A56" s="2" t="s">
        <v>397</v>
      </c>
      <c r="B56" s="16" t="s">
        <v>398</v>
      </c>
      <c r="D56" s="14">
        <v>1</v>
      </c>
      <c r="E56" s="14">
        <v>6.3710717248969359E-2</v>
      </c>
      <c r="F56" s="14">
        <v>2.2192501691504728E-2</v>
      </c>
      <c r="G56" s="14">
        <v>9.201841520949057E-3</v>
      </c>
      <c r="H56" s="14">
        <v>99.185060291442412</v>
      </c>
      <c r="I56" s="14">
        <v>174.46303866797246</v>
      </c>
      <c r="J56" s="14">
        <v>0</v>
      </c>
      <c r="K56" s="14">
        <v>45.060264674117349</v>
      </c>
      <c r="L56" s="14">
        <v>2.2192501691504728E-2</v>
      </c>
      <c r="M56" s="14">
        <v>1.8208947637879631E-2</v>
      </c>
      <c r="N56" s="14">
        <v>8.1754790685881158</v>
      </c>
      <c r="O56" s="14">
        <v>1483.4406769953137</v>
      </c>
      <c r="P56" s="8">
        <v>8.1754790685881158</v>
      </c>
      <c r="Q56" s="54">
        <v>7.0974678252138559E-2</v>
      </c>
    </row>
    <row r="57" spans="1:17">
      <c r="A57" s="2" t="s">
        <v>399</v>
      </c>
      <c r="B57" s="16" t="s">
        <v>400</v>
      </c>
      <c r="D57" s="14">
        <v>1</v>
      </c>
      <c r="E57" s="14">
        <v>4.8956243415034011E-2</v>
      </c>
      <c r="F57" s="14">
        <v>3.3328722420195946E-2</v>
      </c>
      <c r="G57" s="14">
        <v>9.707941575460793E-3</v>
      </c>
      <c r="H57" s="14">
        <v>36.71966127126295</v>
      </c>
      <c r="I57" s="14">
        <v>71.607059008031584</v>
      </c>
      <c r="J57" s="14">
        <v>0</v>
      </c>
      <c r="K57" s="14">
        <v>30.004150395937103</v>
      </c>
      <c r="L57" s="14">
        <v>3.3328722420195946E-2</v>
      </c>
      <c r="M57" s="14">
        <v>2.7346216745770775E-2</v>
      </c>
      <c r="N57" s="14">
        <v>3.3439623254285609</v>
      </c>
      <c r="O57" s="14">
        <v>491.5624618379984</v>
      </c>
      <c r="P57" s="8">
        <v>3.3439623254285609</v>
      </c>
      <c r="Q57" s="54">
        <v>5.1375473442251053E-2</v>
      </c>
    </row>
    <row r="58" spans="1:17">
      <c r="A58" s="2" t="s">
        <v>297</v>
      </c>
      <c r="B58" s="16" t="s">
        <v>298</v>
      </c>
      <c r="D58" s="14">
        <v>1</v>
      </c>
      <c r="E58" s="14">
        <v>5.955943386447738E-2</v>
      </c>
      <c r="F58" s="14">
        <v>5.9452611118343393E-2</v>
      </c>
      <c r="G58" s="14">
        <v>1.0360946256717051E-2</v>
      </c>
      <c r="H58" s="14">
        <v>0.28104180967831693</v>
      </c>
      <c r="I58" s="14">
        <v>0.81889478250360526</v>
      </c>
      <c r="J58" s="14">
        <v>0</v>
      </c>
      <c r="K58" s="14">
        <v>16.820119103086153</v>
      </c>
      <c r="L58" s="14">
        <v>5.94526111183434E-2</v>
      </c>
      <c r="M58" s="14">
        <v>4.8780867422600759E-2</v>
      </c>
      <c r="N58" s="14">
        <v>8.7281348595165398E-2</v>
      </c>
      <c r="O58" s="14">
        <v>7.4128049361873982</v>
      </c>
      <c r="P58" s="8">
        <v>8.7281348595165412E-2</v>
      </c>
      <c r="Q58" s="54">
        <v>5.3484520185671132E-3</v>
      </c>
    </row>
    <row r="59" spans="1:17">
      <c r="A59" s="2" t="s">
        <v>401</v>
      </c>
      <c r="B59" s="16" t="s">
        <v>402</v>
      </c>
      <c r="D59" s="14">
        <v>1</v>
      </c>
      <c r="E59" s="14">
        <v>1.811466319578835E-2</v>
      </c>
      <c r="F59" s="14">
        <v>1.2619996093218042E-2</v>
      </c>
      <c r="G59" s="14">
        <v>1.0597116484069562E-2</v>
      </c>
      <c r="H59" s="14">
        <v>12.899094381590281</v>
      </c>
      <c r="I59" s="14">
        <v>25.29393459548854</v>
      </c>
      <c r="J59" s="14">
        <v>0</v>
      </c>
      <c r="K59" s="14">
        <v>79.239327224308553</v>
      </c>
      <c r="L59" s="14">
        <v>1.2619996093218042E-2</v>
      </c>
      <c r="M59" s="14">
        <v>1.0354706794485405E-2</v>
      </c>
      <c r="N59" s="14">
        <v>1.1813125023018536</v>
      </c>
      <c r="O59" s="14">
        <v>195.89705225671639</v>
      </c>
      <c r="P59" s="8">
        <v>1.1813125023018536</v>
      </c>
      <c r="Q59" s="54">
        <v>1.8707527453801387E-2</v>
      </c>
    </row>
    <row r="60" spans="1:17">
      <c r="A60" s="2" t="s">
        <v>299</v>
      </c>
      <c r="B60" s="16" t="s">
        <v>300</v>
      </c>
      <c r="D60" s="14">
        <v>1</v>
      </c>
      <c r="E60" s="14">
        <v>5.3654043416050817E-4</v>
      </c>
      <c r="F60" s="14">
        <v>4.4987666958892677E-4</v>
      </c>
      <c r="G60" s="14">
        <v>1.1097929435990677E-2</v>
      </c>
      <c r="H60" s="14">
        <v>0.20147143113700131</v>
      </c>
      <c r="I60" s="14">
        <v>0.41982726740030091</v>
      </c>
      <c r="J60" s="14">
        <v>0</v>
      </c>
      <c r="K60" s="14">
        <v>2222.8314282528731</v>
      </c>
      <c r="L60" s="14">
        <v>4.4987666958892677E-4</v>
      </c>
      <c r="M60" s="14">
        <v>3.6912380739771445E-4</v>
      </c>
      <c r="N60" s="14">
        <v>1.9702295704062726E-2</v>
      </c>
      <c r="O60" s="14">
        <v>1.6183465691317125</v>
      </c>
      <c r="P60" s="8">
        <v>1.970229570406273E-2</v>
      </c>
      <c r="Q60" s="54">
        <v>4.337811164535695E-4</v>
      </c>
    </row>
    <row r="61" spans="1:17">
      <c r="A61" s="2" t="s">
        <v>403</v>
      </c>
      <c r="B61" s="16" t="s">
        <v>404</v>
      </c>
      <c r="D61" s="14">
        <v>1</v>
      </c>
      <c r="E61" s="14">
        <v>0.48852935654628132</v>
      </c>
      <c r="F61" s="14">
        <v>0.43120213288864556</v>
      </c>
      <c r="G61" s="14">
        <v>7.5150069757728654E-46</v>
      </c>
      <c r="H61" s="14">
        <v>132.70916003370976</v>
      </c>
      <c r="I61" s="14">
        <v>284.28770081212281</v>
      </c>
      <c r="J61" s="14">
        <v>0</v>
      </c>
      <c r="K61" s="14">
        <v>2.3190979907751101</v>
      </c>
      <c r="L61" s="14">
        <v>0.43120213288864556</v>
      </c>
      <c r="M61" s="14">
        <v>0.35380135003513369</v>
      </c>
      <c r="N61" s="14">
        <v>13.415777574209942</v>
      </c>
      <c r="O61" s="14">
        <v>16133.948268520617</v>
      </c>
      <c r="P61" s="8">
        <v>13.415777574209942</v>
      </c>
      <c r="Q61" s="54">
        <v>0.34194642778127676</v>
      </c>
    </row>
    <row r="62" spans="1:17">
      <c r="A62" s="2" t="s">
        <v>405</v>
      </c>
      <c r="B62" s="16" t="s">
        <v>406</v>
      </c>
      <c r="D62" s="14">
        <v>1</v>
      </c>
      <c r="E62" s="14">
        <v>0.40874520325474378</v>
      </c>
      <c r="F62" s="14">
        <v>1.7476985236344E-2</v>
      </c>
      <c r="G62" s="14">
        <v>5.3537120272011631E-9</v>
      </c>
      <c r="H62" s="14">
        <v>714.04654048953125</v>
      </c>
      <c r="I62" s="14">
        <v>3685.3920115917795</v>
      </c>
      <c r="J62" s="14">
        <v>0</v>
      </c>
      <c r="K62" s="14">
        <v>57.218106353976033</v>
      </c>
      <c r="L62" s="14">
        <v>1.7476985236344E-2</v>
      </c>
      <c r="M62" s="14">
        <v>1.4339866386420253E-2</v>
      </c>
      <c r="N62" s="14">
        <v>176.62517678094525</v>
      </c>
      <c r="O62" s="14">
        <v>56318.703868372198</v>
      </c>
      <c r="P62" s="8">
        <v>176.62517678094525</v>
      </c>
      <c r="Q62" s="54">
        <v>0.35569985662996412</v>
      </c>
    </row>
    <row r="63" spans="1:17">
      <c r="A63" s="2" t="s">
        <v>407</v>
      </c>
      <c r="B63" s="16" t="s">
        <v>408</v>
      </c>
      <c r="D63" s="14">
        <v>1</v>
      </c>
      <c r="E63" s="14">
        <v>0.47301355963817548</v>
      </c>
      <c r="F63" s="14">
        <v>1.8584743440229895E-3</v>
      </c>
      <c r="G63" s="14">
        <v>1.4919183573925175E-6</v>
      </c>
      <c r="H63" s="14">
        <v>255.1623363850116</v>
      </c>
      <c r="I63" s="14">
        <v>10036.302457054955</v>
      </c>
      <c r="J63" s="14">
        <v>0</v>
      </c>
      <c r="K63" s="14">
        <v>538.07576263620979</v>
      </c>
      <c r="L63" s="14">
        <v>1.8584743440229897E-3</v>
      </c>
      <c r="M63" s="14">
        <v>1.524878199270863E-3</v>
      </c>
      <c r="N63" s="14">
        <v>492.91221530926776</v>
      </c>
      <c r="O63" s="14">
        <v>239451.8250750892</v>
      </c>
      <c r="P63" s="8">
        <v>492.91221530926782</v>
      </c>
      <c r="Q63" s="54">
        <v>0.23451668190253291</v>
      </c>
    </row>
    <row r="64" spans="1:17">
      <c r="A64" s="2" t="s">
        <v>409</v>
      </c>
      <c r="B64" s="16" t="s">
        <v>410</v>
      </c>
      <c r="D64" s="14">
        <v>1</v>
      </c>
      <c r="E64" s="14">
        <v>0.52244409835999861</v>
      </c>
      <c r="F64" s="14">
        <v>7.0139282438655827E-4</v>
      </c>
      <c r="G64" s="14">
        <v>2.0119158228938731E-7</v>
      </c>
      <c r="H64" s="14">
        <v>149.75499553108466</v>
      </c>
      <c r="I64" s="14">
        <v>12343.504772077209</v>
      </c>
      <c r="J64" s="14">
        <v>0</v>
      </c>
      <c r="K64" s="14">
        <v>1425.7345744513498</v>
      </c>
      <c r="L64" s="14">
        <v>7.0139282438655827E-4</v>
      </c>
      <c r="M64" s="14">
        <v>5.7549281240917112E-4</v>
      </c>
      <c r="N64" s="14">
        <v>611.69891739846787</v>
      </c>
      <c r="O64" s="14">
        <v>345420.26166574087</v>
      </c>
      <c r="P64" s="8">
        <v>611.69891739846787</v>
      </c>
      <c r="Q64" s="54">
        <v>0.17204358721357341</v>
      </c>
    </row>
    <row r="65" spans="1:17">
      <c r="A65" s="2" t="s">
        <v>301</v>
      </c>
      <c r="B65" s="16" t="s">
        <v>302</v>
      </c>
      <c r="D65" s="14">
        <v>1</v>
      </c>
      <c r="E65" s="14">
        <v>0.57301624722545563</v>
      </c>
      <c r="F65" s="14">
        <v>2.1316979218486822E-4</v>
      </c>
      <c r="G65" s="14">
        <v>2.6906310489806095E-8</v>
      </c>
      <c r="H65" s="14">
        <v>75.201354291191038</v>
      </c>
      <c r="I65" s="14">
        <v>14377.482001093946</v>
      </c>
      <c r="J65" s="14">
        <v>0</v>
      </c>
      <c r="K65" s="14">
        <v>4691.0961902743011</v>
      </c>
      <c r="L65" s="14">
        <v>2.1316979218486825E-4</v>
      </c>
      <c r="M65" s="14">
        <v>1.749058144876844E-4</v>
      </c>
      <c r="N65" s="14">
        <v>719.83839226719283</v>
      </c>
      <c r="O65" s="14">
        <v>463273.59249531996</v>
      </c>
      <c r="P65" s="8">
        <v>719.83839226719283</v>
      </c>
      <c r="Q65" s="54">
        <v>0.1113481055844059</v>
      </c>
    </row>
    <row r="66" spans="1:17">
      <c r="A66" s="2" t="s">
        <v>303</v>
      </c>
      <c r="B66" s="16" t="s">
        <v>304</v>
      </c>
      <c r="D66" s="14">
        <v>1</v>
      </c>
      <c r="E66" s="14">
        <v>0.54560999172216362</v>
      </c>
      <c r="F66" s="14">
        <v>4.2374013631321991E-4</v>
      </c>
      <c r="G66" s="14">
        <v>2.4902794780293666E-14</v>
      </c>
      <c r="H66" s="14">
        <v>112.33616716658447</v>
      </c>
      <c r="I66" s="14">
        <v>13306.896308442476</v>
      </c>
      <c r="J66" s="14">
        <v>0</v>
      </c>
      <c r="K66" s="14">
        <v>2359.9369384750016</v>
      </c>
      <c r="L66" s="14">
        <v>4.2374013631321991E-4</v>
      </c>
      <c r="M66" s="14">
        <v>3.4767878184499698E-4</v>
      </c>
      <c r="N66" s="14">
        <v>662.35927937951556</v>
      </c>
      <c r="O66" s="14">
        <v>427427.06657639513</v>
      </c>
      <c r="P66" s="8">
        <v>662.35927937951556</v>
      </c>
      <c r="Q66" s="54">
        <v>0.14397158064247981</v>
      </c>
    </row>
    <row r="67" spans="1:17">
      <c r="A67" s="2" t="s">
        <v>411</v>
      </c>
      <c r="B67" s="16" t="s">
        <v>412</v>
      </c>
      <c r="D67" s="14">
        <v>1</v>
      </c>
      <c r="E67" s="14">
        <v>0.84009608747748765</v>
      </c>
      <c r="F67" s="14">
        <v>0.83703931141228971</v>
      </c>
      <c r="G67" s="14">
        <v>5.314646006846213E-5</v>
      </c>
      <c r="H67" s="14">
        <v>7.3934281214407571</v>
      </c>
      <c r="I67" s="14">
        <v>20.573255792400559</v>
      </c>
      <c r="J67" s="14">
        <v>0</v>
      </c>
      <c r="K67" s="14">
        <v>1.1946870193142491</v>
      </c>
      <c r="L67" s="14">
        <v>0.83703931141228971</v>
      </c>
      <c r="M67" s="14">
        <v>0.68679075501378373</v>
      </c>
      <c r="N67" s="14">
        <v>1.6361344993019122</v>
      </c>
      <c r="O67" s="14">
        <v>491.00396324050388</v>
      </c>
      <c r="P67" s="8">
        <v>1.6361344993019122</v>
      </c>
      <c r="Q67" s="54">
        <v>0.10430449525705826</v>
      </c>
    </row>
    <row r="68" spans="1:17">
      <c r="A68" s="2" t="s">
        <v>413</v>
      </c>
      <c r="B68" s="16" t="s">
        <v>414</v>
      </c>
      <c r="D68" s="14">
        <v>1</v>
      </c>
      <c r="E68" s="14">
        <v>0.78642111177227392</v>
      </c>
      <c r="F68" s="14">
        <v>0.78074524762647879</v>
      </c>
      <c r="G68" s="14">
        <v>1.1662665966449769E-4</v>
      </c>
      <c r="H68" s="14">
        <v>13.212023861418105</v>
      </c>
      <c r="I68" s="14">
        <v>35.045036782327919</v>
      </c>
      <c r="J68" s="14">
        <v>0</v>
      </c>
      <c r="K68" s="14">
        <v>1.2808275209360174</v>
      </c>
      <c r="L68" s="14">
        <v>0.7807452476264789</v>
      </c>
      <c r="M68" s="14">
        <v>0.6406014756775259</v>
      </c>
      <c r="N68" s="14">
        <v>2.2432786653382979</v>
      </c>
      <c r="O68" s="14">
        <v>736.1318940307624</v>
      </c>
      <c r="P68" s="8">
        <v>2.2432786653382979</v>
      </c>
      <c r="Q68" s="54">
        <v>0.13652950641102327</v>
      </c>
    </row>
    <row r="69" spans="1:17">
      <c r="A69" s="2" t="s">
        <v>415</v>
      </c>
      <c r="B69" s="16" t="s">
        <v>416</v>
      </c>
      <c r="D69" s="14">
        <v>1</v>
      </c>
      <c r="E69" s="14">
        <v>0.41523231553814705</v>
      </c>
      <c r="F69" s="14">
        <v>6.5476913080372342E-3</v>
      </c>
      <c r="G69" s="14">
        <v>6.400835764625567E-5</v>
      </c>
      <c r="H69" s="14">
        <v>473.70524821967285</v>
      </c>
      <c r="I69" s="14">
        <v>6368.9137433810438</v>
      </c>
      <c r="J69" s="14">
        <v>0</v>
      </c>
      <c r="K69" s="14">
        <v>152.72558722683041</v>
      </c>
      <c r="L69" s="14">
        <v>6.5476913080372351E-3</v>
      </c>
      <c r="M69" s="14">
        <v>5.372380718244551E-3</v>
      </c>
      <c r="N69" s="14">
        <v>308.76048890773501</v>
      </c>
      <c r="O69" s="14">
        <v>143289.56769230167</v>
      </c>
      <c r="P69" s="8">
        <v>308.76048890773507</v>
      </c>
      <c r="Q69" s="54">
        <v>0.31496722716011022</v>
      </c>
    </row>
    <row r="70" spans="1:17">
      <c r="A70" s="2" t="s">
        <v>417</v>
      </c>
      <c r="B70" s="16" t="s">
        <v>418</v>
      </c>
      <c r="D70" s="14">
        <v>1</v>
      </c>
      <c r="E70" s="14">
        <v>0.38670970259385656</v>
      </c>
      <c r="F70" s="14">
        <v>9.331672589296347E-2</v>
      </c>
      <c r="G70" s="14">
        <v>1.2849551828231421E-4</v>
      </c>
      <c r="H70" s="14">
        <v>705.11425180790036</v>
      </c>
      <c r="I70" s="14">
        <v>1193.2093930848307</v>
      </c>
      <c r="J70" s="14">
        <v>0</v>
      </c>
      <c r="K70" s="14">
        <v>10.716192519945718</v>
      </c>
      <c r="L70" s="14">
        <v>9.331672589296347E-2</v>
      </c>
      <c r="M70" s="14">
        <v>7.6566373595176526E-2</v>
      </c>
      <c r="N70" s="14">
        <v>56.068348070846874</v>
      </c>
      <c r="O70" s="14">
        <v>17608.264711649459</v>
      </c>
      <c r="P70" s="8">
        <v>56.068348070846874</v>
      </c>
      <c r="Q70" s="54">
        <v>0.3923888548924892</v>
      </c>
    </row>
    <row r="71" spans="1:17">
      <c r="A71" s="2" t="s">
        <v>419</v>
      </c>
      <c r="B71" s="16" t="s">
        <v>420</v>
      </c>
      <c r="D71" s="14">
        <v>1</v>
      </c>
      <c r="E71" s="14">
        <v>0.78244199156255034</v>
      </c>
      <c r="F71" s="14">
        <v>0.77734869645850624</v>
      </c>
      <c r="G71" s="14">
        <v>2.8488157539058816E-4</v>
      </c>
      <c r="H71" s="14">
        <v>11.902436539862929</v>
      </c>
      <c r="I71" s="14">
        <v>31.804827570687191</v>
      </c>
      <c r="J71" s="14">
        <v>0</v>
      </c>
      <c r="K71" s="14">
        <v>1.286423974923818</v>
      </c>
      <c r="L71" s="14">
        <v>0.77734869645850624</v>
      </c>
      <c r="M71" s="14">
        <v>0.63781460544420443</v>
      </c>
      <c r="N71" s="14">
        <v>2.0936196759944061</v>
      </c>
      <c r="O71" s="14">
        <v>448.11835544984268</v>
      </c>
      <c r="P71" s="8">
        <v>2.0936196759944061</v>
      </c>
      <c r="Q71" s="54">
        <v>0.12903069763590841</v>
      </c>
    </row>
    <row r="72" spans="1:17">
      <c r="A72" s="2" t="s">
        <v>421</v>
      </c>
      <c r="B72" s="16" t="s">
        <v>422</v>
      </c>
      <c r="D72" s="14">
        <v>1</v>
      </c>
      <c r="E72" s="14">
        <v>0.36568229558036125</v>
      </c>
      <c r="F72" s="14">
        <v>0.10034038069000976</v>
      </c>
      <c r="G72" s="14">
        <v>5.0116903737391601E-4</v>
      </c>
      <c r="H72" s="14">
        <v>636.43747551293063</v>
      </c>
      <c r="I72" s="14">
        <v>1090.9702684181609</v>
      </c>
      <c r="J72" s="14">
        <v>0</v>
      </c>
      <c r="K72" s="14">
        <v>9.9660773969892187</v>
      </c>
      <c r="L72" s="14">
        <v>0.10034038069000978</v>
      </c>
      <c r="M72" s="14">
        <v>8.2329282356153013E-2</v>
      </c>
      <c r="N72" s="14">
        <v>51.214879737629381</v>
      </c>
      <c r="O72" s="14">
        <v>21206.545252960201</v>
      </c>
      <c r="P72" s="8">
        <v>51.214879737629389</v>
      </c>
      <c r="Q72" s="54">
        <v>0.38513493551125522</v>
      </c>
    </row>
    <row r="73" spans="1:17">
      <c r="A73" s="2" t="s">
        <v>423</v>
      </c>
      <c r="B73" s="16" t="s">
        <v>424</v>
      </c>
      <c r="D73" s="14">
        <v>1</v>
      </c>
      <c r="E73" s="14">
        <v>0.46639064992475526</v>
      </c>
      <c r="F73" s="14">
        <v>0.40540006893455777</v>
      </c>
      <c r="G73" s="14">
        <v>2.2357966747011554E-4</v>
      </c>
      <c r="H73" s="14">
        <v>141.38515692573228</v>
      </c>
      <c r="I73" s="14">
        <v>300.09654053477101</v>
      </c>
      <c r="J73" s="14">
        <v>0</v>
      </c>
      <c r="K73" s="14">
        <v>2.466699136554479</v>
      </c>
      <c r="L73" s="14">
        <v>0.40540006893455777</v>
      </c>
      <c r="M73" s="14">
        <v>0.33263075656080465</v>
      </c>
      <c r="N73" s="14">
        <v>14.131177524902718</v>
      </c>
      <c r="O73" s="14">
        <v>6050.5462808375969</v>
      </c>
      <c r="P73" s="8">
        <v>14.131177524902718</v>
      </c>
      <c r="Q73" s="54">
        <v>0.34313181618411209</v>
      </c>
    </row>
    <row r="74" spans="1:17">
      <c r="A74" s="2" t="s">
        <v>425</v>
      </c>
      <c r="B74" s="16" t="s">
        <v>426</v>
      </c>
      <c r="D74" s="14">
        <v>1</v>
      </c>
      <c r="E74" s="14">
        <v>0.38191347003735132</v>
      </c>
      <c r="F74" s="14">
        <v>9.566086970991225E-2</v>
      </c>
      <c r="G74" s="14">
        <v>1.947793053559158E-4</v>
      </c>
      <c r="H74" s="14">
        <v>687.56589267960919</v>
      </c>
      <c r="I74" s="14">
        <v>1167.8081336971859</v>
      </c>
      <c r="J74" s="14">
        <v>0</v>
      </c>
      <c r="K74" s="14">
        <v>10.453595111903748</v>
      </c>
      <c r="L74" s="14">
        <v>9.566086970991225E-2</v>
      </c>
      <c r="M74" s="14">
        <v>7.8489743596983005E-2</v>
      </c>
      <c r="N74" s="14">
        <v>54.859441756496118</v>
      </c>
      <c r="O74" s="14">
        <v>28975.659946946118</v>
      </c>
      <c r="P74" s="8">
        <v>54.859441756496125</v>
      </c>
      <c r="Q74" s="54">
        <v>0.39189660008484489</v>
      </c>
    </row>
    <row r="75" spans="1:17">
      <c r="A75" s="2" t="s">
        <v>427</v>
      </c>
      <c r="B75" s="16" t="s">
        <v>428</v>
      </c>
      <c r="D75" s="14">
        <v>1</v>
      </c>
      <c r="E75" s="14">
        <v>0.96598026071960541</v>
      </c>
      <c r="F75" s="14">
        <v>4.0331185137078458E-2</v>
      </c>
      <c r="G75" s="14">
        <v>5.6894391172252897E-11</v>
      </c>
      <c r="H75" s="14">
        <v>2629.9105907072594</v>
      </c>
      <c r="I75" s="14">
        <v>9.3962120341710023</v>
      </c>
      <c r="J75" s="14">
        <v>0</v>
      </c>
      <c r="K75" s="14">
        <v>24.794709022340388</v>
      </c>
      <c r="L75" s="14">
        <v>4.0331185137078465E-2</v>
      </c>
      <c r="M75" s="14">
        <v>3.3091737404972878E-2</v>
      </c>
      <c r="N75" s="14">
        <v>91.325071719498979</v>
      </c>
      <c r="O75" s="14">
        <v>51515.559706252177</v>
      </c>
      <c r="P75" s="8">
        <v>91.325071719498979</v>
      </c>
      <c r="Q75" s="54">
        <v>5.2475043645120378E-4</v>
      </c>
    </row>
    <row r="76" spans="1:17">
      <c r="A76" s="2" t="s">
        <v>429</v>
      </c>
      <c r="B76" s="16" t="s">
        <v>430</v>
      </c>
      <c r="D76" s="14">
        <v>1</v>
      </c>
      <c r="E76" s="14">
        <v>0.96598026554165739</v>
      </c>
      <c r="F76" s="14">
        <v>4.0331185338406669E-2</v>
      </c>
      <c r="G76" s="14">
        <v>1.4291224992798049E-12</v>
      </c>
      <c r="H76" s="14">
        <v>2629.9106038354425</v>
      </c>
      <c r="I76" s="14">
        <v>9.3962120810757135</v>
      </c>
      <c r="J76" s="14">
        <v>0</v>
      </c>
      <c r="K76" s="14">
        <v>24.794708898568317</v>
      </c>
      <c r="L76" s="14">
        <v>4.0331185338406676E-2</v>
      </c>
      <c r="M76" s="14">
        <v>3.3091737570162677E-2</v>
      </c>
      <c r="N76" s="14">
        <v>91.32507217538226</v>
      </c>
      <c r="O76" s="14">
        <v>45674.408347073928</v>
      </c>
      <c r="P76" s="8">
        <v>91.32507217538226</v>
      </c>
      <c r="Q76" s="54">
        <v>5.2475043907069206E-4</v>
      </c>
    </row>
    <row r="77" spans="1:17">
      <c r="A77" s="2" t="s">
        <v>431</v>
      </c>
      <c r="B77" s="16" t="s">
        <v>432</v>
      </c>
      <c r="D77" s="14">
        <v>1</v>
      </c>
      <c r="E77" s="14">
        <v>0.3570616384164208</v>
      </c>
      <c r="F77" s="14">
        <v>0.22312153320791692</v>
      </c>
      <c r="G77" s="14">
        <v>5.8002935461992145E-4</v>
      </c>
      <c r="H77" s="14">
        <v>315.66140526186985</v>
      </c>
      <c r="I77" s="14">
        <v>604.33626525456191</v>
      </c>
      <c r="J77" s="14">
        <v>0</v>
      </c>
      <c r="K77" s="14">
        <v>4.4818623537699747</v>
      </c>
      <c r="L77" s="14">
        <v>0.22312153320791692</v>
      </c>
      <c r="M77" s="14">
        <v>0.18307121799709583</v>
      </c>
      <c r="N77" s="14">
        <v>28.220503544341963</v>
      </c>
      <c r="O77" s="14">
        <v>10273.956520353135</v>
      </c>
      <c r="P77" s="8">
        <v>28.220503544341963</v>
      </c>
      <c r="Q77" s="54">
        <v>0.39181283305491088</v>
      </c>
    </row>
    <row r="78" spans="1:17">
      <c r="A78" s="2" t="s">
        <v>433</v>
      </c>
      <c r="B78" s="16" t="s">
        <v>434</v>
      </c>
      <c r="D78" s="14">
        <v>1</v>
      </c>
      <c r="E78" s="14">
        <v>0.63039782281891765</v>
      </c>
      <c r="F78" s="14">
        <v>0.61203438700922164</v>
      </c>
      <c r="G78" s="14">
        <v>4.3094744603234853E-4</v>
      </c>
      <c r="H78" s="14">
        <v>42.014173404593308</v>
      </c>
      <c r="I78" s="14">
        <v>100.52011906461979</v>
      </c>
      <c r="J78" s="14">
        <v>0</v>
      </c>
      <c r="K78" s="14">
        <v>1.6338951229302947</v>
      </c>
      <c r="L78" s="14">
        <v>0.61203438700922175</v>
      </c>
      <c r="M78" s="14">
        <v>0.50217421454106648</v>
      </c>
      <c r="N78" s="14">
        <v>5.0886398402433048</v>
      </c>
      <c r="O78" s="14">
        <v>1343.6553498162446</v>
      </c>
      <c r="P78" s="8">
        <v>5.0886398402433048</v>
      </c>
      <c r="Q78" s="54">
        <v>0.22205113344201749</v>
      </c>
    </row>
    <row r="79" spans="1:17">
      <c r="A79" s="2" t="s">
        <v>435</v>
      </c>
      <c r="B79" s="16" t="s">
        <v>436</v>
      </c>
      <c r="D79" s="14">
        <v>1</v>
      </c>
      <c r="E79" s="14">
        <v>0.53932683393575265</v>
      </c>
      <c r="F79" s="14">
        <v>0.49981128145437992</v>
      </c>
      <c r="G79" s="14">
        <v>1.1716409498420531E-4</v>
      </c>
      <c r="H79" s="14">
        <v>90.984215450438697</v>
      </c>
      <c r="I79" s="14">
        <v>202.59243545401424</v>
      </c>
      <c r="J79" s="14">
        <v>0</v>
      </c>
      <c r="K79" s="14">
        <v>2.000755159207575</v>
      </c>
      <c r="L79" s="14">
        <v>0.49981128145437997</v>
      </c>
      <c r="M79" s="14">
        <v>0.41009515643331873</v>
      </c>
      <c r="N79" s="14">
        <v>9.6913268464143609</v>
      </c>
      <c r="O79" s="14">
        <v>3877.5967845188507</v>
      </c>
      <c r="P79" s="8">
        <v>9.6913268464143627</v>
      </c>
      <c r="Q79" s="54">
        <v>0.3014555093169124</v>
      </c>
    </row>
    <row r="80" spans="1:17">
      <c r="A80" s="2" t="s">
        <v>437</v>
      </c>
      <c r="B80" s="16" t="s">
        <v>438</v>
      </c>
      <c r="D80" s="14">
        <v>1</v>
      </c>
      <c r="E80" s="14">
        <v>0.93575509228036657</v>
      </c>
      <c r="F80" s="14">
        <v>2.6814727154540873E-2</v>
      </c>
      <c r="G80" s="14">
        <v>1.9975692899679684E-11</v>
      </c>
      <c r="H80" s="14">
        <v>2581.5074474095622</v>
      </c>
      <c r="I80" s="14">
        <v>17.716796907348122</v>
      </c>
      <c r="J80" s="14">
        <v>0</v>
      </c>
      <c r="K80" s="14">
        <v>37.292939593855138</v>
      </c>
      <c r="L80" s="14">
        <v>2.6814727154540877E-2</v>
      </c>
      <c r="M80" s="14">
        <v>2.2001483630300789E-2</v>
      </c>
      <c r="N80" s="14">
        <v>173.94441024606277</v>
      </c>
      <c r="O80" s="14">
        <v>89421.342419295965</v>
      </c>
      <c r="P80" s="8">
        <v>173.94441024606277</v>
      </c>
      <c r="Q80" s="54">
        <v>6.2716989977164533E-4</v>
      </c>
    </row>
    <row r="81" spans="1:17">
      <c r="A81" s="2" t="s">
        <v>440</v>
      </c>
      <c r="B81" s="16" t="s">
        <v>441</v>
      </c>
      <c r="D81" s="14">
        <v>1</v>
      </c>
      <c r="E81" s="14">
        <v>0.97077107848858302</v>
      </c>
      <c r="F81" s="14">
        <v>0.97102315961411134</v>
      </c>
      <c r="G81" s="14">
        <v>2.0490760440018729E-15</v>
      </c>
      <c r="H81" s="14">
        <v>0.25877933248159429</v>
      </c>
      <c r="I81" s="14">
        <v>0.93193743882617885</v>
      </c>
      <c r="J81" s="14">
        <v>0</v>
      </c>
      <c r="K81" s="14">
        <v>1.0298415543429511</v>
      </c>
      <c r="L81" s="14">
        <v>0.97102315961411134</v>
      </c>
      <c r="M81" s="14">
        <v>0.79672450246337834</v>
      </c>
      <c r="N81" s="14">
        <v>0.86977628361832282</v>
      </c>
      <c r="O81" s="14">
        <v>241.15417239601618</v>
      </c>
      <c r="P81" s="8">
        <v>0.86977628361832282</v>
      </c>
      <c r="Q81" s="54">
        <v>1.9515817987196801E-2</v>
      </c>
    </row>
    <row r="82" spans="1:17">
      <c r="A82" s="2" t="s">
        <v>442</v>
      </c>
      <c r="B82" s="16" t="s">
        <v>443</v>
      </c>
      <c r="D82" s="14">
        <v>1</v>
      </c>
      <c r="E82" s="14">
        <v>0.77296421454323905</v>
      </c>
      <c r="F82" s="14">
        <v>0.76576149523213177</v>
      </c>
      <c r="G82" s="14">
        <v>9.7494925696375528E-7</v>
      </c>
      <c r="H82" s="14">
        <v>16.640007777429293</v>
      </c>
      <c r="I82" s="14">
        <v>43.332195684155572</v>
      </c>
      <c r="J82" s="14">
        <v>0</v>
      </c>
      <c r="K82" s="14">
        <v>1.3058896356454452</v>
      </c>
      <c r="L82" s="14">
        <v>0.76576149523213177</v>
      </c>
      <c r="M82" s="14">
        <v>0.6283073068379641</v>
      </c>
      <c r="N82" s="14">
        <v>2.6066732507005868</v>
      </c>
      <c r="O82" s="14">
        <v>430.59635428322991</v>
      </c>
      <c r="P82" s="8">
        <v>2.6066732507005868</v>
      </c>
      <c r="Q82" s="54">
        <v>0.15254946739825598</v>
      </c>
    </row>
    <row r="83" spans="1:17">
      <c r="A83" s="2" t="s">
        <v>444</v>
      </c>
      <c r="B83" s="16" t="s">
        <v>445</v>
      </c>
      <c r="D83" s="14">
        <v>1</v>
      </c>
      <c r="E83" s="14">
        <v>0.38852822761178835</v>
      </c>
      <c r="F83" s="14">
        <v>0.26658120263574753</v>
      </c>
      <c r="G83" s="14">
        <v>1.175108615990545E-5</v>
      </c>
      <c r="H83" s="14">
        <v>286.45045925552034</v>
      </c>
      <c r="I83" s="14">
        <v>559.63735283194876</v>
      </c>
      <c r="J83" s="14">
        <v>0</v>
      </c>
      <c r="K83" s="14">
        <v>3.7512022232354645</v>
      </c>
      <c r="L83" s="14">
        <v>0.26658120263574753</v>
      </c>
      <c r="M83" s="14">
        <v>0.21872987676263086</v>
      </c>
      <c r="N83" s="14">
        <v>26.135117718907228</v>
      </c>
      <c r="O83" s="14">
        <v>4710.5936176558389</v>
      </c>
      <c r="P83" s="8">
        <v>26.135117718907232</v>
      </c>
      <c r="Q83" s="54">
        <v>0.40560816945429318</v>
      </c>
    </row>
    <row r="84" spans="1:17">
      <c r="A84" s="2" t="s">
        <v>446</v>
      </c>
      <c r="B84" s="16" t="s">
        <v>447</v>
      </c>
      <c r="D84" s="14">
        <v>1</v>
      </c>
      <c r="E84" s="14">
        <v>0.93744665076697975</v>
      </c>
      <c r="F84" s="14">
        <v>0.93726089799954038</v>
      </c>
      <c r="G84" s="14">
        <v>6.3078155666768527E-17</v>
      </c>
      <c r="H84" s="14">
        <v>1.1626540235196501</v>
      </c>
      <c r="I84" s="14">
        <v>3.7385885336904221</v>
      </c>
      <c r="J84" s="14">
        <v>0</v>
      </c>
      <c r="K84" s="14">
        <v>1.0669387810100346</v>
      </c>
      <c r="L84" s="14">
        <v>0.93726089799954049</v>
      </c>
      <c r="M84" s="14">
        <v>0.76902256680862291</v>
      </c>
      <c r="N84" s="14">
        <v>0.96542303529815865</v>
      </c>
      <c r="O84" s="14">
        <v>375.44336419710095</v>
      </c>
      <c r="P84" s="8">
        <v>0.96542303529815876</v>
      </c>
      <c r="Q84" s="54">
        <v>4.1986306292512071E-2</v>
      </c>
    </row>
    <row r="85" spans="1:17">
      <c r="A85" s="2" t="s">
        <v>448</v>
      </c>
      <c r="B85" s="16" t="s">
        <v>449</v>
      </c>
      <c r="D85" s="14">
        <v>1</v>
      </c>
      <c r="E85" s="14">
        <v>0.98764223367809922</v>
      </c>
      <c r="F85" s="14">
        <v>0.98800331801320784</v>
      </c>
      <c r="G85" s="14">
        <v>4.4154695158574494E-10</v>
      </c>
      <c r="H85" s="14">
        <v>4.7484121009719972E-2</v>
      </c>
      <c r="I85" s="14">
        <v>0.19400171709375352</v>
      </c>
      <c r="J85" s="14">
        <v>0</v>
      </c>
      <c r="K85" s="14">
        <v>1.0121423498970796</v>
      </c>
      <c r="L85" s="14">
        <v>0.98800331801320795</v>
      </c>
      <c r="M85" s="14">
        <v>0.81065672242983711</v>
      </c>
      <c r="N85" s="14">
        <v>0.85189998848077986</v>
      </c>
      <c r="O85" s="14">
        <v>152.69455393529498</v>
      </c>
      <c r="P85" s="8">
        <v>0.85189998848077986</v>
      </c>
      <c r="Q85" s="54">
        <v>8.1321536161359856E-3</v>
      </c>
    </row>
    <row r="86" spans="1:17">
      <c r="A86" s="2" t="s">
        <v>450</v>
      </c>
      <c r="B86" s="16" t="s">
        <v>451</v>
      </c>
      <c r="D86" s="14">
        <v>1</v>
      </c>
      <c r="E86" s="14">
        <v>0.9389502619755038</v>
      </c>
      <c r="F86" s="14">
        <v>0.93879063584125733</v>
      </c>
      <c r="G86" s="14">
        <v>1.586599220848832E-10</v>
      </c>
      <c r="H86" s="14">
        <v>1.1077423231822541</v>
      </c>
      <c r="I86" s="14">
        <v>3.5751635982769083</v>
      </c>
      <c r="J86" s="14">
        <v>0</v>
      </c>
      <c r="K86" s="14">
        <v>1.0652002287005051</v>
      </c>
      <c r="L86" s="14">
        <v>0.93879063584125733</v>
      </c>
      <c r="M86" s="14">
        <v>0.77027771670775158</v>
      </c>
      <c r="N86" s="14">
        <v>0.9594525525080736</v>
      </c>
      <c r="O86" s="14">
        <v>250.50346693433289</v>
      </c>
      <c r="P86" s="8">
        <v>0.9594525525080736</v>
      </c>
      <c r="Q86" s="54">
        <v>4.0972826035793282E-2</v>
      </c>
    </row>
    <row r="87" spans="1:17">
      <c r="A87" s="2" t="s">
        <v>452</v>
      </c>
      <c r="B87" s="16" t="s">
        <v>453</v>
      </c>
      <c r="D87" s="14">
        <v>1</v>
      </c>
      <c r="E87" s="14">
        <v>0.45579589741080373</v>
      </c>
      <c r="F87" s="14">
        <v>2.6176057012177209E-3</v>
      </c>
      <c r="G87" s="14">
        <v>2.6999313121080281E-9</v>
      </c>
      <c r="H87" s="14">
        <v>304.87669503850378</v>
      </c>
      <c r="I87" s="14">
        <v>9102.9340993327751</v>
      </c>
      <c r="J87" s="14">
        <v>0</v>
      </c>
      <c r="K87" s="14">
        <v>382.02850778281686</v>
      </c>
      <c r="L87" s="14">
        <v>2.6176057012177213E-3</v>
      </c>
      <c r="M87" s="14">
        <v>2.1477454778491404E-3</v>
      </c>
      <c r="N87" s="14">
        <v>445.58053268622672</v>
      </c>
      <c r="O87" s="14">
        <v>185495.17575727619</v>
      </c>
      <c r="P87" s="8">
        <v>445.58053268622672</v>
      </c>
      <c r="Q87" s="54">
        <v>0.25785846834587439</v>
      </c>
    </row>
    <row r="88" spans="1:17">
      <c r="A88" s="2" t="s">
        <v>454</v>
      </c>
      <c r="B88" s="16" t="s">
        <v>455</v>
      </c>
      <c r="D88" s="14">
        <v>1</v>
      </c>
      <c r="E88" s="14">
        <v>0.69402700126130779</v>
      </c>
      <c r="F88" s="14">
        <v>0.67965811056262326</v>
      </c>
      <c r="G88" s="14">
        <v>5.0014852403588861E-7</v>
      </c>
      <c r="H88" s="14">
        <v>32.875358984667557</v>
      </c>
      <c r="I88" s="14">
        <v>80.71006082475985</v>
      </c>
      <c r="J88" s="14">
        <v>0</v>
      </c>
      <c r="K88" s="14">
        <v>1.4713279874968264</v>
      </c>
      <c r="L88" s="14">
        <v>0.67965811056262326</v>
      </c>
      <c r="M88" s="14">
        <v>0.55765947971663243</v>
      </c>
      <c r="N88" s="14">
        <v>4.2377095279498684</v>
      </c>
      <c r="O88" s="14">
        <v>810.54670141097131</v>
      </c>
      <c r="P88" s="8">
        <v>4.2377095279498684</v>
      </c>
      <c r="Q88" s="54">
        <v>0.20546018489476467</v>
      </c>
    </row>
    <row r="89" spans="1:17">
      <c r="A89" s="2" t="s">
        <v>456</v>
      </c>
      <c r="B89" s="16" t="s">
        <v>457</v>
      </c>
      <c r="D89" s="14">
        <v>1</v>
      </c>
      <c r="E89" s="14">
        <v>0.75928025097791652</v>
      </c>
      <c r="F89" s="14">
        <v>0.75104563242361522</v>
      </c>
      <c r="G89" s="14">
        <v>3.2427600395910452E-19</v>
      </c>
      <c r="H89" s="14">
        <v>18.962095298579104</v>
      </c>
      <c r="I89" s="14">
        <v>48.83638352087538</v>
      </c>
      <c r="J89" s="14">
        <v>0</v>
      </c>
      <c r="K89" s="14">
        <v>1.3314770192764613</v>
      </c>
      <c r="L89" s="14">
        <v>0.75104563242361522</v>
      </c>
      <c r="M89" s="14">
        <v>0.61623294140357632</v>
      </c>
      <c r="N89" s="14">
        <v>2.8444348937864308</v>
      </c>
      <c r="O89" s="14">
        <v>1116.3269184154226</v>
      </c>
      <c r="P89" s="8">
        <v>2.8444348937864308</v>
      </c>
      <c r="Q89" s="54">
        <v>0.161786952936503</v>
      </c>
    </row>
    <row r="90" spans="1:17">
      <c r="A90" s="2" t="s">
        <v>458</v>
      </c>
      <c r="B90" s="16" t="s">
        <v>459</v>
      </c>
      <c r="D90" s="14">
        <v>1</v>
      </c>
      <c r="E90" s="14">
        <v>0.88081364434386999</v>
      </c>
      <c r="F90" s="14">
        <v>0.87918613751695773</v>
      </c>
      <c r="G90" s="14">
        <v>4.7355379294645499E-31</v>
      </c>
      <c r="H90" s="14">
        <v>4.2612874574098258</v>
      </c>
      <c r="I90" s="14">
        <v>12.393615045968584</v>
      </c>
      <c r="J90" s="14">
        <v>0</v>
      </c>
      <c r="K90" s="14">
        <v>1.137415568020955</v>
      </c>
      <c r="L90" s="14">
        <v>0.87918613751695784</v>
      </c>
      <c r="M90" s="14">
        <v>0.72137222583266392</v>
      </c>
      <c r="N90" s="14">
        <v>1.3034693322420781</v>
      </c>
      <c r="O90" s="14">
        <v>1017.9313403211285</v>
      </c>
      <c r="P90" s="8">
        <v>1.3034693322420781</v>
      </c>
      <c r="Q90" s="54">
        <v>8.0130527652955766E-2</v>
      </c>
    </row>
    <row r="91" spans="1:17">
      <c r="A91" s="2" t="s">
        <v>460</v>
      </c>
      <c r="B91" s="16" t="s">
        <v>461</v>
      </c>
      <c r="D91" s="14">
        <v>1</v>
      </c>
      <c r="E91" s="14">
        <v>0.40711580590670354</v>
      </c>
      <c r="F91" s="14">
        <v>1.5204292822373646E-2</v>
      </c>
      <c r="G91" s="14">
        <v>2.5046942159100983E-9</v>
      </c>
      <c r="H91" s="14">
        <v>677.37041625340498</v>
      </c>
      <c r="I91" s="14">
        <v>4041.8798176643631</v>
      </c>
      <c r="J91" s="14">
        <v>0</v>
      </c>
      <c r="K91" s="14">
        <v>65.770898501011843</v>
      </c>
      <c r="L91" s="14">
        <v>1.5204292822373648E-2</v>
      </c>
      <c r="M91" s="14">
        <v>1.2475122260757577E-2</v>
      </c>
      <c r="N91" s="14">
        <v>194.04548448295276</v>
      </c>
      <c r="O91" s="14">
        <v>59455.536445576719</v>
      </c>
      <c r="P91" s="8">
        <v>194.04548448295276</v>
      </c>
      <c r="Q91" s="54">
        <v>0.35251970331533994</v>
      </c>
    </row>
    <row r="92" spans="1:17">
      <c r="A92" s="2" t="s">
        <v>462</v>
      </c>
      <c r="B92" s="16" t="s">
        <v>463</v>
      </c>
      <c r="D92" s="14">
        <v>1</v>
      </c>
      <c r="E92" s="14">
        <v>0.41908323748623189</v>
      </c>
      <c r="F92" s="14">
        <v>0.325864324053247</v>
      </c>
      <c r="G92" s="14">
        <v>9.039518621846059E-11</v>
      </c>
      <c r="H92" s="14">
        <v>217.72926980079143</v>
      </c>
      <c r="I92" s="14">
        <v>440.52847616745714</v>
      </c>
      <c r="J92" s="14">
        <v>0</v>
      </c>
      <c r="K92" s="14">
        <v>3.068761831800273</v>
      </c>
      <c r="L92" s="14">
        <v>0.325864324053247</v>
      </c>
      <c r="M92" s="14">
        <v>0.26737167788568916</v>
      </c>
      <c r="N92" s="14">
        <v>20.604991241311183</v>
      </c>
      <c r="O92" s="14">
        <v>6940.1731498984318</v>
      </c>
      <c r="P92" s="8">
        <v>20.604991241311183</v>
      </c>
      <c r="Q92" s="54">
        <v>0.38705616285729572</v>
      </c>
    </row>
    <row r="93" spans="1:17">
      <c r="A93" s="2" t="s">
        <v>464</v>
      </c>
      <c r="B93" s="16" t="s">
        <v>465</v>
      </c>
      <c r="D93" s="14">
        <v>1</v>
      </c>
      <c r="E93" s="14">
        <v>0.37190062981152788</v>
      </c>
      <c r="F93" s="14">
        <v>0.12540358910658267</v>
      </c>
      <c r="G93" s="14">
        <v>7.0161433555720567E-6</v>
      </c>
      <c r="H93" s="14">
        <v>589.20980646342264</v>
      </c>
      <c r="I93" s="14">
        <v>1032.5881508955747</v>
      </c>
      <c r="J93" s="14">
        <v>0</v>
      </c>
      <c r="K93" s="14">
        <v>7.9742534254747888</v>
      </c>
      <c r="L93" s="14">
        <v>0.1254035891065827</v>
      </c>
      <c r="M93" s="14">
        <v>0.1028936448619511</v>
      </c>
      <c r="N93" s="14">
        <v>48.399574830596436</v>
      </c>
      <c r="O93" s="14">
        <v>22510.158257962095</v>
      </c>
      <c r="P93" s="8">
        <v>48.399574830596436</v>
      </c>
      <c r="Q93" s="54">
        <v>0.41164906863249029</v>
      </c>
    </row>
    <row r="94" spans="1:17">
      <c r="A94" s="2" t="s">
        <v>466</v>
      </c>
      <c r="B94" s="16" t="s">
        <v>467</v>
      </c>
      <c r="D94" s="14">
        <v>1</v>
      </c>
      <c r="E94" s="14">
        <v>0.99943244297825673</v>
      </c>
      <c r="F94" s="14">
        <v>0.98825784603439348</v>
      </c>
      <c r="G94" s="14">
        <v>2.242366980705926E-20</v>
      </c>
      <c r="H94" s="14">
        <v>32.851126835464008</v>
      </c>
      <c r="I94" s="14">
        <v>3.99714939911643E-2</v>
      </c>
      <c r="J94" s="14">
        <v>0</v>
      </c>
      <c r="K94" s="14">
        <v>1.0118816703684412</v>
      </c>
      <c r="L94" s="14">
        <v>0.98825784603439348</v>
      </c>
      <c r="M94" s="14">
        <v>0.8108655626712199</v>
      </c>
      <c r="N94" s="14">
        <v>1.0771136033071849</v>
      </c>
      <c r="O94" s="14">
        <v>356.24455315781836</v>
      </c>
      <c r="P94" s="8">
        <v>1.0771136033071849</v>
      </c>
      <c r="Q94" s="54">
        <v>1.184541773440286E-4</v>
      </c>
    </row>
    <row r="95" spans="1:17">
      <c r="A95" s="2" t="s">
        <v>468</v>
      </c>
      <c r="B95" s="16" t="s">
        <v>469</v>
      </c>
      <c r="D95" s="14">
        <v>1</v>
      </c>
      <c r="E95" s="14">
        <v>0.43676025465466606</v>
      </c>
      <c r="F95" s="14">
        <v>3.6270735125730938E-2</v>
      </c>
      <c r="G95" s="14">
        <v>1.0289276677809164E-19</v>
      </c>
      <c r="H95" s="14">
        <v>912.5493452622427</v>
      </c>
      <c r="I95" s="14">
        <v>2090.3236230328703</v>
      </c>
      <c r="J95" s="14">
        <v>0</v>
      </c>
      <c r="K95" s="14">
        <v>27.570436511240899</v>
      </c>
      <c r="L95" s="14">
        <v>3.6270735125730938E-2</v>
      </c>
      <c r="M95" s="14">
        <v>2.9760138170662236E-2</v>
      </c>
      <c r="N95" s="14">
        <v>99.229198549710176</v>
      </c>
      <c r="O95" s="14">
        <v>49019.224083556823</v>
      </c>
      <c r="P95" s="8">
        <v>99.229198549710176</v>
      </c>
      <c r="Q95" s="54">
        <v>0.35580621402443657</v>
      </c>
    </row>
    <row r="96" spans="1:17">
      <c r="A96" s="2" t="s">
        <v>470</v>
      </c>
      <c r="B96" s="164">
        <v>354656</v>
      </c>
      <c r="D96" s="14">
        <v>1</v>
      </c>
      <c r="E96" s="14">
        <v>0.96965251202188629</v>
      </c>
      <c r="F96" s="14">
        <v>0.96989466984784345</v>
      </c>
      <c r="G96" s="14">
        <v>4.0853856614719241E-12</v>
      </c>
      <c r="H96" s="14">
        <v>0.2786150503487454</v>
      </c>
      <c r="I96" s="14">
        <v>0.99784191635909691</v>
      </c>
      <c r="J96" s="14">
        <v>0</v>
      </c>
      <c r="K96" s="14">
        <v>1.0310397933797073</v>
      </c>
      <c r="L96" s="14">
        <v>0.96989466984784345</v>
      </c>
      <c r="M96" s="14">
        <v>0.79579857661015552</v>
      </c>
      <c r="N96" s="14">
        <v>0.87171751493741767</v>
      </c>
      <c r="O96" s="14">
        <v>171.8939767705094</v>
      </c>
      <c r="P96" s="8">
        <v>0.87171751493741767</v>
      </c>
      <c r="Q96" s="54">
        <v>2.0270373143619413E-2</v>
      </c>
    </row>
    <row r="97" spans="1:17">
      <c r="A97" s="2" t="s">
        <v>472</v>
      </c>
      <c r="B97" s="16" t="s">
        <v>473</v>
      </c>
      <c r="D97" s="14">
        <v>1</v>
      </c>
      <c r="E97" s="14">
        <v>0.93668189154224135</v>
      </c>
      <c r="F97" s="14">
        <v>0.93648261699087154</v>
      </c>
      <c r="G97" s="14">
        <v>6.3034484876371853E-12</v>
      </c>
      <c r="H97" s="14">
        <v>1.1911041022897273</v>
      </c>
      <c r="I97" s="14">
        <v>3.8230228270511528</v>
      </c>
      <c r="J97" s="14">
        <v>0</v>
      </c>
      <c r="K97" s="14">
        <v>1.067825480000071</v>
      </c>
      <c r="L97" s="14">
        <v>0.93648261699087154</v>
      </c>
      <c r="M97" s="14">
        <v>0.76838398724101009</v>
      </c>
      <c r="N97" s="14">
        <v>0.96851899270398267</v>
      </c>
      <c r="O97" s="14">
        <v>155.13737225132394</v>
      </c>
      <c r="P97" s="8">
        <v>0.96851899270398267</v>
      </c>
      <c r="Q97" s="54">
        <v>4.2501757709545264E-2</v>
      </c>
    </row>
    <row r="98" spans="1:17">
      <c r="A98" s="2" t="s">
        <v>474</v>
      </c>
      <c r="B98" s="16" t="s">
        <v>475</v>
      </c>
      <c r="D98" s="14">
        <v>1</v>
      </c>
      <c r="E98" s="14">
        <v>0.41336579194951684</v>
      </c>
      <c r="F98" s="14">
        <v>7.4401236117436514E-2</v>
      </c>
      <c r="G98" s="14">
        <v>2.0960837869415495E-21</v>
      </c>
      <c r="H98" s="14">
        <v>818.0505690186111</v>
      </c>
      <c r="I98" s="14">
        <v>1346.5960054331642</v>
      </c>
      <c r="J98" s="14">
        <v>0</v>
      </c>
      <c r="K98" s="14">
        <v>13.440636905838209</v>
      </c>
      <c r="L98" s="14">
        <v>7.4401236117436514E-2</v>
      </c>
      <c r="M98" s="14">
        <v>6.104621423435666E-2</v>
      </c>
      <c r="N98" s="14">
        <v>63.414250830738872</v>
      </c>
      <c r="O98" s="14">
        <v>33700.235318979554</v>
      </c>
      <c r="P98" s="8">
        <v>63.414250830738872</v>
      </c>
      <c r="Q98" s="54">
        <v>0.3803972090049636</v>
      </c>
    </row>
    <row r="99" spans="1:17">
      <c r="A99" s="2" t="s">
        <v>476</v>
      </c>
      <c r="B99" s="16" t="s">
        <v>477</v>
      </c>
      <c r="D99" s="14">
        <v>1</v>
      </c>
      <c r="E99" s="14">
        <v>0.99134894281748021</v>
      </c>
      <c r="F99" s="14">
        <v>0.9917235096417425</v>
      </c>
      <c r="G99" s="14">
        <v>1.9270771255770592E-9</v>
      </c>
      <c r="H99" s="14">
        <v>2.3370640164410574E-2</v>
      </c>
      <c r="I99" s="14">
        <v>0.10063007107762266</v>
      </c>
      <c r="J99" s="14">
        <v>0</v>
      </c>
      <c r="K99" s="14">
        <v>1.0083455623243693</v>
      </c>
      <c r="L99" s="14">
        <v>0.9917235096417425</v>
      </c>
      <c r="M99" s="14">
        <v>0.81370913966104974</v>
      </c>
      <c r="N99" s="14">
        <v>0.85101843488148576</v>
      </c>
      <c r="O99" s="14">
        <v>109.91754104929269</v>
      </c>
      <c r="P99" s="8">
        <v>0.85101843488148576</v>
      </c>
      <c r="Q99" s="54">
        <v>5.6302512988151317E-3</v>
      </c>
    </row>
    <row r="100" spans="1:17">
      <c r="A100" s="2" t="s">
        <v>478</v>
      </c>
      <c r="B100" s="16" t="s">
        <v>479</v>
      </c>
      <c r="D100" s="14">
        <v>1</v>
      </c>
      <c r="E100" s="14">
        <v>0.57051364753273814</v>
      </c>
      <c r="F100" s="14">
        <v>0.53657272463230343</v>
      </c>
      <c r="G100" s="14">
        <v>7.3973655474139459E-13</v>
      </c>
      <c r="H100" s="14">
        <v>77.991736949175404</v>
      </c>
      <c r="I100" s="14">
        <v>176.56546534756458</v>
      </c>
      <c r="J100" s="14">
        <v>0</v>
      </c>
      <c r="K100" s="14">
        <v>1.8636802694085295</v>
      </c>
      <c r="L100" s="14">
        <v>0.53657272463230343</v>
      </c>
      <c r="M100" s="14">
        <v>0.44025792056080498</v>
      </c>
      <c r="N100" s="14">
        <v>8.5200033573410767</v>
      </c>
      <c r="O100" s="14">
        <v>2554.297006530855</v>
      </c>
      <c r="P100" s="8">
        <v>8.5200033573410785</v>
      </c>
      <c r="Q100" s="54">
        <v>0.28780992304556408</v>
      </c>
    </row>
    <row r="101" spans="1:17">
      <c r="A101" s="2" t="s">
        <v>480</v>
      </c>
      <c r="B101" s="16" t="s">
        <v>481</v>
      </c>
      <c r="D101" s="14">
        <v>1</v>
      </c>
      <c r="E101" s="14">
        <v>0.98572129870828351</v>
      </c>
      <c r="F101" s="14">
        <v>0.98607387647880429</v>
      </c>
      <c r="G101" s="14">
        <v>5.1858260037615209E-13</v>
      </c>
      <c r="H101" s="14">
        <v>6.3181430328318994E-2</v>
      </c>
      <c r="I101" s="14">
        <v>0.25272407997319757</v>
      </c>
      <c r="J101" s="14">
        <v>0</v>
      </c>
      <c r="K101" s="14">
        <v>1.0141227993696831</v>
      </c>
      <c r="L101" s="14">
        <v>0.98607387647880429</v>
      </c>
      <c r="M101" s="14">
        <v>0.809073615650859</v>
      </c>
      <c r="N101" s="14">
        <v>0.85281274871025525</v>
      </c>
      <c r="O101" s="14">
        <v>203.10588423283437</v>
      </c>
      <c r="P101" s="8">
        <v>0.85281274871025525</v>
      </c>
      <c r="Q101" s="54">
        <v>9.4285872480466826E-3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0.99614376824375006</v>
      </c>
      <c r="F102" s="14">
        <v>0.99652983623232627</v>
      </c>
      <c r="G102" s="14">
        <v>3.2586580796250879E-29</v>
      </c>
      <c r="H102" s="14">
        <v>4.5082740281466851E-3</v>
      </c>
      <c r="I102" s="14">
        <v>2.1921359120751587E-2</v>
      </c>
      <c r="J102" s="14">
        <v>0</v>
      </c>
      <c r="K102" s="14">
        <v>1.0034822477376029</v>
      </c>
      <c r="L102" s="14">
        <v>0.99652983623232627</v>
      </c>
      <c r="M102" s="14">
        <v>0.81765273062862376</v>
      </c>
      <c r="N102" s="14">
        <v>0.85172485934229691</v>
      </c>
      <c r="O102" s="14">
        <v>392.15967698697375</v>
      </c>
      <c r="P102" s="8">
        <v>0.85172485934229691</v>
      </c>
      <c r="Q102" s="54">
        <v>2.393687637528205E-3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0.99161434218890043</v>
      </c>
      <c r="F103" s="14">
        <v>0.99198972321336343</v>
      </c>
      <c r="G103" s="14">
        <v>2.5993553860860928E-15</v>
      </c>
      <c r="H103" s="14">
        <v>2.196024459366212E-2</v>
      </c>
      <c r="I103" s="14">
        <v>9.4993599384793084E-2</v>
      </c>
      <c r="J103" s="14">
        <v>0</v>
      </c>
      <c r="K103" s="14">
        <v>1.0080749594468466</v>
      </c>
      <c r="L103" s="14">
        <v>0.99198972321336354</v>
      </c>
      <c r="M103" s="14">
        <v>0.81392756789656473</v>
      </c>
      <c r="N103" s="14">
        <v>0.851001475759537</v>
      </c>
      <c r="O103" s="14">
        <v>174.66805289964498</v>
      </c>
      <c r="P103" s="8">
        <v>0.85100147575953711</v>
      </c>
      <c r="Q103" s="54">
        <v>5.4512279597401887E-3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0.95424356725753356</v>
      </c>
      <c r="F104" s="14">
        <v>0.95431532893999527</v>
      </c>
      <c r="G104" s="14">
        <v>3.2076013496343309E-11</v>
      </c>
      <c r="H104" s="14">
        <v>0.62567946258573726</v>
      </c>
      <c r="I104" s="14">
        <v>2.1086721909509714</v>
      </c>
      <c r="J104" s="14">
        <v>0</v>
      </c>
      <c r="K104" s="14">
        <v>1.0478716726794579</v>
      </c>
      <c r="L104" s="14">
        <v>0.95431532893999527</v>
      </c>
      <c r="M104" s="14">
        <v>0.78301572739526615</v>
      </c>
      <c r="N104" s="14">
        <v>0.90754409262792668</v>
      </c>
      <c r="O104" s="14">
        <v>137.18436504163739</v>
      </c>
      <c r="P104" s="8">
        <v>0.90754409262792668</v>
      </c>
      <c r="Q104" s="54">
        <v>3.0662606568988317E-2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0.99543706448875369</v>
      </c>
      <c r="F105" s="14">
        <v>0.99582187490002949</v>
      </c>
      <c r="G105" s="14">
        <v>2.591612999761185E-18</v>
      </c>
      <c r="H105" s="14">
        <v>6.393544055049224E-3</v>
      </c>
      <c r="I105" s="14">
        <v>3.0296944602734965E-2</v>
      </c>
      <c r="J105" s="14">
        <v>0</v>
      </c>
      <c r="K105" s="14">
        <v>1.0041956550717366</v>
      </c>
      <c r="L105" s="14">
        <v>0.99582187490002949</v>
      </c>
      <c r="M105" s="14">
        <v>0.8170718483554742</v>
      </c>
      <c r="N105" s="14">
        <v>0.85147986710709278</v>
      </c>
      <c r="O105" s="14">
        <v>288.95820770146298</v>
      </c>
      <c r="P105" s="8">
        <v>0.85147986710709278</v>
      </c>
      <c r="Q105" s="54">
        <v>2.870772866742958E-3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0.85082208613796895</v>
      </c>
      <c r="F106" s="14">
        <v>0.84804606659756332</v>
      </c>
      <c r="G106" s="14">
        <v>1.4484647540271085E-10</v>
      </c>
      <c r="H106" s="14">
        <v>6.7776547782029271</v>
      </c>
      <c r="I106" s="14">
        <v>18.99925689066054</v>
      </c>
      <c r="J106" s="14">
        <v>0</v>
      </c>
      <c r="K106" s="14">
        <v>1.1791812253927307</v>
      </c>
      <c r="L106" s="14">
        <v>0.84804606659756332</v>
      </c>
      <c r="M106" s="14">
        <v>0.69582179764330077</v>
      </c>
      <c r="N106" s="14">
        <v>1.5744485526689194</v>
      </c>
      <c r="O106" s="14">
        <v>302.49880042427947</v>
      </c>
      <c r="P106" s="8">
        <v>1.5744485526689194</v>
      </c>
      <c r="Q106" s="54">
        <v>0.1003082410480568</v>
      </c>
    </row>
    <row r="107" spans="1:17">
      <c r="A107" s="2" t="s">
        <v>492</v>
      </c>
      <c r="B107" s="16" t="s">
        <v>493</v>
      </c>
      <c r="D107" s="14">
        <v>1</v>
      </c>
      <c r="E107" s="14">
        <v>0.43675621897992345</v>
      </c>
      <c r="F107" s="14">
        <v>5.9964115807742913E-2</v>
      </c>
      <c r="G107" s="14">
        <v>1.0678246005681419E-17</v>
      </c>
      <c r="H107" s="14">
        <v>912.58102468527966</v>
      </c>
      <c r="I107" s="14">
        <v>1466.6571541531121</v>
      </c>
      <c r="J107" s="14">
        <v>0</v>
      </c>
      <c r="K107" s="14">
        <v>16.6766404628762</v>
      </c>
      <c r="L107" s="14">
        <v>5.996411580774292E-2</v>
      </c>
      <c r="M107" s="14">
        <v>4.9200557020253062E-2</v>
      </c>
      <c r="N107" s="14">
        <v>69.206208307280392</v>
      </c>
      <c r="O107" s="14">
        <v>31461.142296489666</v>
      </c>
      <c r="P107" s="8">
        <v>69.206208307280392</v>
      </c>
      <c r="Q107" s="54">
        <v>0.36318558680745217</v>
      </c>
    </row>
    <row r="108" spans="1:17">
      <c r="A108" s="2" t="s">
        <v>291</v>
      </c>
      <c r="B108" s="16" t="s">
        <v>494</v>
      </c>
      <c r="D108" s="14">
        <v>1</v>
      </c>
      <c r="E108" s="14">
        <v>0.61055032551133992</v>
      </c>
      <c r="F108" s="14">
        <v>0.58443412322974553</v>
      </c>
      <c r="G108" s="14">
        <v>4.0303619748607042E-12</v>
      </c>
      <c r="H108" s="14">
        <v>59.857085260888752</v>
      </c>
      <c r="I108" s="14">
        <v>139.05055794745323</v>
      </c>
      <c r="J108" s="14">
        <v>0</v>
      </c>
      <c r="K108" s="14">
        <v>1.7110568330160496</v>
      </c>
      <c r="L108" s="14">
        <v>0.58443412322974553</v>
      </c>
      <c r="M108" s="14">
        <v>0.47952819811000619</v>
      </c>
      <c r="N108" s="14">
        <v>6.8326932197787356</v>
      </c>
      <c r="O108" s="14">
        <v>2106.7243004543775</v>
      </c>
      <c r="P108" s="8">
        <v>6.8326932197787364</v>
      </c>
      <c r="Q108" s="54">
        <v>0.26119973731090129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9.4528426238555858E-5</v>
      </c>
      <c r="E2" s="20">
        <v>0.81294472045239974</v>
      </c>
      <c r="F2" s="20">
        <v>3.8427014342772826E-3</v>
      </c>
      <c r="G2" s="20">
        <v>1.1192631301985639E-3</v>
      </c>
      <c r="H2" s="20">
        <v>0</v>
      </c>
      <c r="I2" s="20">
        <v>0.8079827558879239</v>
      </c>
      <c r="J2" s="20">
        <v>7.3281577781875824E-4</v>
      </c>
      <c r="K2" s="20">
        <v>0.18622793534354296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1.7318542290046479E-2</v>
      </c>
      <c r="E3" s="20">
        <v>0.43798835930585356</v>
      </c>
      <c r="F3" s="20">
        <v>0.11721563627079791</v>
      </c>
      <c r="G3" s="20">
        <v>0.31760044679109128</v>
      </c>
      <c r="H3" s="20">
        <v>0</v>
      </c>
      <c r="I3" s="20">
        <v>3.1722762439643525E-3</v>
      </c>
      <c r="J3" s="20">
        <v>0.14860322858896291</v>
      </c>
      <c r="K3" s="20">
        <v>0.39608986981513705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6.1040058237176358E-12</v>
      </c>
      <c r="E4" s="20">
        <v>0.53393813700568338</v>
      </c>
      <c r="F4" s="20">
        <v>3.4760751276546292E-2</v>
      </c>
      <c r="G4" s="20">
        <v>8.2982155102790528E-3</v>
      </c>
      <c r="H4" s="20">
        <v>0</v>
      </c>
      <c r="I4" s="20">
        <v>0.49087917021885802</v>
      </c>
      <c r="J4" s="20">
        <v>3.7901277421747382E-3</v>
      </c>
      <c r="K4" s="20">
        <v>0.46227173524603804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5.4639195539534164E-4</v>
      </c>
      <c r="E5" s="20">
        <v>0.42863474795207096</v>
      </c>
      <c r="F5" s="20">
        <v>0.30773614665939736</v>
      </c>
      <c r="G5" s="20">
        <v>8.9304648779901061E-2</v>
      </c>
      <c r="H5" s="20">
        <v>0</v>
      </c>
      <c r="I5" s="20">
        <v>3.1593952512772534E-2</v>
      </c>
      <c r="J5" s="20">
        <v>4.0683591954061619E-2</v>
      </c>
      <c r="K5" s="20">
        <v>0.53013526813847212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6.1421667008952757E-5</v>
      </c>
      <c r="E6" s="20">
        <v>0.48258079548675109</v>
      </c>
      <c r="F6" s="20">
        <v>8.1375901738764383E-2</v>
      </c>
      <c r="G6" s="20">
        <v>0.39966063075626385</v>
      </c>
      <c r="H6" s="20">
        <v>0</v>
      </c>
      <c r="I6" s="20">
        <v>1.5442629917228744E-3</v>
      </c>
      <c r="J6" s="20">
        <v>0.18835164506966928</v>
      </c>
      <c r="K6" s="20">
        <v>0.32900613777657056</v>
      </c>
      <c r="L6" s="20">
        <v>0</v>
      </c>
    </row>
    <row r="7" spans="1:14">
      <c r="A7" s="2" t="s">
        <v>321</v>
      </c>
      <c r="B7" s="3" t="s">
        <v>322</v>
      </c>
      <c r="D7" s="20">
        <v>8.5324341464392242E-5</v>
      </c>
      <c r="E7" s="20">
        <v>0.45061787157422289</v>
      </c>
      <c r="F7" s="20">
        <v>0.11317412877943424</v>
      </c>
      <c r="G7" s="20">
        <v>0.33453588871268791</v>
      </c>
      <c r="H7" s="20">
        <v>0</v>
      </c>
      <c r="I7" s="20">
        <v>2.9078540821007659E-3</v>
      </c>
      <c r="J7" s="20">
        <v>0.1566922383255627</v>
      </c>
      <c r="K7" s="20">
        <v>0.39260456575875008</v>
      </c>
      <c r="L7" s="20">
        <v>0</v>
      </c>
    </row>
    <row r="8" spans="1:14">
      <c r="A8" s="2" t="s">
        <v>323</v>
      </c>
      <c r="B8" s="3" t="s">
        <v>324</v>
      </c>
      <c r="D8" s="20">
        <v>7.5573915665134474E-4</v>
      </c>
      <c r="E8" s="20">
        <v>0.41979992421335316</v>
      </c>
      <c r="F8" s="20">
        <v>0.16152737654946456</v>
      </c>
      <c r="G8" s="20">
        <v>0.25219803293911663</v>
      </c>
      <c r="H8" s="20">
        <v>0</v>
      </c>
      <c r="I8" s="20">
        <v>6.0745147247719816E-3</v>
      </c>
      <c r="J8" s="20">
        <v>0.11721838478531531</v>
      </c>
      <c r="K8" s="20">
        <v>0.46222595184468024</v>
      </c>
      <c r="L8" s="20">
        <v>0</v>
      </c>
    </row>
    <row r="9" spans="1:14">
      <c r="A9" s="2" t="s">
        <v>325</v>
      </c>
      <c r="B9" s="3" t="s">
        <v>326</v>
      </c>
      <c r="D9" s="20">
        <v>2.8188193053710017E-4</v>
      </c>
      <c r="E9" s="20">
        <v>0.36430820125893709</v>
      </c>
      <c r="F9" s="20">
        <v>0.16608922250902017</v>
      </c>
      <c r="G9" s="20">
        <v>3.2616473818257885E-2</v>
      </c>
      <c r="H9" s="20">
        <v>0</v>
      </c>
      <c r="I9" s="20">
        <v>0.16560250493165904</v>
      </c>
      <c r="J9" s="20">
        <v>1.4612876081379924E-2</v>
      </c>
      <c r="K9" s="20">
        <v>0.62079704072914577</v>
      </c>
      <c r="L9" s="20">
        <v>0</v>
      </c>
    </row>
    <row r="10" spans="1:14">
      <c r="A10" s="2" t="s">
        <v>275</v>
      </c>
      <c r="B10" s="3" t="s">
        <v>276</v>
      </c>
      <c r="D10" s="20">
        <v>6.9996698387683903E-6</v>
      </c>
      <c r="E10" s="20">
        <v>0.42502929148348279</v>
      </c>
      <c r="F10" s="20">
        <v>0.30057424890423101</v>
      </c>
      <c r="G10" s="20">
        <v>9.5158442669249804E-2</v>
      </c>
      <c r="H10" s="20">
        <v>0</v>
      </c>
      <c r="I10" s="20">
        <v>2.9296599910001941E-2</v>
      </c>
      <c r="J10" s="20">
        <v>4.3394328674350877E-2</v>
      </c>
      <c r="K10" s="20">
        <v>0.53156938017232769</v>
      </c>
      <c r="L10" s="20">
        <v>0</v>
      </c>
    </row>
    <row r="11" spans="1:14">
      <c r="A11" s="2" t="s">
        <v>327</v>
      </c>
      <c r="B11" s="3" t="s">
        <v>328</v>
      </c>
      <c r="D11" s="20">
        <v>3.6275610115944475E-4</v>
      </c>
      <c r="E11" s="20">
        <v>0.41924754034231332</v>
      </c>
      <c r="F11" s="20">
        <v>0.28806396915439103</v>
      </c>
      <c r="G11" s="20">
        <v>0.10543492557005051</v>
      </c>
      <c r="H11" s="20">
        <v>0</v>
      </c>
      <c r="I11" s="20">
        <v>2.5748645617871775E-2</v>
      </c>
      <c r="J11" s="20">
        <v>4.8162429403693731E-2</v>
      </c>
      <c r="K11" s="20">
        <v>0.53222727415283355</v>
      </c>
      <c r="L11" s="20">
        <v>0</v>
      </c>
    </row>
    <row r="12" spans="1:14">
      <c r="A12" s="2" t="s">
        <v>329</v>
      </c>
      <c r="B12" s="3" t="s">
        <v>330</v>
      </c>
      <c r="D12" s="20">
        <v>1.7151768041242569E-4</v>
      </c>
      <c r="E12" s="20">
        <v>0.37280311469582261</v>
      </c>
      <c r="F12" s="20">
        <v>0.20959605763317393</v>
      </c>
      <c r="G12" s="20">
        <v>3.9598493607897009E-2</v>
      </c>
      <c r="H12" s="20">
        <v>0</v>
      </c>
      <c r="I12" s="20">
        <v>0.12360856345475167</v>
      </c>
      <c r="J12" s="20">
        <v>1.7781318967226307E-2</v>
      </c>
      <c r="K12" s="20">
        <v>0.60924404865653881</v>
      </c>
      <c r="L12" s="20">
        <v>0</v>
      </c>
    </row>
    <row r="13" spans="1:14">
      <c r="A13" s="2" t="s">
        <v>277</v>
      </c>
      <c r="B13" s="3" t="s">
        <v>278</v>
      </c>
      <c r="D13" s="20">
        <v>4.4512041102900577E-4</v>
      </c>
      <c r="E13" s="20">
        <v>0.36441329804904021</v>
      </c>
      <c r="F13" s="20">
        <v>0.16996195745945231</v>
      </c>
      <c r="G13" s="20">
        <v>3.325425935618033E-2</v>
      </c>
      <c r="H13" s="20">
        <v>0</v>
      </c>
      <c r="I13" s="20">
        <v>0.16119708123340756</v>
      </c>
      <c r="J13" s="20">
        <v>1.4901382744695645E-2</v>
      </c>
      <c r="K13" s="20">
        <v>0.62024019879523518</v>
      </c>
      <c r="L13" s="20">
        <v>0</v>
      </c>
    </row>
    <row r="14" spans="1:14">
      <c r="A14" s="2" t="s">
        <v>331</v>
      </c>
      <c r="B14" s="3" t="s">
        <v>332</v>
      </c>
      <c r="D14" s="20">
        <v>2.4038823798406753E-4</v>
      </c>
      <c r="E14" s="20">
        <v>0.40823582267980113</v>
      </c>
      <c r="F14" s="20">
        <v>0.24859216064250453</v>
      </c>
      <c r="G14" s="20">
        <v>0.14265368160625716</v>
      </c>
      <c r="H14" s="20">
        <v>0</v>
      </c>
      <c r="I14" s="20">
        <v>1.6989980431039432E-2</v>
      </c>
      <c r="J14" s="20">
        <v>6.5511833820584425E-2</v>
      </c>
      <c r="K14" s="20">
        <v>0.52601195526163036</v>
      </c>
      <c r="L14" s="20">
        <v>0</v>
      </c>
    </row>
    <row r="15" spans="1:14">
      <c r="A15" s="2" t="s">
        <v>333</v>
      </c>
      <c r="B15" s="3" t="s">
        <v>334</v>
      </c>
      <c r="D15" s="20">
        <v>3.9588066335738267E-7</v>
      </c>
      <c r="E15" s="20">
        <v>0.4220949718505505</v>
      </c>
      <c r="F15" s="20">
        <v>0.29440047353043686</v>
      </c>
      <c r="G15" s="20">
        <v>0.10021530661929758</v>
      </c>
      <c r="H15" s="20">
        <v>0</v>
      </c>
      <c r="I15" s="20">
        <v>2.7479191700816068E-2</v>
      </c>
      <c r="J15" s="20">
        <v>4.5739164029427015E-2</v>
      </c>
      <c r="K15" s="20">
        <v>0.53216546823935917</v>
      </c>
      <c r="L15" s="20">
        <v>0</v>
      </c>
    </row>
    <row r="16" spans="1:14">
      <c r="A16" s="2" t="s">
        <v>335</v>
      </c>
      <c r="B16" s="3" t="s">
        <v>336</v>
      </c>
      <c r="D16" s="20">
        <v>1.9570790719693034E-3</v>
      </c>
      <c r="E16" s="20">
        <v>0.4182778304907338</v>
      </c>
      <c r="F16" s="20">
        <v>0.16371278166770847</v>
      </c>
      <c r="G16" s="20">
        <v>0.24830081388622197</v>
      </c>
      <c r="H16" s="20">
        <v>0</v>
      </c>
      <c r="I16" s="20">
        <v>6.2642349368033515E-3</v>
      </c>
      <c r="J16" s="20">
        <v>0.1153666274940835</v>
      </c>
      <c r="K16" s="20">
        <v>0.46439846294321341</v>
      </c>
      <c r="L16" s="20">
        <v>0</v>
      </c>
    </row>
    <row r="17" spans="1:12">
      <c r="A17" s="2" t="s">
        <v>337</v>
      </c>
      <c r="B17" s="3" t="s">
        <v>338</v>
      </c>
      <c r="D17" s="20">
        <v>1.4022865227894836E-4</v>
      </c>
      <c r="E17" s="20">
        <v>0.42749281057816391</v>
      </c>
      <c r="F17" s="20">
        <v>0.30542949562819616</v>
      </c>
      <c r="G17" s="20">
        <v>9.1244465266200697E-2</v>
      </c>
      <c r="H17" s="20">
        <v>0</v>
      </c>
      <c r="I17" s="20">
        <v>3.0818849683767049E-2</v>
      </c>
      <c r="J17" s="20">
        <v>4.1581325572221724E-2</v>
      </c>
      <c r="K17" s="20">
        <v>0.53078563519733546</v>
      </c>
      <c r="L17" s="20">
        <v>0</v>
      </c>
    </row>
    <row r="18" spans="1:12">
      <c r="A18" s="2" t="s">
        <v>279</v>
      </c>
      <c r="B18" s="3" t="s">
        <v>280</v>
      </c>
      <c r="D18" s="20">
        <v>7.8950983471463999E-3</v>
      </c>
      <c r="E18" s="20">
        <v>0.3625026145451497</v>
      </c>
      <c r="F18" s="20">
        <v>0.14805795930128143</v>
      </c>
      <c r="G18" s="20">
        <v>2.9561557682151955E-2</v>
      </c>
      <c r="H18" s="20">
        <v>0</v>
      </c>
      <c r="I18" s="20">
        <v>0.18488309756171634</v>
      </c>
      <c r="J18" s="20">
        <v>1.3234483339833469E-2</v>
      </c>
      <c r="K18" s="20">
        <v>0.61636780376787048</v>
      </c>
      <c r="L18" s="20">
        <v>0</v>
      </c>
    </row>
    <row r="19" spans="1:12">
      <c r="A19" s="2" t="s">
        <v>339</v>
      </c>
      <c r="B19" s="3" t="s">
        <v>340</v>
      </c>
      <c r="D19" s="20">
        <v>1.3868441195428808E-6</v>
      </c>
      <c r="E19" s="20">
        <v>0.42153598014417576</v>
      </c>
      <c r="F19" s="20">
        <v>0.29315807702227703</v>
      </c>
      <c r="G19" s="20">
        <v>0.10125055667365558</v>
      </c>
      <c r="H19" s="20">
        <v>0</v>
      </c>
      <c r="I19" s="20">
        <v>2.7127346448243154E-2</v>
      </c>
      <c r="J19" s="20">
        <v>4.6219520467736787E-2</v>
      </c>
      <c r="K19" s="20">
        <v>0.53224311254396794</v>
      </c>
      <c r="L19" s="20">
        <v>0</v>
      </c>
    </row>
    <row r="20" spans="1:12">
      <c r="A20" s="2" t="s">
        <v>281</v>
      </c>
      <c r="B20" s="3" t="s">
        <v>282</v>
      </c>
      <c r="D20" s="20">
        <v>6.7397159692316938E-5</v>
      </c>
      <c r="E20" s="20">
        <v>0.36455100672175061</v>
      </c>
      <c r="F20" s="20">
        <v>0.17002618463145264</v>
      </c>
      <c r="G20" s="20">
        <v>3.3266825856751045E-2</v>
      </c>
      <c r="H20" s="20">
        <v>0</v>
      </c>
      <c r="I20" s="20">
        <v>0.16125799623354692</v>
      </c>
      <c r="J20" s="20">
        <v>1.4907013849955273E-2</v>
      </c>
      <c r="K20" s="20">
        <v>0.62047458226860197</v>
      </c>
      <c r="L20" s="20">
        <v>0</v>
      </c>
    </row>
    <row r="21" spans="1:12">
      <c r="A21" s="2" t="s">
        <v>341</v>
      </c>
      <c r="B21" s="3" t="s">
        <v>342</v>
      </c>
      <c r="D21" s="20">
        <v>2.0100998728811697E-3</v>
      </c>
      <c r="E21" s="20">
        <v>0.40969411119937305</v>
      </c>
      <c r="F21" s="20">
        <v>0.25971190092099533</v>
      </c>
      <c r="G21" s="20">
        <v>0.13079387489787234</v>
      </c>
      <c r="H21" s="20">
        <v>0</v>
      </c>
      <c r="I21" s="20">
        <v>1.9188335380505354E-2</v>
      </c>
      <c r="J21" s="20">
        <v>5.9972157243385081E-2</v>
      </c>
      <c r="K21" s="20">
        <v>0.52832363168436058</v>
      </c>
      <c r="L21" s="20">
        <v>0</v>
      </c>
    </row>
    <row r="22" spans="1:12">
      <c r="A22" s="2" t="s">
        <v>343</v>
      </c>
      <c r="B22" s="3" t="s">
        <v>344</v>
      </c>
      <c r="D22" s="20">
        <v>2.2652794867924421E-3</v>
      </c>
      <c r="E22" s="20">
        <v>0.668163018798268</v>
      </c>
      <c r="F22" s="20">
        <v>1.3873818451220052E-2</v>
      </c>
      <c r="G22" s="20">
        <v>3.6181916123566821E-3</v>
      </c>
      <c r="H22" s="20">
        <v>0</v>
      </c>
      <c r="I22" s="20">
        <v>0.6506710087346913</v>
      </c>
      <c r="J22" s="20">
        <v>1.7752915867684052E-3</v>
      </c>
      <c r="K22" s="20">
        <v>0.32779641012817112</v>
      </c>
      <c r="L22" s="20">
        <v>0</v>
      </c>
    </row>
    <row r="23" spans="1:12">
      <c r="A23" s="2" t="s">
        <v>345</v>
      </c>
      <c r="B23" s="3" t="s">
        <v>346</v>
      </c>
      <c r="D23" s="20">
        <v>8.9244494287751586E-5</v>
      </c>
      <c r="E23" s="20">
        <v>0.76843796323912317</v>
      </c>
      <c r="F23" s="20">
        <v>6.1158334200130584E-3</v>
      </c>
      <c r="G23" s="20">
        <v>1.7137647400827893E-3</v>
      </c>
      <c r="H23" s="20">
        <v>0</v>
      </c>
      <c r="I23" s="20">
        <v>0.76060836507902729</v>
      </c>
      <c r="J23" s="20">
        <v>9.7655840581345314E-4</v>
      </c>
      <c r="K23" s="20">
        <v>0.2304962338607757</v>
      </c>
      <c r="L23" s="20">
        <v>0</v>
      </c>
    </row>
    <row r="24" spans="1:12">
      <c r="A24" s="2" t="s">
        <v>347</v>
      </c>
      <c r="B24" s="3" t="s">
        <v>348</v>
      </c>
      <c r="D24" s="20">
        <v>1.3367678892369503E-4</v>
      </c>
      <c r="E24" s="20">
        <v>0.41717520228581412</v>
      </c>
      <c r="F24" s="20">
        <v>7.7755339083857886E-2</v>
      </c>
      <c r="G24" s="20">
        <v>1.6959997152312757E-2</v>
      </c>
      <c r="H24" s="20">
        <v>0</v>
      </c>
      <c r="I24" s="20">
        <v>0.3224598660496435</v>
      </c>
      <c r="J24" s="20">
        <v>7.5976917112543559E-3</v>
      </c>
      <c r="K24" s="20">
        <v>0.57509342921400797</v>
      </c>
      <c r="L24" s="20">
        <v>0</v>
      </c>
    </row>
    <row r="25" spans="1:12">
      <c r="A25" s="2" t="s">
        <v>349</v>
      </c>
      <c r="B25" s="3" t="s">
        <v>350</v>
      </c>
      <c r="D25" s="20">
        <v>4.9567216640831198E-2</v>
      </c>
      <c r="E25" s="20">
        <v>0.38381865529600839</v>
      </c>
      <c r="F25" s="20">
        <v>0.25933954672286802</v>
      </c>
      <c r="G25" s="20">
        <v>4.661914484584976E-2</v>
      </c>
      <c r="H25" s="20">
        <v>0</v>
      </c>
      <c r="I25" s="20">
        <v>7.7859963727290607E-2</v>
      </c>
      <c r="J25" s="20">
        <v>2.1010897227582398E-2</v>
      </c>
      <c r="K25" s="20">
        <v>0.54560323083557805</v>
      </c>
      <c r="L25" s="20">
        <v>0</v>
      </c>
    </row>
    <row r="26" spans="1:12">
      <c r="A26" s="2" t="s">
        <v>351</v>
      </c>
      <c r="B26" s="3" t="s">
        <v>352</v>
      </c>
      <c r="D26" s="20">
        <v>1.6152044072385355E-3</v>
      </c>
      <c r="E26" s="20">
        <v>0.4117830555006563</v>
      </c>
      <c r="F26" s="20">
        <v>0.26748640003963225</v>
      </c>
      <c r="G26" s="20">
        <v>0.12348018208155821</v>
      </c>
      <c r="H26" s="20">
        <v>0</v>
      </c>
      <c r="I26" s="20">
        <v>2.0816473379465846E-2</v>
      </c>
      <c r="J26" s="20">
        <v>5.6560218833618905E-2</v>
      </c>
      <c r="K26" s="20">
        <v>0.53004152125848614</v>
      </c>
      <c r="L26" s="20">
        <v>0</v>
      </c>
    </row>
    <row r="27" spans="1:12">
      <c r="A27" s="2" t="s">
        <v>353</v>
      </c>
      <c r="B27" s="3" t="s">
        <v>354</v>
      </c>
      <c r="D27" s="20">
        <v>1.1966214042038074E-2</v>
      </c>
      <c r="E27" s="20">
        <v>0.43645852674816382</v>
      </c>
      <c r="F27" s="20">
        <v>0.12300732716283244</v>
      </c>
      <c r="G27" s="20">
        <v>0.30997490612523249</v>
      </c>
      <c r="H27" s="20">
        <v>0</v>
      </c>
      <c r="I27" s="20">
        <v>3.4762934600988927E-3</v>
      </c>
      <c r="J27" s="20">
        <v>0.14490803844089883</v>
      </c>
      <c r="K27" s="20">
        <v>0.40666722076889927</v>
      </c>
      <c r="L27" s="20">
        <v>0</v>
      </c>
    </row>
    <row r="28" spans="1:12">
      <c r="A28" s="2" t="s">
        <v>355</v>
      </c>
      <c r="B28" s="3" t="s">
        <v>356</v>
      </c>
      <c r="D28" s="20">
        <v>6.1007225293466423E-4</v>
      </c>
      <c r="E28" s="20">
        <v>0.40673481481129986</v>
      </c>
      <c r="F28" s="20">
        <v>0.2137250798066109</v>
      </c>
      <c r="G28" s="20">
        <v>0.18144752275505385</v>
      </c>
      <c r="H28" s="20">
        <v>0</v>
      </c>
      <c r="I28" s="20">
        <v>1.15622122496351E-2</v>
      </c>
      <c r="J28" s="20">
        <v>8.3718524992581464E-2</v>
      </c>
      <c r="K28" s="20">
        <v>0.50893658794318408</v>
      </c>
      <c r="L28" s="20">
        <v>0</v>
      </c>
    </row>
    <row r="29" spans="1:12">
      <c r="A29" s="2" t="s">
        <v>357</v>
      </c>
      <c r="B29" s="3" t="s">
        <v>358</v>
      </c>
      <c r="D29" s="20">
        <v>0.11154604411353761</v>
      </c>
      <c r="E29" s="20">
        <v>0.36334840678116015</v>
      </c>
      <c r="F29" s="20">
        <v>0.22435119539467457</v>
      </c>
      <c r="G29" s="20">
        <v>0.12326050515848053</v>
      </c>
      <c r="H29" s="20">
        <v>0</v>
      </c>
      <c r="I29" s="20">
        <v>1.5736706228005052E-2</v>
      </c>
      <c r="J29" s="20">
        <v>5.6576444741445533E-2</v>
      </c>
      <c r="K29" s="20">
        <v>0.46852910436385675</v>
      </c>
      <c r="L29" s="20">
        <v>0</v>
      </c>
    </row>
    <row r="30" spans="1:12">
      <c r="A30" s="2" t="s">
        <v>359</v>
      </c>
      <c r="B30" s="3" t="s">
        <v>360</v>
      </c>
      <c r="D30" s="20">
        <v>6.1007225293466423E-4</v>
      </c>
      <c r="E30" s="20">
        <v>0.40673481481129986</v>
      </c>
      <c r="F30" s="20">
        <v>0.2137250798066109</v>
      </c>
      <c r="G30" s="20">
        <v>0.18144752275505385</v>
      </c>
      <c r="H30" s="20">
        <v>0</v>
      </c>
      <c r="I30" s="20">
        <v>1.15622122496351E-2</v>
      </c>
      <c r="J30" s="20">
        <v>8.3718524992581464E-2</v>
      </c>
      <c r="K30" s="20">
        <v>0.50893658794318408</v>
      </c>
      <c r="L30" s="20">
        <v>0</v>
      </c>
    </row>
    <row r="31" spans="1:12">
      <c r="A31" s="2" t="s">
        <v>283</v>
      </c>
      <c r="B31" s="3" t="s">
        <v>284</v>
      </c>
      <c r="D31" s="20">
        <v>2.6139905930343019E-8</v>
      </c>
      <c r="E31" s="20">
        <v>0.97638478048926092</v>
      </c>
      <c r="F31" s="20">
        <v>5.9865723466623859E-5</v>
      </c>
      <c r="G31" s="20">
        <v>2.4025575014014625E-5</v>
      </c>
      <c r="H31" s="20">
        <v>0</v>
      </c>
      <c r="I31" s="20">
        <v>0.97630088919078029</v>
      </c>
      <c r="J31" s="20">
        <v>3.1355697374301059E-4</v>
      </c>
      <c r="K31" s="20">
        <v>2.3301636397090004E-2</v>
      </c>
      <c r="L31" s="20">
        <v>0</v>
      </c>
    </row>
    <row r="32" spans="1:12">
      <c r="A32" s="2" t="s">
        <v>361</v>
      </c>
      <c r="B32" s="3" t="s">
        <v>362</v>
      </c>
      <c r="D32" s="20">
        <v>2.7205724861983446E-8</v>
      </c>
      <c r="E32" s="20">
        <v>0.58676602430287927</v>
      </c>
      <c r="F32" s="20">
        <v>2.4895027283052477E-2</v>
      </c>
      <c r="G32" s="20">
        <v>6.1380619595941639E-3</v>
      </c>
      <c r="H32" s="20">
        <v>0</v>
      </c>
      <c r="I32" s="20">
        <v>0.55573293506023258</v>
      </c>
      <c r="J32" s="20">
        <v>2.8939064806600702E-3</v>
      </c>
      <c r="K32" s="20">
        <v>0.41034004201073571</v>
      </c>
      <c r="L32" s="20">
        <v>0</v>
      </c>
    </row>
    <row r="33" spans="1:12">
      <c r="A33" s="2" t="s">
        <v>364</v>
      </c>
      <c r="B33" s="3" t="s">
        <v>365</v>
      </c>
      <c r="D33" s="20">
        <v>1.2071246081275025E-10</v>
      </c>
      <c r="E33" s="20">
        <v>0.99962838509451579</v>
      </c>
      <c r="F33" s="20">
        <v>4.2021395548052029E-4</v>
      </c>
      <c r="G33" s="20">
        <v>1.2849842188598302E-7</v>
      </c>
      <c r="H33" s="20">
        <v>0</v>
      </c>
      <c r="I33" s="20">
        <v>0.99920804264061336</v>
      </c>
      <c r="J33" s="20">
        <v>3.1449186147436447E-4</v>
      </c>
      <c r="K33" s="20">
        <v>5.7122923297246648E-5</v>
      </c>
      <c r="L33" s="20">
        <v>0</v>
      </c>
    </row>
    <row r="34" spans="1:12">
      <c r="A34" s="2" t="s">
        <v>285</v>
      </c>
      <c r="B34" s="3" t="s">
        <v>286</v>
      </c>
      <c r="D34" s="20">
        <v>6.027893665561171E-10</v>
      </c>
      <c r="E34" s="20">
        <v>0.99889496652609544</v>
      </c>
      <c r="F34" s="20">
        <v>7.5937016634879673E-2</v>
      </c>
      <c r="G34" s="20">
        <v>6.2363149204258151E-6</v>
      </c>
      <c r="H34" s="20">
        <v>0</v>
      </c>
      <c r="I34" s="20">
        <v>0.92295171357629535</v>
      </c>
      <c r="J34" s="20">
        <v>7.7811348965186439E-4</v>
      </c>
      <c r="K34" s="20">
        <v>3.2691938146333407E-4</v>
      </c>
      <c r="L34" s="20">
        <v>0</v>
      </c>
    </row>
    <row r="35" spans="1:12">
      <c r="A35" s="2" t="s">
        <v>287</v>
      </c>
      <c r="B35" s="3" t="s">
        <v>288</v>
      </c>
      <c r="D35" s="20">
        <v>2.6544327708856911E-11</v>
      </c>
      <c r="E35" s="20">
        <v>0.99749397226912306</v>
      </c>
      <c r="F35" s="20">
        <v>0.17143129205634541</v>
      </c>
      <c r="G35" s="20">
        <v>3.319842046089115E-5</v>
      </c>
      <c r="H35" s="20">
        <v>0</v>
      </c>
      <c r="I35" s="20">
        <v>0.82602948179231672</v>
      </c>
      <c r="J35" s="20">
        <v>1.3097553907971684E-3</v>
      </c>
      <c r="K35" s="20">
        <v>1.1962723135354836E-3</v>
      </c>
      <c r="L35" s="20">
        <v>0</v>
      </c>
    </row>
    <row r="36" spans="1:12">
      <c r="A36" s="2" t="s">
        <v>366</v>
      </c>
      <c r="B36" s="3" t="s">
        <v>305</v>
      </c>
      <c r="D36" s="20">
        <v>9.2749082388170568E-8</v>
      </c>
      <c r="E36" s="20">
        <v>0.99463898503201476</v>
      </c>
      <c r="F36" s="20">
        <v>0.44840541625825625</v>
      </c>
      <c r="G36" s="20">
        <v>1.2838451159176192E-4</v>
      </c>
      <c r="H36" s="20">
        <v>0</v>
      </c>
      <c r="I36" s="20">
        <v>0.5461051842621667</v>
      </c>
      <c r="J36" s="20">
        <v>2.7110479757825093E-3</v>
      </c>
      <c r="K36" s="20">
        <v>2.6498742431203797E-3</v>
      </c>
      <c r="L36" s="20">
        <v>0</v>
      </c>
    </row>
    <row r="37" spans="1:12">
      <c r="A37" s="2" t="s">
        <v>289</v>
      </c>
      <c r="B37" s="3" t="s">
        <v>290</v>
      </c>
      <c r="D37" s="20">
        <v>1.1871501920093862E-14</v>
      </c>
      <c r="E37" s="20">
        <v>0.79554334417029049</v>
      </c>
      <c r="F37" s="20">
        <v>0.1973904278493045</v>
      </c>
      <c r="G37" s="20">
        <v>6.7390020638156811E-3</v>
      </c>
      <c r="H37" s="20">
        <v>0</v>
      </c>
      <c r="I37" s="20">
        <v>0.59141391425717027</v>
      </c>
      <c r="J37" s="20">
        <v>4.1440780064236071E-3</v>
      </c>
      <c r="K37" s="20">
        <v>0.20031257782327422</v>
      </c>
      <c r="L37" s="20">
        <v>0</v>
      </c>
    </row>
    <row r="38" spans="1:12">
      <c r="A38" s="2" t="s">
        <v>291</v>
      </c>
      <c r="B38" s="3" t="s">
        <v>292</v>
      </c>
      <c r="D38" s="20">
        <v>1.8410766476676719E-12</v>
      </c>
      <c r="E38" s="20">
        <v>0.99643541351857112</v>
      </c>
      <c r="F38" s="20">
        <v>5.8602652964923369E-2</v>
      </c>
      <c r="G38" s="20">
        <v>4.8959201361336991E-5</v>
      </c>
      <c r="H38" s="20">
        <v>0</v>
      </c>
      <c r="I38" s="20">
        <v>0.93778380135228645</v>
      </c>
      <c r="J38" s="20">
        <v>6.9547809001762587E-4</v>
      </c>
      <c r="K38" s="20">
        <v>2.8691083895702719E-3</v>
      </c>
      <c r="L38" s="20">
        <v>0</v>
      </c>
    </row>
    <row r="39" spans="1:12">
      <c r="A39" s="2" t="s">
        <v>367</v>
      </c>
      <c r="B39" s="3" t="s">
        <v>368</v>
      </c>
      <c r="D39" s="20">
        <v>6.7729842405699493E-5</v>
      </c>
      <c r="E39" s="20">
        <v>0.45755010791970008</v>
      </c>
      <c r="F39" s="20">
        <v>0.34830064602031935</v>
      </c>
      <c r="G39" s="20">
        <v>6.0834484930809E-2</v>
      </c>
      <c r="H39" s="20">
        <v>0</v>
      </c>
      <c r="I39" s="20">
        <v>4.8414976968571749E-2</v>
      </c>
      <c r="J39" s="20">
        <v>2.7553798295269456E-2</v>
      </c>
      <c r="K39" s="20">
        <v>0.51482836394262477</v>
      </c>
      <c r="L39" s="20">
        <v>0</v>
      </c>
    </row>
    <row r="40" spans="1:12">
      <c r="A40" s="2" t="s">
        <v>369</v>
      </c>
      <c r="B40" s="3" t="s">
        <v>370</v>
      </c>
      <c r="D40" s="20">
        <v>6.616717184698471E-12</v>
      </c>
      <c r="E40" s="20">
        <v>0.71304880874735765</v>
      </c>
      <c r="F40" s="20">
        <v>0.6581913390845705</v>
      </c>
      <c r="G40" s="20">
        <v>4.7618152351790635E-2</v>
      </c>
      <c r="H40" s="20">
        <v>0</v>
      </c>
      <c r="I40" s="20">
        <v>7.2393173109965613E-3</v>
      </c>
      <c r="J40" s="20">
        <v>0.26624571754629067</v>
      </c>
      <c r="K40" s="20">
        <v>2.0705473699734852E-2</v>
      </c>
      <c r="L40" s="20">
        <v>0</v>
      </c>
    </row>
    <row r="41" spans="1:12">
      <c r="A41" s="2" t="s">
        <v>371</v>
      </c>
      <c r="B41" s="3" t="s">
        <v>372</v>
      </c>
      <c r="D41" s="20">
        <v>8.1524320642790013E-2</v>
      </c>
      <c r="E41" s="20">
        <v>0.91362682217753266</v>
      </c>
      <c r="F41" s="20">
        <v>2.7871568087769001E-6</v>
      </c>
      <c r="G41" s="20">
        <v>1.3952658306130678E-6</v>
      </c>
      <c r="H41" s="20">
        <v>0</v>
      </c>
      <c r="I41" s="20">
        <v>0.91362263975489322</v>
      </c>
      <c r="J41" s="20">
        <v>2.8460544538934862E-4</v>
      </c>
      <c r="K41" s="20">
        <v>4.5642517342879994E-3</v>
      </c>
      <c r="L41" s="20">
        <v>0</v>
      </c>
    </row>
    <row r="42" spans="1:12">
      <c r="A42" s="2" t="s">
        <v>293</v>
      </c>
      <c r="B42" s="3" t="s">
        <v>294</v>
      </c>
      <c r="D42" s="20">
        <v>2.0762463665527749E-8</v>
      </c>
      <c r="E42" s="20">
        <v>0.64463152546313474</v>
      </c>
      <c r="F42" s="20">
        <v>1.6655324567143272E-2</v>
      </c>
      <c r="G42" s="20">
        <v>4.2721712759521855E-3</v>
      </c>
      <c r="H42" s="20">
        <v>0</v>
      </c>
      <c r="I42" s="20">
        <v>0.62370402962003924</v>
      </c>
      <c r="J42" s="20">
        <v>2.0540961084475414E-3</v>
      </c>
      <c r="K42" s="20">
        <v>0.35331435766595404</v>
      </c>
      <c r="L42" s="20">
        <v>0</v>
      </c>
    </row>
    <row r="43" spans="1:12">
      <c r="A43" s="2" t="s">
        <v>373</v>
      </c>
      <c r="B43" s="3" t="s">
        <v>374</v>
      </c>
      <c r="D43" s="20">
        <v>3.9422139226318173E-7</v>
      </c>
      <c r="E43" s="20">
        <v>0.98627495590058223</v>
      </c>
      <c r="F43" s="20">
        <v>0.90464892274510955</v>
      </c>
      <c r="G43" s="20">
        <v>7.6383928675984904E-4</v>
      </c>
      <c r="H43" s="20">
        <v>0</v>
      </c>
      <c r="I43" s="20">
        <v>8.0862193868712851E-2</v>
      </c>
      <c r="J43" s="20">
        <v>9.8688487828472865E-3</v>
      </c>
      <c r="K43" s="20">
        <v>3.8558010951782584E-3</v>
      </c>
      <c r="L43" s="20">
        <v>0</v>
      </c>
    </row>
    <row r="44" spans="1:12">
      <c r="A44" s="2" t="s">
        <v>375</v>
      </c>
      <c r="B44" s="3" t="s">
        <v>376</v>
      </c>
      <c r="D44" s="20">
        <v>8.6870597858404161E-2</v>
      </c>
      <c r="E44" s="20">
        <v>0.78280326093982477</v>
      </c>
      <c r="F44" s="20">
        <v>1.9858526707637061E-3</v>
      </c>
      <c r="G44" s="20">
        <v>6.0567909000275484E-4</v>
      </c>
      <c r="H44" s="20">
        <v>0</v>
      </c>
      <c r="I44" s="20">
        <v>0.78021172917905834</v>
      </c>
      <c r="J44" s="20">
        <v>5.0207388173712983E-4</v>
      </c>
      <c r="K44" s="20">
        <v>0.12982406732003382</v>
      </c>
      <c r="L44" s="20">
        <v>0</v>
      </c>
    </row>
    <row r="45" spans="1:12">
      <c r="A45" s="2" t="s">
        <v>377</v>
      </c>
      <c r="B45" s="3" t="s">
        <v>378</v>
      </c>
      <c r="D45" s="20">
        <v>8.1059443351297366E-4</v>
      </c>
      <c r="E45" s="20">
        <v>0.62146466971301895</v>
      </c>
      <c r="F45" s="20">
        <v>1.9475016394084669E-2</v>
      </c>
      <c r="G45" s="20">
        <v>4.9223601628461799E-3</v>
      </c>
      <c r="H45" s="20">
        <v>0</v>
      </c>
      <c r="I45" s="20">
        <v>0.59706729315608809</v>
      </c>
      <c r="J45" s="20">
        <v>2.331867376596949E-3</v>
      </c>
      <c r="K45" s="20">
        <v>0.37539286847687109</v>
      </c>
      <c r="L45" s="20">
        <v>0</v>
      </c>
    </row>
    <row r="46" spans="1:12">
      <c r="A46" s="2" t="s">
        <v>379</v>
      </c>
      <c r="B46" s="3" t="s">
        <v>380</v>
      </c>
      <c r="D46" s="20">
        <v>2.3966076085770631E-3</v>
      </c>
      <c r="E46" s="20">
        <v>0.63464303443764858</v>
      </c>
      <c r="F46" s="20">
        <v>1.7630764669869309E-2</v>
      </c>
      <c r="G46" s="20">
        <v>4.4974537301262401E-3</v>
      </c>
      <c r="H46" s="20">
        <v>0</v>
      </c>
      <c r="I46" s="20">
        <v>0.61251481603765301</v>
      </c>
      <c r="J46" s="20">
        <v>2.1497191755407343E-3</v>
      </c>
      <c r="K46" s="20">
        <v>0.36081063877823361</v>
      </c>
      <c r="L46" s="20">
        <v>0</v>
      </c>
    </row>
    <row r="47" spans="1:12">
      <c r="A47" s="2" t="s">
        <v>381</v>
      </c>
      <c r="B47" s="3" t="s">
        <v>382</v>
      </c>
      <c r="D47" s="20">
        <v>2.0706108392369881E-7</v>
      </c>
      <c r="E47" s="20">
        <v>0.44570726879918898</v>
      </c>
      <c r="F47" s="20">
        <v>0.11928139182880396</v>
      </c>
      <c r="G47" s="20">
        <v>0.32319769395927778</v>
      </c>
      <c r="H47" s="20">
        <v>0</v>
      </c>
      <c r="I47" s="20">
        <v>3.2281830111072661E-3</v>
      </c>
      <c r="J47" s="20">
        <v>0.15122214493119984</v>
      </c>
      <c r="K47" s="20">
        <v>0.40307037920852723</v>
      </c>
      <c r="L47" s="20">
        <v>0</v>
      </c>
    </row>
    <row r="48" spans="1:12">
      <c r="A48" s="2" t="s">
        <v>383</v>
      </c>
      <c r="B48" s="3" t="s">
        <v>384</v>
      </c>
      <c r="D48" s="20">
        <v>1.1819928638825814E-2</v>
      </c>
      <c r="E48" s="20">
        <v>0.91091233022445284</v>
      </c>
      <c r="F48" s="20">
        <v>6.310867607870191E-4</v>
      </c>
      <c r="G48" s="20">
        <v>2.1182861409698749E-4</v>
      </c>
      <c r="H48" s="20">
        <v>0</v>
      </c>
      <c r="I48" s="20">
        <v>0.91006941484956883</v>
      </c>
      <c r="J48" s="20">
        <v>3.7289090859615525E-4</v>
      </c>
      <c r="K48" s="20">
        <v>7.6894850228125172E-2</v>
      </c>
      <c r="L48" s="20">
        <v>0</v>
      </c>
    </row>
    <row r="49" spans="1:12">
      <c r="A49" s="2" t="s">
        <v>385</v>
      </c>
      <c r="B49" s="3" t="s">
        <v>386</v>
      </c>
      <c r="D49" s="20">
        <v>2.220078609880425E-2</v>
      </c>
      <c r="E49" s="20">
        <v>0.87512581052233085</v>
      </c>
      <c r="F49" s="20">
        <v>1.1319899402138505E-3</v>
      </c>
      <c r="G49" s="20">
        <v>3.6285918663588138E-4</v>
      </c>
      <c r="H49" s="20">
        <v>0</v>
      </c>
      <c r="I49" s="20">
        <v>0.87363096139548113</v>
      </c>
      <c r="J49" s="20">
        <v>4.2636125018679228E-4</v>
      </c>
      <c r="K49" s="20">
        <v>0.10224704212867806</v>
      </c>
      <c r="L49" s="20">
        <v>0</v>
      </c>
    </row>
    <row r="50" spans="1:12">
      <c r="A50" s="2" t="s">
        <v>387</v>
      </c>
      <c r="B50" s="3" t="s">
        <v>388</v>
      </c>
      <c r="D50" s="20">
        <v>1.6594137650879449E-2</v>
      </c>
      <c r="E50" s="20">
        <v>0.36026210087697336</v>
      </c>
      <c r="F50" s="20">
        <v>0.141458452642791</v>
      </c>
      <c r="G50" s="20">
        <v>2.8400400113986798E-2</v>
      </c>
      <c r="H50" s="20">
        <v>0</v>
      </c>
      <c r="I50" s="20">
        <v>0.19040324812019557</v>
      </c>
      <c r="J50" s="20">
        <v>1.2712046745282389E-2</v>
      </c>
      <c r="K50" s="20">
        <v>0.61043171472686475</v>
      </c>
      <c r="L50" s="20">
        <v>0</v>
      </c>
    </row>
    <row r="51" spans="1:12">
      <c r="A51" s="2" t="s">
        <v>295</v>
      </c>
      <c r="B51" s="3" t="s">
        <v>296</v>
      </c>
      <c r="D51" s="20">
        <v>6.5408374570823824E-2</v>
      </c>
      <c r="E51" s="20">
        <v>0.90477414469866102</v>
      </c>
      <c r="F51" s="20">
        <v>1.0108985456375848E-4</v>
      </c>
      <c r="G51" s="20">
        <v>3.8815316084755985E-5</v>
      </c>
      <c r="H51" s="20">
        <v>0</v>
      </c>
      <c r="I51" s="20">
        <v>0.90463423952801247</v>
      </c>
      <c r="J51" s="20">
        <v>2.9752120764801746E-4</v>
      </c>
      <c r="K51" s="20">
        <v>2.951995952286722E-2</v>
      </c>
      <c r="L51" s="20">
        <v>0</v>
      </c>
    </row>
    <row r="52" spans="1:12">
      <c r="A52" s="2" t="s">
        <v>389</v>
      </c>
      <c r="B52" s="3" t="s">
        <v>390</v>
      </c>
      <c r="D52" s="20">
        <v>7.1519147073666287E-2</v>
      </c>
      <c r="E52" s="20">
        <v>0.75668743094432811</v>
      </c>
      <c r="F52" s="20">
        <v>3.4889644263286653E-3</v>
      </c>
      <c r="G52" s="20">
        <v>1.0181038898546826E-3</v>
      </c>
      <c r="H52" s="20">
        <v>0</v>
      </c>
      <c r="I52" s="20">
        <v>0.75218036262814481</v>
      </c>
      <c r="J52" s="20">
        <v>6.7186334054383464E-4</v>
      </c>
      <c r="K52" s="20">
        <v>0.17112155864146167</v>
      </c>
      <c r="L52" s="20">
        <v>0</v>
      </c>
    </row>
    <row r="53" spans="1:12">
      <c r="A53" s="2" t="s">
        <v>391</v>
      </c>
      <c r="B53" s="3" t="s">
        <v>392</v>
      </c>
      <c r="D53" s="20">
        <v>2.6446076308494059E-3</v>
      </c>
      <c r="E53" s="20">
        <v>0.54923139792672848</v>
      </c>
      <c r="F53" s="20">
        <v>3.1119704297067577E-2</v>
      </c>
      <c r="G53" s="20">
        <v>7.5115751580512851E-3</v>
      </c>
      <c r="H53" s="20">
        <v>0</v>
      </c>
      <c r="I53" s="20">
        <v>0.51060011847160958</v>
      </c>
      <c r="J53" s="20">
        <v>3.4480383125013764E-3</v>
      </c>
      <c r="K53" s="20">
        <v>0.44467595612992084</v>
      </c>
      <c r="L53" s="20">
        <v>0</v>
      </c>
    </row>
    <row r="54" spans="1:12">
      <c r="A54" s="2" t="s">
        <v>393</v>
      </c>
      <c r="B54" s="3" t="s">
        <v>394</v>
      </c>
      <c r="D54" s="20">
        <v>9.2785365866546697E-4</v>
      </c>
      <c r="E54" s="20">
        <v>0.43181647948890634</v>
      </c>
      <c r="F54" s="20">
        <v>0.13846936463884688</v>
      </c>
      <c r="G54" s="20">
        <v>0.28896766911870064</v>
      </c>
      <c r="H54" s="20">
        <v>0</v>
      </c>
      <c r="I54" s="20">
        <v>4.379445731358826E-3</v>
      </c>
      <c r="J54" s="20">
        <v>0.13477979248911415</v>
      </c>
      <c r="K54" s="20">
        <v>0.43247587436331419</v>
      </c>
      <c r="L54" s="20">
        <v>0</v>
      </c>
    </row>
    <row r="55" spans="1:12">
      <c r="A55" s="2" t="s">
        <v>395</v>
      </c>
      <c r="B55" s="3" t="s">
        <v>396</v>
      </c>
      <c r="D55" s="20">
        <v>0.22784308724624711</v>
      </c>
      <c r="E55" s="20">
        <v>0.31404786786145017</v>
      </c>
      <c r="F55" s="20">
        <v>6.5631158677523255E-2</v>
      </c>
      <c r="G55" s="20">
        <v>1.4158121236773968E-2</v>
      </c>
      <c r="H55" s="20">
        <v>0</v>
      </c>
      <c r="I55" s="20">
        <v>0.23425858794715293</v>
      </c>
      <c r="J55" s="20">
        <v>6.338140469578318E-3</v>
      </c>
      <c r="K55" s="20">
        <v>0.45177090442272444</v>
      </c>
      <c r="L55" s="20">
        <v>0</v>
      </c>
    </row>
    <row r="56" spans="1:12">
      <c r="A56" s="2" t="s">
        <v>397</v>
      </c>
      <c r="B56" s="3" t="s">
        <v>398</v>
      </c>
      <c r="D56" s="20">
        <v>0.82816573688541495</v>
      </c>
      <c r="E56" s="20">
        <v>6.3710717248969373E-2</v>
      </c>
      <c r="F56" s="20">
        <v>3.4897271612941101E-2</v>
      </c>
      <c r="G56" s="20">
        <v>6.6295954693829529E-3</v>
      </c>
      <c r="H56" s="20">
        <v>0</v>
      </c>
      <c r="I56" s="20">
        <v>2.2183850166645314E-2</v>
      </c>
      <c r="J56" s="20">
        <v>2.9758743809660737E-3</v>
      </c>
      <c r="K56" s="20">
        <v>0.10514767148464972</v>
      </c>
      <c r="L56" s="20">
        <v>0</v>
      </c>
    </row>
    <row r="57" spans="1:12">
      <c r="A57" s="2" t="s">
        <v>399</v>
      </c>
      <c r="B57" s="3" t="s">
        <v>400</v>
      </c>
      <c r="D57" s="20">
        <v>0.87371474179147135</v>
      </c>
      <c r="E57" s="20">
        <v>4.8956243415034011E-2</v>
      </c>
      <c r="F57" s="20">
        <v>1.2919445621681158E-2</v>
      </c>
      <c r="G57" s="20">
        <v>2.7210682423051999E-3</v>
      </c>
      <c r="H57" s="20">
        <v>0</v>
      </c>
      <c r="I57" s="20">
        <v>3.3315729551047654E-2</v>
      </c>
      <c r="J57" s="20">
        <v>1.217202286455996E-3</v>
      </c>
      <c r="K57" s="20">
        <v>7.6111812507038606E-2</v>
      </c>
      <c r="L57" s="20">
        <v>0</v>
      </c>
    </row>
    <row r="58" spans="1:12">
      <c r="A58" s="2" t="s">
        <v>297</v>
      </c>
      <c r="B58" s="3" t="s">
        <v>298</v>
      </c>
      <c r="D58" s="20">
        <v>0.93248516310453455</v>
      </c>
      <c r="E58" s="20">
        <v>5.955943386447738E-2</v>
      </c>
      <c r="F58" s="20">
        <v>9.8881750317219032E-5</v>
      </c>
      <c r="G58" s="20">
        <v>3.1118001735137E-5</v>
      </c>
      <c r="H58" s="20">
        <v>0</v>
      </c>
      <c r="I58" s="20">
        <v>5.9429434112425024E-2</v>
      </c>
      <c r="J58" s="20">
        <v>3.1770410888640199E-5</v>
      </c>
      <c r="K58" s="20">
        <v>7.9236326200994266E-3</v>
      </c>
      <c r="L58" s="20">
        <v>0</v>
      </c>
    </row>
    <row r="59" spans="1:12">
      <c r="A59" s="2" t="s">
        <v>401</v>
      </c>
      <c r="B59" s="3" t="s">
        <v>402</v>
      </c>
      <c r="D59" s="20">
        <v>0.95374048356626051</v>
      </c>
      <c r="E59" s="20">
        <v>1.8114663195788354E-2</v>
      </c>
      <c r="F59" s="20">
        <v>4.5384173672187245E-3</v>
      </c>
      <c r="G59" s="20">
        <v>9.6116951462856448E-4</v>
      </c>
      <c r="H59" s="20">
        <v>0</v>
      </c>
      <c r="I59" s="20">
        <v>1.2615076313941063E-2</v>
      </c>
      <c r="J59" s="20">
        <v>4.2999775083787467E-4</v>
      </c>
      <c r="K59" s="20">
        <v>2.7714855487113169E-2</v>
      </c>
      <c r="L59" s="20">
        <v>0</v>
      </c>
    </row>
    <row r="60" spans="1:12">
      <c r="A60" s="2" t="s">
        <v>299</v>
      </c>
      <c r="B60" s="3" t="s">
        <v>300</v>
      </c>
      <c r="D60" s="20">
        <v>0.99881364923916072</v>
      </c>
      <c r="E60" s="20">
        <v>5.3654043416050817E-4</v>
      </c>
      <c r="F60" s="20">
        <v>7.0885708331242534E-5</v>
      </c>
      <c r="G60" s="20">
        <v>1.5953436161211434E-5</v>
      </c>
      <c r="H60" s="20">
        <v>0</v>
      </c>
      <c r="I60" s="20">
        <v>4.4970128966805424E-4</v>
      </c>
      <c r="J60" s="20">
        <v>7.1716356362788316E-6</v>
      </c>
      <c r="K60" s="20">
        <v>6.4263869104232521E-4</v>
      </c>
      <c r="L60" s="20">
        <v>0</v>
      </c>
    </row>
    <row r="61" spans="1:12">
      <c r="A61" s="2" t="s">
        <v>403</v>
      </c>
      <c r="B61" s="3" t="s">
        <v>404</v>
      </c>
      <c r="D61" s="20">
        <v>6.7635062781955783E-44</v>
      </c>
      <c r="E61" s="20">
        <v>0.48852935654628138</v>
      </c>
      <c r="F61" s="20">
        <v>4.6692390866260439E-2</v>
      </c>
      <c r="G61" s="20">
        <v>1.0802932630860665E-2</v>
      </c>
      <c r="H61" s="20">
        <v>0</v>
      </c>
      <c r="I61" s="20">
        <v>0.43103403304916027</v>
      </c>
      <c r="J61" s="20">
        <v>4.8833430370124175E-3</v>
      </c>
      <c r="K61" s="20">
        <v>0.5065873004167063</v>
      </c>
      <c r="L61" s="20">
        <v>0</v>
      </c>
    </row>
    <row r="62" spans="1:12">
      <c r="A62" s="2" t="s">
        <v>405</v>
      </c>
      <c r="B62" s="3" t="s">
        <v>406</v>
      </c>
      <c r="D62" s="20">
        <v>4.8183408244810463E-7</v>
      </c>
      <c r="E62" s="20">
        <v>0.40874520325474378</v>
      </c>
      <c r="F62" s="20">
        <v>0.25123013480583672</v>
      </c>
      <c r="G62" s="20">
        <v>0.14004489644048762</v>
      </c>
      <c r="H62" s="20">
        <v>0</v>
      </c>
      <c r="I62" s="20">
        <v>1.7470172008419462E-2</v>
      </c>
      <c r="J62" s="20">
        <v>6.4291564348264066E-2</v>
      </c>
      <c r="K62" s="20">
        <v>0.52696275056290987</v>
      </c>
      <c r="L62" s="20">
        <v>0</v>
      </c>
    </row>
    <row r="63" spans="1:12">
      <c r="A63" s="2" t="s">
        <v>407</v>
      </c>
      <c r="B63" s="3" t="s">
        <v>408</v>
      </c>
      <c r="D63" s="20">
        <v>1.3427265216532655E-4</v>
      </c>
      <c r="E63" s="20">
        <v>0.47301355963817548</v>
      </c>
      <c r="F63" s="20">
        <v>8.9776316433702485E-2</v>
      </c>
      <c r="G63" s="20">
        <v>0.3813794933680883</v>
      </c>
      <c r="H63" s="20">
        <v>0</v>
      </c>
      <c r="I63" s="20">
        <v>1.8577498363847157E-3</v>
      </c>
      <c r="J63" s="20">
        <v>0.17942004637257344</v>
      </c>
      <c r="K63" s="20">
        <v>0.34743212133708579</v>
      </c>
      <c r="L63" s="20">
        <v>0</v>
      </c>
    </row>
    <row r="64" spans="1:12">
      <c r="A64" s="2" t="s">
        <v>409</v>
      </c>
      <c r="B64" s="3" t="s">
        <v>410</v>
      </c>
      <c r="D64" s="20">
        <v>1.8107242406044857E-5</v>
      </c>
      <c r="E64" s="20">
        <v>0.52244409835999861</v>
      </c>
      <c r="F64" s="20">
        <v>5.2689797627656826E-2</v>
      </c>
      <c r="G64" s="20">
        <v>0.46905318133893392</v>
      </c>
      <c r="H64" s="20">
        <v>0</v>
      </c>
      <c r="I64" s="20">
        <v>7.011193934078994E-4</v>
      </c>
      <c r="J64" s="20">
        <v>0.22265840593304229</v>
      </c>
      <c r="K64" s="20">
        <v>0.25487938846455321</v>
      </c>
      <c r="L64" s="20">
        <v>0</v>
      </c>
    </row>
    <row r="65" spans="1:12">
      <c r="A65" s="2" t="s">
        <v>301</v>
      </c>
      <c r="B65" s="3" t="s">
        <v>302</v>
      </c>
      <c r="D65" s="20">
        <v>2.421567944082548E-6</v>
      </c>
      <c r="E65" s="20">
        <v>0.57301624722545563</v>
      </c>
      <c r="F65" s="20">
        <v>2.6458844493812656E-2</v>
      </c>
      <c r="G65" s="20">
        <v>0.54634431604156986</v>
      </c>
      <c r="H65" s="20">
        <v>0</v>
      </c>
      <c r="I65" s="20">
        <v>2.130866900730829E-4</v>
      </c>
      <c r="J65" s="20">
        <v>0.26202117478525816</v>
      </c>
      <c r="K65" s="20">
        <v>0.1649601564213421</v>
      </c>
      <c r="L65" s="20">
        <v>0</v>
      </c>
    </row>
    <row r="66" spans="1:12">
      <c r="A66" s="2" t="s">
        <v>303</v>
      </c>
      <c r="B66" s="3" t="s">
        <v>304</v>
      </c>
      <c r="D66" s="20">
        <v>2.2412515302264301E-12</v>
      </c>
      <c r="E66" s="20">
        <v>0.54560999172216362</v>
      </c>
      <c r="F66" s="20">
        <v>3.9524357055891086E-2</v>
      </c>
      <c r="G66" s="20">
        <v>0.50566205972081402</v>
      </c>
      <c r="H66" s="20">
        <v>0</v>
      </c>
      <c r="I66" s="20">
        <v>4.2357494545847954E-4</v>
      </c>
      <c r="J66" s="20">
        <v>0.24109877769414362</v>
      </c>
      <c r="K66" s="20">
        <v>0.21329123058145158</v>
      </c>
      <c r="L66" s="20">
        <v>0</v>
      </c>
    </row>
    <row r="67" spans="1:12">
      <c r="A67" s="2" t="s">
        <v>411</v>
      </c>
      <c r="B67" s="3" t="s">
        <v>412</v>
      </c>
      <c r="D67" s="20">
        <v>4.7831814061615914E-3</v>
      </c>
      <c r="E67" s="20">
        <v>0.84009608747748765</v>
      </c>
      <c r="F67" s="20">
        <v>2.6013037502477161E-3</v>
      </c>
      <c r="G67" s="20">
        <v>7.8178372011122128E-4</v>
      </c>
      <c r="H67" s="20">
        <v>0</v>
      </c>
      <c r="I67" s="20">
        <v>0.83671300000712867</v>
      </c>
      <c r="J67" s="20">
        <v>5.9555295774589589E-4</v>
      </c>
      <c r="K67" s="20">
        <v>0.15452517815860484</v>
      </c>
      <c r="L67" s="20">
        <v>0</v>
      </c>
    </row>
    <row r="68" spans="1:12">
      <c r="A68" s="2" t="s">
        <v>413</v>
      </c>
      <c r="B68" s="3" t="s">
        <v>414</v>
      </c>
      <c r="D68" s="20">
        <v>1.0496399369804791E-2</v>
      </c>
      <c r="E68" s="20">
        <v>0.78642111177227392</v>
      </c>
      <c r="F68" s="20">
        <v>4.6485184754013467E-3</v>
      </c>
      <c r="G68" s="20">
        <v>1.3317113977284608E-3</v>
      </c>
      <c r="H68" s="20">
        <v>0</v>
      </c>
      <c r="I68" s="20">
        <v>0.78044088189914407</v>
      </c>
      <c r="J68" s="20">
        <v>8.1655343418314031E-4</v>
      </c>
      <c r="K68" s="20">
        <v>0.20226593542373816</v>
      </c>
      <c r="L68" s="20">
        <v>0</v>
      </c>
    </row>
    <row r="69" spans="1:12">
      <c r="A69" s="2" t="s">
        <v>415</v>
      </c>
      <c r="B69" s="3" t="s">
        <v>416</v>
      </c>
      <c r="D69" s="20">
        <v>5.7607521881630104E-3</v>
      </c>
      <c r="E69" s="20">
        <v>0.41523231553814705</v>
      </c>
      <c r="F69" s="20">
        <v>0.16666845453360971</v>
      </c>
      <c r="G69" s="20">
        <v>0.24201872224847965</v>
      </c>
      <c r="H69" s="20">
        <v>0</v>
      </c>
      <c r="I69" s="20">
        <v>6.5451387560577093E-3</v>
      </c>
      <c r="J69" s="20">
        <v>0.11238881796241554</v>
      </c>
      <c r="K69" s="20">
        <v>0.46661811431127442</v>
      </c>
      <c r="L69" s="20">
        <v>0</v>
      </c>
    </row>
    <row r="70" spans="1:12">
      <c r="A70" s="2" t="s">
        <v>417</v>
      </c>
      <c r="B70" s="3" t="s">
        <v>418</v>
      </c>
      <c r="D70" s="20">
        <v>1.1564596645408279E-2</v>
      </c>
      <c r="E70" s="20">
        <v>0.38670970259385662</v>
      </c>
      <c r="F70" s="20">
        <v>0.24808739835609167</v>
      </c>
      <c r="G70" s="20">
        <v>4.5341956937223565E-2</v>
      </c>
      <c r="H70" s="20">
        <v>0</v>
      </c>
      <c r="I70" s="20">
        <v>9.3280347300541355E-2</v>
      </c>
      <c r="J70" s="20">
        <v>2.040887869778826E-2</v>
      </c>
      <c r="K70" s="20">
        <v>0.58131682206294688</v>
      </c>
      <c r="L70" s="20">
        <v>0</v>
      </c>
    </row>
    <row r="71" spans="1:12">
      <c r="A71" s="2" t="s">
        <v>419</v>
      </c>
      <c r="B71" s="3" t="s">
        <v>420</v>
      </c>
      <c r="D71" s="20">
        <v>2.5639341785152928E-2</v>
      </c>
      <c r="E71" s="20">
        <v>0.78244199156255034</v>
      </c>
      <c r="F71" s="20">
        <v>4.187753272185373E-3</v>
      </c>
      <c r="G71" s="20">
        <v>1.2085834476861133E-3</v>
      </c>
      <c r="H71" s="20">
        <v>0</v>
      </c>
      <c r="I71" s="20">
        <v>0.77704565484267885</v>
      </c>
      <c r="J71" s="20">
        <v>7.6207756206196371E-4</v>
      </c>
      <c r="K71" s="20">
        <v>0.19115658909023464</v>
      </c>
      <c r="L71" s="20">
        <v>0</v>
      </c>
    </row>
    <row r="72" spans="1:12">
      <c r="A72" s="2" t="s">
        <v>421</v>
      </c>
      <c r="B72" s="3" t="s">
        <v>422</v>
      </c>
      <c r="D72" s="20">
        <v>4.510521336365244E-2</v>
      </c>
      <c r="E72" s="20">
        <v>0.36568229558036125</v>
      </c>
      <c r="F72" s="20">
        <v>0.22392416138446955</v>
      </c>
      <c r="G72" s="20">
        <v>4.1456870199890111E-2</v>
      </c>
      <c r="H72" s="20">
        <v>0</v>
      </c>
      <c r="I72" s="20">
        <v>0.10030126399600157</v>
      </c>
      <c r="J72" s="20">
        <v>1.8642216224497094E-2</v>
      </c>
      <c r="K72" s="20">
        <v>0.57057027483148925</v>
      </c>
      <c r="L72" s="20">
        <v>0</v>
      </c>
    </row>
    <row r="73" spans="1:12">
      <c r="A73" s="2" t="s">
        <v>423</v>
      </c>
      <c r="B73" s="3" t="s">
        <v>424</v>
      </c>
      <c r="D73" s="20">
        <v>2.0122170072310392E-2</v>
      </c>
      <c r="E73" s="20">
        <v>0.46639064992475526</v>
      </c>
      <c r="F73" s="20">
        <v>4.9744953612749651E-2</v>
      </c>
      <c r="G73" s="20">
        <v>1.1403668540321297E-2</v>
      </c>
      <c r="H73" s="20">
        <v>0</v>
      </c>
      <c r="I73" s="20">
        <v>0.40524202777168433</v>
      </c>
      <c r="J73" s="20">
        <v>5.1437486190645879E-3</v>
      </c>
      <c r="K73" s="20">
        <v>0.50834343138386973</v>
      </c>
      <c r="L73" s="20">
        <v>0</v>
      </c>
    </row>
    <row r="74" spans="1:12">
      <c r="A74" s="2" t="s">
        <v>425</v>
      </c>
      <c r="B74" s="3" t="s">
        <v>426</v>
      </c>
      <c r="D74" s="20">
        <v>1.7530137482032422E-2</v>
      </c>
      <c r="E74" s="20">
        <v>0.38191347003735132</v>
      </c>
      <c r="F74" s="20">
        <v>0.24191318368039372</v>
      </c>
      <c r="G74" s="20">
        <v>4.4376709080493064E-2</v>
      </c>
      <c r="H74" s="20">
        <v>0</v>
      </c>
      <c r="I74" s="20">
        <v>9.5623577276464547E-2</v>
      </c>
      <c r="J74" s="20">
        <v>1.9968836799364585E-2</v>
      </c>
      <c r="K74" s="20">
        <v>0.58058755568125164</v>
      </c>
      <c r="L74" s="20">
        <v>0</v>
      </c>
    </row>
    <row r="75" spans="1:12">
      <c r="A75" s="2" t="s">
        <v>427</v>
      </c>
      <c r="B75" s="3" t="s">
        <v>428</v>
      </c>
      <c r="D75" s="20">
        <v>5.1204952055027598E-9</v>
      </c>
      <c r="E75" s="20">
        <v>0.96598026071960552</v>
      </c>
      <c r="F75" s="20">
        <v>0.92530774223444234</v>
      </c>
      <c r="G75" s="20">
        <v>3.5705605729849805E-4</v>
      </c>
      <c r="H75" s="20">
        <v>0</v>
      </c>
      <c r="I75" s="20">
        <v>4.0315462427864629E-2</v>
      </c>
      <c r="J75" s="20">
        <v>3.3242326105897627E-2</v>
      </c>
      <c r="K75" s="20">
        <v>7.7740805400178335E-4</v>
      </c>
      <c r="L75" s="20">
        <v>0</v>
      </c>
    </row>
    <row r="76" spans="1:12">
      <c r="A76" s="2" t="s">
        <v>429</v>
      </c>
      <c r="B76" s="3" t="s">
        <v>430</v>
      </c>
      <c r="D76" s="20">
        <v>1.2862102493518242E-10</v>
      </c>
      <c r="E76" s="20">
        <v>0.96598026554165739</v>
      </c>
      <c r="F76" s="20">
        <v>0.92530774685346218</v>
      </c>
      <c r="G76" s="20">
        <v>3.5705605908087709E-4</v>
      </c>
      <c r="H76" s="20">
        <v>0</v>
      </c>
      <c r="I76" s="20">
        <v>4.0315462629114347E-2</v>
      </c>
      <c r="J76" s="20">
        <v>3.3242326271839137E-2</v>
      </c>
      <c r="K76" s="20">
        <v>7.7740805788250667E-4</v>
      </c>
      <c r="L76" s="20">
        <v>0</v>
      </c>
    </row>
    <row r="77" spans="1:12">
      <c r="A77" s="2" t="s">
        <v>431</v>
      </c>
      <c r="B77" s="3" t="s">
        <v>432</v>
      </c>
      <c r="D77" s="20">
        <v>5.2202641915792922E-2</v>
      </c>
      <c r="E77" s="20">
        <v>0.3570616384164208</v>
      </c>
      <c r="F77" s="20">
        <v>0.1110623088273363</v>
      </c>
      <c r="G77" s="20">
        <v>2.2964778079673353E-2</v>
      </c>
      <c r="H77" s="20">
        <v>0</v>
      </c>
      <c r="I77" s="20">
        <v>0.22303455150941115</v>
      </c>
      <c r="J77" s="20">
        <v>1.0272263290140474E-2</v>
      </c>
      <c r="K77" s="20">
        <v>0.58046345637764574</v>
      </c>
      <c r="L77" s="20">
        <v>0</v>
      </c>
    </row>
    <row r="78" spans="1:12">
      <c r="A78" s="2" t="s">
        <v>433</v>
      </c>
      <c r="B78" s="3" t="s">
        <v>434</v>
      </c>
      <c r="D78" s="20">
        <v>3.878527014291136E-2</v>
      </c>
      <c r="E78" s="20">
        <v>0.63039782281891765</v>
      </c>
      <c r="F78" s="20">
        <v>1.4782266770672108E-2</v>
      </c>
      <c r="G78" s="20">
        <v>3.8197645244555521E-3</v>
      </c>
      <c r="H78" s="20">
        <v>0</v>
      </c>
      <c r="I78" s="20">
        <v>0.61179579152379004</v>
      </c>
      <c r="J78" s="20">
        <v>1.8522649018485628E-3</v>
      </c>
      <c r="K78" s="20">
        <v>0.32896464213632221</v>
      </c>
      <c r="L78" s="20">
        <v>0</v>
      </c>
    </row>
    <row r="79" spans="1:12">
      <c r="A79" s="2" t="s">
        <v>435</v>
      </c>
      <c r="B79" s="3" t="s">
        <v>436</v>
      </c>
      <c r="D79" s="20">
        <v>1.0544768548578476E-2</v>
      </c>
      <c r="E79" s="20">
        <v>0.53932683393575276</v>
      </c>
      <c r="F79" s="20">
        <v>3.2011886364082351E-2</v>
      </c>
      <c r="G79" s="20">
        <v>7.6985125472525413E-3</v>
      </c>
      <c r="H79" s="20">
        <v>0</v>
      </c>
      <c r="I79" s="20">
        <v>0.49961643502441783</v>
      </c>
      <c r="J79" s="20">
        <v>3.527642972094827E-3</v>
      </c>
      <c r="K79" s="20">
        <v>0.44660075454357395</v>
      </c>
      <c r="L79" s="20">
        <v>0</v>
      </c>
    </row>
    <row r="80" spans="1:12">
      <c r="A80" s="2" t="s">
        <v>437</v>
      </c>
      <c r="B80" s="3" t="s">
        <v>438</v>
      </c>
      <c r="D80" s="20">
        <v>1.7978123609711712E-9</v>
      </c>
      <c r="E80" s="20">
        <v>0.93575509228036668</v>
      </c>
      <c r="F80" s="20">
        <v>0.90827758029658046</v>
      </c>
      <c r="G80" s="20">
        <v>6.7323828247922864E-4</v>
      </c>
      <c r="H80" s="20">
        <v>0</v>
      </c>
      <c r="I80" s="20">
        <v>2.680427370130695E-2</v>
      </c>
      <c r="J80" s="20">
        <v>6.3315765329566842E-2</v>
      </c>
      <c r="K80" s="20">
        <v>9.2914059225428941E-4</v>
      </c>
      <c r="L80" s="20">
        <v>0</v>
      </c>
    </row>
    <row r="81" spans="1:12">
      <c r="A81" s="2" t="s">
        <v>440</v>
      </c>
      <c r="B81" s="3" t="s">
        <v>441</v>
      </c>
      <c r="D81" s="20">
        <v>1.8441684396016853E-13</v>
      </c>
      <c r="E81" s="20">
        <v>0.97077107848858313</v>
      </c>
      <c r="F81" s="20">
        <v>9.1048920340324133E-5</v>
      </c>
      <c r="G81" s="20">
        <v>3.5413622675394801E-5</v>
      </c>
      <c r="H81" s="20">
        <v>0</v>
      </c>
      <c r="I81" s="20">
        <v>0.97064461594556739</v>
      </c>
      <c r="J81" s="20">
        <v>3.1659856723706946E-4</v>
      </c>
      <c r="K81" s="20">
        <v>2.8912322943995261E-2</v>
      </c>
      <c r="L81" s="20">
        <v>0</v>
      </c>
    </row>
    <row r="82" spans="1:12">
      <c r="A82" s="2" t="s">
        <v>442</v>
      </c>
      <c r="B82" s="3" t="s">
        <v>443</v>
      </c>
      <c r="D82" s="20">
        <v>8.7745433126737961E-5</v>
      </c>
      <c r="E82" s="20">
        <v>0.77296421454323916</v>
      </c>
      <c r="F82" s="20">
        <v>5.8546203364107235E-3</v>
      </c>
      <c r="G82" s="20">
        <v>1.6466234359979117E-3</v>
      </c>
      <c r="H82" s="20">
        <v>0</v>
      </c>
      <c r="I82" s="20">
        <v>0.76546297077083048</v>
      </c>
      <c r="J82" s="20">
        <v>9.4882906325501331E-4</v>
      </c>
      <c r="K82" s="20">
        <v>0.2259992109603792</v>
      </c>
      <c r="L82" s="20">
        <v>0</v>
      </c>
    </row>
    <row r="83" spans="1:12">
      <c r="A83" s="2" t="s">
        <v>444</v>
      </c>
      <c r="B83" s="3" t="s">
        <v>445</v>
      </c>
      <c r="D83" s="20">
        <v>1.0575977543914904E-3</v>
      </c>
      <c r="E83" s="20">
        <v>0.38852822761178829</v>
      </c>
      <c r="F83" s="20">
        <v>0.10078472958446227</v>
      </c>
      <c r="G83" s="20">
        <v>2.1266219407614053E-2</v>
      </c>
      <c r="H83" s="20">
        <v>0</v>
      </c>
      <c r="I83" s="20">
        <v>0.26647727861971199</v>
      </c>
      <c r="J83" s="20">
        <v>9.5131828496822293E-3</v>
      </c>
      <c r="K83" s="20">
        <v>0.60090099178413803</v>
      </c>
      <c r="L83" s="20">
        <v>0</v>
      </c>
    </row>
    <row r="84" spans="1:12">
      <c r="A84" s="2" t="s">
        <v>446</v>
      </c>
      <c r="B84" s="3" t="s">
        <v>447</v>
      </c>
      <c r="D84" s="20">
        <v>5.6770340100091665E-15</v>
      </c>
      <c r="E84" s="20">
        <v>0.93744665076697975</v>
      </c>
      <c r="F84" s="20">
        <v>4.0906819163515377E-4</v>
      </c>
      <c r="G84" s="20">
        <v>1.4206636428023604E-4</v>
      </c>
      <c r="H84" s="20">
        <v>0</v>
      </c>
      <c r="I84" s="20">
        <v>0.93689551621106437</v>
      </c>
      <c r="J84" s="20">
        <v>3.5141398484852973E-4</v>
      </c>
      <c r="K84" s="20">
        <v>6.2201935248166022E-2</v>
      </c>
      <c r="L84" s="20">
        <v>0</v>
      </c>
    </row>
    <row r="85" spans="1:12">
      <c r="A85" s="2" t="s">
        <v>448</v>
      </c>
      <c r="B85" s="3" t="s">
        <v>449</v>
      </c>
      <c r="D85" s="20">
        <v>3.9739225642717038E-8</v>
      </c>
      <c r="E85" s="20">
        <v>0.98764223367809922</v>
      </c>
      <c r="F85" s="20">
        <v>1.6706813136059878E-5</v>
      </c>
      <c r="G85" s="20">
        <v>7.3720652495626337E-6</v>
      </c>
      <c r="H85" s="20">
        <v>0</v>
      </c>
      <c r="I85" s="20">
        <v>0.9876181547997136</v>
      </c>
      <c r="J85" s="20">
        <v>3.1009159580700385E-4</v>
      </c>
      <c r="K85" s="20">
        <v>1.2047634986868125E-2</v>
      </c>
      <c r="L85" s="20">
        <v>0</v>
      </c>
    </row>
    <row r="86" spans="1:12">
      <c r="A86" s="2" t="s">
        <v>450</v>
      </c>
      <c r="B86" s="3" t="s">
        <v>451</v>
      </c>
      <c r="D86" s="20">
        <v>1.4279392987639488E-8</v>
      </c>
      <c r="E86" s="20">
        <v>0.93895026197550391</v>
      </c>
      <c r="F86" s="20">
        <v>3.8974805898844427E-4</v>
      </c>
      <c r="G86" s="20">
        <v>1.3585621673452251E-4</v>
      </c>
      <c r="H86" s="20">
        <v>0</v>
      </c>
      <c r="I86" s="20">
        <v>0.9384246576997809</v>
      </c>
      <c r="J86" s="20">
        <v>3.4924072911293871E-4</v>
      </c>
      <c r="K86" s="20">
        <v>6.0700483015990049E-2</v>
      </c>
      <c r="L86" s="20">
        <v>0</v>
      </c>
    </row>
    <row r="87" spans="1:12">
      <c r="A87" s="2" t="s">
        <v>452</v>
      </c>
      <c r="B87" s="3" t="s">
        <v>453</v>
      </c>
      <c r="D87" s="20">
        <v>2.4299381808972251E-7</v>
      </c>
      <c r="E87" s="20">
        <v>0.45579589741080379</v>
      </c>
      <c r="F87" s="20">
        <v>0.10726781638234718</v>
      </c>
      <c r="G87" s="20">
        <v>0.34591149577464542</v>
      </c>
      <c r="H87" s="20">
        <v>0</v>
      </c>
      <c r="I87" s="20">
        <v>2.6165852538111586E-3</v>
      </c>
      <c r="J87" s="20">
        <v>0.16219131389778652</v>
      </c>
      <c r="K87" s="20">
        <v>0.38201254569759169</v>
      </c>
      <c r="L87" s="20">
        <v>0</v>
      </c>
    </row>
    <row r="88" spans="1:12">
      <c r="A88" s="2" t="s">
        <v>454</v>
      </c>
      <c r="B88" s="3" t="s">
        <v>455</v>
      </c>
      <c r="D88" s="20">
        <v>4.5013367163229972E-5</v>
      </c>
      <c r="E88" s="20">
        <v>0.69402700126130779</v>
      </c>
      <c r="F88" s="20">
        <v>1.1566866305165431E-2</v>
      </c>
      <c r="G88" s="20">
        <v>3.0669823113408747E-3</v>
      </c>
      <c r="H88" s="20">
        <v>0</v>
      </c>
      <c r="I88" s="20">
        <v>0.67939315264480149</v>
      </c>
      <c r="J88" s="20">
        <v>1.5425262681737519E-3</v>
      </c>
      <c r="K88" s="20">
        <v>0.30438545910335507</v>
      </c>
      <c r="L88" s="20">
        <v>0</v>
      </c>
    </row>
    <row r="89" spans="1:12">
      <c r="A89" s="2" t="s">
        <v>456</v>
      </c>
      <c r="B89" s="3" t="s">
        <v>457</v>
      </c>
      <c r="D89" s="20">
        <v>2.9184840356319403E-17</v>
      </c>
      <c r="E89" s="20">
        <v>0.75928025097791652</v>
      </c>
      <c r="F89" s="20">
        <v>6.6716236098520723E-3</v>
      </c>
      <c r="G89" s="20">
        <v>1.8557825737932645E-3</v>
      </c>
      <c r="H89" s="20">
        <v>0</v>
      </c>
      <c r="I89" s="20">
        <v>0.75075284479427118</v>
      </c>
      <c r="J89" s="20">
        <v>1.0353743013382607E-3</v>
      </c>
      <c r="K89" s="20">
        <v>0.23968437472074519</v>
      </c>
      <c r="L89" s="20">
        <v>0</v>
      </c>
    </row>
    <row r="90" spans="1:12">
      <c r="A90" s="2" t="s">
        <v>458</v>
      </c>
      <c r="B90" s="3" t="s">
        <v>459</v>
      </c>
      <c r="D90" s="20">
        <v>4.2619841365180943E-29</v>
      </c>
      <c r="E90" s="20">
        <v>0.88081364434386999</v>
      </c>
      <c r="F90" s="20">
        <v>1.4992913790150733E-3</v>
      </c>
      <c r="G90" s="20">
        <v>4.7095737174680617E-4</v>
      </c>
      <c r="H90" s="20">
        <v>0</v>
      </c>
      <c r="I90" s="20">
        <v>0.87884339559310809</v>
      </c>
      <c r="J90" s="20">
        <v>4.7446283693611637E-4</v>
      </c>
      <c r="K90" s="20">
        <v>0.11871189281919373</v>
      </c>
      <c r="L90" s="20">
        <v>0</v>
      </c>
    </row>
    <row r="91" spans="1:12">
      <c r="A91" s="2" t="s">
        <v>460</v>
      </c>
      <c r="B91" s="3" t="s">
        <v>461</v>
      </c>
      <c r="D91" s="20">
        <v>2.2542247943190881E-7</v>
      </c>
      <c r="E91" s="20">
        <v>0.40711580590670354</v>
      </c>
      <c r="F91" s="20">
        <v>0.23832600725459799</v>
      </c>
      <c r="G91" s="20">
        <v>0.15359143307124579</v>
      </c>
      <c r="H91" s="20">
        <v>0</v>
      </c>
      <c r="I91" s="20">
        <v>1.5198365580859774E-2</v>
      </c>
      <c r="J91" s="20">
        <v>7.0632556351794787E-2</v>
      </c>
      <c r="K91" s="20">
        <v>0.52225141231902217</v>
      </c>
      <c r="L91" s="20">
        <v>0</v>
      </c>
    </row>
    <row r="92" spans="1:12">
      <c r="A92" s="2" t="s">
        <v>462</v>
      </c>
      <c r="B92" s="3" t="s">
        <v>463</v>
      </c>
      <c r="D92" s="20">
        <v>8.1355667596614522E-9</v>
      </c>
      <c r="E92" s="20">
        <v>0.41908323748623194</v>
      </c>
      <c r="F92" s="20">
        <v>7.6605866286710469E-2</v>
      </c>
      <c r="G92" s="20">
        <v>1.6740082094363375E-2</v>
      </c>
      <c r="H92" s="20">
        <v>0</v>
      </c>
      <c r="I92" s="20">
        <v>0.32573728910515809</v>
      </c>
      <c r="J92" s="20">
        <v>7.5002168118372681E-3</v>
      </c>
      <c r="K92" s="20">
        <v>0.57341653756636402</v>
      </c>
      <c r="L92" s="20">
        <v>0</v>
      </c>
    </row>
    <row r="93" spans="1:12">
      <c r="A93" s="2" t="s">
        <v>464</v>
      </c>
      <c r="B93" s="3" t="s">
        <v>465</v>
      </c>
      <c r="D93" s="20">
        <v>6.3145290200148502E-4</v>
      </c>
      <c r="E93" s="20">
        <v>0.37190062981152794</v>
      </c>
      <c r="F93" s="20">
        <v>0.20730757830609067</v>
      </c>
      <c r="G93" s="20">
        <v>3.9238349734031841E-2</v>
      </c>
      <c r="H93" s="20">
        <v>0</v>
      </c>
      <c r="I93" s="20">
        <v>0.1253547017714054</v>
      </c>
      <c r="J93" s="20">
        <v>1.7617445238337099E-2</v>
      </c>
      <c r="K93" s="20">
        <v>0.60985047204813381</v>
      </c>
      <c r="L93" s="20">
        <v>0</v>
      </c>
    </row>
    <row r="94" spans="1:12">
      <c r="A94" s="2" t="s">
        <v>466</v>
      </c>
      <c r="B94" s="3" t="s">
        <v>467</v>
      </c>
      <c r="D94" s="20">
        <v>2.0181302826353331E-18</v>
      </c>
      <c r="E94" s="20">
        <v>0.99943244297825673</v>
      </c>
      <c r="F94" s="20">
        <v>1.1558340465789657E-2</v>
      </c>
      <c r="G94" s="20">
        <v>1.5189167716642434E-6</v>
      </c>
      <c r="H94" s="20">
        <v>0</v>
      </c>
      <c r="I94" s="20">
        <v>0.98787258359569541</v>
      </c>
      <c r="J94" s="20">
        <v>3.9206935160381528E-4</v>
      </c>
      <c r="K94" s="20">
        <v>1.7548767013930163E-4</v>
      </c>
      <c r="L94" s="20">
        <v>0</v>
      </c>
    </row>
    <row r="95" spans="1:12">
      <c r="A95" s="2" t="s">
        <v>468</v>
      </c>
      <c r="B95" s="3" t="s">
        <v>469</v>
      </c>
      <c r="D95" s="20">
        <v>9.2603490100282455E-18</v>
      </c>
      <c r="E95" s="20">
        <v>0.43676025465466611</v>
      </c>
      <c r="F95" s="20">
        <v>0.32107136163706751</v>
      </c>
      <c r="G95" s="20">
        <v>7.9432297675249064E-2</v>
      </c>
      <c r="H95" s="20">
        <v>0</v>
      </c>
      <c r="I95" s="20">
        <v>3.6256595342349519E-2</v>
      </c>
      <c r="J95" s="20">
        <v>3.6119428272094495E-2</v>
      </c>
      <c r="K95" s="20">
        <v>0.52712031707323936</v>
      </c>
      <c r="L95" s="20">
        <v>0</v>
      </c>
    </row>
    <row r="96" spans="1:12">
      <c r="A96" s="2" t="s">
        <v>470</v>
      </c>
      <c r="B96" s="163">
        <v>354656</v>
      </c>
      <c r="D96" s="20">
        <v>3.6768470953247308E-10</v>
      </c>
      <c r="E96" s="20">
        <v>0.9696525120218864</v>
      </c>
      <c r="F96" s="20">
        <v>9.8027919314702599E-5</v>
      </c>
      <c r="G96" s="20">
        <v>3.7917992821645679E-5</v>
      </c>
      <c r="H96" s="20">
        <v>0</v>
      </c>
      <c r="I96" s="20">
        <v>0.96951656610975001</v>
      </c>
      <c r="J96" s="20">
        <v>3.1730517543722002E-4</v>
      </c>
      <c r="K96" s="20">
        <v>3.0030182434991722E-2</v>
      </c>
      <c r="L96" s="20">
        <v>0</v>
      </c>
    </row>
    <row r="97" spans="1:12">
      <c r="A97" s="2" t="s">
        <v>472</v>
      </c>
      <c r="B97" s="3" t="s">
        <v>473</v>
      </c>
      <c r="D97" s="20">
        <v>5.6731036388734659E-10</v>
      </c>
      <c r="E97" s="20">
        <v>0.93668189154224135</v>
      </c>
      <c r="F97" s="20">
        <v>4.1907806734961772E-4</v>
      </c>
      <c r="G97" s="20">
        <v>1.452748674279438E-4</v>
      </c>
      <c r="H97" s="20">
        <v>0</v>
      </c>
      <c r="I97" s="20">
        <v>0.93611753860746383</v>
      </c>
      <c r="J97" s="20">
        <v>3.5254091334424961E-4</v>
      </c>
      <c r="K97" s="20">
        <v>6.2965566977104107E-2</v>
      </c>
      <c r="L97" s="20">
        <v>0</v>
      </c>
    </row>
    <row r="98" spans="1:12">
      <c r="A98" s="2" t="s">
        <v>474</v>
      </c>
      <c r="B98" s="3" t="s">
        <v>475</v>
      </c>
      <c r="D98" s="20">
        <v>1.8864754082473942E-19</v>
      </c>
      <c r="E98" s="20">
        <v>0.41336579194951689</v>
      </c>
      <c r="F98" s="20">
        <v>0.28782291220350814</v>
      </c>
      <c r="G98" s="20">
        <v>5.1170648206460237E-2</v>
      </c>
      <c r="H98" s="20">
        <v>0</v>
      </c>
      <c r="I98" s="20">
        <v>7.43722315395485E-2</v>
      </c>
      <c r="J98" s="20">
        <v>2.3082787302388944E-2</v>
      </c>
      <c r="K98" s="20">
        <v>0.56355142074809417</v>
      </c>
      <c r="L98" s="20">
        <v>0</v>
      </c>
    </row>
    <row r="99" spans="1:12">
      <c r="A99" s="2" t="s">
        <v>476</v>
      </c>
      <c r="B99" s="3" t="s">
        <v>477</v>
      </c>
      <c r="D99" s="20">
        <v>1.7343694130193529E-7</v>
      </c>
      <c r="E99" s="20">
        <v>0.99134894281748032</v>
      </c>
      <c r="F99" s="20">
        <v>8.2227260354462159E-6</v>
      </c>
      <c r="G99" s="20">
        <v>3.8239427009496605E-6</v>
      </c>
      <c r="H99" s="20">
        <v>0</v>
      </c>
      <c r="I99" s="20">
        <v>0.99133689614874387</v>
      </c>
      <c r="J99" s="20">
        <v>3.0977071029686078E-4</v>
      </c>
      <c r="K99" s="20">
        <v>8.3411130352816758E-3</v>
      </c>
      <c r="L99" s="20">
        <v>0</v>
      </c>
    </row>
    <row r="100" spans="1:12">
      <c r="A100" s="2" t="s">
        <v>478</v>
      </c>
      <c r="B100" s="3" t="s">
        <v>479</v>
      </c>
      <c r="D100" s="20">
        <v>6.6576289926725493E-11</v>
      </c>
      <c r="E100" s="20">
        <v>0.57051364753273814</v>
      </c>
      <c r="F100" s="20">
        <v>2.7440612728197877E-2</v>
      </c>
      <c r="G100" s="20">
        <v>6.7094876832074534E-3</v>
      </c>
      <c r="H100" s="20">
        <v>0</v>
      </c>
      <c r="I100" s="20">
        <v>0.53636354712133283</v>
      </c>
      <c r="J100" s="20">
        <v>3.1012812220721515E-3</v>
      </c>
      <c r="K100" s="20">
        <v>0.42638507117861346</v>
      </c>
      <c r="L100" s="20">
        <v>0</v>
      </c>
    </row>
    <row r="101" spans="1:12">
      <c r="A101" s="2" t="s">
        <v>480</v>
      </c>
      <c r="B101" s="3" t="s">
        <v>481</v>
      </c>
      <c r="D101" s="20">
        <v>4.6672434033853686E-11</v>
      </c>
      <c r="E101" s="20">
        <v>0.98572129870828362</v>
      </c>
      <c r="F101" s="20">
        <v>2.2229754446715753E-5</v>
      </c>
      <c r="G101" s="20">
        <v>9.6035150389815081E-6</v>
      </c>
      <c r="H101" s="20">
        <v>0</v>
      </c>
      <c r="I101" s="20">
        <v>0.98568946543879787</v>
      </c>
      <c r="J101" s="20">
        <v>3.1042384053053286E-4</v>
      </c>
      <c r="K101" s="20">
        <v>1.3968277404513604E-2</v>
      </c>
      <c r="L101" s="20">
        <v>0</v>
      </c>
    </row>
    <row r="102" spans="1:12">
      <c r="A102" s="2" t="s">
        <v>482</v>
      </c>
      <c r="B102" s="3" t="s">
        <v>483</v>
      </c>
      <c r="D102" s="20">
        <v>2.9327922716625786E-27</v>
      </c>
      <c r="E102" s="20">
        <v>0.99614376824375017</v>
      </c>
      <c r="F102" s="20">
        <v>1.5861911340631298E-6</v>
      </c>
      <c r="G102" s="20">
        <v>8.3301164658856032E-7</v>
      </c>
      <c r="H102" s="20">
        <v>0</v>
      </c>
      <c r="I102" s="20">
        <v>0.99614134904096951</v>
      </c>
      <c r="J102" s="20">
        <v>3.1002784880059604E-4</v>
      </c>
      <c r="K102" s="20">
        <v>3.5462039074491926E-3</v>
      </c>
      <c r="L102" s="20">
        <v>0</v>
      </c>
    </row>
    <row r="103" spans="1:12">
      <c r="A103" s="2" t="s">
        <v>484</v>
      </c>
      <c r="B103" s="3" t="s">
        <v>485</v>
      </c>
      <c r="D103" s="20">
        <v>2.3394198474774836E-13</v>
      </c>
      <c r="E103" s="20">
        <v>0.99161434218890043</v>
      </c>
      <c r="F103" s="20">
        <v>7.7264924578340807E-6</v>
      </c>
      <c r="G103" s="20">
        <v>3.6097567766221377E-6</v>
      </c>
      <c r="H103" s="20">
        <v>0</v>
      </c>
      <c r="I103" s="20">
        <v>0.99160300593966599</v>
      </c>
      <c r="J103" s="20">
        <v>3.0976453717647146E-4</v>
      </c>
      <c r="K103" s="20">
        <v>8.0758932736891675E-3</v>
      </c>
      <c r="L103" s="20">
        <v>0</v>
      </c>
    </row>
    <row r="104" spans="1:12">
      <c r="A104" s="2" t="s">
        <v>486</v>
      </c>
      <c r="B104" s="3" t="s">
        <v>487</v>
      </c>
      <c r="D104" s="20">
        <v>2.8868412146708976E-9</v>
      </c>
      <c r="E104" s="20">
        <v>0.95424356725753368</v>
      </c>
      <c r="F104" s="20">
        <v>2.2013906211616581E-4</v>
      </c>
      <c r="G104" s="20">
        <v>8.0129543256136912E-5</v>
      </c>
      <c r="H104" s="20">
        <v>0</v>
      </c>
      <c r="I104" s="20">
        <v>0.95394329865216132</v>
      </c>
      <c r="J104" s="20">
        <v>3.3034604971656525E-4</v>
      </c>
      <c r="K104" s="20">
        <v>4.5426083805908617E-2</v>
      </c>
      <c r="L104" s="20">
        <v>0</v>
      </c>
    </row>
    <row r="105" spans="1:12">
      <c r="A105" s="2" t="s">
        <v>488</v>
      </c>
      <c r="B105" s="3" t="s">
        <v>489</v>
      </c>
      <c r="D105" s="20">
        <v>2.3324516997850662E-16</v>
      </c>
      <c r="E105" s="20">
        <v>0.99543706448875369</v>
      </c>
      <c r="F105" s="20">
        <v>2.2495045403285194E-6</v>
      </c>
      <c r="G105" s="20">
        <v>1.1512838949039287E-6</v>
      </c>
      <c r="H105" s="20">
        <v>0</v>
      </c>
      <c r="I105" s="20">
        <v>0.99543366370031849</v>
      </c>
      <c r="J105" s="20">
        <v>3.0993867162698173E-4</v>
      </c>
      <c r="K105" s="20">
        <v>4.2529968396191973E-3</v>
      </c>
      <c r="L105" s="20">
        <v>0</v>
      </c>
    </row>
    <row r="106" spans="1:12">
      <c r="A106" s="2" t="s">
        <v>490</v>
      </c>
      <c r="B106" s="3" t="s">
        <v>491</v>
      </c>
      <c r="D106" s="20">
        <v>1.3036182786243974E-8</v>
      </c>
      <c r="E106" s="20">
        <v>0.85082208613796895</v>
      </c>
      <c r="F106" s="20">
        <v>2.3846500571629179E-3</v>
      </c>
      <c r="G106" s="20">
        <v>7.2197176184510042E-4</v>
      </c>
      <c r="H106" s="20">
        <v>0</v>
      </c>
      <c r="I106" s="20">
        <v>0.84771546431896094</v>
      </c>
      <c r="J106" s="20">
        <v>5.730992731714865E-4</v>
      </c>
      <c r="K106" s="20">
        <v>0.14860480155267675</v>
      </c>
      <c r="L106" s="20">
        <v>0</v>
      </c>
    </row>
    <row r="107" spans="1:12">
      <c r="A107" s="2" t="s">
        <v>492</v>
      </c>
      <c r="B107" s="3" t="s">
        <v>493</v>
      </c>
      <c r="D107" s="20">
        <v>9.6104214051132755E-16</v>
      </c>
      <c r="E107" s="20">
        <v>0.43675621897992351</v>
      </c>
      <c r="F107" s="20">
        <v>0.32108250772526881</v>
      </c>
      <c r="G107" s="20">
        <v>5.573297185781826E-2</v>
      </c>
      <c r="H107" s="20">
        <v>0</v>
      </c>
      <c r="I107" s="20">
        <v>5.9940739396836432E-2</v>
      </c>
      <c r="J107" s="20">
        <v>2.5191059823850056E-2</v>
      </c>
      <c r="K107" s="20">
        <v>0.53805272119622538</v>
      </c>
      <c r="L107" s="20">
        <v>0</v>
      </c>
    </row>
    <row r="108" spans="1:12">
      <c r="A108" s="2" t="s">
        <v>291</v>
      </c>
      <c r="B108" s="3" t="s">
        <v>494</v>
      </c>
      <c r="D108" s="20">
        <v>3.6273257773746339E-10</v>
      </c>
      <c r="E108" s="20">
        <v>0.61055032551134003</v>
      </c>
      <c r="F108" s="20">
        <v>2.1060116878191096E-2</v>
      </c>
      <c r="G108" s="20">
        <v>5.2839212020032228E-3</v>
      </c>
      <c r="H108" s="20">
        <v>0</v>
      </c>
      <c r="I108" s="20">
        <v>0.58420628743114567</v>
      </c>
      <c r="J108" s="20">
        <v>2.4871003319994595E-3</v>
      </c>
      <c r="K108" s="20">
        <v>0.3869625737939279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3.7811370495422349E-9</v>
      </c>
      <c r="E2" s="14">
        <v>3.2319310235516957E-5</v>
      </c>
      <c r="F2" s="14">
        <v>1.5370805737109134E-7</v>
      </c>
      <c r="G2" s="14">
        <v>4.4770525207942554E-8</v>
      </c>
      <c r="H2" s="14">
        <v>0</v>
      </c>
      <c r="I2" s="14">
        <v>2.9312631112750333E-8</v>
      </c>
      <c r="J2" s="14">
        <v>7.4491174137417187E-6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6.9274169160185925E-7</v>
      </c>
      <c r="E3" s="14">
        <v>1.2689104975857411E-7</v>
      </c>
      <c r="F3" s="14">
        <v>4.6886254508319169E-6</v>
      </c>
      <c r="G3" s="14">
        <v>1.2704017871643653E-5</v>
      </c>
      <c r="H3" s="14">
        <v>0</v>
      </c>
      <c r="I3" s="14">
        <v>5.9441291435585174E-6</v>
      </c>
      <c r="J3" s="14">
        <v>1.5843594792605485E-5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2.4416023294870548E-16</v>
      </c>
      <c r="E4" s="14">
        <v>1.963516680875432E-5</v>
      </c>
      <c r="F4" s="14">
        <v>1.390430051061852E-6</v>
      </c>
      <c r="G4" s="14">
        <v>3.3192862041116213E-7</v>
      </c>
      <c r="H4" s="14">
        <v>0</v>
      </c>
      <c r="I4" s="14">
        <v>1.5160510968698955E-7</v>
      </c>
      <c r="J4" s="14">
        <v>1.8490869409841524E-5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2.1855678215813669E-8</v>
      </c>
      <c r="E5" s="14">
        <v>1.2637581005109016E-6</v>
      </c>
      <c r="F5" s="14">
        <v>1.2309445866375896E-5</v>
      </c>
      <c r="G5" s="14">
        <v>3.5721859511960431E-6</v>
      </c>
      <c r="H5" s="14">
        <v>0</v>
      </c>
      <c r="I5" s="14">
        <v>1.6273436781624649E-6</v>
      </c>
      <c r="J5" s="14">
        <v>2.1205410725538888E-5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2.4568666803581106E-9</v>
      </c>
      <c r="E6" s="14">
        <v>6.1770519668914988E-8</v>
      </c>
      <c r="F6" s="14">
        <v>3.2550360695505757E-6</v>
      </c>
      <c r="G6" s="14">
        <v>1.5986425230250557E-5</v>
      </c>
      <c r="H6" s="14">
        <v>0</v>
      </c>
      <c r="I6" s="14">
        <v>7.5340658027867715E-6</v>
      </c>
      <c r="J6" s="14">
        <v>1.3160245511062824E-5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3.4129736585756899E-9</v>
      </c>
      <c r="E7" s="14">
        <v>1.1631416328403065E-7</v>
      </c>
      <c r="F7" s="14">
        <v>4.5269651511773699E-6</v>
      </c>
      <c r="G7" s="14">
        <v>1.3381435548507519E-5</v>
      </c>
      <c r="H7" s="14">
        <v>0</v>
      </c>
      <c r="I7" s="14">
        <v>6.2676895330225084E-6</v>
      </c>
      <c r="J7" s="14">
        <v>1.5704182630350005E-5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3.0229566266053797E-8</v>
      </c>
      <c r="E8" s="14">
        <v>2.429805889908793E-7</v>
      </c>
      <c r="F8" s="14">
        <v>6.4610950619785836E-6</v>
      </c>
      <c r="G8" s="14">
        <v>1.0087921317564666E-5</v>
      </c>
      <c r="H8" s="14">
        <v>0</v>
      </c>
      <c r="I8" s="14">
        <v>4.6887353914126133E-6</v>
      </c>
      <c r="J8" s="14">
        <v>1.8489038073787211E-5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1.1275277221484009E-8</v>
      </c>
      <c r="E9" s="14">
        <v>6.6241001972663626E-6</v>
      </c>
      <c r="F9" s="14">
        <v>6.6435689003608077E-6</v>
      </c>
      <c r="G9" s="14">
        <v>1.3046589527303153E-6</v>
      </c>
      <c r="H9" s="14">
        <v>0</v>
      </c>
      <c r="I9" s="14">
        <v>5.8451504325519706E-7</v>
      </c>
      <c r="J9" s="14">
        <v>2.4831881629165834E-5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2.7998679355073565E-10</v>
      </c>
      <c r="E10" s="14">
        <v>1.1718639964000778E-6</v>
      </c>
      <c r="F10" s="14">
        <v>1.2022969956169241E-5</v>
      </c>
      <c r="G10" s="14">
        <v>3.8063377067699928E-6</v>
      </c>
      <c r="H10" s="14">
        <v>0</v>
      </c>
      <c r="I10" s="14">
        <v>1.7357731469740353E-6</v>
      </c>
      <c r="J10" s="14">
        <v>2.1262775206893107E-5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1.4510244046377792E-8</v>
      </c>
      <c r="E11" s="14">
        <v>1.0299458247148711E-6</v>
      </c>
      <c r="F11" s="14">
        <v>1.1522558766175643E-5</v>
      </c>
      <c r="G11" s="14">
        <v>4.2173970228020208E-6</v>
      </c>
      <c r="H11" s="14">
        <v>0</v>
      </c>
      <c r="I11" s="14">
        <v>1.9264971761477493E-6</v>
      </c>
      <c r="J11" s="14">
        <v>2.1289090966113344E-5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6.8607072164970282E-9</v>
      </c>
      <c r="E12" s="14">
        <v>4.9443425381900676E-6</v>
      </c>
      <c r="F12" s="14">
        <v>8.3838423053269587E-6</v>
      </c>
      <c r="G12" s="14">
        <v>1.5839397443158806E-6</v>
      </c>
      <c r="H12" s="14">
        <v>0</v>
      </c>
      <c r="I12" s="14">
        <v>7.1125275868905232E-7</v>
      </c>
      <c r="J12" s="14">
        <v>2.4369761946261554E-5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1.7804816441160233E-8</v>
      </c>
      <c r="E13" s="14">
        <v>6.4478832493363028E-6</v>
      </c>
      <c r="F13" s="14">
        <v>6.7984782983780935E-6</v>
      </c>
      <c r="G13" s="14">
        <v>1.3301703742472134E-6</v>
      </c>
      <c r="H13" s="14">
        <v>0</v>
      </c>
      <c r="I13" s="14">
        <v>5.9605530978782586E-7</v>
      </c>
      <c r="J13" s="14">
        <v>2.4809607951809411E-5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9.6155295193627021E-9</v>
      </c>
      <c r="E14" s="14">
        <v>6.7959921724157744E-7</v>
      </c>
      <c r="F14" s="14">
        <v>9.9436864257001815E-6</v>
      </c>
      <c r="G14" s="14">
        <v>5.706147264250287E-6</v>
      </c>
      <c r="H14" s="14">
        <v>0</v>
      </c>
      <c r="I14" s="14">
        <v>2.6204733528233775E-6</v>
      </c>
      <c r="J14" s="14">
        <v>2.1040478210465217E-5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1.583522653429531E-11</v>
      </c>
      <c r="E15" s="14">
        <v>1.099167668032643E-6</v>
      </c>
      <c r="F15" s="14">
        <v>1.1776018941217476E-5</v>
      </c>
      <c r="G15" s="14">
        <v>4.0086122647719033E-6</v>
      </c>
      <c r="H15" s="14">
        <v>0</v>
      </c>
      <c r="I15" s="14">
        <v>1.8295665611770809E-6</v>
      </c>
      <c r="J15" s="14">
        <v>2.1286618729574366E-5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7.8283162878772151E-8</v>
      </c>
      <c r="E16" s="14">
        <v>2.5056939747213408E-7</v>
      </c>
      <c r="F16" s="14">
        <v>6.548511266708339E-6</v>
      </c>
      <c r="G16" s="14">
        <v>9.9320325554488804E-6</v>
      </c>
      <c r="H16" s="14">
        <v>0</v>
      </c>
      <c r="I16" s="14">
        <v>4.6146650997633408E-6</v>
      </c>
      <c r="J16" s="14">
        <v>1.857593851772854E-5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5.6091460911579349E-9</v>
      </c>
      <c r="E17" s="14">
        <v>1.2327539873506819E-6</v>
      </c>
      <c r="F17" s="14">
        <v>1.2217179825127847E-5</v>
      </c>
      <c r="G17" s="14">
        <v>3.6497786106480284E-6</v>
      </c>
      <c r="H17" s="14">
        <v>0</v>
      </c>
      <c r="I17" s="14">
        <v>1.663253022888869E-6</v>
      </c>
      <c r="J17" s="14">
        <v>2.1231425407893422E-5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3.1580393388585605E-7</v>
      </c>
      <c r="E18" s="14">
        <v>7.3953239024686547E-6</v>
      </c>
      <c r="F18" s="14">
        <v>5.9223183720512575E-6</v>
      </c>
      <c r="G18" s="14">
        <v>1.1824623072860785E-6</v>
      </c>
      <c r="H18" s="14">
        <v>0</v>
      </c>
      <c r="I18" s="14">
        <v>5.2937933359333881E-7</v>
      </c>
      <c r="J18" s="14">
        <v>2.4654712150714821E-5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5.5473764781715242E-11</v>
      </c>
      <c r="E19" s="14">
        <v>1.0850938579297263E-6</v>
      </c>
      <c r="F19" s="14">
        <v>1.1726323080891082E-5</v>
      </c>
      <c r="G19" s="14">
        <v>4.0500222669462233E-6</v>
      </c>
      <c r="H19" s="14">
        <v>0</v>
      </c>
      <c r="I19" s="14">
        <v>1.8487808187094717E-6</v>
      </c>
      <c r="J19" s="14">
        <v>2.1289724501758719E-5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2.6958863876926778E-9</v>
      </c>
      <c r="E20" s="14">
        <v>6.4503198493418771E-6</v>
      </c>
      <c r="F20" s="14">
        <v>6.8010473852581062E-6</v>
      </c>
      <c r="G20" s="14">
        <v>1.330673034270042E-6</v>
      </c>
      <c r="H20" s="14">
        <v>0</v>
      </c>
      <c r="I20" s="14">
        <v>5.9628055399821095E-7</v>
      </c>
      <c r="J20" s="14">
        <v>2.481898329074408E-5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8.0403994915246788E-8</v>
      </c>
      <c r="E21" s="14">
        <v>7.6753341522021421E-7</v>
      </c>
      <c r="F21" s="14">
        <v>1.0388476036839814E-5</v>
      </c>
      <c r="G21" s="14">
        <v>5.2317549959148946E-6</v>
      </c>
      <c r="H21" s="14">
        <v>0</v>
      </c>
      <c r="I21" s="14">
        <v>2.3988862897354035E-6</v>
      </c>
      <c r="J21" s="14">
        <v>2.1132945267374426E-5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9.0611179471697684E-8</v>
      </c>
      <c r="E22" s="14">
        <v>2.6026840349387656E-5</v>
      </c>
      <c r="F22" s="14">
        <v>5.5495273804880218E-7</v>
      </c>
      <c r="G22" s="14">
        <v>1.4472766449426731E-7</v>
      </c>
      <c r="H22" s="14">
        <v>0</v>
      </c>
      <c r="I22" s="14">
        <v>7.1011663470736214E-8</v>
      </c>
      <c r="J22" s="14">
        <v>1.3111856405126845E-5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3.5697797715100638E-9</v>
      </c>
      <c r="E23" s="14">
        <v>3.0424334603161095E-5</v>
      </c>
      <c r="F23" s="14">
        <v>2.4463333680052233E-7</v>
      </c>
      <c r="G23" s="14">
        <v>6.8550589603311572E-8</v>
      </c>
      <c r="H23" s="14">
        <v>0</v>
      </c>
      <c r="I23" s="14">
        <v>3.9062336232538129E-8</v>
      </c>
      <c r="J23" s="14">
        <v>9.2198493544310283E-6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5.3470715569478021E-9</v>
      </c>
      <c r="E24" s="14">
        <v>1.2898394641985741E-5</v>
      </c>
      <c r="F24" s="14">
        <v>3.1102135633543161E-6</v>
      </c>
      <c r="G24" s="14">
        <v>6.7839988609251034E-7</v>
      </c>
      <c r="H24" s="14">
        <v>0</v>
      </c>
      <c r="I24" s="14">
        <v>3.0390766845017428E-7</v>
      </c>
      <c r="J24" s="14">
        <v>2.3003737168560318E-5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1.9826886656332481E-6</v>
      </c>
      <c r="E25" s="14">
        <v>3.1143985490916247E-6</v>
      </c>
      <c r="F25" s="14">
        <v>1.037358186891472E-5</v>
      </c>
      <c r="G25" s="14">
        <v>1.8647657938339906E-6</v>
      </c>
      <c r="H25" s="14">
        <v>0</v>
      </c>
      <c r="I25" s="14">
        <v>8.4043588910329598E-7</v>
      </c>
      <c r="J25" s="14">
        <v>2.1824129233423123E-5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6.4608176289541426E-8</v>
      </c>
      <c r="E26" s="14">
        <v>8.3265893517863395E-7</v>
      </c>
      <c r="F26" s="14">
        <v>1.0699456001585291E-5</v>
      </c>
      <c r="G26" s="14">
        <v>4.939207283262329E-6</v>
      </c>
      <c r="H26" s="14">
        <v>0</v>
      </c>
      <c r="I26" s="14">
        <v>2.2624087533447564E-6</v>
      </c>
      <c r="J26" s="14">
        <v>2.1201660850339447E-5</v>
      </c>
      <c r="K26" s="14">
        <v>0</v>
      </c>
    </row>
    <row r="27" spans="1:13">
      <c r="A27" s="2" t="s">
        <v>353</v>
      </c>
      <c r="B27" s="3" t="s">
        <v>354</v>
      </c>
      <c r="D27" s="14">
        <v>4.7864856168152306E-7</v>
      </c>
      <c r="E27" s="14">
        <v>1.3905173840395573E-7</v>
      </c>
      <c r="F27" s="14">
        <v>4.9202930865132976E-6</v>
      </c>
      <c r="G27" s="14">
        <v>1.2398996245009301E-5</v>
      </c>
      <c r="H27" s="14">
        <v>0</v>
      </c>
      <c r="I27" s="14">
        <v>5.7963215376359544E-6</v>
      </c>
      <c r="J27" s="14">
        <v>1.6266688830755971E-5</v>
      </c>
      <c r="K27" s="14">
        <v>0</v>
      </c>
    </row>
    <row r="28" spans="1:13">
      <c r="A28" s="2" t="s">
        <v>355</v>
      </c>
      <c r="B28" s="3" t="s">
        <v>356</v>
      </c>
      <c r="D28" s="14">
        <v>2.4402890117386572E-8</v>
      </c>
      <c r="E28" s="14">
        <v>4.6248848998540402E-7</v>
      </c>
      <c r="F28" s="14">
        <v>8.5490031922644364E-6</v>
      </c>
      <c r="G28" s="14">
        <v>7.2579009102021551E-6</v>
      </c>
      <c r="H28" s="14">
        <v>0</v>
      </c>
      <c r="I28" s="14">
        <v>3.3487409997032588E-6</v>
      </c>
      <c r="J28" s="14">
        <v>2.0357463517727362E-5</v>
      </c>
      <c r="K28" s="14">
        <v>0</v>
      </c>
    </row>
    <row r="29" spans="1:13">
      <c r="A29" s="2" t="s">
        <v>357</v>
      </c>
      <c r="B29" s="3" t="s">
        <v>358</v>
      </c>
      <c r="D29" s="14">
        <v>4.4618417645415053E-6</v>
      </c>
      <c r="E29" s="14">
        <v>6.2946824912020211E-7</v>
      </c>
      <c r="F29" s="14">
        <v>8.9740478157869837E-6</v>
      </c>
      <c r="G29" s="14">
        <v>4.9304202063392215E-6</v>
      </c>
      <c r="H29" s="14">
        <v>0</v>
      </c>
      <c r="I29" s="14">
        <v>2.2630577896578215E-6</v>
      </c>
      <c r="J29" s="14">
        <v>1.874116417455427E-5</v>
      </c>
      <c r="K29" s="14">
        <v>0</v>
      </c>
    </row>
    <row r="30" spans="1:13">
      <c r="A30" s="2" t="s">
        <v>359</v>
      </c>
      <c r="B30" s="3" t="s">
        <v>360</v>
      </c>
      <c r="D30" s="14">
        <v>2.4402890117386572E-8</v>
      </c>
      <c r="E30" s="14">
        <v>4.6248848998540402E-7</v>
      </c>
      <c r="F30" s="14">
        <v>8.5490031922644364E-6</v>
      </c>
      <c r="G30" s="14">
        <v>7.2579009102021551E-6</v>
      </c>
      <c r="H30" s="14">
        <v>0</v>
      </c>
      <c r="I30" s="14">
        <v>3.3487409997032588E-6</v>
      </c>
      <c r="J30" s="14">
        <v>2.0357463517727362E-5</v>
      </c>
      <c r="K30" s="14">
        <v>0</v>
      </c>
    </row>
    <row r="31" spans="1:13">
      <c r="A31" s="2" t="s">
        <v>283</v>
      </c>
      <c r="B31" s="3" t="s">
        <v>284</v>
      </c>
      <c r="D31" s="14">
        <v>1.0455962372137207E-12</v>
      </c>
      <c r="E31" s="14">
        <v>3.9052035567631215E-5</v>
      </c>
      <c r="F31" s="14">
        <v>2.3946289386649543E-9</v>
      </c>
      <c r="G31" s="14">
        <v>9.6102300056058504E-10</v>
      </c>
      <c r="H31" s="14">
        <v>0</v>
      </c>
      <c r="I31" s="14">
        <v>1.2542278949720426E-8</v>
      </c>
      <c r="J31" s="14">
        <v>9.320654558836003E-7</v>
      </c>
      <c r="K31" s="14">
        <v>0</v>
      </c>
    </row>
    <row r="32" spans="1:13">
      <c r="A32" s="2" t="s">
        <v>361</v>
      </c>
      <c r="B32" s="3" t="s">
        <v>362</v>
      </c>
      <c r="D32" s="14">
        <v>1.088228994479338E-12</v>
      </c>
      <c r="E32" s="14">
        <v>2.2229317402409308E-5</v>
      </c>
      <c r="F32" s="14">
        <v>9.958010913220992E-7</v>
      </c>
      <c r="G32" s="14">
        <v>2.4552247838376657E-7</v>
      </c>
      <c r="H32" s="14">
        <v>0</v>
      </c>
      <c r="I32" s="14">
        <v>1.1575625922640284E-7</v>
      </c>
      <c r="J32" s="14">
        <v>1.6413601680429431E-5</v>
      </c>
      <c r="K32" s="14">
        <v>0</v>
      </c>
    </row>
    <row r="33" spans="1:11">
      <c r="A33" s="2" t="s">
        <v>364</v>
      </c>
      <c r="B33" s="3" t="s">
        <v>365</v>
      </c>
      <c r="D33" s="14">
        <v>4.8284984325100108E-15</v>
      </c>
      <c r="E33" s="14">
        <v>3.9968321705624543E-5</v>
      </c>
      <c r="F33" s="14">
        <v>1.6808558219220815E-8</v>
      </c>
      <c r="G33" s="14">
        <v>5.1399368754393212E-12</v>
      </c>
      <c r="H33" s="14">
        <v>0</v>
      </c>
      <c r="I33" s="14">
        <v>1.2579674458974581E-8</v>
      </c>
      <c r="J33" s="14">
        <v>2.2849169318898659E-9</v>
      </c>
      <c r="K33" s="14">
        <v>0</v>
      </c>
    </row>
    <row r="34" spans="1:11">
      <c r="A34" s="2" t="s">
        <v>285</v>
      </c>
      <c r="B34" s="3" t="s">
        <v>286</v>
      </c>
      <c r="D34" s="14">
        <v>2.4111574662244686E-14</v>
      </c>
      <c r="E34" s="14">
        <v>3.6918068543051817E-5</v>
      </c>
      <c r="F34" s="14">
        <v>3.0374806653951872E-6</v>
      </c>
      <c r="G34" s="14">
        <v>2.4945259681703263E-10</v>
      </c>
      <c r="H34" s="14">
        <v>0</v>
      </c>
      <c r="I34" s="14">
        <v>3.1124539586074581E-8</v>
      </c>
      <c r="J34" s="14">
        <v>1.3076775258533363E-8</v>
      </c>
      <c r="K34" s="14">
        <v>0</v>
      </c>
    </row>
    <row r="35" spans="1:11">
      <c r="A35" s="2" t="s">
        <v>287</v>
      </c>
      <c r="B35" s="3" t="s">
        <v>288</v>
      </c>
      <c r="D35" s="14">
        <v>1.0617731083542765E-15</v>
      </c>
      <c r="E35" s="14">
        <v>3.3041179271692676E-5</v>
      </c>
      <c r="F35" s="14">
        <v>6.8572516822538171E-6</v>
      </c>
      <c r="G35" s="14">
        <v>1.3279368184356461E-9</v>
      </c>
      <c r="H35" s="14">
        <v>0</v>
      </c>
      <c r="I35" s="14">
        <v>5.2390215631886738E-8</v>
      </c>
      <c r="J35" s="14">
        <v>4.7850892541419345E-8</v>
      </c>
      <c r="K35" s="14">
        <v>0</v>
      </c>
    </row>
    <row r="36" spans="1:11">
      <c r="A36" s="2" t="s">
        <v>366</v>
      </c>
      <c r="B36" s="3" t="s">
        <v>305</v>
      </c>
      <c r="D36" s="14">
        <v>3.7099632955268229E-12</v>
      </c>
      <c r="E36" s="14">
        <v>2.1844207370486671E-5</v>
      </c>
      <c r="F36" s="14">
        <v>1.7936216650330253E-5</v>
      </c>
      <c r="G36" s="14">
        <v>5.135380463670478E-9</v>
      </c>
      <c r="H36" s="14">
        <v>0</v>
      </c>
      <c r="I36" s="14">
        <v>1.0844191903130039E-7</v>
      </c>
      <c r="J36" s="14">
        <v>1.059949697248152E-7</v>
      </c>
      <c r="K36" s="14">
        <v>0</v>
      </c>
    </row>
    <row r="37" spans="1:11">
      <c r="A37" s="2" t="s">
        <v>289</v>
      </c>
      <c r="B37" s="3" t="s">
        <v>290</v>
      </c>
      <c r="D37" s="14">
        <v>4.7486007680375451E-19</v>
      </c>
      <c r="E37" s="14">
        <v>2.3656556570286812E-5</v>
      </c>
      <c r="F37" s="14">
        <v>7.8956171139721804E-6</v>
      </c>
      <c r="G37" s="14">
        <v>2.6956008255262729E-7</v>
      </c>
      <c r="H37" s="14">
        <v>0</v>
      </c>
      <c r="I37" s="14">
        <v>1.6576312025694431E-7</v>
      </c>
      <c r="J37" s="14">
        <v>8.012503112930969E-6</v>
      </c>
      <c r="K37" s="14">
        <v>0</v>
      </c>
    </row>
    <row r="38" spans="1:11">
      <c r="A38" s="2" t="s">
        <v>291</v>
      </c>
      <c r="B38" s="3" t="s">
        <v>292</v>
      </c>
      <c r="D38" s="14">
        <v>7.3643065906706878E-17</v>
      </c>
      <c r="E38" s="14">
        <v>3.751135205409146E-5</v>
      </c>
      <c r="F38" s="14">
        <v>2.3441061185969351E-6</v>
      </c>
      <c r="G38" s="14">
        <v>1.95836805445348E-9</v>
      </c>
      <c r="H38" s="14">
        <v>0</v>
      </c>
      <c r="I38" s="14">
        <v>2.7819123600705038E-8</v>
      </c>
      <c r="J38" s="14">
        <v>1.1476433558281088E-7</v>
      </c>
      <c r="K38" s="14">
        <v>0</v>
      </c>
    </row>
    <row r="39" spans="1:11">
      <c r="A39" s="2" t="s">
        <v>367</v>
      </c>
      <c r="B39" s="3" t="s">
        <v>368</v>
      </c>
      <c r="D39" s="14">
        <v>2.7091936962279797E-9</v>
      </c>
      <c r="E39" s="14">
        <v>1.9365990787428704E-6</v>
      </c>
      <c r="F39" s="14">
        <v>1.3932025840812776E-5</v>
      </c>
      <c r="G39" s="14">
        <v>2.4333793972323602E-6</v>
      </c>
      <c r="H39" s="14">
        <v>0</v>
      </c>
      <c r="I39" s="14">
        <v>1.1021519318107785E-6</v>
      </c>
      <c r="J39" s="14">
        <v>2.0593134557704992E-5</v>
      </c>
      <c r="K39" s="14">
        <v>0</v>
      </c>
    </row>
    <row r="40" spans="1:11">
      <c r="A40" s="2" t="s">
        <v>369</v>
      </c>
      <c r="B40" s="3" t="s">
        <v>370</v>
      </c>
      <c r="D40" s="14">
        <v>2.6466868738793887E-16</v>
      </c>
      <c r="E40" s="14">
        <v>2.8957269243986245E-7</v>
      </c>
      <c r="F40" s="14">
        <v>2.6327653563382823E-5</v>
      </c>
      <c r="G40" s="14">
        <v>1.9047260940716255E-6</v>
      </c>
      <c r="H40" s="14">
        <v>0</v>
      </c>
      <c r="I40" s="14">
        <v>1.0649828701851628E-5</v>
      </c>
      <c r="J40" s="14">
        <v>8.2821894798939407E-7</v>
      </c>
      <c r="K40" s="14">
        <v>0</v>
      </c>
    </row>
    <row r="41" spans="1:11">
      <c r="A41" s="2" t="s">
        <v>371</v>
      </c>
      <c r="B41" s="3" t="s">
        <v>372</v>
      </c>
      <c r="D41" s="14">
        <v>3.2609728257116006E-6</v>
      </c>
      <c r="E41" s="14">
        <v>3.6544905590195729E-5</v>
      </c>
      <c r="F41" s="14">
        <v>1.1148627235107602E-10</v>
      </c>
      <c r="G41" s="14">
        <v>5.5810633224522715E-11</v>
      </c>
      <c r="H41" s="14">
        <v>0</v>
      </c>
      <c r="I41" s="14">
        <v>1.1384217815573944E-8</v>
      </c>
      <c r="J41" s="14">
        <v>1.8257006937151999E-7</v>
      </c>
      <c r="K41" s="14">
        <v>0</v>
      </c>
    </row>
    <row r="42" spans="1:11">
      <c r="A42" s="2" t="s">
        <v>293</v>
      </c>
      <c r="B42" s="3" t="s">
        <v>294</v>
      </c>
      <c r="D42" s="14">
        <v>8.3049854662111009E-13</v>
      </c>
      <c r="E42" s="14">
        <v>2.4948161184801575E-5</v>
      </c>
      <c r="F42" s="14">
        <v>6.6621298268573093E-7</v>
      </c>
      <c r="G42" s="14">
        <v>1.7088685103808742E-7</v>
      </c>
      <c r="H42" s="14">
        <v>0</v>
      </c>
      <c r="I42" s="14">
        <v>8.2163844337901663E-8</v>
      </c>
      <c r="J42" s="14">
        <v>1.4132574306638163E-5</v>
      </c>
      <c r="K42" s="14">
        <v>0</v>
      </c>
    </row>
    <row r="43" spans="1:11">
      <c r="A43" s="2" t="s">
        <v>373</v>
      </c>
      <c r="B43" s="3" t="s">
        <v>374</v>
      </c>
      <c r="D43" s="14">
        <v>1.5768855690527272E-11</v>
      </c>
      <c r="E43" s="14">
        <v>3.2344877547485141E-6</v>
      </c>
      <c r="F43" s="14">
        <v>3.6185956909804386E-5</v>
      </c>
      <c r="G43" s="14">
        <v>3.0553571470393966E-8</v>
      </c>
      <c r="H43" s="14">
        <v>0</v>
      </c>
      <c r="I43" s="14">
        <v>3.9475395131389151E-7</v>
      </c>
      <c r="J43" s="14">
        <v>1.5423204380713036E-7</v>
      </c>
      <c r="K43" s="14">
        <v>0</v>
      </c>
    </row>
    <row r="44" spans="1:11">
      <c r="A44" s="2" t="s">
        <v>375</v>
      </c>
      <c r="B44" s="3" t="s">
        <v>376</v>
      </c>
      <c r="D44" s="14">
        <v>3.4748239143361669E-6</v>
      </c>
      <c r="E44" s="14">
        <v>3.1208469167162338E-5</v>
      </c>
      <c r="F44" s="14">
        <v>7.9434106830548253E-8</v>
      </c>
      <c r="G44" s="14">
        <v>2.4227163600110195E-8</v>
      </c>
      <c r="H44" s="14">
        <v>0</v>
      </c>
      <c r="I44" s="14">
        <v>2.0082955269485194E-8</v>
      </c>
      <c r="J44" s="14">
        <v>5.1929626928013532E-6</v>
      </c>
      <c r="K44" s="14">
        <v>0</v>
      </c>
    </row>
    <row r="45" spans="1:11">
      <c r="A45" s="2" t="s">
        <v>377</v>
      </c>
      <c r="B45" s="3" t="s">
        <v>378</v>
      </c>
      <c r="D45" s="14">
        <v>3.2423777340518949E-8</v>
      </c>
      <c r="E45" s="14">
        <v>2.3882691726243524E-5</v>
      </c>
      <c r="F45" s="14">
        <v>7.7900065576338688E-7</v>
      </c>
      <c r="G45" s="14">
        <v>1.9689440651384722E-7</v>
      </c>
      <c r="H45" s="14">
        <v>0</v>
      </c>
      <c r="I45" s="14">
        <v>9.3274695063877969E-8</v>
      </c>
      <c r="J45" s="14">
        <v>1.5015714739074843E-5</v>
      </c>
      <c r="K45" s="14">
        <v>0</v>
      </c>
    </row>
    <row r="46" spans="1:11">
      <c r="A46" s="2" t="s">
        <v>379</v>
      </c>
      <c r="B46" s="3" t="s">
        <v>380</v>
      </c>
      <c r="D46" s="14">
        <v>9.5864304343082538E-8</v>
      </c>
      <c r="E46" s="14">
        <v>2.4500592641506124E-5</v>
      </c>
      <c r="F46" s="14">
        <v>7.0523058679477242E-7</v>
      </c>
      <c r="G46" s="14">
        <v>1.7989814920504963E-7</v>
      </c>
      <c r="H46" s="14">
        <v>0</v>
      </c>
      <c r="I46" s="14">
        <v>8.5988767021629388E-8</v>
      </c>
      <c r="J46" s="14">
        <v>1.4432425551129345E-5</v>
      </c>
      <c r="K46" s="14">
        <v>0</v>
      </c>
    </row>
    <row r="47" spans="1:11">
      <c r="A47" s="2" t="s">
        <v>381</v>
      </c>
      <c r="B47" s="3" t="s">
        <v>382</v>
      </c>
      <c r="D47" s="14">
        <v>8.2824433569479531E-12</v>
      </c>
      <c r="E47" s="14">
        <v>1.2912732044429066E-7</v>
      </c>
      <c r="F47" s="14">
        <v>4.7712556731521584E-6</v>
      </c>
      <c r="G47" s="14">
        <v>1.2927907758371111E-5</v>
      </c>
      <c r="H47" s="14">
        <v>0</v>
      </c>
      <c r="I47" s="14">
        <v>6.0488857972479942E-6</v>
      </c>
      <c r="J47" s="14">
        <v>1.6122815168341092E-5</v>
      </c>
      <c r="K47" s="14">
        <v>0</v>
      </c>
    </row>
    <row r="48" spans="1:11">
      <c r="A48" s="2" t="s">
        <v>383</v>
      </c>
      <c r="B48" s="3" t="s">
        <v>384</v>
      </c>
      <c r="D48" s="14">
        <v>4.7279714555303265E-7</v>
      </c>
      <c r="E48" s="14">
        <v>3.640277659398276E-5</v>
      </c>
      <c r="F48" s="14">
        <v>2.5243470431480764E-8</v>
      </c>
      <c r="G48" s="14">
        <v>8.4731445638794998E-9</v>
      </c>
      <c r="H48" s="14">
        <v>0</v>
      </c>
      <c r="I48" s="14">
        <v>1.4915636343846211E-8</v>
      </c>
      <c r="J48" s="14">
        <v>3.0757940091250068E-6</v>
      </c>
      <c r="K48" s="14">
        <v>0</v>
      </c>
    </row>
    <row r="49" spans="1:11">
      <c r="A49" s="2" t="s">
        <v>385</v>
      </c>
      <c r="B49" s="3" t="s">
        <v>386</v>
      </c>
      <c r="D49" s="14">
        <v>8.880314439521701E-7</v>
      </c>
      <c r="E49" s="14">
        <v>3.494523845581925E-5</v>
      </c>
      <c r="F49" s="14">
        <v>4.5279597608554024E-8</v>
      </c>
      <c r="G49" s="14">
        <v>1.4514367465435257E-8</v>
      </c>
      <c r="H49" s="14">
        <v>0</v>
      </c>
      <c r="I49" s="14">
        <v>1.7054450007471694E-8</v>
      </c>
      <c r="J49" s="14">
        <v>4.0898816851471228E-6</v>
      </c>
      <c r="K49" s="14">
        <v>0</v>
      </c>
    </row>
    <row r="50" spans="1:11">
      <c r="A50" s="2" t="s">
        <v>387</v>
      </c>
      <c r="B50" s="3" t="s">
        <v>388</v>
      </c>
      <c r="D50" s="14">
        <v>6.6376550603517804E-7</v>
      </c>
      <c r="E50" s="14">
        <v>7.6161299248078242E-6</v>
      </c>
      <c r="F50" s="14">
        <v>5.65833810571164E-6</v>
      </c>
      <c r="G50" s="14">
        <v>1.1360160045594721E-6</v>
      </c>
      <c r="H50" s="14">
        <v>0</v>
      </c>
      <c r="I50" s="14">
        <v>5.0848186981129564E-7</v>
      </c>
      <c r="J50" s="14">
        <v>2.4417268589074593E-5</v>
      </c>
      <c r="K50" s="14">
        <v>0</v>
      </c>
    </row>
    <row r="51" spans="1:11">
      <c r="A51" s="2" t="s">
        <v>295</v>
      </c>
      <c r="B51" s="3" t="s">
        <v>296</v>
      </c>
      <c r="D51" s="14">
        <v>2.616334982832953E-6</v>
      </c>
      <c r="E51" s="14">
        <v>3.6185369581120502E-5</v>
      </c>
      <c r="F51" s="14">
        <v>4.0435941825503398E-9</v>
      </c>
      <c r="G51" s="14">
        <v>1.5526126433902395E-9</v>
      </c>
      <c r="H51" s="14">
        <v>0</v>
      </c>
      <c r="I51" s="14">
        <v>1.1900848305920699E-8</v>
      </c>
      <c r="J51" s="14">
        <v>1.1807983809146889E-6</v>
      </c>
      <c r="K51" s="14">
        <v>0</v>
      </c>
    </row>
    <row r="52" spans="1:11">
      <c r="A52" s="2" t="s">
        <v>389</v>
      </c>
      <c r="B52" s="3" t="s">
        <v>390</v>
      </c>
      <c r="D52" s="14">
        <v>2.860765882946652E-6</v>
      </c>
      <c r="E52" s="14">
        <v>3.0087214505125795E-5</v>
      </c>
      <c r="F52" s="14">
        <v>1.3955857705314662E-7</v>
      </c>
      <c r="G52" s="14">
        <v>4.0724155594187307E-8</v>
      </c>
      <c r="H52" s="14">
        <v>0</v>
      </c>
      <c r="I52" s="14">
        <v>2.6874533621753389E-8</v>
      </c>
      <c r="J52" s="14">
        <v>6.8448623456584669E-6</v>
      </c>
      <c r="K52" s="14">
        <v>0</v>
      </c>
    </row>
    <row r="53" spans="1:11">
      <c r="A53" s="2" t="s">
        <v>391</v>
      </c>
      <c r="B53" s="3" t="s">
        <v>392</v>
      </c>
      <c r="D53" s="14">
        <v>1.0578430523397625E-7</v>
      </c>
      <c r="E53" s="14">
        <v>2.0424004738864384E-5</v>
      </c>
      <c r="F53" s="14">
        <v>1.2447881718827031E-6</v>
      </c>
      <c r="G53" s="14">
        <v>3.0046300632205143E-7</v>
      </c>
      <c r="H53" s="14">
        <v>0</v>
      </c>
      <c r="I53" s="14">
        <v>1.3792153250005506E-7</v>
      </c>
      <c r="J53" s="14">
        <v>1.7787038245196836E-5</v>
      </c>
      <c r="K53" s="14">
        <v>0</v>
      </c>
    </row>
    <row r="54" spans="1:11">
      <c r="A54" s="2" t="s">
        <v>393</v>
      </c>
      <c r="B54" s="3" t="s">
        <v>394</v>
      </c>
      <c r="D54" s="14">
        <v>3.7114146346618684E-8</v>
      </c>
      <c r="E54" s="14">
        <v>1.7517782925435306E-7</v>
      </c>
      <c r="F54" s="14">
        <v>5.5387745855538755E-6</v>
      </c>
      <c r="G54" s="14">
        <v>1.1558706764748028E-5</v>
      </c>
      <c r="H54" s="14">
        <v>0</v>
      </c>
      <c r="I54" s="14">
        <v>5.3911916995645667E-6</v>
      </c>
      <c r="J54" s="14">
        <v>1.7299034974532569E-5</v>
      </c>
      <c r="K54" s="14">
        <v>0</v>
      </c>
    </row>
    <row r="55" spans="1:11">
      <c r="A55" s="2" t="s">
        <v>395</v>
      </c>
      <c r="B55" s="3" t="s">
        <v>396</v>
      </c>
      <c r="D55" s="14">
        <v>9.1137234898498854E-6</v>
      </c>
      <c r="E55" s="14">
        <v>9.3703435178861185E-6</v>
      </c>
      <c r="F55" s="14">
        <v>2.6252463471009307E-6</v>
      </c>
      <c r="G55" s="14">
        <v>5.663248494709587E-7</v>
      </c>
      <c r="H55" s="14">
        <v>0</v>
      </c>
      <c r="I55" s="14">
        <v>2.5352561878313274E-7</v>
      </c>
      <c r="J55" s="14">
        <v>1.8070836176908979E-5</v>
      </c>
      <c r="K55" s="14">
        <v>0</v>
      </c>
    </row>
    <row r="56" spans="1:11">
      <c r="A56" s="2" t="s">
        <v>397</v>
      </c>
      <c r="B56" s="3" t="s">
        <v>398</v>
      </c>
      <c r="D56" s="14">
        <v>3.3126629475416603E-5</v>
      </c>
      <c r="E56" s="14">
        <v>8.8735400666581257E-7</v>
      </c>
      <c r="F56" s="14">
        <v>1.3958908645176442E-6</v>
      </c>
      <c r="G56" s="14">
        <v>2.6518381877531814E-7</v>
      </c>
      <c r="H56" s="14">
        <v>0</v>
      </c>
      <c r="I56" s="14">
        <v>1.1903497523864297E-7</v>
      </c>
      <c r="J56" s="14">
        <v>4.2059068593859889E-6</v>
      </c>
      <c r="K56" s="14">
        <v>0</v>
      </c>
    </row>
    <row r="57" spans="1:11">
      <c r="A57" s="2" t="s">
        <v>399</v>
      </c>
      <c r="B57" s="3" t="s">
        <v>400</v>
      </c>
      <c r="D57" s="14">
        <v>3.4948589671658858E-5</v>
      </c>
      <c r="E57" s="14">
        <v>1.3326291820419065E-6</v>
      </c>
      <c r="F57" s="14">
        <v>5.1677782486724643E-7</v>
      </c>
      <c r="G57" s="14">
        <v>1.0884272969220802E-7</v>
      </c>
      <c r="H57" s="14">
        <v>0</v>
      </c>
      <c r="I57" s="14">
        <v>4.868809145823984E-8</v>
      </c>
      <c r="J57" s="14">
        <v>3.0444725002815444E-6</v>
      </c>
      <c r="K57" s="14">
        <v>0</v>
      </c>
    </row>
    <row r="58" spans="1:11">
      <c r="A58" s="2" t="s">
        <v>297</v>
      </c>
      <c r="B58" s="3" t="s">
        <v>298</v>
      </c>
      <c r="D58" s="14">
        <v>3.7299406524181386E-5</v>
      </c>
      <c r="E58" s="14">
        <v>2.3771773644970012E-6</v>
      </c>
      <c r="F58" s="14">
        <v>3.9552700126887617E-9</v>
      </c>
      <c r="G58" s="14">
        <v>1.2447200694054802E-9</v>
      </c>
      <c r="H58" s="14">
        <v>0</v>
      </c>
      <c r="I58" s="14">
        <v>1.2708164355456082E-9</v>
      </c>
      <c r="J58" s="14">
        <v>3.169453048039771E-7</v>
      </c>
      <c r="K58" s="14">
        <v>0</v>
      </c>
    </row>
    <row r="59" spans="1:11">
      <c r="A59" s="2" t="s">
        <v>401</v>
      </c>
      <c r="B59" s="3" t="s">
        <v>402</v>
      </c>
      <c r="D59" s="14">
        <v>3.8149619342650425E-5</v>
      </c>
      <c r="E59" s="14">
        <v>5.0460305255764262E-7</v>
      </c>
      <c r="F59" s="14">
        <v>1.8153669468874901E-7</v>
      </c>
      <c r="G59" s="14">
        <v>3.8446780585142585E-8</v>
      </c>
      <c r="H59" s="14">
        <v>0</v>
      </c>
      <c r="I59" s="14">
        <v>1.7199910033514989E-8</v>
      </c>
      <c r="J59" s="14">
        <v>1.1085942194845269E-6</v>
      </c>
      <c r="K59" s="14">
        <v>0</v>
      </c>
    </row>
    <row r="60" spans="1:11">
      <c r="A60" s="2" t="s">
        <v>299</v>
      </c>
      <c r="B60" s="3" t="s">
        <v>300</v>
      </c>
      <c r="D60" s="14">
        <v>3.9952545969566431E-5</v>
      </c>
      <c r="E60" s="14">
        <v>1.7988051586722171E-8</v>
      </c>
      <c r="F60" s="14">
        <v>2.8354283332497017E-9</v>
      </c>
      <c r="G60" s="14">
        <v>6.3813744644845738E-10</v>
      </c>
      <c r="H60" s="14">
        <v>0</v>
      </c>
      <c r="I60" s="14">
        <v>2.868654254511533E-10</v>
      </c>
      <c r="J60" s="14">
        <v>2.570554764169301E-8</v>
      </c>
      <c r="K60" s="14">
        <v>0</v>
      </c>
    </row>
    <row r="61" spans="1:11">
      <c r="A61" s="2" t="s">
        <v>403</v>
      </c>
      <c r="B61" s="3" t="s">
        <v>404</v>
      </c>
      <c r="D61" s="14">
        <v>2.7054025112782315E-48</v>
      </c>
      <c r="E61" s="14">
        <v>1.7241361321966412E-5</v>
      </c>
      <c r="F61" s="14">
        <v>1.8676956346504179E-6</v>
      </c>
      <c r="G61" s="14">
        <v>4.3211730523442669E-7</v>
      </c>
      <c r="H61" s="14">
        <v>0</v>
      </c>
      <c r="I61" s="14">
        <v>1.9533372148049674E-7</v>
      </c>
      <c r="J61" s="14">
        <v>2.0263492016668255E-5</v>
      </c>
      <c r="K61" s="14">
        <v>0</v>
      </c>
    </row>
    <row r="62" spans="1:11">
      <c r="A62" s="2" t="s">
        <v>405</v>
      </c>
      <c r="B62" s="3" t="s">
        <v>406</v>
      </c>
      <c r="D62" s="14">
        <v>1.9273363297924185E-11</v>
      </c>
      <c r="E62" s="14">
        <v>6.9880688033677867E-7</v>
      </c>
      <c r="F62" s="14">
        <v>1.0049205392233469E-5</v>
      </c>
      <c r="G62" s="14">
        <v>5.6017958576195055E-6</v>
      </c>
      <c r="H62" s="14">
        <v>0</v>
      </c>
      <c r="I62" s="14">
        <v>2.5716625739305626E-6</v>
      </c>
      <c r="J62" s="14">
        <v>2.1078510022516394E-5</v>
      </c>
      <c r="K62" s="14">
        <v>0</v>
      </c>
    </row>
    <row r="63" spans="1:11">
      <c r="A63" s="2" t="s">
        <v>407</v>
      </c>
      <c r="B63" s="3" t="s">
        <v>408</v>
      </c>
      <c r="D63" s="14">
        <v>5.3709060866130624E-9</v>
      </c>
      <c r="E63" s="14">
        <v>7.4309993455388639E-8</v>
      </c>
      <c r="F63" s="14">
        <v>3.5910526573481E-6</v>
      </c>
      <c r="G63" s="14">
        <v>1.5255179734723533E-5</v>
      </c>
      <c r="H63" s="14">
        <v>0</v>
      </c>
      <c r="I63" s="14">
        <v>7.1768018549029386E-6</v>
      </c>
      <c r="J63" s="14">
        <v>1.3897284853483433E-5</v>
      </c>
      <c r="K63" s="14">
        <v>0</v>
      </c>
    </row>
    <row r="64" spans="1:11">
      <c r="A64" s="2" t="s">
        <v>409</v>
      </c>
      <c r="B64" s="3" t="s">
        <v>410</v>
      </c>
      <c r="D64" s="14">
        <v>7.2428969624179432E-10</v>
      </c>
      <c r="E64" s="14">
        <v>2.8044775736315979E-8</v>
      </c>
      <c r="F64" s="14">
        <v>2.1075919051062735E-6</v>
      </c>
      <c r="G64" s="14">
        <v>1.876212725355736E-5</v>
      </c>
      <c r="H64" s="14">
        <v>0</v>
      </c>
      <c r="I64" s="14">
        <v>8.9063362373216928E-6</v>
      </c>
      <c r="J64" s="14">
        <v>1.019517553858213E-5</v>
      </c>
      <c r="K64" s="14">
        <v>0</v>
      </c>
    </row>
    <row r="65" spans="1:11">
      <c r="A65" s="2" t="s">
        <v>301</v>
      </c>
      <c r="B65" s="3" t="s">
        <v>302</v>
      </c>
      <c r="D65" s="14">
        <v>9.6862717763301939E-11</v>
      </c>
      <c r="E65" s="14">
        <v>8.5234676029233173E-9</v>
      </c>
      <c r="F65" s="14">
        <v>1.0583537797525064E-6</v>
      </c>
      <c r="G65" s="14">
        <v>2.1853772641662797E-5</v>
      </c>
      <c r="H65" s="14">
        <v>0</v>
      </c>
      <c r="I65" s="14">
        <v>1.0480846991410327E-5</v>
      </c>
      <c r="J65" s="14">
        <v>6.5984062568536847E-6</v>
      </c>
      <c r="K65" s="14">
        <v>0</v>
      </c>
    </row>
    <row r="66" spans="1:11">
      <c r="A66" s="2" t="s">
        <v>303</v>
      </c>
      <c r="B66" s="3" t="s">
        <v>304</v>
      </c>
      <c r="D66" s="14">
        <v>8.9650061209057208E-17</v>
      </c>
      <c r="E66" s="14">
        <v>1.6942997818339184E-8</v>
      </c>
      <c r="F66" s="14">
        <v>1.5809742822356436E-6</v>
      </c>
      <c r="G66" s="14">
        <v>2.0226482388832563E-5</v>
      </c>
      <c r="H66" s="14">
        <v>0</v>
      </c>
      <c r="I66" s="14">
        <v>9.6439511077657458E-6</v>
      </c>
      <c r="J66" s="14">
        <v>8.5316492232580648E-6</v>
      </c>
      <c r="K66" s="14">
        <v>0</v>
      </c>
    </row>
    <row r="67" spans="1:11">
      <c r="A67" s="2" t="s">
        <v>411</v>
      </c>
      <c r="B67" s="3" t="s">
        <v>412</v>
      </c>
      <c r="D67" s="14">
        <v>1.9132725624646367E-7</v>
      </c>
      <c r="E67" s="14">
        <v>3.3468520000285153E-5</v>
      </c>
      <c r="F67" s="14">
        <v>1.0405215000990866E-7</v>
      </c>
      <c r="G67" s="14">
        <v>3.127134880444885E-8</v>
      </c>
      <c r="H67" s="14">
        <v>0</v>
      </c>
      <c r="I67" s="14">
        <v>2.3822118309835839E-8</v>
      </c>
      <c r="J67" s="14">
        <v>6.181007126344194E-6</v>
      </c>
      <c r="K67" s="14">
        <v>0</v>
      </c>
    </row>
    <row r="68" spans="1:11">
      <c r="A68" s="2" t="s">
        <v>413</v>
      </c>
      <c r="B68" s="3" t="s">
        <v>414</v>
      </c>
      <c r="D68" s="14">
        <v>4.1985597479219165E-7</v>
      </c>
      <c r="E68" s="14">
        <v>3.1217635275965767E-5</v>
      </c>
      <c r="F68" s="14">
        <v>1.8594073901605388E-7</v>
      </c>
      <c r="G68" s="14">
        <v>5.3268455909138436E-8</v>
      </c>
      <c r="H68" s="14">
        <v>0</v>
      </c>
      <c r="I68" s="14">
        <v>3.2662137367325617E-8</v>
      </c>
      <c r="J68" s="14">
        <v>8.0906374169495285E-6</v>
      </c>
      <c r="K68" s="14">
        <v>0</v>
      </c>
    </row>
    <row r="69" spans="1:11">
      <c r="A69" s="2" t="s">
        <v>415</v>
      </c>
      <c r="B69" s="3" t="s">
        <v>416</v>
      </c>
      <c r="D69" s="14">
        <v>2.3043008752652042E-7</v>
      </c>
      <c r="E69" s="14">
        <v>2.6180555024230843E-7</v>
      </c>
      <c r="F69" s="14">
        <v>6.6667381813443887E-6</v>
      </c>
      <c r="G69" s="14">
        <v>9.680748889939186E-6</v>
      </c>
      <c r="H69" s="14">
        <v>0</v>
      </c>
      <c r="I69" s="14">
        <v>4.4955527184966218E-6</v>
      </c>
      <c r="J69" s="14">
        <v>1.8664724572450978E-5</v>
      </c>
      <c r="K69" s="14">
        <v>0</v>
      </c>
    </row>
    <row r="70" spans="1:11">
      <c r="A70" s="2" t="s">
        <v>417</v>
      </c>
      <c r="B70" s="3" t="s">
        <v>418</v>
      </c>
      <c r="D70" s="14">
        <v>4.6258386581633123E-7</v>
      </c>
      <c r="E70" s="14">
        <v>3.7312138920216548E-6</v>
      </c>
      <c r="F70" s="14">
        <v>9.9234959342436683E-6</v>
      </c>
      <c r="G70" s="14">
        <v>1.813678277488943E-6</v>
      </c>
      <c r="H70" s="14">
        <v>0</v>
      </c>
      <c r="I70" s="14">
        <v>8.1635514791153044E-7</v>
      </c>
      <c r="J70" s="14">
        <v>2.325267288251788E-5</v>
      </c>
      <c r="K70" s="14">
        <v>0</v>
      </c>
    </row>
    <row r="71" spans="1:11">
      <c r="A71" s="2" t="s">
        <v>419</v>
      </c>
      <c r="B71" s="3" t="s">
        <v>420</v>
      </c>
      <c r="D71" s="14">
        <v>1.0255736714061172E-6</v>
      </c>
      <c r="E71" s="14">
        <v>3.1081826193707161E-5</v>
      </c>
      <c r="F71" s="14">
        <v>1.6751013088741494E-7</v>
      </c>
      <c r="G71" s="14">
        <v>4.8343337907444538E-8</v>
      </c>
      <c r="H71" s="14">
        <v>0</v>
      </c>
      <c r="I71" s="14">
        <v>3.0483102482478551E-8</v>
      </c>
      <c r="J71" s="14">
        <v>7.646263563609386E-6</v>
      </c>
      <c r="K71" s="14">
        <v>0</v>
      </c>
    </row>
    <row r="72" spans="1:11">
      <c r="A72" s="2" t="s">
        <v>421</v>
      </c>
      <c r="B72" s="3" t="s">
        <v>422</v>
      </c>
      <c r="D72" s="14">
        <v>1.8042085345460977E-6</v>
      </c>
      <c r="E72" s="14">
        <v>4.0120505598400636E-6</v>
      </c>
      <c r="F72" s="14">
        <v>8.9569664553787829E-6</v>
      </c>
      <c r="G72" s="14">
        <v>1.6582748079956047E-6</v>
      </c>
      <c r="H72" s="14">
        <v>0</v>
      </c>
      <c r="I72" s="14">
        <v>7.4568864897988384E-7</v>
      </c>
      <c r="J72" s="14">
        <v>2.2822810993259574E-5</v>
      </c>
      <c r="K72" s="14">
        <v>0</v>
      </c>
    </row>
    <row r="73" spans="1:11">
      <c r="A73" s="2" t="s">
        <v>423</v>
      </c>
      <c r="B73" s="3" t="s">
        <v>424</v>
      </c>
      <c r="D73" s="14">
        <v>8.048868028924158E-7</v>
      </c>
      <c r="E73" s="14">
        <v>1.6209681110867373E-5</v>
      </c>
      <c r="F73" s="14">
        <v>1.9897981445099863E-6</v>
      </c>
      <c r="G73" s="14">
        <v>4.5614674161285195E-7</v>
      </c>
      <c r="H73" s="14">
        <v>0</v>
      </c>
      <c r="I73" s="14">
        <v>2.0574994476258356E-7</v>
      </c>
      <c r="J73" s="14">
        <v>2.0333737255354792E-5</v>
      </c>
      <c r="K73" s="14">
        <v>0</v>
      </c>
    </row>
    <row r="74" spans="1:11">
      <c r="A74" s="2" t="s">
        <v>425</v>
      </c>
      <c r="B74" s="3" t="s">
        <v>426</v>
      </c>
      <c r="D74" s="14">
        <v>7.0120549928129688E-7</v>
      </c>
      <c r="E74" s="14">
        <v>3.8249430910585818E-6</v>
      </c>
      <c r="F74" s="14">
        <v>9.6765273472157493E-6</v>
      </c>
      <c r="G74" s="14">
        <v>1.7750683632197227E-6</v>
      </c>
      <c r="H74" s="14">
        <v>0</v>
      </c>
      <c r="I74" s="14">
        <v>7.9875347197458348E-7</v>
      </c>
      <c r="J74" s="14">
        <v>2.3223502227250071E-5</v>
      </c>
      <c r="K74" s="14">
        <v>0</v>
      </c>
    </row>
    <row r="75" spans="1:11">
      <c r="A75" s="2" t="s">
        <v>427</v>
      </c>
      <c r="B75" s="3" t="s">
        <v>428</v>
      </c>
      <c r="D75" s="14">
        <v>2.0481980822011043E-13</v>
      </c>
      <c r="E75" s="14">
        <v>1.6126184971145852E-6</v>
      </c>
      <c r="F75" s="14">
        <v>3.7012309689377696E-5</v>
      </c>
      <c r="G75" s="14">
        <v>1.4282242291939925E-8</v>
      </c>
      <c r="H75" s="14">
        <v>0</v>
      </c>
      <c r="I75" s="14">
        <v>1.3296930442359052E-6</v>
      </c>
      <c r="J75" s="14">
        <v>3.1096322160071339E-8</v>
      </c>
      <c r="K75" s="14">
        <v>0</v>
      </c>
    </row>
    <row r="76" spans="1:11">
      <c r="A76" s="2" t="s">
        <v>429</v>
      </c>
      <c r="B76" s="3" t="s">
        <v>430</v>
      </c>
      <c r="D76" s="14">
        <v>5.1448409974072974E-15</v>
      </c>
      <c r="E76" s="14">
        <v>1.612618505164574E-6</v>
      </c>
      <c r="F76" s="14">
        <v>3.7012309874138492E-5</v>
      </c>
      <c r="G76" s="14">
        <v>1.4282242363235084E-8</v>
      </c>
      <c r="H76" s="14">
        <v>0</v>
      </c>
      <c r="I76" s="14">
        <v>1.3296930508735656E-6</v>
      </c>
      <c r="J76" s="14">
        <v>3.1096322315300272E-8</v>
      </c>
      <c r="K76" s="14">
        <v>0</v>
      </c>
    </row>
    <row r="77" spans="1:11">
      <c r="A77" s="2" t="s">
        <v>431</v>
      </c>
      <c r="B77" s="3" t="s">
        <v>432</v>
      </c>
      <c r="D77" s="14">
        <v>2.088105676631717E-6</v>
      </c>
      <c r="E77" s="14">
        <v>8.9213820603764472E-6</v>
      </c>
      <c r="F77" s="14">
        <v>4.4424923530934522E-6</v>
      </c>
      <c r="G77" s="14">
        <v>9.1859112318693431E-7</v>
      </c>
      <c r="H77" s="14">
        <v>0</v>
      </c>
      <c r="I77" s="14">
        <v>4.1089053160561899E-7</v>
      </c>
      <c r="J77" s="14">
        <v>2.3218538255105834E-5</v>
      </c>
      <c r="K77" s="14">
        <v>0</v>
      </c>
    </row>
    <row r="78" spans="1:11">
      <c r="A78" s="2" t="s">
        <v>433</v>
      </c>
      <c r="B78" s="3" t="s">
        <v>434</v>
      </c>
      <c r="D78" s="14">
        <v>1.5514108057164546E-6</v>
      </c>
      <c r="E78" s="14">
        <v>2.4471831660951603E-5</v>
      </c>
      <c r="F78" s="14">
        <v>5.9129067082688435E-7</v>
      </c>
      <c r="G78" s="14">
        <v>1.5279058097822209E-7</v>
      </c>
      <c r="H78" s="14">
        <v>0</v>
      </c>
      <c r="I78" s="14">
        <v>7.4090596073942511E-8</v>
      </c>
      <c r="J78" s="14">
        <v>1.3158585685452888E-5</v>
      </c>
      <c r="K78" s="14">
        <v>0</v>
      </c>
    </row>
    <row r="79" spans="1:11">
      <c r="A79" s="2" t="s">
        <v>435</v>
      </c>
      <c r="B79" s="3" t="s">
        <v>436</v>
      </c>
      <c r="D79" s="14">
        <v>4.2179074194313906E-7</v>
      </c>
      <c r="E79" s="14">
        <v>1.9984657400976714E-5</v>
      </c>
      <c r="F79" s="14">
        <v>1.280475454563294E-6</v>
      </c>
      <c r="G79" s="14">
        <v>3.0794050189010167E-7</v>
      </c>
      <c r="H79" s="14">
        <v>0</v>
      </c>
      <c r="I79" s="14">
        <v>1.4110571888379309E-7</v>
      </c>
      <c r="J79" s="14">
        <v>1.7864030181742959E-5</v>
      </c>
      <c r="K79" s="14">
        <v>0</v>
      </c>
    </row>
    <row r="80" spans="1:11">
      <c r="A80" s="2" t="s">
        <v>437</v>
      </c>
      <c r="B80" s="3" t="s">
        <v>438</v>
      </c>
      <c r="D80" s="14">
        <v>7.1912494438846855E-14</v>
      </c>
      <c r="E80" s="14">
        <v>1.072170948052278E-6</v>
      </c>
      <c r="F80" s="14">
        <v>3.6331103211863218E-5</v>
      </c>
      <c r="G80" s="14">
        <v>2.6929531299169148E-8</v>
      </c>
      <c r="H80" s="14">
        <v>0</v>
      </c>
      <c r="I80" s="14">
        <v>2.5326306131826738E-6</v>
      </c>
      <c r="J80" s="14">
        <v>3.7165623690171577E-8</v>
      </c>
      <c r="K80" s="14">
        <v>0</v>
      </c>
    </row>
    <row r="81" spans="1:11">
      <c r="A81" s="2" t="s">
        <v>440</v>
      </c>
      <c r="B81" s="3" t="s">
        <v>441</v>
      </c>
      <c r="D81" s="14">
        <v>7.3766737584067415E-18</v>
      </c>
      <c r="E81" s="14">
        <v>3.88257846378227E-5</v>
      </c>
      <c r="F81" s="14">
        <v>3.6419568136129659E-9</v>
      </c>
      <c r="G81" s="14">
        <v>1.4165449070157922E-9</v>
      </c>
      <c r="H81" s="14">
        <v>0</v>
      </c>
      <c r="I81" s="14">
        <v>1.2663942689482779E-8</v>
      </c>
      <c r="J81" s="14">
        <v>1.1564929177598107E-6</v>
      </c>
      <c r="K81" s="14">
        <v>0</v>
      </c>
    </row>
    <row r="82" spans="1:11">
      <c r="A82" s="2" t="s">
        <v>442</v>
      </c>
      <c r="B82" s="3" t="s">
        <v>443</v>
      </c>
      <c r="D82" s="14">
        <v>3.5098173250695189E-9</v>
      </c>
      <c r="E82" s="14">
        <v>3.0618518830833219E-5</v>
      </c>
      <c r="F82" s="14">
        <v>2.3418481345642896E-7</v>
      </c>
      <c r="G82" s="14">
        <v>6.5864937439916472E-8</v>
      </c>
      <c r="H82" s="14">
        <v>0</v>
      </c>
      <c r="I82" s="14">
        <v>3.7953162530200539E-8</v>
      </c>
      <c r="J82" s="14">
        <v>9.0399684384151689E-6</v>
      </c>
      <c r="K82" s="14">
        <v>0</v>
      </c>
    </row>
    <row r="83" spans="1:11">
      <c r="A83" s="2" t="s">
        <v>444</v>
      </c>
      <c r="B83" s="3" t="s">
        <v>445</v>
      </c>
      <c r="D83" s="14">
        <v>4.2303910175659616E-8</v>
      </c>
      <c r="E83" s="14">
        <v>1.0659091144788481E-5</v>
      </c>
      <c r="F83" s="14">
        <v>4.0313891833784919E-6</v>
      </c>
      <c r="G83" s="14">
        <v>8.506487763045622E-7</v>
      </c>
      <c r="H83" s="14">
        <v>0</v>
      </c>
      <c r="I83" s="14">
        <v>3.8052731398728924E-7</v>
      </c>
      <c r="J83" s="14">
        <v>2.4036039671365526E-5</v>
      </c>
      <c r="K83" s="14">
        <v>0</v>
      </c>
    </row>
    <row r="84" spans="1:11">
      <c r="A84" s="2" t="s">
        <v>446</v>
      </c>
      <c r="B84" s="3" t="s">
        <v>447</v>
      </c>
      <c r="D84" s="14">
        <v>2.270813604003667E-19</v>
      </c>
      <c r="E84" s="14">
        <v>3.7475820648442582E-5</v>
      </c>
      <c r="F84" s="14">
        <v>1.6362727665406152E-8</v>
      </c>
      <c r="G84" s="14">
        <v>5.6826545712094422E-9</v>
      </c>
      <c r="H84" s="14">
        <v>0</v>
      </c>
      <c r="I84" s="14">
        <v>1.405655939394119E-8</v>
      </c>
      <c r="J84" s="14">
        <v>2.4880774099266414E-6</v>
      </c>
      <c r="K84" s="14">
        <v>0</v>
      </c>
    </row>
    <row r="85" spans="1:11">
      <c r="A85" s="2" t="s">
        <v>448</v>
      </c>
      <c r="B85" s="3" t="s">
        <v>449</v>
      </c>
      <c r="D85" s="14">
        <v>1.5895690257086818E-12</v>
      </c>
      <c r="E85" s="14">
        <v>3.9504726191988548E-5</v>
      </c>
      <c r="F85" s="14">
        <v>6.682725254423951E-10</v>
      </c>
      <c r="G85" s="14">
        <v>2.948826099825054E-10</v>
      </c>
      <c r="H85" s="14">
        <v>0</v>
      </c>
      <c r="I85" s="14">
        <v>1.2403663832280154E-8</v>
      </c>
      <c r="J85" s="14">
        <v>4.8190539947472501E-7</v>
      </c>
      <c r="K85" s="14">
        <v>0</v>
      </c>
    </row>
    <row r="86" spans="1:11">
      <c r="A86" s="2" t="s">
        <v>450</v>
      </c>
      <c r="B86" s="3" t="s">
        <v>451</v>
      </c>
      <c r="D86" s="14">
        <v>5.7117571950557956E-13</v>
      </c>
      <c r="E86" s="14">
        <v>3.7536986307991241E-5</v>
      </c>
      <c r="F86" s="14">
        <v>1.5589922359537773E-8</v>
      </c>
      <c r="G86" s="14">
        <v>5.4342486693809012E-9</v>
      </c>
      <c r="H86" s="14">
        <v>0</v>
      </c>
      <c r="I86" s="14">
        <v>1.3969629164517551E-8</v>
      </c>
      <c r="J86" s="14">
        <v>2.4280193206396023E-6</v>
      </c>
      <c r="K86" s="14">
        <v>0</v>
      </c>
    </row>
    <row r="87" spans="1:11">
      <c r="A87" s="2" t="s">
        <v>452</v>
      </c>
      <c r="B87" s="3" t="s">
        <v>453</v>
      </c>
      <c r="D87" s="14">
        <v>9.719752723588901E-12</v>
      </c>
      <c r="E87" s="14">
        <v>1.0466341015244635E-7</v>
      </c>
      <c r="F87" s="14">
        <v>4.2907126552938884E-6</v>
      </c>
      <c r="G87" s="14">
        <v>1.3836459830985818E-5</v>
      </c>
      <c r="H87" s="14">
        <v>0</v>
      </c>
      <c r="I87" s="14">
        <v>6.4876525559114613E-6</v>
      </c>
      <c r="J87" s="14">
        <v>1.5280501827903667E-5</v>
      </c>
      <c r="K87" s="14">
        <v>0</v>
      </c>
    </row>
    <row r="88" spans="1:11">
      <c r="A88" s="2" t="s">
        <v>454</v>
      </c>
      <c r="B88" s="3" t="s">
        <v>455</v>
      </c>
      <c r="D88" s="14">
        <v>1.8005346865291989E-9</v>
      </c>
      <c r="E88" s="14">
        <v>2.7175726105792063E-5</v>
      </c>
      <c r="F88" s="14">
        <v>4.6267465220661732E-7</v>
      </c>
      <c r="G88" s="14">
        <v>1.2267929245363499E-7</v>
      </c>
      <c r="H88" s="14">
        <v>0</v>
      </c>
      <c r="I88" s="14">
        <v>6.1701050726950079E-8</v>
      </c>
      <c r="J88" s="14">
        <v>1.2175418364134205E-5</v>
      </c>
      <c r="K88" s="14">
        <v>0</v>
      </c>
    </row>
    <row r="89" spans="1:11">
      <c r="A89" s="2" t="s">
        <v>456</v>
      </c>
      <c r="B89" s="3" t="s">
        <v>457</v>
      </c>
      <c r="D89" s="14">
        <v>1.1673936142527763E-21</v>
      </c>
      <c r="E89" s="14">
        <v>3.0030113791770852E-5</v>
      </c>
      <c r="F89" s="14">
        <v>2.6686494439408291E-7</v>
      </c>
      <c r="G89" s="14">
        <v>7.4231302951730582E-8</v>
      </c>
      <c r="H89" s="14">
        <v>0</v>
      </c>
      <c r="I89" s="14">
        <v>4.1414972053530432E-8</v>
      </c>
      <c r="J89" s="14">
        <v>9.5873749888298096E-6</v>
      </c>
      <c r="K89" s="14">
        <v>0</v>
      </c>
    </row>
    <row r="90" spans="1:11">
      <c r="A90" s="2" t="s">
        <v>458</v>
      </c>
      <c r="B90" s="3" t="s">
        <v>459</v>
      </c>
      <c r="D90" s="14">
        <v>1.7047936546072379E-33</v>
      </c>
      <c r="E90" s="14">
        <v>3.5153735823724326E-5</v>
      </c>
      <c r="F90" s="14">
        <v>5.9971655160602934E-8</v>
      </c>
      <c r="G90" s="14">
        <v>1.8838294869872248E-8</v>
      </c>
      <c r="H90" s="14">
        <v>0</v>
      </c>
      <c r="I90" s="14">
        <v>1.8978513477444657E-8</v>
      </c>
      <c r="J90" s="14">
        <v>4.7484757127677493E-6</v>
      </c>
      <c r="K90" s="14">
        <v>0</v>
      </c>
    </row>
    <row r="91" spans="1:11">
      <c r="A91" s="2" t="s">
        <v>460</v>
      </c>
      <c r="B91" s="3" t="s">
        <v>461</v>
      </c>
      <c r="D91" s="14">
        <v>9.0168991772763534E-12</v>
      </c>
      <c r="E91" s="14">
        <v>6.0793462323439102E-7</v>
      </c>
      <c r="F91" s="14">
        <v>9.5330402901839208E-6</v>
      </c>
      <c r="G91" s="14">
        <v>6.1436573228498325E-6</v>
      </c>
      <c r="H91" s="14">
        <v>0</v>
      </c>
      <c r="I91" s="14">
        <v>2.8253022540717918E-6</v>
      </c>
      <c r="J91" s="14">
        <v>2.089005649276089E-5</v>
      </c>
      <c r="K91" s="14">
        <v>0</v>
      </c>
    </row>
    <row r="92" spans="1:11">
      <c r="A92" s="2" t="s">
        <v>462</v>
      </c>
      <c r="B92" s="3" t="s">
        <v>463</v>
      </c>
      <c r="D92" s="14">
        <v>3.2542267038645811E-13</v>
      </c>
      <c r="E92" s="14">
        <v>1.3029491564206323E-5</v>
      </c>
      <c r="F92" s="14">
        <v>3.0642346514684188E-6</v>
      </c>
      <c r="G92" s="14">
        <v>6.6960328377453504E-7</v>
      </c>
      <c r="H92" s="14">
        <v>0</v>
      </c>
      <c r="I92" s="14">
        <v>3.0000867247349078E-7</v>
      </c>
      <c r="J92" s="14">
        <v>2.2936661502654562E-5</v>
      </c>
      <c r="K92" s="14">
        <v>0</v>
      </c>
    </row>
    <row r="93" spans="1:11">
      <c r="A93" s="2" t="s">
        <v>464</v>
      </c>
      <c r="B93" s="3" t="s">
        <v>465</v>
      </c>
      <c r="D93" s="14">
        <v>2.5258116080059404E-8</v>
      </c>
      <c r="E93" s="14">
        <v>5.014188070856216E-6</v>
      </c>
      <c r="F93" s="14">
        <v>8.2923031322436271E-6</v>
      </c>
      <c r="G93" s="14">
        <v>1.5695339893612739E-6</v>
      </c>
      <c r="H93" s="14">
        <v>0</v>
      </c>
      <c r="I93" s="14">
        <v>7.0469780953348401E-7</v>
      </c>
      <c r="J93" s="14">
        <v>2.4394018881925355E-5</v>
      </c>
      <c r="K93" s="14">
        <v>0</v>
      </c>
    </row>
    <row r="94" spans="1:11">
      <c r="A94" s="2" t="s">
        <v>466</v>
      </c>
      <c r="B94" s="3" t="s">
        <v>467</v>
      </c>
      <c r="D94" s="14">
        <v>8.072521130541334E-23</v>
      </c>
      <c r="E94" s="14">
        <v>3.9514903343827822E-5</v>
      </c>
      <c r="F94" s="14">
        <v>4.6233361863158634E-7</v>
      </c>
      <c r="G94" s="14">
        <v>6.0756670866569734E-11</v>
      </c>
      <c r="H94" s="14">
        <v>0</v>
      </c>
      <c r="I94" s="14">
        <v>1.5682774064152614E-8</v>
      </c>
      <c r="J94" s="14">
        <v>7.0195068055720657E-9</v>
      </c>
      <c r="K94" s="14">
        <v>0</v>
      </c>
    </row>
    <row r="95" spans="1:11">
      <c r="A95" s="2" t="s">
        <v>468</v>
      </c>
      <c r="B95" s="3" t="s">
        <v>469</v>
      </c>
      <c r="D95" s="14">
        <v>3.7041396040112983E-22</v>
      </c>
      <c r="E95" s="14">
        <v>1.4502638136939809E-6</v>
      </c>
      <c r="F95" s="14">
        <v>1.28428544654827E-5</v>
      </c>
      <c r="G95" s="14">
        <v>3.1772919070099633E-6</v>
      </c>
      <c r="H95" s="14">
        <v>0</v>
      </c>
      <c r="I95" s="14">
        <v>1.44477713088378E-6</v>
      </c>
      <c r="J95" s="14">
        <v>2.1084812682929575E-5</v>
      </c>
      <c r="K95" s="14">
        <v>0</v>
      </c>
    </row>
    <row r="96" spans="1:11">
      <c r="A96" s="2" t="s">
        <v>470</v>
      </c>
      <c r="B96" s="163">
        <v>354656</v>
      </c>
      <c r="D96" s="14">
        <v>1.4707388381298924E-14</v>
      </c>
      <c r="E96" s="14">
        <v>3.878066264439E-5</v>
      </c>
      <c r="F96" s="14">
        <v>3.9211167725881039E-9</v>
      </c>
      <c r="G96" s="14">
        <v>1.5167197128658273E-9</v>
      </c>
      <c r="H96" s="14">
        <v>0</v>
      </c>
      <c r="I96" s="14">
        <v>1.26922070174888E-8</v>
      </c>
      <c r="J96" s="14">
        <v>1.201207297399669E-6</v>
      </c>
      <c r="K96" s="14">
        <v>0</v>
      </c>
    </row>
    <row r="97" spans="1:11">
      <c r="A97" s="2" t="s">
        <v>472</v>
      </c>
      <c r="B97" s="3" t="s">
        <v>473</v>
      </c>
      <c r="D97" s="14">
        <v>2.2692414555493865E-14</v>
      </c>
      <c r="E97" s="14">
        <v>3.7444701544298561E-5</v>
      </c>
      <c r="F97" s="14">
        <v>1.676312269398471E-8</v>
      </c>
      <c r="G97" s="14">
        <v>5.8109946971177527E-9</v>
      </c>
      <c r="H97" s="14">
        <v>0</v>
      </c>
      <c r="I97" s="14">
        <v>1.4101636533769987E-8</v>
      </c>
      <c r="J97" s="14">
        <v>2.5186226790841643E-6</v>
      </c>
      <c r="K97" s="14">
        <v>0</v>
      </c>
    </row>
    <row r="98" spans="1:11">
      <c r="A98" s="2" t="s">
        <v>474</v>
      </c>
      <c r="B98" s="3" t="s">
        <v>475</v>
      </c>
      <c r="D98" s="14">
        <v>7.5459016329895786E-24</v>
      </c>
      <c r="E98" s="14">
        <v>2.9748892615819404E-6</v>
      </c>
      <c r="F98" s="14">
        <v>1.1512916488140327E-5</v>
      </c>
      <c r="G98" s="14">
        <v>2.0468259282584095E-6</v>
      </c>
      <c r="H98" s="14">
        <v>0</v>
      </c>
      <c r="I98" s="14">
        <v>9.233114920955579E-7</v>
      </c>
      <c r="J98" s="14">
        <v>2.2542056829923771E-5</v>
      </c>
      <c r="K98" s="14">
        <v>0</v>
      </c>
    </row>
    <row r="99" spans="1:11">
      <c r="A99" s="2" t="s">
        <v>476</v>
      </c>
      <c r="B99" s="3" t="s">
        <v>477</v>
      </c>
      <c r="D99" s="14">
        <v>6.9374776520774127E-12</v>
      </c>
      <c r="E99" s="14">
        <v>3.9653475845949755E-5</v>
      </c>
      <c r="F99" s="14">
        <v>3.289090414178487E-10</v>
      </c>
      <c r="G99" s="14">
        <v>1.5295770803798644E-10</v>
      </c>
      <c r="H99" s="14">
        <v>0</v>
      </c>
      <c r="I99" s="14">
        <v>1.2390828411874432E-8</v>
      </c>
      <c r="J99" s="14">
        <v>3.3364452141126711E-7</v>
      </c>
      <c r="K99" s="14">
        <v>0</v>
      </c>
    </row>
    <row r="100" spans="1:11">
      <c r="A100" s="2" t="s">
        <v>478</v>
      </c>
      <c r="B100" s="3" t="s">
        <v>479</v>
      </c>
      <c r="D100" s="14">
        <v>2.6630515970690203E-15</v>
      </c>
      <c r="E100" s="14">
        <v>2.1454541884853315E-5</v>
      </c>
      <c r="F100" s="14">
        <v>1.0976245091279151E-6</v>
      </c>
      <c r="G100" s="14">
        <v>2.6837950732829815E-7</v>
      </c>
      <c r="H100" s="14">
        <v>0</v>
      </c>
      <c r="I100" s="14">
        <v>1.2405124888288608E-7</v>
      </c>
      <c r="J100" s="14">
        <v>1.705540284714454E-5</v>
      </c>
      <c r="K100" s="14">
        <v>0</v>
      </c>
    </row>
    <row r="101" spans="1:11">
      <c r="A101" s="2" t="s">
        <v>480</v>
      </c>
      <c r="B101" s="3" t="s">
        <v>481</v>
      </c>
      <c r="D101" s="14">
        <v>1.8668973613541477E-15</v>
      </c>
      <c r="E101" s="14">
        <v>3.9427578617551916E-5</v>
      </c>
      <c r="F101" s="14">
        <v>8.8919017786863027E-10</v>
      </c>
      <c r="G101" s="14">
        <v>3.8414060155926034E-10</v>
      </c>
      <c r="H101" s="14">
        <v>0</v>
      </c>
      <c r="I101" s="14">
        <v>1.2416953621221317E-8</v>
      </c>
      <c r="J101" s="14">
        <v>5.5873109618054421E-7</v>
      </c>
      <c r="K101" s="14">
        <v>0</v>
      </c>
    </row>
    <row r="102" spans="1:11">
      <c r="A102" s="2" t="s">
        <v>482</v>
      </c>
      <c r="B102" s="3" t="s">
        <v>483</v>
      </c>
      <c r="D102" s="14">
        <v>1.1731169086650314E-31</v>
      </c>
      <c r="E102" s="14">
        <v>3.9845653961638784E-5</v>
      </c>
      <c r="F102" s="14">
        <v>6.3447645362525205E-11</v>
      </c>
      <c r="G102" s="14">
        <v>3.3320465863542417E-11</v>
      </c>
      <c r="H102" s="14">
        <v>0</v>
      </c>
      <c r="I102" s="14">
        <v>1.2401113952023842E-8</v>
      </c>
      <c r="J102" s="14">
        <v>1.4184815629796771E-7</v>
      </c>
      <c r="K102" s="14">
        <v>0</v>
      </c>
    </row>
    <row r="103" spans="1:11">
      <c r="A103" s="2" t="s">
        <v>484</v>
      </c>
      <c r="B103" s="3" t="s">
        <v>485</v>
      </c>
      <c r="D103" s="14">
        <v>9.3576793899099346E-18</v>
      </c>
      <c r="E103" s="14">
        <v>3.9664120237586643E-5</v>
      </c>
      <c r="F103" s="14">
        <v>3.0905969831336325E-10</v>
      </c>
      <c r="G103" s="14">
        <v>1.4439027106488553E-10</v>
      </c>
      <c r="H103" s="14">
        <v>0</v>
      </c>
      <c r="I103" s="14">
        <v>1.2390581487058859E-8</v>
      </c>
      <c r="J103" s="14">
        <v>3.2303573094756674E-7</v>
      </c>
      <c r="K103" s="14">
        <v>0</v>
      </c>
    </row>
    <row r="104" spans="1:11">
      <c r="A104" s="2" t="s">
        <v>486</v>
      </c>
      <c r="B104" s="3" t="s">
        <v>487</v>
      </c>
      <c r="D104" s="14">
        <v>1.1547364858683591E-13</v>
      </c>
      <c r="E104" s="14">
        <v>3.8157731946086458E-5</v>
      </c>
      <c r="F104" s="14">
        <v>8.8055624846466336E-9</v>
      </c>
      <c r="G104" s="14">
        <v>3.205181730245477E-9</v>
      </c>
      <c r="H104" s="14">
        <v>0</v>
      </c>
      <c r="I104" s="14">
        <v>1.3213841988662612E-8</v>
      </c>
      <c r="J104" s="14">
        <v>1.8170433522363447E-6</v>
      </c>
      <c r="K104" s="14">
        <v>0</v>
      </c>
    </row>
    <row r="105" spans="1:11">
      <c r="A105" s="2" t="s">
        <v>488</v>
      </c>
      <c r="B105" s="3" t="s">
        <v>489</v>
      </c>
      <c r="D105" s="14">
        <v>9.3298067991402668E-21</v>
      </c>
      <c r="E105" s="14">
        <v>3.9817346548012741E-5</v>
      </c>
      <c r="F105" s="14">
        <v>8.9980181613140782E-11</v>
      </c>
      <c r="G105" s="14">
        <v>4.6051355796157151E-11</v>
      </c>
      <c r="H105" s="14">
        <v>0</v>
      </c>
      <c r="I105" s="14">
        <v>1.2397546865079269E-8</v>
      </c>
      <c r="J105" s="14">
        <v>1.7011987358476789E-7</v>
      </c>
      <c r="K105" s="14">
        <v>0</v>
      </c>
    </row>
    <row r="106" spans="1:11">
      <c r="A106" s="2" t="s">
        <v>490</v>
      </c>
      <c r="B106" s="3" t="s">
        <v>491</v>
      </c>
      <c r="D106" s="14">
        <v>5.2144731144975904E-13</v>
      </c>
      <c r="E106" s="14">
        <v>3.3908618572758439E-5</v>
      </c>
      <c r="F106" s="14">
        <v>9.5386002286516728E-8</v>
      </c>
      <c r="G106" s="14">
        <v>2.8878870473804021E-8</v>
      </c>
      <c r="H106" s="14">
        <v>0</v>
      </c>
      <c r="I106" s="14">
        <v>2.2923970926859464E-8</v>
      </c>
      <c r="J106" s="14">
        <v>5.94419206210707E-6</v>
      </c>
      <c r="K106" s="14">
        <v>0</v>
      </c>
    </row>
    <row r="107" spans="1:11">
      <c r="A107" s="2" t="s">
        <v>492</v>
      </c>
      <c r="B107" s="3" t="s">
        <v>493</v>
      </c>
      <c r="D107" s="14">
        <v>3.8441685620453101E-20</v>
      </c>
      <c r="E107" s="14">
        <v>2.3976295758734574E-6</v>
      </c>
      <c r="F107" s="14">
        <v>1.2843300309010753E-5</v>
      </c>
      <c r="G107" s="14">
        <v>2.2293188743127305E-6</v>
      </c>
      <c r="H107" s="14">
        <v>0</v>
      </c>
      <c r="I107" s="14">
        <v>1.0076423929540023E-6</v>
      </c>
      <c r="J107" s="14">
        <v>2.152210884784902E-5</v>
      </c>
      <c r="K107" s="14">
        <v>0</v>
      </c>
    </row>
    <row r="108" spans="1:11">
      <c r="A108" s="2" t="s">
        <v>291</v>
      </c>
      <c r="B108" s="3" t="s">
        <v>494</v>
      </c>
      <c r="D108" s="14">
        <v>1.4509303109498537E-14</v>
      </c>
      <c r="E108" s="14">
        <v>2.336825149724583E-5</v>
      </c>
      <c r="F108" s="14">
        <v>8.4240467512764404E-7</v>
      </c>
      <c r="G108" s="14">
        <v>2.1135684808012893E-7</v>
      </c>
      <c r="H108" s="14">
        <v>0</v>
      </c>
      <c r="I108" s="14">
        <v>9.948401327997839E-8</v>
      </c>
      <c r="J108" s="14">
        <v>1.5478502951757116E-5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2.9312631112750333E-8</v>
      </c>
      <c r="B2">
        <f>'Mass Balance'!E2</f>
        <v>3.2319310235516957E-5</v>
      </c>
      <c r="C2">
        <f>SUM('Mass Balance'!E2:H2)</f>
        <v>3.2517788818095994E-5</v>
      </c>
      <c r="D2">
        <f>Concentrations!F2/Concentrations!E2</f>
        <v>0.99428391917831205</v>
      </c>
    </row>
    <row r="3" spans="1:4">
      <c r="A3">
        <f>'Mass Balance'!I3</f>
        <v>5.9441291435585174E-6</v>
      </c>
      <c r="B3">
        <f>'Mass Balance'!E3</f>
        <v>1.2689104975857411E-7</v>
      </c>
      <c r="C3">
        <f>SUM('Mass Balance'!E3:H3)</f>
        <v>1.7519534372234145E-5</v>
      </c>
      <c r="D3">
        <f>Concentrations!F3/Concentrations!E3</f>
        <v>7.245656965541877E-3</v>
      </c>
    </row>
    <row r="4" spans="1:4">
      <c r="A4">
        <f>'Mass Balance'!I4</f>
        <v>1.5160510968698955E-7</v>
      </c>
      <c r="B4">
        <f>'Mass Balance'!E4</f>
        <v>1.963516680875432E-5</v>
      </c>
      <c r="C4">
        <f>SUM('Mass Balance'!E4:H4)</f>
        <v>2.1357525480227334E-5</v>
      </c>
      <c r="D4">
        <f>Concentrations!F4/Concentrations!E4</f>
        <v>0.91971442972599604</v>
      </c>
    </row>
    <row r="5" spans="1:4">
      <c r="A5">
        <f>'Mass Balance'!I5</f>
        <v>1.6273436781624649E-6</v>
      </c>
      <c r="B5">
        <f>'Mass Balance'!E5</f>
        <v>1.2637581005109016E-6</v>
      </c>
      <c r="C5">
        <f>SUM('Mass Balance'!E5:H5)</f>
        <v>1.714538991808284E-5</v>
      </c>
      <c r="D5">
        <f>Concentrations!F5/Concentrations!E5</f>
        <v>7.3737078138436107E-2</v>
      </c>
    </row>
    <row r="6" spans="1:4">
      <c r="A6">
        <f>'Mass Balance'!I6</f>
        <v>7.5340658027867715E-6</v>
      </c>
      <c r="B6">
        <f>'Mass Balance'!E6</f>
        <v>6.1770519668914988E-8</v>
      </c>
      <c r="C6">
        <f>SUM('Mass Balance'!E6:H6)</f>
        <v>1.9303231819470048E-5</v>
      </c>
      <c r="D6">
        <f>Concentrations!F6/Concentrations!E6</f>
        <v>3.2012571914110176E-3</v>
      </c>
    </row>
    <row r="7" spans="1:4">
      <c r="A7">
        <f>'Mass Balance'!I7</f>
        <v>6.2676895330225084E-6</v>
      </c>
      <c r="B7">
        <f>'Mass Balance'!E7</f>
        <v>1.1631416328403065E-7</v>
      </c>
      <c r="C7">
        <f>SUM('Mass Balance'!E7:H7)</f>
        <v>1.8024714862968919E-5</v>
      </c>
      <c r="D7">
        <f>Concentrations!F7/Concentrations!E7</f>
        <v>6.4555542634555886E-3</v>
      </c>
    </row>
    <row r="8" spans="1:4">
      <c r="A8">
        <f>'Mass Balance'!I8</f>
        <v>4.6887353914126133E-6</v>
      </c>
      <c r="B8">
        <f>'Mass Balance'!E8</f>
        <v>2.429805889908793E-7</v>
      </c>
      <c r="C8">
        <f>SUM('Mass Balance'!E8:H8)</f>
        <v>1.6791996968534128E-5</v>
      </c>
      <c r="D8">
        <f>Concentrations!F8/Concentrations!E8</f>
        <v>1.4475666589305134E-2</v>
      </c>
    </row>
    <row r="9" spans="1:4">
      <c r="A9">
        <f>'Mass Balance'!I9</f>
        <v>5.8451504325519706E-7</v>
      </c>
      <c r="B9">
        <f>'Mass Balance'!E9</f>
        <v>6.6241001972663626E-6</v>
      </c>
      <c r="C9">
        <f>SUM('Mass Balance'!E9:H9)</f>
        <v>1.4572328050357487E-5</v>
      </c>
      <c r="D9">
        <f>Concentrations!F9/Concentrations!E9</f>
        <v>0.45474432916135366</v>
      </c>
    </row>
    <row r="10" spans="1:4">
      <c r="A10">
        <f>'Mass Balance'!I10</f>
        <v>1.7357731469740353E-6</v>
      </c>
      <c r="B10">
        <f>'Mass Balance'!E10</f>
        <v>1.1718639964000778E-6</v>
      </c>
      <c r="C10">
        <f>SUM('Mass Balance'!E10:H10)</f>
        <v>1.7001171659339313E-5</v>
      </c>
      <c r="D10">
        <f>Concentrations!F10/Concentrations!E10</f>
        <v>6.895530717026728E-2</v>
      </c>
    </row>
    <row r="11" spans="1:4">
      <c r="A11">
        <f>'Mass Balance'!I11</f>
        <v>1.9264971761477493E-6</v>
      </c>
      <c r="B11">
        <f>'Mass Balance'!E11</f>
        <v>1.0299458247148711E-6</v>
      </c>
      <c r="C11">
        <f>SUM('Mass Balance'!E11:H11)</f>
        <v>1.6769901613692534E-5</v>
      </c>
      <c r="D11">
        <f>Concentrations!F11/Concentrations!E11</f>
        <v>6.1440282663387705E-2</v>
      </c>
    </row>
    <row r="12" spans="1:4">
      <c r="A12">
        <f>'Mass Balance'!I12</f>
        <v>7.1125275868905232E-7</v>
      </c>
      <c r="B12">
        <f>'Mass Balance'!E12</f>
        <v>4.9443425381900676E-6</v>
      </c>
      <c r="C12">
        <f>SUM('Mass Balance'!E12:H12)</f>
        <v>1.4912124587832908E-5</v>
      </c>
      <c r="D12">
        <f>Concentrations!F12/Concentrations!E12</f>
        <v>0.33169457264537167</v>
      </c>
    </row>
    <row r="13" spans="1:4">
      <c r="A13">
        <f>'Mass Balance'!I13</f>
        <v>5.9605530978782586E-7</v>
      </c>
      <c r="B13">
        <f>'Mass Balance'!E13</f>
        <v>6.4478832493363028E-6</v>
      </c>
      <c r="C13">
        <f>SUM('Mass Balance'!E13:H13)</f>
        <v>1.457653192196161E-5</v>
      </c>
      <c r="D13">
        <f>Concentrations!F13/Concentrations!E13</f>
        <v>0.44251938025974874</v>
      </c>
    </row>
    <row r="14" spans="1:4">
      <c r="A14">
        <f>'Mass Balance'!I14</f>
        <v>2.6204733528233775E-6</v>
      </c>
      <c r="B14">
        <f>'Mass Balance'!E14</f>
        <v>6.7959921724157744E-7</v>
      </c>
      <c r="C14">
        <f>SUM('Mass Balance'!E14:H14)</f>
        <v>1.6329432907192047E-5</v>
      </c>
      <c r="D14">
        <f>Concentrations!F14/Concentrations!E14</f>
        <v>4.163428450865031E-2</v>
      </c>
    </row>
    <row r="15" spans="1:4">
      <c r="A15">
        <f>'Mass Balance'!I15</f>
        <v>1.8295665611770809E-6</v>
      </c>
      <c r="B15">
        <f>'Mass Balance'!E15</f>
        <v>1.099167668032643E-6</v>
      </c>
      <c r="C15">
        <f>SUM('Mass Balance'!E15:H15)</f>
        <v>1.6883798874022023E-5</v>
      </c>
      <c r="D15">
        <f>Concentrations!F15/Concentrations!E15</f>
        <v>6.5127305938216626E-2</v>
      </c>
    </row>
    <row r="16" spans="1:4">
      <c r="A16">
        <f>'Mass Balance'!I16</f>
        <v>4.6146650997633408E-6</v>
      </c>
      <c r="B16">
        <f>'Mass Balance'!E16</f>
        <v>2.5056939747213408E-7</v>
      </c>
      <c r="C16">
        <f>SUM('Mass Balance'!E16:H16)</f>
        <v>1.6731113219629354E-5</v>
      </c>
      <c r="D16">
        <f>Concentrations!F16/Concentrations!E16</f>
        <v>1.4982094392090275E-2</v>
      </c>
    </row>
    <row r="17" spans="1:4">
      <c r="A17">
        <f>'Mass Balance'!I17</f>
        <v>1.663253022888869E-6</v>
      </c>
      <c r="B17">
        <f>'Mass Balance'!E17</f>
        <v>1.2327539873506819E-6</v>
      </c>
      <c r="C17">
        <f>SUM('Mass Balance'!E17:H17)</f>
        <v>1.7099712423126555E-5</v>
      </c>
      <c r="D17">
        <f>Concentrations!F17/Concentrations!E17</f>
        <v>7.2120204192343509E-2</v>
      </c>
    </row>
    <row r="18" spans="1:4">
      <c r="A18">
        <f>'Mass Balance'!I18</f>
        <v>5.2937933359333881E-7</v>
      </c>
      <c r="B18">
        <f>'Mass Balance'!E18</f>
        <v>7.3953239024686547E-6</v>
      </c>
      <c r="C18">
        <f>SUM('Mass Balance'!E18:H18)</f>
        <v>1.4500104581805991E-5</v>
      </c>
      <c r="D18">
        <f>Concentrations!F18/Concentrations!E18</f>
        <v>0.51021756278682495</v>
      </c>
    </row>
    <row r="19" spans="1:4">
      <c r="A19">
        <f>'Mass Balance'!I19</f>
        <v>1.8487808187094717E-6</v>
      </c>
      <c r="B19">
        <f>'Mass Balance'!E19</f>
        <v>1.0850938579297263E-6</v>
      </c>
      <c r="C19">
        <f>SUM('Mass Balance'!E19:H19)</f>
        <v>1.6861439205767031E-5</v>
      </c>
      <c r="D19">
        <f>Concentrations!F19/Concentrations!E19</f>
        <v>6.4378670328433418E-2</v>
      </c>
    </row>
    <row r="20" spans="1:4">
      <c r="A20">
        <f>'Mass Balance'!I20</f>
        <v>5.9628055399821095E-7</v>
      </c>
      <c r="B20">
        <f>'Mass Balance'!E20</f>
        <v>6.4503198493418771E-6</v>
      </c>
      <c r="C20">
        <f>SUM('Mass Balance'!E20:H20)</f>
        <v>1.4582040268870026E-5</v>
      </c>
      <c r="D20">
        <f>Concentrations!F20/Concentrations!E20</f>
        <v>0.4425193802597488</v>
      </c>
    </row>
    <row r="21" spans="1:4">
      <c r="A21">
        <f>'Mass Balance'!I21</f>
        <v>2.3988862897354035E-6</v>
      </c>
      <c r="B21">
        <f>'Mass Balance'!E21</f>
        <v>7.6753341522021421E-7</v>
      </c>
      <c r="C21">
        <f>SUM('Mass Balance'!E21:H21)</f>
        <v>1.6387764447974923E-5</v>
      </c>
      <c r="D21">
        <f>Concentrations!F21/Concentrations!E21</f>
        <v>4.685402634239362E-2</v>
      </c>
    </row>
    <row r="22" spans="1:4">
      <c r="A22">
        <f>'Mass Balance'!I22</f>
        <v>7.1011663470736214E-8</v>
      </c>
      <c r="B22">
        <f>'Mass Balance'!E22</f>
        <v>2.6026840349387656E-5</v>
      </c>
      <c r="C22">
        <f>SUM('Mass Balance'!E22:H22)</f>
        <v>2.6726520751930724E-5</v>
      </c>
      <c r="D22">
        <f>Concentrations!F22/Concentrations!E22</f>
        <v>0.97420052731428097</v>
      </c>
    </row>
    <row r="23" spans="1:4">
      <c r="A23">
        <f>'Mass Balance'!I23</f>
        <v>3.9062336232538129E-8</v>
      </c>
      <c r="B23">
        <f>'Mass Balance'!E23</f>
        <v>3.0424334603161095E-5</v>
      </c>
      <c r="C23">
        <f>SUM('Mass Balance'!E23:H23)</f>
        <v>3.0737518529564928E-5</v>
      </c>
      <c r="D23">
        <f>Concentrations!F23/Concentrations!E23</f>
        <v>0.99019703955724436</v>
      </c>
    </row>
    <row r="24" spans="1:4">
      <c r="A24">
        <f>'Mass Balance'!I24</f>
        <v>3.0390766845017428E-7</v>
      </c>
      <c r="B24">
        <f>'Mass Balance'!E24</f>
        <v>1.2898394641985741E-5</v>
      </c>
      <c r="C24">
        <f>SUM('Mass Balance'!E24:H24)</f>
        <v>1.6687008091432568E-5</v>
      </c>
      <c r="D24">
        <f>Concentrations!F24/Concentrations!E24</f>
        <v>0.7732617400586479</v>
      </c>
    </row>
    <row r="25" spans="1:4">
      <c r="A25">
        <f>'Mass Balance'!I25</f>
        <v>8.4043588910329598E-7</v>
      </c>
      <c r="B25">
        <f>'Mass Balance'!E25</f>
        <v>3.1143985490916247E-6</v>
      </c>
      <c r="C25">
        <f>SUM('Mass Balance'!E25:H25)</f>
        <v>1.5352746211840337E-5</v>
      </c>
      <c r="D25">
        <f>Concentrations!F25/Concentrations!E25</f>
        <v>0.20293523365319432</v>
      </c>
    </row>
    <row r="26" spans="1:4">
      <c r="A26">
        <f>'Mass Balance'!I26</f>
        <v>2.2624087533447564E-6</v>
      </c>
      <c r="B26">
        <f>'Mass Balance'!E26</f>
        <v>8.3265893517863395E-7</v>
      </c>
      <c r="C26">
        <f>SUM('Mass Balance'!E26:H26)</f>
        <v>1.6471322220026254E-5</v>
      </c>
      <c r="D26">
        <f>Concentrations!F26/Concentrations!E26</f>
        <v>5.0571754617127311E-2</v>
      </c>
    </row>
    <row r="27" spans="1:4">
      <c r="A27">
        <f>'Mass Balance'!I27</f>
        <v>5.7963215376359544E-6</v>
      </c>
      <c r="B27">
        <f>'Mass Balance'!E27</f>
        <v>1.3905173840395573E-7</v>
      </c>
      <c r="C27">
        <f>SUM('Mass Balance'!E27:H27)</f>
        <v>1.7458341069926555E-5</v>
      </c>
      <c r="D27">
        <f>Concentrations!F27/Concentrations!E27</f>
        <v>7.9678800475457261E-3</v>
      </c>
    </row>
    <row r="28" spans="1:4">
      <c r="A28">
        <f>'Mass Balance'!I28</f>
        <v>3.3487409997032588E-6</v>
      </c>
      <c r="B28">
        <f>'Mass Balance'!E28</f>
        <v>4.6248848998540402E-7</v>
      </c>
      <c r="C28">
        <f>SUM('Mass Balance'!E28:H28)</f>
        <v>1.6269392592451996E-5</v>
      </c>
      <c r="D28">
        <f>Concentrations!F28/Concentrations!E28</f>
        <v>2.8437992026032609E-2</v>
      </c>
    </row>
    <row r="29" spans="1:4">
      <c r="A29">
        <f>'Mass Balance'!I29</f>
        <v>2.2630577896578215E-6</v>
      </c>
      <c r="B29">
        <f>'Mass Balance'!E29</f>
        <v>6.2946824912020211E-7</v>
      </c>
      <c r="C29">
        <f>SUM('Mass Balance'!E29:H29)</f>
        <v>1.4533936271246406E-5</v>
      </c>
      <c r="D29">
        <f>Concentrations!F29/Concentrations!E29</f>
        <v>4.3327129345484806E-2</v>
      </c>
    </row>
    <row r="30" spans="1:4">
      <c r="A30">
        <f>'Mass Balance'!I30</f>
        <v>3.3487409997032588E-6</v>
      </c>
      <c r="B30">
        <f>'Mass Balance'!E30</f>
        <v>4.6248848998540402E-7</v>
      </c>
      <c r="C30">
        <f>SUM('Mass Balance'!E30:H30)</f>
        <v>1.6269392592451996E-5</v>
      </c>
      <c r="D30">
        <f>Concentrations!F30/Concentrations!E30</f>
        <v>2.8437992026032609E-2</v>
      </c>
    </row>
    <row r="31" spans="1:4">
      <c r="A31">
        <f>'Mass Balance'!I31</f>
        <v>1.2542278949720426E-8</v>
      </c>
      <c r="B31">
        <f>'Mass Balance'!E31</f>
        <v>3.9052035567631215E-5</v>
      </c>
      <c r="C31">
        <f>SUM('Mass Balance'!E31:H31)</f>
        <v>3.9055391219570436E-5</v>
      </c>
      <c r="D31">
        <f>Concentrations!F31/Concentrations!E31</f>
        <v>1.0003040382004165</v>
      </c>
    </row>
    <row r="32" spans="1:4">
      <c r="A32">
        <f>'Mass Balance'!I32</f>
        <v>1.1575625922640284E-7</v>
      </c>
      <c r="B32">
        <f>'Mass Balance'!E32</f>
        <v>2.2229317402409308E-5</v>
      </c>
      <c r="C32">
        <f>SUM('Mass Balance'!E32:H32)</f>
        <v>2.3470640972115175E-5</v>
      </c>
      <c r="D32">
        <f>Concentrations!F32/Concentrations!E32</f>
        <v>0.94748101193950551</v>
      </c>
    </row>
    <row r="33" spans="1:4">
      <c r="A33">
        <f>'Mass Balance'!I33</f>
        <v>1.2579674458974581E-8</v>
      </c>
      <c r="B33">
        <f>'Mass Balance'!E33</f>
        <v>3.9968321705624543E-5</v>
      </c>
      <c r="C33">
        <f>SUM('Mass Balance'!E33:H33)</f>
        <v>3.998513540378064E-5</v>
      </c>
      <c r="D33">
        <f>Concentrations!F33/Concentrations!E33</f>
        <v>0.99996932932585081</v>
      </c>
    </row>
    <row r="34" spans="1:4">
      <c r="A34">
        <f>'Mass Balance'!I34</f>
        <v>3.1124539586074581E-8</v>
      </c>
      <c r="B34">
        <f>'Mass Balance'!E34</f>
        <v>3.6918068543051817E-5</v>
      </c>
      <c r="C34">
        <f>SUM('Mass Balance'!E34:H34)</f>
        <v>3.995579866104382E-5</v>
      </c>
      <c r="D34">
        <f>Concentrations!F34/Concentrations!E34</f>
        <v>0.92433307638325402</v>
      </c>
    </row>
    <row r="35" spans="1:4">
      <c r="A35">
        <f>'Mass Balance'!I35</f>
        <v>5.2390215631886738E-8</v>
      </c>
      <c r="B35">
        <f>'Mass Balance'!E35</f>
        <v>3.3041179271692676E-5</v>
      </c>
      <c r="C35">
        <f>SUM('Mass Balance'!E35:H35)</f>
        <v>3.9899758890764932E-5</v>
      </c>
      <c r="D35">
        <f>Concentrations!F35/Concentrations!E35</f>
        <v>0.82842768947332013</v>
      </c>
    </row>
    <row r="36" spans="1:4">
      <c r="A36">
        <f>'Mass Balance'!I36</f>
        <v>1.0844191903130039E-7</v>
      </c>
      <c r="B36">
        <f>'Mass Balance'!E36</f>
        <v>2.1844207370486671E-5</v>
      </c>
      <c r="C36">
        <f>SUM('Mass Balance'!E36:H36)</f>
        <v>3.97855594012806E-5</v>
      </c>
      <c r="D36">
        <f>Concentrations!F36/Concentrations!E36</f>
        <v>0.54926276684845676</v>
      </c>
    </row>
    <row r="37" spans="1:4">
      <c r="A37">
        <f>'Mass Balance'!I37</f>
        <v>1.6576312025694431E-7</v>
      </c>
      <c r="B37">
        <f>'Mass Balance'!E37</f>
        <v>2.3656556570286812E-5</v>
      </c>
      <c r="C37">
        <f>SUM('Mass Balance'!E37:H37)</f>
        <v>3.182173376681162E-5</v>
      </c>
      <c r="D37">
        <f>Concentrations!F37/Concentrations!E37</f>
        <v>0.74369871272051657</v>
      </c>
    </row>
    <row r="38" spans="1:4">
      <c r="A38">
        <f>'Mass Balance'!I38</f>
        <v>2.7819123600705038E-8</v>
      </c>
      <c r="B38">
        <f>'Mass Balance'!E38</f>
        <v>3.751135205409146E-5</v>
      </c>
      <c r="C38">
        <f>SUM('Mass Balance'!E38:H38)</f>
        <v>3.9857416540742845E-5</v>
      </c>
      <c r="D38">
        <f>Concentrations!F38/Concentrations!E38</f>
        <v>0.94150560772638303</v>
      </c>
    </row>
    <row r="39" spans="1:4">
      <c r="A39">
        <f>'Mass Balance'!I39</f>
        <v>1.1021519318107785E-6</v>
      </c>
      <c r="B39">
        <f>'Mass Balance'!E39</f>
        <v>1.9365990787428704E-6</v>
      </c>
      <c r="C39">
        <f>SUM('Mass Balance'!E39:H39)</f>
        <v>1.8302004316788004E-5</v>
      </c>
      <c r="D39">
        <f>Concentrations!F39/Concentrations!E39</f>
        <v>0.10585476341410867</v>
      </c>
    </row>
    <row r="40" spans="1:4">
      <c r="A40">
        <f>'Mass Balance'!I40</f>
        <v>1.0649828701851628E-5</v>
      </c>
      <c r="B40">
        <f>'Mass Balance'!E40</f>
        <v>2.8957269243986245E-7</v>
      </c>
      <c r="C40">
        <f>SUM('Mass Balance'!E40:H40)</f>
        <v>2.8521952349894309E-5</v>
      </c>
      <c r="D40">
        <f>Concentrations!F40/Concentrations!E40</f>
        <v>1.0156584652045903E-2</v>
      </c>
    </row>
    <row r="41" spans="1:4">
      <c r="A41">
        <f>'Mass Balance'!I41</f>
        <v>1.1384217815573944E-8</v>
      </c>
      <c r="B41">
        <f>'Mass Balance'!E41</f>
        <v>3.6544905590195729E-5</v>
      </c>
      <c r="C41">
        <f>SUM('Mass Balance'!E41:H41)</f>
        <v>3.6545072887101299E-5</v>
      </c>
      <c r="D41">
        <f>Concentrations!F41/Concentrations!E41</f>
        <v>1.0003854124253486</v>
      </c>
    </row>
    <row r="42" spans="1:4">
      <c r="A42">
        <f>'Mass Balance'!I42</f>
        <v>8.2163844337901663E-8</v>
      </c>
      <c r="B42">
        <f>'Mass Balance'!E42</f>
        <v>2.4948161184801575E-5</v>
      </c>
      <c r="C42">
        <f>SUM('Mass Balance'!E42:H42)</f>
        <v>2.5785261018525395E-5</v>
      </c>
      <c r="D42">
        <f>Concentrations!F42/Concentrations!E42</f>
        <v>0.96791305509794789</v>
      </c>
    </row>
    <row r="43" spans="1:4">
      <c r="A43">
        <f>'Mass Balance'!I43</f>
        <v>3.9475395131389151E-7</v>
      </c>
      <c r="B43">
        <f>'Mass Balance'!E43</f>
        <v>3.2344877547485141E-6</v>
      </c>
      <c r="C43">
        <f>SUM('Mass Balance'!E43:H43)</f>
        <v>3.9450998236023291E-5</v>
      </c>
      <c r="D43">
        <f>Concentrations!F43/Concentrations!E43</f>
        <v>8.2019450049147957E-2</v>
      </c>
    </row>
    <row r="44" spans="1:4">
      <c r="A44">
        <f>'Mass Balance'!I44</f>
        <v>2.0082955269485194E-8</v>
      </c>
      <c r="B44">
        <f>'Mass Balance'!E44</f>
        <v>3.1208469167162338E-5</v>
      </c>
      <c r="C44">
        <f>SUM('Mass Balance'!E44:H44)</f>
        <v>3.1312130437592999E-5</v>
      </c>
      <c r="D44">
        <f>Concentrations!F44/Concentrations!E44</f>
        <v>0.99707812228781312</v>
      </c>
    </row>
    <row r="45" spans="1:4">
      <c r="A45">
        <f>'Mass Balance'!I45</f>
        <v>9.3274695063877969E-8</v>
      </c>
      <c r="B45">
        <f>'Mass Balance'!E45</f>
        <v>2.3882691726243524E-5</v>
      </c>
      <c r="C45">
        <f>SUM('Mass Balance'!E45:H45)</f>
        <v>2.4858586788520759E-5</v>
      </c>
      <c r="D45">
        <f>Concentrations!F45/Concentrations!E45</f>
        <v>0.96111681605375676</v>
      </c>
    </row>
    <row r="46" spans="1:4">
      <c r="A46">
        <f>'Mass Balance'!I46</f>
        <v>8.5988767021629388E-8</v>
      </c>
      <c r="B46">
        <f>'Mass Balance'!E46</f>
        <v>2.4500592641506124E-5</v>
      </c>
      <c r="C46">
        <f>SUM('Mass Balance'!E46:H46)</f>
        <v>2.5385721377505946E-5</v>
      </c>
      <c r="D46">
        <f>Concentrations!F46/Concentrations!E46</f>
        <v>0.96550920546992725</v>
      </c>
    </row>
    <row r="47" spans="1:4">
      <c r="A47">
        <f>'Mass Balance'!I47</f>
        <v>6.0488857972479942E-6</v>
      </c>
      <c r="B47">
        <f>'Mass Balance'!E47</f>
        <v>1.2912732044429066E-7</v>
      </c>
      <c r="C47">
        <f>SUM('Mass Balance'!E47:H47)</f>
        <v>1.7828290751967559E-5</v>
      </c>
      <c r="D47">
        <f>Concentrations!F47/Concentrations!E47</f>
        <v>7.2456569655418752E-3</v>
      </c>
    </row>
    <row r="48" spans="1:4">
      <c r="A48">
        <f>'Mass Balance'!I48</f>
        <v>1.4915636343846211E-8</v>
      </c>
      <c r="B48">
        <f>'Mass Balance'!E48</f>
        <v>3.640277659398276E-5</v>
      </c>
      <c r="C48">
        <f>SUM('Mass Balance'!E48:H48)</f>
        <v>3.6436493208978115E-5</v>
      </c>
      <c r="D48">
        <f>Concentrations!F48/Concentrations!E48</f>
        <v>0.999464278244938</v>
      </c>
    </row>
    <row r="49" spans="1:4">
      <c r="A49">
        <f>'Mass Balance'!I49</f>
        <v>1.7054450007471694E-8</v>
      </c>
      <c r="B49">
        <f>'Mass Balance'!E49</f>
        <v>3.494523845581925E-5</v>
      </c>
      <c r="C49">
        <f>SUM('Mass Balance'!E49:H49)</f>
        <v>3.5005032420893235E-5</v>
      </c>
      <c r="D49">
        <f>Concentrations!F49/Concentrations!E49</f>
        <v>0.99868117247035748</v>
      </c>
    </row>
    <row r="50" spans="1:4">
      <c r="A50">
        <f>'Mass Balance'!I50</f>
        <v>5.0848186981129564E-7</v>
      </c>
      <c r="B50">
        <f>'Mass Balance'!E50</f>
        <v>7.6161299248078242E-6</v>
      </c>
      <c r="C50">
        <f>SUM('Mass Balance'!E50:H50)</f>
        <v>1.4410484035078936E-5</v>
      </c>
      <c r="D50">
        <f>Concentrations!F50/Concentrations!E50</f>
        <v>0.52871923915014007</v>
      </c>
    </row>
    <row r="51" spans="1:4">
      <c r="A51">
        <f>'Mass Balance'!I51</f>
        <v>1.1900848305920699E-8</v>
      </c>
      <c r="B51">
        <f>'Mass Balance'!E51</f>
        <v>3.6185369581120502E-5</v>
      </c>
      <c r="C51">
        <f>SUM('Mass Balance'!E51:H51)</f>
        <v>3.6190965787946447E-5</v>
      </c>
      <c r="D51">
        <f>Concentrations!F51/Concentrations!E51</f>
        <v>1.0002353017912216</v>
      </c>
    </row>
    <row r="52" spans="1:4">
      <c r="A52">
        <f>'Mass Balance'!I52</f>
        <v>2.6874533621753389E-8</v>
      </c>
      <c r="B52">
        <f>'Mass Balance'!E52</f>
        <v>3.0087214505125795E-5</v>
      </c>
      <c r="C52">
        <f>SUM('Mass Balance'!E52:H52)</f>
        <v>3.0267497237773129E-5</v>
      </c>
      <c r="D52">
        <f>Concentrations!F52/Concentrations!E52</f>
        <v>0.99443135462023413</v>
      </c>
    </row>
    <row r="53" spans="1:4">
      <c r="A53">
        <f>'Mass Balance'!I53</f>
        <v>1.3792153250005506E-7</v>
      </c>
      <c r="B53">
        <f>'Mass Balance'!E53</f>
        <v>2.0424004738864384E-5</v>
      </c>
      <c r="C53">
        <f>SUM('Mass Balance'!E53:H53)</f>
        <v>2.1969255917069138E-5</v>
      </c>
      <c r="D53">
        <f>Concentrations!F53/Concentrations!E53</f>
        <v>0.93002557825139121</v>
      </c>
    </row>
    <row r="54" spans="1:4">
      <c r="A54">
        <f>'Mass Balance'!I54</f>
        <v>5.3911916995645667E-6</v>
      </c>
      <c r="B54">
        <f>'Mass Balance'!E54</f>
        <v>1.7517782925435306E-7</v>
      </c>
      <c r="C54">
        <f>SUM('Mass Balance'!E54:H54)</f>
        <v>1.7272659179556256E-5</v>
      </c>
      <c r="D54">
        <f>Concentrations!F54/Concentrations!E54</f>
        <v>1.0145869572868194E-2</v>
      </c>
    </row>
    <row r="55" spans="1:4">
      <c r="A55">
        <f>'Mass Balance'!I55</f>
        <v>2.5352561878313274E-7</v>
      </c>
      <c r="B55">
        <f>'Mass Balance'!E55</f>
        <v>9.3703435178861185E-6</v>
      </c>
      <c r="C55">
        <f>SUM('Mass Balance'!E55:H55)</f>
        <v>1.2561914714458009E-5</v>
      </c>
      <c r="D55">
        <f>Concentrations!F55/Concentrations!E55</f>
        <v>0.74622365222951759</v>
      </c>
    </row>
    <row r="56" spans="1:4">
      <c r="A56">
        <f>'Mass Balance'!I56</f>
        <v>1.1903497523864297E-7</v>
      </c>
      <c r="B56">
        <f>'Mass Balance'!E56</f>
        <v>8.8735400666581257E-7</v>
      </c>
      <c r="C56">
        <f>SUM('Mass Balance'!E56:H56)</f>
        <v>2.5484286899587746E-6</v>
      </c>
      <c r="D56">
        <f>Concentrations!F56/Concentrations!E56</f>
        <v>0.34833231597096381</v>
      </c>
    </row>
    <row r="57" spans="1:4">
      <c r="A57">
        <f>'Mass Balance'!I57</f>
        <v>4.868809145823984E-8</v>
      </c>
      <c r="B57">
        <f>'Mass Balance'!E57</f>
        <v>1.3326291820419065E-6</v>
      </c>
      <c r="C57">
        <f>SUM('Mass Balance'!E57:H57)</f>
        <v>1.9582497366013609E-6</v>
      </c>
      <c r="D57">
        <f>Concentrations!F57/Concentrations!E57</f>
        <v>0.68078594465769415</v>
      </c>
    </row>
    <row r="58" spans="1:4">
      <c r="A58">
        <f>'Mass Balance'!I58</f>
        <v>1.2708164355456082E-9</v>
      </c>
      <c r="B58">
        <f>'Mass Balance'!E58</f>
        <v>2.3771773644970012E-6</v>
      </c>
      <c r="C58">
        <f>SUM('Mass Balance'!E58:H58)</f>
        <v>2.3823773545790953E-6</v>
      </c>
      <c r="D58">
        <f>Concentrations!F58/Concentrations!E58</f>
        <v>0.99820645128398877</v>
      </c>
    </row>
    <row r="59" spans="1:4">
      <c r="A59">
        <f>'Mass Balance'!I59</f>
        <v>1.7199910033514989E-8</v>
      </c>
      <c r="B59">
        <f>'Mass Balance'!E59</f>
        <v>5.0460305255764262E-7</v>
      </c>
      <c r="C59">
        <f>SUM('Mass Balance'!E59:H59)</f>
        <v>7.2458652783153432E-7</v>
      </c>
      <c r="D59">
        <f>Concentrations!F59/Concentrations!E59</f>
        <v>0.69667296359957631</v>
      </c>
    </row>
    <row r="60" spans="1:4">
      <c r="A60">
        <f>'Mass Balance'!I60</f>
        <v>2.868654254511533E-10</v>
      </c>
      <c r="B60">
        <f>'Mass Balance'!E60</f>
        <v>1.7988051586722171E-8</v>
      </c>
      <c r="C60">
        <f>SUM('Mass Balance'!E60:H60)</f>
        <v>2.1461617366420329E-8</v>
      </c>
      <c r="D60">
        <f>Concentrations!F60/Concentrations!E60</f>
        <v>0.83847673156790348</v>
      </c>
    </row>
    <row r="61" spans="1:4">
      <c r="A61">
        <f>'Mass Balance'!I61</f>
        <v>1.9533372148049674E-7</v>
      </c>
      <c r="B61">
        <f>'Mass Balance'!E61</f>
        <v>1.7241361321966412E-5</v>
      </c>
      <c r="C61">
        <f>SUM('Mass Balance'!E61:H61)</f>
        <v>1.9541174261851258E-5</v>
      </c>
      <c r="D61">
        <f>Concentrations!F61/Concentrations!E61</f>
        <v>0.8826534723257623</v>
      </c>
    </row>
    <row r="62" spans="1:4">
      <c r="A62">
        <f>'Mass Balance'!I62</f>
        <v>2.5716625739305626E-6</v>
      </c>
      <c r="B62">
        <f>'Mass Balance'!E62</f>
        <v>6.9880688033677867E-7</v>
      </c>
      <c r="C62">
        <f>SUM('Mass Balance'!E62:H62)</f>
        <v>1.6349808130189753E-5</v>
      </c>
      <c r="D62">
        <f>Concentrations!F62/Concentrations!E62</f>
        <v>4.2757652193050333E-2</v>
      </c>
    </row>
    <row r="63" spans="1:4">
      <c r="A63">
        <f>'Mass Balance'!I63</f>
        <v>7.1768018549029386E-6</v>
      </c>
      <c r="B63">
        <f>'Mass Balance'!E63</f>
        <v>7.4309993455388639E-8</v>
      </c>
      <c r="C63">
        <f>SUM('Mass Balance'!E63:H63)</f>
        <v>1.892054238552702E-5</v>
      </c>
      <c r="D63">
        <f>Concentrations!F63/Concentrations!E63</f>
        <v>3.9290086006088304E-3</v>
      </c>
    </row>
    <row r="64" spans="1:4">
      <c r="A64">
        <f>'Mass Balance'!I64</f>
        <v>8.9063362373216928E-6</v>
      </c>
      <c r="B64">
        <f>'Mass Balance'!E64</f>
        <v>2.8044775736315979E-8</v>
      </c>
      <c r="C64">
        <f>SUM('Mass Balance'!E64:H64)</f>
        <v>2.0897763934399948E-5</v>
      </c>
      <c r="D64">
        <f>Concentrations!F64/Concentrations!E64</f>
        <v>1.3425222460896708E-3</v>
      </c>
    </row>
    <row r="65" spans="1:4">
      <c r="A65">
        <f>'Mass Balance'!I65</f>
        <v>1.0480846991410327E-5</v>
      </c>
      <c r="B65">
        <f>'Mass Balance'!E65</f>
        <v>8.5234676029233173E-9</v>
      </c>
      <c r="C65">
        <f>SUM('Mass Balance'!E65:H65)</f>
        <v>2.2920649889018225E-5</v>
      </c>
      <c r="D65">
        <f>Concentrations!F65/Concentrations!E65</f>
        <v>3.7201352181030859E-4</v>
      </c>
    </row>
    <row r="66" spans="1:4">
      <c r="A66">
        <f>'Mass Balance'!I66</f>
        <v>9.6439511077657458E-6</v>
      </c>
      <c r="B66">
        <f>'Mass Balance'!E66</f>
        <v>1.6942997818339184E-8</v>
      </c>
      <c r="C66">
        <f>SUM('Mass Balance'!E66:H66)</f>
        <v>2.1824399668886544E-5</v>
      </c>
      <c r="D66">
        <f>Concentrations!F66/Concentrations!E66</f>
        <v>7.766355872181269E-4</v>
      </c>
    </row>
    <row r="67" spans="1:4">
      <c r="A67">
        <f>'Mass Balance'!I67</f>
        <v>2.3822118309835839E-8</v>
      </c>
      <c r="B67">
        <f>'Mass Balance'!E67</f>
        <v>3.3468520000285153E-5</v>
      </c>
      <c r="C67">
        <f>SUM('Mass Balance'!E67:H67)</f>
        <v>3.360384349909951E-5</v>
      </c>
      <c r="D67">
        <f>Concentrations!F67/Concentrations!E67</f>
        <v>0.99636139709402005</v>
      </c>
    </row>
    <row r="68" spans="1:4">
      <c r="A68">
        <f>'Mass Balance'!I68</f>
        <v>3.2662137367325617E-8</v>
      </c>
      <c r="B68">
        <f>'Mass Balance'!E68</f>
        <v>3.1217635275965767E-5</v>
      </c>
      <c r="C68">
        <f>SUM('Mass Balance'!E68:H68)</f>
        <v>3.1456844470890959E-5</v>
      </c>
      <c r="D68">
        <f>Concentrations!F68/Concentrations!E68</f>
        <v>0.99278266559629358</v>
      </c>
    </row>
    <row r="69" spans="1:4">
      <c r="A69">
        <f>'Mass Balance'!I69</f>
        <v>4.4955527184966218E-6</v>
      </c>
      <c r="B69">
        <f>'Mass Balance'!E69</f>
        <v>2.6180555024230843E-7</v>
      </c>
      <c r="C69">
        <f>SUM('Mass Balance'!E69:H69)</f>
        <v>1.6609292621525884E-5</v>
      </c>
      <c r="D69">
        <f>Concentrations!F69/Concentrations!E69</f>
        <v>1.5768742130658431E-2</v>
      </c>
    </row>
    <row r="70" spans="1:4">
      <c r="A70">
        <f>'Mass Balance'!I70</f>
        <v>8.1635514791153044E-7</v>
      </c>
      <c r="B70">
        <f>'Mass Balance'!E70</f>
        <v>3.7312138920216548E-6</v>
      </c>
      <c r="C70">
        <f>SUM('Mass Balance'!E70:H70)</f>
        <v>1.5468388103754268E-5</v>
      </c>
      <c r="D70">
        <f>Concentrations!F70/Concentrations!E70</f>
        <v>0.2413095023658347</v>
      </c>
    </row>
    <row r="71" spans="1:4">
      <c r="A71">
        <f>'Mass Balance'!I71</f>
        <v>3.0483102482478551E-8</v>
      </c>
      <c r="B71">
        <f>'Mass Balance'!E71</f>
        <v>3.1081826193707161E-5</v>
      </c>
      <c r="C71">
        <f>SUM('Mass Balance'!E71:H71)</f>
        <v>3.1297679662502022E-5</v>
      </c>
      <c r="D71">
        <f>Concentrations!F71/Concentrations!E71</f>
        <v>0.99349051410971345</v>
      </c>
    </row>
    <row r="72" spans="1:4">
      <c r="A72">
        <f>'Mass Balance'!I72</f>
        <v>7.4568864897988384E-7</v>
      </c>
      <c r="B72">
        <f>'Mass Balance'!E72</f>
        <v>4.0120505598400636E-6</v>
      </c>
      <c r="C72">
        <f>SUM('Mass Balance'!E72:H72)</f>
        <v>1.4627291823214452E-5</v>
      </c>
      <c r="D72">
        <f>Concentrations!F72/Concentrations!E72</f>
        <v>0.27439223036697236</v>
      </c>
    </row>
    <row r="73" spans="1:4">
      <c r="A73">
        <f>'Mass Balance'!I73</f>
        <v>2.0574994476258356E-7</v>
      </c>
      <c r="B73">
        <f>'Mass Balance'!E73</f>
        <v>1.6209681110867373E-5</v>
      </c>
      <c r="C73">
        <f>SUM('Mass Balance'!E73:H73)</f>
        <v>1.8655625996990213E-5</v>
      </c>
      <c r="D73">
        <f>Concentrations!F73/Concentrations!E73</f>
        <v>0.86922855121551568</v>
      </c>
    </row>
    <row r="74" spans="1:4">
      <c r="A74">
        <f>'Mass Balance'!I74</f>
        <v>7.9875347197458348E-7</v>
      </c>
      <c r="B74">
        <f>'Mass Balance'!E74</f>
        <v>3.8249430910585818E-6</v>
      </c>
      <c r="C74">
        <f>SUM('Mass Balance'!E74:H74)</f>
        <v>1.5276538801494053E-5</v>
      </c>
      <c r="D74">
        <f>Concentrations!F74/Concentrations!E74</f>
        <v>0.25047786269637612</v>
      </c>
    </row>
    <row r="75" spans="1:4">
      <c r="A75">
        <f>'Mass Balance'!I75</f>
        <v>1.3296930442359052E-6</v>
      </c>
      <c r="B75">
        <f>'Mass Balance'!E75</f>
        <v>1.6126184971145852E-6</v>
      </c>
      <c r="C75">
        <f>SUM('Mass Balance'!E75:H75)</f>
        <v>3.8639210428784221E-5</v>
      </c>
      <c r="D75">
        <f>Concentrations!F75/Concentrations!E75</f>
        <v>4.1751562404633208E-2</v>
      </c>
    </row>
    <row r="76" spans="1:4">
      <c r="A76">
        <f>'Mass Balance'!I76</f>
        <v>1.3296930508735656E-6</v>
      </c>
      <c r="B76">
        <f>'Mass Balance'!E76</f>
        <v>1.612618505164574E-6</v>
      </c>
      <c r="C76">
        <f>SUM('Mass Balance'!E76:H76)</f>
        <v>3.8639210621666301E-5</v>
      </c>
      <c r="D76">
        <f>Concentrations!F76/Concentrations!E76</f>
        <v>4.1751562404633215E-2</v>
      </c>
    </row>
    <row r="77" spans="1:4">
      <c r="A77">
        <f>'Mass Balance'!I77</f>
        <v>4.1089053160561899E-7</v>
      </c>
      <c r="B77">
        <f>'Mass Balance'!E77</f>
        <v>8.9213820603764472E-6</v>
      </c>
      <c r="C77">
        <f>SUM('Mass Balance'!E77:H77)</f>
        <v>1.4282465536656833E-5</v>
      </c>
      <c r="D77">
        <f>Concentrations!F77/Concentrations!E77</f>
        <v>0.62488239900950349</v>
      </c>
    </row>
    <row r="78" spans="1:4">
      <c r="A78">
        <f>'Mass Balance'!I78</f>
        <v>7.4090596073942511E-8</v>
      </c>
      <c r="B78">
        <f>'Mass Balance'!E78</f>
        <v>2.4471831660951603E-5</v>
      </c>
      <c r="C78">
        <f>SUM('Mass Balance'!E78:H78)</f>
        <v>2.521591291275671E-5</v>
      </c>
      <c r="D78">
        <f>Concentrations!F78/Concentrations!E78</f>
        <v>0.9708700837074894</v>
      </c>
    </row>
    <row r="79" spans="1:4">
      <c r="A79">
        <f>'Mass Balance'!I79</f>
        <v>1.4110571888379309E-7</v>
      </c>
      <c r="B79">
        <f>'Mass Balance'!E79</f>
        <v>1.9984657400976714E-5</v>
      </c>
      <c r="C79">
        <f>SUM('Mass Balance'!E79:H79)</f>
        <v>2.1573073357430111E-5</v>
      </c>
      <c r="D79">
        <f>Concentrations!F79/Concentrations!E79</f>
        <v>0.92673171443555502</v>
      </c>
    </row>
    <row r="80" spans="1:4">
      <c r="A80">
        <f>'Mass Balance'!I80</f>
        <v>2.5326306131826738E-6</v>
      </c>
      <c r="B80">
        <f>'Mass Balance'!E80</f>
        <v>1.072170948052278E-6</v>
      </c>
      <c r="C80">
        <f>SUM('Mass Balance'!E80:H80)</f>
        <v>3.7430203691214665E-5</v>
      </c>
      <c r="D80">
        <f>Concentrations!F80/Concentrations!E80</f>
        <v>2.8655710640265231E-2</v>
      </c>
    </row>
    <row r="81" spans="1:4">
      <c r="A81">
        <f>'Mass Balance'!I81</f>
        <v>1.2663942689482779E-8</v>
      </c>
      <c r="B81">
        <f>'Mass Balance'!E81</f>
        <v>3.88257846378227E-5</v>
      </c>
      <c r="C81">
        <f>SUM('Mass Balance'!E81:H81)</f>
        <v>3.883084313954333E-5</v>
      </c>
      <c r="D81">
        <f>Concentrations!F81/Concentrations!E81</f>
        <v>1.0002596710296734</v>
      </c>
    </row>
    <row r="82" spans="1:4">
      <c r="A82">
        <f>'Mass Balance'!I82</f>
        <v>3.7953162530200539E-8</v>
      </c>
      <c r="B82">
        <f>'Mass Balance'!E82</f>
        <v>3.0618518830833219E-5</v>
      </c>
      <c r="C82">
        <f>SUM('Mass Balance'!E82:H82)</f>
        <v>3.0918568581729562E-5</v>
      </c>
      <c r="D82">
        <f>Concentrations!F82/Concentrations!E82</f>
        <v>0.99068169111119397</v>
      </c>
    </row>
    <row r="83" spans="1:4">
      <c r="A83">
        <f>'Mass Balance'!I83</f>
        <v>3.8052731398728924E-7</v>
      </c>
      <c r="B83">
        <f>'Mass Balance'!E83</f>
        <v>1.0659091144788481E-5</v>
      </c>
      <c r="C83">
        <f>SUM('Mass Balance'!E83:H83)</f>
        <v>1.5541129104471535E-5</v>
      </c>
      <c r="D83">
        <f>Concentrations!F83/Concentrations!E83</f>
        <v>0.68613084890735798</v>
      </c>
    </row>
    <row r="84" spans="1:4">
      <c r="A84">
        <f>'Mass Balance'!I84</f>
        <v>1.405655939394119E-8</v>
      </c>
      <c r="B84">
        <f>'Mass Balance'!E84</f>
        <v>3.7475820648442582E-5</v>
      </c>
      <c r="C84">
        <f>SUM('Mass Balance'!E84:H84)</f>
        <v>3.7497866030679194E-5</v>
      </c>
      <c r="D84">
        <f>Concentrations!F84/Concentrations!E84</f>
        <v>0.99980185243897624</v>
      </c>
    </row>
    <row r="85" spans="1:4">
      <c r="A85">
        <f>'Mass Balance'!I85</f>
        <v>1.2403663832280154E-8</v>
      </c>
      <c r="B85">
        <f>'Mass Balance'!E85</f>
        <v>3.9504726191988548E-5</v>
      </c>
      <c r="C85">
        <f>SUM('Mass Balance'!E85:H85)</f>
        <v>3.9505689347123975E-5</v>
      </c>
      <c r="D85">
        <f>Concentrations!F85/Concentrations!E85</f>
        <v>1.0003656023636858</v>
      </c>
    </row>
    <row r="86" spans="1:4">
      <c r="A86">
        <f>'Mass Balance'!I86</f>
        <v>1.3969629164517551E-8</v>
      </c>
      <c r="B86">
        <f>'Mass Balance'!E86</f>
        <v>3.7536986307991241E-5</v>
      </c>
      <c r="C86">
        <f>SUM('Mass Balance'!E86:H86)</f>
        <v>3.755801047902016E-5</v>
      </c>
      <c r="D86">
        <f>Concentrations!F86/Concentrations!E86</f>
        <v>0.99982999511187032</v>
      </c>
    </row>
    <row r="87" spans="1:4">
      <c r="A87">
        <f>'Mass Balance'!I87</f>
        <v>6.4876525559114613E-6</v>
      </c>
      <c r="B87">
        <f>'Mass Balance'!E87</f>
        <v>1.0466341015244635E-7</v>
      </c>
      <c r="C87">
        <f>SUM('Mass Balance'!E87:H87)</f>
        <v>1.8231835896432152E-5</v>
      </c>
      <c r="D87">
        <f>Concentrations!F87/Concentrations!E87</f>
        <v>5.742933879149207E-3</v>
      </c>
    </row>
    <row r="88" spans="1:4">
      <c r="A88">
        <f>'Mass Balance'!I88</f>
        <v>6.1701050726950079E-8</v>
      </c>
      <c r="B88">
        <f>'Mass Balance'!E88</f>
        <v>2.7175726105792063E-5</v>
      </c>
      <c r="C88">
        <f>SUM('Mass Balance'!E88:H88)</f>
        <v>2.7761080050452318E-5</v>
      </c>
      <c r="D88">
        <f>Concentrations!F88/Concentrations!E88</f>
        <v>0.97929635205464505</v>
      </c>
    </row>
    <row r="89" spans="1:4">
      <c r="A89">
        <f>'Mass Balance'!I89</f>
        <v>4.1414972053530432E-8</v>
      </c>
      <c r="B89">
        <f>'Mass Balance'!E89</f>
        <v>3.0030113791770852E-5</v>
      </c>
      <c r="C89">
        <f>SUM('Mass Balance'!E89:H89)</f>
        <v>3.0371210039116665E-5</v>
      </c>
      <c r="D89">
        <f>Concentrations!F89/Concentrations!E89</f>
        <v>0.98915470467762656</v>
      </c>
    </row>
    <row r="90" spans="1:4">
      <c r="A90">
        <f>'Mass Balance'!I90</f>
        <v>1.8978513477444657E-8</v>
      </c>
      <c r="B90">
        <f>'Mass Balance'!E90</f>
        <v>3.5153735823724326E-5</v>
      </c>
      <c r="C90">
        <f>SUM('Mass Balance'!E90:H90)</f>
        <v>3.5232545773754801E-5</v>
      </c>
      <c r="D90">
        <f>Concentrations!F90/Concentrations!E90</f>
        <v>0.9981522688285277</v>
      </c>
    </row>
    <row r="91" spans="1:4">
      <c r="A91">
        <f>'Mass Balance'!I91</f>
        <v>2.8253022540717918E-6</v>
      </c>
      <c r="B91">
        <f>'Mass Balance'!E91</f>
        <v>6.0793462323439102E-7</v>
      </c>
      <c r="C91">
        <f>SUM('Mass Balance'!E91:H91)</f>
        <v>1.6284632236268142E-5</v>
      </c>
      <c r="D91">
        <f>Concentrations!F91/Concentrations!E91</f>
        <v>3.7346358460614348E-2</v>
      </c>
    </row>
    <row r="92" spans="1:4">
      <c r="A92">
        <f>'Mass Balance'!I92</f>
        <v>3.0000867247349078E-7</v>
      </c>
      <c r="B92">
        <f>'Mass Balance'!E92</f>
        <v>1.3029491564206323E-5</v>
      </c>
      <c r="C92">
        <f>SUM('Mass Balance'!E92:H92)</f>
        <v>1.6763329499449279E-5</v>
      </c>
      <c r="D92">
        <f>Concentrations!F92/Concentrations!E92</f>
        <v>0.7775646814410051</v>
      </c>
    </row>
    <row r="93" spans="1:4">
      <c r="A93">
        <f>'Mass Balance'!I93</f>
        <v>7.0469780953348401E-7</v>
      </c>
      <c r="B93">
        <f>'Mass Balance'!E93</f>
        <v>5.014188070856216E-6</v>
      </c>
      <c r="C93">
        <f>SUM('Mass Balance'!E93:H93)</f>
        <v>1.4876025192461117E-5</v>
      </c>
      <c r="D93">
        <f>Concentrations!F93/Concentrations!E93</f>
        <v>0.33719649566104476</v>
      </c>
    </row>
    <row r="94" spans="1:4">
      <c r="A94">
        <f>'Mass Balance'!I94</f>
        <v>1.5682774064152614E-8</v>
      </c>
      <c r="B94">
        <f>'Mass Balance'!E94</f>
        <v>3.9514903343827822E-5</v>
      </c>
      <c r="C94">
        <f>SUM('Mass Balance'!E94:H94)</f>
        <v>3.9977297719130274E-5</v>
      </c>
      <c r="D94">
        <f>Concentrations!F94/Concentrations!E94</f>
        <v>0.98881905723356001</v>
      </c>
    </row>
    <row r="95" spans="1:4">
      <c r="A95">
        <f>'Mass Balance'!I95</f>
        <v>1.44477713088378E-6</v>
      </c>
      <c r="B95">
        <f>'Mass Balance'!E95</f>
        <v>1.4502638136939809E-6</v>
      </c>
      <c r="C95">
        <f>SUM('Mass Balance'!E95:H95)</f>
        <v>1.7470410186186643E-5</v>
      </c>
      <c r="D95">
        <f>Concentrations!F95/Concentrations!E95</f>
        <v>8.304495369984885E-2</v>
      </c>
    </row>
    <row r="96" spans="1:4">
      <c r="A96">
        <f>'Mass Balance'!I96</f>
        <v>1.26922070174888E-8</v>
      </c>
      <c r="B96">
        <f>'Mass Balance'!E96</f>
        <v>3.878066264439E-5</v>
      </c>
      <c r="C96">
        <f>SUM('Mass Balance'!E96:H96)</f>
        <v>3.8786100480875456E-5</v>
      </c>
      <c r="D96">
        <f>Concentrations!F96/Concentrations!E96</f>
        <v>1.0002497367076915</v>
      </c>
    </row>
    <row r="97" spans="1:4">
      <c r="A97">
        <f>'Mass Balance'!I97</f>
        <v>1.4101636533769987E-8</v>
      </c>
      <c r="B97">
        <f>'Mass Balance'!E97</f>
        <v>3.7444701544298561E-5</v>
      </c>
      <c r="C97">
        <f>SUM('Mass Balance'!E97:H97)</f>
        <v>3.7467275661689661E-5</v>
      </c>
      <c r="D97">
        <f>Concentrations!F97/Concentrations!E97</f>
        <v>0.99978725482667152</v>
      </c>
    </row>
    <row r="98" spans="1:4">
      <c r="A98">
        <f>'Mass Balance'!I98</f>
        <v>9.233114920955579E-7</v>
      </c>
      <c r="B98">
        <f>'Mass Balance'!E98</f>
        <v>2.9748892615819404E-6</v>
      </c>
      <c r="C98">
        <f>SUM('Mass Balance'!E98:H98)</f>
        <v>1.6534631677980676E-5</v>
      </c>
      <c r="D98">
        <f>Concentrations!F98/Concentrations!E98</f>
        <v>0.17998885627798375</v>
      </c>
    </row>
    <row r="99" spans="1:4">
      <c r="A99">
        <f>'Mass Balance'!I99</f>
        <v>1.2390828411874432E-8</v>
      </c>
      <c r="B99">
        <f>'Mass Balance'!E99</f>
        <v>3.9653475845949755E-5</v>
      </c>
      <c r="C99">
        <f>SUM('Mass Balance'!E99:H99)</f>
        <v>3.9653957712699213E-5</v>
      </c>
      <c r="D99">
        <f>Concentrations!F99/Concentrations!E99</f>
        <v>1.0003778355007851</v>
      </c>
    </row>
    <row r="100" spans="1:4">
      <c r="A100">
        <f>'Mass Balance'!I100</f>
        <v>1.2405124888288608E-7</v>
      </c>
      <c r="B100">
        <f>'Mass Balance'!E100</f>
        <v>2.1454541884853315E-5</v>
      </c>
      <c r="C100">
        <f>SUM('Mass Balance'!E100:H100)</f>
        <v>2.282054590130953E-5</v>
      </c>
      <c r="D100">
        <f>Concentrations!F100/Concentrations!E100</f>
        <v>0.9405081314930559</v>
      </c>
    </row>
    <row r="101" spans="1:4">
      <c r="A101">
        <f>'Mass Balance'!I101</f>
        <v>1.2416953621221317E-8</v>
      </c>
      <c r="B101">
        <f>'Mass Balance'!E101</f>
        <v>3.9427578617551916E-5</v>
      </c>
      <c r="C101">
        <f>SUM('Mass Balance'!E101:H101)</f>
        <v>3.9428851948331342E-5</v>
      </c>
      <c r="D101">
        <f>Concentrations!F101/Concentrations!E101</f>
        <v>1.0003576850484845</v>
      </c>
    </row>
    <row r="102" spans="1:4">
      <c r="A102">
        <f>'Mass Balance'!I102</f>
        <v>1.2401113952023842E-8</v>
      </c>
      <c r="B102">
        <f>'Mass Balance'!E102</f>
        <v>3.9845653961638784E-5</v>
      </c>
      <c r="C102">
        <f>SUM('Mass Balance'!E102:H102)</f>
        <v>3.9845750729750015E-5</v>
      </c>
      <c r="D102">
        <f>Concentrations!F102/Concentrations!E102</f>
        <v>1.0003875625194714</v>
      </c>
    </row>
    <row r="103" spans="1:4">
      <c r="A103">
        <f>'Mass Balance'!I103</f>
        <v>1.2390581487058859E-8</v>
      </c>
      <c r="B103">
        <f>'Mass Balance'!E103</f>
        <v>3.9664120237586643E-5</v>
      </c>
      <c r="C103">
        <f>SUM('Mass Balance'!E103:H103)</f>
        <v>3.9664573687556023E-5</v>
      </c>
      <c r="D103">
        <f>Concentrations!F103/Concentrations!E103</f>
        <v>1.0003785554610216</v>
      </c>
    </row>
    <row r="104" spans="1:4">
      <c r="A104">
        <f>'Mass Balance'!I104</f>
        <v>1.3213841988662612E-8</v>
      </c>
      <c r="B104">
        <f>'Mass Balance'!E104</f>
        <v>3.8157731946086458E-5</v>
      </c>
      <c r="C104">
        <f>SUM('Mass Balance'!E104:H104)</f>
        <v>3.8169742690301355E-5</v>
      </c>
      <c r="D104">
        <f>Concentrations!F104/Concentrations!E104</f>
        <v>1.0000752026892545</v>
      </c>
    </row>
    <row r="105" spans="1:4">
      <c r="A105">
        <f>'Mass Balance'!I105</f>
        <v>1.2397546865079269E-8</v>
      </c>
      <c r="B105">
        <f>'Mass Balance'!E105</f>
        <v>3.9817346548012741E-5</v>
      </c>
      <c r="C105">
        <f>SUM('Mass Balance'!E105:H105)</f>
        <v>3.9817482579550148E-5</v>
      </c>
      <c r="D105">
        <f>Concentrations!F105/Concentrations!E105</f>
        <v>1.0003865743249911</v>
      </c>
    </row>
    <row r="106" spans="1:4">
      <c r="A106">
        <f>'Mass Balance'!I106</f>
        <v>2.2923970926859464E-8</v>
      </c>
      <c r="B106">
        <f>'Mass Balance'!E106</f>
        <v>3.3908618572758439E-5</v>
      </c>
      <c r="C106">
        <f>SUM('Mass Balance'!E106:H106)</f>
        <v>3.4032883445518762E-5</v>
      </c>
      <c r="D106">
        <f>Concentrations!F106/Concentrations!E106</f>
        <v>0.99673725025991455</v>
      </c>
    </row>
    <row r="107" spans="1:4">
      <c r="A107">
        <f>'Mass Balance'!I107</f>
        <v>1.0076423929540023E-6</v>
      </c>
      <c r="B107">
        <f>'Mass Balance'!E107</f>
        <v>2.3976295758734574E-6</v>
      </c>
      <c r="C107">
        <f>SUM('Mass Balance'!E107:H107)</f>
        <v>1.7470248759196941E-5</v>
      </c>
      <c r="D107">
        <f>Concentrations!F107/Concentrations!E107</f>
        <v>0.13729424608490648</v>
      </c>
    </row>
    <row r="108" spans="1:4">
      <c r="A108">
        <f>'Mass Balance'!I108</f>
        <v>9.948401327997839E-8</v>
      </c>
      <c r="B108">
        <f>'Mass Balance'!E108</f>
        <v>2.336825149724583E-5</v>
      </c>
      <c r="C108">
        <f>SUM('Mass Balance'!E108:H108)</f>
        <v>2.4422013020453603E-5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2024-10-28T23:24:23Z</dcterms:modified>
</cp:coreProperties>
</file>