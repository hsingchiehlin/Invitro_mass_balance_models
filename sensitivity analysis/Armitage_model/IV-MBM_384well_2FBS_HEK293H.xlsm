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545AB8DF-C8B3-4683-AAB0-3C75AF9CFEAD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P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<sst xmlns="http://schemas.openxmlformats.org/spreadsheetml/2006/main" count="3131" uniqueCount="515">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</sst>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2.7549999999999999</v>
      </c>
      <c r="K5" s="136">
        <v>2.9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1.1020000000000001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0.55100000000000005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0.27550000000000002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5.8000000000000003E-2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4.6399999999999997E-2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1.6240000000000001E-2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8.9899999999999997E-3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6.6699999999999997E-3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3.48E-3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5.8000000000000003E-2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1.0200000000000001E-2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2.3800000000000002E-2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0.08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1.6240000000000001E-2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1.6240000000000001E-2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4.06E-4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1.3804000000000002E-5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8.1106605414214301E-8</v>
      </c>
      <c r="J2" s="67" t="s">
        <v>231</v>
      </c>
      <c r="K2" s="68">
        <v>8.9463351356381976E-4</v>
      </c>
      <c r="L2" s="67" t="s">
        <v>231</v>
      </c>
      <c r="M2" s="68">
        <v>1.1368716770713645E-3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9.9038182742911328E-6</v>
      </c>
      <c r="J3" s="67" t="s">
        <v>231</v>
      </c>
      <c r="K3" s="68">
        <v>1.101300959609483E-2</v>
      </c>
      <c r="L3" s="67" t="s">
        <v>231</v>
      </c>
      <c r="M3" s="68">
        <v>0.30402263434500837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9.134044777927841E-15</v>
      </c>
      <c r="J4" s="67" t="s">
        <v>231</v>
      </c>
      <c r="K4" s="68">
        <v>1.0505013023607913E-3</v>
      </c>
      <c r="L4" s="67" t="s">
        <v>231</v>
      </c>
      <c r="M4" s="68">
        <v>3.0496005532619137E-3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2.051068307850935E-10</v>
      </c>
      <c r="J5" s="67" t="s">
        <v>231</v>
      </c>
      <c r="K5" s="68">
        <v>2.6131859893089417E-3</v>
      </c>
      <c r="L5" s="67" t="s">
        <v>231</v>
      </c>
      <c r="M5" s="68">
        <v>7.558251300019346E-2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8.9052152359267968E-7</v>
      </c>
      <c r="J6" s="67" t="s">
        <v>231</v>
      </c>
      <c r="K6" s="68">
        <v>4.6067941655661198E-3</v>
      </c>
      <c r="L6" s="67" t="s">
        <v>231</v>
      </c>
      <c r="M6" s="68">
        <v>0.16233599785354175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7.8562148668123806E-6</v>
      </c>
      <c r="J7" s="67" t="s">
        <v>231</v>
      </c>
      <c r="K7" s="68">
        <v>1.0745626623493879E-2</v>
      </c>
      <c r="L7" s="67" t="s">
        <v>231</v>
      </c>
      <c r="M7" s="68">
        <v>0.4188755133294324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1.7214673905389961E-8</v>
      </c>
      <c r="J8" s="67" t="s">
        <v>231</v>
      </c>
      <c r="K8" s="68">
        <v>6.090999302319022E-3</v>
      </c>
      <c r="L8" s="67" t="s">
        <v>231</v>
      </c>
      <c r="M8" s="68">
        <v>0.22775114947032404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6.4053500607253893E-7</v>
      </c>
      <c r="J9" s="67" t="s">
        <v>231</v>
      </c>
      <c r="K9" s="68">
        <v>2.2688799142080857E-3</v>
      </c>
      <c r="L9" s="67" t="s">
        <v>231</v>
      </c>
      <c r="M9" s="68">
        <v>6.0278916147168703E-2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9.6611593019129045E-4</v>
      </c>
      <c r="J10" s="67" t="s">
        <v>231</v>
      </c>
      <c r="K10" s="68">
        <v>9.5888765109110818E-2</v>
      </c>
      <c r="L10" s="67" t="s">
        <v>231</v>
      </c>
      <c r="M10" s="68">
        <v>3.1688240500418954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3.0668048881239118E-8</v>
      </c>
      <c r="J11" s="67" t="s">
        <v>231</v>
      </c>
      <c r="K11" s="68">
        <v>0.81600876482289064</v>
      </c>
      <c r="L11" s="67" t="s">
        <v>231</v>
      </c>
      <c r="M11" s="68">
        <v>30.898818480713306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2.3961934088064148E-8</v>
      </c>
      <c r="J12" s="67" t="s">
        <v>231</v>
      </c>
      <c r="K12" s="68">
        <v>8.1266304172306915E-4</v>
      </c>
      <c r="L12" s="67" t="s">
        <v>231</v>
      </c>
      <c r="M12" s="68">
        <v>6.1391117347846618E-5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1.1195234684304568E-3</v>
      </c>
      <c r="J13" s="67" t="s">
        <v>231</v>
      </c>
      <c r="K13" s="68">
        <v>7.0832693646430663E-3</v>
      </c>
      <c r="L13" s="67" t="s">
        <v>231</v>
      </c>
      <c r="M13" s="68">
        <v>0.21362404872451504</v>
      </c>
      <c r="N13" s="67" t="s">
        <v>231</v>
      </c>
      <c r="P13" s="109" t="s">
        <v>192</v>
      </c>
      <c r="Q13" s="103">
        <f>COUNTIF(J2:J50000,"Yes")</f>
        <v>10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8.4929103303410837E-8</v>
      </c>
      <c r="J14" s="67" t="s">
        <v>231</v>
      </c>
      <c r="K14" s="68">
        <v>3.6782296020492676E-2</v>
      </c>
      <c r="L14" s="67" t="s">
        <v>231</v>
      </c>
      <c r="M14" s="68">
        <v>1.5224574020191488</v>
      </c>
      <c r="N14" s="67" t="s">
        <v>231</v>
      </c>
      <c r="P14" s="109" t="s">
        <v>229</v>
      </c>
      <c r="Q14" s="103">
        <f>COUNTIF(N2:N50000,"Yes")</f>
        <v>6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1.0877772513346044E-6</v>
      </c>
      <c r="J15" s="67" t="s">
        <v>231</v>
      </c>
      <c r="K15" s="68">
        <v>1.5983564110961875E-3</v>
      </c>
      <c r="L15" s="67" t="s">
        <v>231</v>
      </c>
      <c r="M15" s="68">
        <v>2.9657736110583911E-2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1.0061496285020604E-4</v>
      </c>
      <c r="J16" s="67" t="s">
        <v>231</v>
      </c>
      <c r="K16" s="68">
        <v>8.0641854457016819E-3</v>
      </c>
      <c r="L16" s="67" t="s">
        <v>231</v>
      </c>
      <c r="M16" s="68">
        <v>0.24655980674544109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2.226055877421421E-6</v>
      </c>
      <c r="J17" s="67" t="s">
        <v>231</v>
      </c>
      <c r="K17" s="68">
        <v>7.4214046870711816E-3</v>
      </c>
      <c r="L17" s="67" t="s">
        <v>231</v>
      </c>
      <c r="M17" s="68">
        <v>0.225034968436546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1.1797896032369044E-2</v>
      </c>
      <c r="J18" s="67" t="s">
        <v>232</v>
      </c>
      <c r="K18" s="68">
        <v>0.50059023623662124</v>
      </c>
      <c r="L18" s="67" t="s">
        <v>231</v>
      </c>
      <c r="M18" s="68">
        <v>16.701718795577364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1.8132389528624177E-6</v>
      </c>
      <c r="J19" s="67" t="s">
        <v>231</v>
      </c>
      <c r="K19" s="68">
        <v>1.1169974808278235E-3</v>
      </c>
      <c r="L19" s="67" t="s">
        <v>231</v>
      </c>
      <c r="M19" s="68">
        <v>1.0249645253537025E-2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5.0822567040565565E-6</v>
      </c>
      <c r="J20" s="67" t="s">
        <v>231</v>
      </c>
      <c r="K20" s="68">
        <v>1.3125408720583247E-3</v>
      </c>
      <c r="L20" s="67" t="s">
        <v>231</v>
      </c>
      <c r="M20" s="68">
        <v>1.7658388506880195E-2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7.6901785019798811E-6</v>
      </c>
      <c r="J21" s="67" t="s">
        <v>231</v>
      </c>
      <c r="K21" s="68">
        <v>2.4418302055456764E-2</v>
      </c>
      <c r="L21" s="67" t="s">
        <v>231</v>
      </c>
      <c r="M21" s="68">
        <v>0.83687979265221701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4.0148544128973066E-8</v>
      </c>
      <c r="J22" s="67" t="s">
        <v>231</v>
      </c>
      <c r="K22" s="68">
        <v>8.5347120186133251E-4</v>
      </c>
      <c r="L22" s="67" t="s">
        <v>231</v>
      </c>
      <c r="M22" s="68">
        <v>1.8468902032301321E-3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1.1162278323521359E-5</v>
      </c>
      <c r="J23" s="67" t="s">
        <v>231</v>
      </c>
      <c r="K23" s="68">
        <v>2.2008443794319784E-3</v>
      </c>
      <c r="L23" s="67" t="s">
        <v>231</v>
      </c>
      <c r="M23" s="68">
        <v>5.0125068574895043E-2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2.0822264932533692E-4</v>
      </c>
      <c r="J24" s="67" t="s">
        <v>231</v>
      </c>
      <c r="K24" s="68">
        <v>1.1999649348568507E-2</v>
      </c>
      <c r="L24" s="67" t="s">
        <v>231</v>
      </c>
      <c r="M24" s="68">
        <v>0.37824161530077965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3.9400243382492683E-3</v>
      </c>
      <c r="J25" s="67" t="s">
        <v>231</v>
      </c>
      <c r="K25" s="68">
        <v>0.44910684786530625</v>
      </c>
      <c r="L25" s="67" t="s">
        <v>231</v>
      </c>
      <c r="M25" s="68">
        <v>14.971178122130249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2.9261134796130486E-4</v>
      </c>
      <c r="J26" s="67" t="s">
        <v>231</v>
      </c>
      <c r="K26" s="68">
        <v>2.2189338347326958E-2</v>
      </c>
      <c r="L26" s="67" t="s">
        <v>231</v>
      </c>
      <c r="M26" s="68">
        <v>0.72209777351341431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6.9648223168497281E-5</v>
      </c>
      <c r="J27" s="67" t="s">
        <v>231</v>
      </c>
      <c r="K27" s="68">
        <v>1.045710058567601E-2</v>
      </c>
      <c r="L27" s="67" t="s">
        <v>231</v>
      </c>
      <c r="M27" s="68">
        <v>0.34402724369138282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2.7272565583916848E-5</v>
      </c>
      <c r="J28" s="67" t="s">
        <v>231</v>
      </c>
      <c r="K28" s="68">
        <v>4.2734977940463627E-3</v>
      </c>
      <c r="L28" s="67" t="s">
        <v>231</v>
      </c>
      <c r="M28" s="68">
        <v>0.13949975334829121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2.5870477231037347E-7</v>
      </c>
      <c r="J29" s="67" t="s">
        <v>231</v>
      </c>
      <c r="K29" s="68">
        <v>9.9017648535941832E-5</v>
      </c>
      <c r="L29" s="67" t="s">
        <v>231</v>
      </c>
      <c r="M29" s="68">
        <v>1.5179842717211844E-3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6.0286542770515907E-6</v>
      </c>
      <c r="J30" s="67" t="s">
        <v>231</v>
      </c>
      <c r="K30" s="68">
        <v>1.5099797009317589E-3</v>
      </c>
      <c r="L30" s="67" t="s">
        <v>231</v>
      </c>
      <c r="M30" s="68">
        <v>4.925832951486353E-2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8.9781375236315799E-8</v>
      </c>
      <c r="J31" s="67" t="s">
        <v>231</v>
      </c>
      <c r="K31" s="68">
        <v>2.5131302313472799E-5</v>
      </c>
      <c r="L31" s="67" t="s">
        <v>231</v>
      </c>
      <c r="M31" s="68">
        <v>8.1154415612840066E-4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9.9800575893040327E-5</v>
      </c>
      <c r="J32" s="67" t="s">
        <v>231</v>
      </c>
      <c r="K32" s="68">
        <v>6.0984967778018396E-3</v>
      </c>
      <c r="L32" s="67" t="s">
        <v>231</v>
      </c>
      <c r="M32" s="68">
        <v>0.18057009958888159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3.1279618861543679E-5</v>
      </c>
      <c r="J33" s="67" t="s">
        <v>231</v>
      </c>
      <c r="K33" s="68">
        <v>3.2695075051625967E-3</v>
      </c>
      <c r="L33" s="67" t="s">
        <v>231</v>
      </c>
      <c r="M33" s="68">
        <v>8.4792586432820519E-2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1.501620510645115E-4</v>
      </c>
      <c r="J34" s="67" t="s">
        <v>231</v>
      </c>
      <c r="K34" s="68">
        <v>2.6574809456761255E-2</v>
      </c>
      <c r="L34" s="67" t="s">
        <v>231</v>
      </c>
      <c r="M34" s="68">
        <v>0.86334825454075192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1.5025689851042763E-3</v>
      </c>
      <c r="J35" s="67" t="s">
        <v>231</v>
      </c>
      <c r="K35" s="68">
        <v>7.3297779246094874E-2</v>
      </c>
      <c r="L35" s="67" t="s">
        <v>231</v>
      </c>
      <c r="M35" s="68">
        <v>2.4172710239995228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3.6618638896182307E-3</v>
      </c>
      <c r="J36" s="67" t="s">
        <v>231</v>
      </c>
      <c r="K36" s="68">
        <v>0.19454011406946217</v>
      </c>
      <c r="L36" s="67" t="s">
        <v>231</v>
      </c>
      <c r="M36" s="68">
        <v>6.4522297077368567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2.5164694321424506E-3</v>
      </c>
      <c r="J37" s="67" t="s">
        <v>231</v>
      </c>
      <c r="K37" s="68">
        <v>0.48090547364573832</v>
      </c>
      <c r="L37" s="67" t="s">
        <v>231</v>
      </c>
      <c r="M37" s="68">
        <v>16.041139457612346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1.2948274572828122E-3</v>
      </c>
      <c r="J38" s="67" t="s">
        <v>231</v>
      </c>
      <c r="K38" s="68">
        <v>0.284782241392466</v>
      </c>
      <c r="L38" s="67" t="s">
        <v>231</v>
      </c>
      <c r="M38" s="68">
        <v>9.4649756583289317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7.2817450974189263E-4</v>
      </c>
      <c r="J39" s="67" t="s">
        <v>231</v>
      </c>
      <c r="K39" s="68">
        <v>0.19461108534592883</v>
      </c>
      <c r="L39" s="67" t="s">
        <v>231</v>
      </c>
      <c r="M39" s="68">
        <v>6.4584809746293832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1.2948274572828122E-3</v>
      </c>
      <c r="J40" s="67" t="s">
        <v>231</v>
      </c>
      <c r="K40" s="68">
        <v>0.284782241392466</v>
      </c>
      <c r="L40" s="67" t="s">
        <v>231</v>
      </c>
      <c r="M40" s="68">
        <v>9.4649756583289317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8.7847639153498597E-9</v>
      </c>
      <c r="J41" s="67" t="s">
        <v>231</v>
      </c>
      <c r="K41" s="68">
        <v>1.0114243006198104E-3</v>
      </c>
      <c r="L41" s="67" t="s">
        <v>231</v>
      </c>
      <c r="M41" s="68">
        <v>5.6897025358066712E-3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4.589240128717283E-3</v>
      </c>
      <c r="J42" s="67" t="s">
        <v>231</v>
      </c>
      <c r="K42" s="68">
        <v>0.49244350340232346</v>
      </c>
      <c r="L42" s="67" t="s">
        <v>231</v>
      </c>
      <c r="M42" s="68">
        <v>16.429910775660606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2.416763387170659E-3</v>
      </c>
      <c r="J43" s="67" t="s">
        <v>231</v>
      </c>
      <c r="K43" s="68">
        <v>1.3203750652874382E-2</v>
      </c>
      <c r="L43" s="67" t="s">
        <v>231</v>
      </c>
      <c r="M43" s="68">
        <v>0.41836823802259215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6.9200060945998013E-3</v>
      </c>
      <c r="J44" s="67" t="s">
        <v>231</v>
      </c>
      <c r="K44" s="68">
        <v>0.1408379148909602</v>
      </c>
      <c r="L44" s="67" t="s">
        <v>231</v>
      </c>
      <c r="M44" s="68">
        <v>4.663372681847382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1.3361917051852242E-2</v>
      </c>
      <c r="J45" s="67" t="s">
        <v>232</v>
      </c>
      <c r="K45" s="68">
        <v>0.61439131931188995</v>
      </c>
      <c r="L45" s="67" t="s">
        <v>231</v>
      </c>
      <c r="M45" s="68">
        <v>20.538392111625289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1.8623326318636399E-3</v>
      </c>
      <c r="J46" s="67" t="s">
        <v>231</v>
      </c>
      <c r="K46" s="68">
        <v>0.51756803162230114</v>
      </c>
      <c r="L46" s="67" t="s">
        <v>231</v>
      </c>
      <c r="M46" s="68">
        <v>17.273089711382507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3.4329239932993911E-3</v>
      </c>
      <c r="J47" s="142" t="s">
        <v>231</v>
      </c>
      <c r="K47" s="143">
        <v>0.39335956886993889</v>
      </c>
      <c r="L47" s="142" t="s">
        <v>231</v>
      </c>
      <c r="M47" s="143">
        <v>13.100261096643861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6.017015661148843E-4</v>
      </c>
      <c r="J48" s="142" t="s">
        <v>231</v>
      </c>
      <c r="K48" s="143">
        <v>5.1076205625840088E-2</v>
      </c>
      <c r="L48" s="142" t="s">
        <v>231</v>
      </c>
      <c r="M48" s="143">
        <v>1.6772149679767985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4.1486090188201678E-3</v>
      </c>
      <c r="J49" s="142" t="s">
        <v>231</v>
      </c>
      <c r="K49" s="143">
        <v>0.1500569763585233</v>
      </c>
      <c r="L49" s="142" t="s">
        <v>231</v>
      </c>
      <c r="M49" s="143">
        <v>4.9702101264690057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1.0145318966467132E-3</v>
      </c>
      <c r="J50" s="142" t="s">
        <v>231</v>
      </c>
      <c r="K50" s="143">
        <v>0.16622289223124931</v>
      </c>
      <c r="L50" s="142" t="s">
        <v>231</v>
      </c>
      <c r="M50" s="143">
        <v>5.5085337643837553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1.5009707439347785E-3</v>
      </c>
      <c r="J51" s="142" t="s">
        <v>231</v>
      </c>
      <c r="K51" s="143">
        <v>6.2092616873148987E-2</v>
      </c>
      <c r="L51" s="142" t="s">
        <v>231</v>
      </c>
      <c r="M51" s="143">
        <v>2.0433414745559602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2.8447562471627962E-2</v>
      </c>
      <c r="J52" s="142" t="s">
        <v>232</v>
      </c>
      <c r="K52" s="143">
        <v>5.2080573017380345E-2</v>
      </c>
      <c r="L52" s="142" t="s">
        <v>231</v>
      </c>
      <c r="M52" s="143">
        <v>1.7105874986649117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9.5660234261893701E-3</v>
      </c>
      <c r="J53" s="142" t="s">
        <v>231</v>
      </c>
      <c r="K53" s="143">
        <v>0.2245083844410401</v>
      </c>
      <c r="L53" s="142" t="s">
        <v>231</v>
      </c>
      <c r="M53" s="143">
        <v>7.4517869442501219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4.8810266229706986E-3</v>
      </c>
      <c r="J54" s="67" t="s">
        <v>231</v>
      </c>
      <c r="K54" s="68">
        <v>0.15801495254380191</v>
      </c>
      <c r="L54" s="67" t="s">
        <v>231</v>
      </c>
      <c r="M54" s="68">
        <v>5.2351670903890151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3.6018804483775673E-3</v>
      </c>
      <c r="J55" s="67" t="s">
        <v>231</v>
      </c>
      <c r="K55" s="68">
        <v>0.38743532509534506</v>
      </c>
      <c r="L55" s="67" t="s">
        <v>231</v>
      </c>
      <c r="M55" s="68">
        <v>12.901722573522553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2.9118994908146076E-3</v>
      </c>
      <c r="J56" s="67" t="s">
        <v>231</v>
      </c>
      <c r="K56" s="68">
        <v>0.14389333182655806</v>
      </c>
      <c r="L56" s="67" t="s">
        <v>231</v>
      </c>
      <c r="M56" s="68">
        <v>4.765049334255659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4.1717013642349095E-3</v>
      </c>
      <c r="J57" s="67" t="s">
        <v>231</v>
      </c>
      <c r="K57" s="68">
        <v>4.6275183177605941E-2</v>
      </c>
      <c r="L57" s="67" t="s">
        <v>231</v>
      </c>
      <c r="M57" s="68">
        <v>1.5178734192063097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2.9656986239728993E-2</v>
      </c>
      <c r="J58" s="67" t="s">
        <v>232</v>
      </c>
      <c r="K58" s="68">
        <v>0.15964329072098682</v>
      </c>
      <c r="L58" s="67" t="s">
        <v>231</v>
      </c>
      <c r="M58" s="68">
        <v>5.2893910137693148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2.9443136517192802E-3</v>
      </c>
      <c r="J59" s="67" t="s">
        <v>231</v>
      </c>
      <c r="K59" s="68">
        <v>5.2100129041806928E-2</v>
      </c>
      <c r="L59" s="67" t="s">
        <v>231</v>
      </c>
      <c r="M59" s="68">
        <v>1.7112298166919528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1.3806723537591395E-2</v>
      </c>
      <c r="J60" s="67" t="s">
        <v>232</v>
      </c>
      <c r="K60" s="68">
        <v>0.2059889506160433</v>
      </c>
      <c r="L60" s="67" t="s">
        <v>231</v>
      </c>
      <c r="M60" s="68">
        <v>6.8340171945643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4.664138598766148E-5</v>
      </c>
      <c r="J61" s="67" t="s">
        <v>231</v>
      </c>
      <c r="K61" s="68">
        <v>7.3841190599066964E-2</v>
      </c>
      <c r="L61" s="67" t="s">
        <v>231</v>
      </c>
      <c r="M61" s="68">
        <v>1.468907032048046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2.248962902090224E-4</v>
      </c>
      <c r="J62" s="67" t="s">
        <v>231</v>
      </c>
      <c r="K62" s="68">
        <v>2.5216266559878339E-2</v>
      </c>
      <c r="L62" s="67" t="s">
        <v>231</v>
      </c>
      <c r="M62" s="68">
        <v>0.81819509819574587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1.732442993594086E-6</v>
      </c>
      <c r="J63" s="67" t="s">
        <v>231</v>
      </c>
      <c r="K63" s="68">
        <v>7.0661684505358363E-3</v>
      </c>
      <c r="L63" s="67" t="s">
        <v>231</v>
      </c>
      <c r="M63" s="68">
        <v>0.11468908303763244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1.0607976161186946E-7</v>
      </c>
      <c r="J64" s="67" t="s">
        <v>231</v>
      </c>
      <c r="K64" s="68">
        <v>9.3427630982191861E-4</v>
      </c>
      <c r="L64" s="67" t="s">
        <v>231</v>
      </c>
      <c r="M64" s="68">
        <v>2.2716665383277395E-3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2.0098136005371353E-8</v>
      </c>
      <c r="J65" s="67" t="s">
        <v>231</v>
      </c>
      <c r="K65" s="68">
        <v>1.4101589445486679E-3</v>
      </c>
      <c r="L65" s="67" t="s">
        <v>231</v>
      </c>
      <c r="M65" s="68">
        <v>9.5561426509539315E-3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1.7483216323115598E-7</v>
      </c>
      <c r="J66" s="67" t="s">
        <v>231</v>
      </c>
      <c r="K66" s="68">
        <v>6.0184873650719936E-2</v>
      </c>
      <c r="L66" s="67" t="s">
        <v>231</v>
      </c>
      <c r="M66" s="68">
        <v>1.0651615233749954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1.9796336132956732E-8</v>
      </c>
      <c r="J67" s="67" t="s">
        <v>231</v>
      </c>
      <c r="K67" s="68">
        <v>1.3202914588014839E-3</v>
      </c>
      <c r="L67" s="67" t="s">
        <v>231</v>
      </c>
      <c r="M67" s="68">
        <v>7.9546816242358227E-3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6.4262087074409176E-9</v>
      </c>
      <c r="J68" s="67" t="s">
        <v>231</v>
      </c>
      <c r="K68" s="68">
        <v>9.3778957755568954E-4</v>
      </c>
      <c r="L68" s="67" t="s">
        <v>231</v>
      </c>
      <c r="M68" s="68">
        <v>1.0548060980726673E-3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1.6395200916162738E-4</v>
      </c>
      <c r="J69" s="67" t="s">
        <v>231</v>
      </c>
      <c r="K69" s="68">
        <v>0.12897656285172951</v>
      </c>
      <c r="L69" s="67" t="s">
        <v>231</v>
      </c>
      <c r="M69" s="68">
        <v>4.2687173364914202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2.2841959868172171E-14</v>
      </c>
      <c r="J70" s="67" t="s">
        <v>231</v>
      </c>
      <c r="K70" s="68">
        <v>9.67937807441184E-4</v>
      </c>
      <c r="L70" s="67" t="s">
        <v>231</v>
      </c>
      <c r="M70" s="68">
        <v>3.8085614041088872E-3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1.982946093429621E-10</v>
      </c>
      <c r="J71" s="67" t="s">
        <v>231</v>
      </c>
      <c r="K71" s="68">
        <v>1.0409010483191582E-3</v>
      </c>
      <c r="L71" s="67" t="s">
        <v>231</v>
      </c>
      <c r="M71" s="68">
        <v>6.9770454243033861E-3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2.6376530890777242E-13</v>
      </c>
      <c r="J72" s="67" t="s">
        <v>231</v>
      </c>
      <c r="K72" s="68">
        <v>0.142378988419955</v>
      </c>
      <c r="L72" s="67" t="s">
        <v>231</v>
      </c>
      <c r="M72" s="68">
        <v>5.9750441969308534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1.1760676570567102E-10</v>
      </c>
      <c r="J73" s="67" t="s">
        <v>231</v>
      </c>
      <c r="K73" s="68">
        <v>1.3928514049088677E-2</v>
      </c>
      <c r="L73" s="67" t="s">
        <v>231</v>
      </c>
      <c r="M73" s="68">
        <v>0.57459007502006043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1.8593067720570984E-11</v>
      </c>
      <c r="J74" s="67" t="s">
        <v>231</v>
      </c>
      <c r="K74" s="68">
        <v>1.0266378892659868E-3</v>
      </c>
      <c r="L74" s="67" t="s">
        <v>231</v>
      </c>
      <c r="M74" s="68">
        <v>6.3573522327958747E-3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6.9719764473473908E-13</v>
      </c>
      <c r="J75" s="67" t="s">
        <v>231</v>
      </c>
      <c r="K75" s="68">
        <v>1.3430204168874197E-2</v>
      </c>
      <c r="L75" s="67" t="s">
        <v>231</v>
      </c>
      <c r="M75" s="68">
        <v>0.5523457421889667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1.656194797944341E-8</v>
      </c>
      <c r="J76" s="67" t="s">
        <v>231</v>
      </c>
      <c r="K76" s="68">
        <v>3.3053295903825069E-3</v>
      </c>
      <c r="L76" s="67" t="s">
        <v>231</v>
      </c>
      <c r="M76" s="68">
        <v>0.10587779797566516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4.8854346234934314E-7</v>
      </c>
      <c r="J77" s="67" t="s">
        <v>231</v>
      </c>
      <c r="K77" s="68">
        <v>1.379256514057753E-2</v>
      </c>
      <c r="L77" s="67" t="s">
        <v>231</v>
      </c>
      <c r="M77" s="68">
        <v>0.56851253384682043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2.6212484896274458E-12</v>
      </c>
      <c r="J78" s="67" t="s">
        <v>231</v>
      </c>
      <c r="K78" s="68">
        <v>0.11997988337680063</v>
      </c>
      <c r="L78" s="67" t="s">
        <v>231</v>
      </c>
      <c r="M78" s="68">
        <v>5.0346759116721067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1.4420749980721339E-15</v>
      </c>
      <c r="J79" s="67" t="s">
        <v>231</v>
      </c>
      <c r="K79" s="68">
        <v>0.11997982461626663</v>
      </c>
      <c r="L79" s="67" t="s">
        <v>231</v>
      </c>
      <c r="M79" s="68">
        <v>5.0346742351597253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8.2276285101084937E-14</v>
      </c>
      <c r="J80" s="67" t="s">
        <v>231</v>
      </c>
      <c r="K80" s="68">
        <v>7.5796680190385046E-3</v>
      </c>
      <c r="L80" s="67" t="s">
        <v>231</v>
      </c>
      <c r="M80" s="68">
        <v>0.29356117804857518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8.4701439055041476E-11</v>
      </c>
      <c r="J81" s="67" t="s">
        <v>231</v>
      </c>
      <c r="K81" s="68">
        <v>1.4639203003083729E-3</v>
      </c>
      <c r="L81" s="67" t="s">
        <v>231</v>
      </c>
      <c r="M81" s="68">
        <v>2.5393676288102483E-2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2.1415948328699403E-15</v>
      </c>
      <c r="J82" s="67" t="s">
        <v>231</v>
      </c>
      <c r="K82" s="68">
        <v>2.2758246702802454E-3</v>
      </c>
      <c r="L82" s="67" t="s">
        <v>231</v>
      </c>
      <c r="M82" s="68">
        <v>6.0838007492454618E-2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1.5086288874372558E-13</v>
      </c>
      <c r="J83" s="67" t="s">
        <v>231</v>
      </c>
      <c r="K83" s="68">
        <v>0.22527342405457798</v>
      </c>
      <c r="L83" s="67" t="s">
        <v>231</v>
      </c>
      <c r="M83" s="68">
        <v>9.4549623354103485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5.0947097875061763E-2</v>
      </c>
      <c r="J84" s="67" t="s">
        <v>232</v>
      </c>
      <c r="K84" s="68">
        <v>1.7049093831907378E-2</v>
      </c>
      <c r="L84" s="67" t="s">
        <v>231</v>
      </c>
      <c r="M84" s="68">
        <v>0.54652533001197334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1.3331123721559097E-5</v>
      </c>
      <c r="J85" s="67" t="s">
        <v>231</v>
      </c>
      <c r="K85" s="68">
        <v>1.4553824824078416</v>
      </c>
      <c r="L85" s="67" t="s">
        <v>232</v>
      </c>
      <c r="M85" s="68">
        <v>26.093801213304133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1.2759626735022675E-3</v>
      </c>
      <c r="J86" s="67" t="s">
        <v>231</v>
      </c>
      <c r="K86" s="68">
        <v>0.5873216943922267</v>
      </c>
      <c r="L86" s="67" t="s">
        <v>231</v>
      </c>
      <c r="M86" s="68">
        <v>19.624228956806892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9.8745034999679865E-4</v>
      </c>
      <c r="J87" s="67" t="s">
        <v>231</v>
      </c>
      <c r="K87" s="68">
        <v>0.71662230514134939</v>
      </c>
      <c r="L87" s="67" t="s">
        <v>231</v>
      </c>
      <c r="M87" s="68">
        <v>24.001981492944953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1.6109802219578043E-3</v>
      </c>
      <c r="J88" s="67" t="s">
        <v>231</v>
      </c>
      <c r="K88" s="68">
        <v>0.83063740136341846</v>
      </c>
      <c r="L88" s="67" t="s">
        <v>231</v>
      </c>
      <c r="M88" s="68">
        <v>27.895801655858758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5.3599951179616635E-7</v>
      </c>
      <c r="J89" s="67" t="s">
        <v>231</v>
      </c>
      <c r="K89" s="68">
        <v>2.2796361773063931</v>
      </c>
      <c r="L89" s="67" t="s">
        <v>232</v>
      </c>
      <c r="M89" s="68">
        <v>41.083253327495413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1.9054708515618439E-5</v>
      </c>
      <c r="J90" s="67" t="s">
        <v>231</v>
      </c>
      <c r="K90" s="68">
        <v>9.0341607997827182E-4</v>
      </c>
      <c r="L90" s="67" t="s">
        <v>231</v>
      </c>
      <c r="M90" s="68">
        <v>1.4772033443404573E-3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3.5483412001937238E-5</v>
      </c>
      <c r="J91" s="67" t="s">
        <v>231</v>
      </c>
      <c r="K91" s="68">
        <v>3.1710573591716179E-3</v>
      </c>
      <c r="L91" s="67" t="s">
        <v>231</v>
      </c>
      <c r="M91" s="68">
        <v>8.1434099711093749E-2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5.7785275876036686E-5</v>
      </c>
      <c r="J92" s="67" t="s">
        <v>231</v>
      </c>
      <c r="K92" s="68">
        <v>3.3280878872604926E-2</v>
      </c>
      <c r="L92" s="67" t="s">
        <v>231</v>
      </c>
      <c r="M92" s="68">
        <v>1.0861570205613396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1.2899364937451022E-8</v>
      </c>
      <c r="J93" s="67" t="s">
        <v>231</v>
      </c>
      <c r="K93" s="68">
        <v>8.9440024748878202E-4</v>
      </c>
      <c r="L93" s="67" t="s">
        <v>231</v>
      </c>
      <c r="M93" s="68">
        <v>6.2192260116497122E-4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2.1064926774863541E-18</v>
      </c>
      <c r="J94" s="67" t="s">
        <v>231</v>
      </c>
      <c r="K94" s="68">
        <v>8.884391812964352E-4</v>
      </c>
      <c r="L94" s="67" t="s">
        <v>231</v>
      </c>
      <c r="M94" s="68">
        <v>1.5091637265614646E-4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2.2761271600395818E-6</v>
      </c>
      <c r="J95" s="67" t="s">
        <v>231</v>
      </c>
      <c r="K95" s="68">
        <v>1.0342941418211532E-3</v>
      </c>
      <c r="L95" s="67" t="s">
        <v>231</v>
      </c>
      <c r="M95" s="68">
        <v>6.3841507061359222E-3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1.3837309475967095E-2</v>
      </c>
      <c r="J96" s="67" t="s">
        <v>232</v>
      </c>
      <c r="K96" s="68">
        <v>0.53456103724132953</v>
      </c>
      <c r="L96" s="67" t="s">
        <v>231</v>
      </c>
      <c r="M96" s="68">
        <v>17.845285620645729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1.1125806535940221E-4</v>
      </c>
      <c r="J97" s="67" t="s">
        <v>231</v>
      </c>
      <c r="K97" s="68">
        <v>5.2748926760446185E-3</v>
      </c>
      <c r="L97" s="67" t="s">
        <v>231</v>
      </c>
      <c r="M97" s="68">
        <v>0.15276006921139418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2.8827125845697836E-5</v>
      </c>
      <c r="J98" s="67" t="s">
        <v>231</v>
      </c>
      <c r="K98" s="68">
        <v>3.4782307252125121E-3</v>
      </c>
      <c r="L98" s="67" t="s">
        <v>231</v>
      </c>
      <c r="M98" s="68">
        <v>9.1901476256841044E-2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1.7864266384954999E-6</v>
      </c>
      <c r="J99" s="67" t="s">
        <v>231</v>
      </c>
      <c r="K99" s="68">
        <v>1.4804096427630208E-3</v>
      </c>
      <c r="L99" s="67" t="s">
        <v>231</v>
      </c>
      <c r="M99" s="68">
        <v>2.2976603386927089E-2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1.0005987886306281E-2</v>
      </c>
      <c r="J100" s="67" t="s">
        <v>232</v>
      </c>
      <c r="K100" s="68">
        <v>0.24155219323136529</v>
      </c>
      <c r="L100" s="67" t="s">
        <v>231</v>
      </c>
      <c r="M100" s="68">
        <v>8.0206859403679029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3.3877823308160339E-2</v>
      </c>
      <c r="J101" s="67" t="s">
        <v>232</v>
      </c>
      <c r="K101" s="68">
        <v>2.6233198823939662E-2</v>
      </c>
      <c r="L101" s="67" t="s">
        <v>231</v>
      </c>
      <c r="M101" s="68">
        <v>0.85199305705091499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1.8042692121363137E-2</v>
      </c>
      <c r="J102" s="67" t="s">
        <v>232</v>
      </c>
      <c r="K102" s="68">
        <v>6.1523619119244276E-2</v>
      </c>
      <c r="L102" s="67" t="s">
        <v>231</v>
      </c>
      <c r="M102" s="68">
        <v>2.0244333226653044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1.7110876590231198E-9</v>
      </c>
      <c r="J103" s="67" t="s">
        <v>231</v>
      </c>
      <c r="K103" s="68">
        <v>1.1806128310409454E-3</v>
      </c>
      <c r="L103" s="67" t="s">
        <v>231</v>
      </c>
      <c r="M103" s="68">
        <v>1.3051437561441474E-2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2.2024327012082835E-6</v>
      </c>
      <c r="J104" s="67" t="s">
        <v>231</v>
      </c>
      <c r="K104" s="68">
        <v>2.4386709023262565E-2</v>
      </c>
      <c r="L104" s="67" t="s">
        <v>231</v>
      </c>
      <c r="M104" s="68">
        <v>1.0076078676010756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9.6961748925314611E-8</v>
      </c>
      <c r="J105" s="67" t="s">
        <v>231</v>
      </c>
      <c r="K105" s="68">
        <v>9.0922233970501141E-4</v>
      </c>
      <c r="L105" s="67" t="s">
        <v>231</v>
      </c>
      <c r="M105" s="68">
        <v>1.8025281320093304E-3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3.3263247722372403E-8</v>
      </c>
      <c r="J106" s="67" t="s">
        <v>231</v>
      </c>
      <c r="K106" s="68">
        <v>1.045467370848182E-3</v>
      </c>
      <c r="L106" s="67" t="s">
        <v>231</v>
      </c>
      <c r="M106" s="68">
        <v>6.8657068985702651E-3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3.3824035042142026E-5</v>
      </c>
      <c r="J107" s="67" t="s">
        <v>231</v>
      </c>
      <c r="K107" s="68">
        <v>9.5083762670151908E-2</v>
      </c>
      <c r="L107" s="67" t="s">
        <v>231</v>
      </c>
      <c r="M107" s="68">
        <v>2.7726615023960623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2.646644063342498E-10</v>
      </c>
      <c r="J108" s="67" t="s">
        <v>231</v>
      </c>
      <c r="K108" s="68">
        <v>8.843152843102908E-4</v>
      </c>
      <c r="L108" s="67" t="s">
        <v>231</v>
      </c>
      <c r="M108" s="68">
        <v>7.8111220375941235E-5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2.8854973597590978E-6</v>
      </c>
      <c r="J109" s="67" t="s">
        <v>231</v>
      </c>
      <c r="K109" s="68">
        <v>1.5965056019124763E-2</v>
      </c>
      <c r="L109" s="67" t="s">
        <v>231</v>
      </c>
      <c r="M109" s="68">
        <v>0.27216321126864867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5.8245174245088631E-6</v>
      </c>
      <c r="J110" s="67" t="s">
        <v>231</v>
      </c>
      <c r="K110" s="68">
        <v>8.8123121349284407E-4</v>
      </c>
      <c r="L110" s="67" t="s">
        <v>231</v>
      </c>
      <c r="M110" s="68">
        <v>2.2197858774188523E-4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8.1171439575762952E-14</v>
      </c>
      <c r="J111" s="67" t="s">
        <v>231</v>
      </c>
      <c r="K111" s="68">
        <v>8.8007490221128973E-4</v>
      </c>
      <c r="L111" s="67" t="s">
        <v>231</v>
      </c>
      <c r="M111" s="68">
        <v>3.2331741084125299E-6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9.1577408708170086E-9</v>
      </c>
      <c r="J112" s="67" t="s">
        <v>231</v>
      </c>
      <c r="K112" s="68">
        <v>8.7810082407016328E-4</v>
      </c>
      <c r="L112" s="67" t="s">
        <v>231</v>
      </c>
      <c r="M112" s="68">
        <v>1.675972411645617E-4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4.2154740136140769E-7</v>
      </c>
      <c r="J113" s="67" t="s">
        <v>231</v>
      </c>
      <c r="K113" s="68">
        <v>9.5829835146964018E-4</v>
      </c>
      <c r="L113" s="67" t="s">
        <v>231</v>
      </c>
      <c r="M113" s="68">
        <v>3.8381892750459774E-3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5.6967634366312037E-8</v>
      </c>
      <c r="J114" s="67" t="s">
        <v>231</v>
      </c>
      <c r="K114" s="68">
        <v>8.7794089919514436E-4</v>
      </c>
      <c r="L114" s="67" t="s">
        <v>231</v>
      </c>
      <c r="M114" s="68">
        <v>5.2094833654668802E-5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4.8505871608549801E-11</v>
      </c>
      <c r="J115" s="67" t="s">
        <v>231</v>
      </c>
      <c r="K115" s="68">
        <v>9.6020225156226511E-4</v>
      </c>
      <c r="L115" s="67" t="s">
        <v>231</v>
      </c>
      <c r="M115" s="68">
        <v>3.4723601533991114E-3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3.1194650160330636E-5</v>
      </c>
      <c r="J116" s="67" t="s">
        <v>231</v>
      </c>
      <c r="K116" s="68">
        <v>0.53247663268877798</v>
      </c>
      <c r="L116" s="67" t="s">
        <v>231</v>
      </c>
      <c r="M116" s="68">
        <v>9.5574015064070483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8.3148861510022023E-5</v>
      </c>
      <c r="J117" s="67" t="s">
        <v>231</v>
      </c>
      <c r="K117" s="68">
        <v>8.6118632559803888E-3</v>
      </c>
      <c r="L117" s="67" t="s">
        <v>231</v>
      </c>
      <c r="M117" s="68">
        <v>0.26489631037757494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8" width="8.140625" style="14" customWidth="1"/>
    <col min="9" max="9" width="8.42578125" style="14" customWidth="1"/>
    <col min="10" max="11" width="9.140625" style="14"/>
    <col min="12" max="12" width="11.28515625" style="14" customWidth="1"/>
    <col min="13" max="13" width="12.5703125" style="14" customWidth="1"/>
    <col min="14" max="14" width="9" style="14" customWidth="1"/>
    <col min="15" max="15" width="9.140625" style="14"/>
    <col min="16" max="16" width="8.85546875" style="14" customWidth="1"/>
    <col min="17" max="17" width="8" style="8" customWidth="1"/>
    <col min="18" max="18" width="10.5703125" style="54" customWidth="1"/>
    <col min="19" max="19" width="2.85546875" customWidth="1"/>
    <col min="20" max="20" width="9.140625" style="2"/>
    <col min="21" max="21" width="24.7109375" style="2" customWidth="1"/>
    <col min="22" max="16384" width="9.140625" style="2"/>
  </cols>
  <sheetData>
    <row r="1" spans="1:21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9"/>
      <c r="H1" s="37" t="s">
        <v>257</v>
      </c>
      <c r="I1" s="39" t="s">
        <v>258</v>
      </c>
      <c r="J1" s="39" t="s">
        <v>259</v>
      </c>
      <c r="K1" s="39" t="s">
        <v>260</v>
      </c>
      <c r="L1" s="160" t="s">
        <v>262</v>
      </c>
      <c r="M1" s="160" t="s">
        <v>263</v>
      </c>
      <c r="N1" s="159" t="s">
        <v>233</v>
      </c>
      <c r="O1" s="43" t="s">
        <v>266</v>
      </c>
      <c r="P1" s="43" t="str">
        <f>"---&gt;ng/g"</f>
        <v>---&gt;ng/g</v>
      </c>
      <c r="Q1" s="113" t="s">
        <v>32</v>
      </c>
      <c r="R1" s="56" t="s">
        <v>141</v>
      </c>
      <c r="S1" s="37"/>
      <c r="T1" s="6" t="s">
        <v>17</v>
      </c>
      <c r="U1" s="102" t="s">
        <v>256</v>
      </c>
    </row>
    <row r="2" spans="1:21">
      <c r="A2" s="2" t="s">
        <v>283</v>
      </c>
      <c r="B2" s="16" t="s">
        <v>284</v>
      </c>
      <c r="D2" s="14">
        <v>1</v>
      </c>
      <c r="E2" s="14">
        <v>0.97633627387866961</v>
      </c>
      <c r="F2" s="14">
        <v>0.9766331174023809</v>
      </c>
      <c r="G2" s="14">
        <v>2.9042897005308185E-10</v>
      </c>
      <c r="H2" s="14">
        <v>0.1701419660892555</v>
      </c>
      <c r="I2" s="14">
        <v>0.63222056389493753</v>
      </c>
      <c r="J2" s="14">
        <v>0</v>
      </c>
      <c r="K2" s="14">
        <v>1.0239259576408484</v>
      </c>
      <c r="L2" s="14">
        <v>0.97663311740238101</v>
      </c>
      <c r="M2" s="14">
        <v>0.80132747282865358</v>
      </c>
      <c r="N2" s="14">
        <v>0.8946335135638197</v>
      </c>
      <c r="O2" s="14">
        <v>173.72888199895814</v>
      </c>
      <c r="P2" s="14">
        <v>0.89463351356381982</v>
      </c>
      <c r="Q2" s="8">
        <v>1.5727823173945873E-2</v>
      </c>
      <c r="R2" s="54">
        <v>0.50650979836539356</v>
      </c>
      <c r="T2" s="102"/>
    </row>
    <row r="3" spans="1:21">
      <c r="A3" s="2" t="s">
        <v>361</v>
      </c>
      <c r="B3" s="16" t="s">
        <v>362</v>
      </c>
      <c r="D3" s="14">
        <v>1</v>
      </c>
      <c r="E3" s="14">
        <v>0.61727114560371144</v>
      </c>
      <c r="F3" s="14">
        <v>0.58855150255379618</v>
      </c>
      <c r="G3" s="14">
        <v>2.7863837348709005E-10</v>
      </c>
      <c r="H3" s="14">
        <v>66.197496748556318</v>
      </c>
      <c r="I3" s="14">
        <v>148.89886083312643</v>
      </c>
      <c r="J3" s="14">
        <v>0</v>
      </c>
      <c r="K3" s="14">
        <v>1.6990866485955418</v>
      </c>
      <c r="L3" s="14">
        <v>0.58855150255379618</v>
      </c>
      <c r="M3" s="14">
        <v>0.4829065078453898</v>
      </c>
      <c r="N3" s="14">
        <v>11.013009596094831</v>
      </c>
      <c r="O3" s="14">
        <v>2820.3216274639249</v>
      </c>
      <c r="P3" s="14">
        <v>11.013009596094832</v>
      </c>
      <c r="Q3" s="8">
        <v>0.2553238445104038</v>
      </c>
      <c r="R3" s="54">
        <v>0.64739271114032104</v>
      </c>
      <c r="T3" s="109"/>
      <c r="U3" s="22"/>
    </row>
    <row r="4" spans="1:21">
      <c r="A4" s="2" t="s">
        <v>364</v>
      </c>
      <c r="B4" s="16" t="s">
        <v>365</v>
      </c>
      <c r="D4" s="14">
        <v>1</v>
      </c>
      <c r="E4" s="14">
        <v>0.99955291813161951</v>
      </c>
      <c r="F4" s="14">
        <v>0.99990063897606862</v>
      </c>
      <c r="G4" s="14">
        <v>1.5062093304215945E-19</v>
      </c>
      <c r="H4" s="14">
        <v>0.1194694449979916</v>
      </c>
      <c r="I4" s="14">
        <v>1.2181874003654651E-3</v>
      </c>
      <c r="J4" s="14">
        <v>0</v>
      </c>
      <c r="K4" s="14">
        <v>1.0000993708975254</v>
      </c>
      <c r="L4" s="14">
        <v>0.99990063897606862</v>
      </c>
      <c r="M4" s="14">
        <v>0.82041847427986436</v>
      </c>
      <c r="N4" s="14">
        <v>1.0505013023607914</v>
      </c>
      <c r="O4" s="14">
        <v>311.10596069414834</v>
      </c>
      <c r="P4" s="14">
        <v>1.0505013023607914</v>
      </c>
      <c r="Q4" s="8">
        <v>1.389037924476414E-5</v>
      </c>
      <c r="R4" s="54">
        <v>0.64337253004729089</v>
      </c>
      <c r="T4" s="102"/>
    </row>
    <row r="5" spans="1:21">
      <c r="A5" s="2" t="s">
        <v>285</v>
      </c>
      <c r="B5" s="16" t="s">
        <v>286</v>
      </c>
      <c r="D5" s="14">
        <v>1</v>
      </c>
      <c r="E5" s="14">
        <v>0.99862317686868318</v>
      </c>
      <c r="F5" s="14">
        <v>0.92306062649792275</v>
      </c>
      <c r="G5" s="14">
        <v>4.224837884201484E-12</v>
      </c>
      <c r="H5" s="14">
        <v>215.769585047211</v>
      </c>
      <c r="I5" s="14">
        <v>0.15856637852147107</v>
      </c>
      <c r="J5" s="14">
        <v>0</v>
      </c>
      <c r="K5" s="14">
        <v>1.0833524595171868</v>
      </c>
      <c r="L5" s="14">
        <v>0.92306062649792275</v>
      </c>
      <c r="M5" s="14">
        <v>0.75737124404154565</v>
      </c>
      <c r="N5" s="14">
        <v>2.613185989308942</v>
      </c>
      <c r="O5" s="14">
        <v>577.61863107684849</v>
      </c>
      <c r="P5" s="14">
        <v>2.613185989308942</v>
      </c>
      <c r="Q5" s="8">
        <v>2.1321173660980621E-4</v>
      </c>
      <c r="R5" s="54">
        <v>0.64768696881783161</v>
      </c>
      <c r="T5" s="102"/>
    </row>
    <row r="6" spans="1:21">
      <c r="A6" s="2" t="s">
        <v>287</v>
      </c>
      <c r="B6" s="16" t="s">
        <v>288</v>
      </c>
      <c r="D6" s="14">
        <v>1</v>
      </c>
      <c r="E6" s="14">
        <v>0.99634033190909577</v>
      </c>
      <c r="F6" s="14">
        <v>0.82538225280817212</v>
      </c>
      <c r="G6" s="14">
        <v>5.2363604831413586E-13</v>
      </c>
      <c r="H6" s="14">
        <v>486.67061729454707</v>
      </c>
      <c r="I6" s="14">
        <v>1.3067402485525617</v>
      </c>
      <c r="J6" s="14">
        <v>0</v>
      </c>
      <c r="K6" s="14">
        <v>1.2115598519325215</v>
      </c>
      <c r="L6" s="14">
        <v>0.82538225280817212</v>
      </c>
      <c r="M6" s="14">
        <v>0.67722613842910528</v>
      </c>
      <c r="N6" s="14">
        <v>4.6067941655661198</v>
      </c>
      <c r="O6" s="14">
        <v>1060.7604245632547</v>
      </c>
      <c r="P6" s="14">
        <v>4.6067941655661198</v>
      </c>
      <c r="Q6" s="8">
        <v>1.2077839884760339E-3</v>
      </c>
      <c r="R6" s="54">
        <v>1.5942858720155918E-2</v>
      </c>
      <c r="T6" s="102"/>
    </row>
    <row r="7" spans="1:21">
      <c r="A7" s="2" t="s">
        <v>366</v>
      </c>
      <c r="B7" s="16" t="s">
        <v>305</v>
      </c>
      <c r="D7" s="14">
        <v>1</v>
      </c>
      <c r="E7" s="14">
        <v>0.97714256389731591</v>
      </c>
      <c r="F7" s="14">
        <v>0.53628510150369557</v>
      </c>
      <c r="G7" s="14">
        <v>8.9368166088814816E-9</v>
      </c>
      <c r="H7" s="14">
        <v>1251.0530672861103</v>
      </c>
      <c r="I7" s="14">
        <v>23.579383780146461</v>
      </c>
      <c r="J7" s="14">
        <v>0</v>
      </c>
      <c r="K7" s="14">
        <v>1.8646798078038886</v>
      </c>
      <c r="L7" s="14">
        <v>0.53628510150369557</v>
      </c>
      <c r="M7" s="14">
        <v>0.44002192578378224</v>
      </c>
      <c r="N7" s="14">
        <v>10.745626623493878</v>
      </c>
      <c r="O7" s="14">
        <v>2216.6078598943172</v>
      </c>
      <c r="P7" s="14">
        <v>10.745626623493878</v>
      </c>
      <c r="Q7" s="8">
        <v>1.2483387481534278E-2</v>
      </c>
      <c r="R7" s="54">
        <v>0.44539944042321422</v>
      </c>
    </row>
    <row r="8" spans="1:21">
      <c r="A8" s="2" t="s">
        <v>289</v>
      </c>
      <c r="B8" s="16" t="s">
        <v>290</v>
      </c>
      <c r="D8" s="14">
        <v>1</v>
      </c>
      <c r="E8" s="14">
        <v>0.99640008717033324</v>
      </c>
      <c r="F8" s="14">
        <v>0.74732380274731858</v>
      </c>
      <c r="G8" s="14">
        <v>4.1427091292264543E-19</v>
      </c>
      <c r="H8" s="14">
        <v>708.64514330667532</v>
      </c>
      <c r="I8" s="14">
        <v>0.99773455939184263</v>
      </c>
      <c r="J8" s="14">
        <v>0</v>
      </c>
      <c r="K8" s="14">
        <v>1.3381080548000621</v>
      </c>
      <c r="L8" s="14">
        <v>0.74732380274731869</v>
      </c>
      <c r="M8" s="14">
        <v>0.61317918015417494</v>
      </c>
      <c r="N8" s="14">
        <v>6.0909993023190223</v>
      </c>
      <c r="O8" s="14">
        <v>2122.2259769139937</v>
      </c>
      <c r="P8" s="14">
        <v>6.0909993023190223</v>
      </c>
      <c r="Q8" s="8">
        <v>7.6070280122454204E-4</v>
      </c>
      <c r="R8" s="54">
        <v>0.5631338766446663</v>
      </c>
    </row>
    <row r="9" spans="1:21">
      <c r="A9" s="2" t="s">
        <v>291</v>
      </c>
      <c r="B9" s="16" t="s">
        <v>292</v>
      </c>
      <c r="D9" s="14">
        <v>1</v>
      </c>
      <c r="E9" s="14">
        <v>0.99777537645339665</v>
      </c>
      <c r="F9" s="14">
        <v>0.93943632928839849</v>
      </c>
      <c r="G9" s="14">
        <v>8.1705151220982061E-15</v>
      </c>
      <c r="H9" s="14">
        <v>166.78897929992172</v>
      </c>
      <c r="I9" s="14">
        <v>0.58533017693650002</v>
      </c>
      <c r="J9" s="14">
        <v>0</v>
      </c>
      <c r="K9" s="14">
        <v>1.0644680952007435</v>
      </c>
      <c r="L9" s="14">
        <v>0.93943632928839849</v>
      </c>
      <c r="M9" s="14">
        <v>0.77080750818113097</v>
      </c>
      <c r="N9" s="14">
        <v>2.2688799142080858</v>
      </c>
      <c r="O9" s="14">
        <v>699.56374394777902</v>
      </c>
      <c r="P9" s="14">
        <v>2.2688799142080858</v>
      </c>
      <c r="Q9" s="8">
        <v>8.7983435297215218E-4</v>
      </c>
      <c r="R9" s="54">
        <v>0.60961518703604822</v>
      </c>
    </row>
    <row r="10" spans="1:21">
      <c r="A10" s="2" t="s">
        <v>367</v>
      </c>
      <c r="B10" s="16" t="s">
        <v>368</v>
      </c>
      <c r="D10" s="14">
        <v>1</v>
      </c>
      <c r="E10" s="14">
        <v>0.45219704465943517</v>
      </c>
      <c r="F10" s="14">
        <v>4.786721117898364E-2</v>
      </c>
      <c r="G10" s="14">
        <v>7.4374937401468589E-7</v>
      </c>
      <c r="H10" s="14">
        <v>978.35873203547726</v>
      </c>
      <c r="I10" s="14">
        <v>1582.1778356498735</v>
      </c>
      <c r="J10" s="14">
        <v>0</v>
      </c>
      <c r="K10" s="14">
        <v>20.891127253284719</v>
      </c>
      <c r="L10" s="14">
        <v>4.786721117898364E-2</v>
      </c>
      <c r="M10" s="14">
        <v>3.9275046772356076E-2</v>
      </c>
      <c r="N10" s="14">
        <v>95.888765109110821</v>
      </c>
      <c r="O10" s="14">
        <v>26689.678880469903</v>
      </c>
      <c r="P10" s="14">
        <v>95.888765109110821</v>
      </c>
      <c r="Q10" s="8">
        <v>0.34344349600225799</v>
      </c>
      <c r="R10" s="54">
        <v>0.40817610710510821</v>
      </c>
    </row>
    <row r="11" spans="1:21">
      <c r="A11" s="2" t="s">
        <v>369</v>
      </c>
      <c r="B11" s="16" t="s">
        <v>370</v>
      </c>
      <c r="D11" s="14">
        <v>1</v>
      </c>
      <c r="E11" s="14">
        <v>0.56553942706542382</v>
      </c>
      <c r="F11" s="14">
        <v>3.5729207998152902E-3</v>
      </c>
      <c r="G11" s="14">
        <v>3.8496345328731999E-13</v>
      </c>
      <c r="H11" s="14">
        <v>922.91858041607213</v>
      </c>
      <c r="I11" s="14">
        <v>6243.3743631437455</v>
      </c>
      <c r="J11" s="14">
        <v>0</v>
      </c>
      <c r="K11" s="14">
        <v>279.88305815558442</v>
      </c>
      <c r="L11" s="14">
        <v>3.5729207998152902E-3</v>
      </c>
      <c r="M11" s="14">
        <v>2.9315815162484458E-3</v>
      </c>
      <c r="N11" s="14">
        <v>816.00876482289073</v>
      </c>
      <c r="O11" s="14">
        <v>332033.96640643419</v>
      </c>
      <c r="P11" s="14">
        <v>816.00876482289073</v>
      </c>
      <c r="Q11" s="8">
        <v>6.963368470773916E-2</v>
      </c>
      <c r="R11" s="54">
        <v>0.29944633252750819</v>
      </c>
    </row>
    <row r="12" spans="1:21">
      <c r="A12" s="2" t="s">
        <v>371</v>
      </c>
      <c r="B12" s="16" t="s">
        <v>372</v>
      </c>
      <c r="D12" s="14">
        <v>1</v>
      </c>
      <c r="E12" s="14">
        <v>0.92079363947959714</v>
      </c>
      <c r="F12" s="14">
        <v>0.92114888255325755</v>
      </c>
      <c r="G12" s="14">
        <v>8.2993796604827772E-4</v>
      </c>
      <c r="H12" s="14">
        <v>7.330583047931525E-3</v>
      </c>
      <c r="I12" s="14">
        <v>3.3642483539281495E-2</v>
      </c>
      <c r="J12" s="14">
        <v>0</v>
      </c>
      <c r="K12" s="14">
        <v>1.0856008392782079</v>
      </c>
      <c r="L12" s="14">
        <v>0.92114888255325766</v>
      </c>
      <c r="M12" s="14">
        <v>0.75580265813494796</v>
      </c>
      <c r="N12" s="14">
        <v>0.81266304172306925</v>
      </c>
      <c r="O12" s="14">
        <v>113.92723181915707</v>
      </c>
      <c r="P12" s="14">
        <v>0.81266304172306925</v>
      </c>
      <c r="Q12" s="8">
        <v>2.8228516072549233E-3</v>
      </c>
      <c r="R12" s="54">
        <v>2.0575519549267521E-2</v>
      </c>
    </row>
    <row r="13" spans="1:21">
      <c r="A13" s="2" t="s">
        <v>293</v>
      </c>
      <c r="B13" s="16" t="s">
        <v>294</v>
      </c>
      <c r="D13" s="14">
        <v>1</v>
      </c>
      <c r="E13" s="14">
        <v>0.64410073418794511</v>
      </c>
      <c r="F13" s="14">
        <v>0.62343350941868525</v>
      </c>
      <c r="G13" s="14">
        <v>2.3050408665475916E-10</v>
      </c>
      <c r="H13" s="14">
        <v>47.298802096302019</v>
      </c>
      <c r="I13" s="14">
        <v>112.33298839496723</v>
      </c>
      <c r="J13" s="14">
        <v>0</v>
      </c>
      <c r="K13" s="14">
        <v>1.6040202922881714</v>
      </c>
      <c r="L13" s="14">
        <v>0.62343350941868525</v>
      </c>
      <c r="M13" s="14">
        <v>0.5115271944780313</v>
      </c>
      <c r="N13" s="14">
        <v>7.0832693646430664</v>
      </c>
      <c r="O13" s="14">
        <v>2340.0288673034834</v>
      </c>
      <c r="P13" s="14">
        <v>7.0832693646430664</v>
      </c>
      <c r="Q13" s="8">
        <v>0.23829082045063329</v>
      </c>
      <c r="R13" s="54">
        <v>6.7855953736643071E-3</v>
      </c>
    </row>
    <row r="14" spans="1:21">
      <c r="A14" s="2" t="s">
        <v>373</v>
      </c>
      <c r="B14" s="16" t="s">
        <v>374</v>
      </c>
      <c r="D14" s="14">
        <v>1</v>
      </c>
      <c r="E14" s="14">
        <v>0.97797634718508275</v>
      </c>
      <c r="F14" s="14">
        <v>8.0159976081696019E-2</v>
      </c>
      <c r="G14" s="14">
        <v>8.6433189948528827E-9</v>
      </c>
      <c r="H14" s="14">
        <v>2547.8718405047102</v>
      </c>
      <c r="I14" s="14">
        <v>36.957692244345395</v>
      </c>
      <c r="J14" s="14">
        <v>0</v>
      </c>
      <c r="K14" s="14">
        <v>12.475053622531496</v>
      </c>
      <c r="L14" s="14">
        <v>8.0159976081696019E-2</v>
      </c>
      <c r="M14" s="14">
        <v>6.5771260375031587E-2</v>
      </c>
      <c r="N14" s="14">
        <v>36.78229602049268</v>
      </c>
      <c r="O14" s="14">
        <v>9796.5967220980183</v>
      </c>
      <c r="P14" s="14">
        <v>36.78229602049268</v>
      </c>
      <c r="Q14" s="8">
        <v>4.7852523440242191E-3</v>
      </c>
      <c r="R14" s="54">
        <v>5.5779412875837182E-4</v>
      </c>
    </row>
    <row r="15" spans="1:21">
      <c r="A15" s="2" t="s">
        <v>375</v>
      </c>
      <c r="B15" s="16" t="s">
        <v>376</v>
      </c>
      <c r="D15" s="14">
        <v>1</v>
      </c>
      <c r="E15" s="14">
        <v>0.78268824162752415</v>
      </c>
      <c r="F15" s="14">
        <v>0.78040132229872194</v>
      </c>
      <c r="G15" s="14">
        <v>9.6508704151418E-4</v>
      </c>
      <c r="H15" s="14">
        <v>5.6433631317732313</v>
      </c>
      <c r="I15" s="14">
        <v>15.936581473790227</v>
      </c>
      <c r="J15" s="14">
        <v>0</v>
      </c>
      <c r="K15" s="14">
        <v>1.2813919856701883</v>
      </c>
      <c r="L15" s="14">
        <v>0.78040132229872194</v>
      </c>
      <c r="M15" s="14">
        <v>0.64031928494610135</v>
      </c>
      <c r="N15" s="14">
        <v>1.5983564110961876</v>
      </c>
      <c r="O15" s="14">
        <v>238.79444781777042</v>
      </c>
      <c r="P15" s="14">
        <v>1.5983564110961876</v>
      </c>
      <c r="Q15" s="8">
        <v>8.7618369554973791E-2</v>
      </c>
      <c r="R15" s="54">
        <v>0.64526076538009502</v>
      </c>
    </row>
    <row r="16" spans="1:21">
      <c r="A16" s="2" t="s">
        <v>377</v>
      </c>
      <c r="B16" s="16" t="s">
        <v>378</v>
      </c>
      <c r="D16" s="14">
        <v>1</v>
      </c>
      <c r="E16" s="14">
        <v>0.62087776213552304</v>
      </c>
      <c r="F16" s="14">
        <v>0.59673605790227569</v>
      </c>
      <c r="G16" s="14">
        <v>8.9980990322149924E-6</v>
      </c>
      <c r="H16" s="14">
        <v>55.299637059997238</v>
      </c>
      <c r="I16" s="14">
        <v>129.41346091764814</v>
      </c>
      <c r="J16" s="14">
        <v>0</v>
      </c>
      <c r="K16" s="14">
        <v>1.6757827631789677</v>
      </c>
      <c r="L16" s="14">
        <v>0.59673605790227569</v>
      </c>
      <c r="M16" s="14">
        <v>0.48962193550881722</v>
      </c>
      <c r="N16" s="14">
        <v>8.0641854457016819</v>
      </c>
      <c r="O16" s="14">
        <v>1792.1845734527417</v>
      </c>
      <c r="P16" s="14">
        <v>8.0641854457016819</v>
      </c>
      <c r="Q16" s="8">
        <v>0.25315088602092023</v>
      </c>
      <c r="R16" s="54">
        <v>0.19112754422111536</v>
      </c>
    </row>
    <row r="17" spans="1:22">
      <c r="A17" s="2" t="s">
        <v>379</v>
      </c>
      <c r="B17" s="16" t="s">
        <v>380</v>
      </c>
      <c r="D17" s="14">
        <v>1</v>
      </c>
      <c r="E17" s="14">
        <v>0.63409392152694943</v>
      </c>
      <c r="F17" s="14">
        <v>0.61222351836679523</v>
      </c>
      <c r="G17" s="14">
        <v>2.6605933211827306E-5</v>
      </c>
      <c r="H17" s="14">
        <v>50.066820098360544</v>
      </c>
      <c r="I17" s="14">
        <v>118.25164192492271</v>
      </c>
      <c r="J17" s="14">
        <v>0</v>
      </c>
      <c r="K17" s="14">
        <v>1.6333903713265721</v>
      </c>
      <c r="L17" s="14">
        <v>0.61222351836679523</v>
      </c>
      <c r="M17" s="14">
        <v>0.50232939681995548</v>
      </c>
      <c r="N17" s="14">
        <v>7.4214046870711821</v>
      </c>
      <c r="O17" s="14">
        <v>954.09578656987117</v>
      </c>
      <c r="P17" s="14">
        <v>7.4214046870711821</v>
      </c>
      <c r="Q17" s="8">
        <v>0.24333645657219871</v>
      </c>
      <c r="R17" s="54">
        <v>0.11132121106806854</v>
      </c>
    </row>
    <row r="18" spans="1:22">
      <c r="A18" s="2" t="s">
        <v>381</v>
      </c>
      <c r="B18" s="16" t="s">
        <v>382</v>
      </c>
      <c r="D18" s="14">
        <v>1</v>
      </c>
      <c r="E18" s="14">
        <v>0.41839202524469016</v>
      </c>
      <c r="F18" s="14">
        <v>3.0315250920413621E-3</v>
      </c>
      <c r="G18" s="14">
        <v>2.1596812356634472E-9</v>
      </c>
      <c r="H18" s="14">
        <v>318.24469087441054</v>
      </c>
      <c r="I18" s="14">
        <v>7983.9597348720563</v>
      </c>
      <c r="J18" s="14">
        <v>0</v>
      </c>
      <c r="K18" s="14">
        <v>329.8669711246302</v>
      </c>
      <c r="L18" s="14">
        <v>3.0315250920413626E-3</v>
      </c>
      <c r="M18" s="14">
        <v>2.487366338019938E-3</v>
      </c>
      <c r="N18" s="14">
        <v>500.59023623662125</v>
      </c>
      <c r="O18" s="14">
        <v>195875.95353702756</v>
      </c>
      <c r="P18" s="14">
        <v>500.59023623662131</v>
      </c>
      <c r="Q18" s="8">
        <v>0.25539849751855298</v>
      </c>
      <c r="R18" s="54">
        <v>0.14925670744053277</v>
      </c>
    </row>
    <row r="19" spans="1:22">
      <c r="A19" s="2" t="s">
        <v>383</v>
      </c>
      <c r="B19" s="16" t="s">
        <v>384</v>
      </c>
      <c r="D19" s="14">
        <v>1</v>
      </c>
      <c r="E19" s="14">
        <v>0.9108388741278961</v>
      </c>
      <c r="F19" s="14">
        <v>0.91035091792766965</v>
      </c>
      <c r="G19" s="14">
        <v>1.3132194975713559E-4</v>
      </c>
      <c r="H19" s="14">
        <v>1.7935307806479197</v>
      </c>
      <c r="I19" s="14">
        <v>5.5739876896891705</v>
      </c>
      <c r="J19" s="14">
        <v>0</v>
      </c>
      <c r="K19" s="14">
        <v>1.0984774995080009</v>
      </c>
      <c r="L19" s="14">
        <v>0.91035091792766976</v>
      </c>
      <c r="M19" s="14">
        <v>0.74694292815965302</v>
      </c>
      <c r="N19" s="14">
        <v>1.1169974808278236</v>
      </c>
      <c r="O19" s="14">
        <v>104.0259753894952</v>
      </c>
      <c r="P19" s="14">
        <v>1.1169974808278236</v>
      </c>
      <c r="Q19" s="8">
        <v>5.1899838356303268E-2</v>
      </c>
      <c r="R19" s="54">
        <v>2.2322475832670069E-3</v>
      </c>
    </row>
    <row r="20" spans="1:22">
      <c r="A20" s="2" t="s">
        <v>385</v>
      </c>
      <c r="B20" s="16" t="s">
        <v>386</v>
      </c>
      <c r="D20" s="14">
        <v>1</v>
      </c>
      <c r="E20" s="14">
        <v>0.87503254330327929</v>
      </c>
      <c r="F20" s="14">
        <v>0.87387852629583784</v>
      </c>
      <c r="G20" s="14">
        <v>2.4664911147364503E-4</v>
      </c>
      <c r="H20" s="14">
        <v>3.2170000497353475</v>
      </c>
      <c r="I20" s="14">
        <v>9.5479082798344717</v>
      </c>
      <c r="J20" s="14">
        <v>0</v>
      </c>
      <c r="K20" s="14">
        <v>1.1443238046353661</v>
      </c>
      <c r="L20" s="14">
        <v>0.87387852629583784</v>
      </c>
      <c r="M20" s="14">
        <v>0.71701733082573493</v>
      </c>
      <c r="N20" s="14">
        <v>1.3125408720583247</v>
      </c>
      <c r="O20" s="14">
        <v>145.84954170312105</v>
      </c>
      <c r="P20" s="14">
        <v>1.3125408720583247</v>
      </c>
      <c r="Q20" s="8">
        <v>6.9009397922274965E-2</v>
      </c>
      <c r="R20" s="54">
        <v>0.44746106725120954</v>
      </c>
    </row>
    <row r="21" spans="1:22">
      <c r="A21" s="2" t="s">
        <v>387</v>
      </c>
      <c r="B21" s="16" t="s">
        <v>388</v>
      </c>
      <c r="D21" s="14">
        <v>1</v>
      </c>
      <c r="E21" s="14">
        <v>0.72092150733584737</v>
      </c>
      <c r="F21" s="14">
        <v>0.40678706102696888</v>
      </c>
      <c r="G21" s="14">
        <v>7.9051993184054461E-5</v>
      </c>
      <c r="H21" s="14">
        <v>858.63211973697457</v>
      </c>
      <c r="I21" s="14">
        <v>320.8395570655822</v>
      </c>
      <c r="J21" s="14">
        <v>0</v>
      </c>
      <c r="K21" s="14">
        <v>2.4582886129057648</v>
      </c>
      <c r="L21" s="14">
        <v>0.40678706102696888</v>
      </c>
      <c r="M21" s="14">
        <v>0.33376878357262796</v>
      </c>
      <c r="N21" s="14">
        <v>24.418302055456763</v>
      </c>
      <c r="O21" s="14">
        <v>4821.3937408499378</v>
      </c>
      <c r="P21" s="14">
        <v>24.418302055456763</v>
      </c>
      <c r="Q21" s="8">
        <v>0.17688373828407369</v>
      </c>
      <c r="R21" s="54">
        <v>2.2630962769670464E-2</v>
      </c>
      <c r="U21" s="22"/>
    </row>
    <row r="22" spans="1:22">
      <c r="A22" s="2" t="s">
        <v>295</v>
      </c>
      <c r="B22" s="16" t="s">
        <v>296</v>
      </c>
      <c r="D22" s="14">
        <v>1</v>
      </c>
      <c r="E22" s="14">
        <v>0.90472980834109795</v>
      </c>
      <c r="F22" s="14">
        <v>0.90494269288557228</v>
      </c>
      <c r="G22" s="14">
        <v>7.2672410427998557E-4</v>
      </c>
      <c r="H22" s="14">
        <v>0.28730360644042752</v>
      </c>
      <c r="I22" s="14">
        <v>1.0214056323751737</v>
      </c>
      <c r="J22" s="14">
        <v>0</v>
      </c>
      <c r="K22" s="14">
        <v>1.1050423500424325</v>
      </c>
      <c r="L22" s="14">
        <v>0.90494269288557228</v>
      </c>
      <c r="M22" s="14">
        <v>0.74250547951261214</v>
      </c>
      <c r="N22" s="14">
        <v>0.85347120186133252</v>
      </c>
      <c r="O22" s="14">
        <v>49.569607404106193</v>
      </c>
      <c r="P22" s="14">
        <v>0.85347120186133263</v>
      </c>
      <c r="Q22" s="8">
        <v>1.9924996251879639E-2</v>
      </c>
      <c r="U22" s="22"/>
      <c r="V22" s="22"/>
    </row>
    <row r="23" spans="1:22">
      <c r="A23" s="2" t="s">
        <v>389</v>
      </c>
      <c r="B23" s="16" t="s">
        <v>390</v>
      </c>
      <c r="D23" s="14">
        <v>1</v>
      </c>
      <c r="E23" s="14">
        <v>0.75651957609448128</v>
      </c>
      <c r="F23" s="14">
        <v>0.7523067868523603</v>
      </c>
      <c r="G23" s="14">
        <v>7.9448091208231904E-4</v>
      </c>
      <c r="H23" s="14">
        <v>9.9141384564795327</v>
      </c>
      <c r="I23" s="14">
        <v>26.786264352097628</v>
      </c>
      <c r="J23" s="14">
        <v>0</v>
      </c>
      <c r="K23" s="14">
        <v>1.3292449536232209</v>
      </c>
      <c r="L23" s="14">
        <v>0.7523067868523603</v>
      </c>
      <c r="M23" s="14">
        <v>0.61726771861236163</v>
      </c>
      <c r="N23" s="14">
        <v>2.2008443794319783</v>
      </c>
      <c r="O23" s="14">
        <v>235.82047525613649</v>
      </c>
      <c r="P23" s="14">
        <v>2.2008443794319783</v>
      </c>
      <c r="Q23" s="8">
        <v>0.11548142932504091</v>
      </c>
      <c r="U23" s="22"/>
      <c r="V23" s="22"/>
    </row>
    <row r="24" spans="1:22">
      <c r="A24" s="2" t="s">
        <v>391</v>
      </c>
      <c r="B24" s="16" t="s">
        <v>392</v>
      </c>
      <c r="D24" s="14">
        <v>1</v>
      </c>
      <c r="E24" s="14">
        <v>0.54844668593253221</v>
      </c>
      <c r="F24" s="14">
        <v>0.51006944622446238</v>
      </c>
      <c r="G24" s="14">
        <v>2.9342546212082286E-5</v>
      </c>
      <c r="H24" s="14">
        <v>88.322084338303341</v>
      </c>
      <c r="I24" s="14">
        <v>197.39060598413903</v>
      </c>
      <c r="J24" s="14">
        <v>0</v>
      </c>
      <c r="K24" s="14">
        <v>1.96051735190572</v>
      </c>
      <c r="L24" s="14">
        <v>0.51006944622446238</v>
      </c>
      <c r="M24" s="14">
        <v>0.41851198062717138</v>
      </c>
      <c r="N24" s="14">
        <v>11.999649348568507</v>
      </c>
      <c r="O24" s="14">
        <v>1944.1831874550696</v>
      </c>
      <c r="P24" s="14">
        <v>11.999649348568507</v>
      </c>
      <c r="Q24" s="8">
        <v>0.29972742340918157</v>
      </c>
      <c r="U24" s="22"/>
      <c r="V24" s="22"/>
    </row>
    <row r="25" spans="1:22">
      <c r="A25" s="2" t="s">
        <v>393</v>
      </c>
      <c r="B25" s="16" t="s">
        <v>394</v>
      </c>
      <c r="D25" s="14">
        <v>1</v>
      </c>
      <c r="E25" s="14">
        <v>0.40808130787084534</v>
      </c>
      <c r="F25" s="14">
        <v>4.1403397247830676E-3</v>
      </c>
      <c r="G25" s="14">
        <v>9.7428152036847511E-6</v>
      </c>
      <c r="H25" s="14">
        <v>371.92551880227273</v>
      </c>
      <c r="I25" s="14">
        <v>7186.4291494923409</v>
      </c>
      <c r="J25" s="14">
        <v>0</v>
      </c>
      <c r="K25" s="14">
        <v>241.52607430116012</v>
      </c>
      <c r="L25" s="14">
        <v>4.1403397247830676E-3</v>
      </c>
      <c r="M25" s="14">
        <v>3.397148744184507E-3</v>
      </c>
      <c r="N25" s="14">
        <v>449.10684786530624</v>
      </c>
      <c r="O25" s="14">
        <v>104817.04722328382</v>
      </c>
      <c r="P25" s="14">
        <v>449.10684786530624</v>
      </c>
      <c r="Q25" s="8">
        <v>0.27587550950606854</v>
      </c>
      <c r="U25" s="22"/>
      <c r="V25" s="22"/>
    </row>
    <row r="26" spans="1:22">
      <c r="A26" s="2" t="s">
        <v>395</v>
      </c>
      <c r="B26" s="16" t="s">
        <v>396</v>
      </c>
      <c r="D26" s="14">
        <v>1</v>
      </c>
      <c r="E26" s="14">
        <v>0.31320378057304799</v>
      </c>
      <c r="F26" s="14">
        <v>0.23372006903131232</v>
      </c>
      <c r="G26" s="14">
        <v>2.5247855362837092E-3</v>
      </c>
      <c r="H26" s="14">
        <v>186.03557713270632</v>
      </c>
      <c r="I26" s="14">
        <v>371.58072408093244</v>
      </c>
      <c r="J26" s="14">
        <v>0</v>
      </c>
      <c r="K26" s="14">
        <v>4.2786227307935052</v>
      </c>
      <c r="L26" s="14">
        <v>0.23372006903131232</v>
      </c>
      <c r="M26" s="14">
        <v>0.19176731664019175</v>
      </c>
      <c r="N26" s="14">
        <v>22.189338347326959</v>
      </c>
      <c r="O26" s="14">
        <v>2844.0074959768963</v>
      </c>
      <c r="P26" s="14">
        <v>22.189338347326959</v>
      </c>
      <c r="Q26" s="8">
        <v>0.30412573860987235</v>
      </c>
    </row>
    <row r="27" spans="1:22">
      <c r="A27" s="2" t="s">
        <v>397</v>
      </c>
      <c r="B27" s="16" t="s">
        <v>398</v>
      </c>
      <c r="D27" s="14">
        <v>1</v>
      </c>
      <c r="E27" s="14">
        <v>6.3629581763475718E-2</v>
      </c>
      <c r="F27" s="14">
        <v>2.2164239579935293E-2</v>
      </c>
      <c r="G27" s="14">
        <v>9.1901229920817642E-3</v>
      </c>
      <c r="H27" s="14">
        <v>99.058748292960033</v>
      </c>
      <c r="I27" s="14">
        <v>174.24086029745266</v>
      </c>
      <c r="J27" s="14">
        <v>0</v>
      </c>
      <c r="K27" s="14">
        <v>45.117722013132983</v>
      </c>
      <c r="L27" s="14">
        <v>2.2164239579935296E-2</v>
      </c>
      <c r="M27" s="14">
        <v>1.818575857533691E-2</v>
      </c>
      <c r="N27" s="14">
        <v>10.45710058567601</v>
      </c>
      <c r="O27" s="14">
        <v>1897.440901270912</v>
      </c>
      <c r="P27" s="14">
        <v>10.457100585676011</v>
      </c>
      <c r="Q27" s="8">
        <v>7.0884292125182241E-2</v>
      </c>
    </row>
    <row r="28" spans="1:22">
      <c r="A28" s="2" t="s">
        <v>399</v>
      </c>
      <c r="B28" s="16" t="s">
        <v>400</v>
      </c>
      <c r="D28" s="14">
        <v>1</v>
      </c>
      <c r="E28" s="14">
        <v>4.8930861125389073E-2</v>
      </c>
      <c r="F28" s="14">
        <v>3.3311442514162438E-2</v>
      </c>
      <c r="G28" s="14">
        <v>9.7029083096761733E-3</v>
      </c>
      <c r="H28" s="14">
        <v>36.700623268895207</v>
      </c>
      <c r="I28" s="14">
        <v>71.569932974954355</v>
      </c>
      <c r="J28" s="14">
        <v>0</v>
      </c>
      <c r="K28" s="14">
        <v>30.019714684371518</v>
      </c>
      <c r="L28" s="14">
        <v>3.3311442514162445E-2</v>
      </c>
      <c r="M28" s="14">
        <v>2.7332038582870283E-2</v>
      </c>
      <c r="N28" s="14">
        <v>4.2734977940463628</v>
      </c>
      <c r="O28" s="14">
        <v>628.20417572481529</v>
      </c>
      <c r="P28" s="14">
        <v>4.2734977940463628</v>
      </c>
      <c r="Q28" s="8">
        <v>5.1348836857076377E-2</v>
      </c>
    </row>
    <row r="29" spans="1:22">
      <c r="A29" s="2" t="s">
        <v>297</v>
      </c>
      <c r="B29" s="16" t="s">
        <v>298</v>
      </c>
      <c r="D29" s="14">
        <v>1</v>
      </c>
      <c r="E29" s="14">
        <v>5.9558931717563844E-2</v>
      </c>
      <c r="F29" s="14">
        <v>5.945210987205482E-2</v>
      </c>
      <c r="G29" s="14">
        <v>1.0360858903348383E-2</v>
      </c>
      <c r="H29" s="14">
        <v>0.28103944020855964</v>
      </c>
      <c r="I29" s="14">
        <v>0.81888787838345412</v>
      </c>
      <c r="J29" s="14">
        <v>0</v>
      </c>
      <c r="K29" s="14">
        <v>16.820260915080581</v>
      </c>
      <c r="L29" s="14">
        <v>5.945210987205482E-2</v>
      </c>
      <c r="M29" s="14">
        <v>4.8780456150020982E-2</v>
      </c>
      <c r="N29" s="14">
        <v>9.9017648535941832E-2</v>
      </c>
      <c r="O29" s="14">
        <v>8.4095688901575407</v>
      </c>
      <c r="P29" s="14">
        <v>9.9017648535941832E-2</v>
      </c>
      <c r="Q29" s="8">
        <v>5.348406925649014E-3</v>
      </c>
    </row>
    <row r="30" spans="1:22">
      <c r="A30" s="2" t="s">
        <v>401</v>
      </c>
      <c r="B30" s="16" t="s">
        <v>402</v>
      </c>
      <c r="D30" s="14">
        <v>1</v>
      </c>
      <c r="E30" s="14">
        <v>1.8111345807622043E-2</v>
      </c>
      <c r="F30" s="14">
        <v>1.2617684958572812E-2</v>
      </c>
      <c r="G30" s="14">
        <v>1.0595175804939001E-2</v>
      </c>
      <c r="H30" s="14">
        <v>12.896732134906747</v>
      </c>
      <c r="I30" s="14">
        <v>25.28930244757613</v>
      </c>
      <c r="J30" s="14">
        <v>0</v>
      </c>
      <c r="K30" s="14">
        <v>79.253841198545047</v>
      </c>
      <c r="L30" s="14">
        <v>1.2617684958572812E-2</v>
      </c>
      <c r="M30" s="14">
        <v>1.0352810508508992E-2</v>
      </c>
      <c r="N30" s="14">
        <v>1.5099797009317588</v>
      </c>
      <c r="O30" s="14">
        <v>250.3999338055136</v>
      </c>
      <c r="P30" s="14">
        <v>1.509979700931759</v>
      </c>
      <c r="Q30" s="8">
        <v>1.870410149277052E-2</v>
      </c>
    </row>
    <row r="31" spans="1:22">
      <c r="A31" s="2" t="s">
        <v>299</v>
      </c>
      <c r="B31" s="16" t="s">
        <v>300</v>
      </c>
      <c r="D31" s="14">
        <v>1</v>
      </c>
      <c r="E31" s="14">
        <v>5.3653880753363971E-4</v>
      </c>
      <c r="F31" s="14">
        <v>4.4987530570014659E-4</v>
      </c>
      <c r="G31" s="14">
        <v>1.1097895790455213E-2</v>
      </c>
      <c r="H31" s="14">
        <v>0.20147082033710206</v>
      </c>
      <c r="I31" s="14">
        <v>0.41982599461213843</v>
      </c>
      <c r="J31" s="14">
        <v>0</v>
      </c>
      <c r="K31" s="14">
        <v>2222.8381672198866</v>
      </c>
      <c r="L31" s="14">
        <v>4.4987530570014659E-4</v>
      </c>
      <c r="M31" s="14">
        <v>3.6912268832697029E-4</v>
      </c>
      <c r="N31" s="14">
        <v>2.5131302313472798E-2</v>
      </c>
      <c r="O31" s="14">
        <v>2.0642851720286557</v>
      </c>
      <c r="P31" s="14">
        <v>2.5131302313472798E-2</v>
      </c>
      <c r="Q31" s="8">
        <v>4.3377980136159483E-4</v>
      </c>
    </row>
    <row r="32" spans="1:22">
      <c r="A32" s="2" t="s">
        <v>343</v>
      </c>
      <c r="B32" s="16" t="s">
        <v>344</v>
      </c>
      <c r="D32" s="14">
        <v>1</v>
      </c>
      <c r="E32" s="14">
        <v>0.66769400560197056</v>
      </c>
      <c r="F32" s="14">
        <v>0.6504678523420242</v>
      </c>
      <c r="G32" s="14">
        <v>2.5152104298418571E-5</v>
      </c>
      <c r="H32" s="14">
        <v>39.404501489266124</v>
      </c>
      <c r="I32" s="14">
        <v>95.148732724212081</v>
      </c>
      <c r="J32" s="14">
        <v>0</v>
      </c>
      <c r="K32" s="14">
        <v>1.5373549921021883</v>
      </c>
      <c r="L32" s="14">
        <v>0.6504678523420242</v>
      </c>
      <c r="M32" s="14">
        <v>0.53370887284663093</v>
      </c>
      <c r="N32" s="14">
        <v>6.0984967778018389</v>
      </c>
      <c r="O32" s="14">
        <v>1001.3731709150619</v>
      </c>
      <c r="P32" s="14">
        <v>6.0984967778018397</v>
      </c>
      <c r="Q32" s="8">
        <v>0.22110726284058416</v>
      </c>
    </row>
    <row r="33" spans="1:17">
      <c r="A33" s="2" t="s">
        <v>345</v>
      </c>
      <c r="B33" s="16" t="s">
        <v>346</v>
      </c>
      <c r="D33" s="14">
        <v>1</v>
      </c>
      <c r="E33" s="14">
        <v>0.76816808428155259</v>
      </c>
      <c r="F33" s="14">
        <v>0.76063776293795293</v>
      </c>
      <c r="G33" s="14">
        <v>9.9125723566293322E-7</v>
      </c>
      <c r="H33" s="14">
        <v>17.376323076122674</v>
      </c>
      <c r="I33" s="14">
        <v>45.083233105271177</v>
      </c>
      <c r="J33" s="14">
        <v>0</v>
      </c>
      <c r="K33" s="14">
        <v>1.3146862392652103</v>
      </c>
      <c r="L33" s="14">
        <v>0.76063776293795304</v>
      </c>
      <c r="M33" s="14">
        <v>0.62410328449059049</v>
      </c>
      <c r="N33" s="14">
        <v>3.2695075051625966</v>
      </c>
      <c r="O33" s="14">
        <v>494.2187544803781</v>
      </c>
      <c r="P33" s="14">
        <v>3.269507505162597</v>
      </c>
      <c r="Q33" s="8">
        <v>0.15553031570109566</v>
      </c>
    </row>
    <row r="34" spans="1:17">
      <c r="A34" s="2" t="s">
        <v>347</v>
      </c>
      <c r="B34" s="16" t="s">
        <v>348</v>
      </c>
      <c r="D34" s="14">
        <v>1</v>
      </c>
      <c r="E34" s="14">
        <v>0.41583351844879674</v>
      </c>
      <c r="F34" s="14">
        <v>0.32154815005042642</v>
      </c>
      <c r="G34" s="14">
        <v>1.4805207651765088E-6</v>
      </c>
      <c r="H34" s="14">
        <v>220.2855527934191</v>
      </c>
      <c r="I34" s="14">
        <v>444.88031143024665</v>
      </c>
      <c r="J34" s="14">
        <v>0</v>
      </c>
      <c r="K34" s="14">
        <v>3.1099541385735727</v>
      </c>
      <c r="L34" s="14">
        <v>0.32154815005042647</v>
      </c>
      <c r="M34" s="14">
        <v>0.26383025711637492</v>
      </c>
      <c r="N34" s="14">
        <v>26.574809456761255</v>
      </c>
      <c r="O34" s="14">
        <v>4683.8101667541714</v>
      </c>
      <c r="P34" s="14">
        <v>26.574809456761258</v>
      </c>
      <c r="Q34" s="8">
        <v>0.38693960687895235</v>
      </c>
    </row>
    <row r="35" spans="1:17">
      <c r="A35" s="2" t="s">
        <v>349</v>
      </c>
      <c r="B35" s="16" t="s">
        <v>350</v>
      </c>
      <c r="D35" s="14">
        <v>1</v>
      </c>
      <c r="E35" s="14">
        <v>0.38038894803266443</v>
      </c>
      <c r="F35" s="14">
        <v>7.7194320048101533E-2</v>
      </c>
      <c r="G35" s="14">
        <v>5.45825515795901E-4</v>
      </c>
      <c r="H35" s="14">
        <v>730.50862199094297</v>
      </c>
      <c r="I35" s="14">
        <v>1215.8570488683445</v>
      </c>
      <c r="J35" s="14">
        <v>0</v>
      </c>
      <c r="K35" s="14">
        <v>12.954320983420505</v>
      </c>
      <c r="L35" s="14">
        <v>7.7194320048101547E-2</v>
      </c>
      <c r="M35" s="14">
        <v>6.3337939599467319E-2</v>
      </c>
      <c r="N35" s="14">
        <v>73.297779246094876</v>
      </c>
      <c r="O35" s="14">
        <v>14095.162949024045</v>
      </c>
      <c r="P35" s="14">
        <v>73.297779246094876</v>
      </c>
      <c r="Q35" s="8">
        <v>0.36499130359095827</v>
      </c>
    </row>
    <row r="36" spans="1:17">
      <c r="A36" s="2" t="s">
        <v>351</v>
      </c>
      <c r="B36" s="16" t="s">
        <v>352</v>
      </c>
      <c r="D36" s="14">
        <v>1</v>
      </c>
      <c r="E36" s="14">
        <v>0.40199606175250968</v>
      </c>
      <c r="F36" s="14">
        <v>2.0329646191999479E-2</v>
      </c>
      <c r="G36" s="14">
        <v>1.7520169688104488E-5</v>
      </c>
      <c r="H36" s="14">
        <v>742.18098003861337</v>
      </c>
      <c r="I36" s="14">
        <v>3172.2469698156842</v>
      </c>
      <c r="J36" s="14">
        <v>0</v>
      </c>
      <c r="K36" s="14">
        <v>49.189247592195649</v>
      </c>
      <c r="L36" s="14">
        <v>2.0329646191999482E-2</v>
      </c>
      <c r="M36" s="14">
        <v>1.6680474700535575E-2</v>
      </c>
      <c r="N36" s="14">
        <v>194.54011406946216</v>
      </c>
      <c r="O36" s="14">
        <v>43259.885165626307</v>
      </c>
      <c r="P36" s="14">
        <v>194.54011406946219</v>
      </c>
      <c r="Q36" s="8">
        <v>0.34927458974776743</v>
      </c>
    </row>
    <row r="37" spans="1:17">
      <c r="A37" s="2" t="s">
        <v>353</v>
      </c>
      <c r="B37" s="16" t="s">
        <v>354</v>
      </c>
      <c r="D37" s="14">
        <v>1</v>
      </c>
      <c r="E37" s="14">
        <v>0.41076404990116744</v>
      </c>
      <c r="F37" s="14">
        <v>3.2729186774565892E-3</v>
      </c>
      <c r="G37" s="14">
        <v>1.2513065046811545E-4</v>
      </c>
      <c r="H37" s="14">
        <v>329.02978560720908</v>
      </c>
      <c r="I37" s="14">
        <v>7677.0149307970432</v>
      </c>
      <c r="J37" s="14">
        <v>0</v>
      </c>
      <c r="K37" s="14">
        <v>305.53768625168158</v>
      </c>
      <c r="L37" s="14">
        <v>3.2729186774565892E-3</v>
      </c>
      <c r="M37" s="14">
        <v>2.6854297748531313E-3</v>
      </c>
      <c r="N37" s="14">
        <v>480.90547364573831</v>
      </c>
      <c r="O37" s="14">
        <v>113681.24491511607</v>
      </c>
      <c r="P37" s="14">
        <v>480.90547364573831</v>
      </c>
      <c r="Q37" s="8">
        <v>0.25834043424815939</v>
      </c>
    </row>
    <row r="38" spans="1:17">
      <c r="A38" s="2" t="s">
        <v>355</v>
      </c>
      <c r="B38" s="16" t="s">
        <v>356</v>
      </c>
      <c r="D38" s="14">
        <v>1</v>
      </c>
      <c r="E38" s="14">
        <v>0.39257313240931452</v>
      </c>
      <c r="F38" s="14">
        <v>1.1163991609090729E-2</v>
      </c>
      <c r="G38" s="14">
        <v>6.5425641422376906E-6</v>
      </c>
      <c r="H38" s="14">
        <v>586.29946973708377</v>
      </c>
      <c r="I38" s="14">
        <v>4608.6812510109776</v>
      </c>
      <c r="J38" s="14">
        <v>0</v>
      </c>
      <c r="K38" s="14">
        <v>89.573696847434903</v>
      </c>
      <c r="L38" s="14">
        <v>1.1163991609090729E-2</v>
      </c>
      <c r="M38" s="14">
        <v>9.1600551152589433E-3</v>
      </c>
      <c r="N38" s="14">
        <v>284.78224139246601</v>
      </c>
      <c r="O38" s="14">
        <v>73587.731175813213</v>
      </c>
      <c r="P38" s="14">
        <v>284.78224139246601</v>
      </c>
      <c r="Q38" s="8">
        <v>0.33157110159846642</v>
      </c>
    </row>
    <row r="39" spans="1:17">
      <c r="A39" s="2" t="s">
        <v>357</v>
      </c>
      <c r="B39" s="16" t="s">
        <v>358</v>
      </c>
      <c r="D39" s="14">
        <v>1</v>
      </c>
      <c r="E39" s="14">
        <v>0.35470757967419664</v>
      </c>
      <c r="F39" s="14">
        <v>1.5368461184367776E-2</v>
      </c>
      <c r="G39" s="14">
        <v>1.2099261752730015E-3</v>
      </c>
      <c r="H39" s="14">
        <v>622.48714118710143</v>
      </c>
      <c r="I39" s="14">
        <v>3166.5587888280847</v>
      </c>
      <c r="J39" s="14">
        <v>0</v>
      </c>
      <c r="K39" s="14">
        <v>65.068323237017552</v>
      </c>
      <c r="L39" s="14">
        <v>1.5368461184367776E-2</v>
      </c>
      <c r="M39" s="14">
        <v>1.2609822401773762E-2</v>
      </c>
      <c r="N39" s="14">
        <v>194.61108534592884</v>
      </c>
      <c r="O39" s="14">
        <v>46004.114464924118</v>
      </c>
      <c r="P39" s="14">
        <v>194.61108534592884</v>
      </c>
      <c r="Q39" s="8">
        <v>0.30873620063303076</v>
      </c>
    </row>
    <row r="40" spans="1:17">
      <c r="A40" s="2" t="s">
        <v>359</v>
      </c>
      <c r="B40" s="16" t="s">
        <v>360</v>
      </c>
      <c r="D40" s="14">
        <v>1</v>
      </c>
      <c r="E40" s="14">
        <v>0.39257313240931452</v>
      </c>
      <c r="F40" s="14">
        <v>1.1163991609090729E-2</v>
      </c>
      <c r="G40" s="14">
        <v>6.5425641422376906E-6</v>
      </c>
      <c r="H40" s="14">
        <v>586.29946973708377</v>
      </c>
      <c r="I40" s="14">
        <v>4608.6812510109776</v>
      </c>
      <c r="J40" s="14">
        <v>0</v>
      </c>
      <c r="K40" s="14">
        <v>89.573696847434903</v>
      </c>
      <c r="L40" s="14">
        <v>1.1163991609090729E-2</v>
      </c>
      <c r="M40" s="14">
        <v>9.1600551152589433E-3</v>
      </c>
      <c r="N40" s="14">
        <v>284.78224139246601</v>
      </c>
      <c r="O40" s="14">
        <v>73587.731175813213</v>
      </c>
      <c r="P40" s="14">
        <v>284.78224139246601</v>
      </c>
      <c r="Q40" s="8">
        <v>0.33157110159846642</v>
      </c>
    </row>
    <row r="41" spans="1:17">
      <c r="A41" s="2" t="s">
        <v>313</v>
      </c>
      <c r="B41" s="16" t="s">
        <v>314</v>
      </c>
      <c r="D41" s="14">
        <v>1</v>
      </c>
      <c r="E41" s="14">
        <v>0.99940199951365905</v>
      </c>
      <c r="F41" s="14">
        <v>0.99505821479299161</v>
      </c>
      <c r="G41" s="14">
        <v>6.4770816049238846E-10</v>
      </c>
      <c r="H41" s="14">
        <v>13.445237849854614</v>
      </c>
      <c r="I41" s="14">
        <v>2.9624474458596121E-2</v>
      </c>
      <c r="J41" s="14">
        <v>0</v>
      </c>
      <c r="K41" s="14">
        <v>1.0049663277319272</v>
      </c>
      <c r="L41" s="14">
        <v>0.99505821479299172</v>
      </c>
      <c r="M41" s="14">
        <v>0.81644526523764971</v>
      </c>
      <c r="N41" s="14">
        <v>1.0114243006198105</v>
      </c>
      <c r="O41" s="14">
        <v>186.2133279871133</v>
      </c>
      <c r="P41" s="14">
        <v>1.0114243006198105</v>
      </c>
      <c r="Q41" s="8">
        <v>1.2643015042457684E-4</v>
      </c>
    </row>
    <row r="42" spans="1:17">
      <c r="A42" s="2" t="s">
        <v>315</v>
      </c>
      <c r="B42" s="16" t="s">
        <v>316</v>
      </c>
      <c r="D42" s="14">
        <v>1</v>
      </c>
      <c r="E42" s="14">
        <v>0.41158300700395473</v>
      </c>
      <c r="F42" s="14">
        <v>2.9821892815968757E-3</v>
      </c>
      <c r="G42" s="14">
        <v>1.8082717297071893E-4</v>
      </c>
      <c r="H42" s="14">
        <v>313.06549582662302</v>
      </c>
      <c r="I42" s="14">
        <v>7854.0267433523259</v>
      </c>
      <c r="J42" s="14">
        <v>0</v>
      </c>
      <c r="K42" s="14">
        <v>335.32412116528332</v>
      </c>
      <c r="L42" s="14">
        <v>2.9821892815968757E-3</v>
      </c>
      <c r="M42" s="14">
        <v>2.4468863055502367E-3</v>
      </c>
      <c r="N42" s="14">
        <v>492.44350340232347</v>
      </c>
      <c r="O42" s="14">
        <v>179697.55882654188</v>
      </c>
      <c r="P42" s="14">
        <v>492.44350340232347</v>
      </c>
      <c r="Q42" s="8">
        <v>0.25124207740695254</v>
      </c>
    </row>
    <row r="43" spans="1:17">
      <c r="A43" s="2" t="s">
        <v>317</v>
      </c>
      <c r="B43" s="16" t="s">
        <v>318</v>
      </c>
      <c r="D43" s="14">
        <v>1</v>
      </c>
      <c r="E43" s="14">
        <v>0.53309634592945854</v>
      </c>
      <c r="F43" s="14">
        <v>0.49029640178552425</v>
      </c>
      <c r="G43" s="14">
        <v>6.7715360318384403E-14</v>
      </c>
      <c r="H43" s="14">
        <v>98.641281560058871</v>
      </c>
      <c r="I43" s="14">
        <v>218.02981023987616</v>
      </c>
      <c r="J43" s="14">
        <v>0</v>
      </c>
      <c r="K43" s="14">
        <v>2.0395825797584397</v>
      </c>
      <c r="L43" s="14">
        <v>0.49029640178552425</v>
      </c>
      <c r="M43" s="14">
        <v>0.40228819766502266</v>
      </c>
      <c r="N43" s="14">
        <v>13.203750652874382</v>
      </c>
      <c r="O43" s="14">
        <v>4189.814157170099</v>
      </c>
      <c r="P43" s="14">
        <v>13.203750652874382</v>
      </c>
      <c r="Q43" s="8">
        <v>0.31154147862708143</v>
      </c>
    </row>
    <row r="44" spans="1:17">
      <c r="A44" s="2" t="s">
        <v>307</v>
      </c>
      <c r="B44" s="16" t="s">
        <v>308</v>
      </c>
      <c r="D44" s="14">
        <v>1</v>
      </c>
      <c r="E44" s="14">
        <v>0.4212638570102073</v>
      </c>
      <c r="F44" s="14">
        <v>3.1062765941260631E-2</v>
      </c>
      <c r="G44" s="14">
        <v>5.9666231932100366E-6</v>
      </c>
      <c r="H44" s="14">
        <v>859.60735798752989</v>
      </c>
      <c r="I44" s="14">
        <v>2309.7091511391754</v>
      </c>
      <c r="J44" s="14">
        <v>0</v>
      </c>
      <c r="K44" s="14">
        <v>32.192883334696909</v>
      </c>
      <c r="L44" s="14">
        <v>3.1062765941260631E-2</v>
      </c>
      <c r="M44" s="14">
        <v>2.548699945480435E-2</v>
      </c>
      <c r="N44" s="14">
        <v>140.83791489096021</v>
      </c>
      <c r="O44" s="14">
        <v>49376.364581621739</v>
      </c>
      <c r="P44" s="14">
        <v>140.83791489096021</v>
      </c>
      <c r="Q44" s="8">
        <v>0.35168779358325497</v>
      </c>
    </row>
    <row r="45" spans="1:17">
      <c r="A45" s="2" t="s">
        <v>319</v>
      </c>
      <c r="B45" s="16" t="s">
        <v>320</v>
      </c>
      <c r="D45" s="14">
        <v>1</v>
      </c>
      <c r="E45" s="14">
        <v>0.44625785530321815</v>
      </c>
      <c r="F45" s="14">
        <v>1.428586168513084E-3</v>
      </c>
      <c r="G45" s="14">
        <v>6.3109527507356269E-7</v>
      </c>
      <c r="H45" s="14">
        <v>213.8781608859457</v>
      </c>
      <c r="I45" s="14">
        <v>9725.7614191743651</v>
      </c>
      <c r="J45" s="14">
        <v>0</v>
      </c>
      <c r="K45" s="14">
        <v>699.99277750311012</v>
      </c>
      <c r="L45" s="14">
        <v>1.4285861685130843E-3</v>
      </c>
      <c r="M45" s="14">
        <v>1.1721549512649855E-3</v>
      </c>
      <c r="N45" s="14">
        <v>614.3913193118899</v>
      </c>
      <c r="O45" s="14">
        <v>217795.57878287186</v>
      </c>
      <c r="P45" s="14">
        <v>614.3913193118899</v>
      </c>
      <c r="Q45" s="8">
        <v>0.2053636675749437</v>
      </c>
    </row>
    <row r="46" spans="1:17">
      <c r="A46" s="2" t="s">
        <v>321</v>
      </c>
      <c r="B46" s="16" t="s">
        <v>322</v>
      </c>
      <c r="D46" s="14">
        <v>1</v>
      </c>
      <c r="E46" s="14">
        <v>0.42206223326686637</v>
      </c>
      <c r="F46" s="14">
        <v>2.7246456494095066E-3</v>
      </c>
      <c r="G46" s="14">
        <v>8.8797045573295898E-7</v>
      </c>
      <c r="H46" s="14">
        <v>301.27980988789108</v>
      </c>
      <c r="I46" s="14">
        <v>8245.6937232200326</v>
      </c>
      <c r="J46" s="14">
        <v>0</v>
      </c>
      <c r="K46" s="14">
        <v>367.02020323880384</v>
      </c>
      <c r="L46" s="14">
        <v>2.724645649409507E-3</v>
      </c>
      <c r="M46" s="14">
        <v>2.2355717553405002E-3</v>
      </c>
      <c r="N46" s="14">
        <v>517.56803162230119</v>
      </c>
      <c r="O46" s="14">
        <v>183472.69152978956</v>
      </c>
      <c r="P46" s="14">
        <v>517.56803162230119</v>
      </c>
      <c r="Q46" s="8">
        <v>0.24821452927358781</v>
      </c>
    </row>
    <row r="47" spans="1:17">
      <c r="A47" s="2" t="s">
        <v>323</v>
      </c>
      <c r="B47" s="16" t="s">
        <v>324</v>
      </c>
      <c r="D47" s="14">
        <v>1</v>
      </c>
      <c r="E47" s="14">
        <v>0.39959622782162918</v>
      </c>
      <c r="F47" s="14">
        <v>5.7844217642899201E-3</v>
      </c>
      <c r="G47" s="14">
        <v>7.9929747163581693E-6</v>
      </c>
      <c r="H47" s="14">
        <v>436.99850528904096</v>
      </c>
      <c r="I47" s="14">
        <v>6317.3817619848332</v>
      </c>
      <c r="J47" s="14">
        <v>0</v>
      </c>
      <c r="K47" s="14">
        <v>172.87812693284084</v>
      </c>
      <c r="L47" s="14">
        <v>5.7844217642899201E-3</v>
      </c>
      <c r="M47" s="14">
        <v>4.7461180575998794E-3</v>
      </c>
      <c r="N47" s="14">
        <v>393.35956886993887</v>
      </c>
      <c r="O47" s="14">
        <v>125890.79642113524</v>
      </c>
      <c r="P47" s="14">
        <v>393.35956886993887</v>
      </c>
      <c r="Q47" s="8">
        <v>0.29698678315757482</v>
      </c>
    </row>
    <row r="48" spans="1:17">
      <c r="A48" s="2" t="s">
        <v>325</v>
      </c>
      <c r="B48" s="16" t="s">
        <v>326</v>
      </c>
      <c r="D48" s="14">
        <v>1</v>
      </c>
      <c r="E48" s="14">
        <v>0.36204406925590754</v>
      </c>
      <c r="F48" s="14">
        <v>0.16463748740062434</v>
      </c>
      <c r="G48" s="14">
        <v>3.1125563107981615E-6</v>
      </c>
      <c r="H48" s="14">
        <v>469.12516430260092</v>
      </c>
      <c r="I48" s="14">
        <v>852.99385066169384</v>
      </c>
      <c r="J48" s="14">
        <v>0</v>
      </c>
      <c r="K48" s="14">
        <v>6.073950810283125</v>
      </c>
      <c r="L48" s="14">
        <v>0.16463748740062434</v>
      </c>
      <c r="M48" s="14">
        <v>0.13508505841221227</v>
      </c>
      <c r="N48" s="14">
        <v>51.076205625840089</v>
      </c>
      <c r="O48" s="14">
        <v>15545.043182224432</v>
      </c>
      <c r="P48" s="14">
        <v>51.076205625840089</v>
      </c>
      <c r="Q48" s="8">
        <v>0.41643373130461986</v>
      </c>
    </row>
    <row r="49" spans="1:17">
      <c r="A49" s="2" t="s">
        <v>275</v>
      </c>
      <c r="B49" s="16" t="s">
        <v>276</v>
      </c>
      <c r="D49" s="14">
        <v>1</v>
      </c>
      <c r="E49" s="14">
        <v>0.41724107189410437</v>
      </c>
      <c r="F49" s="14">
        <v>2.8770986276509539E-2</v>
      </c>
      <c r="G49" s="14">
        <v>7.634897967826434E-8</v>
      </c>
      <c r="H49" s="14">
        <v>838.63841090822075</v>
      </c>
      <c r="I49" s="14">
        <v>2458.2832422351707</v>
      </c>
      <c r="J49" s="14">
        <v>0</v>
      </c>
      <c r="K49" s="14">
        <v>34.757237391491977</v>
      </c>
      <c r="L49" s="14">
        <v>2.8770986276509543E-2</v>
      </c>
      <c r="M49" s="14">
        <v>2.3606594239876079E-2</v>
      </c>
      <c r="N49" s="14">
        <v>150.05697635852331</v>
      </c>
      <c r="O49" s="14">
        <v>55594.6091710693</v>
      </c>
      <c r="P49" s="14">
        <v>150.05697635852331</v>
      </c>
      <c r="Q49" s="8">
        <v>0.35223452389991083</v>
      </c>
    </row>
    <row r="50" spans="1:17">
      <c r="A50" s="2" t="s">
        <v>327</v>
      </c>
      <c r="B50" s="16" t="s">
        <v>328</v>
      </c>
      <c r="D50" s="14">
        <v>1</v>
      </c>
      <c r="E50" s="14">
        <v>0.41073603911061729</v>
      </c>
      <c r="F50" s="14">
        <v>2.5235738342996597E-2</v>
      </c>
      <c r="G50" s="14">
        <v>3.9487942303008837E-6</v>
      </c>
      <c r="H50" s="14">
        <v>802.1138508441735</v>
      </c>
      <c r="I50" s="14">
        <v>2718.2737207063774</v>
      </c>
      <c r="J50" s="14">
        <v>0</v>
      </c>
      <c r="K50" s="14">
        <v>39.626342071244338</v>
      </c>
      <c r="L50" s="14">
        <v>2.5235738342996597E-2</v>
      </c>
      <c r="M50" s="14">
        <v>2.0705923310428708E-2</v>
      </c>
      <c r="N50" s="14">
        <v>166.22289223124929</v>
      </c>
      <c r="O50" s="14">
        <v>63315.961879805174</v>
      </c>
      <c r="P50" s="14">
        <v>166.22289223124932</v>
      </c>
      <c r="Q50" s="8">
        <v>0.35195990073486866</v>
      </c>
    </row>
    <row r="51" spans="1:17">
      <c r="A51" s="2" t="s">
        <v>329</v>
      </c>
      <c r="B51" s="16" t="s">
        <v>330</v>
      </c>
      <c r="D51" s="14">
        <v>1</v>
      </c>
      <c r="E51" s="14">
        <v>0.3699836944660061</v>
      </c>
      <c r="F51" s="14">
        <v>0.12272158342165766</v>
      </c>
      <c r="G51" s="14">
        <v>1.8913392608501567E-6</v>
      </c>
      <c r="H51" s="14">
        <v>591.20888214837385</v>
      </c>
      <c r="I51" s="14">
        <v>1034.184729772255</v>
      </c>
      <c r="J51" s="14">
        <v>0</v>
      </c>
      <c r="K51" s="14">
        <v>8.1485258918483119</v>
      </c>
      <c r="L51" s="14">
        <v>0.12272158342165766</v>
      </c>
      <c r="M51" s="14">
        <v>0.10069305919747011</v>
      </c>
      <c r="N51" s="14">
        <v>62.092616873148984</v>
      </c>
      <c r="O51" s="14">
        <v>17038.214069992078</v>
      </c>
      <c r="P51" s="14">
        <v>62.092616873148991</v>
      </c>
      <c r="Q51" s="8">
        <v>0.40812962572126271</v>
      </c>
    </row>
    <row r="52" spans="1:17">
      <c r="A52" s="2" t="s">
        <v>277</v>
      </c>
      <c r="B52" s="16" t="s">
        <v>278</v>
      </c>
      <c r="D52" s="14">
        <v>1</v>
      </c>
      <c r="E52" s="14">
        <v>0.36210372984952555</v>
      </c>
      <c r="F52" s="14">
        <v>0.16023791812275553</v>
      </c>
      <c r="G52" s="14">
        <v>4.9144371065815521E-6</v>
      </c>
      <c r="H52" s="14">
        <v>480.00448333451459</v>
      </c>
      <c r="I52" s="14">
        <v>869.56582790408913</v>
      </c>
      <c r="J52" s="14">
        <v>0</v>
      </c>
      <c r="K52" s="14">
        <v>6.2407201223989759</v>
      </c>
      <c r="L52" s="14">
        <v>0.16023791812275553</v>
      </c>
      <c r="M52" s="14">
        <v>0.13147521181972094</v>
      </c>
      <c r="N52" s="14">
        <v>52.080573017380345</v>
      </c>
      <c r="O52" s="14">
        <v>21193.147577962583</v>
      </c>
      <c r="P52" s="14">
        <v>52.080573017380352</v>
      </c>
      <c r="Q52" s="8">
        <v>0.41600874926193232</v>
      </c>
    </row>
    <row r="53" spans="1:17">
      <c r="A53" s="2" t="s">
        <v>331</v>
      </c>
      <c r="B53" s="16" t="s">
        <v>332</v>
      </c>
      <c r="D53" s="14">
        <v>1</v>
      </c>
      <c r="E53" s="14">
        <v>0.39703548520926002</v>
      </c>
      <c r="F53" s="14">
        <v>1.6530288351232356E-2</v>
      </c>
      <c r="G53" s="14">
        <v>2.5976995377079603E-6</v>
      </c>
      <c r="H53" s="14">
        <v>687.16404798567851</v>
      </c>
      <c r="I53" s="14">
        <v>3651.0484837462473</v>
      </c>
      <c r="J53" s="14">
        <v>0</v>
      </c>
      <c r="K53" s="14">
        <v>60.49501247359963</v>
      </c>
      <c r="L53" s="14">
        <v>1.6530288351232356E-2</v>
      </c>
      <c r="M53" s="14">
        <v>1.3563101592186148E-2</v>
      </c>
      <c r="N53" s="14">
        <v>224.50838444104008</v>
      </c>
      <c r="O53" s="14">
        <v>85517.488717436587</v>
      </c>
      <c r="P53" s="14">
        <v>224.50838444104011</v>
      </c>
      <c r="Q53" s="8">
        <v>0.34531671448076667</v>
      </c>
    </row>
    <row r="54" spans="1:17">
      <c r="A54" s="2" t="s">
        <v>333</v>
      </c>
      <c r="B54" s="16" t="s">
        <v>334</v>
      </c>
      <c r="D54" s="14">
        <v>1</v>
      </c>
      <c r="E54" s="14">
        <v>0.41394956837847141</v>
      </c>
      <c r="F54" s="14">
        <v>2.6959420182777433E-2</v>
      </c>
      <c r="G54" s="14">
        <v>4.3137903566981554E-9</v>
      </c>
      <c r="H54" s="14">
        <v>820.59817653071605</v>
      </c>
      <c r="I54" s="14">
        <v>2586.352516460287</v>
      </c>
      <c r="J54" s="14">
        <v>0</v>
      </c>
      <c r="K54" s="14">
        <v>37.0927858692908</v>
      </c>
      <c r="L54" s="14">
        <v>2.6959420182777433E-2</v>
      </c>
      <c r="M54" s="14">
        <v>2.2120204259968884E-2</v>
      </c>
      <c r="N54" s="14">
        <v>158.01495254380191</v>
      </c>
      <c r="O54" s="14">
        <v>60753.588954040963</v>
      </c>
      <c r="P54" s="14">
        <v>158.01495254380191</v>
      </c>
      <c r="Q54" s="8">
        <v>0.35227978153713879</v>
      </c>
    </row>
    <row r="55" spans="1:17">
      <c r="A55" s="2" t="s">
        <v>335</v>
      </c>
      <c r="B55" s="16" t="s">
        <v>336</v>
      </c>
      <c r="D55" s="14">
        <v>1</v>
      </c>
      <c r="E55" s="14">
        <v>0.3984512283933952</v>
      </c>
      <c r="F55" s="14">
        <v>5.9696339144341666E-3</v>
      </c>
      <c r="G55" s="14">
        <v>2.0714582601029504E-5</v>
      </c>
      <c r="H55" s="14">
        <v>443.24893317329031</v>
      </c>
      <c r="I55" s="14">
        <v>6224.5057114040992</v>
      </c>
      <c r="J55" s="14">
        <v>0</v>
      </c>
      <c r="K55" s="14">
        <v>167.51445973631118</v>
      </c>
      <c r="L55" s="14">
        <v>5.9696339144341666E-3</v>
      </c>
      <c r="M55" s="14">
        <v>4.8980846267932341E-3</v>
      </c>
      <c r="N55" s="14">
        <v>387.43532509534504</v>
      </c>
      <c r="O55" s="14">
        <v>144637.35556459421</v>
      </c>
      <c r="P55" s="14">
        <v>387.43532509534509</v>
      </c>
      <c r="Q55" s="8">
        <v>0.2986103590990663</v>
      </c>
    </row>
    <row r="56" spans="1:17">
      <c r="A56" s="2" t="s">
        <v>337</v>
      </c>
      <c r="B56" s="16" t="s">
        <v>338</v>
      </c>
      <c r="D56" s="14">
        <v>1</v>
      </c>
      <c r="E56" s="14">
        <v>0.41998178373456035</v>
      </c>
      <c r="F56" s="14">
        <v>3.0289172000001148E-2</v>
      </c>
      <c r="G56" s="14">
        <v>1.5307204669101923E-6</v>
      </c>
      <c r="H56" s="14">
        <v>852.83968563187977</v>
      </c>
      <c r="I56" s="14">
        <v>2358.9817019118709</v>
      </c>
      <c r="J56" s="14">
        <v>0</v>
      </c>
      <c r="K56" s="14">
        <v>33.0150985969495</v>
      </c>
      <c r="L56" s="14">
        <v>3.0289172000001148E-2</v>
      </c>
      <c r="M56" s="14">
        <v>2.4852265626000944E-2</v>
      </c>
      <c r="N56" s="14">
        <v>143.89333182655807</v>
      </c>
      <c r="O56" s="14">
        <v>56020.551946715583</v>
      </c>
      <c r="P56" s="14">
        <v>143.89333182655807</v>
      </c>
      <c r="Q56" s="8">
        <v>0.35198533712373864</v>
      </c>
    </row>
    <row r="57" spans="1:17">
      <c r="A57" s="2" t="s">
        <v>279</v>
      </c>
      <c r="B57" s="16" t="s">
        <v>280</v>
      </c>
      <c r="D57" s="14">
        <v>1</v>
      </c>
      <c r="E57" s="14">
        <v>0.36046255096501223</v>
      </c>
      <c r="F57" s="14">
        <v>0.18391432422929022</v>
      </c>
      <c r="G57" s="14">
        <v>8.7229632625559646E-5</v>
      </c>
      <c r="H57" s="14">
        <v>418.44227607148269</v>
      </c>
      <c r="I57" s="14">
        <v>773.55772323392409</v>
      </c>
      <c r="J57" s="14">
        <v>0</v>
      </c>
      <c r="K57" s="14">
        <v>5.4373143809792479</v>
      </c>
      <c r="L57" s="14">
        <v>0.18391432422929024</v>
      </c>
      <c r="M57" s="14">
        <v>0.15090170303013264</v>
      </c>
      <c r="N57" s="14">
        <v>46.275183177605946</v>
      </c>
      <c r="O57" s="14">
        <v>13458.211523543136</v>
      </c>
      <c r="P57" s="14">
        <v>46.275183177605946</v>
      </c>
      <c r="Q57" s="8">
        <v>0.41370686396679107</v>
      </c>
    </row>
    <row r="58" spans="1:17">
      <c r="A58" s="2" t="s">
        <v>339</v>
      </c>
      <c r="B58" s="16" t="s">
        <v>340</v>
      </c>
      <c r="D58" s="14">
        <v>1</v>
      </c>
      <c r="E58" s="14">
        <v>0.41331738261232742</v>
      </c>
      <c r="F58" s="14">
        <v>2.6608823516210009E-2</v>
      </c>
      <c r="G58" s="14">
        <v>1.5108945712315929E-8</v>
      </c>
      <c r="H58" s="14">
        <v>816.96917979415082</v>
      </c>
      <c r="I58" s="14">
        <v>2612.5393700290256</v>
      </c>
      <c r="J58" s="14">
        <v>0</v>
      </c>
      <c r="K58" s="14">
        <v>37.581518754138202</v>
      </c>
      <c r="L58" s="14">
        <v>2.6608823516210009E-2</v>
      </c>
      <c r="M58" s="14">
        <v>2.1832539695050314E-2</v>
      </c>
      <c r="N58" s="14">
        <v>159.64329072098681</v>
      </c>
      <c r="O58" s="14">
        <v>55180.703437709089</v>
      </c>
      <c r="P58" s="14">
        <v>159.64329072098681</v>
      </c>
      <c r="Q58" s="8">
        <v>0.35225960504614046</v>
      </c>
    </row>
    <row r="59" spans="1:17">
      <c r="A59" s="2" t="s">
        <v>281</v>
      </c>
      <c r="B59" s="16" t="s">
        <v>282</v>
      </c>
      <c r="D59" s="14">
        <v>1</v>
      </c>
      <c r="E59" s="14">
        <v>0.36223969819579416</v>
      </c>
      <c r="F59" s="14">
        <v>0.16029808675108126</v>
      </c>
      <c r="G59" s="14">
        <v>7.4410946116803018E-7</v>
      </c>
      <c r="H59" s="14">
        <v>480.18472289136093</v>
      </c>
      <c r="I59" s="14">
        <v>869.8923460198813</v>
      </c>
      <c r="J59" s="14">
        <v>0</v>
      </c>
      <c r="K59" s="14">
        <v>6.2383776392343915</v>
      </c>
      <c r="L59" s="14">
        <v>0.16029808675108126</v>
      </c>
      <c r="M59" s="14">
        <v>0.13152458017926219</v>
      </c>
      <c r="N59" s="14">
        <v>52.10012904180693</v>
      </c>
      <c r="O59" s="14">
        <v>15174.683584716686</v>
      </c>
      <c r="P59" s="14">
        <v>52.10012904180693</v>
      </c>
      <c r="Q59" s="8">
        <v>0.4161649587041657</v>
      </c>
    </row>
    <row r="60" spans="1:17">
      <c r="A60" s="2" t="s">
        <v>341</v>
      </c>
      <c r="B60" s="16" t="s">
        <v>342</v>
      </c>
      <c r="D60" s="14">
        <v>1</v>
      </c>
      <c r="E60" s="14">
        <v>0.39938260905376932</v>
      </c>
      <c r="F60" s="14">
        <v>1.8712683285299202E-2</v>
      </c>
      <c r="G60" s="14">
        <v>2.1772312283852471E-5</v>
      </c>
      <c r="H60" s="14">
        <v>719.57500132655127</v>
      </c>
      <c r="I60" s="14">
        <v>3355.3145330049547</v>
      </c>
      <c r="J60" s="14">
        <v>0</v>
      </c>
      <c r="K60" s="14">
        <v>53.439690329478623</v>
      </c>
      <c r="L60" s="14">
        <v>1.8712683285299202E-2</v>
      </c>
      <c r="M60" s="14">
        <v>1.5353756635587995E-2</v>
      </c>
      <c r="N60" s="14">
        <v>205.98895061604333</v>
      </c>
      <c r="O60" s="14">
        <v>69063.975362547004</v>
      </c>
      <c r="P60" s="14">
        <v>205.98895061604333</v>
      </c>
      <c r="Q60" s="8">
        <v>0.34764279900113493</v>
      </c>
    </row>
    <row r="61" spans="1:17">
      <c r="A61" s="2" t="s">
        <v>483</v>
      </c>
      <c r="B61" s="16" t="s">
        <v>484</v>
      </c>
      <c r="D61" s="14">
        <v>1</v>
      </c>
      <c r="E61" s="14">
        <v>0.60894593608774938</v>
      </c>
      <c r="F61" s="14">
        <v>0.51309655294543832</v>
      </c>
      <c r="G61" s="14">
        <v>1.5643254885283016E-15</v>
      </c>
      <c r="H61" s="14">
        <v>234.00300127211315</v>
      </c>
      <c r="I61" s="14">
        <v>360.99454565607857</v>
      </c>
      <c r="J61" s="14">
        <v>0</v>
      </c>
      <c r="K61" s="14">
        <v>1.9489509221207686</v>
      </c>
      <c r="L61" s="14">
        <v>0.51309655294543843</v>
      </c>
      <c r="M61" s="14">
        <v>0.42099572169173222</v>
      </c>
      <c r="N61" s="14">
        <v>73.841190599066962</v>
      </c>
      <c r="O61" s="14">
        <v>34406.302759635255</v>
      </c>
      <c r="P61" s="14">
        <v>73.841190599066962</v>
      </c>
      <c r="Q61" s="8">
        <v>0.2437253148569998</v>
      </c>
    </row>
    <row r="62" spans="1:17">
      <c r="A62" s="2" t="s">
        <v>485</v>
      </c>
      <c r="B62" s="16" t="s">
        <v>486</v>
      </c>
      <c r="D62" s="14">
        <v>1</v>
      </c>
      <c r="E62" s="14">
        <v>0.42350914687620911</v>
      </c>
      <c r="F62" s="14">
        <v>0.33462383586383271</v>
      </c>
      <c r="G62" s="14">
        <v>4.087759730449546E-9</v>
      </c>
      <c r="H62" s="14">
        <v>207.42298187690841</v>
      </c>
      <c r="I62" s="14">
        <v>422.00154802574014</v>
      </c>
      <c r="J62" s="14">
        <v>0</v>
      </c>
      <c r="K62" s="14">
        <v>2.9884302695248715</v>
      </c>
      <c r="L62" s="14">
        <v>0.33462383586383271</v>
      </c>
      <c r="M62" s="14">
        <v>0.27455885732627472</v>
      </c>
      <c r="N62" s="14">
        <v>25.216266559878342</v>
      </c>
      <c r="O62" s="14">
        <v>8179.9047093589343</v>
      </c>
      <c r="P62" s="14">
        <v>25.216266559878342</v>
      </c>
      <c r="Q62" s="8">
        <v>0.38222055967642049</v>
      </c>
    </row>
    <row r="63" spans="1:17">
      <c r="A63" s="2" t="s">
        <v>487</v>
      </c>
      <c r="B63" s="16" t="s">
        <v>488</v>
      </c>
      <c r="D63" s="14">
        <v>1</v>
      </c>
      <c r="E63" s="14">
        <v>0.95598045153616396</v>
      </c>
      <c r="F63" s="14">
        <v>0.95263635997075469</v>
      </c>
      <c r="G63" s="14">
        <v>8.1771310136589769E-15</v>
      </c>
      <c r="H63" s="14">
        <v>9.3291583355373504</v>
      </c>
      <c r="I63" s="14">
        <v>11.397269873812441</v>
      </c>
      <c r="J63" s="14">
        <v>0</v>
      </c>
      <c r="K63" s="14">
        <v>1.0497184886273911</v>
      </c>
      <c r="L63" s="14">
        <v>0.95263635997075469</v>
      </c>
      <c r="M63" s="14">
        <v>0.78163813335600429</v>
      </c>
      <c r="N63" s="14">
        <v>7.0661684505358364</v>
      </c>
      <c r="O63" s="14">
        <v>3120.1373410186038</v>
      </c>
      <c r="P63" s="14">
        <v>7.0661684505358364</v>
      </c>
      <c r="Q63" s="8">
        <v>2.7776711748723076E-2</v>
      </c>
    </row>
    <row r="64" spans="1:17">
      <c r="A64" s="2" t="s">
        <v>489</v>
      </c>
      <c r="B64" s="16" t="s">
        <v>490</v>
      </c>
      <c r="D64" s="14">
        <v>1</v>
      </c>
      <c r="E64" s="14">
        <v>0.99524673478924808</v>
      </c>
      <c r="F64" s="14">
        <v>0.99439404386966401</v>
      </c>
      <c r="G64" s="14">
        <v>1.476089574129395E-16</v>
      </c>
      <c r="H64" s="14">
        <v>3.4820781529489242</v>
      </c>
      <c r="I64" s="14">
        <v>0.40029253454320424</v>
      </c>
      <c r="J64" s="14">
        <v>0</v>
      </c>
      <c r="K64" s="14">
        <v>1.0056375600446281</v>
      </c>
      <c r="L64" s="14">
        <v>0.99439404386966412</v>
      </c>
      <c r="M64" s="14">
        <v>0.81590031299505938</v>
      </c>
      <c r="N64" s="14">
        <v>0.93427630982191856</v>
      </c>
      <c r="O64" s="14">
        <v>375.04653905181277</v>
      </c>
      <c r="P64" s="14">
        <v>0.93427630982191856</v>
      </c>
      <c r="Q64" s="8">
        <v>2.9524155945418341E-3</v>
      </c>
    </row>
    <row r="65" spans="1:17">
      <c r="A65" s="2" t="s">
        <v>491</v>
      </c>
      <c r="B65" s="16" t="s">
        <v>492</v>
      </c>
      <c r="D65" s="14">
        <v>1</v>
      </c>
      <c r="E65" s="14">
        <v>0.99749472902720915</v>
      </c>
      <c r="F65" s="14">
        <v>0.99771755310587007</v>
      </c>
      <c r="G65" s="14">
        <v>2.437754530952564E-14</v>
      </c>
      <c r="H65" s="14">
        <v>0.45205733328575409</v>
      </c>
      <c r="I65" s="14">
        <v>0.18616526575263689</v>
      </c>
      <c r="J65" s="14">
        <v>0</v>
      </c>
      <c r="K65" s="14">
        <v>1.0022876683757089</v>
      </c>
      <c r="L65" s="14">
        <v>0.99771755310587007</v>
      </c>
      <c r="M65" s="14">
        <v>0.81862725232336642</v>
      </c>
      <c r="N65" s="14">
        <v>1.410158944548668</v>
      </c>
      <c r="O65" s="14">
        <v>391.12168486001855</v>
      </c>
      <c r="P65" s="14">
        <v>1.410158944548668</v>
      </c>
      <c r="Q65" s="8">
        <v>1.3046038463992867E-3</v>
      </c>
    </row>
    <row r="66" spans="1:17">
      <c r="A66" s="2" t="s">
        <v>493</v>
      </c>
      <c r="B66" s="16" t="s">
        <v>494</v>
      </c>
      <c r="D66" s="14">
        <v>1</v>
      </c>
      <c r="E66" s="14">
        <v>0.95478013482534463</v>
      </c>
      <c r="F66" s="14">
        <v>0.93039994315625807</v>
      </c>
      <c r="G66" s="14">
        <v>3.8399613104494076E-13</v>
      </c>
      <c r="H66" s="14">
        <v>68.604926437408579</v>
      </c>
      <c r="I66" s="14">
        <v>15.919512241805204</v>
      </c>
      <c r="J66" s="14">
        <v>0</v>
      </c>
      <c r="K66" s="14">
        <v>1.0748066004901429</v>
      </c>
      <c r="L66" s="14">
        <v>0.93039994315625818</v>
      </c>
      <c r="M66" s="14">
        <v>0.76339315335970981</v>
      </c>
      <c r="N66" s="14">
        <v>60.184873650719936</v>
      </c>
      <c r="O66" s="14">
        <v>19525.176709766562</v>
      </c>
      <c r="P66" s="14">
        <v>60.184873650719936</v>
      </c>
      <c r="Q66" s="8">
        <v>1.4029744345584958E-2</v>
      </c>
    </row>
    <row r="67" spans="1:17">
      <c r="A67" s="2" t="s">
        <v>495</v>
      </c>
      <c r="B67" s="16" t="s">
        <v>496</v>
      </c>
      <c r="D67" s="14">
        <v>1</v>
      </c>
      <c r="E67" s="14">
        <v>0.99729109929961279</v>
      </c>
      <c r="F67" s="14">
        <v>0.99753855691595339</v>
      </c>
      <c r="G67" s="14">
        <v>1.9040492582901367E-14</v>
      </c>
      <c r="H67" s="14">
        <v>0.38111798308670214</v>
      </c>
      <c r="I67" s="14">
        <v>0.19290167153271462</v>
      </c>
      <c r="J67" s="14">
        <v>0</v>
      </c>
      <c r="K67" s="14">
        <v>1.0024675167360513</v>
      </c>
      <c r="L67" s="14">
        <v>0.99753855691595339</v>
      </c>
      <c r="M67" s="14">
        <v>0.81848038594953976</v>
      </c>
      <c r="N67" s="14">
        <v>1.320291458801484</v>
      </c>
      <c r="O67" s="14">
        <v>413.80574901756114</v>
      </c>
      <c r="P67" s="14">
        <v>1.320291458801484</v>
      </c>
      <c r="Q67" s="8">
        <v>1.4666820973200691E-3</v>
      </c>
    </row>
    <row r="68" spans="1:17">
      <c r="A68" s="2" t="s">
        <v>497</v>
      </c>
      <c r="B68" s="16" t="s">
        <v>498</v>
      </c>
      <c r="D68" s="14">
        <v>1</v>
      </c>
      <c r="E68" s="14">
        <v>0.99874143750978905</v>
      </c>
      <c r="F68" s="14">
        <v>0.99911375589646612</v>
      </c>
      <c r="G68" s="14">
        <v>1.7217385384963267E-13</v>
      </c>
      <c r="H68" s="14">
        <v>4.5321211079131285E-2</v>
      </c>
      <c r="I68" s="14">
        <v>3.2376447779933051E-2</v>
      </c>
      <c r="J68" s="14">
        <v>0</v>
      </c>
      <c r="K68" s="14">
        <v>1.0008870302288437</v>
      </c>
      <c r="L68" s="14">
        <v>0.99911375589646623</v>
      </c>
      <c r="M68" s="14">
        <v>0.81977283671305046</v>
      </c>
      <c r="N68" s="14">
        <v>0.93778957755568959</v>
      </c>
      <c r="O68" s="14">
        <v>255.41636934306763</v>
      </c>
      <c r="P68" s="14">
        <v>0.93778957755568959</v>
      </c>
      <c r="Q68" s="8">
        <v>5.925284367037201E-4</v>
      </c>
    </row>
    <row r="69" spans="1:17">
      <c r="A69" s="2" t="s">
        <v>499</v>
      </c>
      <c r="B69" s="16" t="s">
        <v>500</v>
      </c>
      <c r="D69" s="14">
        <v>1</v>
      </c>
      <c r="E69" s="14">
        <v>0.42787797835203045</v>
      </c>
      <c r="F69" s="14">
        <v>3.4527520984800712E-2</v>
      </c>
      <c r="G69" s="14">
        <v>3.8384499801686651E-13</v>
      </c>
      <c r="H69" s="14">
        <v>889.2367400765404</v>
      </c>
      <c r="I69" s="14">
        <v>2118.2858670389596</v>
      </c>
      <c r="J69" s="14">
        <v>0</v>
      </c>
      <c r="K69" s="14">
        <v>28.962403655918642</v>
      </c>
      <c r="L69" s="14">
        <v>3.4527520984800719E-2</v>
      </c>
      <c r="M69" s="14">
        <v>2.8329830968028987E-2</v>
      </c>
      <c r="N69" s="14">
        <v>128.97656285172951</v>
      </c>
      <c r="O69" s="14">
        <v>55407.041635474481</v>
      </c>
      <c r="P69" s="14">
        <v>128.97656285172951</v>
      </c>
      <c r="Q69" s="8">
        <v>0.35083633753954446</v>
      </c>
    </row>
    <row r="70" spans="1:17">
      <c r="A70" s="2" t="s">
        <v>501</v>
      </c>
      <c r="B70" s="16" t="s">
        <v>411</v>
      </c>
      <c r="D70" s="14">
        <v>1</v>
      </c>
      <c r="E70" s="14">
        <v>0.99954882320006877</v>
      </c>
      <c r="F70" s="14">
        <v>0.99683921566510425</v>
      </c>
      <c r="G70" s="14">
        <v>3.1721491750009816E-15</v>
      </c>
      <c r="H70" s="14">
        <v>8.804913925987826</v>
      </c>
      <c r="I70" s="14">
        <v>7.7478705212037733E-3</v>
      </c>
      <c r="J70" s="14">
        <v>0</v>
      </c>
      <c r="K70" s="14">
        <v>1.0031708065706333</v>
      </c>
      <c r="L70" s="14">
        <v>0.99683921566510425</v>
      </c>
      <c r="M70" s="14">
        <v>0.81790657645321807</v>
      </c>
      <c r="N70" s="14">
        <v>0.96793780744118396</v>
      </c>
      <c r="O70" s="14">
        <v>290.47813601309934</v>
      </c>
      <c r="P70" s="14">
        <v>0.96793780744118407</v>
      </c>
      <c r="Q70" s="8">
        <v>3.9280983631657994E-5</v>
      </c>
    </row>
    <row r="71" spans="1:17">
      <c r="A71" s="2" t="s">
        <v>502</v>
      </c>
      <c r="B71" s="16" t="s">
        <v>412</v>
      </c>
      <c r="D71" s="14">
        <v>1</v>
      </c>
      <c r="E71" s="14">
        <v>0.99949569340917188</v>
      </c>
      <c r="F71" s="14">
        <v>0.99396462667095609</v>
      </c>
      <c r="G71" s="14">
        <v>1.4847693106433623E-10</v>
      </c>
      <c r="H71" s="14">
        <v>16.820191227426989</v>
      </c>
      <c r="I71" s="14">
        <v>1.4153337346665242E-2</v>
      </c>
      <c r="J71" s="14">
        <v>0</v>
      </c>
      <c r="K71" s="14">
        <v>1.006072020238042</v>
      </c>
      <c r="L71" s="14">
        <v>0.9939646266709562</v>
      </c>
      <c r="M71" s="14">
        <v>0.81554797618351949</v>
      </c>
      <c r="N71" s="14">
        <v>1.0409010483191583</v>
      </c>
      <c r="O71" s="14">
        <v>341.57167900593174</v>
      </c>
      <c r="P71" s="14">
        <v>1.0409010483191583</v>
      </c>
      <c r="Q71" s="8">
        <v>5.5138996543536927E-5</v>
      </c>
    </row>
    <row r="72" spans="1:17">
      <c r="A72" s="2" t="s">
        <v>503</v>
      </c>
      <c r="B72" s="16" t="s">
        <v>413</v>
      </c>
      <c r="D72" s="14">
        <v>1</v>
      </c>
      <c r="E72" s="14">
        <v>0.94139240078929398</v>
      </c>
      <c r="F72" s="14">
        <v>3.5570095881063718E-2</v>
      </c>
      <c r="G72" s="14">
        <v>1.7427436210670567E-11</v>
      </c>
      <c r="H72" s="14">
        <v>2573.3866038940992</v>
      </c>
      <c r="I72" s="14">
        <v>10.942864218650806</v>
      </c>
      <c r="J72" s="14">
        <v>0</v>
      </c>
      <c r="K72" s="14">
        <v>28.113503076958672</v>
      </c>
      <c r="L72" s="14">
        <v>3.5570095881063725E-2</v>
      </c>
      <c r="M72" s="14">
        <v>2.9185263670412784E-2</v>
      </c>
      <c r="N72" s="14">
        <v>142.37898841995502</v>
      </c>
      <c r="O72" s="14">
        <v>66075.240945932717</v>
      </c>
      <c r="P72" s="14">
        <v>142.37898841995502</v>
      </c>
      <c r="Q72" s="8">
        <v>5.411666320210383E-4</v>
      </c>
    </row>
    <row r="73" spans="1:17">
      <c r="A73" s="2" t="s">
        <v>504</v>
      </c>
      <c r="B73" s="16" t="s">
        <v>414</v>
      </c>
      <c r="D73" s="14">
        <v>1</v>
      </c>
      <c r="E73" s="14">
        <v>0.99380978694075917</v>
      </c>
      <c r="F73" s="14">
        <v>0.27165770904673514</v>
      </c>
      <c r="G73" s="14">
        <v>1.874780811263006E-11</v>
      </c>
      <c r="H73" s="14">
        <v>2052.6837009053347</v>
      </c>
      <c r="I73" s="14">
        <v>1.0986212838386096</v>
      </c>
      <c r="J73" s="14">
        <v>0</v>
      </c>
      <c r="K73" s="14">
        <v>3.6811029714896222</v>
      </c>
      <c r="L73" s="14">
        <v>0.27165770904673514</v>
      </c>
      <c r="M73" s="14">
        <v>0.2228951502728462</v>
      </c>
      <c r="N73" s="14">
        <v>13.928514049088676</v>
      </c>
      <c r="O73" s="14">
        <v>4374.2498371162992</v>
      </c>
      <c r="P73" s="14">
        <v>13.928514049088678</v>
      </c>
      <c r="Q73" s="8">
        <v>3.6128340090539309E-4</v>
      </c>
    </row>
    <row r="74" spans="1:17">
      <c r="A74" s="2" t="s">
        <v>505</v>
      </c>
      <c r="B74" s="16" t="s">
        <v>415</v>
      </c>
      <c r="D74" s="14">
        <v>1</v>
      </c>
      <c r="E74" s="14">
        <v>0.99950583300390017</v>
      </c>
      <c r="F74" s="14">
        <v>0.99453526712813822</v>
      </c>
      <c r="G74" s="14">
        <v>1.8267059952549664E-11</v>
      </c>
      <c r="H74" s="14">
        <v>15.22790603184623</v>
      </c>
      <c r="I74" s="14">
        <v>1.2869633011334761E-2</v>
      </c>
      <c r="J74" s="14">
        <v>0</v>
      </c>
      <c r="K74" s="14">
        <v>1.0054947602689264</v>
      </c>
      <c r="L74" s="14">
        <v>0.99453526712813822</v>
      </c>
      <c r="M74" s="14">
        <v>0.8160161866786374</v>
      </c>
      <c r="N74" s="14">
        <v>1.0266378892659866</v>
      </c>
      <c r="O74" s="14">
        <v>219.74157381849179</v>
      </c>
      <c r="P74" s="14">
        <v>1.0266378892659869</v>
      </c>
      <c r="Q74" s="8">
        <v>5.2211499090191781E-5</v>
      </c>
    </row>
    <row r="75" spans="1:17">
      <c r="A75" s="2" t="s">
        <v>506</v>
      </c>
      <c r="B75" s="16" t="s">
        <v>416</v>
      </c>
      <c r="D75" s="14">
        <v>1</v>
      </c>
      <c r="E75" s="14">
        <v>0.99399411112781921</v>
      </c>
      <c r="F75" s="14">
        <v>0.30760608641292742</v>
      </c>
      <c r="G75" s="14">
        <v>7.7002245539540409E-11</v>
      </c>
      <c r="H75" s="14">
        <v>1951.0793136600855</v>
      </c>
      <c r="I75" s="14">
        <v>1.0577935119619011</v>
      </c>
      <c r="J75" s="14">
        <v>0</v>
      </c>
      <c r="K75" s="14">
        <v>3.2509109675340095</v>
      </c>
      <c r="L75" s="14">
        <v>0.30760608641292742</v>
      </c>
      <c r="M75" s="14">
        <v>0.25239079390180696</v>
      </c>
      <c r="N75" s="14">
        <v>13.430204168874196</v>
      </c>
      <c r="O75" s="14">
        <v>5561.0446402057387</v>
      </c>
      <c r="P75" s="14">
        <v>13.430204168874198</v>
      </c>
      <c r="Q75" s="8">
        <v>3.7342285835558614E-4</v>
      </c>
    </row>
    <row r="76" spans="1:17">
      <c r="A76" s="2" t="s">
        <v>507</v>
      </c>
      <c r="B76" s="16" t="s">
        <v>417</v>
      </c>
      <c r="D76" s="14">
        <v>1</v>
      </c>
      <c r="E76" s="14">
        <v>0.99830416710108927</v>
      </c>
      <c r="F76" s="14">
        <v>0.88949657224196554</v>
      </c>
      <c r="G76" s="14">
        <v>4.9056022483464513E-10</v>
      </c>
      <c r="H76" s="14">
        <v>310.21606084539786</v>
      </c>
      <c r="I76" s="14">
        <v>0.20887776320414664</v>
      </c>
      <c r="J76" s="14">
        <v>0</v>
      </c>
      <c r="K76" s="14">
        <v>1.124231426186963</v>
      </c>
      <c r="L76" s="14">
        <v>0.88949657224196554</v>
      </c>
      <c r="M76" s="14">
        <v>0.72983193752453279</v>
      </c>
      <c r="N76" s="14">
        <v>3.3053295903825068</v>
      </c>
      <c r="O76" s="14">
        <v>1415.242970714078</v>
      </c>
      <c r="P76" s="14">
        <v>3.3053295903825068</v>
      </c>
      <c r="Q76" s="8">
        <v>2.3883183098676606E-4</v>
      </c>
    </row>
    <row r="77" spans="1:17">
      <c r="A77" s="2" t="s">
        <v>508</v>
      </c>
      <c r="B77" s="16" t="s">
        <v>418</v>
      </c>
      <c r="D77" s="14">
        <v>1</v>
      </c>
      <c r="E77" s="14">
        <v>0.99385788694927413</v>
      </c>
      <c r="F77" s="14">
        <v>0.28165626921676101</v>
      </c>
      <c r="G77" s="14">
        <v>5.7349214754982859E-10</v>
      </c>
      <c r="H77" s="14">
        <v>2024.4144210698526</v>
      </c>
      <c r="I77" s="14">
        <v>1.0907553496741462</v>
      </c>
      <c r="J77" s="14">
        <v>0</v>
      </c>
      <c r="K77" s="14">
        <v>3.5504269185302801</v>
      </c>
      <c r="L77" s="14">
        <v>0.28165626921676107</v>
      </c>
      <c r="M77" s="14">
        <v>0.23109896889235246</v>
      </c>
      <c r="N77" s="14">
        <v>13.79256514057753</v>
      </c>
      <c r="O77" s="14">
        <v>7284.957055950239</v>
      </c>
      <c r="P77" s="14">
        <v>13.79256514057753</v>
      </c>
      <c r="Q77" s="8">
        <v>3.6603899281668711E-4</v>
      </c>
    </row>
    <row r="78" spans="1:17">
      <c r="A78" s="2" t="s">
        <v>509</v>
      </c>
      <c r="B78" s="16" t="s">
        <v>419</v>
      </c>
      <c r="D78" s="14">
        <v>1</v>
      </c>
      <c r="E78" s="14">
        <v>0.9505231676992657</v>
      </c>
      <c r="F78" s="14">
        <v>3.9685826875291409E-2</v>
      </c>
      <c r="G78" s="14">
        <v>7.0479676078872439E-11</v>
      </c>
      <c r="H78" s="14">
        <v>2587.8281544558672</v>
      </c>
      <c r="I78" s="14">
        <v>9.2461600781830935</v>
      </c>
      <c r="J78" s="14">
        <v>0</v>
      </c>
      <c r="K78" s="14">
        <v>25.197912674023303</v>
      </c>
      <c r="L78" s="14">
        <v>3.9685826875291409E-2</v>
      </c>
      <c r="M78" s="14">
        <v>3.2562220951176606E-2</v>
      </c>
      <c r="N78" s="14">
        <v>119.97988337680061</v>
      </c>
      <c r="O78" s="14">
        <v>67679.45241401947</v>
      </c>
      <c r="P78" s="14">
        <v>119.97988337680063</v>
      </c>
      <c r="Q78" s="8">
        <v>5.163704819430826E-4</v>
      </c>
    </row>
    <row r="79" spans="1:17">
      <c r="A79" s="2" t="s">
        <v>510</v>
      </c>
      <c r="B79" s="16" t="s">
        <v>420</v>
      </c>
      <c r="D79" s="14">
        <v>1</v>
      </c>
      <c r="E79" s="14">
        <v>0.9505233187972596</v>
      </c>
      <c r="F79" s="14">
        <v>3.9685835505413783E-2</v>
      </c>
      <c r="G79" s="14">
        <v>1.7703698940234752E-15</v>
      </c>
      <c r="H79" s="14">
        <v>2587.8287172077466</v>
      </c>
      <c r="I79" s="14">
        <v>9.2446988311990079</v>
      </c>
      <c r="J79" s="14">
        <v>0</v>
      </c>
      <c r="K79" s="14">
        <v>25.197907194459439</v>
      </c>
      <c r="L79" s="14">
        <v>3.968583550541379E-2</v>
      </c>
      <c r="M79" s="14">
        <v>3.2562228032192012E-2</v>
      </c>
      <c r="N79" s="14">
        <v>119.97982461626664</v>
      </c>
      <c r="O79" s="14">
        <v>60005.509685333433</v>
      </c>
      <c r="P79" s="14">
        <v>119.97982461626664</v>
      </c>
      <c r="Q79" s="8">
        <v>5.1628887565430661E-4</v>
      </c>
    </row>
    <row r="80" spans="1:17">
      <c r="A80" s="2" t="s">
        <v>511</v>
      </c>
      <c r="B80" s="16" t="s">
        <v>421</v>
      </c>
      <c r="D80" s="14">
        <v>1</v>
      </c>
      <c r="E80" s="14">
        <v>0.99637514620790524</v>
      </c>
      <c r="F80" s="14">
        <v>0.6653996002349134</v>
      </c>
      <c r="G80" s="14">
        <v>8.6694391272428996E-11</v>
      </c>
      <c r="H80" s="14">
        <v>941.37472905903462</v>
      </c>
      <c r="I80" s="14">
        <v>0.57001792148867969</v>
      </c>
      <c r="J80" s="14">
        <v>0</v>
      </c>
      <c r="K80" s="14">
        <v>1.5028563282078302</v>
      </c>
      <c r="L80" s="14">
        <v>0.6653996002349134</v>
      </c>
      <c r="M80" s="14">
        <v>0.5459603719927465</v>
      </c>
      <c r="N80" s="14">
        <v>7.5796680190385048</v>
      </c>
      <c r="O80" s="14">
        <v>2759.4539390111581</v>
      </c>
      <c r="P80" s="14">
        <v>7.5796680190385057</v>
      </c>
      <c r="Q80" s="8">
        <v>3.6956302236218534E-4</v>
      </c>
    </row>
    <row r="81" spans="1:17">
      <c r="A81" s="2" t="s">
        <v>512</v>
      </c>
      <c r="B81" s="16" t="s">
        <v>422</v>
      </c>
      <c r="D81" s="14">
        <v>1</v>
      </c>
      <c r="E81" s="14">
        <v>0.99923972030842456</v>
      </c>
      <c r="F81" s="14">
        <v>0.97604421736866753</v>
      </c>
      <c r="G81" s="14">
        <v>3.444434723429396E-11</v>
      </c>
      <c r="H81" s="14">
        <v>67.002266326025705</v>
      </c>
      <c r="I81" s="14">
        <v>5.070087650513485E-2</v>
      </c>
      <c r="J81" s="14">
        <v>0</v>
      </c>
      <c r="K81" s="14">
        <v>1.0245437473067718</v>
      </c>
      <c r="L81" s="14">
        <v>0.97604421736866753</v>
      </c>
      <c r="M81" s="14">
        <v>0.80084428035099176</v>
      </c>
      <c r="N81" s="14">
        <v>1.4639203003083729</v>
      </c>
      <c r="O81" s="14">
        <v>386.54815529642588</v>
      </c>
      <c r="P81" s="14">
        <v>1.4639203003083729</v>
      </c>
      <c r="Q81" s="8">
        <v>1.1199934101979687E-4</v>
      </c>
    </row>
    <row r="82" spans="1:17">
      <c r="A82" s="2" t="s">
        <v>513</v>
      </c>
      <c r="B82" s="16" t="s">
        <v>423</v>
      </c>
      <c r="D82" s="14">
        <v>1</v>
      </c>
      <c r="E82" s="14">
        <v>0.9988106813677492</v>
      </c>
      <c r="F82" s="14">
        <v>0.93902928126423424</v>
      </c>
      <c r="G82" s="14">
        <v>1.1032339615154434E-14</v>
      </c>
      <c r="H82" s="14">
        <v>170.9382032998667</v>
      </c>
      <c r="I82" s="14">
        <v>0.12036393415688965</v>
      </c>
      <c r="J82" s="14">
        <v>0</v>
      </c>
      <c r="K82" s="14">
        <v>1.0649295181228851</v>
      </c>
      <c r="L82" s="14">
        <v>0.93902928126423424</v>
      </c>
      <c r="M82" s="14">
        <v>0.77047352527730417</v>
      </c>
      <c r="N82" s="14">
        <v>2.2758246702802452</v>
      </c>
      <c r="O82" s="14">
        <v>910.580208825829</v>
      </c>
      <c r="P82" s="14">
        <v>2.2758246702802456</v>
      </c>
      <c r="Q82" s="8">
        <v>1.7910032520877852E-4</v>
      </c>
    </row>
    <row r="83" spans="1:17">
      <c r="A83" s="2" t="s">
        <v>514</v>
      </c>
      <c r="B83" s="16" t="s">
        <v>424</v>
      </c>
      <c r="D83" s="14">
        <v>1</v>
      </c>
      <c r="E83" s="14">
        <v>0.90763773630844569</v>
      </c>
      <c r="F83" s="14">
        <v>2.6009003728144738E-2</v>
      </c>
      <c r="G83" s="14">
        <v>2.4392267989885701E-11</v>
      </c>
      <c r="H83" s="14">
        <v>2503.9388406582625</v>
      </c>
      <c r="I83" s="14">
        <v>17.185006134506143</v>
      </c>
      <c r="J83" s="14">
        <v>0</v>
      </c>
      <c r="K83" s="14">
        <v>38.448223947843296</v>
      </c>
      <c r="L83" s="14">
        <v>2.6009003728144738E-2</v>
      </c>
      <c r="M83" s="14">
        <v>2.1340387558942759E-2</v>
      </c>
      <c r="N83" s="14">
        <v>225.27342405457799</v>
      </c>
      <c r="O83" s="14">
        <v>115808.56183797745</v>
      </c>
      <c r="P83" s="14">
        <v>225.27342405457799</v>
      </c>
      <c r="Q83" s="8">
        <v>6.0834464781176878E-4</v>
      </c>
    </row>
    <row r="84" spans="1:17">
      <c r="A84" s="2" t="s">
        <v>403</v>
      </c>
      <c r="B84" s="16" t="s">
        <v>404</v>
      </c>
      <c r="D84" s="14">
        <v>1</v>
      </c>
      <c r="E84" s="14">
        <v>0.48752855870598699</v>
      </c>
      <c r="F84" s="14">
        <v>0.4303187751998136</v>
      </c>
      <c r="G84" s="14">
        <v>7.4996117847769329E-46</v>
      </c>
      <c r="H84" s="14">
        <v>132.43729297194713</v>
      </c>
      <c r="I84" s="14">
        <v>283.70531100651016</v>
      </c>
      <c r="J84" s="14">
        <v>0</v>
      </c>
      <c r="K84" s="14">
        <v>2.3238586313963676</v>
      </c>
      <c r="L84" s="14">
        <v>0.4303187751998136</v>
      </c>
      <c r="M84" s="14">
        <v>0.35307655505144708</v>
      </c>
      <c r="N84" s="14">
        <v>17.049093831907378</v>
      </c>
      <c r="O84" s="14">
        <v>20503.410733190129</v>
      </c>
      <c r="P84" s="14">
        <v>17.049093831907378</v>
      </c>
      <c r="Q84" s="8">
        <v>0.34124591870882465</v>
      </c>
    </row>
    <row r="85" spans="1:17">
      <c r="A85" s="2" t="s">
        <v>405</v>
      </c>
      <c r="B85" s="16" t="s">
        <v>406</v>
      </c>
      <c r="D85" s="14">
        <v>1</v>
      </c>
      <c r="E85" s="14">
        <v>0.36647652028075589</v>
      </c>
      <c r="F85" s="14">
        <v>0.13844760531371395</v>
      </c>
      <c r="G85" s="14">
        <v>4.1990646594650071E-10</v>
      </c>
      <c r="H85" s="14">
        <v>616.05113161929819</v>
      </c>
      <c r="I85" s="14">
        <v>298.19624296219882</v>
      </c>
      <c r="J85" s="14">
        <v>0</v>
      </c>
      <c r="K85" s="14">
        <v>7.2229490552332791</v>
      </c>
      <c r="L85" s="14">
        <v>0.13844760531371395</v>
      </c>
      <c r="M85" s="14">
        <v>0.1135962601599023</v>
      </c>
      <c r="N85" s="14">
        <v>1455.3824824078415</v>
      </c>
      <c r="O85" s="14">
        <v>464063.25834056438</v>
      </c>
      <c r="P85" s="14">
        <v>1455.3824824078417</v>
      </c>
      <c r="Q85" s="8">
        <v>2.878075399730284E-2</v>
      </c>
    </row>
    <row r="86" spans="1:17">
      <c r="A86" s="2" t="s">
        <v>407</v>
      </c>
      <c r="B86" s="16" t="s">
        <v>408</v>
      </c>
      <c r="D86" s="14">
        <v>1</v>
      </c>
      <c r="E86" s="14">
        <v>0.43898494128087084</v>
      </c>
      <c r="F86" s="14">
        <v>1.7247756098303041E-3</v>
      </c>
      <c r="G86" s="14">
        <v>1.3845896786062241E-6</v>
      </c>
      <c r="H86" s="14">
        <v>236.8059455647452</v>
      </c>
      <c r="I86" s="14">
        <v>9314.2903728964302</v>
      </c>
      <c r="J86" s="14">
        <v>0</v>
      </c>
      <c r="K86" s="14">
        <v>579.78556416297374</v>
      </c>
      <c r="L86" s="14">
        <v>1.7247756098303041E-3</v>
      </c>
      <c r="M86" s="14">
        <v>1.4151783878657647E-3</v>
      </c>
      <c r="N86" s="14">
        <v>587.32169439222673</v>
      </c>
      <c r="O86" s="14">
        <v>285315.00591879984</v>
      </c>
      <c r="P86" s="14">
        <v>587.32169439222673</v>
      </c>
      <c r="Q86" s="8">
        <v>0.21764554046424711</v>
      </c>
    </row>
    <row r="87" spans="1:17">
      <c r="A87" s="2" t="s">
        <v>409</v>
      </c>
      <c r="B87" s="16" t="s">
        <v>410</v>
      </c>
      <c r="D87" s="14">
        <v>1</v>
      </c>
      <c r="E87" s="14">
        <v>0.47654685275203512</v>
      </c>
      <c r="F87" s="14">
        <v>6.3977475112362583E-4</v>
      </c>
      <c r="G87" s="14">
        <v>1.8351669708046707E-7</v>
      </c>
      <c r="H87" s="14">
        <v>136.59886680365574</v>
      </c>
      <c r="I87" s="14">
        <v>11259.115318802691</v>
      </c>
      <c r="J87" s="14">
        <v>0</v>
      </c>
      <c r="K87" s="14">
        <v>1563.0501176292382</v>
      </c>
      <c r="L87" s="14">
        <v>6.3977475112362583E-4</v>
      </c>
      <c r="M87" s="14">
        <v>5.2493518329693506E-4</v>
      </c>
      <c r="N87" s="14">
        <v>716.62230514134933</v>
      </c>
      <c r="O87" s="14">
        <v>404669.4494902686</v>
      </c>
      <c r="P87" s="14">
        <v>716.62230514134933</v>
      </c>
      <c r="Q87" s="8">
        <v>0.15692938302904194</v>
      </c>
    </row>
    <row r="88" spans="1:17">
      <c r="A88" s="2" t="s">
        <v>301</v>
      </c>
      <c r="B88" s="16" t="s">
        <v>302</v>
      </c>
      <c r="D88" s="14">
        <v>1</v>
      </c>
      <c r="E88" s="14">
        <v>0.51461225075393224</v>
      </c>
      <c r="F88" s="14">
        <v>1.9144271576970002E-4</v>
      </c>
      <c r="G88" s="14">
        <v>2.4163916935491993E-8</v>
      </c>
      <c r="H88" s="14">
        <v>67.536546090825283</v>
      </c>
      <c r="I88" s="14">
        <v>12912.074323515657</v>
      </c>
      <c r="J88" s="14">
        <v>0</v>
      </c>
      <c r="K88" s="14">
        <v>5223.4946416189096</v>
      </c>
      <c r="L88" s="14">
        <v>1.9144271576970002E-4</v>
      </c>
      <c r="M88" s="14">
        <v>1.5707874828903889E-4</v>
      </c>
      <c r="N88" s="14">
        <v>830.63740136341846</v>
      </c>
      <c r="O88" s="14">
        <v>534581.61876946886</v>
      </c>
      <c r="P88" s="14">
        <v>830.63740136341846</v>
      </c>
      <c r="Q88" s="8">
        <v>9.9999082939496955E-2</v>
      </c>
    </row>
    <row r="89" spans="1:17">
      <c r="A89" s="2" t="s">
        <v>303</v>
      </c>
      <c r="B89" s="16" t="s">
        <v>304</v>
      </c>
      <c r="D89" s="14">
        <v>1</v>
      </c>
      <c r="E89" s="14">
        <v>5.7397157819663772E-2</v>
      </c>
      <c r="F89" s="14">
        <v>1.3668319879094697E-3</v>
      </c>
      <c r="G89" s="14">
        <v>1.9682914057312792E-15</v>
      </c>
      <c r="H89" s="14">
        <v>44.226615146960732</v>
      </c>
      <c r="I89" s="14">
        <v>1065.0043790586792</v>
      </c>
      <c r="J89" s="14">
        <v>0</v>
      </c>
      <c r="K89" s="14">
        <v>731.61881551328872</v>
      </c>
      <c r="L89" s="14">
        <v>1.3668319879094697E-3</v>
      </c>
      <c r="M89" s="14">
        <v>1.1214856460797199E-3</v>
      </c>
      <c r="N89" s="14">
        <v>2279.6361773063927</v>
      </c>
      <c r="O89" s="14">
        <v>1471072.0215775883</v>
      </c>
      <c r="P89" s="14">
        <v>2279.6361773063932</v>
      </c>
      <c r="Q89" s="8">
        <v>1.1522624080790446E-2</v>
      </c>
    </row>
    <row r="90" spans="1:17">
      <c r="A90" s="2" t="s">
        <v>425</v>
      </c>
      <c r="B90" s="16" t="s">
        <v>426</v>
      </c>
      <c r="D90" s="14">
        <v>1</v>
      </c>
      <c r="E90" s="14">
        <v>0.97457706864199067</v>
      </c>
      <c r="F90" s="14">
        <v>0.97483500164377335</v>
      </c>
      <c r="G90" s="14">
        <v>1.7756917125248613E-15</v>
      </c>
      <c r="H90" s="14">
        <v>0.25979519490072883</v>
      </c>
      <c r="I90" s="14">
        <v>0.8076403653765627</v>
      </c>
      <c r="J90" s="14">
        <v>0</v>
      </c>
      <c r="K90" s="14">
        <v>1.0258146233093735</v>
      </c>
      <c r="L90" s="14">
        <v>0.97483500164377346</v>
      </c>
      <c r="M90" s="14">
        <v>0.7998521188487161</v>
      </c>
      <c r="N90" s="14">
        <v>0.90341607997827178</v>
      </c>
      <c r="O90" s="14">
        <v>250.48114233477563</v>
      </c>
      <c r="P90" s="14">
        <v>0.90341607997827189</v>
      </c>
      <c r="Q90" s="8">
        <v>1.6912897489830256E-2</v>
      </c>
    </row>
    <row r="91" spans="1:17">
      <c r="A91" s="2" t="s">
        <v>427</v>
      </c>
      <c r="B91" s="16" t="s">
        <v>428</v>
      </c>
      <c r="D91" s="14">
        <v>1</v>
      </c>
      <c r="E91" s="14">
        <v>0.77270222464369587</v>
      </c>
      <c r="F91" s="14">
        <v>0.76550194663539828</v>
      </c>
      <c r="G91" s="14">
        <v>9.7461880588583244E-7</v>
      </c>
      <c r="H91" s="14">
        <v>16.634367782868118</v>
      </c>
      <c r="I91" s="14">
        <v>43.317508590780896</v>
      </c>
      <c r="J91" s="14">
        <v>0</v>
      </c>
      <c r="K91" s="14">
        <v>1.3063324063319346</v>
      </c>
      <c r="L91" s="14">
        <v>0.76550194663539828</v>
      </c>
      <c r="M91" s="14">
        <v>0.62809434721434432</v>
      </c>
      <c r="N91" s="14">
        <v>3.1710573591716176</v>
      </c>
      <c r="O91" s="14">
        <v>523.82696516155954</v>
      </c>
      <c r="P91" s="14">
        <v>3.171057359171618</v>
      </c>
      <c r="Q91" s="8">
        <v>0.15249776200376672</v>
      </c>
    </row>
    <row r="92" spans="1:17">
      <c r="A92" s="2" t="s">
        <v>429</v>
      </c>
      <c r="B92" s="16" t="s">
        <v>430</v>
      </c>
      <c r="D92" s="14">
        <v>1</v>
      </c>
      <c r="E92" s="14">
        <v>0.38695963768252423</v>
      </c>
      <c r="F92" s="14">
        <v>0.26550494469599401</v>
      </c>
      <c r="G92" s="14">
        <v>1.1703643955971788E-5</v>
      </c>
      <c r="H92" s="14">
        <v>285.29398393741229</v>
      </c>
      <c r="I92" s="14">
        <v>557.37795067450929</v>
      </c>
      <c r="J92" s="14">
        <v>0</v>
      </c>
      <c r="K92" s="14">
        <v>3.7664081968228897</v>
      </c>
      <c r="L92" s="14">
        <v>0.26550494469599406</v>
      </c>
      <c r="M92" s="14">
        <v>0.21784680712306312</v>
      </c>
      <c r="N92" s="14">
        <v>33.28087887260493</v>
      </c>
      <c r="O92" s="14">
        <v>5998.5456079983123</v>
      </c>
      <c r="P92" s="14">
        <v>33.28087887260493</v>
      </c>
      <c r="Q92" s="8">
        <v>0.40397062333893352</v>
      </c>
    </row>
    <row r="93" spans="1:17">
      <c r="A93" s="2" t="s">
        <v>431</v>
      </c>
      <c r="B93" s="16" t="s">
        <v>432</v>
      </c>
      <c r="D93" s="14">
        <v>1</v>
      </c>
      <c r="E93" s="14">
        <v>0.99948386161785452</v>
      </c>
      <c r="F93" s="14">
        <v>0.9994369276732139</v>
      </c>
      <c r="G93" s="14">
        <v>1.3393935756454295E-19</v>
      </c>
      <c r="H93" s="14">
        <v>1.2397821862551972</v>
      </c>
      <c r="I93" s="14">
        <v>9.1966345424680136E-3</v>
      </c>
      <c r="J93" s="14">
        <v>0</v>
      </c>
      <c r="K93" s="14">
        <v>1.0005633895558541</v>
      </c>
      <c r="L93" s="14">
        <v>0.9994369276732139</v>
      </c>
      <c r="M93" s="14">
        <v>0.82003799915587205</v>
      </c>
      <c r="N93" s="14">
        <v>0.89440024748878211</v>
      </c>
      <c r="O93" s="14">
        <v>347.82331224591246</v>
      </c>
      <c r="P93" s="14">
        <v>0.89440024748878211</v>
      </c>
      <c r="Q93" s="8">
        <v>1.0328302012396125E-4</v>
      </c>
    </row>
    <row r="94" spans="1:17">
      <c r="A94" s="2" t="s">
        <v>433</v>
      </c>
      <c r="B94" s="16" t="s">
        <v>434</v>
      </c>
      <c r="D94" s="14">
        <v>1</v>
      </c>
      <c r="E94" s="14">
        <v>0.9996354375440647</v>
      </c>
      <c r="F94" s="14">
        <v>1.000023593374884</v>
      </c>
      <c r="G94" s="14">
        <v>2.8198677068098159E-20</v>
      </c>
      <c r="H94" s="14">
        <v>4.8061823762739877E-3</v>
      </c>
      <c r="I94" s="14">
        <v>6.2095124724918064E-5</v>
      </c>
      <c r="J94" s="14">
        <v>0</v>
      </c>
      <c r="K94" s="14">
        <v>0.99997640718175018</v>
      </c>
      <c r="L94" s="14">
        <v>1.000023593374884</v>
      </c>
      <c r="M94" s="14">
        <v>0.82051935836409229</v>
      </c>
      <c r="N94" s="14">
        <v>0.88843918129643529</v>
      </c>
      <c r="O94" s="14">
        <v>159.24383885557307</v>
      </c>
      <c r="P94" s="14">
        <v>0.88843918129643529</v>
      </c>
      <c r="Q94" s="8">
        <v>2.6029001219207134E-6</v>
      </c>
    </row>
    <row r="95" spans="1:17">
      <c r="A95" s="2" t="s">
        <v>435</v>
      </c>
      <c r="B95" s="16" t="s">
        <v>436</v>
      </c>
      <c r="D95" s="14">
        <v>1</v>
      </c>
      <c r="E95" s="14">
        <v>0.9416104938524763</v>
      </c>
      <c r="F95" s="14">
        <v>0.94147370105689432</v>
      </c>
      <c r="G95" s="14">
        <v>1.5151941287118531E-10</v>
      </c>
      <c r="H95" s="14">
        <v>1.0631902451643933</v>
      </c>
      <c r="I95" s="14">
        <v>3.4143170353504617</v>
      </c>
      <c r="J95" s="14">
        <v>0</v>
      </c>
      <c r="K95" s="14">
        <v>1.0621645606004759</v>
      </c>
      <c r="L95" s="14">
        <v>0.94147370105689443</v>
      </c>
      <c r="M95" s="14">
        <v>0.77247917171718183</v>
      </c>
      <c r="N95" s="14">
        <v>1.0342941418211531</v>
      </c>
      <c r="O95" s="14">
        <v>270.04385748808483</v>
      </c>
      <c r="P95" s="14">
        <v>1.0342941418211531</v>
      </c>
      <c r="Q95" s="8">
        <v>3.9129459135208135E-2</v>
      </c>
    </row>
    <row r="96" spans="1:17">
      <c r="A96" s="2" t="s">
        <v>437</v>
      </c>
      <c r="B96" s="164" t="s">
        <v>438</v>
      </c>
      <c r="D96" s="14">
        <v>1</v>
      </c>
      <c r="E96" s="14">
        <v>0.42596085226671732</v>
      </c>
      <c r="F96" s="14">
        <v>2.4462650096738008E-3</v>
      </c>
      <c r="G96" s="14">
        <v>2.5232018306882463E-9</v>
      </c>
      <c r="H96" s="14">
        <v>284.92037245744399</v>
      </c>
      <c r="I96" s="14">
        <v>8507.0830806202048</v>
      </c>
      <c r="J96" s="14">
        <v>0</v>
      </c>
      <c r="K96" s="14">
        <v>408.78645447058324</v>
      </c>
      <c r="L96" s="14">
        <v>2.4462650096738008E-3</v>
      </c>
      <c r="M96" s="14">
        <v>2.0071604404373537E-3</v>
      </c>
      <c r="N96" s="14">
        <v>534.56103724132947</v>
      </c>
      <c r="O96" s="14">
        <v>222537.75980356548</v>
      </c>
      <c r="P96" s="14">
        <v>534.56103724132959</v>
      </c>
      <c r="Q96" s="8">
        <v>0.24097981917946834</v>
      </c>
    </row>
    <row r="97" spans="1:17">
      <c r="A97" s="2" t="s">
        <v>439</v>
      </c>
      <c r="B97" s="16" t="s">
        <v>440</v>
      </c>
      <c r="D97" s="14">
        <v>1</v>
      </c>
      <c r="E97" s="14">
        <v>0.69361058111651563</v>
      </c>
      <c r="F97" s="14">
        <v>0.67925031183390616</v>
      </c>
      <c r="G97" s="14">
        <v>4.9984843207920954E-7</v>
      </c>
      <c r="H97" s="14">
        <v>32.855633582451773</v>
      </c>
      <c r="I97" s="14">
        <v>80.661634329603672</v>
      </c>
      <c r="J97" s="14">
        <v>0</v>
      </c>
      <c r="K97" s="14">
        <v>1.4722113226567428</v>
      </c>
      <c r="L97" s="14">
        <v>0.67925031183390616</v>
      </c>
      <c r="M97" s="14">
        <v>0.55732488085971998</v>
      </c>
      <c r="N97" s="14">
        <v>5.2748926760446189</v>
      </c>
      <c r="O97" s="14">
        <v>1008.9287221470543</v>
      </c>
      <c r="P97" s="14">
        <v>5.2748926760446189</v>
      </c>
      <c r="Q97" s="8">
        <v>0.20533690761623311</v>
      </c>
    </row>
    <row r="98" spans="1:17">
      <c r="A98" s="2" t="s">
        <v>441</v>
      </c>
      <c r="B98" s="16" t="s">
        <v>442</v>
      </c>
      <c r="D98" s="14">
        <v>1</v>
      </c>
      <c r="E98" s="14">
        <v>0.75899386725235563</v>
      </c>
      <c r="F98" s="14">
        <v>0.75076235461413354</v>
      </c>
      <c r="G98" s="14">
        <v>3.2415369421905242E-19</v>
      </c>
      <c r="H98" s="14">
        <v>18.954943215420013</v>
      </c>
      <c r="I98" s="14">
        <v>48.817963516617901</v>
      </c>
      <c r="J98" s="14">
        <v>0</v>
      </c>
      <c r="K98" s="14">
        <v>1.3319794124653015</v>
      </c>
      <c r="L98" s="14">
        <v>0.75076235461413354</v>
      </c>
      <c r="M98" s="14">
        <v>0.61600051196089656</v>
      </c>
      <c r="N98" s="14">
        <v>3.4782307252125122</v>
      </c>
      <c r="O98" s="14">
        <v>1365.0664304169024</v>
      </c>
      <c r="P98" s="14">
        <v>3.4782307252125122</v>
      </c>
      <c r="Q98" s="8">
        <v>0.1617259304744155</v>
      </c>
    </row>
    <row r="99" spans="1:17">
      <c r="A99" s="2" t="s">
        <v>443</v>
      </c>
      <c r="B99" s="16" t="s">
        <v>444</v>
      </c>
      <c r="D99" s="14">
        <v>1</v>
      </c>
      <c r="E99" s="14">
        <v>0.88070209496324114</v>
      </c>
      <c r="F99" s="14">
        <v>0.87907479424959645</v>
      </c>
      <c r="G99" s="14">
        <v>4.7349382040556979E-31</v>
      </c>
      <c r="H99" s="14">
        <v>4.2607477927717845</v>
      </c>
      <c r="I99" s="14">
        <v>12.392045474367361</v>
      </c>
      <c r="J99" s="14">
        <v>0</v>
      </c>
      <c r="K99" s="14">
        <v>1.1375596326290172</v>
      </c>
      <c r="L99" s="14">
        <v>0.87907479424959656</v>
      </c>
      <c r="M99" s="14">
        <v>0.72128086868179397</v>
      </c>
      <c r="N99" s="14">
        <v>1.4804096427630207</v>
      </c>
      <c r="O99" s="14">
        <v>1156.1111064193535</v>
      </c>
      <c r="P99" s="14">
        <v>1.4804096427630207</v>
      </c>
      <c r="Q99" s="8">
        <v>8.0120379637213079E-2</v>
      </c>
    </row>
    <row r="100" spans="1:17">
      <c r="A100" s="2" t="s">
        <v>445</v>
      </c>
      <c r="B100" s="16" t="s">
        <v>446</v>
      </c>
      <c r="D100" s="14">
        <v>1</v>
      </c>
      <c r="E100" s="14">
        <v>0.3950965614246687</v>
      </c>
      <c r="F100" s="14">
        <v>1.4755417809521811E-2</v>
      </c>
      <c r="G100" s="14">
        <v>2.4307483467078079E-9</v>
      </c>
      <c r="H100" s="14">
        <v>657.37246844660046</v>
      </c>
      <c r="I100" s="14">
        <v>3922.5517518151014</v>
      </c>
      <c r="J100" s="14">
        <v>0</v>
      </c>
      <c r="K100" s="14">
        <v>67.771716999751135</v>
      </c>
      <c r="L100" s="14">
        <v>1.4755417809521812E-2</v>
      </c>
      <c r="M100" s="14">
        <v>1.2106820312712646E-2</v>
      </c>
      <c r="N100" s="14">
        <v>241.55219323136529</v>
      </c>
      <c r="O100" s="14">
        <v>74011.592006090315</v>
      </c>
      <c r="P100" s="14">
        <v>241.55219323136529</v>
      </c>
      <c r="Q100" s="8">
        <v>0.3421122948153309</v>
      </c>
    </row>
    <row r="101" spans="1:17">
      <c r="A101" s="2" t="s">
        <v>447</v>
      </c>
      <c r="B101" s="16" t="s">
        <v>448</v>
      </c>
      <c r="D101" s="14">
        <v>1</v>
      </c>
      <c r="E101" s="14">
        <v>0.41775295429678411</v>
      </c>
      <c r="F101" s="14">
        <v>0.32482994282881772</v>
      </c>
      <c r="G101" s="14">
        <v>9.0108247524957318E-11</v>
      </c>
      <c r="H101" s="14">
        <v>217.03813839404737</v>
      </c>
      <c r="I101" s="14">
        <v>439.13012000834721</v>
      </c>
      <c r="J101" s="14">
        <v>0</v>
      </c>
      <c r="K101" s="14">
        <v>3.0785339285269968</v>
      </c>
      <c r="L101" s="14">
        <v>0.32482994282881772</v>
      </c>
      <c r="M101" s="14">
        <v>0.26652296809104492</v>
      </c>
      <c r="N101" s="14">
        <v>26.233198823939663</v>
      </c>
      <c r="O101" s="14">
        <v>8835.8660278793577</v>
      </c>
      <c r="P101" s="14">
        <v>26.233198823939667</v>
      </c>
      <c r="Q101" s="8">
        <v>0.38582754223789401</v>
      </c>
    </row>
    <row r="102" spans="1:17">
      <c r="A102" s="2" t="s">
        <v>449</v>
      </c>
      <c r="B102" s="16" t="s">
        <v>450</v>
      </c>
      <c r="D102" s="14">
        <v>1</v>
      </c>
      <c r="E102" s="14">
        <v>0.36911392098551299</v>
      </c>
      <c r="F102" s="14">
        <v>0.12446392065602276</v>
      </c>
      <c r="G102" s="14">
        <v>6.9635703103920397E-6</v>
      </c>
      <c r="H102" s="14">
        <v>584.79476643276109</v>
      </c>
      <c r="I102" s="14">
        <v>1024.850808489897</v>
      </c>
      <c r="J102" s="14">
        <v>0</v>
      </c>
      <c r="K102" s="14">
        <v>8.0344568508625915</v>
      </c>
      <c r="L102" s="14">
        <v>0.12446392065602276</v>
      </c>
      <c r="M102" s="14">
        <v>0.10212264689826668</v>
      </c>
      <c r="N102" s="14">
        <v>61.523619119244273</v>
      </c>
      <c r="O102" s="14">
        <v>28614.020016169317</v>
      </c>
      <c r="P102" s="14">
        <v>61.52361911924428</v>
      </c>
      <c r="Q102" s="8">
        <v>0.40856451861879356</v>
      </c>
    </row>
    <row r="103" spans="1:17">
      <c r="A103" s="2" t="s">
        <v>451</v>
      </c>
      <c r="B103" s="16" t="s">
        <v>452</v>
      </c>
      <c r="D103" s="14">
        <v>1</v>
      </c>
      <c r="E103" s="14">
        <v>0.99939108297153978</v>
      </c>
      <c r="F103" s="14">
        <v>0.98821734124635596</v>
      </c>
      <c r="G103" s="14">
        <v>5.3795217664176182E-21</v>
      </c>
      <c r="H103" s="14">
        <v>32.849780397452307</v>
      </c>
      <c r="I103" s="14">
        <v>2.9516801466873334E-2</v>
      </c>
      <c r="J103" s="14">
        <v>0</v>
      </c>
      <c r="K103" s="14">
        <v>1.0119231451036708</v>
      </c>
      <c r="L103" s="14">
        <v>0.98821734124635596</v>
      </c>
      <c r="M103" s="14">
        <v>0.81083232849263509</v>
      </c>
      <c r="N103" s="14">
        <v>1.1806128310409454</v>
      </c>
      <c r="O103" s="14">
        <v>390.4758877384823</v>
      </c>
      <c r="P103" s="14">
        <v>1.1806128310409454</v>
      </c>
      <c r="Q103" s="8">
        <v>8.7472047863869503E-5</v>
      </c>
    </row>
    <row r="104" spans="1:17">
      <c r="A104" s="2" t="s">
        <v>453</v>
      </c>
      <c r="B104" s="16" t="s">
        <v>454</v>
      </c>
      <c r="D104" s="14">
        <v>1</v>
      </c>
      <c r="E104" s="14">
        <v>0.98389248596157919</v>
      </c>
      <c r="F104" s="14">
        <v>9.9775515160888492E-2</v>
      </c>
      <c r="G104" s="14">
        <v>1.1223464609752552E-21</v>
      </c>
      <c r="H104" s="14">
        <v>2510.2904784711582</v>
      </c>
      <c r="I104" s="14">
        <v>24.612245848122079</v>
      </c>
      <c r="J104" s="14">
        <v>0</v>
      </c>
      <c r="K104" s="14">
        <v>10.022498990734302</v>
      </c>
      <c r="L104" s="14">
        <v>9.9775515160888492E-2</v>
      </c>
      <c r="M104" s="14">
        <v>8.1865810189509003E-2</v>
      </c>
      <c r="N104" s="14">
        <v>24.386709023262565</v>
      </c>
      <c r="O104" s="14">
        <v>12047.034257491709</v>
      </c>
      <c r="P104" s="14">
        <v>24.386709023262569</v>
      </c>
      <c r="Q104" s="8">
        <v>4.1893943681089365E-3</v>
      </c>
    </row>
    <row r="105" spans="1:17">
      <c r="A105" s="2" t="s">
        <v>455</v>
      </c>
      <c r="B105" s="164">
        <v>354656</v>
      </c>
      <c r="D105" s="14">
        <v>1</v>
      </c>
      <c r="E105" s="14">
        <v>0.96960223015900437</v>
      </c>
      <c r="F105" s="14">
        <v>0.96984437542773461</v>
      </c>
      <c r="G105" s="14">
        <v>4.0851738115575451E-12</v>
      </c>
      <c r="H105" s="14">
        <v>0.27860060261248448</v>
      </c>
      <c r="I105" s="14">
        <v>0.99779017271919079</v>
      </c>
      <c r="J105" s="14">
        <v>0</v>
      </c>
      <c r="K105" s="14">
        <v>1.0310932612863437</v>
      </c>
      <c r="L105" s="14">
        <v>0.96984437542773472</v>
      </c>
      <c r="M105" s="14">
        <v>0.79575731003845629</v>
      </c>
      <c r="N105" s="14">
        <v>0.90922233970501143</v>
      </c>
      <c r="O105" s="14">
        <v>179.2895531664312</v>
      </c>
      <c r="P105" s="14">
        <v>0.90922233970501143</v>
      </c>
      <c r="Q105" s="8">
        <v>2.0269322012301406E-2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0.93887675018095329</v>
      </c>
      <c r="F106" s="14">
        <v>0.93869705255199865</v>
      </c>
      <c r="G106" s="14">
        <v>6.0764461376592854E-12</v>
      </c>
      <c r="H106" s="14">
        <v>1.1527806817031956</v>
      </c>
      <c r="I106" s="14">
        <v>3.685392970291089</v>
      </c>
      <c r="J106" s="14">
        <v>0</v>
      </c>
      <c r="K106" s="14">
        <v>1.0653064237086283</v>
      </c>
      <c r="L106" s="14">
        <v>0.93869705255199876</v>
      </c>
      <c r="M106" s="14">
        <v>0.77020093161891501</v>
      </c>
      <c r="N106" s="14">
        <v>1.0454673708481819</v>
      </c>
      <c r="O106" s="14">
        <v>167.4629634624618</v>
      </c>
      <c r="P106" s="14">
        <v>1.0454673708481821</v>
      </c>
      <c r="Q106" s="8">
        <v>4.0971682925731424E-2</v>
      </c>
    </row>
    <row r="107" spans="1:17">
      <c r="A107" s="2" t="s">
        <v>459</v>
      </c>
      <c r="B107" s="16" t="s">
        <v>460</v>
      </c>
      <c r="D107" s="14">
        <v>1</v>
      </c>
      <c r="E107" s="14">
        <v>0.41591636280575689</v>
      </c>
      <c r="F107" s="14">
        <v>8.3424844793535222E-2</v>
      </c>
      <c r="G107" s="14">
        <v>2.0287655466575004E-21</v>
      </c>
      <c r="H107" s="14">
        <v>804.32672957775981</v>
      </c>
      <c r="I107" s="14">
        <v>1303.4137847125521</v>
      </c>
      <c r="J107" s="14">
        <v>0</v>
      </c>
      <c r="K107" s="14">
        <v>11.98683680472957</v>
      </c>
      <c r="L107" s="14">
        <v>8.3424844793535222E-2</v>
      </c>
      <c r="M107" s="14">
        <v>6.8450085153095655E-2</v>
      </c>
      <c r="N107" s="14">
        <v>95.083762670151913</v>
      </c>
      <c r="O107" s="14">
        <v>50530.363995798827</v>
      </c>
      <c r="P107" s="14">
        <v>95.083762670151913</v>
      </c>
      <c r="Q107" s="8">
        <v>0.36819874994635893</v>
      </c>
    </row>
    <row r="108" spans="1:17">
      <c r="A108" s="2" t="s">
        <v>461</v>
      </c>
      <c r="B108" s="16" t="s">
        <v>462</v>
      </c>
      <c r="D108" s="14">
        <v>1</v>
      </c>
      <c r="E108" s="14">
        <v>0.99958558993575397</v>
      </c>
      <c r="F108" s="14">
        <v>0.99997451871404308</v>
      </c>
      <c r="G108" s="14">
        <v>1.218332464399589E-11</v>
      </c>
      <c r="H108" s="14">
        <v>2.489486094240895E-3</v>
      </c>
      <c r="I108" s="14">
        <v>6.6808681652339634E-4</v>
      </c>
      <c r="J108" s="14">
        <v>0</v>
      </c>
      <c r="K108" s="14">
        <v>1.0000254819352692</v>
      </c>
      <c r="L108" s="14">
        <v>0.99997451871404319</v>
      </c>
      <c r="M108" s="14">
        <v>0.8204790926048724</v>
      </c>
      <c r="N108" s="14">
        <v>0.88431528431029083</v>
      </c>
      <c r="O108" s="14">
        <v>114.21816212151717</v>
      </c>
      <c r="P108" s="14">
        <v>0.88431528431029083</v>
      </c>
      <c r="Q108" s="8">
        <v>3.737944956384486E-5</v>
      </c>
    </row>
    <row r="109" spans="1:17">
      <c r="A109" s="2" t="s">
        <v>463</v>
      </c>
      <c r="B109" s="16" t="s">
        <v>464</v>
      </c>
      <c r="D109" s="14">
        <v>1</v>
      </c>
      <c r="E109" s="14">
        <v>0.97442351476531119</v>
      </c>
      <c r="F109" s="14">
        <v>0.96845562751224978</v>
      </c>
      <c r="G109" s="14">
        <v>3.271553217723039E-14</v>
      </c>
      <c r="H109" s="14">
        <v>17.180994361226215</v>
      </c>
      <c r="I109" s="14">
        <v>7.9070773378160313</v>
      </c>
      <c r="J109" s="14">
        <v>0</v>
      </c>
      <c r="K109" s="14">
        <v>1.0325718304397495</v>
      </c>
      <c r="L109" s="14">
        <v>0.96845562751224978</v>
      </c>
      <c r="M109" s="14">
        <v>0.79461784237380095</v>
      </c>
      <c r="N109" s="14">
        <v>15.965056019124765</v>
      </c>
      <c r="O109" s="14">
        <v>4786.3237945336041</v>
      </c>
      <c r="P109" s="14">
        <v>15.965056019124765</v>
      </c>
      <c r="Q109" s="8">
        <v>1.2888903929386354E-2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0.99340789215285563</v>
      </c>
      <c r="F110" s="14">
        <v>0.99376861344160472</v>
      </c>
      <c r="G110" s="14">
        <v>2.3136191631558326E-13</v>
      </c>
      <c r="H110" s="14">
        <v>6.3674460819143852E-2</v>
      </c>
      <c r="I110" s="14">
        <v>0.11279592684969628</v>
      </c>
      <c r="J110" s="14">
        <v>0</v>
      </c>
      <c r="K110" s="14">
        <v>1.0062704602199246</v>
      </c>
      <c r="L110" s="14">
        <v>0.99376861344160483</v>
      </c>
      <c r="M110" s="14">
        <v>0.81538714732883677</v>
      </c>
      <c r="N110" s="14">
        <v>0.88123121349284406</v>
      </c>
      <c r="O110" s="14">
        <v>209.87402580545574</v>
      </c>
      <c r="P110" s="14">
        <v>0.88123121349284406</v>
      </c>
      <c r="Q110" s="8">
        <v>4.2081713687094711E-3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0.99963709122999367</v>
      </c>
      <c r="F111" s="14">
        <v>1.000025348041615</v>
      </c>
      <c r="G111" s="14">
        <v>4.1116211896092149E-32</v>
      </c>
      <c r="H111" s="14">
        <v>4.5240876290364258E-3</v>
      </c>
      <c r="I111" s="14">
        <v>3.460704935810969E-5</v>
      </c>
      <c r="J111" s="14">
        <v>0</v>
      </c>
      <c r="K111" s="14">
        <v>0.99997465260089191</v>
      </c>
      <c r="L111" s="14">
        <v>1.000025348041615</v>
      </c>
      <c r="M111" s="14">
        <v>0.82052079806814515</v>
      </c>
      <c r="N111" s="14">
        <v>0.8800749022112897</v>
      </c>
      <c r="O111" s="14">
        <v>405.21288722514413</v>
      </c>
      <c r="P111" s="14">
        <v>0.8800749022112897</v>
      </c>
      <c r="Q111" s="8">
        <v>3.7788928032941904E-6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0.99156797541124209</v>
      </c>
      <c r="F112" s="14">
        <v>0.99194333888330821</v>
      </c>
      <c r="G112" s="14">
        <v>2.5992338431352562E-15</v>
      </c>
      <c r="H112" s="14">
        <v>2.1959217757184395E-2</v>
      </c>
      <c r="I112" s="14">
        <v>9.4989157590322948E-2</v>
      </c>
      <c r="J112" s="14">
        <v>0</v>
      </c>
      <c r="K112" s="14">
        <v>1.00812209810871</v>
      </c>
      <c r="L112" s="14">
        <v>0.99194333888330832</v>
      </c>
      <c r="M112" s="14">
        <v>0.8138895095537545</v>
      </c>
      <c r="N112" s="14">
        <v>0.87810082407016321</v>
      </c>
      <c r="O112" s="14">
        <v>180.23019414040101</v>
      </c>
      <c r="P112" s="14">
        <v>0.87810082407016332</v>
      </c>
      <c r="Q112" s="8">
        <v>5.4509730664172298E-3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0.95418751261782997</v>
      </c>
      <c r="F113" s="14">
        <v>0.95425927008483202</v>
      </c>
      <c r="G113" s="14">
        <v>3.2074129271559037E-11</v>
      </c>
      <c r="H113" s="14">
        <v>0.62564270861846039</v>
      </c>
      <c r="I113" s="14">
        <v>2.1085483223036237</v>
      </c>
      <c r="J113" s="14">
        <v>0</v>
      </c>
      <c r="K113" s="14">
        <v>1.0479332308829461</v>
      </c>
      <c r="L113" s="14">
        <v>0.95425927008483202</v>
      </c>
      <c r="M113" s="14">
        <v>0.78296973110460466</v>
      </c>
      <c r="N113" s="14">
        <v>0.95829835146964026</v>
      </c>
      <c r="O113" s="14">
        <v>144.85637880815082</v>
      </c>
      <c r="P113" s="14">
        <v>0.95829835146964026</v>
      </c>
      <c r="Q113" s="8">
        <v>3.0660805371241148E-2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0.99545680887504451</v>
      </c>
      <c r="F114" s="14">
        <v>0.99584164488255367</v>
      </c>
      <c r="G114" s="14">
        <v>2.5512301774673916E-18</v>
      </c>
      <c r="H114" s="14">
        <v>6.3936709856353274E-3</v>
      </c>
      <c r="I114" s="14">
        <v>2.9825003483444766E-2</v>
      </c>
      <c r="J114" s="14">
        <v>0</v>
      </c>
      <c r="K114" s="14">
        <v>1.0041757192409209</v>
      </c>
      <c r="L114" s="14">
        <v>0.99584164488255367</v>
      </c>
      <c r="M114" s="14">
        <v>0.81708806962613534</v>
      </c>
      <c r="N114" s="14">
        <v>0.87794089919514429</v>
      </c>
      <c r="O114" s="14">
        <v>297.93802355086422</v>
      </c>
      <c r="P114" s="14">
        <v>0.8779408991951444</v>
      </c>
      <c r="Q114" s="8">
        <v>2.8260543059202832E-3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0.9995410302740646</v>
      </c>
      <c r="F115" s="14">
        <v>0.99712556201316327</v>
      </c>
      <c r="G115" s="14">
        <v>1.3527073246753696E-14</v>
      </c>
      <c r="H115" s="14">
        <v>7.9691105189146016</v>
      </c>
      <c r="I115" s="14">
        <v>8.8380268873749553E-3</v>
      </c>
      <c r="J115" s="14">
        <v>0</v>
      </c>
      <c r="K115" s="14">
        <v>1.0028827241987792</v>
      </c>
      <c r="L115" s="14">
        <v>0.99712556201316327</v>
      </c>
      <c r="M115" s="14">
        <v>0.81814152363180048</v>
      </c>
      <c r="N115" s="14">
        <v>0.96020225156226502</v>
      </c>
      <c r="O115" s="14">
        <v>184.48365859265797</v>
      </c>
      <c r="P115" s="14">
        <v>0.96020225156226513</v>
      </c>
      <c r="Q115" s="8">
        <v>4.6661137143937685E-5</v>
      </c>
    </row>
    <row r="116" spans="1:17">
      <c r="A116" s="2" t="s">
        <v>477</v>
      </c>
      <c r="B116" s="16" t="s">
        <v>478</v>
      </c>
      <c r="D116" s="14">
        <v>1</v>
      </c>
      <c r="E116" s="14">
        <v>0.72050670650289583</v>
      </c>
      <c r="F116" s="14">
        <v>0.44337665227470346</v>
      </c>
      <c r="G116" s="14">
        <v>1.231833978307151E-18</v>
      </c>
      <c r="H116" s="14">
        <v>769.51258295345554</v>
      </c>
      <c r="I116" s="14">
        <v>172.56823673608861</v>
      </c>
      <c r="J116" s="14">
        <v>0</v>
      </c>
      <c r="K116" s="14">
        <v>2.2554187165011763</v>
      </c>
      <c r="L116" s="14">
        <v>0.44337665227470346</v>
      </c>
      <c r="M116" s="14">
        <v>0.3637905431913942</v>
      </c>
      <c r="N116" s="14">
        <v>532.47663268877795</v>
      </c>
      <c r="O116" s="14">
        <v>242063.87722031845</v>
      </c>
      <c r="P116" s="14">
        <v>532.47663268877795</v>
      </c>
      <c r="Q116" s="8">
        <v>4.2732751922185591E-2</v>
      </c>
    </row>
    <row r="117" spans="1:17">
      <c r="A117" s="2" t="s">
        <v>291</v>
      </c>
      <c r="B117" s="16" t="s">
        <v>479</v>
      </c>
      <c r="D117" s="14">
        <v>1</v>
      </c>
      <c r="E117" s="14">
        <v>0.60993255073961739</v>
      </c>
      <c r="F117" s="14">
        <v>0.5838427736849513</v>
      </c>
      <c r="G117" s="14">
        <v>4.0262839229050471E-12</v>
      </c>
      <c r="H117" s="14">
        <v>59.796519905932868</v>
      </c>
      <c r="I117" s="14">
        <v>138.90986204884416</v>
      </c>
      <c r="J117" s="14">
        <v>0</v>
      </c>
      <c r="K117" s="14">
        <v>1.7127898897993592</v>
      </c>
      <c r="L117" s="14">
        <v>0.5838427736849513</v>
      </c>
      <c r="M117" s="14">
        <v>0.47904299580850251</v>
      </c>
      <c r="N117" s="14">
        <v>8.6118632559803885</v>
      </c>
      <c r="O117" s="14">
        <v>2655.2957977164333</v>
      </c>
      <c r="P117" s="14">
        <v>8.6118632559803885</v>
      </c>
      <c r="Q117" s="8">
        <v>0.26093544688086007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2.6138607304777364E-8</v>
      </c>
      <c r="E2" s="20">
        <v>0.97633627387866972</v>
      </c>
      <c r="F2" s="20">
        <v>5.9862749348843654E-5</v>
      </c>
      <c r="G2" s="20">
        <v>2.4024381428007627E-5</v>
      </c>
      <c r="H2" s="20">
        <v>0</v>
      </c>
      <c r="I2" s="20">
        <v>0.97625238674789283</v>
      </c>
      <c r="J2" s="20">
        <v>3.632212065069108E-4</v>
      </c>
      <c r="K2" s="20">
        <v>2.3300478776216105E-2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2.5077453613838102E-8</v>
      </c>
      <c r="E3" s="20">
        <v>0.61727114560371144</v>
      </c>
      <c r="F3" s="20">
        <v>2.3290927256012055E-2</v>
      </c>
      <c r="G3" s="20">
        <v>5.6581567116588049E-3</v>
      </c>
      <c r="H3" s="20">
        <v>0</v>
      </c>
      <c r="I3" s="20">
        <v>0.58832206163604062</v>
      </c>
      <c r="J3" s="20">
        <v>4.4712818960145019E-3</v>
      </c>
      <c r="K3" s="20">
        <v>0.37825754742282047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1.3555883973794348E-17</v>
      </c>
      <c r="E4" s="20">
        <v>0.99955291813161962</v>
      </c>
      <c r="F4" s="20">
        <v>4.2034129528093368E-5</v>
      </c>
      <c r="G4" s="20">
        <v>4.6291121213887674E-8</v>
      </c>
      <c r="H4" s="20">
        <v>0</v>
      </c>
      <c r="I4" s="20">
        <v>0.99951083771097027</v>
      </c>
      <c r="J4" s="20">
        <v>4.2650352875848134E-4</v>
      </c>
      <c r="K4" s="20">
        <v>2.0578339621872798E-5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3.8023540957813344E-10</v>
      </c>
      <c r="E5" s="20">
        <v>0.99862317686868329</v>
      </c>
      <c r="F5" s="20">
        <v>7.5916370803010724E-2</v>
      </c>
      <c r="G5" s="20">
        <v>6.0255223838159E-6</v>
      </c>
      <c r="H5" s="20">
        <v>0</v>
      </c>
      <c r="I5" s="20">
        <v>0.92270078054328875</v>
      </c>
      <c r="J5" s="20">
        <v>1.0609535116594304E-3</v>
      </c>
      <c r="K5" s="20">
        <v>3.1586923942193511E-4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4.7127244348272224E-11</v>
      </c>
      <c r="E6" s="20">
        <v>0.99634033190909577</v>
      </c>
      <c r="F6" s="20">
        <v>0.17123018998891343</v>
      </c>
      <c r="G6" s="20">
        <v>4.9656129444997351E-5</v>
      </c>
      <c r="H6" s="20">
        <v>0</v>
      </c>
      <c r="I6" s="20">
        <v>0.82506048579073732</v>
      </c>
      <c r="J6" s="20">
        <v>1.8703584312198447E-3</v>
      </c>
      <c r="K6" s="20">
        <v>1.7893096125570875E-3</v>
      </c>
      <c r="L6" s="20">
        <v>0</v>
      </c>
    </row>
    <row r="7" spans="1:14">
      <c r="A7" s="2" t="s">
        <v>366</v>
      </c>
      <c r="B7" s="3" t="s">
        <v>305</v>
      </c>
      <c r="D7" s="20">
        <v>8.0431349479933335E-7</v>
      </c>
      <c r="E7" s="20">
        <v>0.97714256389731591</v>
      </c>
      <c r="F7" s="20">
        <v>0.44017051119394507</v>
      </c>
      <c r="G7" s="20">
        <v>8.960165836455656E-4</v>
      </c>
      <c r="H7" s="20">
        <v>0</v>
      </c>
      <c r="I7" s="20">
        <v>0.53607603611972532</v>
      </c>
      <c r="J7" s="20">
        <v>4.3627244091385149E-3</v>
      </c>
      <c r="K7" s="20">
        <v>1.8493907380050779E-2</v>
      </c>
      <c r="L7" s="20">
        <v>0</v>
      </c>
    </row>
    <row r="8" spans="1:14">
      <c r="A8" s="2" t="s">
        <v>289</v>
      </c>
      <c r="B8" s="3" t="s">
        <v>290</v>
      </c>
      <c r="D8" s="20">
        <v>3.7284382163038088E-17</v>
      </c>
      <c r="E8" s="20">
        <v>0.99640008717033324</v>
      </c>
      <c r="F8" s="20">
        <v>0.24932970722102066</v>
      </c>
      <c r="G8" s="20">
        <v>3.7913913256890021E-5</v>
      </c>
      <c r="H8" s="20">
        <v>0</v>
      </c>
      <c r="I8" s="20">
        <v>0.74703246603605566</v>
      </c>
      <c r="J8" s="20">
        <v>2.4729457167415227E-3</v>
      </c>
      <c r="K8" s="20">
        <v>1.1269671129252475E-3</v>
      </c>
      <c r="L8" s="20">
        <v>0</v>
      </c>
    </row>
    <row r="9" spans="1:14">
      <c r="A9" s="2" t="s">
        <v>291</v>
      </c>
      <c r="B9" s="3" t="s">
        <v>292</v>
      </c>
      <c r="D9" s="20">
        <v>7.3534636098883857E-13</v>
      </c>
      <c r="E9" s="20">
        <v>0.99777537645339665</v>
      </c>
      <c r="F9" s="20">
        <v>5.8683034476884464E-2</v>
      </c>
      <c r="G9" s="20">
        <v>2.2242546723587004E-5</v>
      </c>
      <c r="H9" s="20">
        <v>0</v>
      </c>
      <c r="I9" s="20">
        <v>0.93907009942978859</v>
      </c>
      <c r="J9" s="20">
        <v>9.2116524516848279E-4</v>
      </c>
      <c r="K9" s="20">
        <v>1.3034583006994846E-3</v>
      </c>
      <c r="L9" s="20">
        <v>0</v>
      </c>
    </row>
    <row r="10" spans="1:14">
      <c r="A10" s="2" t="s">
        <v>367</v>
      </c>
      <c r="B10" s="3" t="s">
        <v>368</v>
      </c>
      <c r="D10" s="20">
        <v>6.6937443661321724E-5</v>
      </c>
      <c r="E10" s="20">
        <v>0.45219704465943517</v>
      </c>
      <c r="F10" s="20">
        <v>0.34422573627936237</v>
      </c>
      <c r="G10" s="20">
        <v>6.0122757754695194E-2</v>
      </c>
      <c r="H10" s="20">
        <v>0</v>
      </c>
      <c r="I10" s="20">
        <v>4.7848550625377621E-2</v>
      </c>
      <c r="J10" s="20">
        <v>3.8930838634298991E-2</v>
      </c>
      <c r="K10" s="20">
        <v>0.50880517926260438</v>
      </c>
      <c r="L10" s="20">
        <v>0</v>
      </c>
    </row>
    <row r="11" spans="1:14">
      <c r="A11" s="2" t="s">
        <v>369</v>
      </c>
      <c r="B11" s="3" t="s">
        <v>370</v>
      </c>
      <c r="D11" s="20">
        <v>3.4646710795858797E-11</v>
      </c>
      <c r="E11" s="20">
        <v>0.56553942706542382</v>
      </c>
      <c r="F11" s="20">
        <v>0.32471967333359081</v>
      </c>
      <c r="G11" s="20">
        <v>0.23724822579946234</v>
      </c>
      <c r="H11" s="20">
        <v>0</v>
      </c>
      <c r="I11" s="20">
        <v>3.5715279323706899E-3</v>
      </c>
      <c r="J11" s="20">
        <v>0.33129955851809362</v>
      </c>
      <c r="K11" s="20">
        <v>0.10316101438183579</v>
      </c>
      <c r="L11" s="20">
        <v>0</v>
      </c>
    </row>
    <row r="12" spans="1:14">
      <c r="A12" s="2" t="s">
        <v>371</v>
      </c>
      <c r="B12" s="3" t="s">
        <v>372</v>
      </c>
      <c r="D12" s="20">
        <v>7.4694416944344977E-2</v>
      </c>
      <c r="E12" s="20">
        <v>0.92079363947959725</v>
      </c>
      <c r="F12" s="20">
        <v>2.5791923395842279E-6</v>
      </c>
      <c r="G12" s="20">
        <v>1.2784143744926968E-6</v>
      </c>
      <c r="H12" s="20">
        <v>0</v>
      </c>
      <c r="I12" s="20">
        <v>0.92078978187288318</v>
      </c>
      <c r="J12" s="20">
        <v>3.2994119493956611E-4</v>
      </c>
      <c r="K12" s="20">
        <v>4.1820023811184048E-3</v>
      </c>
      <c r="L12" s="20">
        <v>0</v>
      </c>
    </row>
    <row r="13" spans="1:14">
      <c r="A13" s="2" t="s">
        <v>293</v>
      </c>
      <c r="B13" s="3" t="s">
        <v>294</v>
      </c>
      <c r="D13" s="20">
        <v>2.0745367798928324E-8</v>
      </c>
      <c r="E13" s="20">
        <v>0.64410073418794511</v>
      </c>
      <c r="F13" s="20">
        <v>1.6641610529562905E-2</v>
      </c>
      <c r="G13" s="20">
        <v>4.2686535590087549E-3</v>
      </c>
      <c r="H13" s="20">
        <v>0</v>
      </c>
      <c r="I13" s="20">
        <v>0.62319047009937345</v>
      </c>
      <c r="J13" s="20">
        <v>2.8758073620450851E-3</v>
      </c>
      <c r="K13" s="20">
        <v>0.3530234377046419</v>
      </c>
      <c r="L13" s="20">
        <v>0</v>
      </c>
    </row>
    <row r="14" spans="1:14">
      <c r="A14" s="2" t="s">
        <v>373</v>
      </c>
      <c r="B14" s="3" t="s">
        <v>374</v>
      </c>
      <c r="D14" s="20">
        <v>7.7789870953675946E-7</v>
      </c>
      <c r="E14" s="20">
        <v>0.97797634718508286</v>
      </c>
      <c r="F14" s="20">
        <v>0.89644322836317736</v>
      </c>
      <c r="G14" s="20">
        <v>1.4043923052851248E-3</v>
      </c>
      <c r="H14" s="20">
        <v>0</v>
      </c>
      <c r="I14" s="20">
        <v>8.0128726516620327E-2</v>
      </c>
      <c r="J14" s="20">
        <v>1.4933612184320029E-2</v>
      </c>
      <c r="K14" s="20">
        <v>7.0892627318877325E-3</v>
      </c>
      <c r="L14" s="20">
        <v>0</v>
      </c>
    </row>
    <row r="15" spans="1:14">
      <c r="A15" s="2" t="s">
        <v>375</v>
      </c>
      <c r="B15" s="3" t="s">
        <v>376</v>
      </c>
      <c r="D15" s="20">
        <v>8.6857833736276188E-2</v>
      </c>
      <c r="E15" s="20">
        <v>0.78268824162752426</v>
      </c>
      <c r="F15" s="20">
        <v>1.9855608842830937E-3</v>
      </c>
      <c r="G15" s="20">
        <v>6.0559009600402855E-4</v>
      </c>
      <c r="H15" s="20">
        <v>0</v>
      </c>
      <c r="I15" s="20">
        <v>0.78009709064723709</v>
      </c>
      <c r="J15" s="20">
        <v>6.4893270290505216E-4</v>
      </c>
      <c r="K15" s="20">
        <v>0.12980499193329451</v>
      </c>
      <c r="L15" s="20">
        <v>0</v>
      </c>
    </row>
    <row r="16" spans="1:14">
      <c r="A16" s="2" t="s">
        <v>377</v>
      </c>
      <c r="B16" s="3" t="s">
        <v>378</v>
      </c>
      <c r="D16" s="20">
        <v>8.0982891289934917E-4</v>
      </c>
      <c r="E16" s="20">
        <v>0.62087776213552304</v>
      </c>
      <c r="F16" s="20">
        <v>1.9456624303189431E-2</v>
      </c>
      <c r="G16" s="20">
        <v>4.9177115148706287E-3</v>
      </c>
      <c r="H16" s="20">
        <v>0</v>
      </c>
      <c r="I16" s="20">
        <v>0.596503426317463</v>
      </c>
      <c r="J16" s="20">
        <v>3.2740592909548828E-3</v>
      </c>
      <c r="K16" s="20">
        <v>0.37503834966062255</v>
      </c>
      <c r="L16" s="20">
        <v>0</v>
      </c>
    </row>
    <row r="17" spans="1:12">
      <c r="A17" s="2" t="s">
        <v>379</v>
      </c>
      <c r="B17" s="3" t="s">
        <v>380</v>
      </c>
      <c r="D17" s="20">
        <v>2.3945339890644574E-3</v>
      </c>
      <c r="E17" s="20">
        <v>0.63409392152694943</v>
      </c>
      <c r="F17" s="20">
        <v>1.7615509983407173E-2</v>
      </c>
      <c r="G17" s="20">
        <v>4.4935623931470631E-3</v>
      </c>
      <c r="H17" s="20">
        <v>0</v>
      </c>
      <c r="I17" s="20">
        <v>0.61198484915039519</v>
      </c>
      <c r="J17" s="20">
        <v>3.0130903029509E-3</v>
      </c>
      <c r="K17" s="20">
        <v>0.36049845418103516</v>
      </c>
      <c r="L17" s="20">
        <v>0</v>
      </c>
    </row>
    <row r="18" spans="1:12">
      <c r="A18" s="2" t="s">
        <v>381</v>
      </c>
      <c r="B18" s="3" t="s">
        <v>382</v>
      </c>
      <c r="D18" s="20">
        <v>1.9437131120971022E-7</v>
      </c>
      <c r="E18" s="20">
        <v>0.41839202524469021</v>
      </c>
      <c r="F18" s="20">
        <v>0.1119712120372526</v>
      </c>
      <c r="G18" s="20">
        <v>0.30339046992513813</v>
      </c>
      <c r="H18" s="20">
        <v>0</v>
      </c>
      <c r="I18" s="20">
        <v>3.0303432822994807E-3</v>
      </c>
      <c r="J18" s="20">
        <v>0.20323963591206823</v>
      </c>
      <c r="K18" s="20">
        <v>0.37836814447193029</v>
      </c>
      <c r="L18" s="20">
        <v>0</v>
      </c>
    </row>
    <row r="19" spans="1:12">
      <c r="A19" s="2" t="s">
        <v>383</v>
      </c>
      <c r="B19" s="3" t="s">
        <v>384</v>
      </c>
      <c r="D19" s="20">
        <v>1.1818975478142204E-2</v>
      </c>
      <c r="E19" s="20">
        <v>0.9108388741278961</v>
      </c>
      <c r="F19" s="20">
        <v>6.3103586986316409E-4</v>
      </c>
      <c r="G19" s="20">
        <v>2.1181153220818847E-4</v>
      </c>
      <c r="H19" s="20">
        <v>0</v>
      </c>
      <c r="I19" s="20">
        <v>0.9099960267258248</v>
      </c>
      <c r="J19" s="20">
        <v>4.5350097721609636E-4</v>
      </c>
      <c r="K19" s="20">
        <v>7.6888649416745572E-2</v>
      </c>
      <c r="L19" s="20">
        <v>0</v>
      </c>
    </row>
    <row r="20" spans="1:12">
      <c r="A20" s="2" t="s">
        <v>385</v>
      </c>
      <c r="B20" s="3" t="s">
        <v>386</v>
      </c>
      <c r="D20" s="20">
        <v>2.219842003262805E-2</v>
      </c>
      <c r="E20" s="20">
        <v>0.87503254330327929</v>
      </c>
      <c r="F20" s="20">
        <v>1.1318692974988847E-3</v>
      </c>
      <c r="G20" s="20">
        <v>3.6282051463370991E-4</v>
      </c>
      <c r="H20" s="20">
        <v>0</v>
      </c>
      <c r="I20" s="20">
        <v>0.87353785349114665</v>
      </c>
      <c r="J20" s="20">
        <v>5.3289159405567983E-4</v>
      </c>
      <c r="K20" s="20">
        <v>0.10223614507003699</v>
      </c>
      <c r="L20" s="20">
        <v>0</v>
      </c>
    </row>
    <row r="21" spans="1:12">
      <c r="A21" s="2" t="s">
        <v>387</v>
      </c>
      <c r="B21" s="3" t="s">
        <v>388</v>
      </c>
      <c r="D21" s="20">
        <v>7.1146793865649004E-3</v>
      </c>
      <c r="E21" s="20">
        <v>0.72092150733584748</v>
      </c>
      <c r="F21" s="20">
        <v>0.3021011250082572</v>
      </c>
      <c r="G21" s="20">
        <v>1.2191903168492123E-2</v>
      </c>
      <c r="H21" s="20">
        <v>0</v>
      </c>
      <c r="I21" s="20">
        <v>0.40662847915909811</v>
      </c>
      <c r="J21" s="20">
        <v>9.9138306345154456E-3</v>
      </c>
      <c r="K21" s="20">
        <v>0.26204998264307211</v>
      </c>
      <c r="L21" s="20">
        <v>0</v>
      </c>
    </row>
    <row r="22" spans="1:12">
      <c r="A22" s="2" t="s">
        <v>295</v>
      </c>
      <c r="B22" s="3" t="s">
        <v>296</v>
      </c>
      <c r="D22" s="20">
        <v>6.5405169385198692E-2</v>
      </c>
      <c r="E22" s="20">
        <v>0.90472980834109795</v>
      </c>
      <c r="F22" s="20">
        <v>1.0108490089000002E-4</v>
      </c>
      <c r="G22" s="20">
        <v>3.8813414030256601E-5</v>
      </c>
      <c r="H22" s="20">
        <v>0</v>
      </c>
      <c r="I22" s="20">
        <v>0.90458991002617772</v>
      </c>
      <c r="J22" s="20">
        <v>3.4650930795570103E-4</v>
      </c>
      <c r="K22" s="20">
        <v>2.9518512965747614E-2</v>
      </c>
      <c r="L22" s="20">
        <v>0</v>
      </c>
    </row>
    <row r="23" spans="1:12">
      <c r="A23" s="2" t="s">
        <v>389</v>
      </c>
      <c r="B23" s="3" t="s">
        <v>390</v>
      </c>
      <c r="D23" s="20">
        <v>7.1503282087408707E-2</v>
      </c>
      <c r="E23" s="20">
        <v>0.75651957609448117</v>
      </c>
      <c r="F23" s="20">
        <v>3.4881904745277591E-3</v>
      </c>
      <c r="G23" s="20">
        <v>1.01787804537971E-3</v>
      </c>
      <c r="H23" s="20">
        <v>0</v>
      </c>
      <c r="I23" s="20">
        <v>0.75201350757457375</v>
      </c>
      <c r="J23" s="20">
        <v>8.9354281804938311E-4</v>
      </c>
      <c r="K23" s="20">
        <v>0.17108359900006062</v>
      </c>
      <c r="L23" s="20">
        <v>0</v>
      </c>
    </row>
    <row r="24" spans="1:12">
      <c r="A24" s="2" t="s">
        <v>391</v>
      </c>
      <c r="B24" s="3" t="s">
        <v>392</v>
      </c>
      <c r="D24" s="20">
        <v>2.6408291590874055E-3</v>
      </c>
      <c r="E24" s="20">
        <v>0.5484466859325321</v>
      </c>
      <c r="F24" s="20">
        <v>3.1075242153588645E-2</v>
      </c>
      <c r="G24" s="20">
        <v>7.5008430273972833E-3</v>
      </c>
      <c r="H24" s="20">
        <v>0</v>
      </c>
      <c r="I24" s="20">
        <v>0.50987060075154622</v>
      </c>
      <c r="J24" s="20">
        <v>4.8718576355188141E-3</v>
      </c>
      <c r="K24" s="20">
        <v>0.44404062727286159</v>
      </c>
      <c r="L24" s="20">
        <v>0</v>
      </c>
    </row>
    <row r="25" spans="1:12">
      <c r="A25" s="2" t="s">
        <v>393</v>
      </c>
      <c r="B25" s="3" t="s">
        <v>394</v>
      </c>
      <c r="D25" s="20">
        <v>8.7685336833162749E-4</v>
      </c>
      <c r="E25" s="20">
        <v>0.40808130787084534</v>
      </c>
      <c r="F25" s="20">
        <v>0.13085827453539164</v>
      </c>
      <c r="G25" s="20">
        <v>0.27308430768070896</v>
      </c>
      <c r="H25" s="20">
        <v>0</v>
      </c>
      <c r="I25" s="20">
        <v>4.1387256547447578E-3</v>
      </c>
      <c r="J25" s="20">
        <v>0.18233738023331433</v>
      </c>
      <c r="K25" s="20">
        <v>0.40870445852750897</v>
      </c>
      <c r="L25" s="20">
        <v>0</v>
      </c>
    </row>
    <row r="26" spans="1:12">
      <c r="A26" s="2" t="s">
        <v>395</v>
      </c>
      <c r="B26" s="3" t="s">
        <v>396</v>
      </c>
      <c r="D26" s="20">
        <v>0.22723069826553377</v>
      </c>
      <c r="E26" s="20">
        <v>0.31320378057304799</v>
      </c>
      <c r="F26" s="20">
        <v>6.5454757458371399E-2</v>
      </c>
      <c r="G26" s="20">
        <v>1.4120067515075434E-2</v>
      </c>
      <c r="H26" s="20">
        <v>0</v>
      </c>
      <c r="I26" s="20">
        <v>0.23362895559960115</v>
      </c>
      <c r="J26" s="20">
        <v>9.0088713690147457E-3</v>
      </c>
      <c r="K26" s="20">
        <v>0.45055664979240351</v>
      </c>
      <c r="L26" s="20">
        <v>0</v>
      </c>
    </row>
    <row r="27" spans="1:12">
      <c r="A27" s="2" t="s">
        <v>397</v>
      </c>
      <c r="B27" s="3" t="s">
        <v>398</v>
      </c>
      <c r="D27" s="20">
        <v>0.82711106928735867</v>
      </c>
      <c r="E27" s="20">
        <v>6.3629581763475718E-2</v>
      </c>
      <c r="F27" s="20">
        <v>3.4852829999395062E-2</v>
      </c>
      <c r="G27" s="20">
        <v>6.6211526913032004E-3</v>
      </c>
      <c r="H27" s="20">
        <v>0</v>
      </c>
      <c r="I27" s="20">
        <v>2.2155599072777456E-2</v>
      </c>
      <c r="J27" s="20">
        <v>4.2455828377844602E-3</v>
      </c>
      <c r="K27" s="20">
        <v>0.10501376611138111</v>
      </c>
      <c r="L27" s="20">
        <v>0</v>
      </c>
    </row>
    <row r="28" spans="1:12">
      <c r="A28" s="2" t="s">
        <v>399</v>
      </c>
      <c r="B28" s="3" t="s">
        <v>400</v>
      </c>
      <c r="D28" s="20">
        <v>0.87326174787085553</v>
      </c>
      <c r="E28" s="20">
        <v>4.8930861125389073E-2</v>
      </c>
      <c r="F28" s="20">
        <v>1.2912747290928091E-2</v>
      </c>
      <c r="G28" s="20">
        <v>2.7196574530482655E-3</v>
      </c>
      <c r="H28" s="20">
        <v>0</v>
      </c>
      <c r="I28" s="20">
        <v>3.3298456381412718E-2</v>
      </c>
      <c r="J28" s="20">
        <v>1.7350401043828233E-3</v>
      </c>
      <c r="K28" s="20">
        <v>7.6072350899372407E-2</v>
      </c>
      <c r="L28" s="20">
        <v>0</v>
      </c>
    </row>
    <row r="29" spans="1:12">
      <c r="A29" s="2" t="s">
        <v>297</v>
      </c>
      <c r="B29" s="3" t="s">
        <v>298</v>
      </c>
      <c r="D29" s="20">
        <v>0.93247730130135442</v>
      </c>
      <c r="E29" s="20">
        <v>5.9558931717563844E-2</v>
      </c>
      <c r="F29" s="20">
        <v>9.8880916642979621E-5</v>
      </c>
      <c r="G29" s="20">
        <v>3.1117739378571261E-5</v>
      </c>
      <c r="H29" s="20">
        <v>0</v>
      </c>
      <c r="I29" s="20">
        <v>5.9428933061542295E-2</v>
      </c>
      <c r="J29" s="20">
        <v>4.0201165305592386E-5</v>
      </c>
      <c r="K29" s="20">
        <v>7.9235658157763168E-3</v>
      </c>
      <c r="L29" s="20">
        <v>0</v>
      </c>
    </row>
    <row r="30" spans="1:12">
      <c r="A30" s="2" t="s">
        <v>401</v>
      </c>
      <c r="B30" s="3" t="s">
        <v>402</v>
      </c>
      <c r="D30" s="20">
        <v>0.95356582244451005</v>
      </c>
      <c r="E30" s="20">
        <v>1.8111345807622043E-2</v>
      </c>
      <c r="F30" s="20">
        <v>4.5375862343455904E-3</v>
      </c>
      <c r="G30" s="20">
        <v>9.6099349300789291E-4</v>
      </c>
      <c r="H30" s="20">
        <v>0</v>
      </c>
      <c r="I30" s="20">
        <v>1.261276608026856E-2</v>
      </c>
      <c r="J30" s="20">
        <v>6.1305175857829413E-4</v>
      </c>
      <c r="K30" s="20">
        <v>2.7709779989289657E-2</v>
      </c>
      <c r="L30" s="20">
        <v>0</v>
      </c>
    </row>
    <row r="31" spans="1:12">
      <c r="A31" s="2" t="s">
        <v>299</v>
      </c>
      <c r="B31" s="3" t="s">
        <v>300</v>
      </c>
      <c r="D31" s="20">
        <v>0.99881062114096908</v>
      </c>
      <c r="E31" s="20">
        <v>5.3653880753363971E-4</v>
      </c>
      <c r="F31" s="20">
        <v>7.0885493427405986E-5</v>
      </c>
      <c r="G31" s="20">
        <v>1.595338779526126E-5</v>
      </c>
      <c r="H31" s="20">
        <v>0</v>
      </c>
      <c r="I31" s="20">
        <v>4.4969992631097244E-4</v>
      </c>
      <c r="J31" s="20">
        <v>1.0203308739269956E-5</v>
      </c>
      <c r="K31" s="20">
        <v>6.4263674275791825E-4</v>
      </c>
      <c r="L31" s="20">
        <v>0</v>
      </c>
    </row>
    <row r="32" spans="1:12">
      <c r="A32" s="2" t="s">
        <v>343</v>
      </c>
      <c r="B32" s="3" t="s">
        <v>344</v>
      </c>
      <c r="D32" s="20">
        <v>2.2636893868576711E-3</v>
      </c>
      <c r="E32" s="20">
        <v>0.66769400560197067</v>
      </c>
      <c r="F32" s="20">
        <v>1.3864079803983395E-2</v>
      </c>
      <c r="G32" s="20">
        <v>3.615651843520059E-3</v>
      </c>
      <c r="H32" s="20">
        <v>0</v>
      </c>
      <c r="I32" s="20">
        <v>0.65021427395446718</v>
      </c>
      <c r="J32" s="20">
        <v>2.475989691787547E-3</v>
      </c>
      <c r="K32" s="20">
        <v>0.32756631531938396</v>
      </c>
      <c r="L32" s="20">
        <v>0</v>
      </c>
    </row>
    <row r="33" spans="1:12">
      <c r="A33" s="2" t="s">
        <v>345</v>
      </c>
      <c r="B33" s="3" t="s">
        <v>346</v>
      </c>
      <c r="D33" s="20">
        <v>8.9213151209663986E-5</v>
      </c>
      <c r="E33" s="20">
        <v>0.76816808428155259</v>
      </c>
      <c r="F33" s="20">
        <v>6.1136855111030017E-3</v>
      </c>
      <c r="G33" s="20">
        <v>1.7131628580003048E-3</v>
      </c>
      <c r="H33" s="20">
        <v>0</v>
      </c>
      <c r="I33" s="20">
        <v>0.76034123591244929</v>
      </c>
      <c r="J33" s="20">
        <v>1.3274200470960143E-3</v>
      </c>
      <c r="K33" s="20">
        <v>0.23041528252014171</v>
      </c>
      <c r="L33" s="20">
        <v>0</v>
      </c>
    </row>
    <row r="34" spans="1:12">
      <c r="A34" s="2" t="s">
        <v>347</v>
      </c>
      <c r="B34" s="3" t="s">
        <v>348</v>
      </c>
      <c r="D34" s="20">
        <v>1.3324686886588577E-4</v>
      </c>
      <c r="E34" s="20">
        <v>0.41583351844879674</v>
      </c>
      <c r="F34" s="20">
        <v>7.7505268894836582E-2</v>
      </c>
      <c r="G34" s="20">
        <v>1.6905451834349373E-2</v>
      </c>
      <c r="H34" s="20">
        <v>0</v>
      </c>
      <c r="I34" s="20">
        <v>0.3214227977196108</v>
      </c>
      <c r="J34" s="20">
        <v>1.078937263944507E-2</v>
      </c>
      <c r="K34" s="20">
        <v>0.57324386204289235</v>
      </c>
      <c r="L34" s="20">
        <v>0</v>
      </c>
    </row>
    <row r="35" spans="1:12">
      <c r="A35" s="2" t="s">
        <v>349</v>
      </c>
      <c r="B35" s="3" t="s">
        <v>350</v>
      </c>
      <c r="D35" s="20">
        <v>4.9124296421631089E-2</v>
      </c>
      <c r="E35" s="20">
        <v>0.38038894803266443</v>
      </c>
      <c r="F35" s="20">
        <v>0.25702215356129338</v>
      </c>
      <c r="G35" s="20">
        <v>4.6202567856997084E-2</v>
      </c>
      <c r="H35" s="20">
        <v>0</v>
      </c>
      <c r="I35" s="20">
        <v>7.7164226614373999E-2</v>
      </c>
      <c r="J35" s="20">
        <v>2.9758898373914516E-2</v>
      </c>
      <c r="K35" s="20">
        <v>0.54072785717179006</v>
      </c>
      <c r="L35" s="20">
        <v>0</v>
      </c>
    </row>
    <row r="36" spans="1:12">
      <c r="A36" s="2" t="s">
        <v>351</v>
      </c>
      <c r="B36" s="3" t="s">
        <v>352</v>
      </c>
      <c r="D36" s="20">
        <v>1.5768152719294038E-3</v>
      </c>
      <c r="E36" s="20">
        <v>0.40199606175250968</v>
      </c>
      <c r="F36" s="20">
        <v>0.26112895601678571</v>
      </c>
      <c r="G36" s="20">
        <v>0.12054538485299598</v>
      </c>
      <c r="H36" s="20">
        <v>0</v>
      </c>
      <c r="I36" s="20">
        <v>2.0321720882727993E-2</v>
      </c>
      <c r="J36" s="20">
        <v>7.8983286312201639E-2</v>
      </c>
      <c r="K36" s="20">
        <v>0.51744383666335914</v>
      </c>
      <c r="L36" s="20">
        <v>0</v>
      </c>
    </row>
    <row r="37" spans="1:12">
      <c r="A37" s="2" t="s">
        <v>353</v>
      </c>
      <c r="B37" s="3" t="s">
        <v>354</v>
      </c>
      <c r="D37" s="20">
        <v>1.1261758542130389E-2</v>
      </c>
      <c r="E37" s="20">
        <v>0.41076404990116744</v>
      </c>
      <c r="F37" s="20">
        <v>0.11576583976804045</v>
      </c>
      <c r="G37" s="20">
        <v>0.29172656737028763</v>
      </c>
      <c r="H37" s="20">
        <v>0</v>
      </c>
      <c r="I37" s="20">
        <v>3.2716427628393693E-3</v>
      </c>
      <c r="J37" s="20">
        <v>0.19524762230016976</v>
      </c>
      <c r="K37" s="20">
        <v>0.38272656925653242</v>
      </c>
      <c r="L37" s="20">
        <v>0</v>
      </c>
    </row>
    <row r="38" spans="1:12">
      <c r="A38" s="2" t="s">
        <v>355</v>
      </c>
      <c r="B38" s="3" t="s">
        <v>356</v>
      </c>
      <c r="D38" s="20">
        <v>5.8883077280139204E-4</v>
      </c>
      <c r="E38" s="20">
        <v>0.39257313240931452</v>
      </c>
      <c r="F38" s="20">
        <v>0.20628360543229554</v>
      </c>
      <c r="G38" s="20">
        <v>0.17512988753841716</v>
      </c>
      <c r="H38" s="20">
        <v>0</v>
      </c>
      <c r="I38" s="20">
        <v>1.1159639438601841E-2</v>
      </c>
      <c r="J38" s="20">
        <v>0.1156215900053412</v>
      </c>
      <c r="K38" s="20">
        <v>0.4912164468125429</v>
      </c>
      <c r="L38" s="20">
        <v>0</v>
      </c>
    </row>
    <row r="39" spans="1:12">
      <c r="A39" s="2" t="s">
        <v>357</v>
      </c>
      <c r="B39" s="3" t="s">
        <v>358</v>
      </c>
      <c r="D39" s="20">
        <v>0.10889335577457011</v>
      </c>
      <c r="E39" s="20">
        <v>0.35470757967419664</v>
      </c>
      <c r="F39" s="20">
        <v>0.21901587575526976</v>
      </c>
      <c r="G39" s="20">
        <v>0.12032923397546723</v>
      </c>
      <c r="H39" s="20">
        <v>0</v>
      </c>
      <c r="I39" s="20">
        <v>1.5362469943459663E-2</v>
      </c>
      <c r="J39" s="20">
        <v>7.9012100650447115E-2</v>
      </c>
      <c r="K39" s="20">
        <v>0.45738696390078626</v>
      </c>
      <c r="L39" s="20">
        <v>0</v>
      </c>
    </row>
    <row r="40" spans="1:12">
      <c r="A40" s="2" t="s">
        <v>359</v>
      </c>
      <c r="B40" s="3" t="s">
        <v>360</v>
      </c>
      <c r="D40" s="20">
        <v>5.8883077280139204E-4</v>
      </c>
      <c r="E40" s="20">
        <v>0.39257313240931452</v>
      </c>
      <c r="F40" s="20">
        <v>0.20628360543229554</v>
      </c>
      <c r="G40" s="20">
        <v>0.17512988753841716</v>
      </c>
      <c r="H40" s="20">
        <v>0</v>
      </c>
      <c r="I40" s="20">
        <v>1.1159639438601841E-2</v>
      </c>
      <c r="J40" s="20">
        <v>0.1156215900053412</v>
      </c>
      <c r="K40" s="20">
        <v>0.4912164468125429</v>
      </c>
      <c r="L40" s="20">
        <v>0</v>
      </c>
    </row>
    <row r="41" spans="1:12">
      <c r="A41" s="2" t="s">
        <v>313</v>
      </c>
      <c r="B41" s="3" t="s">
        <v>314</v>
      </c>
      <c r="D41" s="20">
        <v>5.8293734444314958E-8</v>
      </c>
      <c r="E41" s="20">
        <v>0.99940199951365916</v>
      </c>
      <c r="F41" s="20">
        <v>4.7305724850928476E-3</v>
      </c>
      <c r="G41" s="20">
        <v>1.1257300294266527E-6</v>
      </c>
      <c r="H41" s="20">
        <v>0</v>
      </c>
      <c r="I41" s="20">
        <v>0.99467030129853684</v>
      </c>
      <c r="J41" s="20">
        <v>4.1063826605164302E-4</v>
      </c>
      <c r="K41" s="20">
        <v>1.8730392655492864E-4</v>
      </c>
      <c r="L41" s="20">
        <v>0</v>
      </c>
    </row>
    <row r="42" spans="1:12">
      <c r="A42" s="2" t="s">
        <v>315</v>
      </c>
      <c r="B42" s="3" t="s">
        <v>316</v>
      </c>
      <c r="D42" s="20">
        <v>1.6274445567364702E-2</v>
      </c>
      <c r="E42" s="20">
        <v>0.41158300700395478</v>
      </c>
      <c r="F42" s="20">
        <v>0.11014896405163906</v>
      </c>
      <c r="G42" s="20">
        <v>0.2984530162473884</v>
      </c>
      <c r="H42" s="20">
        <v>0</v>
      </c>
      <c r="I42" s="20">
        <v>2.9810267049273382E-3</v>
      </c>
      <c r="J42" s="20">
        <v>0.19993206238134334</v>
      </c>
      <c r="K42" s="20">
        <v>0.37221048504733706</v>
      </c>
      <c r="L42" s="20">
        <v>0</v>
      </c>
    </row>
    <row r="43" spans="1:12">
      <c r="A43" s="2" t="s">
        <v>317</v>
      </c>
      <c r="B43" s="3" t="s">
        <v>318</v>
      </c>
      <c r="D43" s="20">
        <v>6.0943824286545953E-12</v>
      </c>
      <c r="E43" s="20">
        <v>0.53309634592945865</v>
      </c>
      <c r="F43" s="20">
        <v>3.4705948504091116E-2</v>
      </c>
      <c r="G43" s="20">
        <v>8.2851327891152928E-3</v>
      </c>
      <c r="H43" s="20">
        <v>0</v>
      </c>
      <c r="I43" s="20">
        <v>0.4901052646362522</v>
      </c>
      <c r="J43" s="20">
        <v>5.3607227650669994E-3</v>
      </c>
      <c r="K43" s="20">
        <v>0.4615429312993799</v>
      </c>
      <c r="L43" s="20">
        <v>0</v>
      </c>
    </row>
    <row r="44" spans="1:12">
      <c r="A44" s="2" t="s">
        <v>307</v>
      </c>
      <c r="B44" s="3" t="s">
        <v>308</v>
      </c>
      <c r="D44" s="20">
        <v>5.3699608738890328E-4</v>
      </c>
      <c r="E44" s="20">
        <v>0.4212638570102073</v>
      </c>
      <c r="F44" s="20">
        <v>0.30244425283433252</v>
      </c>
      <c r="G44" s="20">
        <v>8.7768947743288667E-2</v>
      </c>
      <c r="H44" s="20">
        <v>0</v>
      </c>
      <c r="I44" s="20">
        <v>3.1050656432586091E-2</v>
      </c>
      <c r="J44" s="20">
        <v>5.7180193445729853E-2</v>
      </c>
      <c r="K44" s="20">
        <v>0.52101895345667404</v>
      </c>
      <c r="L44" s="20">
        <v>0</v>
      </c>
    </row>
    <row r="45" spans="1:12">
      <c r="A45" s="2" t="s">
        <v>319</v>
      </c>
      <c r="B45" s="3" t="s">
        <v>320</v>
      </c>
      <c r="D45" s="20">
        <v>5.6798574756620634E-5</v>
      </c>
      <c r="E45" s="20">
        <v>0.44625785530321815</v>
      </c>
      <c r="F45" s="20">
        <v>7.5250892126111149E-2</v>
      </c>
      <c r="G45" s="20">
        <v>0.36957893392862584</v>
      </c>
      <c r="H45" s="20">
        <v>0</v>
      </c>
      <c r="I45" s="20">
        <v>1.4280292484811512E-3</v>
      </c>
      <c r="J45" s="20">
        <v>0.24944287564062734</v>
      </c>
      <c r="K45" s="20">
        <v>0.30424247048139808</v>
      </c>
      <c r="L45" s="20">
        <v>0</v>
      </c>
    </row>
    <row r="46" spans="1:12">
      <c r="A46" s="2" t="s">
        <v>321</v>
      </c>
      <c r="B46" s="3" t="s">
        <v>322</v>
      </c>
      <c r="D46" s="20">
        <v>7.9917341015966307E-5</v>
      </c>
      <c r="E46" s="20">
        <v>0.42206223326686637</v>
      </c>
      <c r="F46" s="20">
        <v>0.10600228831095561</v>
      </c>
      <c r="G46" s="20">
        <v>0.31333636148236121</v>
      </c>
      <c r="H46" s="20">
        <v>0</v>
      </c>
      <c r="I46" s="20">
        <v>2.7235834735495411E-3</v>
      </c>
      <c r="J46" s="20">
        <v>0.21013262083865425</v>
      </c>
      <c r="K46" s="20">
        <v>0.3677252285534634</v>
      </c>
      <c r="L46" s="20">
        <v>0</v>
      </c>
    </row>
    <row r="47" spans="1:12">
      <c r="A47" s="2" t="s">
        <v>323</v>
      </c>
      <c r="B47" s="3" t="s">
        <v>324</v>
      </c>
      <c r="D47" s="20">
        <v>7.1936772447223519E-4</v>
      </c>
      <c r="E47" s="20">
        <v>0.39959622782162918</v>
      </c>
      <c r="F47" s="20">
        <v>0.15375355410089619</v>
      </c>
      <c r="G47" s="20">
        <v>0.24006050695542366</v>
      </c>
      <c r="H47" s="20">
        <v>0</v>
      </c>
      <c r="I47" s="20">
        <v>5.7821667653093298E-3</v>
      </c>
      <c r="J47" s="20">
        <v>0.1597039849611952</v>
      </c>
      <c r="K47" s="20">
        <v>0.43998041949270339</v>
      </c>
      <c r="L47" s="20">
        <v>0</v>
      </c>
    </row>
    <row r="48" spans="1:12">
      <c r="A48" s="2" t="s">
        <v>325</v>
      </c>
      <c r="B48" s="3" t="s">
        <v>326</v>
      </c>
      <c r="D48" s="20">
        <v>2.801300679718345E-4</v>
      </c>
      <c r="E48" s="20">
        <v>0.3620440692559076</v>
      </c>
      <c r="F48" s="20">
        <v>0.16505699780822711</v>
      </c>
      <c r="G48" s="20">
        <v>3.2413766325144366E-2</v>
      </c>
      <c r="H48" s="20">
        <v>0</v>
      </c>
      <c r="I48" s="20">
        <v>0.1645733051225361</v>
      </c>
      <c r="J48" s="20">
        <v>2.0736939484091076E-2</v>
      </c>
      <c r="K48" s="20">
        <v>0.61693886119202934</v>
      </c>
      <c r="L48" s="20">
        <v>0</v>
      </c>
    </row>
    <row r="49" spans="1:12">
      <c r="A49" s="2" t="s">
        <v>275</v>
      </c>
      <c r="B49" s="3" t="s">
        <v>276</v>
      </c>
      <c r="D49" s="20">
        <v>6.8714081710437891E-6</v>
      </c>
      <c r="E49" s="20">
        <v>0.41724107189410442</v>
      </c>
      <c r="F49" s="20">
        <v>0.29506653849394843</v>
      </c>
      <c r="G49" s="20">
        <v>9.3414763204936482E-2</v>
      </c>
      <c r="H49" s="20">
        <v>0</v>
      </c>
      <c r="I49" s="20">
        <v>2.8759770195219508E-2</v>
      </c>
      <c r="J49" s="20">
        <v>6.0923132401560463E-2</v>
      </c>
      <c r="K49" s="20">
        <v>0.52182892429616423</v>
      </c>
      <c r="L49" s="20">
        <v>0</v>
      </c>
    </row>
    <row r="50" spans="1:12">
      <c r="A50" s="2" t="s">
        <v>327</v>
      </c>
      <c r="B50" s="3" t="s">
        <v>328</v>
      </c>
      <c r="D50" s="20">
        <v>3.5539148072707949E-4</v>
      </c>
      <c r="E50" s="20">
        <v>0.41073603911061729</v>
      </c>
      <c r="F50" s="20">
        <v>0.28221573728101401</v>
      </c>
      <c r="G50" s="20">
        <v>0.10329440138684233</v>
      </c>
      <c r="H50" s="20">
        <v>0</v>
      </c>
      <c r="I50" s="20">
        <v>2.5225900442760962E-2</v>
      </c>
      <c r="J50" s="20">
        <v>6.7486494245887221E-2</v>
      </c>
      <c r="K50" s="20">
        <v>0.52142207516276839</v>
      </c>
      <c r="L50" s="20">
        <v>0</v>
      </c>
    </row>
    <row r="51" spans="1:12">
      <c r="A51" s="2" t="s">
        <v>329</v>
      </c>
      <c r="B51" s="3" t="s">
        <v>330</v>
      </c>
      <c r="D51" s="20">
        <v>1.7022053347651408E-4</v>
      </c>
      <c r="E51" s="20">
        <v>0.36998369446600615</v>
      </c>
      <c r="F51" s="20">
        <v>0.20801093309508387</v>
      </c>
      <c r="G51" s="20">
        <v>3.929901973134569E-2</v>
      </c>
      <c r="H51" s="20">
        <v>0</v>
      </c>
      <c r="I51" s="20">
        <v>0.12267374163957658</v>
      </c>
      <c r="J51" s="20">
        <v>2.5209602450498487E-2</v>
      </c>
      <c r="K51" s="20">
        <v>0.60463648255001878</v>
      </c>
      <c r="L51" s="20">
        <v>0</v>
      </c>
    </row>
    <row r="52" spans="1:12">
      <c r="A52" s="2" t="s">
        <v>277</v>
      </c>
      <c r="B52" s="3" t="s">
        <v>278</v>
      </c>
      <c r="D52" s="20">
        <v>4.422993395923396E-4</v>
      </c>
      <c r="E52" s="20">
        <v>0.36210372984952555</v>
      </c>
      <c r="F52" s="20">
        <v>0.16888477741641561</v>
      </c>
      <c r="G52" s="20">
        <v>3.3043501460355382E-2</v>
      </c>
      <c r="H52" s="20">
        <v>0</v>
      </c>
      <c r="I52" s="20">
        <v>0.16017545097275457</v>
      </c>
      <c r="J52" s="20">
        <v>2.1144712645056421E-2</v>
      </c>
      <c r="K52" s="20">
        <v>0.61630925816582571</v>
      </c>
      <c r="L52" s="20">
        <v>0</v>
      </c>
    </row>
    <row r="53" spans="1:12">
      <c r="A53" s="2" t="s">
        <v>331</v>
      </c>
      <c r="B53" s="3" t="s">
        <v>332</v>
      </c>
      <c r="D53" s="20">
        <v>2.3379295839371641E-4</v>
      </c>
      <c r="E53" s="20">
        <v>0.39703548520926008</v>
      </c>
      <c r="F53" s="20">
        <v>0.24177179864328116</v>
      </c>
      <c r="G53" s="20">
        <v>0.1387398423823574</v>
      </c>
      <c r="H53" s="20">
        <v>0</v>
      </c>
      <c r="I53" s="20">
        <v>1.6523844183621513E-2</v>
      </c>
      <c r="J53" s="20">
        <v>9.1150404083062284E-2</v>
      </c>
      <c r="K53" s="20">
        <v>0.51158031774928392</v>
      </c>
      <c r="L53" s="20">
        <v>0</v>
      </c>
    </row>
    <row r="54" spans="1:12">
      <c r="A54" s="2" t="s">
        <v>333</v>
      </c>
      <c r="B54" s="3" t="s">
        <v>334</v>
      </c>
      <c r="D54" s="20">
        <v>3.8824113210283389E-7</v>
      </c>
      <c r="E54" s="20">
        <v>0.41394956837847147</v>
      </c>
      <c r="F54" s="20">
        <v>0.28871926243056717</v>
      </c>
      <c r="G54" s="20">
        <v>9.8281395625490903E-2</v>
      </c>
      <c r="H54" s="20">
        <v>0</v>
      </c>
      <c r="I54" s="20">
        <v>2.694891032241338E-2</v>
      </c>
      <c r="J54" s="20">
        <v>6.4154070732783577E-2</v>
      </c>
      <c r="K54" s="20">
        <v>0.521895972647613</v>
      </c>
      <c r="L54" s="20">
        <v>0</v>
      </c>
    </row>
    <row r="55" spans="1:12">
      <c r="A55" s="2" t="s">
        <v>335</v>
      </c>
      <c r="B55" s="3" t="s">
        <v>336</v>
      </c>
      <c r="D55" s="20">
        <v>1.8643124340926552E-3</v>
      </c>
      <c r="E55" s="20">
        <v>0.3984512283933952</v>
      </c>
      <c r="F55" s="20">
        <v>0.15595270464769048</v>
      </c>
      <c r="G55" s="20">
        <v>0.23653121703335575</v>
      </c>
      <c r="H55" s="20">
        <v>0</v>
      </c>
      <c r="I55" s="20">
        <v>5.967306712348964E-3</v>
      </c>
      <c r="J55" s="20">
        <v>0.15729874198871011</v>
      </c>
      <c r="K55" s="20">
        <v>0.44238571718380199</v>
      </c>
      <c r="L55" s="20">
        <v>0</v>
      </c>
    </row>
    <row r="56" spans="1:12">
      <c r="A56" s="2" t="s">
        <v>337</v>
      </c>
      <c r="B56" s="3" t="s">
        <v>338</v>
      </c>
      <c r="D56" s="20">
        <v>1.3776484202191727E-4</v>
      </c>
      <c r="E56" s="20">
        <v>0.41998178373456035</v>
      </c>
      <c r="F56" s="20">
        <v>0.30006311499272059</v>
      </c>
      <c r="G56" s="20">
        <v>8.9641304672651093E-2</v>
      </c>
      <c r="H56" s="20">
        <v>0</v>
      </c>
      <c r="I56" s="20">
        <v>3.027736406918867E-2</v>
      </c>
      <c r="J56" s="20">
        <v>5.8420692721582582E-2</v>
      </c>
      <c r="K56" s="20">
        <v>0.52145975870183503</v>
      </c>
      <c r="L56" s="20">
        <v>0</v>
      </c>
    </row>
    <row r="57" spans="1:12">
      <c r="A57" s="2" t="s">
        <v>279</v>
      </c>
      <c r="B57" s="3" t="s">
        <v>280</v>
      </c>
      <c r="D57" s="20">
        <v>7.8506669363003663E-3</v>
      </c>
      <c r="E57" s="20">
        <v>0.36046255096501228</v>
      </c>
      <c r="F57" s="20">
        <v>0.14722473041299047</v>
      </c>
      <c r="G57" s="20">
        <v>2.9395193482889114E-2</v>
      </c>
      <c r="H57" s="20">
        <v>0</v>
      </c>
      <c r="I57" s="20">
        <v>0.18384262706913268</v>
      </c>
      <c r="J57" s="20">
        <v>1.8787724370108012E-2</v>
      </c>
      <c r="K57" s="20">
        <v>0.61289905772857944</v>
      </c>
      <c r="L57" s="20">
        <v>0</v>
      </c>
    </row>
    <row r="58" spans="1:12">
      <c r="A58" s="2" t="s">
        <v>339</v>
      </c>
      <c r="B58" s="3" t="s">
        <v>340</v>
      </c>
      <c r="D58" s="20">
        <v>1.3598051141084334E-6</v>
      </c>
      <c r="E58" s="20">
        <v>0.41331738261232742</v>
      </c>
      <c r="F58" s="20">
        <v>0.28744243621877402</v>
      </c>
      <c r="G58" s="20">
        <v>9.9276496061102976E-2</v>
      </c>
      <c r="H58" s="20">
        <v>0</v>
      </c>
      <c r="I58" s="20">
        <v>2.6598450332450452E-2</v>
      </c>
      <c r="J58" s="20">
        <v>6.4815176032720648E-2</v>
      </c>
      <c r="K58" s="20">
        <v>0.52186608154983782</v>
      </c>
      <c r="L58" s="20">
        <v>0</v>
      </c>
    </row>
    <row r="59" spans="1:12">
      <c r="A59" s="2" t="s">
        <v>281</v>
      </c>
      <c r="B59" s="3" t="s">
        <v>282</v>
      </c>
      <c r="D59" s="20">
        <v>6.6969851505122707E-5</v>
      </c>
      <c r="E59" s="20">
        <v>0.36223969819579416</v>
      </c>
      <c r="F59" s="20">
        <v>0.16894819290209645</v>
      </c>
      <c r="G59" s="20">
        <v>3.3055909148755488E-2</v>
      </c>
      <c r="H59" s="20">
        <v>0</v>
      </c>
      <c r="I59" s="20">
        <v>0.16023559614494223</v>
      </c>
      <c r="J59" s="20">
        <v>2.1152652390973616E-2</v>
      </c>
      <c r="K59" s="20">
        <v>0.61654067956172698</v>
      </c>
      <c r="L59" s="20">
        <v>0</v>
      </c>
    </row>
    <row r="60" spans="1:12">
      <c r="A60" s="2" t="s">
        <v>341</v>
      </c>
      <c r="B60" s="3" t="s">
        <v>342</v>
      </c>
      <c r="D60" s="20">
        <v>1.959508105546722E-3</v>
      </c>
      <c r="E60" s="20">
        <v>0.39938260905376938</v>
      </c>
      <c r="F60" s="20">
        <v>0.25317526846673383</v>
      </c>
      <c r="G60" s="20">
        <v>0.12750195225418828</v>
      </c>
      <c r="H60" s="20">
        <v>0</v>
      </c>
      <c r="I60" s="20">
        <v>1.870538833284726E-2</v>
      </c>
      <c r="J60" s="20">
        <v>8.363151395011359E-2</v>
      </c>
      <c r="K60" s="20">
        <v>0.5150263688905703</v>
      </c>
      <c r="L60" s="20">
        <v>0</v>
      </c>
    </row>
    <row r="61" spans="1:12">
      <c r="A61" s="2" t="s">
        <v>483</v>
      </c>
      <c r="B61" s="3" t="s">
        <v>484</v>
      </c>
      <c r="D61" s="20">
        <v>1.4078929396754713E-13</v>
      </c>
      <c r="E61" s="20">
        <v>0.6089459360877495</v>
      </c>
      <c r="F61" s="20">
        <v>8.2331615967580291E-2</v>
      </c>
      <c r="G61" s="20">
        <v>1.3717792734930987E-2</v>
      </c>
      <c r="H61" s="20">
        <v>0</v>
      </c>
      <c r="I61" s="20">
        <v>0.51289652738523817</v>
      </c>
      <c r="J61" s="20">
        <v>2.9979523383221188E-2</v>
      </c>
      <c r="K61" s="20">
        <v>0.3610745405288886</v>
      </c>
      <c r="L61" s="20">
        <v>0</v>
      </c>
    </row>
    <row r="62" spans="1:12">
      <c r="A62" s="2" t="s">
        <v>485</v>
      </c>
      <c r="B62" s="3" t="s">
        <v>486</v>
      </c>
      <c r="D62" s="20">
        <v>3.6789837574045909E-7</v>
      </c>
      <c r="E62" s="20">
        <v>0.42350914687620916</v>
      </c>
      <c r="F62" s="20">
        <v>7.2979701943571465E-2</v>
      </c>
      <c r="G62" s="20">
        <v>1.6036058824978123E-2</v>
      </c>
      <c r="H62" s="20">
        <v>0</v>
      </c>
      <c r="I62" s="20">
        <v>0.33449338610765955</v>
      </c>
      <c r="J62" s="20">
        <v>1.0237804223310606E-2</v>
      </c>
      <c r="K62" s="20">
        <v>0.56625268100210446</v>
      </c>
      <c r="L62" s="20">
        <v>0</v>
      </c>
    </row>
    <row r="63" spans="1:12">
      <c r="A63" s="2" t="s">
        <v>487</v>
      </c>
      <c r="B63" s="3" t="s">
        <v>488</v>
      </c>
      <c r="D63" s="20">
        <v>7.3594179122930786E-13</v>
      </c>
      <c r="E63" s="20">
        <v>0.95598045153616396</v>
      </c>
      <c r="F63" s="20">
        <v>3.282371068775462E-3</v>
      </c>
      <c r="G63" s="20">
        <v>4.3309625520487275E-4</v>
      </c>
      <c r="H63" s="20">
        <v>0</v>
      </c>
      <c r="I63" s="20">
        <v>0.95226498421218364</v>
      </c>
      <c r="J63" s="20">
        <v>2.8688643909175492E-3</v>
      </c>
      <c r="K63" s="20">
        <v>4.1150684072182336E-2</v>
      </c>
      <c r="L63" s="20">
        <v>0</v>
      </c>
    </row>
    <row r="64" spans="1:12">
      <c r="A64" s="2" t="s">
        <v>489</v>
      </c>
      <c r="B64" s="3" t="s">
        <v>490</v>
      </c>
      <c r="D64" s="20">
        <v>1.3284806167164554E-14</v>
      </c>
      <c r="E64" s="20">
        <v>0.99524673478924808</v>
      </c>
      <c r="F64" s="20">
        <v>1.2251343773335495E-3</v>
      </c>
      <c r="G64" s="20">
        <v>1.5211116312641759E-5</v>
      </c>
      <c r="H64" s="20">
        <v>0</v>
      </c>
      <c r="I64" s="20">
        <v>0.99400638929560192</v>
      </c>
      <c r="J64" s="20">
        <v>3.7931618178769897E-4</v>
      </c>
      <c r="K64" s="20">
        <v>4.3739490289508654E-3</v>
      </c>
      <c r="L64" s="20">
        <v>0</v>
      </c>
    </row>
    <row r="65" spans="1:12">
      <c r="A65" s="2" t="s">
        <v>491</v>
      </c>
      <c r="B65" s="3" t="s">
        <v>492</v>
      </c>
      <c r="D65" s="20">
        <v>2.1939790778573074E-12</v>
      </c>
      <c r="E65" s="20">
        <v>0.99749472902720915</v>
      </c>
      <c r="F65" s="20">
        <v>1.5905185214325972E-4</v>
      </c>
      <c r="G65" s="20">
        <v>7.0742800986002022E-6</v>
      </c>
      <c r="H65" s="20">
        <v>0</v>
      </c>
      <c r="I65" s="20">
        <v>0.99732860289496728</v>
      </c>
      <c r="J65" s="20">
        <v>5.7252453148675915E-4</v>
      </c>
      <c r="K65" s="20">
        <v>1.9327464391100547E-3</v>
      </c>
      <c r="L65" s="20">
        <v>0</v>
      </c>
    </row>
    <row r="66" spans="1:12">
      <c r="A66" s="2" t="s">
        <v>493</v>
      </c>
      <c r="B66" s="3" t="s">
        <v>494</v>
      </c>
      <c r="D66" s="20">
        <v>3.4559651794044669E-11</v>
      </c>
      <c r="E66" s="20">
        <v>0.95478013482534463</v>
      </c>
      <c r="F66" s="20">
        <v>2.4137957317737838E-2</v>
      </c>
      <c r="G66" s="20">
        <v>6.0494146518859783E-4</v>
      </c>
      <c r="H66" s="20">
        <v>0</v>
      </c>
      <c r="I66" s="20">
        <v>0.93003723604241817</v>
      </c>
      <c r="J66" s="20">
        <v>2.4435058702192296E-2</v>
      </c>
      <c r="K66" s="20">
        <v>2.0784806437903643E-2</v>
      </c>
      <c r="L66" s="20">
        <v>0</v>
      </c>
    </row>
    <row r="67" spans="1:12">
      <c r="A67" s="2" t="s">
        <v>495</v>
      </c>
      <c r="B67" s="3" t="s">
        <v>496</v>
      </c>
      <c r="D67" s="20">
        <v>1.7136443324611227E-12</v>
      </c>
      <c r="E67" s="20">
        <v>0.99729109929961279</v>
      </c>
      <c r="F67" s="20">
        <v>1.3409255116922529E-4</v>
      </c>
      <c r="G67" s="20">
        <v>7.3302635182431552E-6</v>
      </c>
      <c r="H67" s="20">
        <v>0</v>
      </c>
      <c r="I67" s="20">
        <v>0.99714967648492536</v>
      </c>
      <c r="J67" s="20">
        <v>5.3603833227340244E-4</v>
      </c>
      <c r="K67" s="20">
        <v>2.1728623664001023E-3</v>
      </c>
      <c r="L67" s="20">
        <v>0</v>
      </c>
    </row>
    <row r="68" spans="1:12">
      <c r="A68" s="2" t="s">
        <v>497</v>
      </c>
      <c r="B68" s="3" t="s">
        <v>498</v>
      </c>
      <c r="D68" s="20">
        <v>1.5495646846466938E-11</v>
      </c>
      <c r="E68" s="20">
        <v>0.99874143750978917</v>
      </c>
      <c r="F68" s="20">
        <v>1.5945814906081553E-5</v>
      </c>
      <c r="G68" s="20">
        <v>1.230305015637456E-6</v>
      </c>
      <c r="H68" s="20">
        <v>0</v>
      </c>
      <c r="I68" s="20">
        <v>0.99872426138986747</v>
      </c>
      <c r="J68" s="20">
        <v>3.8074256848761001E-4</v>
      </c>
      <c r="K68" s="20">
        <v>8.7781990622773354E-4</v>
      </c>
      <c r="L68" s="20">
        <v>0</v>
      </c>
    </row>
    <row r="69" spans="1:12">
      <c r="A69" s="2" t="s">
        <v>499</v>
      </c>
      <c r="B69" s="3" t="s">
        <v>500</v>
      </c>
      <c r="D69" s="20">
        <v>3.454604982151798E-11</v>
      </c>
      <c r="E69" s="20">
        <v>0.42787797835203045</v>
      </c>
      <c r="F69" s="20">
        <v>0.31286905462852999</v>
      </c>
      <c r="G69" s="20">
        <v>8.0494862947480456E-2</v>
      </c>
      <c r="H69" s="20">
        <v>0</v>
      </c>
      <c r="I69" s="20">
        <v>3.4514060776019997E-2</v>
      </c>
      <c r="J69" s="20">
        <v>5.2364484517802179E-2</v>
      </c>
      <c r="K69" s="20">
        <v>0.51975753709562145</v>
      </c>
      <c r="L69" s="20">
        <v>0</v>
      </c>
    </row>
    <row r="70" spans="1:12">
      <c r="A70" s="2" t="s">
        <v>501</v>
      </c>
      <c r="B70" s="3" t="s">
        <v>411</v>
      </c>
      <c r="D70" s="20">
        <v>2.8549342575008831E-13</v>
      </c>
      <c r="E70" s="20">
        <v>0.99954882320006877</v>
      </c>
      <c r="F70" s="20">
        <v>3.0979209157195567E-3</v>
      </c>
      <c r="G70" s="20">
        <v>2.9441907980574338E-7</v>
      </c>
      <c r="H70" s="20">
        <v>0</v>
      </c>
      <c r="I70" s="20">
        <v>0.9964506078652694</v>
      </c>
      <c r="J70" s="20">
        <v>3.9298274982112067E-4</v>
      </c>
      <c r="K70" s="20">
        <v>5.8194049824678514E-5</v>
      </c>
      <c r="L70" s="20">
        <v>0</v>
      </c>
    </row>
    <row r="71" spans="1:12">
      <c r="A71" s="2" t="s">
        <v>502</v>
      </c>
      <c r="B71" s="3" t="s">
        <v>412</v>
      </c>
      <c r="D71" s="20">
        <v>1.3362923795790259E-8</v>
      </c>
      <c r="E71" s="20">
        <v>0.99949569340917188</v>
      </c>
      <c r="F71" s="20">
        <v>5.9180160814579115E-3</v>
      </c>
      <c r="G71" s="20">
        <v>5.3782681917327917E-7</v>
      </c>
      <c r="H71" s="20">
        <v>0</v>
      </c>
      <c r="I71" s="20">
        <v>0.99357713950089477</v>
      </c>
      <c r="J71" s="20">
        <v>4.2260582561757826E-4</v>
      </c>
      <c r="K71" s="20">
        <v>8.168740228672137E-5</v>
      </c>
      <c r="L71" s="20">
        <v>0</v>
      </c>
    </row>
    <row r="72" spans="1:12">
      <c r="A72" s="2" t="s">
        <v>503</v>
      </c>
      <c r="B72" s="3" t="s">
        <v>413</v>
      </c>
      <c r="D72" s="20">
        <v>1.5684692589603509E-9</v>
      </c>
      <c r="E72" s="20">
        <v>0.94139240078929409</v>
      </c>
      <c r="F72" s="20">
        <v>0.90542034271409988</v>
      </c>
      <c r="G72" s="20">
        <v>4.1582884030873062E-4</v>
      </c>
      <c r="H72" s="20">
        <v>0</v>
      </c>
      <c r="I72" s="20">
        <v>3.5556229234885446E-2</v>
      </c>
      <c r="J72" s="20">
        <v>5.7805869298501733E-2</v>
      </c>
      <c r="K72" s="20">
        <v>8.0172834373487155E-4</v>
      </c>
      <c r="L72" s="20">
        <v>0</v>
      </c>
    </row>
    <row r="73" spans="1:12">
      <c r="A73" s="2" t="s">
        <v>504</v>
      </c>
      <c r="B73" s="3" t="s">
        <v>414</v>
      </c>
      <c r="D73" s="20">
        <v>1.6873027301367052E-9</v>
      </c>
      <c r="E73" s="20">
        <v>0.99380978694075917</v>
      </c>
      <c r="F73" s="20">
        <v>0.72221623332653295</v>
      </c>
      <c r="G73" s="20">
        <v>4.1747608785867162E-5</v>
      </c>
      <c r="H73" s="20">
        <v>0</v>
      </c>
      <c r="I73" s="20">
        <v>0.27155180600544038</v>
      </c>
      <c r="J73" s="20">
        <v>5.6549767039300028E-3</v>
      </c>
      <c r="K73" s="20">
        <v>5.3523466800798974E-4</v>
      </c>
      <c r="L73" s="20">
        <v>0</v>
      </c>
    </row>
    <row r="74" spans="1:12">
      <c r="A74" s="2" t="s">
        <v>505</v>
      </c>
      <c r="B74" s="3" t="s">
        <v>415</v>
      </c>
      <c r="D74" s="20">
        <v>1.6440353957294696E-9</v>
      </c>
      <c r="E74" s="20">
        <v>0.99950583300390017</v>
      </c>
      <c r="F74" s="20">
        <v>5.3577864582447779E-3</v>
      </c>
      <c r="G74" s="20">
        <v>4.8904605443072089E-7</v>
      </c>
      <c r="H74" s="20">
        <v>0</v>
      </c>
      <c r="I74" s="20">
        <v>0.99414755749960093</v>
      </c>
      <c r="J74" s="20">
        <v>4.1681498304199058E-4</v>
      </c>
      <c r="K74" s="20">
        <v>7.7350369022506342E-5</v>
      </c>
      <c r="L74" s="20">
        <v>0</v>
      </c>
    </row>
    <row r="75" spans="1:12">
      <c r="A75" s="2" t="s">
        <v>506</v>
      </c>
      <c r="B75" s="3" t="s">
        <v>416</v>
      </c>
      <c r="D75" s="20">
        <v>6.9302020985586367E-9</v>
      </c>
      <c r="E75" s="20">
        <v>0.99399411112781932</v>
      </c>
      <c r="F75" s="20">
        <v>0.68646774571816449</v>
      </c>
      <c r="G75" s="20">
        <v>4.019615345455224E-5</v>
      </c>
      <c r="H75" s="20">
        <v>0</v>
      </c>
      <c r="I75" s="20">
        <v>0.30748616925620026</v>
      </c>
      <c r="J75" s="20">
        <v>5.4526628925629242E-3</v>
      </c>
      <c r="K75" s="20">
        <v>5.5321904941568322E-4</v>
      </c>
      <c r="L75" s="20">
        <v>0</v>
      </c>
    </row>
    <row r="76" spans="1:12">
      <c r="A76" s="2" t="s">
        <v>507</v>
      </c>
      <c r="B76" s="3" t="s">
        <v>417</v>
      </c>
      <c r="D76" s="20">
        <v>4.4150420235118045E-8</v>
      </c>
      <c r="E76" s="20">
        <v>0.99830416710108927</v>
      </c>
      <c r="F76" s="20">
        <v>0.1091464188478448</v>
      </c>
      <c r="G76" s="20">
        <v>7.9373550017575712E-6</v>
      </c>
      <c r="H76" s="20">
        <v>0</v>
      </c>
      <c r="I76" s="20">
        <v>0.88914981089824274</v>
      </c>
      <c r="J76" s="20">
        <v>1.3419638136952978E-3</v>
      </c>
      <c r="K76" s="20">
        <v>3.5382493479520899E-4</v>
      </c>
      <c r="L76" s="20">
        <v>0</v>
      </c>
    </row>
    <row r="77" spans="1:12">
      <c r="A77" s="2" t="s">
        <v>508</v>
      </c>
      <c r="B77" s="3" t="s">
        <v>418</v>
      </c>
      <c r="D77" s="20">
        <v>5.1614293279484568E-8</v>
      </c>
      <c r="E77" s="20">
        <v>0.99385788694927424</v>
      </c>
      <c r="F77" s="20">
        <v>0.71226996990921698</v>
      </c>
      <c r="G77" s="20">
        <v>4.1448703287617555E-5</v>
      </c>
      <c r="H77" s="20">
        <v>0</v>
      </c>
      <c r="I77" s="20">
        <v>0.28154646833676961</v>
      </c>
      <c r="J77" s="20">
        <v>5.5997814470744771E-3</v>
      </c>
      <c r="K77" s="20">
        <v>5.4227998935805501E-4</v>
      </c>
      <c r="L77" s="20">
        <v>0</v>
      </c>
    </row>
    <row r="78" spans="1:12">
      <c r="A78" s="2" t="s">
        <v>509</v>
      </c>
      <c r="B78" s="3" t="s">
        <v>419</v>
      </c>
      <c r="D78" s="20">
        <v>6.3431708470985184E-9</v>
      </c>
      <c r="E78" s="20">
        <v>0.95052316769926581</v>
      </c>
      <c r="F78" s="20">
        <v>0.91050145786375247</v>
      </c>
      <c r="G78" s="20">
        <v>3.5135408297095754E-4</v>
      </c>
      <c r="H78" s="20">
        <v>0</v>
      </c>
      <c r="I78" s="20">
        <v>3.9670355752542345E-2</v>
      </c>
      <c r="J78" s="20">
        <v>4.8711832650981057E-2</v>
      </c>
      <c r="K78" s="20">
        <v>7.6499330658234463E-4</v>
      </c>
      <c r="L78" s="20">
        <v>0</v>
      </c>
    </row>
    <row r="79" spans="1:12">
      <c r="A79" s="2" t="s">
        <v>510</v>
      </c>
      <c r="B79" s="3" t="s">
        <v>420</v>
      </c>
      <c r="D79" s="20">
        <v>1.5933329046211276E-13</v>
      </c>
      <c r="E79" s="20">
        <v>0.95052331879725971</v>
      </c>
      <c r="F79" s="20">
        <v>0.91050165586237375</v>
      </c>
      <c r="G79" s="20">
        <v>3.5129855558556225E-4</v>
      </c>
      <c r="H79" s="20">
        <v>0</v>
      </c>
      <c r="I79" s="20">
        <v>3.9670364379300355E-2</v>
      </c>
      <c r="J79" s="20">
        <v>4.8711808794204253E-2</v>
      </c>
      <c r="K79" s="20">
        <v>7.6487240837675059E-4</v>
      </c>
      <c r="L79" s="20">
        <v>0</v>
      </c>
    </row>
    <row r="80" spans="1:12">
      <c r="A80" s="2" t="s">
        <v>511</v>
      </c>
      <c r="B80" s="3" t="s">
        <v>421</v>
      </c>
      <c r="D80" s="20">
        <v>7.8024952145186096E-9</v>
      </c>
      <c r="E80" s="20">
        <v>0.99637514620790524</v>
      </c>
      <c r="F80" s="20">
        <v>0.33121328467213079</v>
      </c>
      <c r="G80" s="20">
        <v>2.1660681016569827E-5</v>
      </c>
      <c r="H80" s="20">
        <v>0</v>
      </c>
      <c r="I80" s="20">
        <v>0.66514020085475789</v>
      </c>
      <c r="J80" s="20">
        <v>3.0773452157296334E-3</v>
      </c>
      <c r="K80" s="20">
        <v>5.4750077386990417E-4</v>
      </c>
      <c r="L80" s="20">
        <v>0</v>
      </c>
    </row>
    <row r="81" spans="1:12">
      <c r="A81" s="2" t="s">
        <v>512</v>
      </c>
      <c r="B81" s="3" t="s">
        <v>422</v>
      </c>
      <c r="D81" s="20">
        <v>3.099991251086456E-9</v>
      </c>
      <c r="E81" s="20">
        <v>0.99923972030842456</v>
      </c>
      <c r="F81" s="20">
        <v>2.3574077384148885E-2</v>
      </c>
      <c r="G81" s="20">
        <v>1.9266333071951243E-6</v>
      </c>
      <c r="H81" s="20">
        <v>0</v>
      </c>
      <c r="I81" s="20">
        <v>0.97566371629096849</v>
      </c>
      <c r="J81" s="20">
        <v>5.9435164192519943E-4</v>
      </c>
      <c r="K81" s="20">
        <v>1.6592494965895834E-4</v>
      </c>
      <c r="L81" s="20">
        <v>0</v>
      </c>
    </row>
    <row r="82" spans="1:12">
      <c r="A82" s="2" t="s">
        <v>513</v>
      </c>
      <c r="B82" s="3" t="s">
        <v>423</v>
      </c>
      <c r="D82" s="20">
        <v>9.9291056536389899E-13</v>
      </c>
      <c r="E82" s="20">
        <v>0.99881068136774931</v>
      </c>
      <c r="F82" s="20">
        <v>6.0142897449025103E-2</v>
      </c>
      <c r="G82" s="20">
        <v>4.5738294979618067E-6</v>
      </c>
      <c r="H82" s="20">
        <v>0</v>
      </c>
      <c r="I82" s="20">
        <v>0.93866321008922626</v>
      </c>
      <c r="J82" s="20">
        <v>9.2398481613377957E-4</v>
      </c>
      <c r="K82" s="20">
        <v>2.6533381512411635E-4</v>
      </c>
      <c r="L82" s="20">
        <v>0</v>
      </c>
    </row>
    <row r="83" spans="1:12">
      <c r="A83" s="2" t="s">
        <v>514</v>
      </c>
      <c r="B83" s="3" t="s">
        <v>424</v>
      </c>
      <c r="D83" s="20">
        <v>2.1953041190897128E-9</v>
      </c>
      <c r="E83" s="20">
        <v>0.9076377363084458</v>
      </c>
      <c r="F83" s="20">
        <v>0.88098584169720318</v>
      </c>
      <c r="G83" s="20">
        <v>6.5303023311123341E-4</v>
      </c>
      <c r="H83" s="20">
        <v>0</v>
      </c>
      <c r="I83" s="20">
        <v>2.599886437813136E-2</v>
      </c>
      <c r="J83" s="20">
        <v>9.1461010166158652E-2</v>
      </c>
      <c r="K83" s="20">
        <v>9.012513300915093E-4</v>
      </c>
      <c r="L83" s="20">
        <v>0</v>
      </c>
    </row>
    <row r="84" spans="1:12">
      <c r="A84" s="2" t="s">
        <v>403</v>
      </c>
      <c r="B84" s="3" t="s">
        <v>404</v>
      </c>
      <c r="D84" s="20">
        <v>6.7496506062992386E-44</v>
      </c>
      <c r="E84" s="20">
        <v>0.48752855870598699</v>
      </c>
      <c r="F84" s="20">
        <v>4.659673715924989E-2</v>
      </c>
      <c r="G84" s="20">
        <v>1.0780801818247386E-2</v>
      </c>
      <c r="H84" s="20">
        <v>0</v>
      </c>
      <c r="I84" s="20">
        <v>0.43015101972848974</v>
      </c>
      <c r="J84" s="20">
        <v>6.9219320957543953E-3</v>
      </c>
      <c r="K84" s="20">
        <v>0.5055495091982587</v>
      </c>
      <c r="L84" s="20">
        <v>0</v>
      </c>
    </row>
    <row r="85" spans="1:12">
      <c r="A85" s="2" t="s">
        <v>405</v>
      </c>
      <c r="B85" s="3" t="s">
        <v>406</v>
      </c>
      <c r="D85" s="20">
        <v>3.7791581935185063E-8</v>
      </c>
      <c r="E85" s="20">
        <v>0.36647652028075589</v>
      </c>
      <c r="F85" s="20">
        <v>0.21675143014893389</v>
      </c>
      <c r="G85" s="20">
        <v>1.1331457232563555E-2</v>
      </c>
      <c r="H85" s="20">
        <v>0</v>
      </c>
      <c r="I85" s="20">
        <v>0.13839363289925846</v>
      </c>
      <c r="J85" s="20">
        <v>0.59088528785758376</v>
      </c>
      <c r="K85" s="20">
        <v>4.2638154070078281E-2</v>
      </c>
      <c r="L85" s="20">
        <v>0</v>
      </c>
    </row>
    <row r="86" spans="1:12">
      <c r="A86" s="2" t="s">
        <v>407</v>
      </c>
      <c r="B86" s="3" t="s">
        <v>408</v>
      </c>
      <c r="D86" s="20">
        <v>1.2461307107456017E-4</v>
      </c>
      <c r="E86" s="20">
        <v>0.43898494128087084</v>
      </c>
      <c r="F86" s="20">
        <v>8.3317803887499958E-2</v>
      </c>
      <c r="G86" s="20">
        <v>0.35394303417006434</v>
      </c>
      <c r="H86" s="20">
        <v>0</v>
      </c>
      <c r="I86" s="20">
        <v>1.7241032233065679E-3</v>
      </c>
      <c r="J86" s="20">
        <v>0.23845260792324405</v>
      </c>
      <c r="K86" s="20">
        <v>0.32243783772481055</v>
      </c>
      <c r="L86" s="20">
        <v>0</v>
      </c>
    </row>
    <row r="87" spans="1:12">
      <c r="A87" s="2" t="s">
        <v>409</v>
      </c>
      <c r="B87" s="3" t="s">
        <v>410</v>
      </c>
      <c r="D87" s="20">
        <v>1.6516502737242033E-5</v>
      </c>
      <c r="E87" s="20">
        <v>0.47654685275203512</v>
      </c>
      <c r="F87" s="20">
        <v>4.8060945296198233E-2</v>
      </c>
      <c r="G87" s="20">
        <v>0.42784638211450227</v>
      </c>
      <c r="H87" s="20">
        <v>0</v>
      </c>
      <c r="I87" s="20">
        <v>6.3952534133464788E-4</v>
      </c>
      <c r="J87" s="20">
        <v>0.29094865588738783</v>
      </c>
      <c r="K87" s="20">
        <v>0.2324879748578399</v>
      </c>
      <c r="L87" s="20">
        <v>0</v>
      </c>
    </row>
    <row r="88" spans="1:12">
      <c r="A88" s="2" t="s">
        <v>301</v>
      </c>
      <c r="B88" s="3" t="s">
        <v>302</v>
      </c>
      <c r="D88" s="20">
        <v>2.1747525241942789E-6</v>
      </c>
      <c r="E88" s="20">
        <v>0.51461225075393235</v>
      </c>
      <c r="F88" s="20">
        <v>2.3762058376595972E-2</v>
      </c>
      <c r="G88" s="20">
        <v>0.49065882429359498</v>
      </c>
      <c r="H88" s="20">
        <v>0</v>
      </c>
      <c r="I88" s="20">
        <v>1.9136808374138438E-4</v>
      </c>
      <c r="J88" s="20">
        <v>0.33723878495354792</v>
      </c>
      <c r="K88" s="20">
        <v>0.14814678953999549</v>
      </c>
      <c r="L88" s="20">
        <v>0</v>
      </c>
    </row>
    <row r="89" spans="1:12">
      <c r="A89" s="2" t="s">
        <v>303</v>
      </c>
      <c r="B89" s="3" t="s">
        <v>304</v>
      </c>
      <c r="D89" s="20">
        <v>1.7714622651581514E-13</v>
      </c>
      <c r="E89" s="20">
        <v>5.7397157819663779E-2</v>
      </c>
      <c r="F89" s="20">
        <v>1.5560692273306665E-2</v>
      </c>
      <c r="G89" s="20">
        <v>4.0470166404229811E-2</v>
      </c>
      <c r="H89" s="20">
        <v>0</v>
      </c>
      <c r="I89" s="20">
        <v>1.3662991421273031E-3</v>
      </c>
      <c r="J89" s="20">
        <v>0.92553228798639542</v>
      </c>
      <c r="K89" s="20">
        <v>1.7070554193763621E-2</v>
      </c>
      <c r="L89" s="20">
        <v>0</v>
      </c>
    </row>
    <row r="90" spans="1:12">
      <c r="A90" s="2" t="s">
        <v>425</v>
      </c>
      <c r="B90" s="3" t="s">
        <v>426</v>
      </c>
      <c r="D90" s="20">
        <v>1.598122541272375E-13</v>
      </c>
      <c r="E90" s="20">
        <v>0.97457706864199078</v>
      </c>
      <c r="F90" s="20">
        <v>9.1406341373872447E-5</v>
      </c>
      <c r="G90" s="20">
        <v>3.069033388430938E-5</v>
      </c>
      <c r="H90" s="20">
        <v>0</v>
      </c>
      <c r="I90" s="20">
        <v>0.97445497196673259</v>
      </c>
      <c r="J90" s="20">
        <v>3.6678692847117833E-4</v>
      </c>
      <c r="K90" s="20">
        <v>2.5056144429378157E-2</v>
      </c>
      <c r="L90" s="20">
        <v>0</v>
      </c>
    </row>
    <row r="91" spans="1:12">
      <c r="A91" s="2" t="s">
        <v>427</v>
      </c>
      <c r="B91" s="3" t="s">
        <v>428</v>
      </c>
      <c r="D91" s="20">
        <v>8.7715692529724901E-5</v>
      </c>
      <c r="E91" s="20">
        <v>0.77270222464369587</v>
      </c>
      <c r="F91" s="20">
        <v>5.8526359607243188E-3</v>
      </c>
      <c r="G91" s="20">
        <v>1.6460653264496741E-3</v>
      </c>
      <c r="H91" s="20">
        <v>0</v>
      </c>
      <c r="I91" s="20">
        <v>0.76520352335652186</v>
      </c>
      <c r="J91" s="20">
        <v>1.2874492878236768E-3</v>
      </c>
      <c r="K91" s="20">
        <v>0.22592261037595071</v>
      </c>
      <c r="L91" s="20">
        <v>0</v>
      </c>
    </row>
    <row r="92" spans="1:12">
      <c r="A92" s="2" t="s">
        <v>429</v>
      </c>
      <c r="B92" s="3" t="s">
        <v>430</v>
      </c>
      <c r="D92" s="20">
        <v>1.0533279560374607E-3</v>
      </c>
      <c r="E92" s="20">
        <v>0.38695963768252428</v>
      </c>
      <c r="F92" s="20">
        <v>0.10037783530853915</v>
      </c>
      <c r="G92" s="20">
        <v>2.1180362125631354E-2</v>
      </c>
      <c r="H92" s="20">
        <v>0</v>
      </c>
      <c r="I92" s="20">
        <v>0.26540144024835377</v>
      </c>
      <c r="J92" s="20">
        <v>1.3512036822277602E-2</v>
      </c>
      <c r="K92" s="20">
        <v>0.59847499753916078</v>
      </c>
      <c r="L92" s="20">
        <v>0</v>
      </c>
    </row>
    <row r="93" spans="1:12">
      <c r="A93" s="2" t="s">
        <v>431</v>
      </c>
      <c r="B93" s="3" t="s">
        <v>432</v>
      </c>
      <c r="D93" s="20">
        <v>1.2054542180808863E-17</v>
      </c>
      <c r="E93" s="20">
        <v>0.99948386161785452</v>
      </c>
      <c r="F93" s="20">
        <v>4.3620496441202863E-4</v>
      </c>
      <c r="G93" s="20">
        <v>3.4947211261378454E-7</v>
      </c>
      <c r="H93" s="20">
        <v>0</v>
      </c>
      <c r="I93" s="20">
        <v>0.99904730718132984</v>
      </c>
      <c r="J93" s="20">
        <v>3.6312650048044546E-4</v>
      </c>
      <c r="K93" s="20">
        <v>1.5301188166512778E-4</v>
      </c>
      <c r="L93" s="20">
        <v>0</v>
      </c>
    </row>
    <row r="94" spans="1:12">
      <c r="A94" s="2" t="s">
        <v>433</v>
      </c>
      <c r="B94" s="3" t="s">
        <v>434</v>
      </c>
      <c r="D94" s="20">
        <v>2.5378809361288339E-18</v>
      </c>
      <c r="E94" s="20">
        <v>0.9996354375440647</v>
      </c>
      <c r="F94" s="20">
        <v>1.6910072072682399E-6</v>
      </c>
      <c r="G94" s="20">
        <v>2.3596147395468861E-9</v>
      </c>
      <c r="H94" s="20">
        <v>0</v>
      </c>
      <c r="I94" s="20">
        <v>0.99963374417724271</v>
      </c>
      <c r="J94" s="20">
        <v>3.6070630760635269E-4</v>
      </c>
      <c r="K94" s="20">
        <v>3.856148328771427E-6</v>
      </c>
      <c r="L94" s="20">
        <v>0</v>
      </c>
    </row>
    <row r="95" spans="1:12">
      <c r="A95" s="2" t="s">
        <v>435</v>
      </c>
      <c r="B95" s="3" t="s">
        <v>436</v>
      </c>
      <c r="D95" s="20">
        <v>1.3636747158406676E-8</v>
      </c>
      <c r="E95" s="20">
        <v>0.94161049385247642</v>
      </c>
      <c r="F95" s="20">
        <v>3.7407285585864018E-4</v>
      </c>
      <c r="G95" s="20">
        <v>1.2974404734331752E-4</v>
      </c>
      <c r="H95" s="20">
        <v>0</v>
      </c>
      <c r="I95" s="20">
        <v>0.94110667694927441</v>
      </c>
      <c r="J95" s="20">
        <v>4.199234215793882E-4</v>
      </c>
      <c r="K95" s="20">
        <v>5.7969569089197238E-2</v>
      </c>
      <c r="L95" s="20">
        <v>0</v>
      </c>
    </row>
    <row r="96" spans="1:12">
      <c r="A96" s="2" t="s">
        <v>437</v>
      </c>
      <c r="B96" s="163" t="s">
        <v>438</v>
      </c>
      <c r="D96" s="20">
        <v>2.2708816476194212E-7</v>
      </c>
      <c r="E96" s="20">
        <v>0.42596085226671732</v>
      </c>
      <c r="F96" s="20">
        <v>0.1002463838454271</v>
      </c>
      <c r="G96" s="20">
        <v>0.32326915706356779</v>
      </c>
      <c r="H96" s="20">
        <v>0</v>
      </c>
      <c r="I96" s="20">
        <v>2.4453113577224297E-3</v>
      </c>
      <c r="J96" s="20">
        <v>0.21703178111997978</v>
      </c>
      <c r="K96" s="20">
        <v>0.3570071395251383</v>
      </c>
      <c r="L96" s="20">
        <v>0</v>
      </c>
    </row>
    <row r="97" spans="1:12">
      <c r="A97" s="2" t="s">
        <v>439</v>
      </c>
      <c r="B97" s="3" t="s">
        <v>440</v>
      </c>
      <c r="D97" s="20">
        <v>4.498635888712885E-5</v>
      </c>
      <c r="E97" s="20">
        <v>0.69361058111651563</v>
      </c>
      <c r="F97" s="20">
        <v>1.1559926119649833E-2</v>
      </c>
      <c r="G97" s="20">
        <v>3.0651421045249398E-3</v>
      </c>
      <c r="H97" s="20">
        <v>0</v>
      </c>
      <c r="I97" s="20">
        <v>0.67898551289234088</v>
      </c>
      <c r="J97" s="20">
        <v>2.141606426474115E-3</v>
      </c>
      <c r="K97" s="20">
        <v>0.30420282609812316</v>
      </c>
      <c r="L97" s="20">
        <v>0</v>
      </c>
    </row>
    <row r="98" spans="1:12">
      <c r="A98" s="2" t="s">
        <v>441</v>
      </c>
      <c r="B98" s="3" t="s">
        <v>442</v>
      </c>
      <c r="D98" s="20">
        <v>2.9173832479714714E-17</v>
      </c>
      <c r="E98" s="20">
        <v>0.75899386725235563</v>
      </c>
      <c r="F98" s="20">
        <v>6.6691072209133775E-3</v>
      </c>
      <c r="G98" s="20">
        <v>1.8550826136314803E-3</v>
      </c>
      <c r="H98" s="20">
        <v>0</v>
      </c>
      <c r="I98" s="20">
        <v>0.75046967741781079</v>
      </c>
      <c r="J98" s="20">
        <v>1.4121616744362799E-3</v>
      </c>
      <c r="K98" s="20">
        <v>0.23959397107320815</v>
      </c>
      <c r="L98" s="20">
        <v>0</v>
      </c>
    </row>
    <row r="99" spans="1:12">
      <c r="A99" s="2" t="s">
        <v>443</v>
      </c>
      <c r="B99" s="3" t="s">
        <v>444</v>
      </c>
      <c r="D99" s="20">
        <v>4.2614443836501271E-29</v>
      </c>
      <c r="E99" s="20">
        <v>0.88070209496324114</v>
      </c>
      <c r="F99" s="20">
        <v>1.4991015034088247E-3</v>
      </c>
      <c r="G99" s="20">
        <v>4.7089772802595968E-4</v>
      </c>
      <c r="H99" s="20">
        <v>0</v>
      </c>
      <c r="I99" s="20">
        <v>0.87873209573180633</v>
      </c>
      <c r="J99" s="20">
        <v>6.0104631496178641E-4</v>
      </c>
      <c r="K99" s="20">
        <v>0.11869685872179717</v>
      </c>
      <c r="L99" s="20">
        <v>0</v>
      </c>
    </row>
    <row r="100" spans="1:12">
      <c r="A100" s="2" t="s">
        <v>445</v>
      </c>
      <c r="B100" s="3" t="s">
        <v>446</v>
      </c>
      <c r="D100" s="20">
        <v>2.1876735120370271E-7</v>
      </c>
      <c r="E100" s="20">
        <v>0.3950965614246687</v>
      </c>
      <c r="F100" s="20">
        <v>0.23128992929825193</v>
      </c>
      <c r="G100" s="20">
        <v>0.14905696656897385</v>
      </c>
      <c r="H100" s="20">
        <v>0</v>
      </c>
      <c r="I100" s="20">
        <v>1.4749665557442946E-2</v>
      </c>
      <c r="J100" s="20">
        <v>9.8070190451934311E-2</v>
      </c>
      <c r="K100" s="20">
        <v>0.50683302935604568</v>
      </c>
      <c r="L100" s="20">
        <v>0</v>
      </c>
    </row>
    <row r="101" spans="1:12">
      <c r="A101" s="2" t="s">
        <v>447</v>
      </c>
      <c r="B101" s="3" t="s">
        <v>448</v>
      </c>
      <c r="D101" s="20">
        <v>8.1097422772461573E-9</v>
      </c>
      <c r="E101" s="20">
        <v>0.41775295429678416</v>
      </c>
      <c r="F101" s="20">
        <v>7.6362698612561619E-2</v>
      </c>
      <c r="G101" s="20">
        <v>1.6686944560317194E-2</v>
      </c>
      <c r="H101" s="20">
        <v>0</v>
      </c>
      <c r="I101" s="20">
        <v>0.32470331112390532</v>
      </c>
      <c r="J101" s="20">
        <v>1.0650678722519503E-2</v>
      </c>
      <c r="K101" s="20">
        <v>0.57159635887095406</v>
      </c>
      <c r="L101" s="20">
        <v>0</v>
      </c>
    </row>
    <row r="102" spans="1:12">
      <c r="A102" s="2" t="s">
        <v>449</v>
      </c>
      <c r="B102" s="3" t="s">
        <v>450</v>
      </c>
      <c r="D102" s="20">
        <v>6.2672132793528353E-4</v>
      </c>
      <c r="E102" s="20">
        <v>0.36911392098551304</v>
      </c>
      <c r="F102" s="20">
        <v>0.20575419062170272</v>
      </c>
      <c r="G102" s="20">
        <v>3.8944330722616084E-2</v>
      </c>
      <c r="H102" s="20">
        <v>0</v>
      </c>
      <c r="I102" s="20">
        <v>0.12441539964119422</v>
      </c>
      <c r="J102" s="20">
        <v>2.4978589362413175E-2</v>
      </c>
      <c r="K102" s="20">
        <v>0.60528076832413857</v>
      </c>
      <c r="L102" s="20">
        <v>0</v>
      </c>
    </row>
    <row r="103" spans="1:12">
      <c r="A103" s="2" t="s">
        <v>451</v>
      </c>
      <c r="B103" s="3" t="s">
        <v>452</v>
      </c>
      <c r="D103" s="20">
        <v>4.8415695897758558E-19</v>
      </c>
      <c r="E103" s="20">
        <v>0.99939108297153978</v>
      </c>
      <c r="F103" s="20">
        <v>1.1557866735039619E-2</v>
      </c>
      <c r="G103" s="20">
        <v>1.1216384557411867E-6</v>
      </c>
      <c r="H103" s="20">
        <v>0</v>
      </c>
      <c r="I103" s="20">
        <v>0.98783209459804444</v>
      </c>
      <c r="J103" s="20">
        <v>4.7932880940262381E-4</v>
      </c>
      <c r="K103" s="20">
        <v>1.2958821905758444E-4</v>
      </c>
      <c r="L103" s="20">
        <v>0</v>
      </c>
    </row>
    <row r="104" spans="1:12">
      <c r="A104" s="2" t="s">
        <v>453</v>
      </c>
      <c r="B104" s="3" t="s">
        <v>454</v>
      </c>
      <c r="D104" s="20">
        <v>1.0101118148777295E-19</v>
      </c>
      <c r="E104" s="20">
        <v>0.98389248596157919</v>
      </c>
      <c r="F104" s="20">
        <v>0.88322060194529239</v>
      </c>
      <c r="G104" s="20">
        <v>9.352653422286391E-4</v>
      </c>
      <c r="H104" s="20">
        <v>0</v>
      </c>
      <c r="I104" s="20">
        <v>9.9736618674058169E-2</v>
      </c>
      <c r="J104" s="20">
        <v>9.9010038634446025E-3</v>
      </c>
      <c r="K104" s="20">
        <v>6.2065101749762021E-3</v>
      </c>
      <c r="L104" s="20">
        <v>0</v>
      </c>
    </row>
    <row r="105" spans="1:12">
      <c r="A105" s="2" t="s">
        <v>455</v>
      </c>
      <c r="B105" s="163">
        <v>354656</v>
      </c>
      <c r="D105" s="20">
        <v>3.6766564304017899E-10</v>
      </c>
      <c r="E105" s="20">
        <v>0.96960223015900449</v>
      </c>
      <c r="F105" s="20">
        <v>9.8022836023176554E-5</v>
      </c>
      <c r="G105" s="20">
        <v>3.7916026563329248E-5</v>
      </c>
      <c r="H105" s="20">
        <v>0</v>
      </c>
      <c r="I105" s="20">
        <v>0.96946629129641793</v>
      </c>
      <c r="J105" s="20">
        <v>3.6914426992023462E-4</v>
      </c>
      <c r="K105" s="20">
        <v>3.0028625203409487E-2</v>
      </c>
      <c r="L105" s="20">
        <v>0</v>
      </c>
    </row>
    <row r="106" spans="1:12">
      <c r="A106" s="2" t="s">
        <v>457</v>
      </c>
      <c r="B106" s="3" t="s">
        <v>458</v>
      </c>
      <c r="D106" s="20">
        <v>5.4688015238933563E-10</v>
      </c>
      <c r="E106" s="20">
        <v>0.93887675018095329</v>
      </c>
      <c r="F106" s="20">
        <v>4.0559435505045237E-4</v>
      </c>
      <c r="G106" s="20">
        <v>1.4004493287106135E-4</v>
      </c>
      <c r="H106" s="20">
        <v>0</v>
      </c>
      <c r="I106" s="20">
        <v>0.93833111089303178</v>
      </c>
      <c r="J106" s="20">
        <v>4.2445975256436187E-4</v>
      </c>
      <c r="K106" s="20">
        <v>6.0698789519602114E-2</v>
      </c>
      <c r="L106" s="20">
        <v>0</v>
      </c>
    </row>
    <row r="107" spans="1:12">
      <c r="A107" s="2" t="s">
        <v>459</v>
      </c>
      <c r="B107" s="3" t="s">
        <v>460</v>
      </c>
      <c r="D107" s="20">
        <v>1.8258889919917502E-19</v>
      </c>
      <c r="E107" s="20">
        <v>0.41591636280575695</v>
      </c>
      <c r="F107" s="20">
        <v>0.28299431653463902</v>
      </c>
      <c r="G107" s="20">
        <v>4.9529723819076985E-2</v>
      </c>
      <c r="H107" s="20">
        <v>0</v>
      </c>
      <c r="I107" s="20">
        <v>8.339232245204091E-2</v>
      </c>
      <c r="J107" s="20">
        <v>3.8604007644081673E-2</v>
      </c>
      <c r="K107" s="20">
        <v>0.54547962955016138</v>
      </c>
      <c r="L107" s="20">
        <v>0</v>
      </c>
    </row>
    <row r="108" spans="1:12">
      <c r="A108" s="2" t="s">
        <v>461</v>
      </c>
      <c r="B108" s="3" t="s">
        <v>462</v>
      </c>
      <c r="D108" s="20">
        <v>1.0964992179596301E-9</v>
      </c>
      <c r="E108" s="20">
        <v>0.99958558993575397</v>
      </c>
      <c r="F108" s="20">
        <v>8.7590078739771664E-7</v>
      </c>
      <c r="G108" s="20">
        <v>2.5387299027889056E-8</v>
      </c>
      <c r="H108" s="20">
        <v>0</v>
      </c>
      <c r="I108" s="20">
        <v>0.99958468864766759</v>
      </c>
      <c r="J108" s="20">
        <v>3.590320054299781E-4</v>
      </c>
      <c r="K108" s="20">
        <v>5.5376962316807207E-5</v>
      </c>
      <c r="L108" s="20">
        <v>0</v>
      </c>
    </row>
    <row r="109" spans="1:12">
      <c r="A109" s="2" t="s">
        <v>463</v>
      </c>
      <c r="B109" s="3" t="s">
        <v>464</v>
      </c>
      <c r="D109" s="20">
        <v>2.9443978959507347E-12</v>
      </c>
      <c r="E109" s="20">
        <v>0.97442351476531119</v>
      </c>
      <c r="F109" s="20">
        <v>6.0449610560538332E-3</v>
      </c>
      <c r="G109" s="20">
        <v>3.0046893883700914E-4</v>
      </c>
      <c r="H109" s="20">
        <v>0</v>
      </c>
      <c r="I109" s="20">
        <v>0.96807808477042034</v>
      </c>
      <c r="J109" s="20">
        <v>6.481812743764654E-3</v>
      </c>
      <c r="K109" s="20">
        <v>1.9094672487979785E-2</v>
      </c>
      <c r="L109" s="20">
        <v>0</v>
      </c>
    </row>
    <row r="110" spans="1:12">
      <c r="A110" s="2" t="s">
        <v>465</v>
      </c>
      <c r="B110" s="3" t="s">
        <v>466</v>
      </c>
      <c r="D110" s="20">
        <v>2.0822572468402487E-11</v>
      </c>
      <c r="E110" s="20">
        <v>0.99340789215285574</v>
      </c>
      <c r="F110" s="20">
        <v>2.2403222294607572E-5</v>
      </c>
      <c r="G110" s="20">
        <v>4.2862452202884586E-6</v>
      </c>
      <c r="H110" s="20">
        <v>0</v>
      </c>
      <c r="I110" s="20">
        <v>0.9933812026853408</v>
      </c>
      <c r="J110" s="20">
        <v>3.5777987267809474E-4</v>
      </c>
      <c r="K110" s="20">
        <v>6.2343279536436601E-3</v>
      </c>
      <c r="L110" s="20">
        <v>0</v>
      </c>
    </row>
    <row r="111" spans="1:12">
      <c r="A111" s="2" t="s">
        <v>467</v>
      </c>
      <c r="B111" s="3" t="s">
        <v>468</v>
      </c>
      <c r="D111" s="20">
        <v>3.7004590706482932E-30</v>
      </c>
      <c r="E111" s="20">
        <v>0.99963709122999367</v>
      </c>
      <c r="F111" s="20">
        <v>1.5917549914001759E-6</v>
      </c>
      <c r="G111" s="20">
        <v>1.3150678756081682E-9</v>
      </c>
      <c r="H111" s="20">
        <v>0</v>
      </c>
      <c r="I111" s="20">
        <v>0.99963549815993435</v>
      </c>
      <c r="J111" s="20">
        <v>3.5731041029778366E-4</v>
      </c>
      <c r="K111" s="20">
        <v>5.5983597085839864E-6</v>
      </c>
      <c r="L111" s="20">
        <v>0</v>
      </c>
    </row>
    <row r="112" spans="1:12">
      <c r="A112" s="2" t="s">
        <v>469</v>
      </c>
      <c r="B112" s="3" t="s">
        <v>470</v>
      </c>
      <c r="D112" s="20">
        <v>2.3393104588217303E-13</v>
      </c>
      <c r="E112" s="20">
        <v>0.99156797541124209</v>
      </c>
      <c r="F112" s="20">
        <v>7.7261311756877574E-6</v>
      </c>
      <c r="G112" s="20">
        <v>3.609587988432272E-6</v>
      </c>
      <c r="H112" s="20">
        <v>0</v>
      </c>
      <c r="I112" s="20">
        <v>0.99155663969207797</v>
      </c>
      <c r="J112" s="20">
        <v>3.565089345724863E-4</v>
      </c>
      <c r="K112" s="20">
        <v>8.0755156539514521E-3</v>
      </c>
      <c r="L112" s="20">
        <v>0</v>
      </c>
    </row>
    <row r="113" spans="1:12">
      <c r="A113" s="2" t="s">
        <v>471</v>
      </c>
      <c r="B113" s="3" t="s">
        <v>472</v>
      </c>
      <c r="D113" s="20">
        <v>2.8866716344403129E-9</v>
      </c>
      <c r="E113" s="20">
        <v>0.95418751261782997</v>
      </c>
      <c r="F113" s="20">
        <v>2.2012613060031909E-4</v>
      </c>
      <c r="G113" s="20">
        <v>8.0124836247537695E-5</v>
      </c>
      <c r="H113" s="20">
        <v>0</v>
      </c>
      <c r="I113" s="20">
        <v>0.95388726165098214</v>
      </c>
      <c r="J113" s="20">
        <v>3.8906913069667394E-4</v>
      </c>
      <c r="K113" s="20">
        <v>4.5423415364801698E-2</v>
      </c>
      <c r="L113" s="20">
        <v>0</v>
      </c>
    </row>
    <row r="114" spans="1:12">
      <c r="A114" s="2" t="s">
        <v>473</v>
      </c>
      <c r="B114" s="3" t="s">
        <v>474</v>
      </c>
      <c r="D114" s="20">
        <v>2.2961071597206519E-16</v>
      </c>
      <c r="E114" s="20">
        <v>0.99545680887504462</v>
      </c>
      <c r="F114" s="20">
        <v>2.2495491995859339E-6</v>
      </c>
      <c r="G114" s="20">
        <v>1.1333501323709009E-6</v>
      </c>
      <c r="H114" s="20">
        <v>0</v>
      </c>
      <c r="I114" s="20">
        <v>0.99545342597571262</v>
      </c>
      <c r="J114" s="20">
        <v>3.564440050732286E-4</v>
      </c>
      <c r="K114" s="20">
        <v>4.1867471198819015E-3</v>
      </c>
      <c r="L114" s="20">
        <v>0</v>
      </c>
    </row>
    <row r="115" spans="1:12">
      <c r="A115" s="2" t="s">
        <v>475</v>
      </c>
      <c r="B115" s="3" t="s">
        <v>476</v>
      </c>
      <c r="D115" s="20">
        <v>1.2174365922078326E-12</v>
      </c>
      <c r="E115" s="20">
        <v>0.99954103027406471</v>
      </c>
      <c r="F115" s="20">
        <v>2.8038518449749134E-3</v>
      </c>
      <c r="G115" s="20">
        <v>3.3584502172024829E-7</v>
      </c>
      <c r="H115" s="20">
        <v>0</v>
      </c>
      <c r="I115" s="20">
        <v>0.99673684258406803</v>
      </c>
      <c r="J115" s="20">
        <v>3.8984211413427961E-4</v>
      </c>
      <c r="K115" s="20">
        <v>6.9127610583611385E-5</v>
      </c>
      <c r="L115" s="20">
        <v>0</v>
      </c>
    </row>
    <row r="116" spans="1:12">
      <c r="A116" s="2" t="s">
        <v>477</v>
      </c>
      <c r="B116" s="3" t="s">
        <v>478</v>
      </c>
      <c r="D116" s="20">
        <v>1.1086505804764356E-16</v>
      </c>
      <c r="E116" s="20">
        <v>0.72050670650289594</v>
      </c>
      <c r="F116" s="20">
        <v>0.27074530718634382</v>
      </c>
      <c r="G116" s="20">
        <v>6.5575929959713671E-3</v>
      </c>
      <c r="H116" s="20">
        <v>0</v>
      </c>
      <c r="I116" s="20">
        <v>0.44320380632058071</v>
      </c>
      <c r="J116" s="20">
        <v>0.21618551287164386</v>
      </c>
      <c r="K116" s="20">
        <v>6.330778062546015E-2</v>
      </c>
      <c r="L116" s="20">
        <v>0</v>
      </c>
    </row>
    <row r="117" spans="1:12">
      <c r="A117" s="2" t="s">
        <v>291</v>
      </c>
      <c r="B117" s="3" t="s">
        <v>479</v>
      </c>
      <c r="D117" s="20">
        <v>3.6236555306145422E-10</v>
      </c>
      <c r="E117" s="20">
        <v>0.60993255073961739</v>
      </c>
      <c r="F117" s="20">
        <v>2.103880756370342E-2</v>
      </c>
      <c r="G117" s="20">
        <v>5.2785747578560785E-3</v>
      </c>
      <c r="H117" s="20">
        <v>0</v>
      </c>
      <c r="I117" s="20">
        <v>0.58361516841805794</v>
      </c>
      <c r="J117" s="20">
        <v>3.4964164819280379E-3</v>
      </c>
      <c r="K117" s="20">
        <v>0.38657103241608903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35"/>
      <c r="J1" s="47" t="s">
        <v>25</v>
      </c>
      <c r="K1" s="34" t="s">
        <v>73</v>
      </c>
      <c r="L1" s="46" t="s">
        <v>11</v>
      </c>
      <c r="N1" s="6" t="s">
        <v>17</v>
      </c>
      <c r="O1" s="102" t="s">
        <v>216</v>
      </c>
    </row>
    <row r="2" spans="1:24">
      <c r="A2" s="2" t="s">
        <v>283</v>
      </c>
      <c r="B2" s="3" t="s">
        <v>284</v>
      </c>
      <c r="D2" s="14">
        <v>1.0455442921910948E-12</v>
      </c>
      <c r="E2" s="14">
        <v>3.9050095469915719E-5</v>
      </c>
      <c r="F2" s="14">
        <v>2.3945099739537462E-9</v>
      </c>
      <c r="G2" s="14">
        <v>9.6097525712030522E-10</v>
      </c>
      <c r="H2" s="14">
        <v>0</v>
      </c>
      <c r="I2" s="14">
        <v>1.4528848260276435E-8</v>
      </c>
      <c r="J2" s="14">
        <v>9.320191510486443E-7</v>
      </c>
      <c r="K2" s="14">
        <v>0</v>
      </c>
      <c r="M2" s="21"/>
      <c r="N2" s="102"/>
    </row>
    <row r="3" spans="1:24">
      <c r="A3" s="2" t="s">
        <v>361</v>
      </c>
      <c r="B3" s="3" t="s">
        <v>362</v>
      </c>
      <c r="D3" s="14">
        <v>1.0030981445535242E-12</v>
      </c>
      <c r="E3" s="14">
        <v>2.3532882465441627E-5</v>
      </c>
      <c r="F3" s="14">
        <v>9.3163709024048226E-7</v>
      </c>
      <c r="G3" s="14">
        <v>2.2632626846635223E-7</v>
      </c>
      <c r="H3" s="14">
        <v>0</v>
      </c>
      <c r="I3" s="14">
        <v>1.7885127584058007E-7</v>
      </c>
      <c r="J3" s="14">
        <v>1.5130301896912819E-5</v>
      </c>
      <c r="K3" s="14">
        <v>0</v>
      </c>
      <c r="M3" s="21"/>
      <c r="N3" s="102"/>
    </row>
    <row r="4" spans="1:24">
      <c r="A4" s="2" t="s">
        <v>364</v>
      </c>
      <c r="B4" s="3" t="s">
        <v>365</v>
      </c>
      <c r="D4" s="14">
        <v>5.42235358951774E-22</v>
      </c>
      <c r="E4" s="14">
        <v>3.9980433508438816E-5</v>
      </c>
      <c r="F4" s="14">
        <v>1.681365181123735E-9</v>
      </c>
      <c r="G4" s="14">
        <v>1.8516448485555071E-12</v>
      </c>
      <c r="H4" s="14">
        <v>0</v>
      </c>
      <c r="I4" s="14">
        <v>1.7060141150339253E-8</v>
      </c>
      <c r="J4" s="14">
        <v>8.2313358487491207E-10</v>
      </c>
      <c r="K4" s="14">
        <v>0</v>
      </c>
      <c r="M4" s="21"/>
    </row>
    <row r="5" spans="1:24">
      <c r="A5" s="2" t="s">
        <v>285</v>
      </c>
      <c r="B5" s="3" t="s">
        <v>286</v>
      </c>
      <c r="D5" s="14">
        <v>1.5209416383125341E-14</v>
      </c>
      <c r="E5" s="14">
        <v>3.6908031221731553E-5</v>
      </c>
      <c r="F5" s="14">
        <v>3.0366548321204292E-6</v>
      </c>
      <c r="G5" s="14">
        <v>2.41020895352636E-10</v>
      </c>
      <c r="H5" s="14">
        <v>0</v>
      </c>
      <c r="I5" s="14">
        <v>4.2438140466377218E-8</v>
      </c>
      <c r="J5" s="14">
        <v>1.2634769576877406E-8</v>
      </c>
      <c r="K5" s="14">
        <v>0</v>
      </c>
      <c r="M5" s="21"/>
    </row>
    <row r="6" spans="1:24">
      <c r="A6" s="2" t="s">
        <v>287</v>
      </c>
      <c r="B6" s="3" t="s">
        <v>288</v>
      </c>
      <c r="D6" s="14">
        <v>1.8850897739308892E-15</v>
      </c>
      <c r="E6" s="14">
        <v>3.3002419431629497E-5</v>
      </c>
      <c r="F6" s="14">
        <v>6.8492075995565385E-6</v>
      </c>
      <c r="G6" s="14">
        <v>1.9862451777998942E-9</v>
      </c>
      <c r="H6" s="14">
        <v>0</v>
      </c>
      <c r="I6" s="14">
        <v>7.4814337248793802E-8</v>
      </c>
      <c r="J6" s="14">
        <v>7.1572384502283514E-8</v>
      </c>
      <c r="K6" s="14">
        <v>0</v>
      </c>
      <c r="M6" s="21"/>
      <c r="N6" s="12"/>
    </row>
    <row r="7" spans="1:24">
      <c r="A7" s="2" t="s">
        <v>366</v>
      </c>
      <c r="B7" s="3" t="s">
        <v>305</v>
      </c>
      <c r="D7" s="14">
        <v>3.2172539791973333E-11</v>
      </c>
      <c r="E7" s="14">
        <v>2.1443041444789015E-5</v>
      </c>
      <c r="F7" s="14">
        <v>1.7606820447757805E-5</v>
      </c>
      <c r="G7" s="14">
        <v>3.5840663345822626E-8</v>
      </c>
      <c r="H7" s="14">
        <v>0</v>
      </c>
      <c r="I7" s="14">
        <v>1.7450897636554063E-7</v>
      </c>
      <c r="J7" s="14">
        <v>7.3975629520203129E-7</v>
      </c>
      <c r="K7" s="14">
        <v>0</v>
      </c>
      <c r="M7" s="21"/>
      <c r="N7" s="12"/>
    </row>
    <row r="8" spans="1:24">
      <c r="A8" s="2" t="s">
        <v>289</v>
      </c>
      <c r="B8" s="3" t="s">
        <v>290</v>
      </c>
      <c r="D8" s="14">
        <v>1.4913752865215236E-21</v>
      </c>
      <c r="E8" s="14">
        <v>2.9881298641442231E-5</v>
      </c>
      <c r="F8" s="14">
        <v>9.9731882888408271E-6</v>
      </c>
      <c r="G8" s="14">
        <v>1.5165565302756009E-9</v>
      </c>
      <c r="H8" s="14">
        <v>0</v>
      </c>
      <c r="I8" s="14">
        <v>9.8917828669660924E-8</v>
      </c>
      <c r="J8" s="14">
        <v>4.5078684517009907E-8</v>
      </c>
      <c r="K8" s="14">
        <v>0</v>
      </c>
      <c r="M8" s="21"/>
      <c r="N8" s="12"/>
    </row>
    <row r="9" spans="1:24">
      <c r="A9" s="2" t="s">
        <v>291</v>
      </c>
      <c r="B9" s="3" t="s">
        <v>292</v>
      </c>
      <c r="D9" s="14">
        <v>2.9413854439553544E-17</v>
      </c>
      <c r="E9" s="14">
        <v>3.7562803977191547E-5</v>
      </c>
      <c r="F9" s="14">
        <v>2.3473213790753788E-6</v>
      </c>
      <c r="G9" s="14">
        <v>8.8970186894348025E-10</v>
      </c>
      <c r="H9" s="14">
        <v>0</v>
      </c>
      <c r="I9" s="14">
        <v>3.6846609806739315E-8</v>
      </c>
      <c r="J9" s="14">
        <v>5.2138332027979391E-8</v>
      </c>
      <c r="K9" s="14">
        <v>0</v>
      </c>
      <c r="M9" s="21"/>
      <c r="N9" s="12"/>
    </row>
    <row r="10" spans="1:24">
      <c r="A10" s="2" t="s">
        <v>367</v>
      </c>
      <c r="B10" s="3" t="s">
        <v>368</v>
      </c>
      <c r="D10" s="14">
        <v>2.6774977464528692E-9</v>
      </c>
      <c r="E10" s="14">
        <v>1.913942025015105E-6</v>
      </c>
      <c r="F10" s="14">
        <v>1.3769029451174496E-5</v>
      </c>
      <c r="G10" s="14">
        <v>2.4049103101878079E-6</v>
      </c>
      <c r="H10" s="14">
        <v>0</v>
      </c>
      <c r="I10" s="14">
        <v>1.5572335453719598E-6</v>
      </c>
      <c r="J10" s="14">
        <v>2.0352207170504179E-5</v>
      </c>
      <c r="K10" s="14">
        <v>0</v>
      </c>
      <c r="M10" s="21"/>
      <c r="N10" s="12"/>
    </row>
    <row r="11" spans="1:24">
      <c r="A11" s="2" t="s">
        <v>369</v>
      </c>
      <c r="B11" s="3" t="s">
        <v>370</v>
      </c>
      <c r="D11" s="14">
        <v>1.3858684318343519E-15</v>
      </c>
      <c r="E11" s="14">
        <v>1.428611172948276E-7</v>
      </c>
      <c r="F11" s="14">
        <v>1.2988786933343634E-5</v>
      </c>
      <c r="G11" s="14">
        <v>9.4899290319784937E-6</v>
      </c>
      <c r="H11" s="14">
        <v>0</v>
      </c>
      <c r="I11" s="14">
        <v>1.3251982340723747E-5</v>
      </c>
      <c r="J11" s="14">
        <v>4.1264405752734327E-6</v>
      </c>
      <c r="K11" s="14">
        <v>0</v>
      </c>
      <c r="M11" s="21"/>
      <c r="N11" s="12"/>
    </row>
    <row r="12" spans="1:24">
      <c r="A12" s="2" t="s">
        <v>371</v>
      </c>
      <c r="B12" s="3" t="s">
        <v>372</v>
      </c>
      <c r="D12" s="14">
        <v>2.9877766777737997E-6</v>
      </c>
      <c r="E12" s="14">
        <v>3.6831591274915328E-5</v>
      </c>
      <c r="F12" s="14">
        <v>1.0316769358336912E-10</v>
      </c>
      <c r="G12" s="14">
        <v>5.1136574979707874E-11</v>
      </c>
      <c r="H12" s="14">
        <v>0</v>
      </c>
      <c r="I12" s="14">
        <v>1.3197647797582644E-8</v>
      </c>
      <c r="J12" s="14">
        <v>1.6728009524473622E-7</v>
      </c>
      <c r="K12" s="14">
        <v>0</v>
      </c>
      <c r="M12" s="21"/>
      <c r="N12" s="12"/>
    </row>
    <row r="13" spans="1:24">
      <c r="A13" s="2" t="s">
        <v>293</v>
      </c>
      <c r="B13" s="3" t="s">
        <v>294</v>
      </c>
      <c r="D13" s="14">
        <v>8.2981471195713301E-13</v>
      </c>
      <c r="E13" s="14">
        <v>2.4927618803974943E-5</v>
      </c>
      <c r="F13" s="14">
        <v>6.6566442118251627E-7</v>
      </c>
      <c r="G13" s="14">
        <v>1.7074614236035021E-7</v>
      </c>
      <c r="H13" s="14">
        <v>0</v>
      </c>
      <c r="I13" s="14">
        <v>1.1503229448180342E-7</v>
      </c>
      <c r="J13" s="14">
        <v>1.4120937508185677E-5</v>
      </c>
      <c r="K13" s="14">
        <v>0</v>
      </c>
      <c r="M13" s="21"/>
      <c r="N13" s="12"/>
    </row>
    <row r="14" spans="1:24">
      <c r="A14" s="2" t="s">
        <v>373</v>
      </c>
      <c r="B14" s="3" t="s">
        <v>374</v>
      </c>
      <c r="D14" s="14">
        <v>3.1115948381470378E-11</v>
      </c>
      <c r="E14" s="14">
        <v>3.2051490606648134E-6</v>
      </c>
      <c r="F14" s="14">
        <v>3.5857729134527101E-5</v>
      </c>
      <c r="G14" s="14">
        <v>5.6175692211405005E-8</v>
      </c>
      <c r="H14" s="14">
        <v>0</v>
      </c>
      <c r="I14" s="14">
        <v>5.9734448737280122E-7</v>
      </c>
      <c r="J14" s="14">
        <v>2.8357050927550931E-7</v>
      </c>
      <c r="K14" s="14">
        <v>0</v>
      </c>
      <c r="M14" s="21"/>
      <c r="N14" s="12"/>
    </row>
    <row r="15" spans="1:24">
      <c r="A15" s="2" t="s">
        <v>375</v>
      </c>
      <c r="B15" s="3" t="s">
        <v>376</v>
      </c>
      <c r="D15" s="14">
        <v>3.474313349451048E-6</v>
      </c>
      <c r="E15" s="14">
        <v>3.1203883625889485E-5</v>
      </c>
      <c r="F15" s="14">
        <v>7.9422435371323757E-8</v>
      </c>
      <c r="G15" s="14">
        <v>2.4223603840161146E-8</v>
      </c>
      <c r="H15" s="14">
        <v>0</v>
      </c>
      <c r="I15" s="14">
        <v>2.5957308116202089E-8</v>
      </c>
      <c r="J15" s="14">
        <v>5.1921996773317807E-6</v>
      </c>
      <c r="K15" s="14">
        <v>0</v>
      </c>
      <c r="M15" s="21"/>
      <c r="N15" s="12"/>
    </row>
    <row r="16" spans="1:24">
      <c r="A16" s="2" t="s">
        <v>377</v>
      </c>
      <c r="B16" s="3" t="s">
        <v>378</v>
      </c>
      <c r="D16" s="14">
        <v>3.2393156515973972E-8</v>
      </c>
      <c r="E16" s="14">
        <v>2.3860137052698524E-5</v>
      </c>
      <c r="F16" s="14">
        <v>7.7826497212757726E-7</v>
      </c>
      <c r="G16" s="14">
        <v>1.9670846059482517E-7</v>
      </c>
      <c r="H16" s="14">
        <v>0</v>
      </c>
      <c r="I16" s="14">
        <v>1.3096237163819533E-7</v>
      </c>
      <c r="J16" s="14">
        <v>1.5001533986424903E-5</v>
      </c>
      <c r="K16" s="14">
        <v>0</v>
      </c>
      <c r="M16" s="21"/>
      <c r="N16" s="12"/>
      <c r="V16" s="22"/>
      <c r="X16" s="22"/>
    </row>
    <row r="17" spans="1:14">
      <c r="A17" s="2" t="s">
        <v>379</v>
      </c>
      <c r="B17" s="3" t="s">
        <v>380</v>
      </c>
      <c r="D17" s="14">
        <v>9.5781359562578301E-8</v>
      </c>
      <c r="E17" s="14">
        <v>2.447939396601581E-5</v>
      </c>
      <c r="F17" s="14">
        <v>7.0462039933628699E-7</v>
      </c>
      <c r="G17" s="14">
        <v>1.7974249572588253E-7</v>
      </c>
      <c r="H17" s="14">
        <v>0</v>
      </c>
      <c r="I17" s="14">
        <v>1.2052361211803602E-7</v>
      </c>
      <c r="J17" s="14">
        <v>1.4419938167241407E-5</v>
      </c>
      <c r="K17" s="14">
        <v>0</v>
      </c>
      <c r="M17" s="21"/>
      <c r="N17" s="12"/>
    </row>
    <row r="18" spans="1:14">
      <c r="A18" s="2" t="s">
        <v>381</v>
      </c>
      <c r="B18" s="3" t="s">
        <v>382</v>
      </c>
      <c r="D18" s="14">
        <v>7.774852448388409E-12</v>
      </c>
      <c r="E18" s="14">
        <v>1.2121373129197924E-7</v>
      </c>
      <c r="F18" s="14">
        <v>4.4788484814901045E-6</v>
      </c>
      <c r="G18" s="14">
        <v>1.2135618797005527E-5</v>
      </c>
      <c r="H18" s="14">
        <v>0</v>
      </c>
      <c r="I18" s="14">
        <v>8.1295854364827302E-6</v>
      </c>
      <c r="J18" s="14">
        <v>1.5134725778877215E-5</v>
      </c>
      <c r="K18" s="14">
        <v>0</v>
      </c>
      <c r="M18" s="21"/>
      <c r="N18" s="12"/>
    </row>
    <row r="19" spans="1:14">
      <c r="A19" s="2" t="s">
        <v>383</v>
      </c>
      <c r="B19" s="3" t="s">
        <v>384</v>
      </c>
      <c r="D19" s="14">
        <v>4.7275901912568814E-7</v>
      </c>
      <c r="E19" s="14">
        <v>3.6399841069032998E-5</v>
      </c>
      <c r="F19" s="14">
        <v>2.5241434794526566E-8</v>
      </c>
      <c r="G19" s="14">
        <v>8.4724612883275397E-9</v>
      </c>
      <c r="H19" s="14">
        <v>0</v>
      </c>
      <c r="I19" s="14">
        <v>1.8140039088643856E-8</v>
      </c>
      <c r="J19" s="14">
        <v>3.0755459766698234E-6</v>
      </c>
      <c r="K19" s="14">
        <v>0</v>
      </c>
      <c r="M19" s="21"/>
      <c r="N19" s="12"/>
    </row>
    <row r="20" spans="1:14">
      <c r="A20" s="2" t="s">
        <v>385</v>
      </c>
      <c r="B20" s="3" t="s">
        <v>386</v>
      </c>
      <c r="D20" s="14">
        <v>8.8793680130512211E-7</v>
      </c>
      <c r="E20" s="14">
        <v>3.4941514139645872E-5</v>
      </c>
      <c r="F20" s="14">
        <v>4.527477189995539E-8</v>
      </c>
      <c r="G20" s="14">
        <v>1.4512820585348398E-8</v>
      </c>
      <c r="H20" s="14">
        <v>0</v>
      </c>
      <c r="I20" s="14">
        <v>2.1315663762227197E-8</v>
      </c>
      <c r="J20" s="14">
        <v>4.0894458028014805E-6</v>
      </c>
      <c r="K20" s="14">
        <v>0</v>
      </c>
      <c r="M20" s="21"/>
      <c r="N20" s="12"/>
    </row>
    <row r="21" spans="1:14">
      <c r="A21" s="2" t="s">
        <v>387</v>
      </c>
      <c r="B21" s="3" t="s">
        <v>388</v>
      </c>
      <c r="D21" s="14">
        <v>2.8458717546259604E-7</v>
      </c>
      <c r="E21" s="14">
        <v>1.6265139166363926E-5</v>
      </c>
      <c r="F21" s="14">
        <v>1.2084045000330288E-5</v>
      </c>
      <c r="G21" s="14">
        <v>4.8767612673968498E-7</v>
      </c>
      <c r="H21" s="14">
        <v>0</v>
      </c>
      <c r="I21" s="14">
        <v>3.9655322538061789E-7</v>
      </c>
      <c r="J21" s="14">
        <v>1.0481999305722886E-5</v>
      </c>
      <c r="K21" s="14">
        <v>0</v>
      </c>
      <c r="M21" s="21"/>
      <c r="N21" s="12"/>
    </row>
    <row r="22" spans="1:14">
      <c r="A22" s="2" t="s">
        <v>295</v>
      </c>
      <c r="B22" s="3" t="s">
        <v>296</v>
      </c>
      <c r="D22" s="14">
        <v>2.6162067754079477E-6</v>
      </c>
      <c r="E22" s="14">
        <v>3.6183596401047115E-5</v>
      </c>
      <c r="F22" s="14">
        <v>4.0433960356000014E-9</v>
      </c>
      <c r="G22" s="14">
        <v>1.5525365612102644E-9</v>
      </c>
      <c r="H22" s="14">
        <v>0</v>
      </c>
      <c r="I22" s="14">
        <v>1.3860372318228042E-8</v>
      </c>
      <c r="J22" s="14">
        <v>1.1807405186299047E-6</v>
      </c>
      <c r="K22" s="14">
        <v>0</v>
      </c>
      <c r="M22" s="21"/>
      <c r="N22" s="12"/>
    </row>
    <row r="23" spans="1:14">
      <c r="A23" s="2" t="s">
        <v>389</v>
      </c>
      <c r="B23" s="3" t="s">
        <v>390</v>
      </c>
      <c r="D23" s="14">
        <v>2.8601312834963482E-6</v>
      </c>
      <c r="E23" s="14">
        <v>3.0080540302982954E-5</v>
      </c>
      <c r="F23" s="14">
        <v>1.3952761898111037E-7</v>
      </c>
      <c r="G23" s="14">
        <v>4.0715121815188406E-8</v>
      </c>
      <c r="H23" s="14">
        <v>0</v>
      </c>
      <c r="I23" s="14">
        <v>3.5741712721975326E-8</v>
      </c>
      <c r="J23" s="14">
        <v>6.8433439600024255E-6</v>
      </c>
      <c r="K23" s="14">
        <v>0</v>
      </c>
      <c r="M23" s="21"/>
    </row>
    <row r="24" spans="1:14">
      <c r="A24" s="2" t="s">
        <v>391</v>
      </c>
      <c r="B24" s="3" t="s">
        <v>392</v>
      </c>
      <c r="D24" s="14">
        <v>1.0563316636349622E-7</v>
      </c>
      <c r="E24" s="14">
        <v>2.0394824030061852E-5</v>
      </c>
      <c r="F24" s="14">
        <v>1.243009686143546E-6</v>
      </c>
      <c r="G24" s="14">
        <v>3.0003372109589135E-7</v>
      </c>
      <c r="H24" s="14">
        <v>0</v>
      </c>
      <c r="I24" s="14">
        <v>1.9487430542075258E-7</v>
      </c>
      <c r="J24" s="14">
        <v>1.7761625090914463E-5</v>
      </c>
      <c r="K24" s="14">
        <v>0</v>
      </c>
      <c r="M24" s="21"/>
    </row>
    <row r="25" spans="1:14">
      <c r="A25" s="2" t="s">
        <v>393</v>
      </c>
      <c r="B25" s="3" t="s">
        <v>394</v>
      </c>
      <c r="D25" s="14">
        <v>3.5074134733265103E-8</v>
      </c>
      <c r="E25" s="14">
        <v>1.6554902618979034E-7</v>
      </c>
      <c r="F25" s="14">
        <v>5.2343309814156667E-6</v>
      </c>
      <c r="G25" s="14">
        <v>1.092337230722836E-5</v>
      </c>
      <c r="H25" s="14">
        <v>0</v>
      </c>
      <c r="I25" s="14">
        <v>7.2934952093325744E-6</v>
      </c>
      <c r="J25" s="14">
        <v>1.6348178341100361E-5</v>
      </c>
      <c r="K25" s="14">
        <v>0</v>
      </c>
      <c r="M25" s="21"/>
    </row>
    <row r="26" spans="1:14">
      <c r="A26" s="2" t="s">
        <v>395</v>
      </c>
      <c r="B26" s="3" t="s">
        <v>396</v>
      </c>
      <c r="D26" s="14">
        <v>9.0892279306213516E-6</v>
      </c>
      <c r="E26" s="14">
        <v>9.3451582239840478E-6</v>
      </c>
      <c r="F26" s="14">
        <v>2.6181902983348562E-6</v>
      </c>
      <c r="G26" s="14">
        <v>5.648027006030174E-7</v>
      </c>
      <c r="H26" s="14">
        <v>0</v>
      </c>
      <c r="I26" s="14">
        <v>3.6035485476058985E-7</v>
      </c>
      <c r="J26" s="14">
        <v>1.8022265991696142E-5</v>
      </c>
      <c r="K26" s="14">
        <v>0</v>
      </c>
    </row>
    <row r="27" spans="1:14">
      <c r="A27" s="2" t="s">
        <v>397</v>
      </c>
      <c r="B27" s="3" t="s">
        <v>398</v>
      </c>
      <c r="D27" s="14">
        <v>3.3084442771494352E-5</v>
      </c>
      <c r="E27" s="14">
        <v>8.8622396291109826E-7</v>
      </c>
      <c r="F27" s="14">
        <v>1.3941131999758025E-6</v>
      </c>
      <c r="G27" s="14">
        <v>2.6484610765212802E-7</v>
      </c>
      <c r="H27" s="14">
        <v>0</v>
      </c>
      <c r="I27" s="14">
        <v>1.6982331351137843E-7</v>
      </c>
      <c r="J27" s="14">
        <v>4.2005506444552448E-6</v>
      </c>
      <c r="K27" s="14">
        <v>0</v>
      </c>
    </row>
    <row r="28" spans="1:14">
      <c r="A28" s="2" t="s">
        <v>399</v>
      </c>
      <c r="B28" s="3" t="s">
        <v>400</v>
      </c>
      <c r="D28" s="14">
        <v>3.4930469914834224E-5</v>
      </c>
      <c r="E28" s="14">
        <v>1.331938255256509E-6</v>
      </c>
      <c r="F28" s="14">
        <v>5.1650989163712361E-7</v>
      </c>
      <c r="G28" s="14">
        <v>1.0878629812193063E-7</v>
      </c>
      <c r="H28" s="14">
        <v>0</v>
      </c>
      <c r="I28" s="14">
        <v>6.9401604175312945E-8</v>
      </c>
      <c r="J28" s="14">
        <v>3.0428940359748966E-6</v>
      </c>
      <c r="K28" s="14">
        <v>0</v>
      </c>
    </row>
    <row r="29" spans="1:14">
      <c r="A29" s="2" t="s">
        <v>297</v>
      </c>
      <c r="B29" s="3" t="s">
        <v>298</v>
      </c>
      <c r="D29" s="14">
        <v>3.7299092052054181E-5</v>
      </c>
      <c r="E29" s="14">
        <v>2.3771573224616921E-6</v>
      </c>
      <c r="F29" s="14">
        <v>3.9552366657191852E-9</v>
      </c>
      <c r="G29" s="14">
        <v>1.2447095751428504E-9</v>
      </c>
      <c r="H29" s="14">
        <v>0</v>
      </c>
      <c r="I29" s="14">
        <v>1.6080466122236956E-9</v>
      </c>
      <c r="J29" s="14">
        <v>3.1694263263105272E-7</v>
      </c>
      <c r="K29" s="14">
        <v>0</v>
      </c>
    </row>
    <row r="30" spans="1:14">
      <c r="A30" s="2" t="s">
        <v>401</v>
      </c>
      <c r="B30" s="3" t="s">
        <v>402</v>
      </c>
      <c r="D30" s="14">
        <v>3.8142632897780403E-5</v>
      </c>
      <c r="E30" s="14">
        <v>5.045106432107425E-7</v>
      </c>
      <c r="F30" s="14">
        <v>1.8150344937382364E-7</v>
      </c>
      <c r="G30" s="14">
        <v>3.8439739720315725E-8</v>
      </c>
      <c r="H30" s="14">
        <v>0</v>
      </c>
      <c r="I30" s="14">
        <v>2.4522070343131768E-8</v>
      </c>
      <c r="J30" s="14">
        <v>1.1083911995715865E-6</v>
      </c>
      <c r="K30" s="14">
        <v>0</v>
      </c>
    </row>
    <row r="31" spans="1:14">
      <c r="A31" s="2" t="s">
        <v>299</v>
      </c>
      <c r="B31" s="3" t="s">
        <v>300</v>
      </c>
      <c r="D31" s="14">
        <v>3.9952424845638764E-5</v>
      </c>
      <c r="E31" s="14">
        <v>1.7987997052438901E-8</v>
      </c>
      <c r="F31" s="14">
        <v>2.8354197370962402E-9</v>
      </c>
      <c r="G31" s="14">
        <v>6.381355118104504E-10</v>
      </c>
      <c r="H31" s="14">
        <v>0</v>
      </c>
      <c r="I31" s="14">
        <v>4.081323495707983E-10</v>
      </c>
      <c r="J31" s="14">
        <v>2.5705469710316732E-8</v>
      </c>
      <c r="K31" s="14">
        <v>0</v>
      </c>
    </row>
    <row r="32" spans="1:14">
      <c r="A32" s="2" t="s">
        <v>343</v>
      </c>
      <c r="B32" s="3" t="s">
        <v>344</v>
      </c>
      <c r="D32" s="14">
        <v>9.054757547430685E-8</v>
      </c>
      <c r="E32" s="14">
        <v>2.6008570958178691E-5</v>
      </c>
      <c r="F32" s="14">
        <v>5.5456319215933584E-7</v>
      </c>
      <c r="G32" s="14">
        <v>1.4462607374080238E-7</v>
      </c>
      <c r="H32" s="14">
        <v>0</v>
      </c>
      <c r="I32" s="14">
        <v>9.9039587671501889E-8</v>
      </c>
      <c r="J32" s="14">
        <v>1.3102652612775358E-5</v>
      </c>
      <c r="K32" s="14">
        <v>0</v>
      </c>
    </row>
    <row r="33" spans="1:11">
      <c r="A33" s="2" t="s">
        <v>345</v>
      </c>
      <c r="B33" s="3" t="s">
        <v>346</v>
      </c>
      <c r="D33" s="14">
        <v>3.5685260483865597E-9</v>
      </c>
      <c r="E33" s="14">
        <v>3.0413649436497976E-5</v>
      </c>
      <c r="F33" s="14">
        <v>2.4454742044412009E-7</v>
      </c>
      <c r="G33" s="14">
        <v>6.8526514320012197E-8</v>
      </c>
      <c r="H33" s="14">
        <v>0</v>
      </c>
      <c r="I33" s="14">
        <v>5.3096801883840574E-8</v>
      </c>
      <c r="J33" s="14">
        <v>9.2166113008056697E-6</v>
      </c>
      <c r="K33" s="14">
        <v>0</v>
      </c>
    </row>
    <row r="34" spans="1:11">
      <c r="A34" s="2" t="s">
        <v>347</v>
      </c>
      <c r="B34" s="3" t="s">
        <v>348</v>
      </c>
      <c r="D34" s="14">
        <v>5.329874754635431E-9</v>
      </c>
      <c r="E34" s="14">
        <v>1.2856911908784433E-5</v>
      </c>
      <c r="F34" s="14">
        <v>3.1002107557934638E-6</v>
      </c>
      <c r="G34" s="14">
        <v>6.76218073373975E-7</v>
      </c>
      <c r="H34" s="14">
        <v>0</v>
      </c>
      <c r="I34" s="14">
        <v>4.3157490557780289E-7</v>
      </c>
      <c r="J34" s="14">
        <v>2.2929754481715693E-5</v>
      </c>
      <c r="K34" s="14">
        <v>0</v>
      </c>
    </row>
    <row r="35" spans="1:11">
      <c r="A35" s="2" t="s">
        <v>349</v>
      </c>
      <c r="B35" s="3" t="s">
        <v>350</v>
      </c>
      <c r="D35" s="14">
        <v>1.964971856865244E-6</v>
      </c>
      <c r="E35" s="14">
        <v>3.0865690645749599E-6</v>
      </c>
      <c r="F35" s="14">
        <v>1.0280886142451736E-5</v>
      </c>
      <c r="G35" s="14">
        <v>1.8481027142798837E-6</v>
      </c>
      <c r="H35" s="14">
        <v>0</v>
      </c>
      <c r="I35" s="14">
        <v>1.1903559349565809E-6</v>
      </c>
      <c r="J35" s="14">
        <v>2.1629114286871602E-5</v>
      </c>
      <c r="K35" s="14">
        <v>0</v>
      </c>
    </row>
    <row r="36" spans="1:11">
      <c r="A36" s="2" t="s">
        <v>351</v>
      </c>
      <c r="B36" s="3" t="s">
        <v>352</v>
      </c>
      <c r="D36" s="14">
        <v>6.307261087717615E-8</v>
      </c>
      <c r="E36" s="14">
        <v>8.1286883530911971E-7</v>
      </c>
      <c r="F36" s="14">
        <v>1.044515824067143E-5</v>
      </c>
      <c r="G36" s="14">
        <v>4.8218153941198398E-6</v>
      </c>
      <c r="H36" s="14">
        <v>0</v>
      </c>
      <c r="I36" s="14">
        <v>3.159331452488066E-6</v>
      </c>
      <c r="J36" s="14">
        <v>2.0697753466534368E-5</v>
      </c>
      <c r="K36" s="14">
        <v>0</v>
      </c>
    </row>
    <row r="37" spans="1:11">
      <c r="A37" s="2" t="s">
        <v>353</v>
      </c>
      <c r="B37" s="3" t="s">
        <v>354</v>
      </c>
      <c r="D37" s="14">
        <v>4.5047034168521562E-7</v>
      </c>
      <c r="E37" s="14">
        <v>1.3086571051357477E-7</v>
      </c>
      <c r="F37" s="14">
        <v>4.6306335907216181E-6</v>
      </c>
      <c r="G37" s="14">
        <v>1.1669062694811507E-5</v>
      </c>
      <c r="H37" s="14">
        <v>0</v>
      </c>
      <c r="I37" s="14">
        <v>7.8099048920067906E-6</v>
      </c>
      <c r="J37" s="14">
        <v>1.5309062770261298E-5</v>
      </c>
      <c r="K37" s="14">
        <v>0</v>
      </c>
    </row>
    <row r="38" spans="1:11">
      <c r="A38" s="2" t="s">
        <v>355</v>
      </c>
      <c r="B38" s="3" t="s">
        <v>356</v>
      </c>
      <c r="D38" s="14">
        <v>2.3553230912055686E-8</v>
      </c>
      <c r="E38" s="14">
        <v>4.4638557754407368E-7</v>
      </c>
      <c r="F38" s="14">
        <v>8.2513442172918222E-6</v>
      </c>
      <c r="G38" s="14">
        <v>7.0051955015366868E-6</v>
      </c>
      <c r="H38" s="14">
        <v>0</v>
      </c>
      <c r="I38" s="14">
        <v>4.6248636002136485E-6</v>
      </c>
      <c r="J38" s="14">
        <v>1.9648657872501716E-5</v>
      </c>
      <c r="K38" s="14">
        <v>0</v>
      </c>
    </row>
    <row r="39" spans="1:11">
      <c r="A39" s="2" t="s">
        <v>357</v>
      </c>
      <c r="B39" s="3" t="s">
        <v>358</v>
      </c>
      <c r="D39" s="14">
        <v>4.3557342309828051E-6</v>
      </c>
      <c r="E39" s="14">
        <v>6.1449879773838655E-7</v>
      </c>
      <c r="F39" s="14">
        <v>8.7606350302107916E-6</v>
      </c>
      <c r="G39" s="14">
        <v>4.8131693590186892E-6</v>
      </c>
      <c r="H39" s="14">
        <v>0</v>
      </c>
      <c r="I39" s="14">
        <v>3.1604840260178846E-6</v>
      </c>
      <c r="J39" s="14">
        <v>1.8295478556031452E-5</v>
      </c>
      <c r="K39" s="14">
        <v>0</v>
      </c>
    </row>
    <row r="40" spans="1:11">
      <c r="A40" s="2" t="s">
        <v>359</v>
      </c>
      <c r="B40" s="3" t="s">
        <v>360</v>
      </c>
      <c r="D40" s="14">
        <v>2.3553230912055686E-8</v>
      </c>
      <c r="E40" s="14">
        <v>4.4638557754407368E-7</v>
      </c>
      <c r="F40" s="14">
        <v>8.2513442172918222E-6</v>
      </c>
      <c r="G40" s="14">
        <v>7.0051955015366868E-6</v>
      </c>
      <c r="H40" s="14">
        <v>0</v>
      </c>
      <c r="I40" s="14">
        <v>4.6248636002136485E-6</v>
      </c>
      <c r="J40" s="14">
        <v>1.9648657872501716E-5</v>
      </c>
      <c r="K40" s="14">
        <v>0</v>
      </c>
    </row>
    <row r="41" spans="1:11">
      <c r="A41" s="2" t="s">
        <v>313</v>
      </c>
      <c r="B41" s="3" t="s">
        <v>314</v>
      </c>
      <c r="D41" s="14">
        <v>2.3317493777725984E-12</v>
      </c>
      <c r="E41" s="14">
        <v>3.9786812051941473E-5</v>
      </c>
      <c r="F41" s="14">
        <v>1.8922289940371393E-7</v>
      </c>
      <c r="G41" s="14">
        <v>4.502920117706611E-11</v>
      </c>
      <c r="H41" s="14">
        <v>0</v>
      </c>
      <c r="I41" s="14">
        <v>1.6425530642065724E-8</v>
      </c>
      <c r="J41" s="14">
        <v>7.4921570621971468E-9</v>
      </c>
      <c r="K41" s="14">
        <v>0</v>
      </c>
    </row>
    <row r="42" spans="1:11">
      <c r="A42" s="2" t="s">
        <v>315</v>
      </c>
      <c r="B42" s="3" t="s">
        <v>316</v>
      </c>
      <c r="D42" s="14">
        <v>6.509778226945881E-7</v>
      </c>
      <c r="E42" s="14">
        <v>1.1924106819709354E-7</v>
      </c>
      <c r="F42" s="14">
        <v>4.4059585620655621E-6</v>
      </c>
      <c r="G42" s="14">
        <v>1.1938120649895537E-5</v>
      </c>
      <c r="H42" s="14">
        <v>0</v>
      </c>
      <c r="I42" s="14">
        <v>7.9972824952537349E-6</v>
      </c>
      <c r="J42" s="14">
        <v>1.4888419401893483E-5</v>
      </c>
      <c r="K42" s="14">
        <v>0</v>
      </c>
    </row>
    <row r="43" spans="1:11">
      <c r="A43" s="2" t="s">
        <v>317</v>
      </c>
      <c r="B43" s="3" t="s">
        <v>318</v>
      </c>
      <c r="D43" s="14">
        <v>2.437752971461838E-16</v>
      </c>
      <c r="E43" s="14">
        <v>1.960421058545009E-5</v>
      </c>
      <c r="F43" s="14">
        <v>1.3882379401636447E-6</v>
      </c>
      <c r="G43" s="14">
        <v>3.3140531156461179E-7</v>
      </c>
      <c r="H43" s="14">
        <v>0</v>
      </c>
      <c r="I43" s="14">
        <v>2.1442891060267999E-7</v>
      </c>
      <c r="J43" s="14">
        <v>1.8461717251975198E-5</v>
      </c>
      <c r="K43" s="14">
        <v>0</v>
      </c>
    </row>
    <row r="44" spans="1:11">
      <c r="A44" s="2" t="s">
        <v>307</v>
      </c>
      <c r="B44" s="3" t="s">
        <v>308</v>
      </c>
      <c r="D44" s="14">
        <v>2.1479843495556133E-8</v>
      </c>
      <c r="E44" s="14">
        <v>1.2420262573034438E-6</v>
      </c>
      <c r="F44" s="14">
        <v>1.2097770113373303E-5</v>
      </c>
      <c r="G44" s="14">
        <v>3.5107579097315472E-6</v>
      </c>
      <c r="H44" s="14">
        <v>0</v>
      </c>
      <c r="I44" s="14">
        <v>2.2872077378291943E-6</v>
      </c>
      <c r="J44" s="14">
        <v>2.0840758138266962E-5</v>
      </c>
      <c r="K44" s="14">
        <v>0</v>
      </c>
    </row>
    <row r="45" spans="1:11">
      <c r="A45" s="2" t="s">
        <v>319</v>
      </c>
      <c r="B45" s="3" t="s">
        <v>320</v>
      </c>
      <c r="D45" s="14">
        <v>2.2719429902648254E-9</v>
      </c>
      <c r="E45" s="14">
        <v>5.7121169939246053E-8</v>
      </c>
      <c r="F45" s="14">
        <v>3.0100356850444461E-6</v>
      </c>
      <c r="G45" s="14">
        <v>1.4783157357145035E-5</v>
      </c>
      <c r="H45" s="14">
        <v>0</v>
      </c>
      <c r="I45" s="14">
        <v>9.9777150256250933E-6</v>
      </c>
      <c r="J45" s="14">
        <v>1.2169698819255924E-5</v>
      </c>
      <c r="K45" s="14">
        <v>0</v>
      </c>
    </row>
    <row r="46" spans="1:11">
      <c r="A46" s="2" t="s">
        <v>321</v>
      </c>
      <c r="B46" s="3" t="s">
        <v>322</v>
      </c>
      <c r="D46" s="14">
        <v>3.1966936406386522E-9</v>
      </c>
      <c r="E46" s="14">
        <v>1.0894333894198165E-7</v>
      </c>
      <c r="F46" s="14">
        <v>4.2400915324382248E-6</v>
      </c>
      <c r="G46" s="14">
        <v>1.2533454459294449E-5</v>
      </c>
      <c r="H46" s="14">
        <v>0</v>
      </c>
      <c r="I46" s="14">
        <v>8.4053048335461718E-6</v>
      </c>
      <c r="J46" s="14">
        <v>1.4709009142138538E-5</v>
      </c>
      <c r="K46" s="14">
        <v>0</v>
      </c>
    </row>
    <row r="47" spans="1:11">
      <c r="A47" s="2" t="s">
        <v>323</v>
      </c>
      <c r="B47" s="3" t="s">
        <v>324</v>
      </c>
      <c r="D47" s="14">
        <v>2.8774708978889412E-8</v>
      </c>
      <c r="E47" s="14">
        <v>2.3128667061237323E-7</v>
      </c>
      <c r="F47" s="14">
        <v>6.1501421640358488E-6</v>
      </c>
      <c r="G47" s="14">
        <v>9.6024202782169478E-6</v>
      </c>
      <c r="H47" s="14">
        <v>0</v>
      </c>
      <c r="I47" s="14">
        <v>6.3881593984478081E-6</v>
      </c>
      <c r="J47" s="14">
        <v>1.7599216779708139E-5</v>
      </c>
      <c r="K47" s="14">
        <v>0</v>
      </c>
    </row>
    <row r="48" spans="1:11">
      <c r="A48" s="2" t="s">
        <v>325</v>
      </c>
      <c r="B48" s="3" t="s">
        <v>326</v>
      </c>
      <c r="D48" s="14">
        <v>1.1205202718873382E-8</v>
      </c>
      <c r="E48" s="14">
        <v>6.5829322049014443E-6</v>
      </c>
      <c r="F48" s="14">
        <v>6.6022799123290853E-6</v>
      </c>
      <c r="G48" s="14">
        <v>1.2965506530057747E-6</v>
      </c>
      <c r="H48" s="14">
        <v>0</v>
      </c>
      <c r="I48" s="14">
        <v>8.2947757936364315E-7</v>
      </c>
      <c r="J48" s="14">
        <v>2.4677554447681178E-5</v>
      </c>
      <c r="K48" s="14">
        <v>0</v>
      </c>
    </row>
    <row r="49" spans="1:11">
      <c r="A49" s="2" t="s">
        <v>275</v>
      </c>
      <c r="B49" s="3" t="s">
        <v>276</v>
      </c>
      <c r="D49" s="14">
        <v>2.7485632684175159E-10</v>
      </c>
      <c r="E49" s="14">
        <v>1.1503908078087803E-6</v>
      </c>
      <c r="F49" s="14">
        <v>1.1802661539757937E-5</v>
      </c>
      <c r="G49" s="14">
        <v>3.7365905281974598E-6</v>
      </c>
      <c r="H49" s="14">
        <v>0</v>
      </c>
      <c r="I49" s="14">
        <v>2.4369252960624185E-6</v>
      </c>
      <c r="J49" s="14">
        <v>2.0873156971846574E-5</v>
      </c>
      <c r="K49" s="14">
        <v>0</v>
      </c>
    </row>
    <row r="50" spans="1:11">
      <c r="A50" s="2" t="s">
        <v>327</v>
      </c>
      <c r="B50" s="3" t="s">
        <v>328</v>
      </c>
      <c r="D50" s="14">
        <v>1.4215659229083181E-8</v>
      </c>
      <c r="E50" s="14">
        <v>1.0090360177104386E-6</v>
      </c>
      <c r="F50" s="14">
        <v>1.1288629491240563E-5</v>
      </c>
      <c r="G50" s="14">
        <v>4.1317760554736939E-6</v>
      </c>
      <c r="H50" s="14">
        <v>0</v>
      </c>
      <c r="I50" s="14">
        <v>2.699459769835489E-6</v>
      </c>
      <c r="J50" s="14">
        <v>2.0856883006510739E-5</v>
      </c>
      <c r="K50" s="14">
        <v>0</v>
      </c>
    </row>
    <row r="51" spans="1:11">
      <c r="A51" s="2" t="s">
        <v>329</v>
      </c>
      <c r="B51" s="3" t="s">
        <v>330</v>
      </c>
      <c r="D51" s="14">
        <v>6.8088213390605638E-9</v>
      </c>
      <c r="E51" s="14">
        <v>4.9069496655830632E-6</v>
      </c>
      <c r="F51" s="14">
        <v>8.3204373238033557E-6</v>
      </c>
      <c r="G51" s="14">
        <v>1.5719607892538277E-6</v>
      </c>
      <c r="H51" s="14">
        <v>0</v>
      </c>
      <c r="I51" s="14">
        <v>1.0083840980199397E-6</v>
      </c>
      <c r="J51" s="14">
        <v>2.4185459302000756E-5</v>
      </c>
      <c r="K51" s="14">
        <v>0</v>
      </c>
    </row>
    <row r="52" spans="1:11">
      <c r="A52" s="2" t="s">
        <v>277</v>
      </c>
      <c r="B52" s="3" t="s">
        <v>278</v>
      </c>
      <c r="D52" s="14">
        <v>1.7691973583693585E-8</v>
      </c>
      <c r="E52" s="14">
        <v>6.4070180389101837E-6</v>
      </c>
      <c r="F52" s="14">
        <v>6.7553910966566255E-6</v>
      </c>
      <c r="G52" s="14">
        <v>1.3217400584142154E-6</v>
      </c>
      <c r="H52" s="14">
        <v>0</v>
      </c>
      <c r="I52" s="14">
        <v>8.4578850580225691E-7</v>
      </c>
      <c r="J52" s="14">
        <v>2.4652370326633031E-5</v>
      </c>
      <c r="K52" s="14">
        <v>0</v>
      </c>
    </row>
    <row r="53" spans="1:11">
      <c r="A53" s="2" t="s">
        <v>331</v>
      </c>
      <c r="B53" s="3" t="s">
        <v>332</v>
      </c>
      <c r="D53" s="14">
        <v>9.3517183357486578E-9</v>
      </c>
      <c r="E53" s="14">
        <v>6.6095376734486058E-7</v>
      </c>
      <c r="F53" s="14">
        <v>9.6708719457312471E-6</v>
      </c>
      <c r="G53" s="14">
        <v>5.5495936952942964E-6</v>
      </c>
      <c r="H53" s="14">
        <v>0</v>
      </c>
      <c r="I53" s="14">
        <v>3.6460161633224919E-6</v>
      </c>
      <c r="J53" s="14">
        <v>2.0463212709971358E-5</v>
      </c>
      <c r="K53" s="14">
        <v>0</v>
      </c>
    </row>
    <row r="54" spans="1:11">
      <c r="A54" s="2" t="s">
        <v>333</v>
      </c>
      <c r="B54" s="3" t="s">
        <v>334</v>
      </c>
      <c r="D54" s="14">
        <v>1.5529645284113356E-11</v>
      </c>
      <c r="E54" s="14">
        <v>1.0779564128965352E-6</v>
      </c>
      <c r="F54" s="14">
        <v>1.1548770497222687E-5</v>
      </c>
      <c r="G54" s="14">
        <v>3.9312558250196369E-6</v>
      </c>
      <c r="H54" s="14">
        <v>0</v>
      </c>
      <c r="I54" s="14">
        <v>2.5661628293113433E-6</v>
      </c>
      <c r="J54" s="14">
        <v>2.0875838905904524E-5</v>
      </c>
      <c r="K54" s="14">
        <v>0</v>
      </c>
    </row>
    <row r="55" spans="1:11">
      <c r="A55" s="2" t="s">
        <v>335</v>
      </c>
      <c r="B55" s="3" t="s">
        <v>336</v>
      </c>
      <c r="D55" s="14">
        <v>7.4572497363706211E-8</v>
      </c>
      <c r="E55" s="14">
        <v>2.3869226849395859E-7</v>
      </c>
      <c r="F55" s="14">
        <v>6.2381081859076195E-6</v>
      </c>
      <c r="G55" s="14">
        <v>9.4612486813342308E-6</v>
      </c>
      <c r="H55" s="14">
        <v>0</v>
      </c>
      <c r="I55" s="14">
        <v>6.2919496795484049E-6</v>
      </c>
      <c r="J55" s="14">
        <v>1.7695428687352082E-5</v>
      </c>
      <c r="K55" s="14">
        <v>0</v>
      </c>
    </row>
    <row r="56" spans="1:11">
      <c r="A56" s="2" t="s">
        <v>337</v>
      </c>
      <c r="B56" s="3" t="s">
        <v>338</v>
      </c>
      <c r="D56" s="14">
        <v>5.5105936808766919E-9</v>
      </c>
      <c r="E56" s="14">
        <v>1.2110945627675469E-6</v>
      </c>
      <c r="F56" s="14">
        <v>1.2002524599708825E-5</v>
      </c>
      <c r="G56" s="14">
        <v>3.5856521869060443E-6</v>
      </c>
      <c r="H56" s="14">
        <v>0</v>
      </c>
      <c r="I56" s="14">
        <v>2.3368277088633035E-6</v>
      </c>
      <c r="J56" s="14">
        <v>2.0858390348073403E-5</v>
      </c>
      <c r="K56" s="14">
        <v>0</v>
      </c>
    </row>
    <row r="57" spans="1:11">
      <c r="A57" s="2" t="s">
        <v>279</v>
      </c>
      <c r="B57" s="3" t="s">
        <v>280</v>
      </c>
      <c r="D57" s="14">
        <v>3.1402667745201466E-7</v>
      </c>
      <c r="E57" s="14">
        <v>7.3537050827653078E-6</v>
      </c>
      <c r="F57" s="14">
        <v>5.8889892165196188E-6</v>
      </c>
      <c r="G57" s="14">
        <v>1.1758077393155647E-6</v>
      </c>
      <c r="H57" s="14">
        <v>0</v>
      </c>
      <c r="I57" s="14">
        <v>7.5150897480432064E-7</v>
      </c>
      <c r="J57" s="14">
        <v>2.4515962309143176E-5</v>
      </c>
      <c r="K57" s="14">
        <v>0</v>
      </c>
    </row>
    <row r="58" spans="1:11">
      <c r="A58" s="2" t="s">
        <v>339</v>
      </c>
      <c r="B58" s="3" t="s">
        <v>340</v>
      </c>
      <c r="D58" s="14">
        <v>5.4392204564337341E-11</v>
      </c>
      <c r="E58" s="14">
        <v>1.0639380132980182E-6</v>
      </c>
      <c r="F58" s="14">
        <v>1.1497697448750961E-5</v>
      </c>
      <c r="G58" s="14">
        <v>3.9710598424441195E-6</v>
      </c>
      <c r="H58" s="14">
        <v>0</v>
      </c>
      <c r="I58" s="14">
        <v>2.5926070413088261E-6</v>
      </c>
      <c r="J58" s="14">
        <v>2.0874643261993514E-5</v>
      </c>
      <c r="K58" s="14">
        <v>0</v>
      </c>
    </row>
    <row r="59" spans="1:11">
      <c r="A59" s="2" t="s">
        <v>281</v>
      </c>
      <c r="B59" s="3" t="s">
        <v>282</v>
      </c>
      <c r="D59" s="14">
        <v>2.6787940602049087E-9</v>
      </c>
      <c r="E59" s="14">
        <v>6.4094238457976899E-6</v>
      </c>
      <c r="F59" s="14">
        <v>6.7579277160838583E-6</v>
      </c>
      <c r="G59" s="14">
        <v>1.3222363659502197E-6</v>
      </c>
      <c r="H59" s="14">
        <v>0</v>
      </c>
      <c r="I59" s="14">
        <v>8.4610609563894471E-7</v>
      </c>
      <c r="J59" s="14">
        <v>2.4661627182469079E-5</v>
      </c>
      <c r="K59" s="14">
        <v>0</v>
      </c>
    </row>
    <row r="60" spans="1:11">
      <c r="A60" s="2" t="s">
        <v>341</v>
      </c>
      <c r="B60" s="3" t="s">
        <v>342</v>
      </c>
      <c r="D60" s="14">
        <v>7.8380324221868887E-8</v>
      </c>
      <c r="E60" s="14">
        <v>7.4821553331389051E-7</v>
      </c>
      <c r="F60" s="14">
        <v>1.0127010738669355E-5</v>
      </c>
      <c r="G60" s="14">
        <v>5.1000780901675317E-6</v>
      </c>
      <c r="H60" s="14">
        <v>0</v>
      </c>
      <c r="I60" s="14">
        <v>3.3452605580045437E-6</v>
      </c>
      <c r="J60" s="14">
        <v>2.0601054755622814E-5</v>
      </c>
      <c r="K60" s="14">
        <v>0</v>
      </c>
    </row>
    <row r="61" spans="1:11">
      <c r="A61" s="2" t="s">
        <v>483</v>
      </c>
      <c r="B61" s="3" t="s">
        <v>484</v>
      </c>
      <c r="D61" s="14">
        <v>5.6315717587018858E-18</v>
      </c>
      <c r="E61" s="14">
        <v>2.0515861095409528E-5</v>
      </c>
      <c r="F61" s="14">
        <v>3.293264638703212E-6</v>
      </c>
      <c r="G61" s="14">
        <v>5.4871170939723955E-7</v>
      </c>
      <c r="H61" s="14">
        <v>0</v>
      </c>
      <c r="I61" s="14">
        <v>1.1991809353288477E-6</v>
      </c>
      <c r="J61" s="14">
        <v>1.4442981621155544E-5</v>
      </c>
      <c r="K61" s="14">
        <v>0</v>
      </c>
    </row>
    <row r="62" spans="1:11">
      <c r="A62" s="2" t="s">
        <v>485</v>
      </c>
      <c r="B62" s="3" t="s">
        <v>486</v>
      </c>
      <c r="D62" s="14">
        <v>1.4715935029618366E-11</v>
      </c>
      <c r="E62" s="14">
        <v>1.3379735444306383E-5</v>
      </c>
      <c r="F62" s="14">
        <v>2.9191880777428591E-6</v>
      </c>
      <c r="G62" s="14">
        <v>6.4144235299912503E-7</v>
      </c>
      <c r="H62" s="14">
        <v>0</v>
      </c>
      <c r="I62" s="14">
        <v>4.0951216893242429E-7</v>
      </c>
      <c r="J62" s="14">
        <v>2.2650107240084182E-5</v>
      </c>
      <c r="K62" s="14">
        <v>0</v>
      </c>
    </row>
    <row r="63" spans="1:11">
      <c r="A63" s="2" t="s">
        <v>487</v>
      </c>
      <c r="B63" s="3" t="s">
        <v>488</v>
      </c>
      <c r="D63" s="14">
        <v>2.9437671649172318E-17</v>
      </c>
      <c r="E63" s="14">
        <v>3.8090599368487353E-5</v>
      </c>
      <c r="F63" s="14">
        <v>1.312948427510185E-7</v>
      </c>
      <c r="G63" s="14">
        <v>1.732385020819491E-8</v>
      </c>
      <c r="H63" s="14">
        <v>0</v>
      </c>
      <c r="I63" s="14">
        <v>1.1475457563670199E-7</v>
      </c>
      <c r="J63" s="14">
        <v>1.6460273628872934E-6</v>
      </c>
      <c r="K63" s="14">
        <v>0</v>
      </c>
    </row>
    <row r="64" spans="1:11">
      <c r="A64" s="2" t="s">
        <v>489</v>
      </c>
      <c r="B64" s="3" t="s">
        <v>490</v>
      </c>
      <c r="D64" s="14">
        <v>5.3139224668658221E-19</v>
      </c>
      <c r="E64" s="14">
        <v>3.9760255571824085E-5</v>
      </c>
      <c r="F64" s="14">
        <v>4.900537509334199E-8</v>
      </c>
      <c r="G64" s="14">
        <v>6.0844465250567044E-10</v>
      </c>
      <c r="H64" s="14">
        <v>0</v>
      </c>
      <c r="I64" s="14">
        <v>1.517264727150796E-8</v>
      </c>
      <c r="J64" s="14">
        <v>1.7495796115803463E-7</v>
      </c>
      <c r="K64" s="14">
        <v>0</v>
      </c>
    </row>
    <row r="65" spans="1:11">
      <c r="A65" s="2" t="s">
        <v>491</v>
      </c>
      <c r="B65" s="3" t="s">
        <v>492</v>
      </c>
      <c r="D65" s="14">
        <v>8.7759163114292308E-17</v>
      </c>
      <c r="E65" s="14">
        <v>3.9893144115798694E-5</v>
      </c>
      <c r="F65" s="14">
        <v>6.3620740857303898E-9</v>
      </c>
      <c r="G65" s="14">
        <v>2.8297120394400815E-10</v>
      </c>
      <c r="H65" s="14">
        <v>0</v>
      </c>
      <c r="I65" s="14">
        <v>2.290098125947037E-8</v>
      </c>
      <c r="J65" s="14">
        <v>7.7309857564402186E-8</v>
      </c>
      <c r="K65" s="14">
        <v>0</v>
      </c>
    </row>
    <row r="66" spans="1:11">
      <c r="A66" s="2" t="s">
        <v>493</v>
      </c>
      <c r="B66" s="3" t="s">
        <v>494</v>
      </c>
      <c r="D66" s="14">
        <v>1.3823860717617868E-15</v>
      </c>
      <c r="E66" s="14">
        <v>3.7201489441696731E-5</v>
      </c>
      <c r="F66" s="14">
        <v>9.6551829270951353E-7</v>
      </c>
      <c r="G66" s="14">
        <v>2.4197658607543913E-8</v>
      </c>
      <c r="H66" s="14">
        <v>0</v>
      </c>
      <c r="I66" s="14">
        <v>9.7740234808769184E-7</v>
      </c>
      <c r="J66" s="14">
        <v>8.3139225751614584E-7</v>
      </c>
      <c r="K66" s="14">
        <v>0</v>
      </c>
    </row>
    <row r="67" spans="1:11">
      <c r="A67" s="2" t="s">
        <v>495</v>
      </c>
      <c r="B67" s="3" t="s">
        <v>496</v>
      </c>
      <c r="D67" s="14">
        <v>6.8545773298444921E-17</v>
      </c>
      <c r="E67" s="14">
        <v>3.9885987059397015E-5</v>
      </c>
      <c r="F67" s="14">
        <v>5.3637020467690121E-9</v>
      </c>
      <c r="G67" s="14">
        <v>2.9321054072972627E-10</v>
      </c>
      <c r="H67" s="14">
        <v>0</v>
      </c>
      <c r="I67" s="14">
        <v>2.1441533290936102E-8</v>
      </c>
      <c r="J67" s="14">
        <v>8.6914494656004093E-8</v>
      </c>
      <c r="K67" s="14">
        <v>0</v>
      </c>
    </row>
    <row r="68" spans="1:11">
      <c r="A68" s="2" t="s">
        <v>497</v>
      </c>
      <c r="B68" s="3" t="s">
        <v>498</v>
      </c>
      <c r="D68" s="14">
        <v>6.1982587385867763E-16</v>
      </c>
      <c r="E68" s="14">
        <v>3.99489704555947E-5</v>
      </c>
      <c r="F68" s="14">
        <v>6.3783259624326212E-10</v>
      </c>
      <c r="G68" s="14">
        <v>4.9212200625498244E-11</v>
      </c>
      <c r="H68" s="14">
        <v>0</v>
      </c>
      <c r="I68" s="14">
        <v>1.52297027395044E-8</v>
      </c>
      <c r="J68" s="14">
        <v>3.5112796249109345E-8</v>
      </c>
      <c r="K68" s="14">
        <v>0</v>
      </c>
    </row>
    <row r="69" spans="1:11">
      <c r="A69" s="2" t="s">
        <v>499</v>
      </c>
      <c r="B69" s="3" t="s">
        <v>500</v>
      </c>
      <c r="D69" s="14">
        <v>1.3818419928607193E-15</v>
      </c>
      <c r="E69" s="14">
        <v>1.3805624310408003E-6</v>
      </c>
      <c r="F69" s="14">
        <v>1.2514762185141201E-5</v>
      </c>
      <c r="G69" s="14">
        <v>3.2197945178992186E-6</v>
      </c>
      <c r="H69" s="14">
        <v>0</v>
      </c>
      <c r="I69" s="14">
        <v>2.0945793807120875E-6</v>
      </c>
      <c r="J69" s="14">
        <v>2.079030148382486E-5</v>
      </c>
      <c r="K69" s="14">
        <v>0</v>
      </c>
    </row>
    <row r="70" spans="1:11">
      <c r="A70" s="2" t="s">
        <v>501</v>
      </c>
      <c r="B70" s="3" t="s">
        <v>411</v>
      </c>
      <c r="D70" s="14">
        <v>1.1419737030003534E-17</v>
      </c>
      <c r="E70" s="14">
        <v>3.985802431461078E-5</v>
      </c>
      <c r="F70" s="14">
        <v>1.2391683662878228E-7</v>
      </c>
      <c r="G70" s="14">
        <v>1.1776763192229736E-11</v>
      </c>
      <c r="H70" s="14">
        <v>0</v>
      </c>
      <c r="I70" s="14">
        <v>1.5719309992844828E-8</v>
      </c>
      <c r="J70" s="14">
        <v>2.3277619929871409E-9</v>
      </c>
      <c r="K70" s="14">
        <v>0</v>
      </c>
    </row>
    <row r="71" spans="1:11">
      <c r="A71" s="2" t="s">
        <v>502</v>
      </c>
      <c r="B71" s="3" t="s">
        <v>412</v>
      </c>
      <c r="D71" s="14">
        <v>5.345169518316104E-13</v>
      </c>
      <c r="E71" s="14">
        <v>3.9743085580035797E-5</v>
      </c>
      <c r="F71" s="14">
        <v>2.3672064325831651E-7</v>
      </c>
      <c r="G71" s="14">
        <v>2.1513072766931169E-11</v>
      </c>
      <c r="H71" s="14">
        <v>0</v>
      </c>
      <c r="I71" s="14">
        <v>1.6904233024703132E-8</v>
      </c>
      <c r="J71" s="14">
        <v>3.2674960914688555E-9</v>
      </c>
      <c r="K71" s="14">
        <v>0</v>
      </c>
    </row>
    <row r="72" spans="1:11">
      <c r="A72" s="2" t="s">
        <v>503</v>
      </c>
      <c r="B72" s="3" t="s">
        <v>413</v>
      </c>
      <c r="D72" s="14">
        <v>6.2738770358414042E-14</v>
      </c>
      <c r="E72" s="14">
        <v>1.4222491693954179E-6</v>
      </c>
      <c r="F72" s="14">
        <v>3.6216813708563996E-5</v>
      </c>
      <c r="G72" s="14">
        <v>1.6633153612349228E-8</v>
      </c>
      <c r="H72" s="14">
        <v>0</v>
      </c>
      <c r="I72" s="14">
        <v>2.3122347719400695E-6</v>
      </c>
      <c r="J72" s="14">
        <v>3.2069133749394864E-8</v>
      </c>
      <c r="K72" s="14">
        <v>0</v>
      </c>
    </row>
    <row r="73" spans="1:11">
      <c r="A73" s="2" t="s">
        <v>504</v>
      </c>
      <c r="B73" s="3" t="s">
        <v>414</v>
      </c>
      <c r="D73" s="14">
        <v>6.7492109205468217E-14</v>
      </c>
      <c r="E73" s="14">
        <v>1.0862072240217616E-5</v>
      </c>
      <c r="F73" s="14">
        <v>2.8888649333061321E-5</v>
      </c>
      <c r="G73" s="14">
        <v>1.6699043514346868E-9</v>
      </c>
      <c r="H73" s="14">
        <v>0</v>
      </c>
      <c r="I73" s="14">
        <v>2.2619906815720014E-7</v>
      </c>
      <c r="J73" s="14">
        <v>2.1409386720319592E-8</v>
      </c>
      <c r="K73" s="14">
        <v>0</v>
      </c>
    </row>
    <row r="74" spans="1:11">
      <c r="A74" s="2" t="s">
        <v>505</v>
      </c>
      <c r="B74" s="3" t="s">
        <v>415</v>
      </c>
      <c r="D74" s="14">
        <v>6.5761415829178784E-14</v>
      </c>
      <c r="E74" s="14">
        <v>3.976590229998404E-5</v>
      </c>
      <c r="F74" s="14">
        <v>2.1431145832979115E-7</v>
      </c>
      <c r="G74" s="14">
        <v>1.9561842177228838E-11</v>
      </c>
      <c r="H74" s="14">
        <v>0</v>
      </c>
      <c r="I74" s="14">
        <v>1.6672599321679626E-8</v>
      </c>
      <c r="J74" s="14">
        <v>3.094014760900254E-9</v>
      </c>
      <c r="K74" s="14">
        <v>0</v>
      </c>
    </row>
    <row r="75" spans="1:11">
      <c r="A75" s="2" t="s">
        <v>506</v>
      </c>
      <c r="B75" s="3" t="s">
        <v>416</v>
      </c>
      <c r="D75" s="14">
        <v>2.7720808394234551E-13</v>
      </c>
      <c r="E75" s="14">
        <v>1.229944677024801E-5</v>
      </c>
      <c r="F75" s="14">
        <v>2.7458709828726583E-5</v>
      </c>
      <c r="G75" s="14">
        <v>1.6078461381820898E-9</v>
      </c>
      <c r="H75" s="14">
        <v>0</v>
      </c>
      <c r="I75" s="14">
        <v>2.1810651570251697E-7</v>
      </c>
      <c r="J75" s="14">
        <v>2.212876197662733E-8</v>
      </c>
      <c r="K75" s="14">
        <v>0</v>
      </c>
    </row>
    <row r="76" spans="1:11">
      <c r="A76" s="2" t="s">
        <v>507</v>
      </c>
      <c r="B76" s="3" t="s">
        <v>417</v>
      </c>
      <c r="D76" s="14">
        <v>1.766016809404722E-12</v>
      </c>
      <c r="E76" s="14">
        <v>3.5565992435929717E-5</v>
      </c>
      <c r="F76" s="14">
        <v>4.3658567539137928E-6</v>
      </c>
      <c r="G76" s="14">
        <v>3.1749420007030286E-10</v>
      </c>
      <c r="H76" s="14">
        <v>0</v>
      </c>
      <c r="I76" s="14">
        <v>5.3678552547811918E-8</v>
      </c>
      <c r="J76" s="14">
        <v>1.4152997391808361E-8</v>
      </c>
      <c r="K76" s="14">
        <v>0</v>
      </c>
    </row>
    <row r="77" spans="1:11">
      <c r="A77" s="2" t="s">
        <v>508</v>
      </c>
      <c r="B77" s="3" t="s">
        <v>418</v>
      </c>
      <c r="D77" s="14">
        <v>2.0645717311793826E-12</v>
      </c>
      <c r="E77" s="14">
        <v>1.1261858733470784E-5</v>
      </c>
      <c r="F77" s="14">
        <v>2.8490798796368684E-5</v>
      </c>
      <c r="G77" s="14">
        <v>1.6579481315047025E-9</v>
      </c>
      <c r="H77" s="14">
        <v>0</v>
      </c>
      <c r="I77" s="14">
        <v>2.2399125788297911E-7</v>
      </c>
      <c r="J77" s="14">
        <v>2.1691199574322202E-8</v>
      </c>
      <c r="K77" s="14">
        <v>0</v>
      </c>
    </row>
    <row r="78" spans="1:11">
      <c r="A78" s="2" t="s">
        <v>509</v>
      </c>
      <c r="B78" s="3" t="s">
        <v>419</v>
      </c>
      <c r="D78" s="14">
        <v>2.5372683388394079E-13</v>
      </c>
      <c r="E78" s="14">
        <v>1.5868142301016939E-6</v>
      </c>
      <c r="F78" s="14">
        <v>3.6420058314550102E-5</v>
      </c>
      <c r="G78" s="14">
        <v>1.4054163318838303E-8</v>
      </c>
      <c r="H78" s="14">
        <v>0</v>
      </c>
      <c r="I78" s="14">
        <v>1.9484733060392422E-6</v>
      </c>
      <c r="J78" s="14">
        <v>3.0599732263293789E-8</v>
      </c>
      <c r="K78" s="14">
        <v>0</v>
      </c>
    </row>
    <row r="79" spans="1:11">
      <c r="A79" s="2" t="s">
        <v>510</v>
      </c>
      <c r="B79" s="3" t="s">
        <v>420</v>
      </c>
      <c r="D79" s="14">
        <v>6.3733316184845112E-18</v>
      </c>
      <c r="E79" s="14">
        <v>1.5868145751720144E-6</v>
      </c>
      <c r="F79" s="14">
        <v>3.6420066234494953E-5</v>
      </c>
      <c r="G79" s="14">
        <v>1.4051942223422491E-8</v>
      </c>
      <c r="H79" s="14">
        <v>0</v>
      </c>
      <c r="I79" s="14">
        <v>1.9484723517681702E-6</v>
      </c>
      <c r="J79" s="14">
        <v>3.0594896335070025E-8</v>
      </c>
      <c r="K79" s="14">
        <v>0</v>
      </c>
    </row>
    <row r="80" spans="1:11">
      <c r="A80" s="2" t="s">
        <v>511</v>
      </c>
      <c r="B80" s="3" t="s">
        <v>421</v>
      </c>
      <c r="D80" s="14">
        <v>3.1209980858074439E-13</v>
      </c>
      <c r="E80" s="14">
        <v>2.6605608034190319E-5</v>
      </c>
      <c r="F80" s="14">
        <v>1.3248531386885233E-5</v>
      </c>
      <c r="G80" s="14">
        <v>8.6642724066279324E-10</v>
      </c>
      <c r="H80" s="14">
        <v>0</v>
      </c>
      <c r="I80" s="14">
        <v>1.2309380862918533E-7</v>
      </c>
      <c r="J80" s="14">
        <v>2.1900030954796169E-8</v>
      </c>
      <c r="K80" s="14">
        <v>0</v>
      </c>
    </row>
    <row r="81" spans="1:11">
      <c r="A81" s="2" t="s">
        <v>512</v>
      </c>
      <c r="B81" s="3" t="s">
        <v>422</v>
      </c>
      <c r="D81" s="14">
        <v>1.2399965004345824E-13</v>
      </c>
      <c r="E81" s="14">
        <v>3.9026548651638744E-5</v>
      </c>
      <c r="F81" s="14">
        <v>9.4296309536595547E-7</v>
      </c>
      <c r="G81" s="14">
        <v>7.7065332287804975E-11</v>
      </c>
      <c r="H81" s="14">
        <v>0</v>
      </c>
      <c r="I81" s="14">
        <v>2.377406567700798E-8</v>
      </c>
      <c r="J81" s="14">
        <v>6.6369979863583337E-9</v>
      </c>
      <c r="K81" s="14">
        <v>0</v>
      </c>
    </row>
    <row r="82" spans="1:11">
      <c r="A82" s="2" t="s">
        <v>513</v>
      </c>
      <c r="B82" s="3" t="s">
        <v>423</v>
      </c>
      <c r="D82" s="14">
        <v>3.9716422614555963E-17</v>
      </c>
      <c r="E82" s="14">
        <v>3.7546528403569051E-5</v>
      </c>
      <c r="F82" s="14">
        <v>2.4057158979610043E-6</v>
      </c>
      <c r="G82" s="14">
        <v>1.8295317991847228E-10</v>
      </c>
      <c r="H82" s="14">
        <v>0</v>
      </c>
      <c r="I82" s="14">
        <v>3.6959392645351186E-8</v>
      </c>
      <c r="J82" s="14">
        <v>1.0613352604964654E-8</v>
      </c>
      <c r="K82" s="14">
        <v>0</v>
      </c>
    </row>
    <row r="83" spans="1:11">
      <c r="A83" s="2" t="s">
        <v>514</v>
      </c>
      <c r="B83" s="3" t="s">
        <v>424</v>
      </c>
      <c r="D83" s="14">
        <v>8.7812164763588511E-14</v>
      </c>
      <c r="E83" s="14">
        <v>1.0399545751252544E-6</v>
      </c>
      <c r="F83" s="14">
        <v>3.5239433667888132E-5</v>
      </c>
      <c r="G83" s="14">
        <v>2.612120932444934E-8</v>
      </c>
      <c r="H83" s="14">
        <v>0</v>
      </c>
      <c r="I83" s="14">
        <v>3.6584404066463465E-6</v>
      </c>
      <c r="J83" s="14">
        <v>3.6050053203660379E-8</v>
      </c>
      <c r="K83" s="14">
        <v>0</v>
      </c>
    </row>
    <row r="84" spans="1:11">
      <c r="A84" s="2" t="s">
        <v>403</v>
      </c>
      <c r="B84" s="3" t="s">
        <v>404</v>
      </c>
      <c r="D84" s="14">
        <v>2.6998602425196958E-48</v>
      </c>
      <c r="E84" s="14">
        <v>1.7206040789139591E-5</v>
      </c>
      <c r="F84" s="14">
        <v>1.8638694863699958E-6</v>
      </c>
      <c r="G84" s="14">
        <v>4.3123207272989552E-7</v>
      </c>
      <c r="H84" s="14">
        <v>0</v>
      </c>
      <c r="I84" s="14">
        <v>2.7687728383017585E-7</v>
      </c>
      <c r="J84" s="14">
        <v>2.0221980367930352E-5</v>
      </c>
      <c r="K84" s="14">
        <v>0</v>
      </c>
    </row>
    <row r="85" spans="1:11">
      <c r="A85" s="2" t="s">
        <v>405</v>
      </c>
      <c r="B85" s="3" t="s">
        <v>406</v>
      </c>
      <c r="D85" s="14">
        <v>1.5116632774074027E-12</v>
      </c>
      <c r="E85" s="14">
        <v>5.5357453159703384E-6</v>
      </c>
      <c r="F85" s="14">
        <v>8.6700572059573563E-6</v>
      </c>
      <c r="G85" s="14">
        <v>4.5325828930254229E-7</v>
      </c>
      <c r="H85" s="14">
        <v>0</v>
      </c>
      <c r="I85" s="14">
        <v>2.3635411514303353E-5</v>
      </c>
      <c r="J85" s="14">
        <v>1.7055261628031315E-6</v>
      </c>
      <c r="K85" s="14">
        <v>0</v>
      </c>
    </row>
    <row r="86" spans="1:11">
      <c r="A86" s="2" t="s">
        <v>407</v>
      </c>
      <c r="B86" s="3" t="s">
        <v>408</v>
      </c>
      <c r="D86" s="14">
        <v>4.984522842982407E-9</v>
      </c>
      <c r="E86" s="14">
        <v>6.8964128932262722E-8</v>
      </c>
      <c r="F86" s="14">
        <v>3.3327121554999985E-6</v>
      </c>
      <c r="G86" s="14">
        <v>1.4157721366802575E-5</v>
      </c>
      <c r="H86" s="14">
        <v>0</v>
      </c>
      <c r="I86" s="14">
        <v>9.5381043169297629E-6</v>
      </c>
      <c r="J86" s="14">
        <v>1.2897513508992422E-5</v>
      </c>
      <c r="K86" s="14">
        <v>0</v>
      </c>
    </row>
    <row r="87" spans="1:11">
      <c r="A87" s="2" t="s">
        <v>409</v>
      </c>
      <c r="B87" s="3" t="s">
        <v>410</v>
      </c>
      <c r="D87" s="14">
        <v>6.6066010948968141E-10</v>
      </c>
      <c r="E87" s="14">
        <v>2.5581013653385916E-8</v>
      </c>
      <c r="F87" s="14">
        <v>1.9224378118479296E-6</v>
      </c>
      <c r="G87" s="14">
        <v>1.7113855284580091E-5</v>
      </c>
      <c r="H87" s="14">
        <v>0</v>
      </c>
      <c r="I87" s="14">
        <v>1.1637946235495514E-5</v>
      </c>
      <c r="J87" s="14">
        <v>9.2995189943135967E-6</v>
      </c>
      <c r="K87" s="14">
        <v>0</v>
      </c>
    </row>
    <row r="88" spans="1:11">
      <c r="A88" s="2" t="s">
        <v>301</v>
      </c>
      <c r="B88" s="3" t="s">
        <v>302</v>
      </c>
      <c r="D88" s="14">
        <v>8.6990100967771171E-11</v>
      </c>
      <c r="E88" s="14">
        <v>7.6547233496553751E-9</v>
      </c>
      <c r="F88" s="14">
        <v>9.5048233506383889E-7</v>
      </c>
      <c r="G88" s="14">
        <v>1.9626352971743801E-5</v>
      </c>
      <c r="H88" s="14">
        <v>0</v>
      </c>
      <c r="I88" s="14">
        <v>1.3489551398141917E-5</v>
      </c>
      <c r="J88" s="14">
        <v>5.9258715815998201E-6</v>
      </c>
      <c r="K88" s="14">
        <v>0</v>
      </c>
    </row>
    <row r="89" spans="1:11">
      <c r="A89" s="2" t="s">
        <v>303</v>
      </c>
      <c r="B89" s="3" t="s">
        <v>304</v>
      </c>
      <c r="D89" s="14">
        <v>7.0858490606326061E-18</v>
      </c>
      <c r="E89" s="14">
        <v>5.465196568509213E-8</v>
      </c>
      <c r="F89" s="14">
        <v>6.2242769093226673E-7</v>
      </c>
      <c r="G89" s="14">
        <v>1.6188066561691926E-6</v>
      </c>
      <c r="H89" s="14">
        <v>0</v>
      </c>
      <c r="I89" s="14">
        <v>3.7021291519455822E-5</v>
      </c>
      <c r="J89" s="14">
        <v>6.8282216775054498E-7</v>
      </c>
      <c r="K89" s="14">
        <v>0</v>
      </c>
    </row>
    <row r="90" spans="1:11">
      <c r="A90" s="2" t="s">
        <v>425</v>
      </c>
      <c r="B90" s="3" t="s">
        <v>426</v>
      </c>
      <c r="D90" s="14">
        <v>6.3924901650895007E-18</v>
      </c>
      <c r="E90" s="14">
        <v>3.8978198878669309E-5</v>
      </c>
      <c r="F90" s="14">
        <v>3.6562536549548979E-9</v>
      </c>
      <c r="G90" s="14">
        <v>1.2276133553723752E-9</v>
      </c>
      <c r="H90" s="14">
        <v>0</v>
      </c>
      <c r="I90" s="14">
        <v>1.4671477138847134E-8</v>
      </c>
      <c r="J90" s="14">
        <v>1.0022457771751264E-6</v>
      </c>
      <c r="K90" s="14">
        <v>0</v>
      </c>
    </row>
    <row r="91" spans="1:11">
      <c r="A91" s="2" t="s">
        <v>427</v>
      </c>
      <c r="B91" s="3" t="s">
        <v>428</v>
      </c>
      <c r="D91" s="14">
        <v>3.5086277011889962E-9</v>
      </c>
      <c r="E91" s="14">
        <v>3.060814093426088E-5</v>
      </c>
      <c r="F91" s="14">
        <v>2.3410543842897279E-7</v>
      </c>
      <c r="G91" s="14">
        <v>6.5842613057986977E-8</v>
      </c>
      <c r="H91" s="14">
        <v>0</v>
      </c>
      <c r="I91" s="14">
        <v>5.1497971512947082E-8</v>
      </c>
      <c r="J91" s="14">
        <v>9.0369044150380287E-6</v>
      </c>
      <c r="K91" s="14">
        <v>0</v>
      </c>
    </row>
    <row r="92" spans="1:11">
      <c r="A92" s="2" t="s">
        <v>429</v>
      </c>
      <c r="B92" s="3" t="s">
        <v>430</v>
      </c>
      <c r="D92" s="14">
        <v>4.2133118241498433E-8</v>
      </c>
      <c r="E92" s="14">
        <v>1.0616057609934152E-5</v>
      </c>
      <c r="F92" s="14">
        <v>4.0151134123415667E-6</v>
      </c>
      <c r="G92" s="14">
        <v>8.4721448502525423E-7</v>
      </c>
      <c r="H92" s="14">
        <v>0</v>
      </c>
      <c r="I92" s="14">
        <v>5.4048147289110415E-7</v>
      </c>
      <c r="J92" s="14">
        <v>2.3938999901566436E-5</v>
      </c>
      <c r="K92" s="14">
        <v>0</v>
      </c>
    </row>
    <row r="93" spans="1:11">
      <c r="A93" s="2" t="s">
        <v>431</v>
      </c>
      <c r="B93" s="3" t="s">
        <v>432</v>
      </c>
      <c r="D93" s="14">
        <v>4.8218168723235461E-22</v>
      </c>
      <c r="E93" s="14">
        <v>3.9961892287253198E-5</v>
      </c>
      <c r="F93" s="14">
        <v>1.7448198576481146E-8</v>
      </c>
      <c r="G93" s="14">
        <v>1.3978884504551384E-11</v>
      </c>
      <c r="H93" s="14">
        <v>0</v>
      </c>
      <c r="I93" s="14">
        <v>1.4525060019217821E-8</v>
      </c>
      <c r="J93" s="14">
        <v>6.1204752666051111E-9</v>
      </c>
      <c r="K93" s="14">
        <v>0</v>
      </c>
    </row>
    <row r="94" spans="1:11">
      <c r="A94" s="2" t="s">
        <v>433</v>
      </c>
      <c r="B94" s="3" t="s">
        <v>434</v>
      </c>
      <c r="D94" s="14">
        <v>1.0151523744515336E-22</v>
      </c>
      <c r="E94" s="14">
        <v>3.9985349767089712E-5</v>
      </c>
      <c r="F94" s="14">
        <v>6.7640288290729606E-11</v>
      </c>
      <c r="G94" s="14">
        <v>9.4384589581875452E-14</v>
      </c>
      <c r="H94" s="14">
        <v>0</v>
      </c>
      <c r="I94" s="14">
        <v>1.442825230425411E-8</v>
      </c>
      <c r="J94" s="14">
        <v>1.542459331508571E-10</v>
      </c>
      <c r="K94" s="14">
        <v>0</v>
      </c>
    </row>
    <row r="95" spans="1:11">
      <c r="A95" s="2" t="s">
        <v>435</v>
      </c>
      <c r="B95" s="3" t="s">
        <v>436</v>
      </c>
      <c r="D95" s="14">
        <v>5.4546988633626707E-13</v>
      </c>
      <c r="E95" s="14">
        <v>3.764426707797098E-5</v>
      </c>
      <c r="F95" s="14">
        <v>1.496291423434561E-8</v>
      </c>
      <c r="G95" s="14">
        <v>5.1897618937327022E-9</v>
      </c>
      <c r="H95" s="14">
        <v>0</v>
      </c>
      <c r="I95" s="14">
        <v>1.679693686317553E-8</v>
      </c>
      <c r="J95" s="14">
        <v>2.3187827635678898E-6</v>
      </c>
      <c r="K95" s="14">
        <v>0</v>
      </c>
    </row>
    <row r="96" spans="1:11">
      <c r="A96" s="2" t="s">
        <v>437</v>
      </c>
      <c r="B96" s="163" t="s">
        <v>438</v>
      </c>
      <c r="D96" s="14">
        <v>9.0835265904776868E-12</v>
      </c>
      <c r="E96" s="14">
        <v>9.7812454308897201E-8</v>
      </c>
      <c r="F96" s="14">
        <v>4.0098553538170849E-6</v>
      </c>
      <c r="G96" s="14">
        <v>1.2930766282542712E-5</v>
      </c>
      <c r="H96" s="14">
        <v>0</v>
      </c>
      <c r="I96" s="14">
        <v>8.6812712447991913E-6</v>
      </c>
      <c r="J96" s="14">
        <v>1.4280285581005533E-5</v>
      </c>
      <c r="K96" s="14">
        <v>0</v>
      </c>
    </row>
    <row r="97" spans="1:11">
      <c r="A97" s="2" t="s">
        <v>439</v>
      </c>
      <c r="B97" s="3" t="s">
        <v>440</v>
      </c>
      <c r="D97" s="14">
        <v>1.7994543554851543E-9</v>
      </c>
      <c r="E97" s="14">
        <v>2.7159420515693636E-5</v>
      </c>
      <c r="F97" s="14">
        <v>4.6239704478599335E-7</v>
      </c>
      <c r="G97" s="14">
        <v>1.226056841809976E-7</v>
      </c>
      <c r="H97" s="14">
        <v>0</v>
      </c>
      <c r="I97" s="14">
        <v>8.5664257058964608E-8</v>
      </c>
      <c r="J97" s="14">
        <v>1.2168113043924927E-5</v>
      </c>
      <c r="K97" s="14">
        <v>0</v>
      </c>
    </row>
    <row r="98" spans="1:11">
      <c r="A98" s="2" t="s">
        <v>441</v>
      </c>
      <c r="B98" s="3" t="s">
        <v>442</v>
      </c>
      <c r="D98" s="14">
        <v>1.1669532991885887E-21</v>
      </c>
      <c r="E98" s="14">
        <v>3.0018787096712432E-5</v>
      </c>
      <c r="F98" s="14">
        <v>2.6676428883653512E-7</v>
      </c>
      <c r="G98" s="14">
        <v>7.4203304545259219E-8</v>
      </c>
      <c r="H98" s="14">
        <v>0</v>
      </c>
      <c r="I98" s="14">
        <v>5.6486466977451202E-8</v>
      </c>
      <c r="J98" s="14">
        <v>9.583758842928327E-6</v>
      </c>
      <c r="K98" s="14">
        <v>0</v>
      </c>
    </row>
    <row r="99" spans="1:11">
      <c r="A99" s="2" t="s">
        <v>443</v>
      </c>
      <c r="B99" s="3" t="s">
        <v>444</v>
      </c>
      <c r="D99" s="14">
        <v>1.7045777534600509E-33</v>
      </c>
      <c r="E99" s="14">
        <v>3.5149283829272258E-5</v>
      </c>
      <c r="F99" s="14">
        <v>5.9964060136352994E-8</v>
      </c>
      <c r="G99" s="14">
        <v>1.8835909121038389E-8</v>
      </c>
      <c r="H99" s="14">
        <v>0</v>
      </c>
      <c r="I99" s="14">
        <v>2.4041852598471457E-8</v>
      </c>
      <c r="J99" s="14">
        <v>4.747874348871887E-6</v>
      </c>
      <c r="K99" s="14">
        <v>0</v>
      </c>
    </row>
    <row r="100" spans="1:11">
      <c r="A100" s="2" t="s">
        <v>445</v>
      </c>
      <c r="B100" s="3" t="s">
        <v>446</v>
      </c>
      <c r="D100" s="14">
        <v>8.7506940481481095E-12</v>
      </c>
      <c r="E100" s="14">
        <v>5.8998662229771793E-7</v>
      </c>
      <c r="F100" s="14">
        <v>9.2515971719300783E-6</v>
      </c>
      <c r="G100" s="14">
        <v>5.9622786627589546E-6</v>
      </c>
      <c r="H100" s="14">
        <v>0</v>
      </c>
      <c r="I100" s="14">
        <v>3.9228076180773725E-6</v>
      </c>
      <c r="J100" s="14">
        <v>2.0273321174241832E-5</v>
      </c>
      <c r="K100" s="14">
        <v>0</v>
      </c>
    </row>
    <row r="101" spans="1:11">
      <c r="A101" s="2" t="s">
        <v>447</v>
      </c>
      <c r="B101" s="3" t="s">
        <v>448</v>
      </c>
      <c r="D101" s="14">
        <v>3.2438969108984634E-13</v>
      </c>
      <c r="E101" s="14">
        <v>1.2988132444956214E-5</v>
      </c>
      <c r="F101" s="14">
        <v>3.0545079445024652E-6</v>
      </c>
      <c r="G101" s="14">
        <v>6.6747778241268784E-7</v>
      </c>
      <c r="H101" s="14">
        <v>0</v>
      </c>
      <c r="I101" s="14">
        <v>4.2602714890078019E-7</v>
      </c>
      <c r="J101" s="14">
        <v>2.2863854354838165E-5</v>
      </c>
      <c r="K101" s="14">
        <v>0</v>
      </c>
    </row>
    <row r="102" spans="1:11">
      <c r="A102" s="2" t="s">
        <v>449</v>
      </c>
      <c r="B102" s="3" t="s">
        <v>450</v>
      </c>
      <c r="D102" s="14">
        <v>2.5068853117411343E-8</v>
      </c>
      <c r="E102" s="14">
        <v>4.9766159856477691E-6</v>
      </c>
      <c r="F102" s="14">
        <v>8.2301676248681087E-6</v>
      </c>
      <c r="G102" s="14">
        <v>1.5577732289046435E-6</v>
      </c>
      <c r="H102" s="14">
        <v>0</v>
      </c>
      <c r="I102" s="14">
        <v>9.9914357449652709E-7</v>
      </c>
      <c r="J102" s="14">
        <v>2.4211230732965546E-5</v>
      </c>
      <c r="K102" s="14">
        <v>0</v>
      </c>
    </row>
    <row r="103" spans="1:11">
      <c r="A103" s="2" t="s">
        <v>451</v>
      </c>
      <c r="B103" s="3" t="s">
        <v>452</v>
      </c>
      <c r="D103" s="14">
        <v>1.9366278359103423E-23</v>
      </c>
      <c r="E103" s="14">
        <v>3.9513283783921783E-5</v>
      </c>
      <c r="F103" s="14">
        <v>4.6231466940158479E-7</v>
      </c>
      <c r="G103" s="14">
        <v>4.486553822964747E-11</v>
      </c>
      <c r="H103" s="14">
        <v>0</v>
      </c>
      <c r="I103" s="14">
        <v>1.9173152376104954E-8</v>
      </c>
      <c r="J103" s="14">
        <v>5.1835287623033783E-9</v>
      </c>
      <c r="K103" s="14">
        <v>0</v>
      </c>
    </row>
    <row r="104" spans="1:11">
      <c r="A104" s="2" t="s">
        <v>453</v>
      </c>
      <c r="B104" s="3" t="s">
        <v>454</v>
      </c>
      <c r="D104" s="14">
        <v>4.0404472595109181E-24</v>
      </c>
      <c r="E104" s="14">
        <v>3.9894647469623272E-6</v>
      </c>
      <c r="F104" s="14">
        <v>3.5328824077811698E-5</v>
      </c>
      <c r="G104" s="14">
        <v>3.7410613689145565E-8</v>
      </c>
      <c r="H104" s="14">
        <v>0</v>
      </c>
      <c r="I104" s="14">
        <v>3.9604015453778415E-7</v>
      </c>
      <c r="J104" s="14">
        <v>2.4826040699904812E-7</v>
      </c>
      <c r="K104" s="14">
        <v>0</v>
      </c>
    </row>
    <row r="105" spans="1:11">
      <c r="A105" s="2" t="s">
        <v>455</v>
      </c>
      <c r="B105" s="163">
        <v>354656</v>
      </c>
      <c r="D105" s="14">
        <v>1.4706625721607162E-14</v>
      </c>
      <c r="E105" s="14">
        <v>3.8778651651856717E-5</v>
      </c>
      <c r="F105" s="14">
        <v>3.9209134409270625E-9</v>
      </c>
      <c r="G105" s="14">
        <v>1.5166410625331701E-9</v>
      </c>
      <c r="H105" s="14">
        <v>0</v>
      </c>
      <c r="I105" s="14">
        <v>1.4765770796809387E-8</v>
      </c>
      <c r="J105" s="14">
        <v>1.2011450081363797E-6</v>
      </c>
      <c r="K105" s="14">
        <v>0</v>
      </c>
    </row>
    <row r="106" spans="1:11">
      <c r="A106" s="2" t="s">
        <v>457</v>
      </c>
      <c r="B106" s="3" t="s">
        <v>458</v>
      </c>
      <c r="D106" s="14">
        <v>2.1875206095573429E-14</v>
      </c>
      <c r="E106" s="14">
        <v>3.7533244435721272E-5</v>
      </c>
      <c r="F106" s="14">
        <v>1.6223774202018097E-8</v>
      </c>
      <c r="G106" s="14">
        <v>5.6017973148424551E-9</v>
      </c>
      <c r="H106" s="14">
        <v>0</v>
      </c>
      <c r="I106" s="14">
        <v>1.6978390102574476E-8</v>
      </c>
      <c r="J106" s="14">
        <v>2.4279515807840848E-6</v>
      </c>
      <c r="K106" s="14">
        <v>0</v>
      </c>
    </row>
    <row r="107" spans="1:11">
      <c r="A107" s="2" t="s">
        <v>459</v>
      </c>
      <c r="B107" s="3" t="s">
        <v>460</v>
      </c>
      <c r="D107" s="14">
        <v>7.3035559679670012E-24</v>
      </c>
      <c r="E107" s="14">
        <v>3.335692898081637E-6</v>
      </c>
      <c r="F107" s="14">
        <v>1.1319772661385561E-5</v>
      </c>
      <c r="G107" s="14">
        <v>1.9811889527630796E-6</v>
      </c>
      <c r="H107" s="14">
        <v>0</v>
      </c>
      <c r="I107" s="14">
        <v>1.5441603057632672E-6</v>
      </c>
      <c r="J107" s="14">
        <v>2.1819185182006457E-5</v>
      </c>
      <c r="K107" s="14">
        <v>0</v>
      </c>
    </row>
    <row r="108" spans="1:11">
      <c r="A108" s="2" t="s">
        <v>461</v>
      </c>
      <c r="B108" s="3" t="s">
        <v>462</v>
      </c>
      <c r="D108" s="14">
        <v>4.3859968718385203E-14</v>
      </c>
      <c r="E108" s="14">
        <v>3.9983387545906709E-5</v>
      </c>
      <c r="F108" s="14">
        <v>3.503603149590867E-11</v>
      </c>
      <c r="G108" s="14">
        <v>1.0154919611155625E-12</v>
      </c>
      <c r="H108" s="14">
        <v>0</v>
      </c>
      <c r="I108" s="14">
        <v>1.4361280217199125E-8</v>
      </c>
      <c r="J108" s="14">
        <v>2.2150784926722883E-9</v>
      </c>
      <c r="K108" s="14">
        <v>0</v>
      </c>
    </row>
    <row r="109" spans="1:11">
      <c r="A109" s="2" t="s">
        <v>463</v>
      </c>
      <c r="B109" s="3" t="s">
        <v>464</v>
      </c>
      <c r="D109" s="14">
        <v>1.1777591583802941E-16</v>
      </c>
      <c r="E109" s="14">
        <v>3.8723123390816819E-5</v>
      </c>
      <c r="F109" s="14">
        <v>2.4179844224215335E-7</v>
      </c>
      <c r="G109" s="14">
        <v>1.2018757553480367E-8</v>
      </c>
      <c r="H109" s="14">
        <v>0</v>
      </c>
      <c r="I109" s="14">
        <v>2.5927250975058619E-7</v>
      </c>
      <c r="J109" s="14">
        <v>7.637868995191915E-7</v>
      </c>
      <c r="K109" s="14">
        <v>0</v>
      </c>
    </row>
    <row r="110" spans="1:11">
      <c r="A110" s="2" t="s">
        <v>465</v>
      </c>
      <c r="B110" s="3" t="s">
        <v>466</v>
      </c>
      <c r="D110" s="14">
        <v>8.3290289873609954E-16</v>
      </c>
      <c r="E110" s="14">
        <v>3.9735248107413634E-5</v>
      </c>
      <c r="F110" s="14">
        <v>8.9612889178430303E-10</v>
      </c>
      <c r="G110" s="14">
        <v>1.7144980881153837E-10</v>
      </c>
      <c r="H110" s="14">
        <v>0</v>
      </c>
      <c r="I110" s="14">
        <v>1.4311194907123789E-8</v>
      </c>
      <c r="J110" s="14">
        <v>2.4937311814574642E-7</v>
      </c>
      <c r="K110" s="14">
        <v>0</v>
      </c>
    </row>
    <row r="111" spans="1:11">
      <c r="A111" s="2" t="s">
        <v>467</v>
      </c>
      <c r="B111" s="3" t="s">
        <v>468</v>
      </c>
      <c r="D111" s="14">
        <v>1.4801836282593173E-34</v>
      </c>
      <c r="E111" s="14">
        <v>3.9985419926397377E-5</v>
      </c>
      <c r="F111" s="14">
        <v>6.3670199656007039E-11</v>
      </c>
      <c r="G111" s="14">
        <v>5.2602715024326736E-14</v>
      </c>
      <c r="H111" s="14">
        <v>0</v>
      </c>
      <c r="I111" s="14">
        <v>1.4292416411911346E-8</v>
      </c>
      <c r="J111" s="14">
        <v>2.2393438834335949E-10</v>
      </c>
      <c r="K111" s="14">
        <v>0</v>
      </c>
    </row>
    <row r="112" spans="1:11">
      <c r="A112" s="2" t="s">
        <v>469</v>
      </c>
      <c r="B112" s="3" t="s">
        <v>470</v>
      </c>
      <c r="D112" s="14">
        <v>9.3572418352869224E-18</v>
      </c>
      <c r="E112" s="14">
        <v>3.9662265587683126E-5</v>
      </c>
      <c r="F112" s="14">
        <v>3.0904524702751036E-10</v>
      </c>
      <c r="G112" s="14">
        <v>1.4438351953729089E-10</v>
      </c>
      <c r="H112" s="14">
        <v>0</v>
      </c>
      <c r="I112" s="14">
        <v>1.4260357382899455E-8</v>
      </c>
      <c r="J112" s="14">
        <v>3.2302062615805808E-7</v>
      </c>
      <c r="K112" s="14">
        <v>0</v>
      </c>
    </row>
    <row r="113" spans="1:11">
      <c r="A113" s="2" t="s">
        <v>471</v>
      </c>
      <c r="B113" s="3" t="s">
        <v>472</v>
      </c>
      <c r="D113" s="14">
        <v>1.1546686537761253E-13</v>
      </c>
      <c r="E113" s="14">
        <v>3.8155490466039293E-5</v>
      </c>
      <c r="F113" s="14">
        <v>8.8050452240127649E-9</v>
      </c>
      <c r="G113" s="14">
        <v>3.204993449901508E-9</v>
      </c>
      <c r="H113" s="14">
        <v>0</v>
      </c>
      <c r="I113" s="14">
        <v>1.556276522786696E-8</v>
      </c>
      <c r="J113" s="14">
        <v>1.8169366145920682E-6</v>
      </c>
      <c r="K113" s="14">
        <v>0</v>
      </c>
    </row>
    <row r="114" spans="1:11">
      <c r="A114" s="2" t="s">
        <v>473</v>
      </c>
      <c r="B114" s="3" t="s">
        <v>474</v>
      </c>
      <c r="D114" s="14">
        <v>9.1844286388826081E-21</v>
      </c>
      <c r="E114" s="14">
        <v>3.9818137039028512E-5</v>
      </c>
      <c r="F114" s="14">
        <v>8.9981967983437357E-11</v>
      </c>
      <c r="G114" s="14">
        <v>4.5334005294836043E-11</v>
      </c>
      <c r="H114" s="14">
        <v>0</v>
      </c>
      <c r="I114" s="14">
        <v>1.4257760202929145E-8</v>
      </c>
      <c r="J114" s="14">
        <v>1.6746988479527606E-7</v>
      </c>
      <c r="K114" s="14">
        <v>0</v>
      </c>
    </row>
    <row r="115" spans="1:11">
      <c r="A115" s="2" t="s">
        <v>475</v>
      </c>
      <c r="B115" s="3" t="s">
        <v>476</v>
      </c>
      <c r="D115" s="14">
        <v>4.8697463688313304E-17</v>
      </c>
      <c r="E115" s="14">
        <v>3.9869473703362723E-5</v>
      </c>
      <c r="F115" s="14">
        <v>1.1215407379899656E-7</v>
      </c>
      <c r="G115" s="14">
        <v>1.3433800868809933E-11</v>
      </c>
      <c r="H115" s="14">
        <v>0</v>
      </c>
      <c r="I115" s="14">
        <v>1.5593684565371185E-8</v>
      </c>
      <c r="J115" s="14">
        <v>2.765104423344456E-9</v>
      </c>
      <c r="K115" s="14">
        <v>0</v>
      </c>
    </row>
    <row r="116" spans="1:11">
      <c r="A116" s="2" t="s">
        <v>477</v>
      </c>
      <c r="B116" s="3" t="s">
        <v>478</v>
      </c>
      <c r="D116" s="14">
        <v>4.4346023219057429E-21</v>
      </c>
      <c r="E116" s="14">
        <v>1.772815225282323E-5</v>
      </c>
      <c r="F116" s="14">
        <v>1.0829812287453753E-5</v>
      </c>
      <c r="G116" s="14">
        <v>2.6230371983885469E-7</v>
      </c>
      <c r="H116" s="14">
        <v>0</v>
      </c>
      <c r="I116" s="14">
        <v>8.6474205148657542E-6</v>
      </c>
      <c r="J116" s="14">
        <v>2.5323112250184059E-6</v>
      </c>
      <c r="K116" s="14">
        <v>0</v>
      </c>
    </row>
    <row r="117" spans="1:11">
      <c r="A117" s="2" t="s">
        <v>291</v>
      </c>
      <c r="B117" s="3" t="s">
        <v>479</v>
      </c>
      <c r="D117" s="14">
        <v>1.449462212245817E-14</v>
      </c>
      <c r="E117" s="14">
        <v>2.3344606736722318E-5</v>
      </c>
      <c r="F117" s="14">
        <v>8.4155230254813694E-7</v>
      </c>
      <c r="G117" s="14">
        <v>2.1114299031424315E-7</v>
      </c>
      <c r="H117" s="14">
        <v>0</v>
      </c>
      <c r="I117" s="14">
        <v>1.3985665927712153E-7</v>
      </c>
      <c r="J117" s="14">
        <v>1.5462841296643562E-5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876F8-99DB-45A7-97B5-7C0D39AA29FD}">
  <dimension ref="A1:D117"/>
  <sheetViews>
    <sheetView tabSelected="1" topLeftCell="A90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1.4528848260276435E-8</v>
      </c>
      <c r="B2">
        <f>'Mass Balance'!E2</f>
        <v>3.9050095469915719E-5</v>
      </c>
      <c r="C2">
        <f>SUM('Mass Balance'!E2:H2)</f>
        <v>3.9053450955146794E-5</v>
      </c>
      <c r="D2">
        <f>Concentrations!F2/Concentrations!E2</f>
        <v>1.0003040382004165</v>
      </c>
    </row>
    <row r="3" spans="1:4">
      <c r="A3">
        <f>'Mass Balance'!I3</f>
        <v>1.7885127584058007E-7</v>
      </c>
      <c r="B3">
        <f>'Mass Balance'!E3</f>
        <v>2.3532882465441627E-5</v>
      </c>
      <c r="C3">
        <f>SUM('Mass Balance'!E3:H3)</f>
        <v>2.4690845824148462E-5</v>
      </c>
      <c r="D3">
        <f>Concentrations!F3/Concentrations!E3</f>
        <v>0.95347321310179423</v>
      </c>
    </row>
    <row r="4" spans="1:4">
      <c r="A4">
        <f>'Mass Balance'!I4</f>
        <v>1.7060141150339253E-8</v>
      </c>
      <c r="B4">
        <f>'Mass Balance'!E4</f>
        <v>3.9980433508438816E-5</v>
      </c>
      <c r="C4">
        <f>SUM('Mass Balance'!E4:H4)</f>
        <v>3.9982116725264787E-5</v>
      </c>
      <c r="D4">
        <f>Concentrations!F4/Concentrations!E4</f>
        <v>1.0003478763736682</v>
      </c>
    </row>
    <row r="5" spans="1:4">
      <c r="A5">
        <f>'Mass Balance'!I5</f>
        <v>4.2438140466377218E-8</v>
      </c>
      <c r="B5">
        <f>'Mass Balance'!E5</f>
        <v>3.6908031221731553E-5</v>
      </c>
      <c r="C5">
        <f>SUM('Mass Balance'!E5:H5)</f>
        <v>3.9944927074747335E-5</v>
      </c>
      <c r="D5">
        <f>Concentrations!F5/Concentrations!E5</f>
        <v>0.9243332699250012</v>
      </c>
    </row>
    <row r="6" spans="1:4">
      <c r="A6">
        <f>'Mass Balance'!I6</f>
        <v>7.4814337248793802E-8</v>
      </c>
      <c r="B6">
        <f>'Mass Balance'!E6</f>
        <v>3.3002419431629497E-5</v>
      </c>
      <c r="C6">
        <f>SUM('Mass Balance'!E6:H6)</f>
        <v>3.9853613276363835E-5</v>
      </c>
      <c r="D6">
        <f>Concentrations!F6/Concentrations!E6</f>
        <v>0.82841397299118713</v>
      </c>
    </row>
    <row r="7" spans="1:4">
      <c r="A7">
        <f>'Mass Balance'!I7</f>
        <v>1.7450897636554063E-7</v>
      </c>
      <c r="B7">
        <f>'Mass Balance'!E7</f>
        <v>2.1443041444789015E-5</v>
      </c>
      <c r="C7">
        <f>SUM('Mass Balance'!E7:H7)</f>
        <v>3.9085702555892642E-5</v>
      </c>
      <c r="D7">
        <f>Concentrations!F7/Concentrations!E7</f>
        <v>0.5488299469472826</v>
      </c>
    </row>
    <row r="8" spans="1:4">
      <c r="A8">
        <f>'Mass Balance'!I8</f>
        <v>9.8917828669660924E-8</v>
      </c>
      <c r="B8">
        <f>'Mass Balance'!E8</f>
        <v>2.9881298641442231E-5</v>
      </c>
      <c r="C8">
        <f>SUM('Mass Balance'!E8:H8)</f>
        <v>3.9856003486813329E-5</v>
      </c>
      <c r="D8">
        <f>Concentrations!F8/Concentrations!E8</f>
        <v>0.75002382313076277</v>
      </c>
    </row>
    <row r="9" spans="1:4">
      <c r="A9">
        <f>'Mass Balance'!I9</f>
        <v>3.6846609806739315E-8</v>
      </c>
      <c r="B9">
        <f>'Mass Balance'!E9</f>
        <v>3.7562803977191547E-5</v>
      </c>
      <c r="C9">
        <f>SUM('Mass Balance'!E9:H9)</f>
        <v>3.9911015058135868E-5</v>
      </c>
      <c r="D9">
        <f>Concentrations!F9/Concentrations!E9</f>
        <v>0.94153088105625038</v>
      </c>
    </row>
    <row r="10" spans="1:4">
      <c r="A10">
        <f>'Mass Balance'!I10</f>
        <v>1.5572335453719598E-6</v>
      </c>
      <c r="B10">
        <f>'Mass Balance'!E10</f>
        <v>1.913942025015105E-6</v>
      </c>
      <c r="C10">
        <f>SUM('Mass Balance'!E10:H10)</f>
        <v>1.8087881786377407E-5</v>
      </c>
      <c r="D10">
        <f>Concentrations!F10/Concentrations!E10</f>
        <v>0.10585476341410867</v>
      </c>
    </row>
    <row r="11" spans="1:4">
      <c r="A11">
        <f>'Mass Balance'!I11</f>
        <v>1.3251982340723747E-5</v>
      </c>
      <c r="B11">
        <f>'Mass Balance'!E11</f>
        <v>1.428611172948276E-7</v>
      </c>
      <c r="C11">
        <f>SUM('Mass Balance'!E11:H11)</f>
        <v>2.2621577082616955E-5</v>
      </c>
      <c r="D11">
        <f>Concentrations!F11/Concentrations!E11</f>
        <v>6.3177218577935871E-3</v>
      </c>
    </row>
    <row r="12" spans="1:4">
      <c r="A12">
        <f>'Mass Balance'!I12</f>
        <v>1.3197647797582644E-8</v>
      </c>
      <c r="B12">
        <f>'Mass Balance'!E12</f>
        <v>3.6831591274915328E-5</v>
      </c>
      <c r="C12">
        <f>SUM('Mass Balance'!E12:H12)</f>
        <v>3.6831745579183895E-5</v>
      </c>
      <c r="D12">
        <f>Concentrations!F12/Concentrations!E12</f>
        <v>1.000385800963896</v>
      </c>
    </row>
    <row r="13" spans="1:4">
      <c r="A13">
        <f>'Mass Balance'!I13</f>
        <v>1.1503229448180342E-7</v>
      </c>
      <c r="B13">
        <f>'Mass Balance'!E13</f>
        <v>2.4927618803974943E-5</v>
      </c>
      <c r="C13">
        <f>SUM('Mass Balance'!E13:H13)</f>
        <v>2.576402936751781E-5</v>
      </c>
      <c r="D13">
        <f>Concentrations!F13/Concentrations!E13</f>
        <v>0.96791305509794801</v>
      </c>
    </row>
    <row r="14" spans="1:4">
      <c r="A14">
        <f>'Mass Balance'!I14</f>
        <v>5.9734448737280122E-7</v>
      </c>
      <c r="B14">
        <f>'Mass Balance'!E14</f>
        <v>3.2051490606648134E-6</v>
      </c>
      <c r="C14">
        <f>SUM('Mass Balance'!E14:H14)</f>
        <v>3.9119053887403318E-5</v>
      </c>
      <c r="D14">
        <f>Concentrations!F14/Concentrations!E14</f>
        <v>8.1965148045166053E-2</v>
      </c>
    </row>
    <row r="15" spans="1:4">
      <c r="A15">
        <f>'Mass Balance'!I15</f>
        <v>2.5957308116202089E-8</v>
      </c>
      <c r="B15">
        <f>'Mass Balance'!E15</f>
        <v>3.1203883625889485E-5</v>
      </c>
      <c r="C15">
        <f>SUM('Mass Balance'!E15:H15)</f>
        <v>3.1307529665100967E-5</v>
      </c>
      <c r="D15">
        <f>Concentrations!F15/Concentrations!E15</f>
        <v>0.99707812228781312</v>
      </c>
    </row>
    <row r="16" spans="1:4">
      <c r="A16">
        <f>'Mass Balance'!I16</f>
        <v>1.3096237163819533E-7</v>
      </c>
      <c r="B16">
        <f>'Mass Balance'!E16</f>
        <v>2.3860137052698524E-5</v>
      </c>
      <c r="C16">
        <f>SUM('Mass Balance'!E16:H16)</f>
        <v>2.4835110485420927E-5</v>
      </c>
      <c r="D16">
        <f>Concentrations!F16/Concentrations!E16</f>
        <v>0.96111681605375687</v>
      </c>
    </row>
    <row r="17" spans="1:4">
      <c r="A17">
        <f>'Mass Balance'!I17</f>
        <v>1.2052361211803602E-7</v>
      </c>
      <c r="B17">
        <f>'Mass Balance'!E17</f>
        <v>2.447939396601581E-5</v>
      </c>
      <c r="C17">
        <f>SUM('Mass Balance'!E17:H17)</f>
        <v>2.5363756861077979E-5</v>
      </c>
      <c r="D17">
        <f>Concentrations!F17/Concentrations!E17</f>
        <v>0.96550920546992702</v>
      </c>
    </row>
    <row r="18" spans="1:4">
      <c r="A18">
        <f>'Mass Balance'!I18</f>
        <v>8.1295854364827302E-6</v>
      </c>
      <c r="B18">
        <f>'Mass Balance'!E18</f>
        <v>1.2121373129197924E-7</v>
      </c>
      <c r="C18">
        <f>SUM('Mass Balance'!E18:H18)</f>
        <v>1.6735681009787612E-5</v>
      </c>
      <c r="D18">
        <f>Concentrations!F18/Concentrations!E18</f>
        <v>7.245656965541877E-3</v>
      </c>
    </row>
    <row r="19" spans="1:4">
      <c r="A19">
        <f>'Mass Balance'!I19</f>
        <v>1.8140039088643856E-8</v>
      </c>
      <c r="B19">
        <f>'Mass Balance'!E19</f>
        <v>3.6399841069032998E-5</v>
      </c>
      <c r="C19">
        <f>SUM('Mass Balance'!E19:H19)</f>
        <v>3.6433554965115856E-5</v>
      </c>
      <c r="D19">
        <f>Concentrations!F19/Concentrations!E19</f>
        <v>0.999464278244938</v>
      </c>
    </row>
    <row r="20" spans="1:4">
      <c r="A20">
        <f>'Mass Balance'!I20</f>
        <v>2.1315663762227197E-8</v>
      </c>
      <c r="B20">
        <f>'Mass Balance'!E20</f>
        <v>3.4941514139645872E-5</v>
      </c>
      <c r="C20">
        <f>SUM('Mass Balance'!E20:H20)</f>
        <v>3.5001301732131175E-5</v>
      </c>
      <c r="D20">
        <f>Concentrations!F20/Concentrations!E20</f>
        <v>0.99868117247035748</v>
      </c>
    </row>
    <row r="21" spans="1:4">
      <c r="A21">
        <f>'Mass Balance'!I21</f>
        <v>3.9655322538061789E-7</v>
      </c>
      <c r="B21">
        <f>'Mass Balance'!E21</f>
        <v>1.6265139166363926E-5</v>
      </c>
      <c r="C21">
        <f>SUM('Mass Balance'!E21:H21)</f>
        <v>2.8836860293433899E-5</v>
      </c>
      <c r="D21">
        <f>Concentrations!F21/Concentrations!E21</f>
        <v>0.56425984921748729</v>
      </c>
    </row>
    <row r="22" spans="1:4">
      <c r="A22">
        <f>'Mass Balance'!I22</f>
        <v>1.3860372318228042E-8</v>
      </c>
      <c r="B22">
        <f>'Mass Balance'!E22</f>
        <v>3.6183596401047115E-5</v>
      </c>
      <c r="C22">
        <f>SUM('Mass Balance'!E22:H22)</f>
        <v>3.6189192333643927E-5</v>
      </c>
      <c r="D22">
        <f>Concentrations!F22/Concentrations!E22</f>
        <v>1.0002353017912218</v>
      </c>
    </row>
    <row r="23" spans="1:4">
      <c r="A23">
        <f>'Mass Balance'!I23</f>
        <v>3.5741712721975326E-8</v>
      </c>
      <c r="B23">
        <f>'Mass Balance'!E23</f>
        <v>3.0080540302982954E-5</v>
      </c>
      <c r="C23">
        <f>SUM('Mass Balance'!E23:H23)</f>
        <v>3.0260783043779254E-5</v>
      </c>
      <c r="D23">
        <f>Concentrations!F23/Concentrations!E23</f>
        <v>0.99443135462023413</v>
      </c>
    </row>
    <row r="24" spans="1:4">
      <c r="A24">
        <f>'Mass Balance'!I24</f>
        <v>1.9487430542075258E-7</v>
      </c>
      <c r="B24">
        <f>'Mass Balance'!E24</f>
        <v>2.0394824030061852E-5</v>
      </c>
      <c r="C24">
        <f>SUM('Mass Balance'!E24:H24)</f>
        <v>2.193786743730129E-5</v>
      </c>
      <c r="D24">
        <f>Concentrations!F24/Concentrations!E24</f>
        <v>0.93002557825139109</v>
      </c>
    </row>
    <row r="25" spans="1:4">
      <c r="A25">
        <f>'Mass Balance'!I25</f>
        <v>7.2934952093325744E-6</v>
      </c>
      <c r="B25">
        <f>'Mass Balance'!E25</f>
        <v>1.6554902618979034E-7</v>
      </c>
      <c r="C25">
        <f>SUM('Mass Balance'!E25:H25)</f>
        <v>1.6323252314833817E-5</v>
      </c>
      <c r="D25">
        <f>Concentrations!F25/Concentrations!E25</f>
        <v>1.0145869572868194E-2</v>
      </c>
    </row>
    <row r="26" spans="1:4">
      <c r="A26">
        <f>'Mass Balance'!I26</f>
        <v>3.6035485476058985E-7</v>
      </c>
      <c r="B26">
        <f>'Mass Balance'!E26</f>
        <v>9.3451582239840478E-6</v>
      </c>
      <c r="C26">
        <f>SUM('Mass Balance'!E26:H26)</f>
        <v>1.2528151222921922E-5</v>
      </c>
      <c r="D26">
        <f>Concentrations!F26/Concentrations!E26</f>
        <v>0.7462236522295177</v>
      </c>
    </row>
    <row r="27" spans="1:4">
      <c r="A27">
        <f>'Mass Balance'!I27</f>
        <v>1.6982331351137843E-7</v>
      </c>
      <c r="B27">
        <f>'Mass Balance'!E27</f>
        <v>8.8622396291109826E-7</v>
      </c>
      <c r="C27">
        <f>SUM('Mass Balance'!E27:H27)</f>
        <v>2.5451832705390292E-6</v>
      </c>
      <c r="D27">
        <f>Concentrations!F27/Concentrations!E27</f>
        <v>0.3483323159709637</v>
      </c>
    </row>
    <row r="28" spans="1:4">
      <c r="A28">
        <f>'Mass Balance'!I28</f>
        <v>6.9401604175312945E-8</v>
      </c>
      <c r="B28">
        <f>'Mass Balance'!E28</f>
        <v>1.331938255256509E-6</v>
      </c>
      <c r="C28">
        <f>SUM('Mass Balance'!E28:H28)</f>
        <v>1.9572344450155634E-6</v>
      </c>
      <c r="D28">
        <f>Concentrations!F28/Concentrations!E28</f>
        <v>0.68078594465769404</v>
      </c>
    </row>
    <row r="29" spans="1:4">
      <c r="A29">
        <f>'Mass Balance'!I29</f>
        <v>1.6080466122236956E-9</v>
      </c>
      <c r="B29">
        <f>'Mass Balance'!E29</f>
        <v>2.3771573224616921E-6</v>
      </c>
      <c r="C29">
        <f>SUM('Mass Balance'!E29:H29)</f>
        <v>2.3823572687025544E-6</v>
      </c>
      <c r="D29">
        <f>Concentrations!F29/Concentrations!E29</f>
        <v>0.99820645128398899</v>
      </c>
    </row>
    <row r="30" spans="1:4">
      <c r="A30">
        <f>'Mass Balance'!I30</f>
        <v>2.4522070343131768E-8</v>
      </c>
      <c r="B30">
        <f>'Mass Balance'!E30</f>
        <v>5.045106432107425E-7</v>
      </c>
      <c r="C30">
        <f>SUM('Mass Balance'!E30:H30)</f>
        <v>7.2445383230488192E-7</v>
      </c>
      <c r="D30">
        <f>Concentrations!F30/Concentrations!E30</f>
        <v>0.69667296359957642</v>
      </c>
    </row>
    <row r="31" spans="1:4">
      <c r="A31">
        <f>'Mass Balance'!I31</f>
        <v>4.081323495707983E-10</v>
      </c>
      <c r="B31">
        <f>'Mass Balance'!E31</f>
        <v>1.7987997052438901E-8</v>
      </c>
      <c r="C31">
        <f>SUM('Mass Balance'!E31:H31)</f>
        <v>2.146155230134559E-8</v>
      </c>
      <c r="D31">
        <f>Concentrations!F31/Concentrations!E31</f>
        <v>0.83847673156790337</v>
      </c>
    </row>
    <row r="32" spans="1:4">
      <c r="A32">
        <f>'Mass Balance'!I32</f>
        <v>9.9039587671501889E-8</v>
      </c>
      <c r="B32">
        <f>'Mass Balance'!E32</f>
        <v>2.6008570958178691E-5</v>
      </c>
      <c r="C32">
        <f>SUM('Mass Balance'!E32:H32)</f>
        <v>2.6707760224078828E-5</v>
      </c>
      <c r="D32">
        <f>Concentrations!F32/Concentrations!E32</f>
        <v>0.97420052731428097</v>
      </c>
    </row>
    <row r="33" spans="1:4">
      <c r="A33">
        <f>'Mass Balance'!I33</f>
        <v>5.3096801883840574E-8</v>
      </c>
      <c r="B33">
        <f>'Mass Balance'!E33</f>
        <v>3.0413649436497976E-5</v>
      </c>
      <c r="C33">
        <f>SUM('Mass Balance'!E33:H33)</f>
        <v>3.0726723371262104E-5</v>
      </c>
      <c r="D33">
        <f>Concentrations!F33/Concentrations!E33</f>
        <v>0.99019703955724403</v>
      </c>
    </row>
    <row r="34" spans="1:4">
      <c r="A34">
        <f>'Mass Balance'!I34</f>
        <v>4.3157490557780289E-7</v>
      </c>
      <c r="B34">
        <f>'Mass Balance'!E34</f>
        <v>1.2856911908784433E-5</v>
      </c>
      <c r="C34">
        <f>SUM('Mass Balance'!E34:H34)</f>
        <v>1.6633340737951873E-5</v>
      </c>
      <c r="D34">
        <f>Concentrations!F34/Concentrations!E34</f>
        <v>0.7732617400586479</v>
      </c>
    </row>
    <row r="35" spans="1:4">
      <c r="A35">
        <f>'Mass Balance'!I35</f>
        <v>1.1903559349565809E-6</v>
      </c>
      <c r="B35">
        <f>'Mass Balance'!E35</f>
        <v>3.0865690645749599E-6</v>
      </c>
      <c r="C35">
        <f>SUM('Mass Balance'!E35:H35)</f>
        <v>1.5215557921306579E-5</v>
      </c>
      <c r="D35">
        <f>Concentrations!F35/Concentrations!E35</f>
        <v>0.20293523365319427</v>
      </c>
    </row>
    <row r="36" spans="1:4">
      <c r="A36">
        <f>'Mass Balance'!I36</f>
        <v>3.159331452488066E-6</v>
      </c>
      <c r="B36">
        <f>'Mass Balance'!E36</f>
        <v>8.1286883530911971E-7</v>
      </c>
      <c r="C36">
        <f>SUM('Mass Balance'!E36:H36)</f>
        <v>1.6079842470100389E-5</v>
      </c>
      <c r="D36">
        <f>Concentrations!F36/Concentrations!E36</f>
        <v>5.0571754617127318E-2</v>
      </c>
    </row>
    <row r="37" spans="1:4">
      <c r="A37">
        <f>'Mass Balance'!I37</f>
        <v>7.8099048920067906E-6</v>
      </c>
      <c r="B37">
        <f>'Mass Balance'!E37</f>
        <v>1.3086571051357477E-7</v>
      </c>
      <c r="C37">
        <f>SUM('Mass Balance'!E37:H37)</f>
        <v>1.6430561996046702E-5</v>
      </c>
      <c r="D37">
        <f>Concentrations!F37/Concentrations!E37</f>
        <v>7.9678800475457261E-3</v>
      </c>
    </row>
    <row r="38" spans="1:4">
      <c r="A38">
        <f>'Mass Balance'!I38</f>
        <v>4.6248636002136485E-6</v>
      </c>
      <c r="B38">
        <f>'Mass Balance'!E38</f>
        <v>4.4638557754407368E-7</v>
      </c>
      <c r="C38">
        <f>SUM('Mass Balance'!E38:H38)</f>
        <v>1.5702925296372583E-5</v>
      </c>
      <c r="D38">
        <f>Concentrations!F38/Concentrations!E38</f>
        <v>2.8437992026032605E-2</v>
      </c>
    </row>
    <row r="39" spans="1:4">
      <c r="A39">
        <f>'Mass Balance'!I39</f>
        <v>3.1604840260178846E-6</v>
      </c>
      <c r="B39">
        <f>'Mass Balance'!E39</f>
        <v>6.1449879773838655E-7</v>
      </c>
      <c r="C39">
        <f>SUM('Mass Balance'!E39:H39)</f>
        <v>1.4188303186967867E-5</v>
      </c>
      <c r="D39">
        <f>Concentrations!F39/Concentrations!E39</f>
        <v>4.3327129345484806E-2</v>
      </c>
    </row>
    <row r="40" spans="1:4">
      <c r="A40">
        <f>'Mass Balance'!I40</f>
        <v>4.6248636002136485E-6</v>
      </c>
      <c r="B40">
        <f>'Mass Balance'!E40</f>
        <v>4.4638557754407368E-7</v>
      </c>
      <c r="C40">
        <f>SUM('Mass Balance'!E40:H40)</f>
        <v>1.5702925296372583E-5</v>
      </c>
      <c r="D40">
        <f>Concentrations!F40/Concentrations!E40</f>
        <v>2.8437992026032605E-2</v>
      </c>
    </row>
    <row r="41" spans="1:4">
      <c r="A41">
        <f>'Mass Balance'!I41</f>
        <v>1.6425530642065724E-8</v>
      </c>
      <c r="B41">
        <f>'Mass Balance'!E41</f>
        <v>3.9786812051941473E-5</v>
      </c>
      <c r="C41">
        <f>SUM('Mass Balance'!E41:H41)</f>
        <v>3.9976079980546367E-5</v>
      </c>
      <c r="D41">
        <f>Concentrations!F41/Concentrations!E41</f>
        <v>0.99565361613967029</v>
      </c>
    </row>
    <row r="42" spans="1:4">
      <c r="A42">
        <f>'Mass Balance'!I42</f>
        <v>7.9972824952537349E-6</v>
      </c>
      <c r="B42">
        <f>'Mass Balance'!E42</f>
        <v>1.1924106819709354E-7</v>
      </c>
      <c r="C42">
        <f>SUM('Mass Balance'!E42:H42)</f>
        <v>1.6463320280158194E-5</v>
      </c>
      <c r="D42">
        <f>Concentrations!F42/Concentrations!E42</f>
        <v>7.245656965541877E-3</v>
      </c>
    </row>
    <row r="43" spans="1:4">
      <c r="A43">
        <f>'Mass Balance'!I43</f>
        <v>2.1442891060267999E-7</v>
      </c>
      <c r="B43">
        <f>'Mass Balance'!E43</f>
        <v>1.960421058545009E-5</v>
      </c>
      <c r="C43">
        <f>SUM('Mass Balance'!E43:H43)</f>
        <v>2.1323853837178348E-5</v>
      </c>
      <c r="D43">
        <f>Concentrations!F43/Concentrations!E43</f>
        <v>0.91971442972599604</v>
      </c>
    </row>
    <row r="44" spans="1:4">
      <c r="A44">
        <f>'Mass Balance'!I44</f>
        <v>2.2872077378291943E-6</v>
      </c>
      <c r="B44">
        <f>'Mass Balance'!E44</f>
        <v>1.2420262573034438E-6</v>
      </c>
      <c r="C44">
        <f>SUM('Mass Balance'!E44:H44)</f>
        <v>1.6850554280408294E-5</v>
      </c>
      <c r="D44">
        <f>Concentrations!F44/Concentrations!E44</f>
        <v>7.3737078138436107E-2</v>
      </c>
    </row>
    <row r="45" spans="1:4">
      <c r="A45">
        <f>'Mass Balance'!I45</f>
        <v>9.9777150256250933E-6</v>
      </c>
      <c r="B45">
        <f>'Mass Balance'!E45</f>
        <v>5.7121169939246053E-8</v>
      </c>
      <c r="C45">
        <f>SUM('Mass Balance'!E45:H45)</f>
        <v>1.7850314212128728E-5</v>
      </c>
      <c r="D45">
        <f>Concentrations!F45/Concentrations!E45</f>
        <v>3.2012571914110167E-3</v>
      </c>
    </row>
    <row r="46" spans="1:4">
      <c r="A46">
        <f>'Mass Balance'!I46</f>
        <v>8.4053048335461718E-6</v>
      </c>
      <c r="B46">
        <f>'Mass Balance'!E46</f>
        <v>1.0894333894198165E-7</v>
      </c>
      <c r="C46">
        <f>SUM('Mass Balance'!E46:H46)</f>
        <v>1.6882489330674656E-5</v>
      </c>
      <c r="D46">
        <f>Concentrations!F46/Concentrations!E46</f>
        <v>6.4555542634555894E-3</v>
      </c>
    </row>
    <row r="47" spans="1:4">
      <c r="A47">
        <f>'Mass Balance'!I47</f>
        <v>6.3881593984478081E-6</v>
      </c>
      <c r="B47">
        <f>'Mass Balance'!E47</f>
        <v>2.3128667061237323E-7</v>
      </c>
      <c r="C47">
        <f>SUM('Mass Balance'!E47:H47)</f>
        <v>1.598384911286517E-5</v>
      </c>
      <c r="D47">
        <f>Concentrations!F47/Concentrations!E47</f>
        <v>1.4475666589305134E-2</v>
      </c>
    </row>
    <row r="48" spans="1:4">
      <c r="A48">
        <f>'Mass Balance'!I48</f>
        <v>8.2947757936364315E-7</v>
      </c>
      <c r="B48">
        <f>'Mass Balance'!E48</f>
        <v>6.5829322049014443E-6</v>
      </c>
      <c r="C48">
        <f>SUM('Mass Balance'!E48:H48)</f>
        <v>1.4481762770236304E-5</v>
      </c>
      <c r="D48">
        <f>Concentrations!F48/Concentrations!E48</f>
        <v>0.45474432916135366</v>
      </c>
    </row>
    <row r="49" spans="1:4">
      <c r="A49">
        <f>'Mass Balance'!I49</f>
        <v>2.4369252960624185E-6</v>
      </c>
      <c r="B49">
        <f>'Mass Balance'!E49</f>
        <v>1.1503908078087803E-6</v>
      </c>
      <c r="C49">
        <f>SUM('Mass Balance'!E49:H49)</f>
        <v>1.6689642875764178E-5</v>
      </c>
      <c r="D49">
        <f>Concentrations!F49/Concentrations!E49</f>
        <v>6.895530717026728E-2</v>
      </c>
    </row>
    <row r="50" spans="1:4">
      <c r="A50">
        <f>'Mass Balance'!I50</f>
        <v>2.699459769835489E-6</v>
      </c>
      <c r="B50">
        <f>'Mass Balance'!E50</f>
        <v>1.0090360177104386E-6</v>
      </c>
      <c r="C50">
        <f>SUM('Mass Balance'!E50:H50)</f>
        <v>1.6429441564424695E-5</v>
      </c>
      <c r="D50">
        <f>Concentrations!F50/Concentrations!E50</f>
        <v>6.1440282663387712E-2</v>
      </c>
    </row>
    <row r="51" spans="1:4">
      <c r="A51">
        <f>'Mass Balance'!I51</f>
        <v>1.0083840980199397E-6</v>
      </c>
      <c r="B51">
        <f>'Mass Balance'!E51</f>
        <v>4.9069496655830632E-6</v>
      </c>
      <c r="C51">
        <f>SUM('Mass Balance'!E51:H51)</f>
        <v>1.4799347778640247E-5</v>
      </c>
      <c r="D51">
        <f>Concentrations!F51/Concentrations!E51</f>
        <v>0.33169457264537167</v>
      </c>
    </row>
    <row r="52" spans="1:4">
      <c r="A52">
        <f>'Mass Balance'!I52</f>
        <v>8.4578850580225691E-7</v>
      </c>
      <c r="B52">
        <f>'Mass Balance'!E52</f>
        <v>6.4070180389101837E-6</v>
      </c>
      <c r="C52">
        <f>SUM('Mass Balance'!E52:H52)</f>
        <v>1.4484149193981024E-5</v>
      </c>
      <c r="D52">
        <f>Concentrations!F52/Concentrations!E52</f>
        <v>0.44251938025974874</v>
      </c>
    </row>
    <row r="53" spans="1:4">
      <c r="A53">
        <f>'Mass Balance'!I53</f>
        <v>3.6460161633224919E-6</v>
      </c>
      <c r="B53">
        <f>'Mass Balance'!E53</f>
        <v>6.6095376734486058E-7</v>
      </c>
      <c r="C53">
        <f>SUM('Mass Balance'!E53:H53)</f>
        <v>1.5881419408370405E-5</v>
      </c>
      <c r="D53">
        <f>Concentrations!F53/Concentrations!E53</f>
        <v>4.1634284508650317E-2</v>
      </c>
    </row>
    <row r="54" spans="1:4">
      <c r="A54">
        <f>'Mass Balance'!I54</f>
        <v>2.5661628293113433E-6</v>
      </c>
      <c r="B54">
        <f>'Mass Balance'!E54</f>
        <v>1.0779564128965352E-6</v>
      </c>
      <c r="C54">
        <f>SUM('Mass Balance'!E54:H54)</f>
        <v>1.6557982735138859E-5</v>
      </c>
      <c r="D54">
        <f>Concentrations!F54/Concentrations!E54</f>
        <v>6.512730593821664E-2</v>
      </c>
    </row>
    <row r="55" spans="1:4">
      <c r="A55">
        <f>'Mass Balance'!I55</f>
        <v>6.2919496795484049E-6</v>
      </c>
      <c r="B55">
        <f>'Mass Balance'!E55</f>
        <v>2.3869226849395859E-7</v>
      </c>
      <c r="C55">
        <f>SUM('Mass Balance'!E55:H55)</f>
        <v>1.593804913573581E-5</v>
      </c>
      <c r="D55">
        <f>Concentrations!F55/Concentrations!E55</f>
        <v>1.4982094392090273E-2</v>
      </c>
    </row>
    <row r="56" spans="1:4">
      <c r="A56">
        <f>'Mass Balance'!I56</f>
        <v>2.3368277088633035E-6</v>
      </c>
      <c r="B56">
        <f>'Mass Balance'!E56</f>
        <v>1.2110945627675469E-6</v>
      </c>
      <c r="C56">
        <f>SUM('Mass Balance'!E56:H56)</f>
        <v>1.6799271349382416E-5</v>
      </c>
      <c r="D56">
        <f>Concentrations!F56/Concentrations!E56</f>
        <v>7.2120204192343523E-2</v>
      </c>
    </row>
    <row r="57" spans="1:4">
      <c r="A57">
        <f>'Mass Balance'!I57</f>
        <v>7.5150897480432064E-7</v>
      </c>
      <c r="B57">
        <f>'Mass Balance'!E57</f>
        <v>7.3537050827653078E-6</v>
      </c>
      <c r="C57">
        <f>SUM('Mass Balance'!E57:H57)</f>
        <v>1.4418502038600492E-5</v>
      </c>
      <c r="D57">
        <f>Concentrations!F57/Concentrations!E57</f>
        <v>0.51021756278682495</v>
      </c>
    </row>
    <row r="58" spans="1:4">
      <c r="A58">
        <f>'Mass Balance'!I58</f>
        <v>2.5926070413088261E-6</v>
      </c>
      <c r="B58">
        <f>'Mass Balance'!E58</f>
        <v>1.0639380132980182E-6</v>
      </c>
      <c r="C58">
        <f>SUM('Mass Balance'!E58:H58)</f>
        <v>1.6532695304493099E-5</v>
      </c>
      <c r="D58">
        <f>Concentrations!F58/Concentrations!E58</f>
        <v>6.4378670328433432E-2</v>
      </c>
    </row>
    <row r="59" spans="1:4">
      <c r="A59">
        <f>'Mass Balance'!I59</f>
        <v>8.4610609563894471E-7</v>
      </c>
      <c r="B59">
        <f>'Mass Balance'!E59</f>
        <v>6.4094238457976899E-6</v>
      </c>
      <c r="C59">
        <f>SUM('Mass Balance'!E59:H59)</f>
        <v>1.4489587927831768E-5</v>
      </c>
      <c r="D59">
        <f>Concentrations!F59/Concentrations!E59</f>
        <v>0.44251938025974874</v>
      </c>
    </row>
    <row r="60" spans="1:4">
      <c r="A60">
        <f>'Mass Balance'!I60</f>
        <v>3.3452605580045437E-6</v>
      </c>
      <c r="B60">
        <f>'Mass Balance'!E60</f>
        <v>7.4821553331389051E-7</v>
      </c>
      <c r="C60">
        <f>SUM('Mass Balance'!E60:H60)</f>
        <v>1.5975304362150777E-5</v>
      </c>
      <c r="D60">
        <f>Concentrations!F60/Concentrations!E60</f>
        <v>4.685402634239362E-2</v>
      </c>
    </row>
    <row r="61" spans="1:4">
      <c r="A61">
        <f>'Mass Balance'!I61</f>
        <v>1.1991809353288477E-6</v>
      </c>
      <c r="B61">
        <f>'Mass Balance'!E61</f>
        <v>2.0515861095409528E-5</v>
      </c>
      <c r="C61">
        <f>SUM('Mass Balance'!E61:H61)</f>
        <v>2.4357837443509979E-5</v>
      </c>
      <c r="D61">
        <f>Concentrations!F61/Concentrations!E61</f>
        <v>0.84259787698378019</v>
      </c>
    </row>
    <row r="62" spans="1:4">
      <c r="A62">
        <f>'Mass Balance'!I62</f>
        <v>4.0951216893242429E-7</v>
      </c>
      <c r="B62">
        <f>'Mass Balance'!E62</f>
        <v>1.3379735444306383E-5</v>
      </c>
      <c r="C62">
        <f>SUM('Mass Balance'!E62:H62)</f>
        <v>1.6940365875048368E-5</v>
      </c>
      <c r="D62">
        <f>Concentrations!F62/Concentrations!E62</f>
        <v>0.79012186237772708</v>
      </c>
    </row>
    <row r="63" spans="1:4">
      <c r="A63">
        <f>'Mass Balance'!I63</f>
        <v>1.1475457563670199E-7</v>
      </c>
      <c r="B63">
        <f>'Mass Balance'!E63</f>
        <v>3.8090599368487353E-5</v>
      </c>
      <c r="C63">
        <f>SUM('Mass Balance'!E63:H63)</f>
        <v>3.8239218061446569E-5</v>
      </c>
      <c r="D63">
        <f>Concentrations!F63/Concentrations!E63</f>
        <v>0.99650192474120614</v>
      </c>
    </row>
    <row r="64" spans="1:4">
      <c r="A64">
        <f>'Mass Balance'!I64</f>
        <v>1.517264727150796E-8</v>
      </c>
      <c r="B64">
        <f>'Mass Balance'!E64</f>
        <v>3.9760255571824085E-5</v>
      </c>
      <c r="C64">
        <f>SUM('Mass Balance'!E64:H64)</f>
        <v>3.980986939156993E-5</v>
      </c>
      <c r="D64">
        <f>Concentrations!F64/Concentrations!E64</f>
        <v>0.99914323665702387</v>
      </c>
    </row>
    <row r="65" spans="1:4">
      <c r="A65">
        <f>'Mass Balance'!I65</f>
        <v>2.290098125947037E-8</v>
      </c>
      <c r="B65">
        <f>'Mass Balance'!E65</f>
        <v>3.9893144115798694E-5</v>
      </c>
      <c r="C65">
        <f>SUM('Mass Balance'!E65:H65)</f>
        <v>3.989978916108837E-5</v>
      </c>
      <c r="D65">
        <f>Concentrations!F65/Concentrations!E65</f>
        <v>1.0002233837153989</v>
      </c>
    </row>
    <row r="66" spans="1:4">
      <c r="A66">
        <f>'Mass Balance'!I66</f>
        <v>9.7740234808769184E-7</v>
      </c>
      <c r="B66">
        <f>'Mass Balance'!E66</f>
        <v>3.7201489441696731E-5</v>
      </c>
      <c r="C66">
        <f>SUM('Mass Balance'!E66:H66)</f>
        <v>3.8191205393013789E-5</v>
      </c>
      <c r="D66">
        <f>Concentrations!F66/Concentrations!E66</f>
        <v>0.97446512471319235</v>
      </c>
    </row>
    <row r="67" spans="1:4">
      <c r="A67">
        <f>'Mass Balance'!I67</f>
        <v>2.1441533290936102E-8</v>
      </c>
      <c r="B67">
        <f>'Mass Balance'!E67</f>
        <v>3.9885987059397015E-5</v>
      </c>
      <c r="C67">
        <f>SUM('Mass Balance'!E67:H67)</f>
        <v>3.989164397198451E-5</v>
      </c>
      <c r="D67">
        <f>Concentrations!F67/Concentrations!E67</f>
        <v>1.0002481297752626</v>
      </c>
    </row>
    <row r="68" spans="1:4">
      <c r="A68">
        <f>'Mass Balance'!I68</f>
        <v>1.52297027395044E-8</v>
      </c>
      <c r="B68">
        <f>'Mass Balance'!E68</f>
        <v>3.99489704555947E-5</v>
      </c>
      <c r="C68">
        <f>SUM('Mass Balance'!E68:H68)</f>
        <v>3.9949657500391568E-5</v>
      </c>
      <c r="D68">
        <f>Concentrations!F68/Concentrations!E68</f>
        <v>1.0003727875631208</v>
      </c>
    </row>
    <row r="69" spans="1:4">
      <c r="A69">
        <f>'Mass Balance'!I69</f>
        <v>2.0945793807120875E-6</v>
      </c>
      <c r="B69">
        <f>'Mass Balance'!E69</f>
        <v>1.3805624310408003E-6</v>
      </c>
      <c r="C69">
        <f>SUM('Mass Balance'!E69:H69)</f>
        <v>1.7115119134081219E-5</v>
      </c>
      <c r="D69">
        <f>Concentrations!F69/Concentrations!E69</f>
        <v>8.0694783867548539E-2</v>
      </c>
    </row>
    <row r="70" spans="1:4">
      <c r="A70">
        <f>'Mass Balance'!I70</f>
        <v>1.5719309992844828E-8</v>
      </c>
      <c r="B70">
        <f>'Mass Balance'!E70</f>
        <v>3.985802431461078E-5</v>
      </c>
      <c r="C70">
        <f>SUM('Mass Balance'!E70:H70)</f>
        <v>3.9981952928002758E-5</v>
      </c>
      <c r="D70">
        <f>Concentrations!F70/Concentrations!E70</f>
        <v>0.99728916940116075</v>
      </c>
    </row>
    <row r="71" spans="1:4">
      <c r="A71">
        <f>'Mass Balance'!I71</f>
        <v>1.6904233024703132E-8</v>
      </c>
      <c r="B71">
        <f>'Mass Balance'!E71</f>
        <v>3.9743085580035797E-5</v>
      </c>
      <c r="C71">
        <f>SUM('Mass Balance'!E71:H71)</f>
        <v>3.9979827736366887E-5</v>
      </c>
      <c r="D71">
        <f>Concentrations!F71/Concentrations!E71</f>
        <v>0.99446614250097476</v>
      </c>
    </row>
    <row r="72" spans="1:4">
      <c r="A72">
        <f>'Mass Balance'!I72</f>
        <v>2.3122347719400695E-6</v>
      </c>
      <c r="B72">
        <f>'Mass Balance'!E72</f>
        <v>1.4222491693954179E-6</v>
      </c>
      <c r="C72">
        <f>SUM('Mass Balance'!E72:H72)</f>
        <v>3.7655696031571766E-5</v>
      </c>
      <c r="D72">
        <f>Concentrations!F72/Concentrations!E72</f>
        <v>3.7784558119696519E-2</v>
      </c>
    </row>
    <row r="73" spans="1:4">
      <c r="A73">
        <f>'Mass Balance'!I73</f>
        <v>2.2619906815720014E-7</v>
      </c>
      <c r="B73">
        <f>'Mass Balance'!E73</f>
        <v>1.0862072240217616E-5</v>
      </c>
      <c r="C73">
        <f>SUM('Mass Balance'!E73:H73)</f>
        <v>3.9752391477630371E-5</v>
      </c>
      <c r="D73">
        <f>Concentrations!F73/Concentrations!E73</f>
        <v>0.27334980256430963</v>
      </c>
    </row>
    <row r="74" spans="1:4">
      <c r="A74">
        <f>'Mass Balance'!I74</f>
        <v>1.6672599321679626E-8</v>
      </c>
      <c r="B74">
        <f>'Mass Balance'!E74</f>
        <v>3.976590229998404E-5</v>
      </c>
      <c r="C74">
        <f>SUM('Mass Balance'!E74:H74)</f>
        <v>3.9980233320156008E-5</v>
      </c>
      <c r="D74">
        <f>Concentrations!F74/Concentrations!E74</f>
        <v>0.99502697662021289</v>
      </c>
    </row>
    <row r="75" spans="1:4">
      <c r="A75">
        <f>'Mass Balance'!I75</f>
        <v>2.1810651570251697E-7</v>
      </c>
      <c r="B75">
        <f>'Mass Balance'!E75</f>
        <v>1.229944677024801E-5</v>
      </c>
      <c r="C75">
        <f>SUM('Mass Balance'!E75:H75)</f>
        <v>3.9759764445112778E-5</v>
      </c>
      <c r="D75">
        <f>Concentrations!F75/Concentrations!E75</f>
        <v>0.30946469699293006</v>
      </c>
    </row>
    <row r="76" spans="1:4">
      <c r="A76">
        <f>'Mass Balance'!I76</f>
        <v>5.3678552547811918E-8</v>
      </c>
      <c r="B76">
        <f>'Mass Balance'!E76</f>
        <v>3.5565992435929717E-5</v>
      </c>
      <c r="C76">
        <f>SUM('Mass Balance'!E76:H76)</f>
        <v>3.9932166684043585E-5</v>
      </c>
      <c r="D76">
        <f>Concentrations!F76/Concentrations!E76</f>
        <v>0.89100757219607418</v>
      </c>
    </row>
    <row r="77" spans="1:4">
      <c r="A77">
        <f>'Mass Balance'!I77</f>
        <v>2.2399125788297911E-7</v>
      </c>
      <c r="B77">
        <f>'Mass Balance'!E77</f>
        <v>1.1261858733470784E-5</v>
      </c>
      <c r="C77">
        <f>SUM('Mass Balance'!E77:H77)</f>
        <v>3.9754315477970976E-5</v>
      </c>
      <c r="D77">
        <f>Concentrations!F77/Concentrations!E77</f>
        <v>0.28339692516937942</v>
      </c>
    </row>
    <row r="78" spans="1:4">
      <c r="A78">
        <f>'Mass Balance'!I78</f>
        <v>1.9484733060392422E-6</v>
      </c>
      <c r="B78">
        <f>'Mass Balance'!E78</f>
        <v>1.5868142301016939E-6</v>
      </c>
      <c r="C78">
        <f>SUM('Mass Balance'!E78:H78)</f>
        <v>3.8020926707970634E-5</v>
      </c>
      <c r="D78">
        <f>Concentrations!F78/Concentrations!E78</f>
        <v>4.1751561901800523E-2</v>
      </c>
    </row>
    <row r="79" spans="1:4">
      <c r="A79">
        <f>'Mass Balance'!I79</f>
        <v>1.9484723517681702E-6</v>
      </c>
      <c r="B79">
        <f>'Mass Balance'!E79</f>
        <v>1.5868145751720144E-6</v>
      </c>
      <c r="C79">
        <f>SUM('Mass Balance'!E79:H79)</f>
        <v>3.8020932751890386E-5</v>
      </c>
      <c r="D79">
        <f>Concentrations!F79/Concentrations!E79</f>
        <v>4.1751564344186816E-2</v>
      </c>
    </row>
    <row r="80" spans="1:4">
      <c r="A80">
        <f>'Mass Balance'!I80</f>
        <v>1.2309380862918533E-7</v>
      </c>
      <c r="B80">
        <f>'Mass Balance'!E80</f>
        <v>2.6605608034190319E-5</v>
      </c>
      <c r="C80">
        <f>SUM('Mass Balance'!E80:H80)</f>
        <v>3.9855005848316213E-5</v>
      </c>
      <c r="D80">
        <f>Concentrations!F80/Concentrations!E80</f>
        <v>0.66782035136800777</v>
      </c>
    </row>
    <row r="81" spans="1:4">
      <c r="A81">
        <f>'Mass Balance'!I81</f>
        <v>2.377406567700798E-8</v>
      </c>
      <c r="B81">
        <f>'Mass Balance'!E81</f>
        <v>3.9026548651638744E-5</v>
      </c>
      <c r="C81">
        <f>SUM('Mass Balance'!E81:H81)</f>
        <v>3.9969588812336985E-5</v>
      </c>
      <c r="D81">
        <f>Concentrations!F81/Concentrations!E81</f>
        <v>0.97678684857263531</v>
      </c>
    </row>
    <row r="82" spans="1:4">
      <c r="A82">
        <f>'Mass Balance'!I82</f>
        <v>3.6959392645351186E-8</v>
      </c>
      <c r="B82">
        <f>'Mass Balance'!E82</f>
        <v>3.7546528403569051E-5</v>
      </c>
      <c r="C82">
        <f>SUM('Mass Balance'!E82:H82)</f>
        <v>3.9952427254709971E-5</v>
      </c>
      <c r="D82">
        <f>Concentrations!F82/Concentrations!E82</f>
        <v>0.94014741610326835</v>
      </c>
    </row>
    <row r="83" spans="1:4">
      <c r="A83">
        <f>'Mass Balance'!I83</f>
        <v>3.6584404066463465E-6</v>
      </c>
      <c r="B83">
        <f>'Mass Balance'!E83</f>
        <v>1.0399545751252544E-6</v>
      </c>
      <c r="C83">
        <f>SUM('Mass Balance'!E83:H83)</f>
        <v>3.6305509452337831E-5</v>
      </c>
      <c r="D83">
        <f>Concentrations!F83/Concentrations!E83</f>
        <v>2.8655709968526483E-2</v>
      </c>
    </row>
    <row r="84" spans="1:4">
      <c r="A84">
        <f>'Mass Balance'!I84</f>
        <v>2.7687728383017585E-7</v>
      </c>
      <c r="B84">
        <f>'Mass Balance'!E84</f>
        <v>1.7206040789139591E-5</v>
      </c>
      <c r="C84">
        <f>SUM('Mass Balance'!E84:H84)</f>
        <v>1.9501142348239484E-5</v>
      </c>
      <c r="D84">
        <f>Concentrations!F84/Concentrations!E84</f>
        <v>0.88265347232576219</v>
      </c>
    </row>
    <row r="85" spans="1:4">
      <c r="A85">
        <f>'Mass Balance'!I85</f>
        <v>2.3635411514303353E-5</v>
      </c>
      <c r="B85">
        <f>'Mass Balance'!E85</f>
        <v>5.5357453159703384E-6</v>
      </c>
      <c r="C85">
        <f>SUM('Mass Balance'!E85:H85)</f>
        <v>1.4659060811230237E-5</v>
      </c>
      <c r="D85">
        <f>Concentrations!F85/Concentrations!E85</f>
        <v>0.37778028782758005</v>
      </c>
    </row>
    <row r="86" spans="1:4">
      <c r="A86">
        <f>'Mass Balance'!I86</f>
        <v>9.5381043169297629E-6</v>
      </c>
      <c r="B86">
        <f>'Mass Balance'!E86</f>
        <v>6.8964128932262722E-8</v>
      </c>
      <c r="C86">
        <f>SUM('Mass Balance'!E86:H86)</f>
        <v>1.7559397651234836E-5</v>
      </c>
      <c r="D86">
        <f>Concentrations!F86/Concentrations!E86</f>
        <v>3.9290086006088304E-3</v>
      </c>
    </row>
    <row r="87" spans="1:4">
      <c r="A87">
        <f>'Mass Balance'!I87</f>
        <v>1.1637946235495514E-5</v>
      </c>
      <c r="B87">
        <f>'Mass Balance'!E87</f>
        <v>2.5581013653385916E-8</v>
      </c>
      <c r="C87">
        <f>SUM('Mass Balance'!E87:H87)</f>
        <v>1.9061874110081408E-5</v>
      </c>
      <c r="D87">
        <f>Concentrations!F87/Concentrations!E87</f>
        <v>1.3425222460896708E-3</v>
      </c>
    </row>
    <row r="88" spans="1:4">
      <c r="A88">
        <f>'Mass Balance'!I88</f>
        <v>1.3489551398141917E-5</v>
      </c>
      <c r="B88">
        <f>'Mass Balance'!E88</f>
        <v>7.6547233496553751E-9</v>
      </c>
      <c r="C88">
        <f>SUM('Mass Balance'!E88:H88)</f>
        <v>2.0584490030157295E-5</v>
      </c>
      <c r="D88">
        <f>Concentrations!F88/Concentrations!E88</f>
        <v>3.720135218103087E-4</v>
      </c>
    </row>
    <row r="89" spans="1:4">
      <c r="A89">
        <f>'Mass Balance'!I89</f>
        <v>3.7021291519455822E-5</v>
      </c>
      <c r="B89">
        <f>'Mass Balance'!E89</f>
        <v>5.465196568509213E-8</v>
      </c>
      <c r="C89">
        <f>SUM('Mass Balance'!E89:H89)</f>
        <v>2.2958863127865512E-6</v>
      </c>
      <c r="D89">
        <f>Concentrations!F89/Concentrations!E89</f>
        <v>2.381358310813789E-2</v>
      </c>
    </row>
    <row r="90" spans="1:4">
      <c r="A90">
        <f>'Mass Balance'!I90</f>
        <v>1.4671477138847134E-8</v>
      </c>
      <c r="B90">
        <f>'Mass Balance'!E90</f>
        <v>3.8978198878669309E-5</v>
      </c>
      <c r="C90">
        <f>SUM('Mass Balance'!E90:H90)</f>
        <v>3.8983082745679635E-5</v>
      </c>
      <c r="D90">
        <f>Concentrations!F90/Concentrations!E90</f>
        <v>1.0002646614722241</v>
      </c>
    </row>
    <row r="91" spans="1:4">
      <c r="A91">
        <f>'Mass Balance'!I91</f>
        <v>5.1497971512947082E-8</v>
      </c>
      <c r="B91">
        <f>'Mass Balance'!E91</f>
        <v>3.060814093426088E-5</v>
      </c>
      <c r="C91">
        <f>SUM('Mass Balance'!E91:H91)</f>
        <v>3.0908088985747844E-5</v>
      </c>
      <c r="D91">
        <f>Concentrations!F91/Concentrations!E91</f>
        <v>0.99068169111119386</v>
      </c>
    </row>
    <row r="92" spans="1:4">
      <c r="A92">
        <f>'Mass Balance'!I92</f>
        <v>5.4048147289110415E-7</v>
      </c>
      <c r="B92">
        <f>'Mass Balance'!E92</f>
        <v>1.0616057609934152E-5</v>
      </c>
      <c r="C92">
        <f>SUM('Mass Balance'!E92:H92)</f>
        <v>1.5478385507300971E-5</v>
      </c>
      <c r="D92">
        <f>Concentrations!F92/Concentrations!E92</f>
        <v>0.68613084890735798</v>
      </c>
    </row>
    <row r="93" spans="1:4">
      <c r="A93">
        <f>'Mass Balance'!I93</f>
        <v>1.4525060019217821E-8</v>
      </c>
      <c r="B93">
        <f>'Mass Balance'!E93</f>
        <v>3.9961892287253198E-5</v>
      </c>
      <c r="C93">
        <f>SUM('Mass Balance'!E93:H93)</f>
        <v>3.9979354464714184E-5</v>
      </c>
      <c r="D93">
        <f>Concentrations!F93/Concentrations!E93</f>
        <v>0.99995304181843958</v>
      </c>
    </row>
    <row r="94" spans="1:4">
      <c r="A94">
        <f>'Mass Balance'!I94</f>
        <v>1.442825230425411E-8</v>
      </c>
      <c r="B94">
        <f>'Mass Balance'!E94</f>
        <v>3.9985349767089712E-5</v>
      </c>
      <c r="C94">
        <f>SUM('Mass Balance'!E94:H94)</f>
        <v>3.998541750176259E-5</v>
      </c>
      <c r="D94">
        <f>Concentrations!F94/Concentrations!E94</f>
        <v>1.0003882973894693</v>
      </c>
    </row>
    <row r="95" spans="1:4">
      <c r="A95">
        <f>'Mass Balance'!I95</f>
        <v>1.679693686317553E-8</v>
      </c>
      <c r="B95">
        <f>'Mass Balance'!E95</f>
        <v>3.764426707797098E-5</v>
      </c>
      <c r="C95">
        <f>SUM('Mass Balance'!E95:H95)</f>
        <v>3.7664419754099057E-5</v>
      </c>
      <c r="D95">
        <f>Concentrations!F95/Concentrations!E95</f>
        <v>0.99985472464838165</v>
      </c>
    </row>
    <row r="96" spans="1:4">
      <c r="A96">
        <f>'Mass Balance'!I96</f>
        <v>8.6812712447991913E-6</v>
      </c>
      <c r="B96">
        <f>'Mass Balance'!E96</f>
        <v>9.7812454308897201E-8</v>
      </c>
      <c r="C96">
        <f>SUM('Mass Balance'!E96:H96)</f>
        <v>1.7038434090668693E-5</v>
      </c>
      <c r="D96">
        <f>Concentrations!F96/Concentrations!E96</f>
        <v>5.7429338791492061E-3</v>
      </c>
    </row>
    <row r="97" spans="1:4">
      <c r="A97">
        <f>'Mass Balance'!I97</f>
        <v>8.5664257058964608E-8</v>
      </c>
      <c r="B97">
        <f>'Mass Balance'!E97</f>
        <v>2.7159420515693636E-5</v>
      </c>
      <c r="C97">
        <f>SUM('Mass Balance'!E97:H97)</f>
        <v>2.7744423244660626E-5</v>
      </c>
      <c r="D97">
        <f>Concentrations!F97/Concentrations!E97</f>
        <v>0.97929635205464494</v>
      </c>
    </row>
    <row r="98" spans="1:4">
      <c r="A98">
        <f>'Mass Balance'!I98</f>
        <v>5.6486466977451202E-8</v>
      </c>
      <c r="B98">
        <f>'Mass Balance'!E98</f>
        <v>3.0018787096712432E-5</v>
      </c>
      <c r="C98">
        <f>SUM('Mass Balance'!E98:H98)</f>
        <v>3.0359754690094226E-5</v>
      </c>
      <c r="D98">
        <f>Concentrations!F98/Concentrations!E98</f>
        <v>0.98915470467762656</v>
      </c>
    </row>
    <row r="99" spans="1:4">
      <c r="A99">
        <f>'Mass Balance'!I99</f>
        <v>2.4041852598471457E-8</v>
      </c>
      <c r="B99">
        <f>'Mass Balance'!E99</f>
        <v>3.5149283829272258E-5</v>
      </c>
      <c r="C99">
        <f>SUM('Mass Balance'!E99:H99)</f>
        <v>3.5228083798529655E-5</v>
      </c>
      <c r="D99">
        <f>Concentrations!F99/Concentrations!E99</f>
        <v>0.99815226882852748</v>
      </c>
    </row>
    <row r="100" spans="1:4">
      <c r="A100">
        <f>'Mass Balance'!I100</f>
        <v>3.9228076180773725E-6</v>
      </c>
      <c r="B100">
        <f>'Mass Balance'!E100</f>
        <v>5.8998662229771793E-7</v>
      </c>
      <c r="C100">
        <f>SUM('Mass Balance'!E100:H100)</f>
        <v>1.5803862456986752E-5</v>
      </c>
      <c r="D100">
        <f>Concentrations!F100/Concentrations!E100</f>
        <v>3.7346358460614341E-2</v>
      </c>
    </row>
    <row r="101" spans="1:4">
      <c r="A101">
        <f>'Mass Balance'!I101</f>
        <v>4.2602714890078019E-7</v>
      </c>
      <c r="B101">
        <f>'Mass Balance'!E101</f>
        <v>1.2988132444956214E-5</v>
      </c>
      <c r="C101">
        <f>SUM('Mass Balance'!E101:H101)</f>
        <v>1.6710118171871368E-5</v>
      </c>
      <c r="D101">
        <f>Concentrations!F101/Concentrations!E101</f>
        <v>0.7775646814410051</v>
      </c>
    </row>
    <row r="102" spans="1:4">
      <c r="A102">
        <f>'Mass Balance'!I102</f>
        <v>9.9914357449652709E-7</v>
      </c>
      <c r="B102">
        <f>'Mass Balance'!E102</f>
        <v>4.9766159856477691E-6</v>
      </c>
      <c r="C102">
        <f>SUM('Mass Balance'!E102:H102)</f>
        <v>1.476455683942052E-5</v>
      </c>
      <c r="D102">
        <f>Concentrations!F102/Concentrations!E102</f>
        <v>0.33719649566104476</v>
      </c>
    </row>
    <row r="103" spans="1:4">
      <c r="A103">
        <f>'Mass Balance'!I103</f>
        <v>1.9173152376104954E-8</v>
      </c>
      <c r="B103">
        <f>'Mass Balance'!E103</f>
        <v>3.9513283783921783E-5</v>
      </c>
      <c r="C103">
        <f>SUM('Mass Balance'!E103:H103)</f>
        <v>3.9975643318861597E-5</v>
      </c>
      <c r="D103">
        <f>Concentrations!F103/Concentrations!E103</f>
        <v>0.98881945024768447</v>
      </c>
    </row>
    <row r="104" spans="1:4">
      <c r="A104">
        <f>'Mass Balance'!I104</f>
        <v>3.9604015453778415E-7</v>
      </c>
      <c r="B104">
        <f>'Mass Balance'!E104</f>
        <v>3.9894647469623272E-6</v>
      </c>
      <c r="C104">
        <f>SUM('Mass Balance'!E104:H104)</f>
        <v>3.9355699438463174E-5</v>
      </c>
      <c r="D104">
        <f>Concentrations!F104/Concentrations!E104</f>
        <v>0.10140896143075608</v>
      </c>
    </row>
    <row r="105" spans="1:4">
      <c r="A105">
        <f>'Mass Balance'!I105</f>
        <v>1.4765770796809387E-8</v>
      </c>
      <c r="B105">
        <f>'Mass Balance'!E105</f>
        <v>3.8778651651856717E-5</v>
      </c>
      <c r="C105">
        <f>SUM('Mass Balance'!E105:H105)</f>
        <v>3.8784089206360181E-5</v>
      </c>
      <c r="D105">
        <f>Concentrations!F105/Concentrations!E105</f>
        <v>1.0002497367076915</v>
      </c>
    </row>
    <row r="106" spans="1:4">
      <c r="A106">
        <f>'Mass Balance'!I106</f>
        <v>1.6978390102574476E-8</v>
      </c>
      <c r="B106">
        <f>'Mass Balance'!E106</f>
        <v>3.7533244435721272E-5</v>
      </c>
      <c r="C106">
        <f>SUM('Mass Balance'!E106:H106)</f>
        <v>3.7555070007238134E-5</v>
      </c>
      <c r="D106">
        <f>Concentrations!F106/Concentrations!E106</f>
        <v>0.99980860360114354</v>
      </c>
    </row>
    <row r="107" spans="1:4">
      <c r="A107">
        <f>'Mass Balance'!I107</f>
        <v>1.5441603057632672E-6</v>
      </c>
      <c r="B107">
        <f>'Mass Balance'!E107</f>
        <v>3.335692898081637E-6</v>
      </c>
      <c r="C107">
        <f>SUM('Mass Balance'!E107:H107)</f>
        <v>1.6636654512230277E-5</v>
      </c>
      <c r="D107">
        <f>Concentrations!F107/Concentrations!E107</f>
        <v>0.20058081925595378</v>
      </c>
    </row>
    <row r="108" spans="1:4">
      <c r="A108">
        <f>'Mass Balance'!I108</f>
        <v>1.4361280217199125E-8</v>
      </c>
      <c r="B108">
        <f>'Mass Balance'!E108</f>
        <v>3.9983387545906709E-5</v>
      </c>
      <c r="C108">
        <f>SUM('Mass Balance'!E108:H108)</f>
        <v>3.998342359743017E-5</v>
      </c>
      <c r="D108">
        <f>Concentrations!F108/Concentrations!E108</f>
        <v>1.0003890900211097</v>
      </c>
    </row>
    <row r="109" spans="1:4">
      <c r="A109">
        <f>'Mass Balance'!I109</f>
        <v>2.5927250975058619E-7</v>
      </c>
      <c r="B109">
        <f>'Mass Balance'!E109</f>
        <v>3.8723123390816819E-5</v>
      </c>
      <c r="C109">
        <f>SUM('Mass Balance'!E109:H109)</f>
        <v>3.8976940590612451E-5</v>
      </c>
      <c r="D109">
        <f>Concentrations!F109/Concentrations!E109</f>
        <v>0.99387546876421717</v>
      </c>
    </row>
    <row r="110" spans="1:4">
      <c r="A110">
        <f>'Mass Balance'!I110</f>
        <v>1.4311194907123789E-8</v>
      </c>
      <c r="B110">
        <f>'Mass Balance'!E110</f>
        <v>3.9735248107413634E-5</v>
      </c>
      <c r="C110">
        <f>SUM('Mass Balance'!E110:H110)</f>
        <v>3.9736315686114226E-5</v>
      </c>
      <c r="D110">
        <f>Concentrations!F110/Concentrations!E110</f>
        <v>1.0003631149818706</v>
      </c>
    </row>
    <row r="111" spans="1:4">
      <c r="A111">
        <f>'Mass Balance'!I111</f>
        <v>1.4292416411911346E-8</v>
      </c>
      <c r="B111">
        <f>'Mass Balance'!E111</f>
        <v>3.9985419926397377E-5</v>
      </c>
      <c r="C111">
        <f>SUM('Mass Balance'!E111:H111)</f>
        <v>3.9985483649199748E-5</v>
      </c>
      <c r="D111">
        <f>Concentrations!F111/Concentrations!E111</f>
        <v>1.0003883977645764</v>
      </c>
    </row>
    <row r="112" spans="1:4">
      <c r="A112">
        <f>'Mass Balance'!I112</f>
        <v>1.4260357382899455E-8</v>
      </c>
      <c r="B112">
        <f>'Mass Balance'!E112</f>
        <v>3.9662265587683126E-5</v>
      </c>
      <c r="C112">
        <f>SUM('Mass Balance'!E112:H112)</f>
        <v>3.9662719016449692E-5</v>
      </c>
      <c r="D112">
        <f>Concentrations!F112/Concentrations!E112</f>
        <v>1.0003785554610216</v>
      </c>
    </row>
    <row r="113" spans="1:4">
      <c r="A113">
        <f>'Mass Balance'!I113</f>
        <v>1.556276522786696E-8</v>
      </c>
      <c r="B113">
        <f>'Mass Balance'!E113</f>
        <v>3.8155490466039293E-5</v>
      </c>
      <c r="C113">
        <f>SUM('Mass Balance'!E113:H113)</f>
        <v>3.8167500504713204E-5</v>
      </c>
      <c r="D113">
        <f>Concentrations!F113/Concentrations!E113</f>
        <v>1.0000752026892545</v>
      </c>
    </row>
    <row r="114" spans="1:4">
      <c r="A114">
        <f>'Mass Balance'!I114</f>
        <v>1.4257760202929145E-8</v>
      </c>
      <c r="B114">
        <f>'Mass Balance'!E114</f>
        <v>3.9818137039028512E-5</v>
      </c>
      <c r="C114">
        <f>SUM('Mass Balance'!E114:H114)</f>
        <v>3.9818272355001789E-5</v>
      </c>
      <c r="D114">
        <f>Concentrations!F114/Concentrations!E114</f>
        <v>1.000386592370536</v>
      </c>
    </row>
    <row r="115" spans="1:4">
      <c r="A115">
        <f>'Mass Balance'!I115</f>
        <v>1.5593684565371185E-8</v>
      </c>
      <c r="B115">
        <f>'Mass Balance'!E115</f>
        <v>3.9869473703362723E-5</v>
      </c>
      <c r="C115">
        <f>SUM('Mass Balance'!E115:H115)</f>
        <v>3.9981641210962591E-5</v>
      </c>
      <c r="D115">
        <f>Concentrations!F115/Concentrations!E115</f>
        <v>0.99758342260323318</v>
      </c>
    </row>
    <row r="116" spans="1:4">
      <c r="A116">
        <f>'Mass Balance'!I116</f>
        <v>8.6474205148657542E-6</v>
      </c>
      <c r="B116">
        <f>'Mass Balance'!E116</f>
        <v>1.772815225282323E-5</v>
      </c>
      <c r="C116">
        <f>SUM('Mass Balance'!E116:H116)</f>
        <v>2.8820268260115841E-5</v>
      </c>
      <c r="D116">
        <f>Concentrations!F116/Concentrations!E116</f>
        <v>0.61536783526514127</v>
      </c>
    </row>
    <row r="117" spans="1:4">
      <c r="A117">
        <f>'Mass Balance'!I117</f>
        <v>1.3985665927712153E-7</v>
      </c>
      <c r="B117">
        <f>'Mass Balance'!E117</f>
        <v>2.3344606736722318E-5</v>
      </c>
      <c r="C117">
        <f>SUM('Mass Balance'!E117:H117)</f>
        <v>2.4397302029584699E-5</v>
      </c>
      <c r="D117">
        <f>Concentrations!F117/Concentrations!E117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0.97019161423989619</v>
      </c>
      <c r="M2" s="115">
        <v>0.8946335135638197</v>
      </c>
      <c r="N2" s="115">
        <v>1.1368716770713645</v>
      </c>
      <c r="O2" s="115">
        <v>0.81121423260159409</v>
      </c>
      <c r="P2" s="115">
        <v>0.93888622899187624</v>
      </c>
      <c r="Q2" s="111">
        <v>0.81121423260159409</v>
      </c>
      <c r="R2" s="68">
        <v>0.93888622899187624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0.66870971249239441</v>
      </c>
      <c r="M3" s="115">
        <v>11.013009596094831</v>
      </c>
      <c r="N3" s="115">
        <v>304.02263434500833</v>
      </c>
      <c r="O3" s="115">
        <v>3.0119605321254479</v>
      </c>
      <c r="P3" s="115">
        <v>2.7906508163051527</v>
      </c>
      <c r="Q3" s="111">
        <v>3.0119605321254479</v>
      </c>
      <c r="R3" s="68">
        <v>2.7906508163051527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1.0958662832109283</v>
      </c>
      <c r="M4" s="115">
        <v>1.0505013023607914</v>
      </c>
      <c r="N4" s="115">
        <v>3.0496005532619135</v>
      </c>
      <c r="O4" s="115">
        <v>0.82525326146803535</v>
      </c>
      <c r="P4" s="115">
        <v>0.95920982579109049</v>
      </c>
      <c r="Q4" s="111">
        <v>0.82525326146803546</v>
      </c>
      <c r="R4" s="68">
        <v>0.95920982579109049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0.92109699378761933</v>
      </c>
      <c r="M5" s="115">
        <v>2.613185989308942</v>
      </c>
      <c r="N5" s="115">
        <v>75.582513000193458</v>
      </c>
      <c r="O5" s="115">
        <v>4.4113003166250842</v>
      </c>
      <c r="P5" s="115">
        <v>7.2117413815089293</v>
      </c>
      <c r="Q5" s="111">
        <v>4.411300316625085</v>
      </c>
      <c r="R5" s="68">
        <v>7.2117413815089293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0.82447329033425421</v>
      </c>
      <c r="M6" s="115">
        <v>4.6067941655661198</v>
      </c>
      <c r="N6" s="115">
        <v>162.33599785354173</v>
      </c>
      <c r="O6" s="115">
        <v>8.899948211849793</v>
      </c>
      <c r="P6" s="115">
        <v>15.058103687549691</v>
      </c>
      <c r="Q6" s="111">
        <v>8.899948211849793</v>
      </c>
      <c r="R6" s="68">
        <v>15.058103687549691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0.53602116287378099</v>
      </c>
      <c r="M7" s="115">
        <v>10.745626623493878</v>
      </c>
      <c r="N7" s="115">
        <v>418.87551332943241</v>
      </c>
      <c r="O7" s="115">
        <v>21.675284071585839</v>
      </c>
      <c r="P7" s="115">
        <v>37.200023837481048</v>
      </c>
      <c r="Q7" s="111">
        <v>21.675284071585839</v>
      </c>
      <c r="R7" s="68">
        <v>37.200023837481055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0.74676259746281826</v>
      </c>
      <c r="M8" s="115">
        <v>6.0909993023190223</v>
      </c>
      <c r="N8" s="115">
        <v>227.75114947032404</v>
      </c>
      <c r="O8" s="115">
        <v>12.558635135966018</v>
      </c>
      <c r="P8" s="115">
        <v>21.483536311806912</v>
      </c>
      <c r="Q8" s="111">
        <v>12.55863513596602</v>
      </c>
      <c r="R8" s="68">
        <v>21.483536311806912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0.93707877609266388</v>
      </c>
      <c r="M9" s="115">
        <v>2.2688799142080858</v>
      </c>
      <c r="N9" s="115">
        <v>60.278916147168701</v>
      </c>
      <c r="O9" s="115">
        <v>3.6026896926442831</v>
      </c>
      <c r="P9" s="115">
        <v>5.792343775642995</v>
      </c>
      <c r="Q9" s="111">
        <v>3.6026896926442831</v>
      </c>
      <c r="R9" s="68">
        <v>5.792343775642995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4.7797440923480441E-2</v>
      </c>
      <c r="M10" s="115">
        <v>95.888765109110821</v>
      </c>
      <c r="N10" s="115">
        <v>3168.8240500418951</v>
      </c>
      <c r="O10" s="115">
        <v>34.334851039326736</v>
      </c>
      <c r="P10" s="115">
        <v>35.026326973143718</v>
      </c>
      <c r="Q10" s="111">
        <v>34.334851039326736</v>
      </c>
      <c r="R10" s="68">
        <v>35.026326973143718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3.5705135847705566E-3</v>
      </c>
      <c r="M11" s="115">
        <v>816.00876482289073</v>
      </c>
      <c r="N11" s="115">
        <v>30898.818480713304</v>
      </c>
      <c r="O11" s="115">
        <v>125.42912054531099</v>
      </c>
      <c r="P11" s="115">
        <v>57.574613740718746</v>
      </c>
      <c r="Q11" s="111">
        <v>125.42912054531101</v>
      </c>
      <c r="R11" s="68">
        <v>57.574613740718746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0.91509825171241677</v>
      </c>
      <c r="M12" s="115">
        <v>0.81266304172306925</v>
      </c>
      <c r="N12" s="115">
        <v>6.1391117347846622E-2</v>
      </c>
      <c r="O12" s="115">
        <v>0.75635038563148604</v>
      </c>
      <c r="P12" s="115">
        <v>0.87890589115667206</v>
      </c>
      <c r="Q12" s="111">
        <v>0.75635038563148616</v>
      </c>
      <c r="R12" s="68">
        <v>0.87890589115667206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0.6222323178663729</v>
      </c>
      <c r="M13" s="115">
        <v>7.0832693646430664</v>
      </c>
      <c r="N13" s="115">
        <v>213.62404872451503</v>
      </c>
      <c r="O13" s="115">
        <v>2.5668689127685838</v>
      </c>
      <c r="P13" s="115">
        <v>2.4263269826246021</v>
      </c>
      <c r="Q13" s="111">
        <v>2.5668689127685838</v>
      </c>
      <c r="R13" s="68">
        <v>2.4263269826246021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8.0151996497239184E-2</v>
      </c>
      <c r="M14" s="115">
        <v>36.78229602049268</v>
      </c>
      <c r="N14" s="115">
        <v>1522.4574020191487</v>
      </c>
      <c r="O14" s="115">
        <v>45.025660885407369</v>
      </c>
      <c r="P14" s="115">
        <v>75.434051349991734</v>
      </c>
      <c r="Q14" s="111">
        <v>45.025660885407376</v>
      </c>
      <c r="R14" s="68">
        <v>75.434051349991734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0.77743002324866228</v>
      </c>
      <c r="M15" s="115">
        <v>1.5983564110961876</v>
      </c>
      <c r="N15" s="115">
        <v>29.657736110583912</v>
      </c>
      <c r="O15" s="115">
        <v>0.91341115628160185</v>
      </c>
      <c r="P15" s="115">
        <v>0.97268014936448211</v>
      </c>
      <c r="Q15" s="111">
        <v>0.91341115628160185</v>
      </c>
      <c r="R15" s="68">
        <v>0.97268014936448211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0.59562658899379095</v>
      </c>
      <c r="M16" s="115">
        <v>8.0641854457016819</v>
      </c>
      <c r="N16" s="115">
        <v>246.55980674544111</v>
      </c>
      <c r="O16" s="115">
        <v>2.871424265210778</v>
      </c>
      <c r="P16" s="115">
        <v>2.7032110048815978</v>
      </c>
      <c r="Q16" s="111">
        <v>2.871424265210778</v>
      </c>
      <c r="R16" s="68">
        <v>2.7032110048815978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0.61106017592962747</v>
      </c>
      <c r="M17" s="115">
        <v>7.4214046870711821</v>
      </c>
      <c r="N17" s="115">
        <v>225.034968436546</v>
      </c>
      <c r="O17" s="115">
        <v>2.6707204610846191</v>
      </c>
      <c r="P17" s="115">
        <v>2.5202744590989896</v>
      </c>
      <c r="Q17" s="111">
        <v>2.6707204610846196</v>
      </c>
      <c r="R17" s="68">
        <v>2.5202744590989901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3.0272626908723196E-3</v>
      </c>
      <c r="M18" s="115">
        <v>500.59023623662125</v>
      </c>
      <c r="N18" s="115">
        <v>16701.718795577366</v>
      </c>
      <c r="O18" s="115">
        <v>100.72928196113587</v>
      </c>
      <c r="P18" s="115">
        <v>43.147545338785072</v>
      </c>
      <c r="Q18" s="111">
        <v>100.72928196113587</v>
      </c>
      <c r="R18" s="68">
        <v>43.147545338785079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0.90550573836127179</v>
      </c>
      <c r="M19" s="115">
        <v>1.1169974808278236</v>
      </c>
      <c r="N19" s="115">
        <v>10.249645253537025</v>
      </c>
      <c r="O19" s="115">
        <v>0.83930335862409966</v>
      </c>
      <c r="P19" s="115">
        <v>0.9427636466763698</v>
      </c>
      <c r="Q19" s="111">
        <v>0.83930335862409966</v>
      </c>
      <c r="R19" s="68">
        <v>0.9427636466763698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0.86983073755077378</v>
      </c>
      <c r="M20" s="115">
        <v>1.3125408720583247</v>
      </c>
      <c r="N20" s="115">
        <v>17.658388506880193</v>
      </c>
      <c r="O20" s="115">
        <v>0.87776484542688227</v>
      </c>
      <c r="P20" s="115">
        <v>0.96541812930366633</v>
      </c>
      <c r="Q20" s="111">
        <v>0.87776484542688227</v>
      </c>
      <c r="R20" s="68">
        <v>0.96541812930366633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0.40627519542688156</v>
      </c>
      <c r="M21" s="115">
        <v>24.418302055456763</v>
      </c>
      <c r="N21" s="115">
        <v>836.87979265221702</v>
      </c>
      <c r="O21" s="115">
        <v>17.801851323658369</v>
      </c>
      <c r="P21" s="115">
        <v>26.160239072537113</v>
      </c>
      <c r="Q21" s="111">
        <v>17.801851323658369</v>
      </c>
      <c r="R21" s="68">
        <v>26.160239072537113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0.89910407734123166</v>
      </c>
      <c r="M22" s="115">
        <v>0.85347120186133252</v>
      </c>
      <c r="N22" s="115">
        <v>1.8468902032301322</v>
      </c>
      <c r="O22" s="115">
        <v>0.75869956414332695</v>
      </c>
      <c r="P22" s="115">
        <v>0.87548270507200932</v>
      </c>
      <c r="Q22" s="111">
        <v>0.75869956414332695</v>
      </c>
      <c r="R22" s="68">
        <v>0.87548270507200932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0.74995640436662159</v>
      </c>
      <c r="M23" s="115">
        <v>2.2008443794319783</v>
      </c>
      <c r="N23" s="115">
        <v>50.125068574895039</v>
      </c>
      <c r="O23" s="115">
        <v>1.083749305185352</v>
      </c>
      <c r="P23" s="115">
        <v>1.1140445415416182</v>
      </c>
      <c r="Q23" s="111">
        <v>1.083749305185352</v>
      </c>
      <c r="R23" s="68">
        <v>1.1140445415416182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0.50919951696329502</v>
      </c>
      <c r="M24" s="115">
        <v>11.999649348568507</v>
      </c>
      <c r="N24" s="115">
        <v>378.24161530077964</v>
      </c>
      <c r="O24" s="115">
        <v>4.1197848827554235</v>
      </c>
      <c r="P24" s="115">
        <v>3.8585561972987152</v>
      </c>
      <c r="Q24" s="111">
        <v>4.1197848827554235</v>
      </c>
      <c r="R24" s="68">
        <v>3.8585561972987157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4.1344990516279734E-3</v>
      </c>
      <c r="M25" s="115">
        <v>449.10684786530624</v>
      </c>
      <c r="N25" s="115">
        <v>14971.178122130248</v>
      </c>
      <c r="O25" s="115">
        <v>91.89916894539094</v>
      </c>
      <c r="P25" s="115">
        <v>41.26772386148766</v>
      </c>
      <c r="Q25" s="111">
        <v>91.89916894539094</v>
      </c>
      <c r="R25" s="68">
        <v>41.26772386148766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0.23336024754538809</v>
      </c>
      <c r="M26" s="115">
        <v>22.189338347326959</v>
      </c>
      <c r="N26" s="115">
        <v>722.09777351341427</v>
      </c>
      <c r="O26" s="115">
        <v>7.4977967511953612</v>
      </c>
      <c r="P26" s="115">
        <v>7.1522191008474074</v>
      </c>
      <c r="Q26" s="111">
        <v>7.497796751195362</v>
      </c>
      <c r="R26" s="68">
        <v>7.1522191008474083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2.2131400439784486E-2</v>
      </c>
      <c r="M27" s="115">
        <v>10.45710058567601</v>
      </c>
      <c r="N27" s="115">
        <v>344.02724369138281</v>
      </c>
      <c r="O27" s="115">
        <v>3.645217050473295</v>
      </c>
      <c r="P27" s="115">
        <v>3.6176352501892102</v>
      </c>
      <c r="Q27" s="111">
        <v>3.645217050473295</v>
      </c>
      <c r="R27" s="68">
        <v>3.6176352501892102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3.3260701900794547E-2</v>
      </c>
      <c r="M28" s="115">
        <v>4.2734977940463628</v>
      </c>
      <c r="N28" s="115">
        <v>139.49975334829119</v>
      </c>
      <c r="O28" s="115">
        <v>1.4493539440507295</v>
      </c>
      <c r="P28" s="115">
        <v>1.3919391201752218</v>
      </c>
      <c r="Q28" s="111">
        <v>1.4493539440507295</v>
      </c>
      <c r="R28" s="68">
        <v>1.391939120175222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5.9194754894445957E-2</v>
      </c>
      <c r="M29" s="115">
        <v>9.9017648535941832E-2</v>
      </c>
      <c r="N29" s="115">
        <v>1.5179842717211844</v>
      </c>
      <c r="O29" s="115">
        <v>6.2656914322711671E-2</v>
      </c>
      <c r="P29" s="115">
        <v>6.8172181749885694E-2</v>
      </c>
      <c r="Q29" s="111">
        <v>6.2656914322711671E-2</v>
      </c>
      <c r="R29" s="68">
        <v>6.8172181749885707E-2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1.2598422110909027E-2</v>
      </c>
      <c r="M30" s="115">
        <v>1.5099797009317588</v>
      </c>
      <c r="N30" s="115">
        <v>49.258329514863533</v>
      </c>
      <c r="O30" s="115">
        <v>0.51160721440451629</v>
      </c>
      <c r="P30" s="115">
        <v>0.49055103979843173</v>
      </c>
      <c r="Q30" s="111">
        <v>0.51160721440451629</v>
      </c>
      <c r="R30" s="68">
        <v>0.49055103979843179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4.4916439996030088E-4</v>
      </c>
      <c r="M31" s="115">
        <v>2.5131302313472798E-2</v>
      </c>
      <c r="N31" s="115">
        <v>0.8115441561284007</v>
      </c>
      <c r="O31" s="115">
        <v>8.4747636988235179E-3</v>
      </c>
      <c r="P31" s="115">
        <v>8.0017498083491193E-3</v>
      </c>
      <c r="Q31" s="111">
        <v>8.4747636988235179E-3</v>
      </c>
      <c r="R31" s="68">
        <v>8.0017498083491193E-3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0.64915648476346899</v>
      </c>
      <c r="M32" s="115">
        <v>6.0984967778018389</v>
      </c>
      <c r="N32" s="115">
        <v>180.57009958888159</v>
      </c>
      <c r="O32" s="115">
        <v>2.2632689861358246</v>
      </c>
      <c r="P32" s="115">
        <v>2.1524920142145558</v>
      </c>
      <c r="Q32" s="111">
        <v>2.2632689861358251</v>
      </c>
      <c r="R32" s="68">
        <v>2.1524920142145563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0.75865078688914955</v>
      </c>
      <c r="M33" s="115">
        <v>3.2695075051625966</v>
      </c>
      <c r="N33" s="115">
        <v>84.792586432820528</v>
      </c>
      <c r="O33" s="115">
        <v>1.4212100398266128</v>
      </c>
      <c r="P33" s="115">
        <v>1.4132315132207025</v>
      </c>
      <c r="Q33" s="111">
        <v>1.421210039826613</v>
      </c>
      <c r="R33" s="68">
        <v>1.4132315132207025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0.32105023518740605</v>
      </c>
      <c r="M34" s="115">
        <v>26.574809456761255</v>
      </c>
      <c r="N34" s="115">
        <v>863.3482545407519</v>
      </c>
      <c r="O34" s="115">
        <v>8.9692810726886769</v>
      </c>
      <c r="P34" s="115">
        <v>8.5309354229363734</v>
      </c>
      <c r="Q34" s="111">
        <v>8.9692810726886769</v>
      </c>
      <c r="R34" s="68">
        <v>8.5309354229363734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7.7080948805762467E-2</v>
      </c>
      <c r="M35" s="115">
        <v>73.297779246094876</v>
      </c>
      <c r="N35" s="115">
        <v>2417.2710239995231</v>
      </c>
      <c r="O35" s="115">
        <v>26.037848642674028</v>
      </c>
      <c r="P35" s="115">
        <v>26.32233167457402</v>
      </c>
      <c r="Q35" s="111">
        <v>26.037848642674028</v>
      </c>
      <c r="R35" s="68">
        <v>26.322331674574023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2.0300409648823934E-2</v>
      </c>
      <c r="M36" s="115">
        <v>194.54011406946216</v>
      </c>
      <c r="N36" s="115">
        <v>6452.2297077368567</v>
      </c>
      <c r="O36" s="115">
        <v>49.485535864790137</v>
      </c>
      <c r="P36" s="115">
        <v>34.871163293285278</v>
      </c>
      <c r="Q36" s="111">
        <v>49.485535864790137</v>
      </c>
      <c r="R36" s="68">
        <v>34.871163293285278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3.2683126494163508E-3</v>
      </c>
      <c r="M37" s="115">
        <v>480.90547364573831</v>
      </c>
      <c r="N37" s="115">
        <v>16041.139457612344</v>
      </c>
      <c r="O37" s="115">
        <v>97.184687868606517</v>
      </c>
      <c r="P37" s="115">
        <v>42.141870473647437</v>
      </c>
      <c r="Q37" s="111">
        <v>97.184687868606517</v>
      </c>
      <c r="R37" s="68">
        <v>42.141870473647437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1.1148062084821136E-2</v>
      </c>
      <c r="M38" s="115">
        <v>284.78224139246601</v>
      </c>
      <c r="N38" s="115">
        <v>9464.9756583289309</v>
      </c>
      <c r="O38" s="115">
        <v>64.207345523359606</v>
      </c>
      <c r="P38" s="115">
        <v>36.450061249000633</v>
      </c>
      <c r="Q38" s="111">
        <v>64.207345523359606</v>
      </c>
      <c r="R38" s="68">
        <v>36.450061249000633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1.5346409463898708E-2</v>
      </c>
      <c r="M39" s="115">
        <v>194.61108534592884</v>
      </c>
      <c r="N39" s="115">
        <v>6458.4809746293831</v>
      </c>
      <c r="O39" s="115">
        <v>47.538159549665082</v>
      </c>
      <c r="P39" s="115">
        <v>31.385667647366226</v>
      </c>
      <c r="Q39" s="111">
        <v>47.538159549665089</v>
      </c>
      <c r="R39" s="68">
        <v>31.385667647366226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1.1148062084821136E-2</v>
      </c>
      <c r="M40" s="115">
        <v>284.78224139246601</v>
      </c>
      <c r="N40" s="115">
        <v>9464.9756583289309</v>
      </c>
      <c r="O40" s="115">
        <v>64.207345523359606</v>
      </c>
      <c r="P40" s="115">
        <v>36.450061249000633</v>
      </c>
      <c r="Q40" s="111">
        <v>64.207345523359606</v>
      </c>
      <c r="R40" s="68">
        <v>36.450061249000633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0.98919272239561162</v>
      </c>
      <c r="M41" s="115">
        <v>1.0114243006198105</v>
      </c>
      <c r="N41" s="115">
        <v>5.6897025358066715</v>
      </c>
      <c r="O41" s="115">
        <v>1.0481096121362325</v>
      </c>
      <c r="P41" s="115">
        <v>1.3459564125581165</v>
      </c>
      <c r="Q41" s="111">
        <v>1.0481096121362325</v>
      </c>
      <c r="R41" s="68">
        <v>1.3459564125581165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2.9779962478286392E-3</v>
      </c>
      <c r="M42" s="115">
        <v>492.44350340232347</v>
      </c>
      <c r="N42" s="115">
        <v>16429.910775660606</v>
      </c>
      <c r="O42" s="115">
        <v>99.089988005070509</v>
      </c>
      <c r="P42" s="115">
        <v>42.445351210962173</v>
      </c>
      <c r="Q42" s="111">
        <v>99.089988005070509</v>
      </c>
      <c r="R42" s="68">
        <v>42.44535121096218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0.48947329866484901</v>
      </c>
      <c r="M43" s="115">
        <v>13.203750652874382</v>
      </c>
      <c r="N43" s="115">
        <v>418.36823802259215</v>
      </c>
      <c r="O43" s="115">
        <v>4.5091852439539206</v>
      </c>
      <c r="P43" s="115">
        <v>4.2241909463435094</v>
      </c>
      <c r="Q43" s="111">
        <v>4.5091852439539206</v>
      </c>
      <c r="R43" s="68">
        <v>4.2241909463435094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3.1017816417962751E-2</v>
      </c>
      <c r="M44" s="115">
        <v>140.83791489096021</v>
      </c>
      <c r="N44" s="115">
        <v>4663.3726818473815</v>
      </c>
      <c r="O44" s="115">
        <v>41.07544757335846</v>
      </c>
      <c r="P44" s="115">
        <v>34.635131506334311</v>
      </c>
      <c r="Q44" s="111">
        <v>41.07544757335846</v>
      </c>
      <c r="R44" s="68">
        <v>34.635131506334318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1.4265925860560207E-3</v>
      </c>
      <c r="M45" s="115">
        <v>614.3913193118899</v>
      </c>
      <c r="N45" s="115">
        <v>20538.39211162529</v>
      </c>
      <c r="O45" s="115">
        <v>120.34662065673389</v>
      </c>
      <c r="P45" s="115">
        <v>47.672880621136649</v>
      </c>
      <c r="Q45" s="111">
        <v>120.34662065673389</v>
      </c>
      <c r="R45" s="68">
        <v>47.672880621136649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2.7208189410540349E-3</v>
      </c>
      <c r="M46" s="115">
        <v>517.56803162230119</v>
      </c>
      <c r="N46" s="115">
        <v>17273.089711382509</v>
      </c>
      <c r="O46" s="115">
        <v>103.6452042457735</v>
      </c>
      <c r="P46" s="115">
        <v>43.786184917491447</v>
      </c>
      <c r="Q46" s="111">
        <v>103.64520424577351</v>
      </c>
      <c r="R46" s="68">
        <v>43.786184917491447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5.7762318125902552E-3</v>
      </c>
      <c r="M47" s="115">
        <v>393.35956886993887</v>
      </c>
      <c r="N47" s="115">
        <v>13100.261096643861</v>
      </c>
      <c r="O47" s="115">
        <v>82.415421105729777</v>
      </c>
      <c r="P47" s="115">
        <v>39.422369047217416</v>
      </c>
      <c r="Q47" s="111">
        <v>82.415421105729777</v>
      </c>
      <c r="R47" s="68">
        <v>39.422369047217416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0.16439191281181034</v>
      </c>
      <c r="M48" s="115">
        <v>51.076205625840089</v>
      </c>
      <c r="N48" s="115">
        <v>1677.2149679767986</v>
      </c>
      <c r="O48" s="115">
        <v>17.622794028215537</v>
      </c>
      <c r="P48" s="115">
        <v>17.299393491381231</v>
      </c>
      <c r="Q48" s="111">
        <v>17.622794028215537</v>
      </c>
      <c r="R48" s="68">
        <v>17.299393491381231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2.8729402300631229E-2</v>
      </c>
      <c r="M49" s="115">
        <v>150.05697635852331</v>
      </c>
      <c r="N49" s="115">
        <v>4970.2101264690064</v>
      </c>
      <c r="O49" s="115">
        <v>42.509015149832031</v>
      </c>
      <c r="P49" s="115">
        <v>34.652810624274188</v>
      </c>
      <c r="Q49" s="111">
        <v>42.509015149832031</v>
      </c>
      <c r="R49" s="68">
        <v>34.652810624274188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2.5199334928305013E-2</v>
      </c>
      <c r="M50" s="115">
        <v>166.22289223124929</v>
      </c>
      <c r="N50" s="115">
        <v>5508.5337643837547</v>
      </c>
      <c r="O50" s="115">
        <v>45.023769244502553</v>
      </c>
      <c r="P50" s="115">
        <v>34.690214240038181</v>
      </c>
      <c r="Q50" s="111">
        <v>45.023769244502553</v>
      </c>
      <c r="R50" s="68">
        <v>34.690214240038181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0.1225399362669847</v>
      </c>
      <c r="M51" s="115">
        <v>62.092616873148984</v>
      </c>
      <c r="N51" s="115">
        <v>2043.3414745559601</v>
      </c>
      <c r="O51" s="115">
        <v>21.683715779296673</v>
      </c>
      <c r="P51" s="115">
        <v>21.559211405699756</v>
      </c>
      <c r="Q51" s="111">
        <v>21.683715779296673</v>
      </c>
      <c r="R51" s="68">
        <v>21.559211405699759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0.15999910178674764</v>
      </c>
      <c r="M52" s="115">
        <v>52.080573017380345</v>
      </c>
      <c r="N52" s="115">
        <v>1710.5874986649117</v>
      </c>
      <c r="O52" s="115">
        <v>17.988910686928477</v>
      </c>
      <c r="P52" s="115">
        <v>17.680059372139425</v>
      </c>
      <c r="Q52" s="111">
        <v>17.988910686928481</v>
      </c>
      <c r="R52" s="68">
        <v>17.680059372139425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1.6506582919191635E-2</v>
      </c>
      <c r="M53" s="115">
        <v>224.50838444104008</v>
      </c>
      <c r="N53" s="115">
        <v>7451.7869442501224</v>
      </c>
      <c r="O53" s="115">
        <v>54.332898095357066</v>
      </c>
      <c r="P53" s="115">
        <v>35.304337844257624</v>
      </c>
      <c r="Q53" s="111">
        <v>54.332898095357066</v>
      </c>
      <c r="R53" s="68">
        <v>35.304337844257624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2.6920492580400451E-2</v>
      </c>
      <c r="M54" s="115">
        <v>158.01495254380191</v>
      </c>
      <c r="N54" s="115">
        <v>5235.1670903890154</v>
      </c>
      <c r="O54" s="115">
        <v>43.746451933705416</v>
      </c>
      <c r="P54" s="115">
        <v>34.669587693318725</v>
      </c>
      <c r="Q54" s="111">
        <v>43.746451933705416</v>
      </c>
      <c r="R54" s="68">
        <v>34.669587693318732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5.9611786212472812E-3</v>
      </c>
      <c r="M55" s="115">
        <v>387.43532509534504</v>
      </c>
      <c r="N55" s="115">
        <v>12901.722573522553</v>
      </c>
      <c r="O55" s="115">
        <v>81.393725002407606</v>
      </c>
      <c r="P55" s="115">
        <v>39.205873945420485</v>
      </c>
      <c r="Q55" s="111">
        <v>81.393725002407606</v>
      </c>
      <c r="R55" s="68">
        <v>39.205873945420485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3.02453592495209E-2</v>
      </c>
      <c r="M56" s="115">
        <v>143.89333182655807</v>
      </c>
      <c r="N56" s="115">
        <v>4765.0493342556583</v>
      </c>
      <c r="O56" s="115">
        <v>41.553661760691284</v>
      </c>
      <c r="P56" s="115">
        <v>34.646321518591805</v>
      </c>
      <c r="Q56" s="111">
        <v>41.553661760691284</v>
      </c>
      <c r="R56" s="68">
        <v>34.646321518591805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0.18363890587979903</v>
      </c>
      <c r="M57" s="115">
        <v>46.275183177605946</v>
      </c>
      <c r="N57" s="115">
        <v>1517.8734192063096</v>
      </c>
      <c r="O57" s="115">
        <v>15.891198137386436</v>
      </c>
      <c r="P57" s="115">
        <v>15.515997688901855</v>
      </c>
      <c r="Q57" s="111">
        <v>15.891198137386436</v>
      </c>
      <c r="R57" s="68">
        <v>15.515997688901855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2.6570409621589255E-2</v>
      </c>
      <c r="M58" s="115">
        <v>159.64329072098681</v>
      </c>
      <c r="N58" s="115">
        <v>5289.3910137693147</v>
      </c>
      <c r="O58" s="115">
        <v>44.000551813311162</v>
      </c>
      <c r="P58" s="115">
        <v>34.674807907515387</v>
      </c>
      <c r="Q58" s="111">
        <v>44.000551813311162</v>
      </c>
      <c r="R58" s="68">
        <v>34.674807907515387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0.16005918074059725</v>
      </c>
      <c r="M59" s="115">
        <v>52.10012904180693</v>
      </c>
      <c r="N59" s="115">
        <v>1711.2298166919527</v>
      </c>
      <c r="O59" s="115">
        <v>17.995665443192081</v>
      </c>
      <c r="P59" s="115">
        <v>17.686698156102683</v>
      </c>
      <c r="Q59" s="111">
        <v>17.995665443192081</v>
      </c>
      <c r="R59" s="68">
        <v>17.686698156102683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1.8685802680877384E-2</v>
      </c>
      <c r="M60" s="115">
        <v>205.98895061604333</v>
      </c>
      <c r="N60" s="115">
        <v>6834.0171945643006</v>
      </c>
      <c r="O60" s="115">
        <v>51.312784662115384</v>
      </c>
      <c r="P60" s="115">
        <v>34.990773292366413</v>
      </c>
      <c r="Q60" s="111">
        <v>51.312784662115391</v>
      </c>
      <c r="R60" s="68">
        <v>34.990773292366413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0.94465228365421172</v>
      </c>
      <c r="M61" s="115">
        <v>73.841190599066962</v>
      </c>
      <c r="N61" s="115">
        <v>1468.9070320480459</v>
      </c>
      <c r="O61" s="115">
        <v>8.1252934386492104</v>
      </c>
      <c r="P61" s="115">
        <v>8.170495600200951</v>
      </c>
      <c r="Q61" s="111">
        <v>8.1252934386492122</v>
      </c>
      <c r="R61" s="68">
        <v>8.170495600200951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0.33410347916944971</v>
      </c>
      <c r="M62" s="115">
        <v>25.216266559878342</v>
      </c>
      <c r="N62" s="115">
        <v>818.19509819574591</v>
      </c>
      <c r="O62" s="115">
        <v>8.5061137915214626</v>
      </c>
      <c r="P62" s="115">
        <v>8.0753687401059455</v>
      </c>
      <c r="Q62" s="111">
        <v>8.5061137915214626</v>
      </c>
      <c r="R62" s="68">
        <v>8.0753687401059455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1.8086646483070388</v>
      </c>
      <c r="M63" s="115">
        <v>7.0661684505358364</v>
      </c>
      <c r="N63" s="115">
        <v>114.68908303763244</v>
      </c>
      <c r="O63" s="115">
        <v>1.0907099054287959</v>
      </c>
      <c r="P63" s="115">
        <v>1.2209197488677421</v>
      </c>
      <c r="Q63" s="111">
        <v>1.0907099054287959</v>
      </c>
      <c r="R63" s="68">
        <v>1.2209197488677421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0.98802109901540291</v>
      </c>
      <c r="M64" s="115">
        <v>0.93427630982191856</v>
      </c>
      <c r="N64" s="115">
        <v>2.2716665383277395</v>
      </c>
      <c r="O64" s="115">
        <v>0.88084106272064466</v>
      </c>
      <c r="P64" s="115">
        <v>1.053122443628226</v>
      </c>
      <c r="Q64" s="111">
        <v>0.88084106272064466</v>
      </c>
      <c r="R64" s="68">
        <v>1.053122443628226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1.2631507126637753</v>
      </c>
      <c r="M65" s="115">
        <v>1.410158944548668</v>
      </c>
      <c r="N65" s="115">
        <v>9.556142650953932</v>
      </c>
      <c r="O65" s="115">
        <v>0.83368497588229151</v>
      </c>
      <c r="P65" s="115">
        <v>0.96826370689611096</v>
      </c>
      <c r="Q65" s="111">
        <v>0.83368497588229162</v>
      </c>
      <c r="R65" s="68">
        <v>0.96826370689611096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2.1224972439987866</v>
      </c>
      <c r="M66" s="115">
        <v>60.184873650719936</v>
      </c>
      <c r="N66" s="115">
        <v>1065.1615233749953</v>
      </c>
      <c r="O66" s="115">
        <v>2.5443014777955684</v>
      </c>
      <c r="P66" s="115">
        <v>3.1022856640935697</v>
      </c>
      <c r="Q66" s="111">
        <v>2.5443014777955684</v>
      </c>
      <c r="R66" s="68">
        <v>3.1022856640935697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1.2244165954635911</v>
      </c>
      <c r="M67" s="115">
        <v>1.320291458801484</v>
      </c>
      <c r="N67" s="115">
        <v>7.954681624235822</v>
      </c>
      <c r="O67" s="115">
        <v>0.83164099005879899</v>
      </c>
      <c r="P67" s="115">
        <v>0.96574279247624595</v>
      </c>
      <c r="Q67" s="111">
        <v>0.83164099005879899</v>
      </c>
      <c r="R67" s="68">
        <v>0.96574279247624595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1.0287880168578476</v>
      </c>
      <c r="M68" s="115">
        <v>0.93778957755568959</v>
      </c>
      <c r="N68" s="115">
        <v>1.0548060980726675</v>
      </c>
      <c r="O68" s="115">
        <v>0.82263593074610397</v>
      </c>
      <c r="P68" s="115">
        <v>0.95594240286976495</v>
      </c>
      <c r="Q68" s="111">
        <v>0.82263593074610397</v>
      </c>
      <c r="R68" s="68">
        <v>0.95594240286976495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3.4477474810062664E-2</v>
      </c>
      <c r="M69" s="115">
        <v>128.97656285172951</v>
      </c>
      <c r="N69" s="115">
        <v>4268.7173364914197</v>
      </c>
      <c r="O69" s="115">
        <v>39.272146780414886</v>
      </c>
      <c r="P69" s="115">
        <v>34.689156899744056</v>
      </c>
      <c r="Q69" s="111">
        <v>39.272146780414886</v>
      </c>
      <c r="R69" s="68">
        <v>34.689156899744056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0.99069180182497762</v>
      </c>
      <c r="M70" s="115">
        <v>0.96793780744118396</v>
      </c>
      <c r="N70" s="115">
        <v>3.8085614041088873</v>
      </c>
      <c r="O70" s="115">
        <v>0.97025432319325833</v>
      </c>
      <c r="P70" s="115">
        <v>1.2112743984465673</v>
      </c>
      <c r="Q70" s="111">
        <v>0.97025432319325844</v>
      </c>
      <c r="R70" s="68">
        <v>1.2112743984465673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0.98827813054983937</v>
      </c>
      <c r="M71" s="115">
        <v>1.0409010483191583</v>
      </c>
      <c r="N71" s="115">
        <v>6.9770454243033857</v>
      </c>
      <c r="O71" s="115">
        <v>1.1045375791861529</v>
      </c>
      <c r="P71" s="115">
        <v>1.4440206356901306</v>
      </c>
      <c r="Q71" s="111">
        <v>1.1045375791861531</v>
      </c>
      <c r="R71" s="68">
        <v>1.4440206356901306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3.556988707530135E-2</v>
      </c>
      <c r="M72" s="115">
        <v>142.37898841995502</v>
      </c>
      <c r="N72" s="115">
        <v>5975.0441969308531</v>
      </c>
      <c r="O72" s="115">
        <v>57.030935259684448</v>
      </c>
      <c r="P72" s="115">
        <v>80.401115339027058</v>
      </c>
      <c r="Q72" s="111">
        <v>57.030935259684448</v>
      </c>
      <c r="R72" s="68">
        <v>80.401115339027072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0.27162454619110654</v>
      </c>
      <c r="M73" s="115">
        <v>13.928514049088676</v>
      </c>
      <c r="N73" s="115">
        <v>574.59007502006034</v>
      </c>
      <c r="O73" s="115">
        <v>34.588535493652756</v>
      </c>
      <c r="P73" s="115">
        <v>60.339263983792812</v>
      </c>
      <c r="Q73" s="111">
        <v>34.588535493652756</v>
      </c>
      <c r="R73" s="68">
        <v>60.339263983792819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0.98876369891609339</v>
      </c>
      <c r="M74" s="115">
        <v>1.0266378892659866</v>
      </c>
      <c r="N74" s="115">
        <v>6.3573522327958747</v>
      </c>
      <c r="O74" s="115">
        <v>1.0778869310466432</v>
      </c>
      <c r="P74" s="115">
        <v>1.3977933508169171</v>
      </c>
      <c r="Q74" s="111">
        <v>1.0778869310466432</v>
      </c>
      <c r="R74" s="68">
        <v>1.3977933508169174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0.3075622359084898</v>
      </c>
      <c r="M75" s="115">
        <v>13.430204168874196</v>
      </c>
      <c r="N75" s="115">
        <v>552.34574218896671</v>
      </c>
      <c r="O75" s="115">
        <v>32.933487708472256</v>
      </c>
      <c r="P75" s="115">
        <v>57.405714348384066</v>
      </c>
      <c r="Q75" s="111">
        <v>32.933487708472256</v>
      </c>
      <c r="R75" s="68">
        <v>57.405714348384073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0.88805342771576656</v>
      </c>
      <c r="M76" s="115">
        <v>3.3053295903825068</v>
      </c>
      <c r="N76" s="115">
        <v>105.87779797566516</v>
      </c>
      <c r="O76" s="115">
        <v>5.9750889295695844</v>
      </c>
      <c r="P76" s="115">
        <v>9.9477259503417574</v>
      </c>
      <c r="Q76" s="111">
        <v>5.9750889295695853</v>
      </c>
      <c r="R76" s="68">
        <v>9.9477259503417574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0.28162032409630167</v>
      </c>
      <c r="M77" s="115">
        <v>13.79256514057753</v>
      </c>
      <c r="N77" s="115">
        <v>568.51253384682036</v>
      </c>
      <c r="O77" s="115">
        <v>34.128361473413513</v>
      </c>
      <c r="P77" s="115">
        <v>59.523170214540151</v>
      </c>
      <c r="Q77" s="111">
        <v>34.128361473413513</v>
      </c>
      <c r="R77" s="68">
        <v>59.523170214540151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3.9685573822579361E-2</v>
      </c>
      <c r="M78" s="115">
        <v>119.97988337680061</v>
      </c>
      <c r="N78" s="115">
        <v>5034.6759116721068</v>
      </c>
      <c r="O78" s="115">
        <v>54.774550078802633</v>
      </c>
      <c r="P78" s="115">
        <v>79.920659267364726</v>
      </c>
      <c r="Q78" s="111">
        <v>54.774550078802633</v>
      </c>
      <c r="R78" s="68">
        <v>79.920659267364726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3.9685582495200003E-2</v>
      </c>
      <c r="M79" s="115">
        <v>119.97982461626664</v>
      </c>
      <c r="N79" s="115">
        <v>5034.6742351597259</v>
      </c>
      <c r="O79" s="115">
        <v>54.774547808666519</v>
      </c>
      <c r="P79" s="115">
        <v>79.920673700966276</v>
      </c>
      <c r="Q79" s="111">
        <v>54.774547808666519</v>
      </c>
      <c r="R79" s="68">
        <v>79.920673700966276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0.66504492648042846</v>
      </c>
      <c r="M80" s="115">
        <v>7.5796680190385048</v>
      </c>
      <c r="N80" s="115">
        <v>293.56117804857519</v>
      </c>
      <c r="O80" s="115">
        <v>16.386706988879013</v>
      </c>
      <c r="P80" s="115">
        <v>28.217525933211345</v>
      </c>
      <c r="Q80" s="111">
        <v>16.386706988879013</v>
      </c>
      <c r="R80" s="68">
        <v>28.217525933211345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0.97213720614187515</v>
      </c>
      <c r="M81" s="115">
        <v>1.4639203003083729</v>
      </c>
      <c r="N81" s="115">
        <v>25.393676288102483</v>
      </c>
      <c r="O81" s="115">
        <v>1.9415330644750148</v>
      </c>
      <c r="P81" s="115">
        <v>2.8998839195202963</v>
      </c>
      <c r="Q81" s="111">
        <v>1.9415330644750148</v>
      </c>
      <c r="R81" s="68">
        <v>2.8998839195202963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0.93669781784892192</v>
      </c>
      <c r="M82" s="115">
        <v>2.2758246702802452</v>
      </c>
      <c r="N82" s="115">
        <v>60.838007492454615</v>
      </c>
      <c r="O82" s="115">
        <v>3.668009093414756</v>
      </c>
      <c r="P82" s="115">
        <v>5.9127196159725024</v>
      </c>
      <c r="Q82" s="111">
        <v>3.668009093414756</v>
      </c>
      <c r="R82" s="68">
        <v>5.9127196159725024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2.6008873427685267E-2</v>
      </c>
      <c r="M83" s="115">
        <v>225.27342405457799</v>
      </c>
      <c r="N83" s="115">
        <v>9454.9623354103496</v>
      </c>
      <c r="O83" s="115">
        <v>65.129260053901561</v>
      </c>
      <c r="P83" s="115">
        <v>81.720324449168928</v>
      </c>
      <c r="Q83" s="111">
        <v>65.129260053901575</v>
      </c>
      <c r="R83" s="68">
        <v>81.720324449168928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0.42962225875826204</v>
      </c>
      <c r="M84" s="115">
        <v>17.049093831907378</v>
      </c>
      <c r="N84" s="115">
        <v>546.52533001197332</v>
      </c>
      <c r="O84" s="115">
        <v>5.767089488281349</v>
      </c>
      <c r="P84" s="115">
        <v>5.4186775774778519</v>
      </c>
      <c r="Q84" s="111">
        <v>5.767089488281349</v>
      </c>
      <c r="R84" s="68">
        <v>5.4186775774778519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0.32237440831420622</v>
      </c>
      <c r="M85" s="115">
        <v>1455.3824824078415</v>
      </c>
      <c r="N85" s="115">
        <v>26093.80121330413</v>
      </c>
      <c r="O85" s="115">
        <v>25.911183657578274</v>
      </c>
      <c r="P85" s="115">
        <v>23.343766851163764</v>
      </c>
      <c r="Q85" s="111">
        <v>25.911183657578277</v>
      </c>
      <c r="R85" s="68">
        <v>23.343766851163764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1.7223642781209081E-3</v>
      </c>
      <c r="M86" s="115">
        <v>587.32169439222673</v>
      </c>
      <c r="N86" s="115">
        <v>19624.228956806892</v>
      </c>
      <c r="O86" s="115">
        <v>115.6674661284828</v>
      </c>
      <c r="P86" s="115">
        <v>46.547432983243418</v>
      </c>
      <c r="Q86" s="111">
        <v>115.66746612848281</v>
      </c>
      <c r="R86" s="68">
        <v>46.547432983243418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6.388886435659527E-4</v>
      </c>
      <c r="M87" s="115">
        <v>716.62230514134933</v>
      </c>
      <c r="N87" s="115">
        <v>24001.981492944953</v>
      </c>
      <c r="O87" s="115">
        <v>138.0396907585916</v>
      </c>
      <c r="P87" s="115">
        <v>52.149419817339513</v>
      </c>
      <c r="Q87" s="111">
        <v>138.0396907585916</v>
      </c>
      <c r="R87" s="68">
        <v>52.149419817339513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1.9118037501457635E-4</v>
      </c>
      <c r="M88" s="115">
        <v>830.63740136341846</v>
      </c>
      <c r="N88" s="115">
        <v>27895.801655858759</v>
      </c>
      <c r="O88" s="115">
        <v>157.69324791282554</v>
      </c>
      <c r="P88" s="115">
        <v>57.516676116292871</v>
      </c>
      <c r="Q88" s="111">
        <v>157.69324791282554</v>
      </c>
      <c r="R88" s="68">
        <v>57.516676116292878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3.1421869890680548E-3</v>
      </c>
      <c r="M89" s="115">
        <v>2279.6361773063927</v>
      </c>
      <c r="N89" s="115">
        <v>41083.253327495411</v>
      </c>
      <c r="O89" s="115">
        <v>31.385278553829654</v>
      </c>
      <c r="P89" s="115">
        <v>10.829837158576334</v>
      </c>
      <c r="Q89" s="111">
        <v>31.385278553829657</v>
      </c>
      <c r="R89" s="68">
        <v>10.829837158576334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0.96846249908550108</v>
      </c>
      <c r="M90" s="115">
        <v>0.90341607997827178</v>
      </c>
      <c r="N90" s="115">
        <v>1.4772033443404573</v>
      </c>
      <c r="O90" s="115">
        <v>0.81197096559412629</v>
      </c>
      <c r="P90" s="115">
        <v>0.93905193985406721</v>
      </c>
      <c r="Q90" s="111">
        <v>0.81197096559412629</v>
      </c>
      <c r="R90" s="68">
        <v>0.93905193985406732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0.76347074421741634</v>
      </c>
      <c r="M91" s="115">
        <v>3.1710573591716176</v>
      </c>
      <c r="N91" s="115">
        <v>81.434099711093751</v>
      </c>
      <c r="O91" s="115">
        <v>1.39291685095511</v>
      </c>
      <c r="P91" s="115">
        <v>1.389121249844655</v>
      </c>
      <c r="Q91" s="111">
        <v>1.39291685095511</v>
      </c>
      <c r="R91" s="68">
        <v>1.389121249844655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0.26510022384113713</v>
      </c>
      <c r="M92" s="115">
        <v>33.28087887260493</v>
      </c>
      <c r="N92" s="115">
        <v>1086.1570205613396</v>
      </c>
      <c r="O92" s="115">
        <v>11.283414277567214</v>
      </c>
      <c r="P92" s="115">
        <v>10.830596361763972</v>
      </c>
      <c r="Q92" s="111">
        <v>11.283414277567216</v>
      </c>
      <c r="R92" s="68">
        <v>10.830596361763972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0.99275251661616726</v>
      </c>
      <c r="M93" s="115">
        <v>0.89440024748878211</v>
      </c>
      <c r="N93" s="115">
        <v>0.62192260116497122</v>
      </c>
      <c r="O93" s="115">
        <v>0.84292284261934058</v>
      </c>
      <c r="P93" s="115">
        <v>0.99128764813192072</v>
      </c>
      <c r="Q93" s="111">
        <v>0.8429228426193407</v>
      </c>
      <c r="R93" s="68">
        <v>0.99128764813192072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0.9987035065968205</v>
      </c>
      <c r="M94" s="115">
        <v>0.88843918129643529</v>
      </c>
      <c r="N94" s="115">
        <v>0.15091637265614646</v>
      </c>
      <c r="O94" s="115">
        <v>0.82201472631127936</v>
      </c>
      <c r="P94" s="115">
        <v>0.95543754488842836</v>
      </c>
      <c r="Q94" s="111">
        <v>0.82201472631127936</v>
      </c>
      <c r="R94" s="68">
        <v>0.95543754488842847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0.94496334668239979</v>
      </c>
      <c r="M95" s="115">
        <v>1.0342941418211531</v>
      </c>
      <c r="N95" s="115">
        <v>6.3841507061359222</v>
      </c>
      <c r="O95" s="115">
        <v>0.82248969692396456</v>
      </c>
      <c r="P95" s="115">
        <v>0.93560551383049018</v>
      </c>
      <c r="Q95" s="111">
        <v>0.82248969692396456</v>
      </c>
      <c r="R95" s="68">
        <v>0.93560551383049029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2.4428330590335252E-3</v>
      </c>
      <c r="M96" s="115">
        <v>534.56103724132947</v>
      </c>
      <c r="N96" s="115">
        <v>17845.285620645729</v>
      </c>
      <c r="O96" s="115">
        <v>106.57010993739844</v>
      </c>
      <c r="P96" s="115">
        <v>44.442182303522955</v>
      </c>
      <c r="Q96" s="111">
        <v>106.57010993739844</v>
      </c>
      <c r="R96" s="68">
        <v>44.442182303522955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0.67780934417440852</v>
      </c>
      <c r="M97" s="115">
        <v>5.2748926760446189</v>
      </c>
      <c r="N97" s="115">
        <v>152.76006921139415</v>
      </c>
      <c r="O97" s="115">
        <v>2.014061642417603</v>
      </c>
      <c r="P97" s="115">
        <v>1.9304805632113395</v>
      </c>
      <c r="Q97" s="111">
        <v>2.014061642417603</v>
      </c>
      <c r="R97" s="68">
        <v>1.9304805632113395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0.74886053400819597</v>
      </c>
      <c r="M98" s="115">
        <v>3.4782307252125122</v>
      </c>
      <c r="N98" s="115">
        <v>91.901476256841036</v>
      </c>
      <c r="O98" s="115">
        <v>1.4815527787761495</v>
      </c>
      <c r="P98" s="115">
        <v>1.4648952518217873</v>
      </c>
      <c r="Q98" s="111">
        <v>1.4815527787761498</v>
      </c>
      <c r="R98" s="68">
        <v>1.4648952518217873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0.87529646560772156</v>
      </c>
      <c r="M99" s="115">
        <v>1.4804096427630207</v>
      </c>
      <c r="N99" s="115">
        <v>22.976603386927088</v>
      </c>
      <c r="O99" s="115">
        <v>0.93140727856331673</v>
      </c>
      <c r="P99" s="115">
        <v>1.0122191120299726</v>
      </c>
      <c r="Q99" s="111">
        <v>0.93140727856331673</v>
      </c>
      <c r="R99" s="68">
        <v>1.0122191120299726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1.4734289303585594E-2</v>
      </c>
      <c r="M100" s="115">
        <v>241.55219323136529</v>
      </c>
      <c r="N100" s="115">
        <v>8020.6859403679027</v>
      </c>
      <c r="O100" s="115">
        <v>57.10901042711216</v>
      </c>
      <c r="P100" s="115">
        <v>35.592775978928856</v>
      </c>
      <c r="Q100" s="111">
        <v>57.10901042711216</v>
      </c>
      <c r="R100" s="68">
        <v>35.592775978928863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0.32432642874148632</v>
      </c>
      <c r="M101" s="115">
        <v>26.233198823939663</v>
      </c>
      <c r="N101" s="115">
        <v>851.99305705091501</v>
      </c>
      <c r="O101" s="115">
        <v>8.8526192905061976</v>
      </c>
      <c r="P101" s="115">
        <v>8.4160026007232975</v>
      </c>
      <c r="Q101" s="111">
        <v>8.8526192905061976</v>
      </c>
      <c r="R101" s="68">
        <v>8.4160026007232975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0.12427963420505582</v>
      </c>
      <c r="M102" s="115">
        <v>61.523619119244273</v>
      </c>
      <c r="N102" s="115">
        <v>2024.4333226653043</v>
      </c>
      <c r="O102" s="115">
        <v>21.472072928214132</v>
      </c>
      <c r="P102" s="115">
        <v>21.335707624482154</v>
      </c>
      <c r="Q102" s="111">
        <v>21.472072928214132</v>
      </c>
      <c r="R102" s="68">
        <v>21.335707624482154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0.98325724654931157</v>
      </c>
      <c r="M103" s="115">
        <v>1.1806128310409454</v>
      </c>
      <c r="N103" s="115">
        <v>13.051437561441475</v>
      </c>
      <c r="O103" s="115">
        <v>1.3724041813253787</v>
      </c>
      <c r="P103" s="115">
        <v>1.9092297799331754</v>
      </c>
      <c r="Q103" s="111">
        <v>1.3724041813253787</v>
      </c>
      <c r="R103" s="68">
        <v>1.9092297799331754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9.9764393844440954E-2</v>
      </c>
      <c r="M104" s="115">
        <v>24.386709023262565</v>
      </c>
      <c r="N104" s="115">
        <v>1007.6078676010754</v>
      </c>
      <c r="O104" s="115">
        <v>43.02310988013209</v>
      </c>
      <c r="P104" s="115">
        <v>73.866176823829164</v>
      </c>
      <c r="Q104" s="111">
        <v>43.02310988013209</v>
      </c>
      <c r="R104" s="68">
        <v>73.866176823829164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0.96355869904749991</v>
      </c>
      <c r="M105" s="115">
        <v>0.90922233970501143</v>
      </c>
      <c r="N105" s="115">
        <v>1.8025281320093305</v>
      </c>
      <c r="O105" s="115">
        <v>0.81154035824672044</v>
      </c>
      <c r="P105" s="115">
        <v>0.93703076648534278</v>
      </c>
      <c r="Q105" s="111">
        <v>0.81154035824672055</v>
      </c>
      <c r="R105" s="68">
        <v>0.93703076648534278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0.94091811113589829</v>
      </c>
      <c r="M106" s="115">
        <v>1.0454673708481819</v>
      </c>
      <c r="N106" s="115">
        <v>6.8657068985702647</v>
      </c>
      <c r="O106" s="115">
        <v>0.82424277945246605</v>
      </c>
      <c r="P106" s="115">
        <v>0.93608096785900907</v>
      </c>
      <c r="Q106" s="111">
        <v>0.82424277945246605</v>
      </c>
      <c r="R106" s="68">
        <v>0.93608096785900907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9.5561666304399634E-2</v>
      </c>
      <c r="M107" s="115">
        <v>95.083762670151913</v>
      </c>
      <c r="N107" s="115">
        <v>2772.6615023960621</v>
      </c>
      <c r="O107" s="115">
        <v>26.036571089780605</v>
      </c>
      <c r="P107" s="115">
        <v>26.198930605190188</v>
      </c>
      <c r="Q107" s="111">
        <v>26.036571089780605</v>
      </c>
      <c r="R107" s="68">
        <v>26.198930605190192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0.9959988462948457</v>
      </c>
      <c r="M108" s="115">
        <v>0.88431528431029083</v>
      </c>
      <c r="N108" s="115">
        <v>7.8111220375941232E-2</v>
      </c>
      <c r="O108" s="115">
        <v>0.82189193959435036</v>
      </c>
      <c r="P108" s="115">
        <v>0.95529527739161324</v>
      </c>
      <c r="Q108" s="111">
        <v>0.82189193959435036</v>
      </c>
      <c r="R108" s="68">
        <v>0.95529527739161335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2.0786187563585972</v>
      </c>
      <c r="M109" s="115">
        <v>15.965056019124765</v>
      </c>
      <c r="N109" s="115">
        <v>272.16321126864869</v>
      </c>
      <c r="O109" s="115">
        <v>1.2788307273480106</v>
      </c>
      <c r="P109" s="115">
        <v>1.4870799024199881</v>
      </c>
      <c r="Q109" s="111">
        <v>1.2788307273480106</v>
      </c>
      <c r="R109" s="68">
        <v>1.4870799024199883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0.98705124022461832</v>
      </c>
      <c r="M110" s="115">
        <v>0.88123121349284406</v>
      </c>
      <c r="N110" s="115">
        <v>0.22197858774188522</v>
      </c>
      <c r="O110" s="115">
        <v>0.81827932015146343</v>
      </c>
      <c r="P110" s="115">
        <v>0.95070245184670232</v>
      </c>
      <c r="Q110" s="111">
        <v>0.81827932015146343</v>
      </c>
      <c r="R110" s="68">
        <v>0.95070245184670243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0.99322576641795335</v>
      </c>
      <c r="M111" s="115">
        <v>0.8800749022112897</v>
      </c>
      <c r="N111" s="115">
        <v>3.2331741084125299E-3</v>
      </c>
      <c r="O111" s="115">
        <v>0.82192418129727818</v>
      </c>
      <c r="P111" s="115">
        <v>0.95538420938968527</v>
      </c>
      <c r="Q111" s="111">
        <v>0.82192418129727818</v>
      </c>
      <c r="R111" s="68">
        <v>0.95538420938968527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0.98522856810388582</v>
      </c>
      <c r="M112" s="115">
        <v>0.87810082407016321</v>
      </c>
      <c r="N112" s="115">
        <v>0.16759724116456171</v>
      </c>
      <c r="O112" s="115">
        <v>0.81531022778440387</v>
      </c>
      <c r="P112" s="115">
        <v>0.94703180078571303</v>
      </c>
      <c r="Q112" s="111">
        <v>0.81531022778440387</v>
      </c>
      <c r="R112" s="68">
        <v>0.94703180078571303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0.94838527376913406</v>
      </c>
      <c r="M113" s="115">
        <v>0.95829835146964026</v>
      </c>
      <c r="N113" s="115">
        <v>3.8381892750459774</v>
      </c>
      <c r="O113" s="115">
        <v>0.81697705596443737</v>
      </c>
      <c r="P113" s="115">
        <v>0.93671957584824272</v>
      </c>
      <c r="Q113" s="111">
        <v>0.81697705596443748</v>
      </c>
      <c r="R113" s="68">
        <v>0.93671957584824272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0.98907942340595667</v>
      </c>
      <c r="M114" s="115">
        <v>0.87794089919514429</v>
      </c>
      <c r="N114" s="115">
        <v>5.2094833654668798E-2</v>
      </c>
      <c r="O114" s="115">
        <v>0.81749265328569376</v>
      </c>
      <c r="P114" s="115">
        <v>0.95000073750348868</v>
      </c>
      <c r="Q114" s="111">
        <v>0.81749265328569387</v>
      </c>
      <c r="R114" s="68">
        <v>0.95000073750348868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0.99092526328664676</v>
      </c>
      <c r="M115" s="115">
        <v>0.96020225156226502</v>
      </c>
      <c r="N115" s="115">
        <v>3.4723601533991113</v>
      </c>
      <c r="O115" s="115">
        <v>0.95623346967278744</v>
      </c>
      <c r="P115" s="115">
        <v>1.1869860950483953</v>
      </c>
      <c r="Q115" s="111">
        <v>0.95623346967278755</v>
      </c>
      <c r="R115" s="68">
        <v>1.1869860950483953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1.0260116054054018</v>
      </c>
      <c r="M116" s="115">
        <v>532.47663268877795</v>
      </c>
      <c r="N116" s="115">
        <v>9557.40150640705</v>
      </c>
      <c r="O116" s="115">
        <v>19.076080649921725</v>
      </c>
      <c r="P116" s="115">
        <v>24.805776112525944</v>
      </c>
      <c r="Q116" s="111">
        <v>19.076080649921725</v>
      </c>
      <c r="R116" s="68">
        <v>24.805776112525944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0.58277479855426972</v>
      </c>
      <c r="M117" s="115">
        <v>8.6118632559803885</v>
      </c>
      <c r="N117" s="115">
        <v>264.89631037757493</v>
      </c>
      <c r="O117" s="115">
        <v>3.0431828922939901</v>
      </c>
      <c r="P117" s="115">
        <v>2.8604413498973669</v>
      </c>
      <c r="Q117" s="111">
        <v>3.0431828922939905</v>
      </c>
      <c r="R117" s="68">
        <v>2.8604413498973673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2025-02-02T13:52:42Z</dcterms:modified>
</cp:coreProperties>
</file>